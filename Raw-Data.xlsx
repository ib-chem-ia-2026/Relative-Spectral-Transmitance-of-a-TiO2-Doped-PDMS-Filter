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ogr\Documents\GitHub\Relative Spectral Transmitance of a TiO2 Doped PDMS\"/>
    </mc:Choice>
  </mc:AlternateContent>
  <xr:revisionPtr revIDLastSave="0" documentId="8_{BEC14A81-E252-4EE0-A063-648BC0CC6CAE}" xr6:coauthVersionLast="47" xr6:coauthVersionMax="47" xr10:uidLastSave="{00000000-0000-0000-0000-000000000000}"/>
  <bookViews>
    <workbookView xWindow="-108" yWindow="-108" windowWidth="23256" windowHeight="14616" xr2:uid="{14BAFDA5-388F-4395-8DA7-4A426FDA7A7F}"/>
  </bookViews>
  <sheets>
    <sheet name="0.0%" sheetId="1" r:id="rId1"/>
    <sheet name="0.5%" sheetId="2" r:id="rId2"/>
    <sheet name="1.0%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" i="1" l="1"/>
  <c r="U3" i="1"/>
  <c r="V4" i="2" a="1"/>
  <c r="V4" i="2"/>
  <c r="V5" i="2" a="1"/>
  <c r="V5" i="2"/>
  <c r="V6" i="2" a="1"/>
  <c r="V6" i="2" s="1"/>
  <c r="V7" i="2" a="1"/>
  <c r="V7" i="2"/>
  <c r="V8" i="2" a="1"/>
  <c r="V8" i="2"/>
  <c r="V9" i="2" a="1"/>
  <c r="V9" i="2" s="1"/>
  <c r="V10" i="2" a="1"/>
  <c r="V10" i="2"/>
  <c r="V11" i="2" a="1"/>
  <c r="V11" i="2"/>
  <c r="V12" i="2" a="1"/>
  <c r="V12" i="2"/>
  <c r="V13" i="2" a="1"/>
  <c r="V13" i="2"/>
  <c r="V14" i="2" a="1"/>
  <c r="V14" i="2"/>
  <c r="V15" i="2" a="1"/>
  <c r="V15" i="2" s="1"/>
  <c r="V16" i="2" a="1"/>
  <c r="V16" i="2"/>
  <c r="V17" i="2" a="1"/>
  <c r="V17" i="2"/>
  <c r="V18" i="2" a="1"/>
  <c r="V18" i="2"/>
  <c r="V19" i="2" a="1"/>
  <c r="V19" i="2" s="1"/>
  <c r="V20" i="2" a="1"/>
  <c r="V20" i="2" s="1"/>
  <c r="V21" i="2" a="1"/>
  <c r="V21" i="2"/>
  <c r="V22" i="2" a="1"/>
  <c r="V22" i="2"/>
  <c r="V23" i="2" a="1"/>
  <c r="V23" i="2"/>
  <c r="V24" i="2" a="1"/>
  <c r="V24" i="2"/>
  <c r="V25" i="2" a="1"/>
  <c r="V25" i="2"/>
  <c r="V26" i="2" a="1"/>
  <c r="V26" i="2"/>
  <c r="V27" i="2" a="1"/>
  <c r="V27" i="2" s="1"/>
  <c r="V28" i="2" a="1"/>
  <c r="V28" i="2"/>
  <c r="V29" i="2" a="1"/>
  <c r="V29" i="2" s="1"/>
  <c r="V30" i="2" a="1"/>
  <c r="V30" i="2" s="1"/>
  <c r="V31" i="2" a="1"/>
  <c r="V31" i="2"/>
  <c r="V32" i="2" a="1"/>
  <c r="V32" i="2"/>
  <c r="V33" i="2" a="1"/>
  <c r="V33" i="2"/>
  <c r="V34" i="2" a="1"/>
  <c r="V34" i="2"/>
  <c r="V35" i="2" a="1"/>
  <c r="V35" i="2" s="1"/>
  <c r="V36" i="2" a="1"/>
  <c r="V36" i="2" s="1"/>
  <c r="V37" i="2" a="1"/>
  <c r="V37" i="2"/>
  <c r="V38" i="2" a="1"/>
  <c r="V38" i="2"/>
  <c r="V39" i="2" a="1"/>
  <c r="V39" i="2" s="1"/>
  <c r="V40" i="2" a="1"/>
  <c r="V40" i="2"/>
  <c r="V41" i="2" a="1"/>
  <c r="V41" i="2" s="1"/>
  <c r="V42" i="2" a="1"/>
  <c r="V42" i="2"/>
  <c r="V43" i="2" a="1"/>
  <c r="V43" i="2"/>
  <c r="V44" i="2" a="1"/>
  <c r="V44" i="2"/>
  <c r="V45" i="2" a="1"/>
  <c r="V45" i="2"/>
  <c r="V46" i="2" a="1"/>
  <c r="V46" i="2"/>
  <c r="V47" i="2" a="1"/>
  <c r="V47" i="2"/>
  <c r="V48" i="2" a="1"/>
  <c r="V48" i="2" s="1"/>
  <c r="V49" i="2" a="1"/>
  <c r="V49" i="2" s="1"/>
  <c r="V50" i="2" a="1"/>
  <c r="V50" i="2"/>
  <c r="V51" i="2" a="1"/>
  <c r="V51" i="2" s="1"/>
  <c r="V52" i="2" a="1"/>
  <c r="V52" i="2"/>
  <c r="V53" i="2" a="1"/>
  <c r="V53" i="2"/>
  <c r="V54" i="2" a="1"/>
  <c r="V54" i="2"/>
  <c r="V55" i="2" a="1"/>
  <c r="V55" i="2"/>
  <c r="V56" i="2" a="1"/>
  <c r="V56" i="2" s="1"/>
  <c r="V57" i="2" a="1"/>
  <c r="V57" i="2" s="1"/>
  <c r="V58" i="2" a="1"/>
  <c r="V58" i="2"/>
  <c r="V59" i="2" a="1"/>
  <c r="V59" i="2" s="1"/>
  <c r="V60" i="2" a="1"/>
  <c r="V60" i="2"/>
  <c r="V61" i="2" a="1"/>
  <c r="V61" i="2"/>
  <c r="V62" i="2" a="1"/>
  <c r="V62" i="2" s="1"/>
  <c r="V63" i="2" a="1"/>
  <c r="V63" i="2"/>
  <c r="V64" i="2" a="1"/>
  <c r="V64" i="2"/>
  <c r="V65" i="2" a="1"/>
  <c r="V65" i="2"/>
  <c r="V66" i="2" a="1"/>
  <c r="V66" i="2"/>
  <c r="V67" i="2" a="1"/>
  <c r="V67" i="2"/>
  <c r="V68" i="2" a="1"/>
  <c r="V68" i="2"/>
  <c r="V69" i="2" a="1"/>
  <c r="V69" i="2" s="1"/>
  <c r="V70" i="2" a="1"/>
  <c r="V70" i="2"/>
  <c r="V71" i="2" a="1"/>
  <c r="V71" i="2"/>
  <c r="V72" i="2" a="1"/>
  <c r="V72" i="2" s="1"/>
  <c r="V73" i="2" a="1"/>
  <c r="V73" i="2"/>
  <c r="V74" i="2" a="1"/>
  <c r="V74" i="2"/>
  <c r="V75" i="2" a="1"/>
  <c r="V75" i="2"/>
  <c r="V76" i="2" a="1"/>
  <c r="V76" i="2"/>
  <c r="V77" i="2" a="1"/>
  <c r="V77" i="2" s="1"/>
  <c r="V78" i="2" a="1"/>
  <c r="V78" i="2" s="1"/>
  <c r="V79" i="2" a="1"/>
  <c r="V79" i="2" s="1"/>
  <c r="V80" i="2" a="1"/>
  <c r="V80" i="2" s="1"/>
  <c r="V81" i="2" a="1"/>
  <c r="V81" i="2"/>
  <c r="V82" i="2" a="1"/>
  <c r="V82" i="2"/>
  <c r="V83" i="2" a="1"/>
  <c r="V83" i="2" s="1"/>
  <c r="V84" i="2" a="1"/>
  <c r="V84" i="2"/>
  <c r="V85" i="2" a="1"/>
  <c r="V85" i="2"/>
  <c r="V86" i="2" a="1"/>
  <c r="V86" i="2"/>
  <c r="V87" i="2" a="1"/>
  <c r="V87" i="2"/>
  <c r="V88" i="2" a="1"/>
  <c r="V88" i="2"/>
  <c r="V89" i="2" a="1"/>
  <c r="V89" i="2" s="1"/>
  <c r="V90" i="2" a="1"/>
  <c r="V90" i="2"/>
  <c r="V91" i="2" a="1"/>
  <c r="V91" i="2"/>
  <c r="V92" i="2" a="1"/>
  <c r="V92" i="2"/>
  <c r="V93" i="2" a="1"/>
  <c r="V93" i="2" s="1"/>
  <c r="V94" i="2" a="1"/>
  <c r="V94" i="2"/>
  <c r="V95" i="2" a="1"/>
  <c r="V95" i="2"/>
  <c r="V96" i="2" a="1"/>
  <c r="V96" i="2"/>
  <c r="V97" i="2" a="1"/>
  <c r="V97" i="2"/>
  <c r="V98" i="2" a="1"/>
  <c r="V98" i="2" s="1"/>
  <c r="V99" i="2" a="1"/>
  <c r="V99" i="2" s="1"/>
  <c r="V100" i="2" a="1"/>
  <c r="V100" i="2"/>
  <c r="V101" i="2" a="1"/>
  <c r="V101" i="2" s="1"/>
  <c r="V102" i="2" a="1"/>
  <c r="V102" i="2"/>
  <c r="V103" i="2" a="1"/>
  <c r="V103" i="2"/>
  <c r="V104" i="2" a="1"/>
  <c r="V104" i="2"/>
  <c r="V105" i="2" a="1"/>
  <c r="V105" i="2"/>
  <c r="V106" i="2" a="1"/>
  <c r="V106" i="2"/>
  <c r="V107" i="2" a="1"/>
  <c r="V107" i="2"/>
  <c r="V108" i="2" a="1"/>
  <c r="V108" i="2"/>
  <c r="V109" i="2" a="1"/>
  <c r="V109" i="2" s="1"/>
  <c r="V110" i="2" a="1"/>
  <c r="V110" i="2" s="1"/>
  <c r="V111" i="2" a="1"/>
  <c r="V111" i="2"/>
  <c r="V112" i="2" a="1"/>
  <c r="V112" i="2"/>
  <c r="V113" i="2" a="1"/>
  <c r="V113" i="2"/>
  <c r="V114" i="2" a="1"/>
  <c r="V114" i="2"/>
  <c r="V115" i="2" a="1"/>
  <c r="V115" i="2"/>
  <c r="V116" i="2" a="1"/>
  <c r="V116" i="2"/>
  <c r="V117" i="2" a="1"/>
  <c r="V117" i="2"/>
  <c r="V118" i="2" a="1"/>
  <c r="V118" i="2"/>
  <c r="V119" i="2" a="1"/>
  <c r="V119" i="2" s="1"/>
  <c r="V120" i="2" a="1"/>
  <c r="V120" i="2"/>
  <c r="V121" i="2" a="1"/>
  <c r="V121" i="2"/>
  <c r="V122" i="2" a="1"/>
  <c r="V122" i="2" s="1"/>
  <c r="V123" i="2" a="1"/>
  <c r="V123" i="2"/>
  <c r="V124" i="2" a="1"/>
  <c r="V124" i="2"/>
  <c r="V125" i="2" a="1"/>
  <c r="V125" i="2" s="1"/>
  <c r="V126" i="2" a="1"/>
  <c r="V126" i="2"/>
  <c r="V127" i="2" a="1"/>
  <c r="V127" i="2"/>
  <c r="V128" i="2" a="1"/>
  <c r="V128" i="2"/>
  <c r="V129" i="2" a="1"/>
  <c r="V129" i="2" s="1"/>
  <c r="V130" i="2" a="1"/>
  <c r="V130" i="2" s="1"/>
  <c r="V131" i="2" a="1"/>
  <c r="V131" i="2" s="1"/>
  <c r="V132" i="2" a="1"/>
  <c r="V132" i="2"/>
  <c r="V133" i="2" a="1"/>
  <c r="V133" i="2"/>
  <c r="V134" i="2" a="1"/>
  <c r="V134" i="2"/>
  <c r="V135" i="2" a="1"/>
  <c r="V135" i="2" s="1"/>
  <c r="V136" i="2" a="1"/>
  <c r="V136" i="2"/>
  <c r="V137" i="2" a="1"/>
  <c r="V137" i="2"/>
  <c r="V138" i="2" a="1"/>
  <c r="V138" i="2"/>
  <c r="V139" i="2" a="1"/>
  <c r="V139" i="2" s="1"/>
  <c r="V140" i="2" a="1"/>
  <c r="V140" i="2"/>
  <c r="V141" i="2" a="1"/>
  <c r="V141" i="2"/>
  <c r="V142" i="2" a="1"/>
  <c r="V142" i="2"/>
  <c r="V143" i="2" a="1"/>
  <c r="V143" i="2" s="1"/>
  <c r="V144" i="2" a="1"/>
  <c r="V144" i="2"/>
  <c r="V145" i="2" a="1"/>
  <c r="V145" i="2"/>
  <c r="V146" i="2" a="1"/>
  <c r="V146" i="2" s="1"/>
  <c r="V147" i="2" a="1"/>
  <c r="V147" i="2"/>
  <c r="V148" i="2" a="1"/>
  <c r="V148" i="2"/>
  <c r="V149" i="2" a="1"/>
  <c r="V149" i="2" s="1"/>
  <c r="V150" i="2" a="1"/>
  <c r="V150" i="2"/>
  <c r="V151" i="2" a="1"/>
  <c r="V151" i="2" s="1"/>
  <c r="V152" i="2" a="1"/>
  <c r="V152" i="2" s="1"/>
  <c r="V153" i="2" a="1"/>
  <c r="V153" i="2"/>
  <c r="V154" i="2" a="1"/>
  <c r="V154" i="2"/>
  <c r="V155" i="2" a="1"/>
  <c r="V155" i="2"/>
  <c r="V156" i="2" a="1"/>
  <c r="V156" i="2" s="1"/>
  <c r="V157" i="2" a="1"/>
  <c r="V157" i="2"/>
  <c r="V158" i="2" a="1"/>
  <c r="V158" i="2"/>
  <c r="V159" i="2" a="1"/>
  <c r="V159" i="2" s="1"/>
  <c r="V160" i="2" a="1"/>
  <c r="V160" i="2"/>
  <c r="V161" i="2" a="1"/>
  <c r="V161" i="2"/>
  <c r="V162" i="2" a="1"/>
  <c r="V162" i="2"/>
  <c r="V163" i="2" a="1"/>
  <c r="V163" i="2"/>
  <c r="V164" i="2" a="1"/>
  <c r="V164" i="2" s="1"/>
  <c r="V165" i="2" a="1"/>
  <c r="V165" i="2"/>
  <c r="V166" i="2" a="1"/>
  <c r="V166" i="2"/>
  <c r="V167" i="2" a="1"/>
  <c r="V167" i="2" s="1"/>
  <c r="V168" i="2" a="1"/>
  <c r="V168" i="2"/>
  <c r="V169" i="2" a="1"/>
  <c r="V169" i="2" s="1"/>
  <c r="V170" i="2" a="1"/>
  <c r="V170" i="2"/>
  <c r="V171" i="2" a="1"/>
  <c r="V171" i="2"/>
  <c r="V172" i="2" a="1"/>
  <c r="V172" i="2" s="1"/>
  <c r="V173" i="2" a="1"/>
  <c r="V173" i="2" s="1"/>
  <c r="V174" i="2" a="1"/>
  <c r="V174" i="2"/>
  <c r="V175" i="2" a="1"/>
  <c r="V175" i="2"/>
  <c r="V176" i="2" a="1"/>
  <c r="V176" i="2"/>
  <c r="V177" i="2" a="1"/>
  <c r="V177" i="2" s="1"/>
  <c r="V178" i="2" a="1"/>
  <c r="V178" i="2"/>
  <c r="V179" i="2" a="1"/>
  <c r="V179" i="2" s="1"/>
  <c r="V180" i="2" a="1"/>
  <c r="V180" i="2"/>
  <c r="V181" i="2" a="1"/>
  <c r="V181" i="2"/>
  <c r="V182" i="2" a="1"/>
  <c r="V182" i="2"/>
  <c r="V183" i="2" a="1"/>
  <c r="V183" i="2"/>
  <c r="V184" i="2" a="1"/>
  <c r="V184" i="2"/>
  <c r="V185" i="2" a="1"/>
  <c r="V185" i="2" s="1"/>
  <c r="V186" i="2" a="1"/>
  <c r="V186" i="2"/>
  <c r="V187" i="2" a="1"/>
  <c r="V187" i="2"/>
  <c r="V188" i="2" a="1"/>
  <c r="V188" i="2" s="1"/>
  <c r="V189" i="2" a="1"/>
  <c r="V189" i="2" s="1"/>
  <c r="V190" i="2" a="1"/>
  <c r="V190" i="2"/>
  <c r="V191" i="2" a="1"/>
  <c r="V191" i="2"/>
  <c r="V192" i="2" a="1"/>
  <c r="V192" i="2"/>
  <c r="V193" i="2" a="1"/>
  <c r="V193" i="2" s="1"/>
  <c r="V194" i="2" a="1"/>
  <c r="V194" i="2" s="1"/>
  <c r="V195" i="2" a="1"/>
  <c r="V195" i="2"/>
  <c r="V196" i="2" a="1"/>
  <c r="V196" i="2"/>
  <c r="V197" i="2" a="1"/>
  <c r="V197" i="2"/>
  <c r="V198" i="2" a="1"/>
  <c r="V198" i="2" s="1"/>
  <c r="V199" i="2" a="1"/>
  <c r="V199" i="2" s="1"/>
  <c r="V200" i="2" a="1"/>
  <c r="V200" i="2"/>
  <c r="V201" i="2" a="1"/>
  <c r="V201" i="2"/>
  <c r="V202" i="2" a="1"/>
  <c r="V202" i="2"/>
  <c r="V203" i="2" a="1"/>
  <c r="V203" i="2"/>
  <c r="V204" i="2" a="1"/>
  <c r="V204" i="2"/>
  <c r="V205" i="2" a="1"/>
  <c r="V205" i="2" s="1"/>
  <c r="V206" i="2" a="1"/>
  <c r="V206" i="2" s="1"/>
  <c r="V207" i="2" a="1"/>
  <c r="V207" i="2"/>
  <c r="V208" i="2" a="1"/>
  <c r="V208" i="2"/>
  <c r="V209" i="2" a="1"/>
  <c r="V209" i="2" s="1"/>
  <c r="V210" i="2" a="1"/>
  <c r="V210" i="2"/>
  <c r="V211" i="2" a="1"/>
  <c r="V211" i="2"/>
  <c r="V212" i="2" a="1"/>
  <c r="V212" i="2"/>
  <c r="V213" i="2" a="1"/>
  <c r="V213" i="2"/>
  <c r="V214" i="2" a="1"/>
  <c r="V214" i="2" s="1"/>
  <c r="V215" i="2" a="1"/>
  <c r="V215" i="2" s="1"/>
  <c r="V216" i="2" a="1"/>
  <c r="V216" i="2"/>
  <c r="V217" i="2" a="1"/>
  <c r="V217" i="2"/>
  <c r="V218" i="2" a="1"/>
  <c r="V218" i="2"/>
  <c r="V219" i="2" a="1"/>
  <c r="V219" i="2" s="1"/>
  <c r="V220" i="2" a="1"/>
  <c r="V220" i="2" s="1"/>
  <c r="V221" i="2" a="1"/>
  <c r="V221" i="2"/>
  <c r="V222" i="2" a="1"/>
  <c r="V222" i="2"/>
  <c r="V223" i="2" a="1"/>
  <c r="V223" i="2"/>
  <c r="V224" i="2" a="1"/>
  <c r="V224" i="2"/>
  <c r="V225" i="2" a="1"/>
  <c r="V225" i="2"/>
  <c r="V226" i="2" a="1"/>
  <c r="V226" i="2" s="1"/>
  <c r="V227" i="2" a="1"/>
  <c r="V227" i="2" s="1"/>
  <c r="V228" i="2" a="1"/>
  <c r="V228" i="2"/>
  <c r="V229" i="2" a="1"/>
  <c r="V229" i="2" s="1"/>
  <c r="V230" i="2" a="1"/>
  <c r="V230" i="2" s="1"/>
  <c r="V231" i="2" a="1"/>
  <c r="V231" i="2"/>
  <c r="V232" i="2" a="1"/>
  <c r="V232" i="2"/>
  <c r="V233" i="2" a="1"/>
  <c r="V233" i="2"/>
  <c r="V234" i="2" a="1"/>
  <c r="V234" i="2"/>
  <c r="V235" i="2" a="1"/>
  <c r="V235" i="2" s="1"/>
  <c r="V236" i="2" a="1"/>
  <c r="V236" i="2" s="1"/>
  <c r="V237" i="2" a="1"/>
  <c r="V237" i="2"/>
  <c r="V238" i="2" a="1"/>
  <c r="V238" i="2"/>
  <c r="V239" i="2" a="1"/>
  <c r="V239" i="2" s="1"/>
  <c r="V240" i="2" a="1"/>
  <c r="V240" i="2"/>
  <c r="V241" i="2" a="1"/>
  <c r="V241" i="2" s="1"/>
  <c r="V242" i="2" a="1"/>
  <c r="V242" i="2"/>
  <c r="V243" i="2" a="1"/>
  <c r="V243" i="2"/>
  <c r="V244" i="2" a="1"/>
  <c r="V244" i="2"/>
  <c r="V245" i="2" a="1"/>
  <c r="V245" i="2"/>
  <c r="V246" i="2" a="1"/>
  <c r="V246" i="2"/>
  <c r="V247" i="2" a="1"/>
  <c r="V247" i="2" s="1"/>
  <c r="V248" i="2" a="1"/>
  <c r="V248" i="2" s="1"/>
  <c r="V249" i="2" a="1"/>
  <c r="V249" i="2" s="1"/>
  <c r="V250" i="2" a="1"/>
  <c r="V250" i="2"/>
  <c r="V251" i="2" a="1"/>
  <c r="V251" i="2" s="1"/>
  <c r="V252" i="2" a="1"/>
  <c r="V252" i="2"/>
  <c r="V253" i="2" a="1"/>
  <c r="V253" i="2"/>
  <c r="V254" i="2" a="1"/>
  <c r="V254" i="2"/>
  <c r="V255" i="2" a="1"/>
  <c r="V255" i="2"/>
  <c r="V256" i="2" a="1"/>
  <c r="V256" i="2" s="1"/>
  <c r="V257" i="2" a="1"/>
  <c r="V257" i="2" s="1"/>
  <c r="V258" i="2" a="1"/>
  <c r="V258" i="2"/>
  <c r="V259" i="2" a="1"/>
  <c r="V259" i="2" s="1"/>
  <c r="V260" i="2" a="1"/>
  <c r="V260" i="2"/>
  <c r="V261" i="2" a="1"/>
  <c r="V261" i="2"/>
  <c r="V262" i="2" a="1"/>
  <c r="V262" i="2" s="1"/>
  <c r="V263" i="2" a="1"/>
  <c r="V263" i="2"/>
  <c r="V264" i="2" a="1"/>
  <c r="V264" i="2"/>
  <c r="V265" i="2" a="1"/>
  <c r="V265" i="2"/>
  <c r="V266" i="2" a="1"/>
  <c r="V266" i="2"/>
  <c r="V267" i="2" a="1"/>
  <c r="V267" i="2"/>
  <c r="V268" i="2" a="1"/>
  <c r="V268" i="2" s="1"/>
  <c r="V269" i="2" a="1"/>
  <c r="V269" i="2" s="1"/>
  <c r="V270" i="2" a="1"/>
  <c r="V270" i="2"/>
  <c r="V271" i="2" a="1"/>
  <c r="V271" i="2"/>
  <c r="V272" i="2" a="1"/>
  <c r="V272" i="2" s="1"/>
  <c r="V273" i="2" a="1"/>
  <c r="V273" i="2"/>
  <c r="V274" i="2" a="1"/>
  <c r="V274" i="2"/>
  <c r="V275" i="2" a="1"/>
  <c r="V275" i="2"/>
  <c r="V276" i="2" a="1"/>
  <c r="V276" i="2"/>
  <c r="V277" i="2" a="1"/>
  <c r="V277" i="2" s="1"/>
  <c r="V278" i="2" a="1"/>
  <c r="V278" i="2" s="1"/>
  <c r="V279" i="2" a="1"/>
  <c r="V279" i="2" s="1"/>
  <c r="V280" i="2" a="1"/>
  <c r="V280" i="2" s="1"/>
  <c r="V281" i="2" a="1"/>
  <c r="V281" i="2"/>
  <c r="V282" i="2" a="1"/>
  <c r="V282" i="2"/>
  <c r="V283" i="2" a="1"/>
  <c r="V283" i="2" s="1"/>
  <c r="V284" i="2" a="1"/>
  <c r="V284" i="2"/>
  <c r="V285" i="2" a="1"/>
  <c r="V285" i="2"/>
  <c r="V286" i="2" a="1"/>
  <c r="V286" i="2"/>
  <c r="V287" i="2" a="1"/>
  <c r="V287" i="2"/>
  <c r="V288" i="2" a="1"/>
  <c r="V288" i="2"/>
  <c r="V289" i="2" a="1"/>
  <c r="V289" i="2" s="1"/>
  <c r="V290" i="2" a="1"/>
  <c r="V290" i="2"/>
  <c r="V291" i="2" a="1"/>
  <c r="V291" i="2"/>
  <c r="V292" i="2" a="1"/>
  <c r="V292" i="2"/>
  <c r="V293" i="2" a="1"/>
  <c r="V293" i="2" s="1"/>
  <c r="V294" i="2" a="1"/>
  <c r="V294" i="2"/>
  <c r="V295" i="2" a="1"/>
  <c r="V295" i="2"/>
  <c r="V296" i="2" a="1"/>
  <c r="V296" i="2"/>
  <c r="V297" i="2" a="1"/>
  <c r="V297" i="2"/>
  <c r="V298" i="2" a="1"/>
  <c r="V298" i="2" s="1"/>
  <c r="V299" i="2" a="1"/>
  <c r="V299" i="2" s="1"/>
  <c r="V300" i="2" a="1"/>
  <c r="V300" i="2" s="1"/>
  <c r="V301" i="2" a="1"/>
  <c r="V301" i="2" s="1"/>
  <c r="V302" i="2" a="1"/>
  <c r="V302" i="2"/>
  <c r="V303" i="2" a="1"/>
  <c r="V303" i="2"/>
  <c r="V304" i="2" a="1"/>
  <c r="V304" i="2" s="1"/>
  <c r="V305" i="2" a="1"/>
  <c r="V305" i="2"/>
  <c r="V306" i="2" a="1"/>
  <c r="V306" i="2"/>
  <c r="V307" i="2" a="1"/>
  <c r="V307" i="2"/>
  <c r="V308" i="2" a="1"/>
  <c r="V308" i="2"/>
  <c r="V309" i="2" a="1"/>
  <c r="V309" i="2" s="1"/>
  <c r="V310" i="2" a="1"/>
  <c r="V310" i="2" s="1"/>
  <c r="V311" i="2" a="1"/>
  <c r="V311" i="2"/>
  <c r="V312" i="2" a="1"/>
  <c r="V312" i="2"/>
  <c r="V313" i="2" a="1"/>
  <c r="V313" i="2"/>
  <c r="V314" i="2" a="1"/>
  <c r="V314" i="2" s="1"/>
  <c r="V315" i="2" a="1"/>
  <c r="V315" i="2"/>
  <c r="V316" i="2" a="1"/>
  <c r="V316" i="2"/>
  <c r="V317" i="2" a="1"/>
  <c r="V317" i="2"/>
  <c r="V318" i="2" a="1"/>
  <c r="V318" i="2"/>
  <c r="V319" i="2" a="1"/>
  <c r="V319" i="2" s="1"/>
  <c r="V320" i="2" a="1"/>
  <c r="V320" i="2"/>
  <c r="V321" i="2" a="1"/>
  <c r="V321" i="2" s="1"/>
  <c r="V322" i="2" a="1"/>
  <c r="V322" i="2" s="1"/>
  <c r="V323" i="2" a="1"/>
  <c r="V323" i="2"/>
  <c r="V324" i="2" a="1"/>
  <c r="V324" i="2"/>
  <c r="V325" i="2" a="1"/>
  <c r="V325" i="2" s="1"/>
  <c r="V326" i="2" a="1"/>
  <c r="V326" i="2"/>
  <c r="V327" i="2" a="1"/>
  <c r="V327" i="2"/>
  <c r="V328" i="2" a="1"/>
  <c r="V328" i="2"/>
  <c r="V329" i="2" a="1"/>
  <c r="V329" i="2" s="1"/>
  <c r="V330" i="2" a="1"/>
  <c r="V330" i="2" s="1"/>
  <c r="V331" i="2" a="1"/>
  <c r="V331" i="2" s="1"/>
  <c r="V332" i="2" a="1"/>
  <c r="V332" i="2"/>
  <c r="V333" i="2" a="1"/>
  <c r="V333" i="2"/>
  <c r="V334" i="2" a="1"/>
  <c r="V334" i="2"/>
  <c r="V335" i="2" a="1"/>
  <c r="V335" i="2" s="1"/>
  <c r="V336" i="2" a="1"/>
  <c r="V336" i="2"/>
  <c r="V337" i="2" a="1"/>
  <c r="V337" i="2"/>
  <c r="V338" i="2" a="1"/>
  <c r="V338" i="2"/>
  <c r="V339" i="2" a="1"/>
  <c r="V339" i="2" s="1"/>
  <c r="V340" i="2" a="1"/>
  <c r="V340" i="2"/>
  <c r="V341" i="2" a="1"/>
  <c r="V341" i="2"/>
  <c r="V342" i="2" a="1"/>
  <c r="V342" i="2" s="1"/>
  <c r="V343" i="2" a="1"/>
  <c r="V343" i="2" s="1"/>
  <c r="V344" i="2" a="1"/>
  <c r="V344" i="2"/>
  <c r="V345" i="2" a="1"/>
  <c r="V345" i="2"/>
  <c r="V346" i="2" a="1"/>
  <c r="V346" i="2" s="1"/>
  <c r="V347" i="2" a="1"/>
  <c r="V347" i="2"/>
  <c r="V348" i="2" a="1"/>
  <c r="V348" i="2"/>
  <c r="V349" i="2" a="1"/>
  <c r="V349" i="2" s="1"/>
  <c r="V350" i="2" a="1"/>
  <c r="V350" i="2"/>
  <c r="V351" i="2" a="1"/>
  <c r="V351" i="2" s="1"/>
  <c r="V352" i="2" a="1"/>
  <c r="V352" i="2" s="1"/>
  <c r="V353" i="2" a="1"/>
  <c r="V353" i="2"/>
  <c r="V354" i="2" a="1"/>
  <c r="V354" i="2"/>
  <c r="V355" i="2" a="1"/>
  <c r="V355" i="2"/>
  <c r="V356" i="2" a="1"/>
  <c r="V356" i="2" s="1"/>
  <c r="V357" i="2" a="1"/>
  <c r="V357" i="2"/>
  <c r="V358" i="2" a="1"/>
  <c r="V358" i="2"/>
  <c r="V359" i="2" a="1"/>
  <c r="V359" i="2" s="1"/>
  <c r="V360" i="2" a="1"/>
  <c r="V360" i="2"/>
  <c r="V361" i="2" a="1"/>
  <c r="V361" i="2"/>
  <c r="V362" i="2" a="1"/>
  <c r="V362" i="2"/>
  <c r="V363" i="2" a="1"/>
  <c r="V363" i="2" s="1"/>
  <c r="V364" i="2" a="1"/>
  <c r="V364" i="2" s="1"/>
  <c r="V365" i="2" a="1"/>
  <c r="V365" i="2"/>
  <c r="V366" i="2" a="1"/>
  <c r="V366" i="2"/>
  <c r="V367" i="2" a="1"/>
  <c r="V367" i="2" s="1"/>
  <c r="V368" i="2" a="1"/>
  <c r="V368" i="2"/>
  <c r="V369" i="2" a="1"/>
  <c r="V369" i="2" s="1"/>
  <c r="V370" i="2" a="1"/>
  <c r="V370" i="2"/>
  <c r="V371" i="2" a="1"/>
  <c r="V371" i="2"/>
  <c r="V372" i="2" a="1"/>
  <c r="V372" i="2" s="1"/>
  <c r="V373" i="2" a="1"/>
  <c r="V373" i="2" s="1"/>
  <c r="V374" i="2" a="1"/>
  <c r="V374" i="2"/>
  <c r="V375" i="2" a="1"/>
  <c r="V375" i="2"/>
  <c r="V376" i="2" a="1"/>
  <c r="V376" i="2"/>
  <c r="V377" i="2" a="1"/>
  <c r="V377" i="2" s="1"/>
  <c r="V378" i="2" a="1"/>
  <c r="V378" i="2"/>
  <c r="V379" i="2" a="1"/>
  <c r="V379" i="2" s="1"/>
  <c r="V380" i="2" a="1"/>
  <c r="V380" i="2"/>
  <c r="V381" i="2" a="1"/>
  <c r="V381" i="2"/>
  <c r="V382" i="2" a="1"/>
  <c r="V382" i="2"/>
  <c r="V383" i="2" a="1"/>
  <c r="V383" i="2"/>
  <c r="V384" i="2" a="1"/>
  <c r="V384" i="2" s="1"/>
  <c r="V385" i="2" a="1"/>
  <c r="V385" i="2" s="1"/>
  <c r="V386" i="2" a="1"/>
  <c r="V386" i="2"/>
  <c r="V387" i="2" a="1"/>
  <c r="V387" i="2"/>
  <c r="V388" i="2" a="1"/>
  <c r="V388" i="2" s="1"/>
  <c r="V389" i="2" a="1"/>
  <c r="V389" i="2" s="1"/>
  <c r="V390" i="2" a="1"/>
  <c r="V390" i="2"/>
  <c r="V391" i="2" a="1"/>
  <c r="V391" i="2"/>
  <c r="V392" i="2" a="1"/>
  <c r="V392" i="2"/>
  <c r="V393" i="2" a="1"/>
  <c r="V393" i="2" s="1"/>
  <c r="V394" i="2" a="1"/>
  <c r="V394" i="2" s="1"/>
  <c r="V395" i="2" a="1"/>
  <c r="V395" i="2"/>
  <c r="V396" i="2" a="1"/>
  <c r="V396" i="2"/>
  <c r="V397" i="2" a="1"/>
  <c r="V397" i="2"/>
  <c r="V398" i="2" a="1"/>
  <c r="V398" i="2" s="1"/>
  <c r="V399" i="2" a="1"/>
  <c r="V399" i="2" s="1"/>
  <c r="V400" i="2" a="1"/>
  <c r="V400" i="2"/>
  <c r="V401" i="2" a="1"/>
  <c r="V401" i="2"/>
  <c r="V402" i="2" a="1"/>
  <c r="V402" i="2"/>
  <c r="V403" i="2" a="1"/>
  <c r="V403" i="2"/>
  <c r="V404" i="2" a="1"/>
  <c r="V404" i="2"/>
  <c r="V405" i="2" a="1"/>
  <c r="V405" i="2" s="1"/>
  <c r="V406" i="2" a="1"/>
  <c r="V406" i="2" s="1"/>
  <c r="V407" i="2" a="1"/>
  <c r="V407" i="2"/>
  <c r="V408" i="2" a="1"/>
  <c r="V408" i="2"/>
  <c r="V409" i="2" a="1"/>
  <c r="V409" i="2" s="1"/>
  <c r="V410" i="2" a="1"/>
  <c r="V410" i="2"/>
  <c r="V411" i="2" a="1"/>
  <c r="V411" i="2"/>
  <c r="V412" i="2" a="1"/>
  <c r="V412" i="2"/>
  <c r="V413" i="2" a="1"/>
  <c r="V413" i="2"/>
  <c r="V414" i="2" a="1"/>
  <c r="V414" i="2" s="1"/>
  <c r="V415" i="2" a="1"/>
  <c r="V415" i="2" s="1"/>
  <c r="V416" i="2" a="1"/>
  <c r="V416" i="2"/>
  <c r="V417" i="2" a="1"/>
  <c r="V417" i="2"/>
  <c r="V418" i="2" a="1"/>
  <c r="V418" i="2"/>
  <c r="V419" i="2" a="1"/>
  <c r="V419" i="2" s="1"/>
  <c r="V420" i="2" a="1"/>
  <c r="V420" i="2" s="1"/>
  <c r="V421" i="2" a="1"/>
  <c r="V421" i="2"/>
  <c r="V422" i="2" a="1"/>
  <c r="V422" i="2"/>
  <c r="V423" i="2" a="1"/>
  <c r="V423" i="2"/>
  <c r="V424" i="2" a="1"/>
  <c r="V424" i="2"/>
  <c r="V425" i="2" a="1"/>
  <c r="V425" i="2" s="1"/>
  <c r="V426" i="2" a="1"/>
  <c r="V426" i="2" s="1"/>
  <c r="V427" i="2" a="1"/>
  <c r="V427" i="2" s="1"/>
  <c r="V428" i="2" a="1"/>
  <c r="V428" i="2"/>
  <c r="V429" i="2" a="1"/>
  <c r="V429" i="2" s="1"/>
  <c r="V430" i="2" a="1"/>
  <c r="V430" i="2" s="1"/>
  <c r="V431" i="2" a="1"/>
  <c r="V431" i="2"/>
  <c r="V432" i="2" a="1"/>
  <c r="V432" i="2"/>
  <c r="V433" i="2" a="1"/>
  <c r="V433" i="2"/>
  <c r="V434" i="2" a="1"/>
  <c r="V434" i="2"/>
  <c r="V435" i="2" a="1"/>
  <c r="V435" i="2" s="1"/>
  <c r="V436" i="2" a="1"/>
  <c r="V436" i="2" s="1"/>
  <c r="V437" i="2" a="1"/>
  <c r="V437" i="2"/>
  <c r="V438" i="2" a="1"/>
  <c r="V438" i="2"/>
  <c r="V439" i="2" a="1"/>
  <c r="V439" i="2" s="1"/>
  <c r="V440" i="2" a="1"/>
  <c r="V440" i="2"/>
  <c r="V441" i="2" a="1"/>
  <c r="V441" i="2" s="1"/>
  <c r="V442" i="2" a="1"/>
  <c r="V442" i="2"/>
  <c r="V443" i="2" a="1"/>
  <c r="V443" i="2"/>
  <c r="V444" i="2" a="1"/>
  <c r="V444" i="2"/>
  <c r="V445" i="2" a="1"/>
  <c r="V445" i="2"/>
  <c r="V446" i="2" a="1"/>
  <c r="V446" i="2"/>
  <c r="V447" i="2" a="1"/>
  <c r="V447" i="2" s="1"/>
  <c r="V448" i="2" a="1"/>
  <c r="V448" i="2" s="1"/>
  <c r="V449" i="2" a="1"/>
  <c r="V449" i="2" s="1"/>
  <c r="V450" i="2" a="1"/>
  <c r="V450" i="2"/>
  <c r="V451" i="2" a="1"/>
  <c r="V451" i="2" s="1"/>
  <c r="V452" i="2" a="1"/>
  <c r="V452" i="2"/>
  <c r="V453" i="2" a="1"/>
  <c r="V453" i="2"/>
  <c r="V454" i="2" a="1"/>
  <c r="V454" i="2"/>
  <c r="V455" i="2" a="1"/>
  <c r="V455" i="2"/>
  <c r="V456" i="2" a="1"/>
  <c r="V456" i="2" s="1"/>
  <c r="V457" i="2" a="1"/>
  <c r="V457" i="2" s="1"/>
  <c r="V458" i="2" a="1"/>
  <c r="V458" i="2"/>
  <c r="V459" i="2" a="1"/>
  <c r="V459" i="2" s="1"/>
  <c r="V460" i="2" a="1"/>
  <c r="V460" i="2"/>
  <c r="V461" i="2" a="1"/>
  <c r="V461" i="2"/>
  <c r="V462" i="2" a="1"/>
  <c r="V462" i="2" s="1"/>
  <c r="V463" i="2" a="1"/>
  <c r="V463" i="2"/>
  <c r="V464" i="2" a="1"/>
  <c r="V464" i="2"/>
  <c r="V465" i="2" a="1"/>
  <c r="V465" i="2"/>
  <c r="V466" i="2" a="1"/>
  <c r="V466" i="2"/>
  <c r="V467" i="2" a="1"/>
  <c r="V467" i="2"/>
  <c r="V468" i="2" a="1"/>
  <c r="V468" i="2" s="1"/>
  <c r="V469" i="2" a="1"/>
  <c r="V469" i="2" s="1"/>
  <c r="V470" i="2" a="1"/>
  <c r="V470" i="2"/>
  <c r="V471" i="2" a="1"/>
  <c r="V471" i="2"/>
  <c r="V472" i="2" a="1"/>
  <c r="V472" i="2" s="1"/>
  <c r="V473" i="2" a="1"/>
  <c r="V473" i="2"/>
  <c r="V474" i="2" a="1"/>
  <c r="V474" i="2"/>
  <c r="V475" i="2" a="1"/>
  <c r="V475" i="2"/>
  <c r="V476" i="2" a="1"/>
  <c r="V476" i="2"/>
  <c r="V477" i="2" a="1"/>
  <c r="V477" i="2" s="1"/>
  <c r="V478" i="2" a="1"/>
  <c r="V478" i="2" s="1"/>
  <c r="V479" i="2" a="1"/>
  <c r="V479" i="2" s="1"/>
  <c r="V480" i="2" a="1"/>
  <c r="V480" i="2" s="1"/>
  <c r="V481" i="2" a="1"/>
  <c r="V481" i="2"/>
  <c r="V482" i="2" a="1"/>
  <c r="V482" i="2"/>
  <c r="V483" i="2" a="1"/>
  <c r="V483" i="2" s="1"/>
  <c r="V484" i="2" a="1"/>
  <c r="V484" i="2"/>
  <c r="V485" i="2" a="1"/>
  <c r="V485" i="2"/>
  <c r="V486" i="2" a="1"/>
  <c r="V486" i="2"/>
  <c r="V487" i="2" a="1"/>
  <c r="V487" i="2"/>
  <c r="V488" i="2" a="1"/>
  <c r="V488" i="2" s="1"/>
  <c r="V489" i="2" a="1"/>
  <c r="V489" i="2" s="1"/>
  <c r="V490" i="2" a="1"/>
  <c r="V490" i="2"/>
  <c r="V491" i="2" a="1"/>
  <c r="V491" i="2"/>
  <c r="V492" i="2" a="1"/>
  <c r="V492" i="2"/>
  <c r="V493" i="2" a="1"/>
  <c r="V493" i="2" s="1"/>
  <c r="V494" i="2" a="1"/>
  <c r="V494" i="2"/>
  <c r="V495" i="2" a="1"/>
  <c r="V495" i="2"/>
  <c r="V496" i="2" a="1"/>
  <c r="V496" i="2"/>
  <c r="V497" i="2" a="1"/>
  <c r="V497" i="2"/>
  <c r="V498" i="2" a="1"/>
  <c r="V498" i="2" s="1"/>
  <c r="V499" i="2" a="1"/>
  <c r="V499" i="2" s="1"/>
  <c r="V500" i="2" a="1"/>
  <c r="V500" i="2" s="1"/>
  <c r="V501" i="2" a="1"/>
  <c r="V501" i="2" s="1"/>
  <c r="V502" i="2" a="1"/>
  <c r="V502" i="2"/>
  <c r="V503" i="2" a="1"/>
  <c r="V503" i="2"/>
  <c r="V504" i="2" a="1"/>
  <c r="V504" i="2" s="1"/>
  <c r="V505" i="2" a="1"/>
  <c r="V505" i="2"/>
  <c r="V506" i="2" a="1"/>
  <c r="V506" i="2"/>
  <c r="V507" i="2" a="1"/>
  <c r="V507" i="2"/>
  <c r="V508" i="2" a="1"/>
  <c r="V508" i="2"/>
  <c r="V509" i="2" a="1"/>
  <c r="V509" i="2" s="1"/>
  <c r="V510" i="2" a="1"/>
  <c r="V510" i="2" s="1"/>
  <c r="V511" i="2" a="1"/>
  <c r="V511" i="2"/>
  <c r="V512" i="2" a="1"/>
  <c r="V512" i="2"/>
  <c r="V513" i="2" a="1"/>
  <c r="V513" i="2"/>
  <c r="V514" i="2" a="1"/>
  <c r="V514" i="2" s="1"/>
  <c r="V515" i="2" a="1"/>
  <c r="V515" i="2"/>
  <c r="V516" i="2" a="1"/>
  <c r="V516" i="2"/>
  <c r="V517" i="2" a="1"/>
  <c r="V517" i="2"/>
  <c r="V518" i="2" a="1"/>
  <c r="V518" i="2"/>
  <c r="V519" i="2" a="1"/>
  <c r="V519" i="2" s="1"/>
  <c r="V520" i="2" a="1"/>
  <c r="V520" i="2" s="1"/>
  <c r="V521" i="2" a="1"/>
  <c r="V521" i="2" s="1"/>
  <c r="V522" i="2" a="1"/>
  <c r="V522" i="2" s="1"/>
  <c r="V523" i="2" a="1"/>
  <c r="V523" i="2"/>
  <c r="V524" i="2" a="1"/>
  <c r="V524" i="2"/>
  <c r="V525" i="2" a="1"/>
  <c r="V525" i="2" s="1"/>
  <c r="V526" i="2" a="1"/>
  <c r="V526" i="2"/>
  <c r="V527" i="2" a="1"/>
  <c r="V527" i="2"/>
  <c r="V528" i="2" a="1"/>
  <c r="V528" i="2"/>
  <c r="V529" i="2" a="1"/>
  <c r="V529" i="2" s="1"/>
  <c r="V530" i="2" a="1"/>
  <c r="V530" i="2" s="1"/>
  <c r="V531" i="2" a="1"/>
  <c r="V531" i="2" s="1"/>
  <c r="V532" i="2" a="1"/>
  <c r="V532" i="2"/>
  <c r="V533" i="2" a="1"/>
  <c r="V533" i="2"/>
  <c r="V534" i="2" a="1"/>
  <c r="V534" i="2"/>
  <c r="V535" i="2" a="1"/>
  <c r="V535" i="2" s="1"/>
  <c r="V536" i="2" a="1"/>
  <c r="V536" i="2"/>
  <c r="V537" i="2" a="1"/>
  <c r="V537" i="2"/>
  <c r="V538" i="2" a="1"/>
  <c r="V538" i="2"/>
  <c r="V539" i="2" a="1"/>
  <c r="V539" i="2" s="1"/>
  <c r="V540" i="2" a="1"/>
  <c r="V540" i="2"/>
  <c r="V541" i="2" a="1"/>
  <c r="V541" i="2" s="1"/>
  <c r="V542" i="2" a="1"/>
  <c r="V542" i="2" s="1"/>
  <c r="V543" i="2" a="1"/>
  <c r="V543" i="2" s="1"/>
  <c r="V544" i="2" a="1"/>
  <c r="V544" i="2"/>
  <c r="V545" i="2" a="1"/>
  <c r="V545" i="2"/>
  <c r="V546" i="2" a="1"/>
  <c r="V546" i="2" s="1"/>
  <c r="V547" i="2" a="1"/>
  <c r="V547" i="2"/>
  <c r="V548" i="2" a="1"/>
  <c r="V548" i="2"/>
  <c r="V549" i="2" a="1"/>
  <c r="V549" i="2" s="1"/>
  <c r="V550" i="2" a="1"/>
  <c r="V550" i="2"/>
  <c r="V551" i="2" a="1"/>
  <c r="V551" i="2" s="1"/>
  <c r="V552" i="2" a="1"/>
  <c r="V552" i="2" s="1"/>
  <c r="V553" i="2" a="1"/>
  <c r="V553" i="2"/>
  <c r="V554" i="2" a="1"/>
  <c r="V554" i="2"/>
  <c r="V555" i="2" a="1"/>
  <c r="V555" i="2"/>
  <c r="V556" i="2" a="1"/>
  <c r="V556" i="2" s="1"/>
  <c r="V557" i="2" a="1"/>
  <c r="V557" i="2"/>
  <c r="V558" i="2" a="1"/>
  <c r="V558" i="2"/>
  <c r="V559" i="2" a="1"/>
  <c r="V559" i="2" s="1"/>
  <c r="V560" i="2" a="1"/>
  <c r="V560" i="2"/>
  <c r="V561" i="2" a="1"/>
  <c r="V561" i="2"/>
  <c r="V562" i="2" a="1"/>
  <c r="V562" i="2" s="1"/>
  <c r="V563" i="2" a="1"/>
  <c r="V563" i="2" s="1"/>
  <c r="V564" i="2" a="1"/>
  <c r="V564" i="2" s="1"/>
  <c r="V565" i="2" a="1"/>
  <c r="V565" i="2"/>
  <c r="V566" i="2" a="1"/>
  <c r="V566" i="2"/>
  <c r="V567" i="2" a="1"/>
  <c r="V567" i="2" s="1"/>
  <c r="V568" i="2" a="1"/>
  <c r="V568" i="2"/>
  <c r="V569" i="2" a="1"/>
  <c r="V569" i="2" s="1"/>
  <c r="V570" i="2" a="1"/>
  <c r="V570" i="2"/>
  <c r="V571" i="2" a="1"/>
  <c r="V571" i="2"/>
  <c r="V572" i="2" a="1"/>
  <c r="V572" i="2" s="1"/>
  <c r="V573" i="2" a="1"/>
  <c r="V573" i="2" s="1"/>
  <c r="V574" i="2" a="1"/>
  <c r="V574" i="2"/>
  <c r="V575" i="2" a="1"/>
  <c r="V575" i="2"/>
  <c r="V576" i="2" a="1"/>
  <c r="V576" i="2"/>
  <c r="V577" i="2" a="1"/>
  <c r="V577" i="2" s="1"/>
  <c r="V578" i="2" a="1"/>
  <c r="V578" i="2"/>
  <c r="V579" i="2" a="1"/>
  <c r="V579" i="2" s="1"/>
  <c r="V580" i="2" a="1"/>
  <c r="V580" i="2"/>
  <c r="V581" i="2" a="1"/>
  <c r="V581" i="2"/>
  <c r="V582" i="2" a="1"/>
  <c r="V582" i="2"/>
  <c r="V583" i="2" a="1"/>
  <c r="V583" i="2" s="1"/>
  <c r="V584" i="2" a="1"/>
  <c r="V584" i="2" s="1"/>
  <c r="V585" i="2" a="1"/>
  <c r="V585" i="2" s="1"/>
  <c r="V586" i="2" a="1"/>
  <c r="V586" i="2"/>
  <c r="V587" i="2" a="1"/>
  <c r="V587" i="2"/>
  <c r="V588" i="2" a="1"/>
  <c r="V588" i="2" s="1"/>
  <c r="V589" i="2" a="1"/>
  <c r="V589" i="2" s="1"/>
  <c r="V590" i="2" a="1"/>
  <c r="V590" i="2"/>
  <c r="V591" i="2" a="1"/>
  <c r="V591" i="2"/>
  <c r="V592" i="2" a="1"/>
  <c r="V592" i="2"/>
  <c r="V593" i="2" a="1"/>
  <c r="V593" i="2" s="1"/>
  <c r="V594" i="2" a="1"/>
  <c r="V594" i="2" s="1"/>
  <c r="V595" i="2" a="1"/>
  <c r="V595" i="2"/>
  <c r="V596" i="2" a="1"/>
  <c r="V596" i="2"/>
  <c r="V597" i="2" a="1"/>
  <c r="V597" i="2"/>
  <c r="V598" i="2" a="1"/>
  <c r="V598" i="2" s="1"/>
  <c r="V599" i="2" a="1"/>
  <c r="V599" i="2" s="1"/>
  <c r="V600" i="2" a="1"/>
  <c r="V600" i="2"/>
  <c r="V601" i="2" a="1"/>
  <c r="V601" i="2"/>
  <c r="V602" i="2" a="1"/>
  <c r="V602" i="2"/>
  <c r="V603" i="2" a="1"/>
  <c r="V603" i="2"/>
  <c r="V604" i="2" a="1"/>
  <c r="V604" i="2" s="1"/>
  <c r="V605" i="2" a="1"/>
  <c r="V605" i="2" s="1"/>
  <c r="V606" i="2" a="1"/>
  <c r="V606" i="2" s="1"/>
  <c r="V607" i="2" a="1"/>
  <c r="V607" i="2"/>
  <c r="V608" i="2" a="1"/>
  <c r="V608" i="2"/>
  <c r="V609" i="2" a="1"/>
  <c r="V609" i="2" s="1"/>
  <c r="V610" i="2" a="1"/>
  <c r="V610" i="2"/>
  <c r="V611" i="2" a="1"/>
  <c r="V611" i="2"/>
  <c r="V612" i="2" a="1"/>
  <c r="V612" i="2"/>
  <c r="V613" i="2" a="1"/>
  <c r="V613" i="2"/>
  <c r="V614" i="2" a="1"/>
  <c r="V614" i="2" s="1"/>
  <c r="V615" i="2" a="1"/>
  <c r="V615" i="2" s="1"/>
  <c r="V616" i="2" a="1"/>
  <c r="V616" i="2"/>
  <c r="V617" i="2" a="1"/>
  <c r="V617" i="2"/>
  <c r="V618" i="2" a="1"/>
  <c r="V618" i="2"/>
  <c r="V619" i="2" a="1"/>
  <c r="V619" i="2" s="1"/>
  <c r="V620" i="2" a="1"/>
  <c r="V620" i="2" s="1"/>
  <c r="V621" i="2" a="1"/>
  <c r="V621" i="2"/>
  <c r="V622" i="2" a="1"/>
  <c r="V622" i="2"/>
  <c r="V623" i="2" a="1"/>
  <c r="V623" i="2"/>
  <c r="V624" i="2" a="1"/>
  <c r="V624" i="2"/>
  <c r="V625" i="2" a="1"/>
  <c r="V625" i="2"/>
  <c r="V626" i="2" a="1"/>
  <c r="V626" i="2" s="1"/>
  <c r="V627" i="2" a="1"/>
  <c r="V627" i="2" s="1"/>
  <c r="V628" i="2" a="1"/>
  <c r="V628" i="2"/>
  <c r="V629" i="2" a="1"/>
  <c r="V629" i="2" s="1"/>
  <c r="V630" i="2" a="1"/>
  <c r="V630" i="2" s="1"/>
  <c r="V631" i="2" a="1"/>
  <c r="V631" i="2"/>
  <c r="V632" i="2" a="1"/>
  <c r="V632" i="2"/>
  <c r="V633" i="2" a="1"/>
  <c r="V633" i="2"/>
  <c r="V634" i="2" a="1"/>
  <c r="V634" i="2"/>
  <c r="V635" i="2" a="1"/>
  <c r="V635" i="2" s="1"/>
  <c r="V636" i="2" a="1"/>
  <c r="V636" i="2" s="1"/>
  <c r="V637" i="2" a="1"/>
  <c r="V637" i="2"/>
  <c r="V638" i="2" a="1"/>
  <c r="V638" i="2"/>
  <c r="V639" i="2" a="1"/>
  <c r="V639" i="2" s="1"/>
  <c r="V640" i="2" a="1"/>
  <c r="V640" i="2"/>
  <c r="V641" i="2" a="1"/>
  <c r="V641" i="2" s="1"/>
  <c r="V642" i="2" a="1"/>
  <c r="V642" i="2"/>
  <c r="V643" i="2" a="1"/>
  <c r="V643" i="2"/>
  <c r="V644" i="2" a="1"/>
  <c r="V644" i="2"/>
  <c r="V645" i="2" a="1"/>
  <c r="V645" i="2"/>
  <c r="V646" i="2" a="1"/>
  <c r="V646" i="2"/>
  <c r="V647" i="2" a="1"/>
  <c r="V647" i="2" s="1"/>
  <c r="V648" i="2" a="1"/>
  <c r="V648" i="2" s="1"/>
  <c r="V649" i="2" a="1"/>
  <c r="V649" i="2" s="1"/>
  <c r="V650" i="2" a="1"/>
  <c r="V650" i="2"/>
  <c r="V651" i="2" a="1"/>
  <c r="V651" i="2" s="1"/>
  <c r="V652" i="2" a="1"/>
  <c r="V652" i="2"/>
  <c r="V653" i="2" a="1"/>
  <c r="V653" i="2"/>
  <c r="V654" i="2" a="1"/>
  <c r="V654" i="2"/>
  <c r="V655" i="2" a="1"/>
  <c r="V655" i="2"/>
  <c r="V656" i="2" a="1"/>
  <c r="V656" i="2" s="1"/>
  <c r="V657" i="2" a="1"/>
  <c r="V657" i="2" s="1"/>
  <c r="V658" i="2" a="1"/>
  <c r="V658" i="2"/>
  <c r="V659" i="2" a="1"/>
  <c r="V659" i="2" s="1"/>
  <c r="V660" i="2" a="1"/>
  <c r="V660" i="2"/>
  <c r="V661" i="2" a="1"/>
  <c r="V661" i="2"/>
  <c r="V662" i="2" a="1"/>
  <c r="V662" i="2" s="1"/>
  <c r="V663" i="2" a="1"/>
  <c r="V663" i="2"/>
  <c r="V664" i="2" a="1"/>
  <c r="V664" i="2"/>
  <c r="V665" i="2" a="1"/>
  <c r="V665" i="2"/>
  <c r="V666" i="2" a="1"/>
  <c r="V666" i="2"/>
  <c r="V667" i="2" a="1"/>
  <c r="V667" i="2" s="1"/>
  <c r="V668" i="2" a="1"/>
  <c r="V668" i="2" s="1"/>
  <c r="V669" i="2" a="1"/>
  <c r="V669" i="2" s="1"/>
  <c r="V670" i="2" a="1"/>
  <c r="V670" i="2"/>
  <c r="V671" i="2" a="1"/>
  <c r="V671" i="2"/>
  <c r="V672" i="2" a="1"/>
  <c r="V672" i="2" s="1"/>
  <c r="V673" i="2" a="1"/>
  <c r="V673" i="2"/>
  <c r="V674" i="2" a="1"/>
  <c r="V674" i="2"/>
  <c r="V675" i="2" a="1"/>
  <c r="V675" i="2"/>
  <c r="V676" i="2" a="1"/>
  <c r="V676" i="2"/>
  <c r="V677" i="2" a="1"/>
  <c r="V677" i="2" s="1"/>
  <c r="V678" i="2" a="1"/>
  <c r="V678" i="2" s="1"/>
  <c r="V679" i="2" a="1"/>
  <c r="V679" i="2" s="1"/>
  <c r="V680" i="2" a="1"/>
  <c r="V680" i="2" s="1"/>
  <c r="V681" i="2" a="1"/>
  <c r="V681" i="2"/>
  <c r="V682" i="2" a="1"/>
  <c r="V682" i="2"/>
  <c r="V683" i="2" a="1"/>
  <c r="V683" i="2" s="1"/>
  <c r="V684" i="2" a="1"/>
  <c r="V684" i="2"/>
  <c r="V685" i="2" a="1"/>
  <c r="V685" i="2"/>
  <c r="V686" i="2" a="1"/>
  <c r="V686" i="2"/>
  <c r="V687" i="2" a="1"/>
  <c r="V687" i="2"/>
  <c r="V688" i="2" a="1"/>
  <c r="V688" i="2" s="1"/>
  <c r="V689" i="2" a="1"/>
  <c r="V689" i="2" s="1"/>
  <c r="V690" i="2" a="1"/>
  <c r="V690" i="2"/>
  <c r="V691" i="2" a="1"/>
  <c r="V691" i="2"/>
  <c r="V692" i="2" a="1"/>
  <c r="V692" i="2"/>
  <c r="V693" i="2" a="1"/>
  <c r="V693" i="2" s="1"/>
  <c r="V694" i="2" a="1"/>
  <c r="V694" i="2"/>
  <c r="V695" i="2" a="1"/>
  <c r="V695" i="2"/>
  <c r="V696" i="2" a="1"/>
  <c r="V696" i="2"/>
  <c r="V697" i="2" a="1"/>
  <c r="V697" i="2"/>
  <c r="V698" i="2" a="1"/>
  <c r="V698" i="2" s="1"/>
  <c r="V699" i="2" a="1"/>
  <c r="V699" i="2" s="1"/>
  <c r="V700" i="2" a="1"/>
  <c r="V700" i="2"/>
  <c r="V701" i="2" a="1"/>
  <c r="V701" i="2" s="1"/>
  <c r="V702" i="2" a="1"/>
  <c r="V702" i="2"/>
  <c r="V703" i="2" a="1"/>
  <c r="V703" i="2"/>
  <c r="V704" i="2" a="1"/>
  <c r="V704" i="2" s="1"/>
  <c r="V705" i="2" a="1"/>
  <c r="V705" i="2"/>
  <c r="V706" i="2" a="1"/>
  <c r="V706" i="2"/>
  <c r="V707" i="2" a="1"/>
  <c r="V707" i="2"/>
  <c r="V708" i="2" a="1"/>
  <c r="V708" i="2"/>
  <c r="V709" i="2" a="1"/>
  <c r="V709" i="2" s="1"/>
  <c r="V710" i="2" a="1"/>
  <c r="V710" i="2" s="1"/>
  <c r="V711" i="2" a="1"/>
  <c r="V711" i="2"/>
  <c r="V712" i="2" a="1"/>
  <c r="V712" i="2"/>
  <c r="V713" i="2" a="1"/>
  <c r="V713" i="2"/>
  <c r="V714" i="2" a="1"/>
  <c r="V714" i="2" s="1"/>
  <c r="V715" i="2" a="1"/>
  <c r="V715" i="2"/>
  <c r="V716" i="2" a="1"/>
  <c r="V716" i="2"/>
  <c r="V717" i="2" a="1"/>
  <c r="V717" i="2"/>
  <c r="V718" i="2" a="1"/>
  <c r="V718" i="2"/>
  <c r="V719" i="2" a="1"/>
  <c r="V719" i="2" s="1"/>
  <c r="V720" i="2" a="1"/>
  <c r="V720" i="2" s="1"/>
  <c r="V721" i="2" a="1"/>
  <c r="V721" i="2"/>
  <c r="V722" i="2" a="1"/>
  <c r="V722" i="2" s="1"/>
  <c r="V723" i="2" a="1"/>
  <c r="V723" i="2"/>
  <c r="V724" i="2" a="1"/>
  <c r="V724" i="2"/>
  <c r="V725" i="2" a="1"/>
  <c r="V725" i="2" s="1"/>
  <c r="V726" i="2" a="1"/>
  <c r="V726" i="2"/>
  <c r="V727" i="2" a="1"/>
  <c r="V727" i="2"/>
  <c r="V728" i="2" a="1"/>
  <c r="V728" i="2"/>
  <c r="V729" i="2" a="1"/>
  <c r="V729" i="2" s="1"/>
  <c r="V730" i="2" a="1"/>
  <c r="V730" i="2" s="1"/>
  <c r="V731" i="2" a="1"/>
  <c r="V731" i="2" s="1"/>
  <c r="V732" i="2" a="1"/>
  <c r="V732" i="2"/>
  <c r="V733" i="2" a="1"/>
  <c r="V733" i="2"/>
  <c r="V734" i="2" a="1"/>
  <c r="V734" i="2"/>
  <c r="V735" i="2" a="1"/>
  <c r="V735" i="2" s="1"/>
  <c r="V736" i="2" a="1"/>
  <c r="V736" i="2"/>
  <c r="V737" i="2" a="1"/>
  <c r="V737" i="2"/>
  <c r="V738" i="2" a="1"/>
  <c r="V738" i="2"/>
  <c r="V739" i="2" a="1"/>
  <c r="V739" i="2" s="1"/>
  <c r="V740" i="2" a="1"/>
  <c r="V740" i="2"/>
  <c r="V741" i="2" a="1"/>
  <c r="V741" i="2" s="1"/>
  <c r="V742" i="2" a="1"/>
  <c r="V742" i="2"/>
  <c r="V743" i="2" a="1"/>
  <c r="V743" i="2" s="1"/>
  <c r="V744" i="2" a="1"/>
  <c r="V744" i="2"/>
  <c r="V745" i="2" a="1"/>
  <c r="V745" i="2"/>
  <c r="V746" i="2" a="1"/>
  <c r="V746" i="2" s="1"/>
  <c r="V747" i="2" a="1"/>
  <c r="V747" i="2"/>
  <c r="V748" i="2" a="1"/>
  <c r="V748" i="2"/>
  <c r="V749" i="2" a="1"/>
  <c r="V749" i="2" s="1"/>
  <c r="V750" i="2" a="1"/>
  <c r="V750" i="2"/>
  <c r="V751" i="2" a="1"/>
  <c r="V751" i="2" s="1"/>
  <c r="V752" i="2" a="1"/>
  <c r="V752" i="2" s="1"/>
  <c r="V753" i="2" a="1"/>
  <c r="V753" i="2"/>
  <c r="V754" i="2" a="1"/>
  <c r="V754" i="2"/>
  <c r="V755" i="2" a="1"/>
  <c r="V755" i="2"/>
  <c r="V756" i="2" a="1"/>
  <c r="V756" i="2" s="1"/>
  <c r="V757" i="2" a="1"/>
  <c r="V757" i="2"/>
  <c r="V758" i="2" a="1"/>
  <c r="V758" i="2"/>
  <c r="V759" i="2" a="1"/>
  <c r="V759" i="2" s="1"/>
  <c r="V760" i="2" a="1"/>
  <c r="V760" i="2"/>
  <c r="V761" i="2" a="1"/>
  <c r="V761" i="2"/>
  <c r="V762" i="2" a="1"/>
  <c r="V762" i="2" s="1"/>
  <c r="V763" i="2" a="1"/>
  <c r="V763" i="2"/>
  <c r="V764" i="2" a="1"/>
  <c r="V764" i="2" s="1"/>
  <c r="V765" i="2" a="1"/>
  <c r="V765" i="2"/>
  <c r="V766" i="2" a="1"/>
  <c r="V766" i="2"/>
  <c r="V767" i="2" a="1"/>
  <c r="V767" i="2" s="1"/>
  <c r="V768" i="2" a="1"/>
  <c r="V768" i="2"/>
  <c r="V769" i="2" a="1"/>
  <c r="V769" i="2" s="1"/>
  <c r="V770" i="2" a="1"/>
  <c r="V770" i="2"/>
  <c r="V771" i="2" a="1"/>
  <c r="V771" i="2"/>
  <c r="V772" i="2" a="1"/>
  <c r="V772" i="2" s="1"/>
  <c r="V773" i="2" a="1"/>
  <c r="V773" i="2" s="1"/>
  <c r="V774" i="2" a="1"/>
  <c r="V774" i="2"/>
  <c r="V775" i="2" a="1"/>
  <c r="V775" i="2"/>
  <c r="V776" i="2" a="1"/>
  <c r="V776" i="2"/>
  <c r="V777" i="2" a="1"/>
  <c r="V777" i="2" s="1"/>
  <c r="V778" i="2" a="1"/>
  <c r="V778" i="2"/>
  <c r="V779" i="2" a="1"/>
  <c r="V779" i="2" s="1"/>
  <c r="V780" i="2" a="1"/>
  <c r="V780" i="2"/>
  <c r="V781" i="2" a="1"/>
  <c r="V781" i="2"/>
  <c r="V782" i="2" a="1"/>
  <c r="V782" i="2"/>
  <c r="V783" i="2" a="1"/>
  <c r="V783" i="2" s="1"/>
  <c r="V784" i="2" a="1"/>
  <c r="V784" i="2"/>
  <c r="V785" i="2" a="1"/>
  <c r="V785" i="2" s="1"/>
  <c r="V786" i="2" a="1"/>
  <c r="V786" i="2"/>
  <c r="V787" i="2" a="1"/>
  <c r="V787" i="2"/>
  <c r="V788" i="2" a="1"/>
  <c r="V788" i="2" s="1"/>
  <c r="V789" i="2" a="1"/>
  <c r="V789" i="2" s="1"/>
  <c r="V790" i="2" a="1"/>
  <c r="V790" i="2"/>
  <c r="V791" i="2" a="1"/>
  <c r="V791" i="2"/>
  <c r="V792" i="2" a="1"/>
  <c r="V792" i="2"/>
  <c r="V793" i="2" a="1"/>
  <c r="V793" i="2" s="1"/>
  <c r="V794" i="2" a="1"/>
  <c r="V794" i="2" s="1"/>
  <c r="V795" i="2" a="1"/>
  <c r="V795" i="2"/>
  <c r="V796" i="2" a="1"/>
  <c r="V796" i="2"/>
  <c r="V797" i="2" a="1"/>
  <c r="V797" i="2"/>
  <c r="V798" i="2" a="1"/>
  <c r="V798" i="2" s="1"/>
  <c r="V799" i="2" a="1"/>
  <c r="V799" i="2" s="1"/>
  <c r="V800" i="2" a="1"/>
  <c r="V800" i="2"/>
  <c r="V801" i="2" a="1"/>
  <c r="V801" i="2"/>
  <c r="V802" i="2" a="1"/>
  <c r="V802" i="2"/>
  <c r="V803" i="2" a="1"/>
  <c r="V803" i="2"/>
  <c r="V804" i="2" a="1"/>
  <c r="V804" i="2" s="1"/>
  <c r="V805" i="2" a="1"/>
  <c r="V805" i="2" s="1"/>
  <c r="V806" i="2" a="1"/>
  <c r="V806" i="2" s="1"/>
  <c r="V807" i="2" a="1"/>
  <c r="V807" i="2"/>
  <c r="V808" i="2" a="1"/>
  <c r="V808" i="2"/>
  <c r="V809" i="2" a="1"/>
  <c r="V809" i="2" s="1"/>
  <c r="V810" i="2" a="1"/>
  <c r="V810" i="2"/>
  <c r="V811" i="2" a="1"/>
  <c r="V811" i="2"/>
  <c r="V812" i="2" a="1"/>
  <c r="V812" i="2"/>
  <c r="V813" i="2" a="1"/>
  <c r="V813" i="2"/>
  <c r="V814" i="2" a="1"/>
  <c r="V814" i="2" s="1"/>
  <c r="V815" i="2" a="1"/>
  <c r="V815" i="2" s="1"/>
  <c r="V816" i="2" a="1"/>
  <c r="V816" i="2"/>
  <c r="V817" i="2" a="1"/>
  <c r="V817" i="2"/>
  <c r="V818" i="2" a="1"/>
  <c r="V818" i="2"/>
  <c r="V819" i="2" a="1"/>
  <c r="V819" i="2" s="1"/>
  <c r="V820" i="2" a="1"/>
  <c r="V820" i="2" s="1"/>
  <c r="V821" i="2" a="1"/>
  <c r="V821" i="2"/>
  <c r="V822" i="2" a="1"/>
  <c r="V822" i="2"/>
  <c r="V823" i="2" a="1"/>
  <c r="V823" i="2"/>
  <c r="V824" i="2" a="1"/>
  <c r="V824" i="2"/>
  <c r="V825" i="2" a="1"/>
  <c r="V825" i="2" s="1"/>
  <c r="V826" i="2" a="1"/>
  <c r="V826" i="2" s="1"/>
  <c r="V827" i="2" a="1"/>
  <c r="V827" i="2" s="1"/>
  <c r="V828" i="2" a="1"/>
  <c r="V828" i="2"/>
  <c r="V829" i="2" a="1"/>
  <c r="V829" i="2" s="1"/>
  <c r="V830" i="2" a="1"/>
  <c r="V830" i="2" s="1"/>
  <c r="V831" i="2" a="1"/>
  <c r="V831" i="2"/>
  <c r="V832" i="2" a="1"/>
  <c r="V832" i="2"/>
  <c r="V833" i="2" a="1"/>
  <c r="V833" i="2"/>
  <c r="V834" i="2" a="1"/>
  <c r="V834" i="2"/>
  <c r="V835" i="2" a="1"/>
  <c r="V835" i="2" s="1"/>
  <c r="V836" i="2" a="1"/>
  <c r="V836" i="2" s="1"/>
  <c r="V837" i="2" a="1"/>
  <c r="V837" i="2"/>
  <c r="V838" i="2" a="1"/>
  <c r="V838" i="2"/>
  <c r="V839" i="2" a="1"/>
  <c r="V839" i="2" s="1"/>
  <c r="V840" i="2" a="1"/>
  <c r="V840" i="2"/>
  <c r="V841" i="2" a="1"/>
  <c r="V841" i="2" s="1"/>
  <c r="V842" i="2" a="1"/>
  <c r="V842" i="2"/>
  <c r="V843" i="2" a="1"/>
  <c r="V843" i="2"/>
  <c r="V844" i="2" a="1"/>
  <c r="V844" i="2"/>
  <c r="V845" i="2" a="1"/>
  <c r="V845" i="2"/>
  <c r="V846" i="2" a="1"/>
  <c r="V846" i="2" s="1"/>
  <c r="V847" i="2" a="1"/>
  <c r="V847" i="2" s="1"/>
  <c r="V848" i="2" a="1"/>
  <c r="V848" i="2" s="1"/>
  <c r="V849" i="2" a="1"/>
  <c r="V849" i="2" s="1"/>
  <c r="V850" i="2" a="1"/>
  <c r="V850" i="2"/>
  <c r="V851" i="2" a="1"/>
  <c r="V851" i="2" s="1"/>
  <c r="V852" i="2" a="1"/>
  <c r="V852" i="2"/>
  <c r="V853" i="2" a="1"/>
  <c r="V853" i="2"/>
  <c r="V854" i="2" a="1"/>
  <c r="V854" i="2"/>
  <c r="V855" i="2" a="1"/>
  <c r="V855" i="2"/>
  <c r="V856" i="2" a="1"/>
  <c r="V856" i="2" s="1"/>
  <c r="V857" i="2" a="1"/>
  <c r="V857" i="2" s="1"/>
  <c r="V858" i="2" a="1"/>
  <c r="V858" i="2"/>
  <c r="V859" i="2" a="1"/>
  <c r="V859" i="2"/>
  <c r="V860" i="2" a="1"/>
  <c r="V860" i="2"/>
  <c r="V861" i="2" a="1"/>
  <c r="V861" i="2" s="1"/>
  <c r="V862" i="2" a="1"/>
  <c r="V862" i="2"/>
  <c r="V863" i="2" a="1"/>
  <c r="V863" i="2"/>
  <c r="V864" i="2" a="1"/>
  <c r="V864" i="2"/>
  <c r="V865" i="2" a="1"/>
  <c r="V865" i="2"/>
  <c r="V866" i="2" a="1"/>
  <c r="V866" i="2" s="1"/>
  <c r="V867" i="2" a="1"/>
  <c r="V867" i="2" s="1"/>
  <c r="V868" i="2" a="1"/>
  <c r="V868" i="2"/>
  <c r="V869" i="2" a="1"/>
  <c r="V869" i="2"/>
  <c r="V870" i="2" a="1"/>
  <c r="V870" i="2"/>
  <c r="V871" i="2" a="1"/>
  <c r="V871" i="2" s="1"/>
  <c r="V872" i="2" a="1"/>
  <c r="V872" i="2"/>
  <c r="V873" i="2" a="1"/>
  <c r="V873" i="2"/>
  <c r="V874" i="2" a="1"/>
  <c r="V874" i="2"/>
  <c r="V875" i="2" a="1"/>
  <c r="V875" i="2"/>
  <c r="V876" i="2" a="1"/>
  <c r="V876" i="2" s="1"/>
  <c r="V877" i="2" a="1"/>
  <c r="V877" i="2" s="1"/>
  <c r="V878" i="2" a="1"/>
  <c r="V878" i="2"/>
  <c r="V879" i="2" a="1"/>
  <c r="V879" i="2"/>
  <c r="V880" i="2" a="1"/>
  <c r="V880" i="2"/>
  <c r="V881" i="2" a="1"/>
  <c r="V881" i="2" s="1"/>
  <c r="V882" i="2" a="1"/>
  <c r="V882" i="2"/>
  <c r="V883" i="2" a="1"/>
  <c r="V883" i="2"/>
  <c r="V884" i="2" a="1"/>
  <c r="V884" i="2"/>
  <c r="V885" i="2" a="1"/>
  <c r="V885" i="2"/>
  <c r="V886" i="2" a="1"/>
  <c r="V886" i="2" s="1"/>
  <c r="V887" i="2" a="1"/>
  <c r="V887" i="2" s="1"/>
  <c r="V888" i="2" a="1"/>
  <c r="V888" i="2"/>
  <c r="V889" i="2" a="1"/>
  <c r="V889" i="2"/>
  <c r="V890" i="2" a="1"/>
  <c r="V890" i="2"/>
  <c r="V891" i="2" a="1"/>
  <c r="V891" i="2" s="1"/>
  <c r="V892" i="2" a="1"/>
  <c r="V892" i="2"/>
  <c r="V893" i="2" a="1"/>
  <c r="V893" i="2"/>
  <c r="V894" i="2" a="1"/>
  <c r="V894" i="2"/>
  <c r="V895" i="2" a="1"/>
  <c r="V895" i="2"/>
  <c r="V896" i="2" a="1"/>
  <c r="V896" i="2" s="1"/>
  <c r="V897" i="2" a="1"/>
  <c r="V897" i="2" s="1"/>
  <c r="V898" i="2" a="1"/>
  <c r="V898" i="2"/>
  <c r="V899" i="2" a="1"/>
  <c r="V899" i="2"/>
  <c r="V900" i="2" a="1"/>
  <c r="V900" i="2"/>
  <c r="V901" i="2" a="1"/>
  <c r="V901" i="2" s="1"/>
  <c r="V902" i="2" a="1"/>
  <c r="V902" i="2"/>
  <c r="V903" i="2" a="1"/>
  <c r="V903" i="2"/>
  <c r="V904" i="2" a="1"/>
  <c r="V904" i="2"/>
  <c r="V905" i="2" a="1"/>
  <c r="V905" i="2"/>
  <c r="V906" i="2" a="1"/>
  <c r="V906" i="2" s="1"/>
  <c r="V907" i="2" a="1"/>
  <c r="V907" i="2" s="1"/>
  <c r="V908" i="2" a="1"/>
  <c r="V908" i="2"/>
  <c r="V909" i="2" a="1"/>
  <c r="V909" i="2"/>
  <c r="V910" i="2" a="1"/>
  <c r="V910" i="2"/>
  <c r="V911" i="2" a="1"/>
  <c r="V911" i="2" s="1"/>
  <c r="V912" i="2" a="1"/>
  <c r="V912" i="2"/>
  <c r="V913" i="2" a="1"/>
  <c r="V913" i="2"/>
  <c r="V914" i="2" a="1"/>
  <c r="V914" i="2"/>
  <c r="V915" i="2" a="1"/>
  <c r="V915" i="2"/>
  <c r="V916" i="2" a="1"/>
  <c r="V916" i="2" s="1"/>
  <c r="V917" i="2" a="1"/>
  <c r="V917" i="2" s="1"/>
  <c r="V918" i="2" a="1"/>
  <c r="V918" i="2"/>
  <c r="V919" i="2" a="1"/>
  <c r="V919" i="2"/>
  <c r="V920" i="2" a="1"/>
  <c r="V920" i="2"/>
  <c r="V921" i="2" a="1"/>
  <c r="V921" i="2" s="1"/>
  <c r="V922" i="2" a="1"/>
  <c r="V922" i="2"/>
  <c r="V923" i="2" a="1"/>
  <c r="V923" i="2"/>
  <c r="V924" i="2" a="1"/>
  <c r="V924" i="2"/>
  <c r="V925" i="2" a="1"/>
  <c r="V925" i="2"/>
  <c r="V926" i="2" a="1"/>
  <c r="V926" i="2" s="1"/>
  <c r="V927" i="2" a="1"/>
  <c r="V927" i="2" s="1"/>
  <c r="V928" i="2" a="1"/>
  <c r="V928" i="2"/>
  <c r="V929" i="2" a="1"/>
  <c r="V929" i="2"/>
  <c r="V930" i="2" a="1"/>
  <c r="V930" i="2"/>
  <c r="V931" i="2" a="1"/>
  <c r="V931" i="2" s="1"/>
  <c r="V932" i="2" a="1"/>
  <c r="V932" i="2"/>
  <c r="V933" i="2" a="1"/>
  <c r="V933" i="2"/>
  <c r="V934" i="2" a="1"/>
  <c r="V934" i="2"/>
  <c r="V935" i="2" a="1"/>
  <c r="V935" i="2"/>
  <c r="V936" i="2" a="1"/>
  <c r="V936" i="2" s="1"/>
  <c r="V937" i="2" a="1"/>
  <c r="V937" i="2" s="1"/>
  <c r="V938" i="2" a="1"/>
  <c r="V938" i="2"/>
  <c r="V939" i="2" a="1"/>
  <c r="V939" i="2"/>
  <c r="V940" i="2" a="1"/>
  <c r="V940" i="2"/>
  <c r="V941" i="2" a="1"/>
  <c r="V941" i="2" s="1"/>
  <c r="V942" i="2" a="1"/>
  <c r="V942" i="2"/>
  <c r="V943" i="2" a="1"/>
  <c r="V943" i="2"/>
  <c r="V944" i="2" a="1"/>
  <c r="V944" i="2"/>
  <c r="V945" i="2" a="1"/>
  <c r="V945" i="2"/>
  <c r="V946" i="2" a="1"/>
  <c r="V946" i="2" s="1"/>
  <c r="V947" i="2" a="1"/>
  <c r="V947" i="2" s="1"/>
  <c r="V948" i="2" a="1"/>
  <c r="V948" i="2"/>
  <c r="V949" i="2" a="1"/>
  <c r="V949" i="2"/>
  <c r="V950" i="2" a="1"/>
  <c r="V950" i="2"/>
  <c r="V951" i="2" a="1"/>
  <c r="V951" i="2" s="1"/>
  <c r="V952" i="2" a="1"/>
  <c r="V952" i="2"/>
  <c r="V953" i="2" a="1"/>
  <c r="V953" i="2"/>
  <c r="V954" i="2" a="1"/>
  <c r="V954" i="2"/>
  <c r="V955" i="2" a="1"/>
  <c r="V955" i="2"/>
  <c r="V956" i="2" a="1"/>
  <c r="V956" i="2" s="1"/>
  <c r="V957" i="2" a="1"/>
  <c r="V957" i="2" s="1"/>
  <c r="V958" i="2" a="1"/>
  <c r="V958" i="2"/>
  <c r="V959" i="2" a="1"/>
  <c r="V959" i="2"/>
  <c r="V960" i="2" a="1"/>
  <c r="V960" i="2"/>
  <c r="V961" i="2" a="1"/>
  <c r="V961" i="2" s="1"/>
  <c r="V962" i="2" a="1"/>
  <c r="V962" i="2"/>
  <c r="V963" i="2" a="1"/>
  <c r="V963" i="2"/>
  <c r="V964" i="2" a="1"/>
  <c r="V964" i="2"/>
  <c r="V965" i="2" a="1"/>
  <c r="V965" i="2"/>
  <c r="V966" i="2" a="1"/>
  <c r="V966" i="2" s="1"/>
  <c r="V967" i="2" a="1"/>
  <c r="V967" i="2" s="1"/>
  <c r="V968" i="2" a="1"/>
  <c r="V968" i="2"/>
  <c r="V969" i="2" a="1"/>
  <c r="V969" i="2"/>
  <c r="V970" i="2" a="1"/>
  <c r="V970" i="2"/>
  <c r="V971" i="2" a="1"/>
  <c r="V971" i="2" s="1"/>
  <c r="V972" i="2" a="1"/>
  <c r="V972" i="2"/>
  <c r="V973" i="2" a="1"/>
  <c r="V973" i="2"/>
  <c r="V974" i="2" a="1"/>
  <c r="V974" i="2"/>
  <c r="V975" i="2" a="1"/>
  <c r="V975" i="2"/>
  <c r="V976" i="2" a="1"/>
  <c r="V976" i="2" s="1"/>
  <c r="V977" i="2" a="1"/>
  <c r="V977" i="2" s="1"/>
  <c r="V978" i="2" a="1"/>
  <c r="V978" i="2"/>
  <c r="V979" i="2" a="1"/>
  <c r="V979" i="2"/>
  <c r="V980" i="2" a="1"/>
  <c r="V980" i="2"/>
  <c r="V981" i="2" a="1"/>
  <c r="V981" i="2" s="1"/>
  <c r="V982" i="2" a="1"/>
  <c r="V982" i="2"/>
  <c r="V983" i="2" a="1"/>
  <c r="V983" i="2"/>
  <c r="V984" i="2" a="1"/>
  <c r="V984" i="2"/>
  <c r="V985" i="2" a="1"/>
  <c r="V985" i="2"/>
  <c r="V986" i="2" a="1"/>
  <c r="V986" i="2" s="1"/>
  <c r="V987" i="2" a="1"/>
  <c r="V987" i="2" s="1"/>
  <c r="V988" i="2" a="1"/>
  <c r="V988" i="2"/>
  <c r="V989" i="2" a="1"/>
  <c r="V989" i="2"/>
  <c r="V990" i="2" a="1"/>
  <c r="V990" i="2"/>
  <c r="V991" i="2" a="1"/>
  <c r="V991" i="2" s="1"/>
  <c r="V992" i="2" a="1"/>
  <c r="V992" i="2"/>
  <c r="V993" i="2" a="1"/>
  <c r="V993" i="2"/>
  <c r="V994" i="2" a="1"/>
  <c r="V994" i="2"/>
  <c r="V995" i="2" a="1"/>
  <c r="V995" i="2"/>
  <c r="V996" i="2" a="1"/>
  <c r="V996" i="2" s="1"/>
  <c r="V997" i="2" a="1"/>
  <c r="V997" i="2" s="1"/>
  <c r="V998" i="2" a="1"/>
  <c r="V998" i="2"/>
  <c r="V999" i="2" a="1"/>
  <c r="V999" i="2"/>
  <c r="V1000" i="2" a="1"/>
  <c r="V1000" i="2"/>
  <c r="V1001" i="2" a="1"/>
  <c r="V1001" i="2" s="1"/>
  <c r="V1002" i="2" a="1"/>
  <c r="V1002" i="2"/>
  <c r="V1003" i="2" a="1"/>
  <c r="V1003" i="2"/>
  <c r="V1004" i="2" a="1"/>
  <c r="V1004" i="2"/>
  <c r="V1005" i="2" a="1"/>
  <c r="V1005" i="2"/>
  <c r="V1006" i="2" a="1"/>
  <c r="V1006" i="2" s="1"/>
  <c r="V1007" i="2" a="1"/>
  <c r="V1007" i="2" s="1"/>
  <c r="V1008" i="2" a="1"/>
  <c r="V1008" i="2"/>
  <c r="V1009" i="2" a="1"/>
  <c r="V1009" i="2"/>
  <c r="V1010" i="2" a="1"/>
  <c r="V1010" i="2"/>
  <c r="V1011" i="2" a="1"/>
  <c r="V1011" i="2" s="1"/>
  <c r="V1012" i="2" a="1"/>
  <c r="V1012" i="2"/>
  <c r="V1013" i="2" a="1"/>
  <c r="V1013" i="2"/>
  <c r="V1014" i="2" a="1"/>
  <c r="V1014" i="2"/>
  <c r="V1015" i="2" a="1"/>
  <c r="V1015" i="2"/>
  <c r="V1016" i="2" a="1"/>
  <c r="V1016" i="2" s="1"/>
  <c r="V1017" i="2" a="1"/>
  <c r="V1017" i="2" s="1"/>
  <c r="V1018" i="2" a="1"/>
  <c r="V1018" i="2"/>
  <c r="V1019" i="2" a="1"/>
  <c r="V1019" i="2" s="1"/>
  <c r="V1020" i="2" a="1"/>
  <c r="V1020" i="2"/>
  <c r="V1021" i="2" a="1"/>
  <c r="V1021" i="2" s="1"/>
  <c r="V1022" i="2" a="1"/>
  <c r="V1022" i="2"/>
  <c r="V1023" i="2" a="1"/>
  <c r="V1023" i="2"/>
  <c r="V1024" i="2" a="1"/>
  <c r="V1024" i="2"/>
  <c r="V1025" i="2" a="1"/>
  <c r="V1025" i="2"/>
  <c r="V1026" i="2" a="1"/>
  <c r="V1026" i="2" s="1"/>
  <c r="V1027" i="2" a="1"/>
  <c r="V1027" i="2" s="1"/>
  <c r="V1028" i="2" a="1"/>
  <c r="V1028" i="2"/>
  <c r="V1029" i="2" a="1"/>
  <c r="V1029" i="2" s="1"/>
  <c r="V1030" i="2" a="1"/>
  <c r="V1030" i="2"/>
  <c r="V1031" i="2" a="1"/>
  <c r="V1031" i="2" s="1"/>
  <c r="V1032" i="2" a="1"/>
  <c r="V1032" i="2"/>
  <c r="V1033" i="2" a="1"/>
  <c r="V1033" i="2"/>
  <c r="V1034" i="2" a="1"/>
  <c r="V1034" i="2"/>
  <c r="V1035" i="2" a="1"/>
  <c r="V1035" i="2"/>
  <c r="V1036" i="2" a="1"/>
  <c r="V1036" i="2" s="1"/>
  <c r="V1037" i="2" a="1"/>
  <c r="V1037" i="2" s="1"/>
  <c r="V1038" i="2" a="1"/>
  <c r="V1038" i="2"/>
  <c r="V1039" i="2" a="1"/>
  <c r="V1039" i="2" s="1"/>
  <c r="V1040" i="2" a="1"/>
  <c r="V1040" i="2"/>
  <c r="V1041" i="2" a="1"/>
  <c r="V1041" i="2" s="1"/>
  <c r="V1042" i="2" a="1"/>
  <c r="V1042" i="2"/>
  <c r="V1043" i="2" a="1"/>
  <c r="V1043" i="2"/>
  <c r="V1044" i="2" a="1"/>
  <c r="V1044" i="2"/>
  <c r="V1045" i="2" a="1"/>
  <c r="V1045" i="2"/>
  <c r="V1046" i="2" a="1"/>
  <c r="V1046" i="2" s="1"/>
  <c r="V1047" i="2" a="1"/>
  <c r="V1047" i="2" s="1"/>
  <c r="V1048" i="2" a="1"/>
  <c r="V1048" i="2"/>
  <c r="V1049" i="2" a="1"/>
  <c r="V1049" i="2" s="1"/>
  <c r="V1050" i="2" a="1"/>
  <c r="V1050" i="2"/>
  <c r="V1051" i="2" a="1"/>
  <c r="V1051" i="2" s="1"/>
  <c r="V1052" i="2" a="1"/>
  <c r="V1052" i="2"/>
  <c r="V1053" i="2" a="1"/>
  <c r="V1053" i="2"/>
  <c r="V1054" i="2" a="1"/>
  <c r="V1054" i="2"/>
  <c r="V1055" i="2" a="1"/>
  <c r="V1055" i="2"/>
  <c r="V1056" i="2" a="1"/>
  <c r="V1056" i="2" s="1"/>
  <c r="V1057" i="2" a="1"/>
  <c r="V1057" i="2" s="1"/>
  <c r="V1058" i="2" a="1"/>
  <c r="V1058" i="2"/>
  <c r="V1059" i="2" a="1"/>
  <c r="V1059" i="2" s="1"/>
  <c r="V1060" i="2" a="1"/>
  <c r="V1060" i="2"/>
  <c r="V1061" i="2" a="1"/>
  <c r="V1061" i="2" s="1"/>
  <c r="V1062" i="2" a="1"/>
  <c r="V1062" i="2"/>
  <c r="V1063" i="2" a="1"/>
  <c r="V1063" i="2"/>
  <c r="V1064" i="2" a="1"/>
  <c r="V1064" i="2"/>
  <c r="V1065" i="2" a="1"/>
  <c r="V1065" i="2"/>
  <c r="V1066" i="2" a="1"/>
  <c r="V1066" i="2" s="1"/>
  <c r="V1067" i="2" a="1"/>
  <c r="V1067" i="2" s="1"/>
  <c r="V1068" i="2" a="1"/>
  <c r="V1068" i="2"/>
  <c r="V1069" i="2" a="1"/>
  <c r="V1069" i="2" s="1"/>
  <c r="V1070" i="2" a="1"/>
  <c r="V1070" i="2"/>
  <c r="V1071" i="2" a="1"/>
  <c r="V1071" i="2" s="1"/>
  <c r="V1072" i="2" a="1"/>
  <c r="V1072" i="2"/>
  <c r="V1073" i="2" a="1"/>
  <c r="V1073" i="2"/>
  <c r="V1074" i="2" a="1"/>
  <c r="V1074" i="2"/>
  <c r="V1075" i="2" a="1"/>
  <c r="V1075" i="2"/>
  <c r="V1076" i="2" a="1"/>
  <c r="V1076" i="2" s="1"/>
  <c r="V1077" i="2" a="1"/>
  <c r="V1077" i="2" s="1"/>
  <c r="V1078" i="2" a="1"/>
  <c r="V1078" i="2"/>
  <c r="V1079" i="2" a="1"/>
  <c r="V1079" i="2" s="1"/>
  <c r="V1080" i="2" a="1"/>
  <c r="V1080" i="2"/>
  <c r="V1081" i="2" a="1"/>
  <c r="V1081" i="2" s="1"/>
  <c r="V1082" i="2" a="1"/>
  <c r="V1082" i="2"/>
  <c r="V1083" i="2" a="1"/>
  <c r="V1083" i="2"/>
  <c r="V1084" i="2" a="1"/>
  <c r="V1084" i="2"/>
  <c r="V1085" i="2" a="1"/>
  <c r="V1085" i="2"/>
  <c r="V1086" i="2" a="1"/>
  <c r="V1086" i="2" s="1"/>
  <c r="V1087" i="2" a="1"/>
  <c r="V1087" i="2" s="1"/>
  <c r="V1088" i="2" a="1"/>
  <c r="V1088" i="2"/>
  <c r="V1089" i="2" a="1"/>
  <c r="V1089" i="2" s="1"/>
  <c r="V1090" i="2" a="1"/>
  <c r="V1090" i="2"/>
  <c r="V1091" i="2" a="1"/>
  <c r="V1091" i="2" s="1"/>
  <c r="V1092" i="2" a="1"/>
  <c r="V1092" i="2"/>
  <c r="V1093" i="2" a="1"/>
  <c r="V1093" i="2"/>
  <c r="V1094" i="2" a="1"/>
  <c r="V1094" i="2"/>
  <c r="V1095" i="2" a="1"/>
  <c r="V1095" i="2"/>
  <c r="V1096" i="2" a="1"/>
  <c r="V1096" i="2" s="1"/>
  <c r="V1097" i="2" a="1"/>
  <c r="V1097" i="2" s="1"/>
  <c r="V1098" i="2" a="1"/>
  <c r="V1098" i="2"/>
  <c r="V1099" i="2" a="1"/>
  <c r="V1099" i="2" s="1"/>
  <c r="V1100" i="2" a="1"/>
  <c r="V1100" i="2"/>
  <c r="V1101" i="2" a="1"/>
  <c r="V1101" i="2" s="1"/>
  <c r="V1102" i="2" a="1"/>
  <c r="V1102" i="2"/>
  <c r="V1103" i="2" a="1"/>
  <c r="V1103" i="2"/>
  <c r="V1104" i="2" a="1"/>
  <c r="V1104" i="2"/>
  <c r="V1105" i="2" a="1"/>
  <c r="V1105" i="2"/>
  <c r="V1106" i="2" a="1"/>
  <c r="V1106" i="2" s="1"/>
  <c r="V1107" i="2" a="1"/>
  <c r="V1107" i="2" s="1"/>
  <c r="V1108" i="2" a="1"/>
  <c r="V1108" i="2"/>
  <c r="V1109" i="2" a="1"/>
  <c r="V1109" i="2" s="1"/>
  <c r="V1110" i="2" a="1"/>
  <c r="V1110" i="2"/>
  <c r="V1111" i="2" a="1"/>
  <c r="V1111" i="2" s="1"/>
  <c r="V1112" i="2" a="1"/>
  <c r="V1112" i="2"/>
  <c r="V1113" i="2" a="1"/>
  <c r="V1113" i="2"/>
  <c r="V1114" i="2" a="1"/>
  <c r="V1114" i="2"/>
  <c r="V1115" i="2" a="1"/>
  <c r="V1115" i="2"/>
  <c r="V1116" i="2" a="1"/>
  <c r="V1116" i="2" s="1"/>
  <c r="V1117" i="2" a="1"/>
  <c r="V1117" i="2" s="1"/>
  <c r="V1118" i="2" a="1"/>
  <c r="V1118" i="2"/>
  <c r="V1119" i="2" a="1"/>
  <c r="V1119" i="2" s="1"/>
  <c r="V1120" i="2" a="1"/>
  <c r="V1120" i="2"/>
  <c r="V1121" i="2" a="1"/>
  <c r="V1121" i="2" s="1"/>
  <c r="V1122" i="2" a="1"/>
  <c r="V1122" i="2"/>
  <c r="V1123" i="2" a="1"/>
  <c r="V1123" i="2"/>
  <c r="V1124" i="2" a="1"/>
  <c r="V1124" i="2"/>
  <c r="V1125" i="2" a="1"/>
  <c r="V1125" i="2"/>
  <c r="V1126" i="2" a="1"/>
  <c r="V1126" i="2" s="1"/>
  <c r="V1127" i="2" a="1"/>
  <c r="V1127" i="2" s="1"/>
  <c r="V1128" i="2" a="1"/>
  <c r="V1128" i="2"/>
  <c r="V1129" i="2" a="1"/>
  <c r="V1129" i="2" s="1"/>
  <c r="V1130" i="2" a="1"/>
  <c r="V1130" i="2"/>
  <c r="V1131" i="2" a="1"/>
  <c r="V1131" i="2" s="1"/>
  <c r="V1132" i="2" a="1"/>
  <c r="V1132" i="2"/>
  <c r="V1133" i="2" a="1"/>
  <c r="V1133" i="2"/>
  <c r="V1134" i="2" a="1"/>
  <c r="V1134" i="2"/>
  <c r="V1135" i="2" a="1"/>
  <c r="V1135" i="2"/>
  <c r="V1136" i="2" a="1"/>
  <c r="V1136" i="2" s="1"/>
  <c r="V1137" i="2" a="1"/>
  <c r="V1137" i="2" s="1"/>
  <c r="V1138" i="2" a="1"/>
  <c r="V1138" i="2"/>
  <c r="V1139" i="2" a="1"/>
  <c r="V1139" i="2" s="1"/>
  <c r="V1140" i="2" a="1"/>
  <c r="V1140" i="2"/>
  <c r="V1141" i="2" a="1"/>
  <c r="V1141" i="2" s="1"/>
  <c r="V1142" i="2" a="1"/>
  <c r="V1142" i="2"/>
  <c r="V1143" i="2" a="1"/>
  <c r="V1143" i="2"/>
  <c r="V1144" i="2" a="1"/>
  <c r="V1144" i="2"/>
  <c r="V1145" i="2" a="1"/>
  <c r="V1145" i="2"/>
  <c r="V1146" i="2" a="1"/>
  <c r="V1146" i="2" s="1"/>
  <c r="V1147" i="2" a="1"/>
  <c r="V1147" i="2" s="1"/>
  <c r="V1148" i="2" a="1"/>
  <c r="V1148" i="2"/>
  <c r="V1149" i="2" a="1"/>
  <c r="V1149" i="2" s="1"/>
  <c r="V1150" i="2" a="1"/>
  <c r="V1150" i="2"/>
  <c r="V1151" i="2" a="1"/>
  <c r="V1151" i="2" s="1"/>
  <c r="V1152" i="2" a="1"/>
  <c r="V1152" i="2"/>
  <c r="V1153" i="2" a="1"/>
  <c r="V1153" i="2"/>
  <c r="V1154" i="2" a="1"/>
  <c r="V1154" i="2"/>
  <c r="V1155" i="2" a="1"/>
  <c r="V1155" i="2"/>
  <c r="V1156" i="2" a="1"/>
  <c r="V1156" i="2" s="1"/>
  <c r="V1157" i="2" a="1"/>
  <c r="V1157" i="2" s="1"/>
  <c r="V1158" i="2" a="1"/>
  <c r="V1158" i="2"/>
  <c r="V1159" i="2" a="1"/>
  <c r="V1159" i="2" s="1"/>
  <c r="V1160" i="2" a="1"/>
  <c r="V1160" i="2"/>
  <c r="V1161" i="2" a="1"/>
  <c r="V1161" i="2" s="1"/>
  <c r="V1162" i="2" a="1"/>
  <c r="V1162" i="2"/>
  <c r="V1163" i="2" a="1"/>
  <c r="V1163" i="2"/>
  <c r="V1164" i="2" a="1"/>
  <c r="V1164" i="2"/>
  <c r="V1165" i="2" a="1"/>
  <c r="V1165" i="2"/>
  <c r="V1166" i="2" a="1"/>
  <c r="V1166" i="2" s="1"/>
  <c r="V1167" i="2" a="1"/>
  <c r="V1167" i="2" s="1"/>
  <c r="V1168" i="2" a="1"/>
  <c r="V1168" i="2"/>
  <c r="V1169" i="2" a="1"/>
  <c r="V1169" i="2" s="1"/>
  <c r="V1170" i="2" a="1"/>
  <c r="V1170" i="2"/>
  <c r="V1171" i="2" a="1"/>
  <c r="V1171" i="2" s="1"/>
  <c r="V1172" i="2" a="1"/>
  <c r="V1172" i="2"/>
  <c r="V1173" i="2" a="1"/>
  <c r="V1173" i="2"/>
  <c r="V1174" i="2" a="1"/>
  <c r="V1174" i="2"/>
  <c r="V1175" i="2" a="1"/>
  <c r="V1175" i="2"/>
  <c r="V1176" i="2" a="1"/>
  <c r="V1176" i="2" s="1"/>
  <c r="V1177" i="2" a="1"/>
  <c r="V1177" i="2" s="1"/>
  <c r="V1178" i="2" a="1"/>
  <c r="V1178" i="2"/>
  <c r="V1179" i="2" a="1"/>
  <c r="V1179" i="2" s="1"/>
  <c r="V1180" i="2" a="1"/>
  <c r="V1180" i="2"/>
  <c r="V1181" i="2" a="1"/>
  <c r="V1181" i="2" s="1"/>
  <c r="V1182" i="2" a="1"/>
  <c r="V1182" i="2"/>
  <c r="V1183" i="2" a="1"/>
  <c r="V1183" i="2"/>
  <c r="V1184" i="2" a="1"/>
  <c r="V1184" i="2"/>
  <c r="V1185" i="2" a="1"/>
  <c r="V1185" i="2"/>
  <c r="V1186" i="2" a="1"/>
  <c r="V1186" i="2" s="1"/>
  <c r="V1187" i="2" a="1"/>
  <c r="V1187" i="2" s="1"/>
  <c r="V1188" i="2" a="1"/>
  <c r="V1188" i="2"/>
  <c r="V1189" i="2" a="1"/>
  <c r="V1189" i="2" s="1"/>
  <c r="V1190" i="2" a="1"/>
  <c r="V1190" i="2"/>
  <c r="V1191" i="2" a="1"/>
  <c r="V1191" i="2" s="1"/>
  <c r="V1192" i="2" a="1"/>
  <c r="V1192" i="2"/>
  <c r="V1193" i="2" a="1"/>
  <c r="V1193" i="2"/>
  <c r="V1194" i="2" a="1"/>
  <c r="V1194" i="2"/>
  <c r="V1195" i="2" a="1"/>
  <c r="V1195" i="2"/>
  <c r="V1196" i="2" a="1"/>
  <c r="V1196" i="2" s="1"/>
  <c r="V1197" i="2" a="1"/>
  <c r="V1197" i="2" s="1"/>
  <c r="V1198" i="2" a="1"/>
  <c r="V1198" i="2"/>
  <c r="V1199" i="2" a="1"/>
  <c r="V1199" i="2" s="1"/>
  <c r="V1200" i="2" a="1"/>
  <c r="V1200" i="2"/>
  <c r="V1201" i="2" a="1"/>
  <c r="V1201" i="2" s="1"/>
  <c r="V1202" i="2" a="1"/>
  <c r="V1202" i="2"/>
  <c r="V1203" i="2" a="1"/>
  <c r="V1203" i="2"/>
  <c r="V1204" i="2" a="1"/>
  <c r="V1204" i="2"/>
  <c r="V1205" i="2" a="1"/>
  <c r="V1205" i="2"/>
  <c r="V1206" i="2" a="1"/>
  <c r="V1206" i="2" s="1"/>
  <c r="V1207" i="2" a="1"/>
  <c r="V1207" i="2" s="1"/>
  <c r="V1208" i="2" a="1"/>
  <c r="V1208" i="2"/>
  <c r="V1209" i="2" a="1"/>
  <c r="V1209" i="2" s="1"/>
  <c r="V1210" i="2" a="1"/>
  <c r="V1210" i="2"/>
  <c r="V1211" i="2" a="1"/>
  <c r="V1211" i="2" s="1"/>
  <c r="V1212" i="2" a="1"/>
  <c r="V1212" i="2"/>
  <c r="V1213" i="2" a="1"/>
  <c r="V1213" i="2"/>
  <c r="V1214" i="2" a="1"/>
  <c r="V1214" i="2"/>
  <c r="V1215" i="2" a="1"/>
  <c r="V1215" i="2"/>
  <c r="V1216" i="2" a="1"/>
  <c r="V1216" i="2" s="1"/>
  <c r="V1217" i="2" a="1"/>
  <c r="V1217" i="2" s="1"/>
  <c r="V1218" i="2" a="1"/>
  <c r="V1218" i="2"/>
  <c r="V1219" i="2" a="1"/>
  <c r="V1219" i="2" s="1"/>
  <c r="V1220" i="2" a="1"/>
  <c r="V1220" i="2"/>
  <c r="V1221" i="2" a="1"/>
  <c r="V1221" i="2" s="1"/>
  <c r="V1222" i="2" a="1"/>
  <c r="V1222" i="2"/>
  <c r="V1223" i="2" a="1"/>
  <c r="V1223" i="2"/>
  <c r="V1224" i="2" a="1"/>
  <c r="V1224" i="2"/>
  <c r="V1225" i="2" a="1"/>
  <c r="V1225" i="2"/>
  <c r="V1226" i="2" a="1"/>
  <c r="V1226" i="2" s="1"/>
  <c r="V1227" i="2" a="1"/>
  <c r="V1227" i="2" s="1"/>
  <c r="V1228" i="2" a="1"/>
  <c r="V1228" i="2"/>
  <c r="V1229" i="2" a="1"/>
  <c r="V1229" i="2" s="1"/>
  <c r="V1230" i="2" a="1"/>
  <c r="V1230" i="2"/>
  <c r="V1231" i="2" a="1"/>
  <c r="V1231" i="2" s="1"/>
  <c r="V1232" i="2" a="1"/>
  <c r="V1232" i="2"/>
  <c r="V1233" i="2" a="1"/>
  <c r="V1233" i="2"/>
  <c r="V1234" i="2" a="1"/>
  <c r="V1234" i="2"/>
  <c r="V1235" i="2" a="1"/>
  <c r="V1235" i="2"/>
  <c r="V1236" i="2" a="1"/>
  <c r="V1236" i="2" s="1"/>
  <c r="V1237" i="2" a="1"/>
  <c r="V1237" i="2" s="1"/>
  <c r="V1238" i="2" a="1"/>
  <c r="V1238" i="2"/>
  <c r="V1239" i="2" a="1"/>
  <c r="V1239" i="2" s="1"/>
  <c r="V1240" i="2" a="1"/>
  <c r="V1240" i="2"/>
  <c r="V1241" i="2" a="1"/>
  <c r="V1241" i="2" s="1"/>
  <c r="V1242" i="2" a="1"/>
  <c r="V1242" i="2"/>
  <c r="V1243" i="2" a="1"/>
  <c r="V1243" i="2"/>
  <c r="V1244" i="2" a="1"/>
  <c r="V1244" i="2"/>
  <c r="V1245" i="2" a="1"/>
  <c r="V1245" i="2"/>
  <c r="V1246" i="2" a="1"/>
  <c r="V1246" i="2" s="1"/>
  <c r="V1247" i="2" a="1"/>
  <c r="V1247" i="2" s="1"/>
  <c r="V1248" i="2" a="1"/>
  <c r="V1248" i="2"/>
  <c r="V1249" i="2" a="1"/>
  <c r="V1249" i="2" s="1"/>
  <c r="V1250" i="2" a="1"/>
  <c r="V1250" i="2"/>
  <c r="V1251" i="2" a="1"/>
  <c r="V1251" i="2" s="1"/>
  <c r="V1252" i="2" a="1"/>
  <c r="V1252" i="2"/>
  <c r="V1253" i="2" a="1"/>
  <c r="V1253" i="2"/>
  <c r="V1254" i="2" a="1"/>
  <c r="V1254" i="2"/>
  <c r="V1255" i="2" a="1"/>
  <c r="V1255" i="2"/>
  <c r="V1256" i="2" a="1"/>
  <c r="V1256" i="2" s="1"/>
  <c r="V1257" i="2" a="1"/>
  <c r="V1257" i="2" s="1"/>
  <c r="V1258" i="2" a="1"/>
  <c r="V1258" i="2"/>
  <c r="V1259" i="2" a="1"/>
  <c r="V1259" i="2" s="1"/>
  <c r="V1260" i="2" a="1"/>
  <c r="V1260" i="2"/>
  <c r="V1261" i="2" a="1"/>
  <c r="V1261" i="2" s="1"/>
  <c r="V1262" i="2" a="1"/>
  <c r="V1262" i="2"/>
  <c r="V1263" i="2" a="1"/>
  <c r="V1263" i="2"/>
  <c r="V1264" i="2" a="1"/>
  <c r="V1264" i="2"/>
  <c r="V1265" i="2" a="1"/>
  <c r="V1265" i="2"/>
  <c r="V1266" i="2" a="1"/>
  <c r="V1266" i="2" s="1"/>
  <c r="V1267" i="2" a="1"/>
  <c r="V1267" i="2" s="1"/>
  <c r="V1268" i="2" a="1"/>
  <c r="V1268" i="2"/>
  <c r="V1269" i="2" a="1"/>
  <c r="V1269" i="2" s="1"/>
  <c r="V1270" i="2" a="1"/>
  <c r="V1270" i="2"/>
  <c r="V1271" i="2" a="1"/>
  <c r="V1271" i="2" s="1"/>
  <c r="V1272" i="2" a="1"/>
  <c r="V1272" i="2"/>
  <c r="V1273" i="2" a="1"/>
  <c r="V1273" i="2"/>
  <c r="V1274" i="2" a="1"/>
  <c r="V1274" i="2"/>
  <c r="V1275" i="2" a="1"/>
  <c r="V1275" i="2"/>
  <c r="V1276" i="2" a="1"/>
  <c r="V1276" i="2" s="1"/>
  <c r="V1277" i="2" a="1"/>
  <c r="V1277" i="2" s="1"/>
  <c r="V1278" i="2" a="1"/>
  <c r="V1278" i="2"/>
  <c r="V1279" i="2" a="1"/>
  <c r="V1279" i="2" s="1"/>
  <c r="V1280" i="2" a="1"/>
  <c r="V1280" i="2"/>
  <c r="V1281" i="2" a="1"/>
  <c r="V1281" i="2" s="1"/>
  <c r="V1282" i="2" a="1"/>
  <c r="V1282" i="2"/>
  <c r="Y3" i="2" a="1"/>
  <c r="Y3" i="2" s="1"/>
  <c r="Y4" i="2" a="1"/>
  <c r="Y4" i="2"/>
  <c r="Y5" i="2" a="1"/>
  <c r="Y5" i="2"/>
  <c r="Y6" i="2" a="1"/>
  <c r="Y6" i="2"/>
  <c r="Y7" i="2" a="1"/>
  <c r="Y7" i="2"/>
  <c r="Y8" i="2" a="1"/>
  <c r="Y8" i="2"/>
  <c r="Y9" i="2" a="1"/>
  <c r="Y9" i="2"/>
  <c r="Y10" i="2" a="1"/>
  <c r="Y10" i="2"/>
  <c r="Y11" i="2" a="1"/>
  <c r="Y11" i="2"/>
  <c r="Y12" i="2" a="1"/>
  <c r="Y12" i="2"/>
  <c r="Y13" i="2" a="1"/>
  <c r="Y13" i="2" s="1"/>
  <c r="Y14" i="2" a="1"/>
  <c r="Y14" i="2"/>
  <c r="Y15" i="2" a="1"/>
  <c r="Y15" i="2"/>
  <c r="Y16" i="2" a="1"/>
  <c r="Y16" i="2"/>
  <c r="Y17" i="2" a="1"/>
  <c r="Y17" i="2"/>
  <c r="Y18" i="2" a="1"/>
  <c r="Y18" i="2"/>
  <c r="Y19" i="2" a="1"/>
  <c r="Y19" i="2" s="1"/>
  <c r="Y20" i="2" a="1"/>
  <c r="Y20" i="2"/>
  <c r="Y21" i="2" a="1"/>
  <c r="Y21" i="2"/>
  <c r="Y22" i="2" a="1"/>
  <c r="Y22" i="2"/>
  <c r="Y23" i="2" a="1"/>
  <c r="Y23" i="2" s="1"/>
  <c r="Y24" i="2" a="1"/>
  <c r="Y24" i="2"/>
  <c r="Y25" i="2" a="1"/>
  <c r="Y25" i="2"/>
  <c r="Y26" i="2" a="1"/>
  <c r="Y26" i="2"/>
  <c r="Y27" i="2" a="1"/>
  <c r="Y27" i="2"/>
  <c r="Y28" i="2" a="1"/>
  <c r="Y28" i="2"/>
  <c r="Y29" i="2" a="1"/>
  <c r="Y29" i="2"/>
  <c r="Y30" i="2" a="1"/>
  <c r="Y30" i="2"/>
  <c r="Y31" i="2" a="1"/>
  <c r="Y31" i="2"/>
  <c r="Y32" i="2" a="1"/>
  <c r="Y32" i="2"/>
  <c r="Y33" i="2" a="1"/>
  <c r="Y33" i="2" s="1"/>
  <c r="Y34" i="2" a="1"/>
  <c r="Y34" i="2"/>
  <c r="Y35" i="2" a="1"/>
  <c r="Y35" i="2" s="1"/>
  <c r="Y36" i="2" a="1"/>
  <c r="Y36" i="2"/>
  <c r="Y37" i="2" a="1"/>
  <c r="Y37" i="2"/>
  <c r="Y38" i="2" a="1"/>
  <c r="Y38" i="2"/>
  <c r="Y39" i="2" a="1"/>
  <c r="Y39" i="2"/>
  <c r="Y40" i="2" a="1"/>
  <c r="Y40" i="2" s="1"/>
  <c r="Y41" i="2" a="1"/>
  <c r="Y41" i="2"/>
  <c r="Y42" i="2" a="1"/>
  <c r="Y42" i="2"/>
  <c r="Y43" i="2" a="1"/>
  <c r="Y43" i="2" s="1"/>
  <c r="Y44" i="2" a="1"/>
  <c r="Y44" i="2"/>
  <c r="Y45" i="2" a="1"/>
  <c r="Y45" i="2" s="1"/>
  <c r="Y46" i="2" a="1"/>
  <c r="Y46" i="2" s="1"/>
  <c r="Y47" i="2" a="1"/>
  <c r="Y47" i="2"/>
  <c r="Y48" i="2" a="1"/>
  <c r="Y48" i="2"/>
  <c r="Y49" i="2" a="1"/>
  <c r="Y49" i="2"/>
  <c r="Y50" i="2" a="1"/>
  <c r="Y50" i="2"/>
  <c r="Y51" i="2" a="1"/>
  <c r="Y51" i="2"/>
  <c r="Y52" i="2" a="1"/>
  <c r="Y52" i="2"/>
  <c r="Y53" i="2" a="1"/>
  <c r="Y53" i="2" s="1"/>
  <c r="Y54" i="2" a="1"/>
  <c r="Y54" i="2"/>
  <c r="Y55" i="2" a="1"/>
  <c r="Y55" i="2"/>
  <c r="Y56" i="2" a="1"/>
  <c r="Y56" i="2" s="1"/>
  <c r="Y57" i="2" a="1"/>
  <c r="Y57" i="2"/>
  <c r="Y58" i="2" a="1"/>
  <c r="Y58" i="2"/>
  <c r="Y59" i="2" a="1"/>
  <c r="Y59" i="2"/>
  <c r="Y60" i="2" a="1"/>
  <c r="Y60" i="2"/>
  <c r="Y61" i="2" a="1"/>
  <c r="Y61" i="2" s="1"/>
  <c r="Y62" i="2" a="1"/>
  <c r="Y62" i="2"/>
  <c r="Y63" i="2" a="1"/>
  <c r="Y63" i="2" s="1"/>
  <c r="Y64" i="2" a="1"/>
  <c r="Y64" i="2"/>
  <c r="Y65" i="2" a="1"/>
  <c r="Y65" i="2"/>
  <c r="Y66" i="2" a="1"/>
  <c r="Y66" i="2" s="1"/>
  <c r="Y67" i="2" a="1"/>
  <c r="Y67" i="2"/>
  <c r="Y68" i="2" a="1"/>
  <c r="Y68" i="2"/>
  <c r="Y69" i="2" a="1"/>
  <c r="Y69" i="2"/>
  <c r="Y70" i="2" a="1"/>
  <c r="Y70" i="2"/>
  <c r="Y71" i="2" a="1"/>
  <c r="Y71" i="2"/>
  <c r="Y72" i="2" a="1"/>
  <c r="Y72" i="2"/>
  <c r="Y73" i="2" a="1"/>
  <c r="Y73" i="2" s="1"/>
  <c r="Y74" i="2" a="1"/>
  <c r="Y74" i="2"/>
  <c r="Y75" i="2" a="1"/>
  <c r="Y75" i="2"/>
  <c r="Y76" i="2" a="1"/>
  <c r="Y76" i="2"/>
  <c r="Y77" i="2" a="1"/>
  <c r="Y77" i="2"/>
  <c r="Y78" i="2" a="1"/>
  <c r="Y78" i="2"/>
  <c r="Y79" i="2" a="1"/>
  <c r="Y79" i="2"/>
  <c r="Y80" i="2" a="1"/>
  <c r="Y80" i="2"/>
  <c r="Y81" i="2" a="1"/>
  <c r="Y81" i="2"/>
  <c r="Y82" i="2" a="1"/>
  <c r="Y82" i="2" s="1"/>
  <c r="Y83" i="2" a="1"/>
  <c r="Y83" i="2" s="1"/>
  <c r="Y84" i="2" a="1"/>
  <c r="Y84" i="2"/>
  <c r="Y85" i="2" a="1"/>
  <c r="Y85" i="2"/>
  <c r="Y86" i="2" a="1"/>
  <c r="Y86" i="2"/>
  <c r="Y87" i="2" a="1"/>
  <c r="Y87" i="2"/>
  <c r="Y88" i="2" a="1"/>
  <c r="Y88" i="2"/>
  <c r="Y89" i="2" a="1"/>
  <c r="Y89" i="2"/>
  <c r="Y90" i="2" a="1"/>
  <c r="Y90" i="2"/>
  <c r="Y91" i="2" a="1"/>
  <c r="Y91" i="2"/>
  <c r="Y92" i="2" a="1"/>
  <c r="Y92" i="2"/>
  <c r="Y93" i="2" a="1"/>
  <c r="Y93" i="2" s="1"/>
  <c r="Y94" i="2" a="1"/>
  <c r="Y94" i="2"/>
  <c r="Y95" i="2" a="1"/>
  <c r="Y95" i="2"/>
  <c r="Y96" i="2" a="1"/>
  <c r="Y96" i="2"/>
  <c r="Y97" i="2" a="1"/>
  <c r="Y97" i="2"/>
  <c r="Y98" i="2" a="1"/>
  <c r="Y98" i="2" s="1"/>
  <c r="Y99" i="2" a="1"/>
  <c r="Y99" i="2"/>
  <c r="Y100" i="2" a="1"/>
  <c r="Y100" i="2"/>
  <c r="Y101" i="2" a="1"/>
  <c r="Y101" i="2"/>
  <c r="Y102" i="2" a="1"/>
  <c r="Y102" i="2"/>
  <c r="Y103" i="2" a="1"/>
  <c r="Y103" i="2" s="1"/>
  <c r="Y104" i="2" a="1"/>
  <c r="Y104" i="2"/>
  <c r="Y105" i="2" a="1"/>
  <c r="Y105" i="2"/>
  <c r="Y106" i="2" a="1"/>
  <c r="Y106" i="2"/>
  <c r="Y107" i="2" a="1"/>
  <c r="Y107" i="2"/>
  <c r="Y108" i="2" a="1"/>
  <c r="Y108" i="2" s="1"/>
  <c r="Y109" i="2" a="1"/>
  <c r="Y109" i="2" s="1"/>
  <c r="Y110" i="2" a="1"/>
  <c r="Y110" i="2"/>
  <c r="Y111" i="2" a="1"/>
  <c r="Y111" i="2"/>
  <c r="Y112" i="2" a="1"/>
  <c r="Y112" i="2"/>
  <c r="Y113" i="2" a="1"/>
  <c r="Y113" i="2" s="1"/>
  <c r="Y114" i="2" a="1"/>
  <c r="Y114" i="2" s="1"/>
  <c r="Y115" i="2" a="1"/>
  <c r="Y115" i="2"/>
  <c r="Y116" i="2" a="1"/>
  <c r="Y116" i="2"/>
  <c r="Y117" i="2" a="1"/>
  <c r="Y117" i="2"/>
  <c r="Y118" i="2" a="1"/>
  <c r="Y118" i="2"/>
  <c r="Y119" i="2" a="1"/>
  <c r="Y119" i="2" s="1"/>
  <c r="Y120" i="2" a="1"/>
  <c r="Y120" i="2"/>
  <c r="Y121" i="2" a="1"/>
  <c r="Y121" i="2"/>
  <c r="Y122" i="2" a="1"/>
  <c r="Y122" i="2"/>
  <c r="Y123" i="2" a="1"/>
  <c r="Y123" i="2" s="1"/>
  <c r="Y124" i="2" a="1"/>
  <c r="Y124" i="2"/>
  <c r="Y125" i="2" a="1"/>
  <c r="Y125" i="2"/>
  <c r="Y126" i="2" a="1"/>
  <c r="Y126" i="2"/>
  <c r="Y127" i="2" a="1"/>
  <c r="Y127" i="2"/>
  <c r="Y128" i="2" a="1"/>
  <c r="Y128" i="2"/>
  <c r="Y129" i="2" a="1"/>
  <c r="Y129" i="2" s="1"/>
  <c r="Y130" i="2" a="1"/>
  <c r="Y130" i="2" s="1"/>
  <c r="Y131" i="2" a="1"/>
  <c r="Y131" i="2"/>
  <c r="Y132" i="2" a="1"/>
  <c r="Y132" i="2"/>
  <c r="Y133" i="2" a="1"/>
  <c r="Y133" i="2" s="1"/>
  <c r="Y134" i="2" a="1"/>
  <c r="Y134" i="2"/>
  <c r="Y135" i="2" a="1"/>
  <c r="Y135" i="2" s="1"/>
  <c r="Y136" i="2" a="1"/>
  <c r="Y136" i="2"/>
  <c r="Y137" i="2" a="1"/>
  <c r="Y137" i="2"/>
  <c r="Y138" i="2" a="1"/>
  <c r="Y138" i="2"/>
  <c r="Y139" i="2" a="1"/>
  <c r="Y139" i="2"/>
  <c r="Y140" i="2" a="1"/>
  <c r="Y140" i="2"/>
  <c r="Y141" i="2" a="1"/>
  <c r="Y141" i="2"/>
  <c r="Y142" i="2" a="1"/>
  <c r="Y142" i="2"/>
  <c r="Y143" i="2" a="1"/>
  <c r="Y143" i="2" s="1"/>
  <c r="Y144" i="2" a="1"/>
  <c r="Y144" i="2"/>
  <c r="Y145" i="2" a="1"/>
  <c r="Y145" i="2"/>
  <c r="Y146" i="2" a="1"/>
  <c r="Y146" i="2"/>
  <c r="Y147" i="2" a="1"/>
  <c r="Y147" i="2"/>
  <c r="Y148" i="2" a="1"/>
  <c r="Y148" i="2"/>
  <c r="Y149" i="2" a="1"/>
  <c r="Y149" i="2"/>
  <c r="Y150" i="2" a="1"/>
  <c r="Y150" i="2" s="1"/>
  <c r="Y151" i="2" a="1"/>
  <c r="Y151" i="2" s="1"/>
  <c r="Y152" i="2" a="1"/>
  <c r="Y152" i="2"/>
  <c r="Y153" i="2" a="1"/>
  <c r="Y153" i="2" s="1"/>
  <c r="Y154" i="2" a="1"/>
  <c r="Y154" i="2"/>
  <c r="Y155" i="2" a="1"/>
  <c r="Y155" i="2"/>
  <c r="Y156" i="2" a="1"/>
  <c r="Y156" i="2" s="1"/>
  <c r="Y157" i="2" a="1"/>
  <c r="Y157" i="2"/>
  <c r="Y158" i="2" a="1"/>
  <c r="Y158" i="2"/>
  <c r="Y159" i="2" a="1"/>
  <c r="Y159" i="2"/>
  <c r="Y160" i="2" a="1"/>
  <c r="Y160" i="2"/>
  <c r="Y161" i="2" a="1"/>
  <c r="Y161" i="2" s="1"/>
  <c r="Y162" i="2" a="1"/>
  <c r="Y162" i="2"/>
  <c r="Y163" i="2" a="1"/>
  <c r="Y163" i="2" s="1"/>
  <c r="Y164" i="2" a="1"/>
  <c r="Y164" i="2"/>
  <c r="Y165" i="2" a="1"/>
  <c r="Y165" i="2"/>
  <c r="Y166" i="2" a="1"/>
  <c r="Y166" i="2"/>
  <c r="Y167" i="2" a="1"/>
  <c r="Y167" i="2"/>
  <c r="Y168" i="2" a="1"/>
  <c r="Y168" i="2"/>
  <c r="Y169" i="2" a="1"/>
  <c r="Y169" i="2"/>
  <c r="Y170" i="2" a="1"/>
  <c r="Y170" i="2"/>
  <c r="Y171" i="2" a="1"/>
  <c r="Y171" i="2" s="1"/>
  <c r="Y172" i="2" a="1"/>
  <c r="Y172" i="2" s="1"/>
  <c r="Y173" i="2" a="1"/>
  <c r="Y173" i="2" s="1"/>
  <c r="Y174" i="2" a="1"/>
  <c r="Y174" i="2"/>
  <c r="Y175" i="2" a="1"/>
  <c r="Y175" i="2"/>
  <c r="Y176" i="2" a="1"/>
  <c r="Y176" i="2"/>
  <c r="Y177" i="2" a="1"/>
  <c r="Y177" i="2"/>
  <c r="Y178" i="2" a="1"/>
  <c r="Y178" i="2"/>
  <c r="Y179" i="2" a="1"/>
  <c r="Y179" i="2"/>
  <c r="Y180" i="2" a="1"/>
  <c r="Y180" i="2"/>
  <c r="Y181" i="2" a="1"/>
  <c r="Y181" i="2"/>
  <c r="Y182" i="2" a="1"/>
  <c r="Y182" i="2" s="1"/>
  <c r="Y183" i="2" a="1"/>
  <c r="Y183" i="2" s="1"/>
  <c r="Y184" i="2" a="1"/>
  <c r="Y184" i="2"/>
  <c r="Y185" i="2" a="1"/>
  <c r="Y185" i="2"/>
  <c r="Y186" i="2" a="1"/>
  <c r="Y186" i="2"/>
  <c r="Y187" i="2" a="1"/>
  <c r="Y187" i="2"/>
  <c r="Y188" i="2" a="1"/>
  <c r="Y188" i="2"/>
  <c r="Y189" i="2" a="1"/>
  <c r="Y189" i="2"/>
  <c r="Y190" i="2" a="1"/>
  <c r="Y190" i="2"/>
  <c r="Y191" i="2" a="1"/>
  <c r="Y191" i="2"/>
  <c r="Y192" i="2" a="1"/>
  <c r="Y192" i="2" s="1"/>
  <c r="Y193" i="2" a="1"/>
  <c r="Y193" i="2" s="1"/>
  <c r="Y194" i="2" a="1"/>
  <c r="Y194" i="2"/>
  <c r="Y195" i="2" a="1"/>
  <c r="Y195" i="2"/>
  <c r="Y196" i="2" a="1"/>
  <c r="Y196" i="2"/>
  <c r="Y197" i="2" a="1"/>
  <c r="Y197" i="2"/>
  <c r="Y198" i="2" a="1"/>
  <c r="Y198" i="2" s="1"/>
  <c r="Y199" i="2" a="1"/>
  <c r="Y199" i="2"/>
  <c r="Y200" i="2" a="1"/>
  <c r="Y200" i="2"/>
  <c r="Y201" i="2" a="1"/>
  <c r="Y201" i="2"/>
  <c r="Y202" i="2" a="1"/>
  <c r="Y202" i="2"/>
  <c r="Y203" i="2" a="1"/>
  <c r="Y203" i="2" s="1"/>
  <c r="Y204" i="2" a="1"/>
  <c r="Y204" i="2" s="1"/>
  <c r="Y205" i="2" a="1"/>
  <c r="Y205" i="2"/>
  <c r="Y206" i="2" a="1"/>
  <c r="Y206" i="2"/>
  <c r="Y207" i="2" a="1"/>
  <c r="Y207" i="2"/>
  <c r="Y208" i="2" a="1"/>
  <c r="Y208" i="2"/>
  <c r="Y209" i="2" a="1"/>
  <c r="Y209" i="2"/>
  <c r="Y210" i="2" a="1"/>
  <c r="Y210" i="2"/>
  <c r="Y211" i="2" a="1"/>
  <c r="Y211" i="2"/>
  <c r="Y212" i="2" a="1"/>
  <c r="Y212" i="2"/>
  <c r="Y213" i="2" a="1"/>
  <c r="Y213" i="2" s="1"/>
  <c r="Y214" i="2" a="1"/>
  <c r="Y214" i="2"/>
  <c r="Y215" i="2" a="1"/>
  <c r="Y215" i="2"/>
  <c r="Y216" i="2" a="1"/>
  <c r="Y216" i="2"/>
  <c r="Y217" i="2" a="1"/>
  <c r="Y217" i="2"/>
  <c r="Y218" i="2" a="1"/>
  <c r="Y218" i="2"/>
  <c r="Y219" i="2" a="1"/>
  <c r="Y219" i="2" s="1"/>
  <c r="Y220" i="2" a="1"/>
  <c r="Y220" i="2"/>
  <c r="Y221" i="2" a="1"/>
  <c r="Y221" i="2"/>
  <c r="Y222" i="2" a="1"/>
  <c r="Y222" i="2"/>
  <c r="Y223" i="2" a="1"/>
  <c r="Y223" i="2" s="1"/>
  <c r="Y224" i="2" a="1"/>
  <c r="Y224" i="2" s="1"/>
  <c r="Y225" i="2" a="1"/>
  <c r="Y225" i="2" s="1"/>
  <c r="Y226" i="2" a="1"/>
  <c r="Y226" i="2"/>
  <c r="Y227" i="2" a="1"/>
  <c r="Y227" i="2"/>
  <c r="Y228" i="2" a="1"/>
  <c r="Y228" i="2"/>
  <c r="Y229" i="2" a="1"/>
  <c r="Y229" i="2"/>
  <c r="Y230" i="2" a="1"/>
  <c r="Y230" i="2"/>
  <c r="Y231" i="2" a="1"/>
  <c r="Y231" i="2"/>
  <c r="Y232" i="2" a="1"/>
  <c r="Y232" i="2"/>
  <c r="Y233" i="2" a="1"/>
  <c r="Y233" i="2" s="1"/>
  <c r="Y234" i="2" a="1"/>
  <c r="Y234" i="2"/>
  <c r="Y235" i="2" a="1"/>
  <c r="Y235" i="2" s="1"/>
  <c r="Y236" i="2" a="1"/>
  <c r="Y236" i="2"/>
  <c r="Y237" i="2" a="1"/>
  <c r="Y237" i="2"/>
  <c r="Y238" i="2" a="1"/>
  <c r="Y238" i="2"/>
  <c r="Y239" i="2" a="1"/>
  <c r="Y239" i="2"/>
  <c r="Y240" i="2" a="1"/>
  <c r="Y240" i="2" s="1"/>
  <c r="Y241" i="2" a="1"/>
  <c r="Y241" i="2"/>
  <c r="Y242" i="2" a="1"/>
  <c r="Y242" i="2"/>
  <c r="Y243" i="2" a="1"/>
  <c r="Y243" i="2" s="1"/>
  <c r="Y244" i="2" a="1"/>
  <c r="Y244" i="2"/>
  <c r="Y245" i="2" a="1"/>
  <c r="Y245" i="2" s="1"/>
  <c r="Y246" i="2" a="1"/>
  <c r="Y246" i="2" s="1"/>
  <c r="Y247" i="2" a="1"/>
  <c r="Y247" i="2"/>
  <c r="Y248" i="2" a="1"/>
  <c r="Y248" i="2"/>
  <c r="Y249" i="2" a="1"/>
  <c r="Y249" i="2"/>
  <c r="Y250" i="2" a="1"/>
  <c r="Y250" i="2"/>
  <c r="Y251" i="2" a="1"/>
  <c r="Y251" i="2"/>
  <c r="Y252" i="2" a="1"/>
  <c r="Y252" i="2"/>
  <c r="Y253" i="2" a="1"/>
  <c r="Y253" i="2" s="1"/>
  <c r="Y254" i="2" a="1"/>
  <c r="Y254" i="2"/>
  <c r="Y255" i="2" a="1"/>
  <c r="Y255" i="2"/>
  <c r="Y256" i="2" a="1"/>
  <c r="Y256" i="2" s="1"/>
  <c r="Y257" i="2" a="1"/>
  <c r="Y257" i="2"/>
  <c r="Y258" i="2" a="1"/>
  <c r="Y258" i="2"/>
  <c r="Y259" i="2" a="1"/>
  <c r="Y259" i="2"/>
  <c r="Y260" i="2" a="1"/>
  <c r="Y260" i="2"/>
  <c r="Y261" i="2" a="1"/>
  <c r="Y261" i="2" s="1"/>
  <c r="Y262" i="2" a="1"/>
  <c r="Y262" i="2"/>
  <c r="Y263" i="2" a="1"/>
  <c r="Y263" i="2" s="1"/>
  <c r="Y264" i="2" a="1"/>
  <c r="Y264" i="2"/>
  <c r="Y265" i="2" a="1"/>
  <c r="Y265" i="2"/>
  <c r="Y266" i="2" a="1"/>
  <c r="Y266" i="2" s="1"/>
  <c r="Y267" i="2" a="1"/>
  <c r="Y267" i="2"/>
  <c r="Y268" i="2" a="1"/>
  <c r="Y268" i="2"/>
  <c r="Y269" i="2" a="1"/>
  <c r="Y269" i="2"/>
  <c r="Y270" i="2" a="1"/>
  <c r="Y270" i="2"/>
  <c r="Y271" i="2" a="1"/>
  <c r="Y271" i="2"/>
  <c r="Y272" i="2" a="1"/>
  <c r="Y272" i="2"/>
  <c r="Y273" i="2" a="1"/>
  <c r="Y273" i="2" s="1"/>
  <c r="Y274" i="2" a="1"/>
  <c r="Y274" i="2"/>
  <c r="Y275" i="2" a="1"/>
  <c r="Y275" i="2"/>
  <c r="Y276" i="2" a="1"/>
  <c r="Y276" i="2"/>
  <c r="Y277" i="2" a="1"/>
  <c r="Y277" i="2" s="1"/>
  <c r="Y278" i="2" a="1"/>
  <c r="Y278" i="2"/>
  <c r="Y279" i="2" a="1"/>
  <c r="Y279" i="2"/>
  <c r="Y280" i="2" a="1"/>
  <c r="Y280" i="2"/>
  <c r="Y281" i="2" a="1"/>
  <c r="Y281" i="2"/>
  <c r="Y282" i="2" a="1"/>
  <c r="Y282" i="2" s="1"/>
  <c r="Y283" i="2" a="1"/>
  <c r="Y283" i="2" s="1"/>
  <c r="Y284" i="2" a="1"/>
  <c r="Y284" i="2"/>
  <c r="Y285" i="2" a="1"/>
  <c r="Y285" i="2"/>
  <c r="Y286" i="2" a="1"/>
  <c r="Y286" i="2"/>
  <c r="Y287" i="2" a="1"/>
  <c r="Y287" i="2" s="1"/>
  <c r="Y288" i="2" a="1"/>
  <c r="Y288" i="2"/>
  <c r="Y289" i="2" a="1"/>
  <c r="Y289" i="2"/>
  <c r="Y290" i="2" a="1"/>
  <c r="Y290" i="2"/>
  <c r="Y291" i="2" a="1"/>
  <c r="Y291" i="2"/>
  <c r="Y292" i="2" a="1"/>
  <c r="Y292" i="2"/>
  <c r="Y293" i="2" a="1"/>
  <c r="Y293" i="2" s="1"/>
  <c r="Y294" i="2" a="1"/>
  <c r="Y294" i="2"/>
  <c r="Y295" i="2" a="1"/>
  <c r="Y295" i="2"/>
  <c r="Y296" i="2" a="1"/>
  <c r="Y296" i="2"/>
  <c r="Y297" i="2" a="1"/>
  <c r="Y297" i="2"/>
  <c r="Y298" i="2" a="1"/>
  <c r="Y298" i="2" s="1"/>
  <c r="Y299" i="2" a="1"/>
  <c r="Y299" i="2"/>
  <c r="Y300" i="2" a="1"/>
  <c r="Y300" i="2"/>
  <c r="Y301" i="2" a="1"/>
  <c r="Y301" i="2"/>
  <c r="Y302" i="2" a="1"/>
  <c r="Y302" i="2"/>
  <c r="Y303" i="2" a="1"/>
  <c r="Y303" i="2" s="1"/>
  <c r="Y304" i="2" a="1"/>
  <c r="Y304" i="2"/>
  <c r="Y305" i="2" a="1"/>
  <c r="Y305" i="2"/>
  <c r="Y306" i="2" a="1"/>
  <c r="Y306" i="2"/>
  <c r="Y307" i="2" a="1"/>
  <c r="Y307" i="2"/>
  <c r="Y308" i="2" a="1"/>
  <c r="Y308" i="2" s="1"/>
  <c r="Y309" i="2" a="1"/>
  <c r="Y309" i="2"/>
  <c r="Y310" i="2" a="1"/>
  <c r="Y310" i="2"/>
  <c r="Y311" i="2" a="1"/>
  <c r="Y311" i="2"/>
  <c r="Y312" i="2" a="1"/>
  <c r="Y312" i="2"/>
  <c r="Y313" i="2" a="1"/>
  <c r="Y313" i="2" s="1"/>
  <c r="Y314" i="2" a="1"/>
  <c r="Y314" i="2" s="1"/>
  <c r="Y315" i="2" a="1"/>
  <c r="Y315" i="2"/>
  <c r="Y316" i="2" a="1"/>
  <c r="Y316" i="2"/>
  <c r="Y317" i="2" a="1"/>
  <c r="Y317" i="2"/>
  <c r="Y318" i="2" a="1"/>
  <c r="Y318" i="2"/>
  <c r="Y319" i="2" a="1"/>
  <c r="Y319" i="2" s="1"/>
  <c r="Y320" i="2" a="1"/>
  <c r="Y320" i="2"/>
  <c r="Y321" i="2" a="1"/>
  <c r="Y321" i="2"/>
  <c r="Y322" i="2" a="1"/>
  <c r="Y322" i="2"/>
  <c r="Y323" i="2" a="1"/>
  <c r="Y323" i="2" s="1"/>
  <c r="Y324" i="2" a="1"/>
  <c r="Y324" i="2"/>
  <c r="Y325" i="2" a="1"/>
  <c r="Y325" i="2"/>
  <c r="Y326" i="2" a="1"/>
  <c r="Y326" i="2"/>
  <c r="Y327" i="2" a="1"/>
  <c r="Y327" i="2"/>
  <c r="Y328" i="2" a="1"/>
  <c r="Y328" i="2"/>
  <c r="Y329" i="2" a="1"/>
  <c r="Y329" i="2" s="1"/>
  <c r="Y330" i="2" a="1"/>
  <c r="Y330" i="2"/>
  <c r="Y331" i="2" a="1"/>
  <c r="Y331" i="2"/>
  <c r="Y332" i="2" a="1"/>
  <c r="Y332" i="2"/>
  <c r="Y333" i="2" a="1"/>
  <c r="Y333" i="2" s="1"/>
  <c r="Y334" i="2" a="1"/>
  <c r="Y334" i="2"/>
  <c r="Y335" i="2" a="1"/>
  <c r="Y335" i="2" s="1"/>
  <c r="Y336" i="2" a="1"/>
  <c r="Y336" i="2"/>
  <c r="Y337" i="2" a="1"/>
  <c r="Y337" i="2"/>
  <c r="Y338" i="2" a="1"/>
  <c r="Y338" i="2"/>
  <c r="Y339" i="2" a="1"/>
  <c r="Y339" i="2"/>
  <c r="Y340" i="2" a="1"/>
  <c r="Y340" i="2" s="1"/>
  <c r="Y341" i="2" a="1"/>
  <c r="Y341" i="2"/>
  <c r="Y342" i="2" a="1"/>
  <c r="Y342" i="2"/>
  <c r="Y343" i="2" a="1"/>
  <c r="Y343" i="2" s="1"/>
  <c r="Y344" i="2" a="1"/>
  <c r="Y344" i="2"/>
  <c r="Y345" i="2" a="1"/>
  <c r="Y345" i="2"/>
  <c r="Y346" i="2" a="1"/>
  <c r="Y346" i="2"/>
  <c r="Y347" i="2" a="1"/>
  <c r="Y347" i="2"/>
  <c r="Y348" i="2" a="1"/>
  <c r="Y348" i="2"/>
  <c r="Y349" i="2" a="1"/>
  <c r="Y349" i="2"/>
  <c r="Y350" i="2" a="1"/>
  <c r="Y350" i="2" s="1"/>
  <c r="Y351" i="2" a="1"/>
  <c r="Y351" i="2"/>
  <c r="Y352" i="2" a="1"/>
  <c r="Y352" i="2"/>
  <c r="Y353" i="2" a="1"/>
  <c r="Y353" i="2" s="1"/>
  <c r="Y354" i="2" a="1"/>
  <c r="Y354" i="2"/>
  <c r="Y355" i="2" a="1"/>
  <c r="Y355" i="2"/>
  <c r="Y356" i="2" a="1"/>
  <c r="Y356" i="2" s="1"/>
  <c r="Y357" i="2" a="1"/>
  <c r="Y357" i="2"/>
  <c r="Y358" i="2" a="1"/>
  <c r="Y358" i="2"/>
  <c r="Y359" i="2" a="1"/>
  <c r="Y359" i="2"/>
  <c r="Y360" i="2" a="1"/>
  <c r="Y360" i="2"/>
  <c r="Y361" i="2" a="1"/>
  <c r="Y361" i="2" s="1"/>
  <c r="Y362" i="2" a="1"/>
  <c r="Y362" i="2"/>
  <c r="Y363" i="2" a="1"/>
  <c r="Y363" i="2" s="1"/>
  <c r="Y364" i="2" a="1"/>
  <c r="Y364" i="2"/>
  <c r="Y365" i="2" a="1"/>
  <c r="Y365" i="2"/>
  <c r="Y366" i="2" a="1"/>
  <c r="Y366" i="2"/>
  <c r="Y367" i="2" a="1"/>
  <c r="Y367" i="2"/>
  <c r="Y368" i="2" a="1"/>
  <c r="Y368" i="2"/>
  <c r="Y369" i="2" a="1"/>
  <c r="Y369" i="2"/>
  <c r="Y370" i="2" a="1"/>
  <c r="Y370" i="2"/>
  <c r="Y371" i="2" a="1"/>
  <c r="Y371" i="2" s="1"/>
  <c r="Y372" i="2" a="1"/>
  <c r="Y372" i="2"/>
  <c r="Y373" i="2" a="1"/>
  <c r="Y373" i="2" s="1"/>
  <c r="Y374" i="2" a="1"/>
  <c r="Y374" i="2"/>
  <c r="Y375" i="2" a="1"/>
  <c r="Y375" i="2"/>
  <c r="Y376" i="2" a="1"/>
  <c r="Y376" i="2"/>
  <c r="Y377" i="2" a="1"/>
  <c r="Y377" i="2" s="1"/>
  <c r="Y378" i="2" a="1"/>
  <c r="Y378" i="2"/>
  <c r="Y379" i="2" a="1"/>
  <c r="Y379" i="2"/>
  <c r="Y380" i="2" a="1"/>
  <c r="Y380" i="2"/>
  <c r="Y381" i="2" a="1"/>
  <c r="Y381" i="2"/>
  <c r="Y382" i="2" a="1"/>
  <c r="Y382" i="2" s="1"/>
  <c r="Y383" i="2" a="1"/>
  <c r="Y383" i="2" s="1"/>
  <c r="Y384" i="2" a="1"/>
  <c r="Y384" i="2"/>
  <c r="Y385" i="2" a="1"/>
  <c r="Y385" i="2"/>
  <c r="Y386" i="2" a="1"/>
  <c r="Y386" i="2"/>
  <c r="Y387" i="2" a="1"/>
  <c r="Y387" i="2"/>
  <c r="Y388" i="2" a="1"/>
  <c r="Y388" i="2"/>
  <c r="Y389" i="2" a="1"/>
  <c r="Y389" i="2"/>
  <c r="Y390" i="2" a="1"/>
  <c r="Y390" i="2"/>
  <c r="Y391" i="2" a="1"/>
  <c r="Y391" i="2"/>
  <c r="Y392" i="2" a="1"/>
  <c r="Y392" i="2" s="1"/>
  <c r="Y393" i="2" a="1"/>
  <c r="Y393" i="2" s="1"/>
  <c r="Y394" i="2" a="1"/>
  <c r="Y394" i="2"/>
  <c r="Y395" i="2" a="1"/>
  <c r="Y395" i="2"/>
  <c r="Y396" i="2" a="1"/>
  <c r="Y396" i="2"/>
  <c r="Y397" i="2" a="1"/>
  <c r="Y397" i="2"/>
  <c r="Y398" i="2" a="1"/>
  <c r="Y398" i="2" s="1"/>
  <c r="Y399" i="2" a="1"/>
  <c r="Y399" i="2"/>
  <c r="Y400" i="2" a="1"/>
  <c r="Y400" i="2"/>
  <c r="Y401" i="2" a="1"/>
  <c r="Y401" i="2"/>
  <c r="Y402" i="2" a="1"/>
  <c r="Y402" i="2"/>
  <c r="Y403" i="2" a="1"/>
  <c r="Y403" i="2" s="1"/>
  <c r="Y404" i="2" a="1"/>
  <c r="Y404" i="2"/>
  <c r="Y405" i="2" a="1"/>
  <c r="Y405" i="2"/>
  <c r="Y406" i="2" a="1"/>
  <c r="Y406" i="2"/>
  <c r="Y407" i="2" a="1"/>
  <c r="Y407" i="2"/>
  <c r="Y408" i="2" a="1"/>
  <c r="Y408" i="2"/>
  <c r="Y409" i="2" a="1"/>
  <c r="Y409" i="2"/>
  <c r="Y410" i="2" a="1"/>
  <c r="Y410" i="2"/>
  <c r="Y411" i="2" a="1"/>
  <c r="Y411" i="2"/>
  <c r="Y412" i="2" a="1"/>
  <c r="Y412" i="2"/>
  <c r="Y413" i="2" a="1"/>
  <c r="Y413" i="2" s="1"/>
  <c r="Y414" i="2" a="1"/>
  <c r="Y414" i="2" s="1"/>
  <c r="Y415" i="2" a="1"/>
  <c r="Y415" i="2"/>
  <c r="Y416" i="2" a="1"/>
  <c r="Y416" i="2"/>
  <c r="Y417" i="2" a="1"/>
  <c r="Y417" i="2"/>
  <c r="Y418" i="2" a="1"/>
  <c r="Y418" i="2"/>
  <c r="Y419" i="2" a="1"/>
  <c r="Y419" i="2" s="1"/>
  <c r="Y420" i="2" a="1"/>
  <c r="Y420" i="2"/>
  <c r="Y421" i="2" a="1"/>
  <c r="Y421" i="2"/>
  <c r="Y422" i="2" a="1"/>
  <c r="Y422" i="2"/>
  <c r="Y423" i="2" a="1"/>
  <c r="Y423" i="2" s="1"/>
  <c r="Y424" i="2" a="1"/>
  <c r="Y424" i="2" s="1"/>
  <c r="Y425" i="2" a="1"/>
  <c r="Y425" i="2"/>
  <c r="Y426" i="2" a="1"/>
  <c r="Y426" i="2"/>
  <c r="Y427" i="2" a="1"/>
  <c r="Y427" i="2"/>
  <c r="Y428" i="2" a="1"/>
  <c r="Y428" i="2"/>
  <c r="Y429" i="2" a="1"/>
  <c r="Y429" i="2"/>
  <c r="Y430" i="2" a="1"/>
  <c r="Y430" i="2"/>
  <c r="Y431" i="2" a="1"/>
  <c r="Y431" i="2"/>
  <c r="Y432" i="2" a="1"/>
  <c r="Y432" i="2"/>
  <c r="Y433" i="2" a="1"/>
  <c r="Y433" i="2" s="1"/>
  <c r="Y434" i="2" a="1"/>
  <c r="Y434" i="2"/>
  <c r="Y435" i="2" a="1"/>
  <c r="Y435" i="2" s="1"/>
  <c r="Y436" i="2" a="1"/>
  <c r="Y436" i="2"/>
  <c r="Y437" i="2" a="1"/>
  <c r="Y437" i="2"/>
  <c r="Y438" i="2" a="1"/>
  <c r="Y438" i="2"/>
  <c r="Y439" i="2" a="1"/>
  <c r="Y439" i="2"/>
  <c r="Y440" i="2" a="1"/>
  <c r="Y440" i="2" s="1"/>
  <c r="Y441" i="2" a="1"/>
  <c r="Y441" i="2"/>
  <c r="Y442" i="2" a="1"/>
  <c r="Y442" i="2"/>
  <c r="Y443" i="2" a="1"/>
  <c r="Y443" i="2" s="1"/>
  <c r="Y444" i="2" a="1"/>
  <c r="Y444" i="2"/>
  <c r="Y445" i="2" a="1"/>
  <c r="Y445" i="2" s="1"/>
  <c r="Y446" i="2" a="1"/>
  <c r="Y446" i="2" s="1"/>
  <c r="Y447" i="2" a="1"/>
  <c r="Y447" i="2"/>
  <c r="Y448" i="2" a="1"/>
  <c r="Y448" i="2"/>
  <c r="Y449" i="2" a="1"/>
  <c r="Y449" i="2"/>
  <c r="Y450" i="2" a="1"/>
  <c r="Y450" i="2"/>
  <c r="Y451" i="2" a="1"/>
  <c r="Y451" i="2"/>
  <c r="Y452" i="2" a="1"/>
  <c r="Y452" i="2"/>
  <c r="Y453" i="2" a="1"/>
  <c r="Y453" i="2" s="1"/>
  <c r="Y454" i="2" a="1"/>
  <c r="Y454" i="2"/>
  <c r="Y455" i="2" a="1"/>
  <c r="Y455" i="2"/>
  <c r="Y456" i="2" a="1"/>
  <c r="Y456" i="2" s="1"/>
  <c r="Y457" i="2" a="1"/>
  <c r="Y457" i="2"/>
  <c r="Y458" i="2" a="1"/>
  <c r="Y458" i="2"/>
  <c r="Y459" i="2" a="1"/>
  <c r="Y459" i="2"/>
  <c r="Y460" i="2" a="1"/>
  <c r="Y460" i="2"/>
  <c r="Y461" i="2" a="1"/>
  <c r="Y461" i="2" s="1"/>
  <c r="Y462" i="2" a="1"/>
  <c r="Y462" i="2"/>
  <c r="Y463" i="2" a="1"/>
  <c r="Y463" i="2" s="1"/>
  <c r="Y464" i="2" a="1"/>
  <c r="Y464" i="2"/>
  <c r="Y465" i="2" a="1"/>
  <c r="Y465" i="2"/>
  <c r="Y466" i="2" a="1"/>
  <c r="Y466" i="2" s="1"/>
  <c r="Y467" i="2" a="1"/>
  <c r="Y467" i="2" s="1"/>
  <c r="Y468" i="2" a="1"/>
  <c r="Y468" i="2"/>
  <c r="Y469" i="2" a="1"/>
  <c r="Y469" i="2"/>
  <c r="Y470" i="2" a="1"/>
  <c r="Y470" i="2"/>
  <c r="Y471" i="2" a="1"/>
  <c r="Y471" i="2"/>
  <c r="Y472" i="2" a="1"/>
  <c r="Y472" i="2"/>
  <c r="Y473" i="2" a="1"/>
  <c r="Y473" i="2" s="1"/>
  <c r="Y474" i="2" a="1"/>
  <c r="Y474" i="2"/>
  <c r="Y475" i="2" a="1"/>
  <c r="Y475" i="2"/>
  <c r="Y476" i="2" a="1"/>
  <c r="Y476" i="2"/>
  <c r="Y477" i="2" a="1"/>
  <c r="Y477" i="2" s="1"/>
  <c r="Y478" i="2" a="1"/>
  <c r="Y478" i="2"/>
  <c r="Y479" i="2" a="1"/>
  <c r="Y479" i="2"/>
  <c r="Y480" i="2" a="1"/>
  <c r="Y480" i="2"/>
  <c r="Y481" i="2" a="1"/>
  <c r="Y481" i="2"/>
  <c r="Y482" i="2" a="1"/>
  <c r="Y482" i="2" s="1"/>
  <c r="Y483" i="2" a="1"/>
  <c r="Y483" i="2" s="1"/>
  <c r="Y484" i="2" a="1"/>
  <c r="Y484" i="2"/>
  <c r="Y485" i="2" a="1"/>
  <c r="Y485" i="2"/>
  <c r="Y486" i="2" a="1"/>
  <c r="Y486" i="2"/>
  <c r="Y487" i="2" a="1"/>
  <c r="Y487" i="2" s="1"/>
  <c r="Y488" i="2" a="1"/>
  <c r="Y488" i="2" s="1"/>
  <c r="Y489" i="2" a="1"/>
  <c r="Y489" i="2"/>
  <c r="Y490" i="2" a="1"/>
  <c r="Y490" i="2"/>
  <c r="Y491" i="2" a="1"/>
  <c r="Y491" i="2"/>
  <c r="Y492" i="2" a="1"/>
  <c r="Y492" i="2"/>
  <c r="Y493" i="2" a="1"/>
  <c r="Y493" i="2" s="1"/>
  <c r="Y494" i="2" a="1"/>
  <c r="Y494" i="2"/>
  <c r="Y495" i="2" a="1"/>
  <c r="Y495" i="2"/>
  <c r="Y496" i="2" a="1"/>
  <c r="Y496" i="2"/>
  <c r="Y497" i="2" a="1"/>
  <c r="Y497" i="2"/>
  <c r="Y498" i="2" a="1"/>
  <c r="Y498" i="2" s="1"/>
  <c r="Y499" i="2" a="1"/>
  <c r="Y499" i="2"/>
  <c r="Y500" i="2" a="1"/>
  <c r="Y500" i="2"/>
  <c r="Y501" i="2" a="1"/>
  <c r="Y501" i="2"/>
  <c r="Y502" i="2" a="1"/>
  <c r="Y502" i="2"/>
  <c r="Y503" i="2" a="1"/>
  <c r="Y503" i="2" s="1"/>
  <c r="Y504" i="2" a="1"/>
  <c r="Y504" i="2"/>
  <c r="Y505" i="2" a="1"/>
  <c r="Y505" i="2"/>
  <c r="Y506" i="2" a="1"/>
  <c r="Y506" i="2"/>
  <c r="Y507" i="2" a="1"/>
  <c r="Y507" i="2"/>
  <c r="Y508" i="2" a="1"/>
  <c r="Y508" i="2" s="1"/>
  <c r="Y509" i="2" a="1"/>
  <c r="Y509" i="2" s="1"/>
  <c r="Y510" i="2" a="1"/>
  <c r="Y510" i="2"/>
  <c r="Y511" i="2" a="1"/>
  <c r="Y511" i="2"/>
  <c r="Y512" i="2" a="1"/>
  <c r="Y512" i="2"/>
  <c r="Y513" i="2" a="1"/>
  <c r="Y513" i="2" s="1"/>
  <c r="Y514" i="2" a="1"/>
  <c r="Y514" i="2" s="1"/>
  <c r="Y515" i="2" a="1"/>
  <c r="Y515" i="2"/>
  <c r="Y516" i="2" a="1"/>
  <c r="Y516" i="2"/>
  <c r="Y517" i="2" a="1"/>
  <c r="Y517" i="2"/>
  <c r="Y518" i="2" a="1"/>
  <c r="Y518" i="2"/>
  <c r="Y519" i="2" a="1"/>
  <c r="Y519" i="2" s="1"/>
  <c r="Y520" i="2" a="1"/>
  <c r="Y520" i="2"/>
  <c r="Y521" i="2" a="1"/>
  <c r="Y521" i="2"/>
  <c r="Y522" i="2" a="1"/>
  <c r="Y522" i="2"/>
  <c r="Y523" i="2" a="1"/>
  <c r="Y523" i="2" s="1"/>
  <c r="Y524" i="2" a="1"/>
  <c r="Y524" i="2"/>
  <c r="Y525" i="2" a="1"/>
  <c r="Y525" i="2"/>
  <c r="Y526" i="2" a="1"/>
  <c r="Y526" i="2"/>
  <c r="Y527" i="2" a="1"/>
  <c r="Y527" i="2"/>
  <c r="Y528" i="2" a="1"/>
  <c r="Y528" i="2"/>
  <c r="Y529" i="2" a="1"/>
  <c r="Y529" i="2" s="1"/>
  <c r="Y530" i="2" a="1"/>
  <c r="Y530" i="2" s="1"/>
  <c r="Y531" i="2" a="1"/>
  <c r="Y531" i="2"/>
  <c r="Y532" i="2" a="1"/>
  <c r="Y532" i="2"/>
  <c r="Y533" i="2" a="1"/>
  <c r="Y533" i="2" s="1"/>
  <c r="Y534" i="2" a="1"/>
  <c r="Y534" i="2"/>
  <c r="Y535" i="2" a="1"/>
  <c r="Y535" i="2" s="1"/>
  <c r="Y536" i="2" a="1"/>
  <c r="Y536" i="2"/>
  <c r="Y537" i="2" a="1"/>
  <c r="Y537" i="2"/>
  <c r="Y538" i="2" a="1"/>
  <c r="Y538" i="2"/>
  <c r="Y539" i="2" a="1"/>
  <c r="Y539" i="2"/>
  <c r="Y540" i="2" a="1"/>
  <c r="Y540" i="2" s="1"/>
  <c r="Y541" i="2" a="1"/>
  <c r="Y541" i="2"/>
  <c r="Y542" i="2" a="1"/>
  <c r="Y542" i="2"/>
  <c r="Y543" i="2" a="1"/>
  <c r="Y543" i="2" s="1"/>
  <c r="Y544" i="2" a="1"/>
  <c r="Y544" i="2"/>
  <c r="Y545" i="2" a="1"/>
  <c r="Y545" i="2"/>
  <c r="Y546" i="2" a="1"/>
  <c r="Y546" i="2"/>
  <c r="Y547" i="2" a="1"/>
  <c r="Y547" i="2"/>
  <c r="Y548" i="2" a="1"/>
  <c r="Y548" i="2"/>
  <c r="Y549" i="2" a="1"/>
  <c r="Y549" i="2"/>
  <c r="Y550" i="2" a="1"/>
  <c r="Y550" i="2" s="1"/>
  <c r="Y551" i="2" a="1"/>
  <c r="Y551" i="2" s="1"/>
  <c r="Y552" i="2" a="1"/>
  <c r="Y552" i="2"/>
  <c r="Y553" i="2" a="1"/>
  <c r="Y553" i="2" s="1"/>
  <c r="Y554" i="2" a="1"/>
  <c r="Y554" i="2"/>
  <c r="Y555" i="2" a="1"/>
  <c r="Y555" i="2"/>
  <c r="Y556" i="2" a="1"/>
  <c r="Y556" i="2" s="1"/>
  <c r="Y557" i="2" a="1"/>
  <c r="Y557" i="2"/>
  <c r="Y558" i="2" a="1"/>
  <c r="Y558" i="2"/>
  <c r="Y559" i="2" a="1"/>
  <c r="Y559" i="2"/>
  <c r="Y560" i="2" a="1"/>
  <c r="Y560" i="2"/>
  <c r="Y561" i="2" a="1"/>
  <c r="Y561" i="2" s="1"/>
  <c r="Y562" i="2" a="1"/>
  <c r="Y562" i="2"/>
  <c r="Y563" i="2" a="1"/>
  <c r="Y563" i="2" s="1"/>
  <c r="Y564" i="2" a="1"/>
  <c r="Y564" i="2"/>
  <c r="Y565" i="2" a="1"/>
  <c r="Y565" i="2"/>
  <c r="Y566" i="2" a="1"/>
  <c r="Y566" i="2"/>
  <c r="Y567" i="2" a="1"/>
  <c r="Y567" i="2"/>
  <c r="Y568" i="2" a="1"/>
  <c r="Y568" i="2"/>
  <c r="Y569" i="2" a="1"/>
  <c r="Y569" i="2"/>
  <c r="Y570" i="2" a="1"/>
  <c r="Y570" i="2"/>
  <c r="Y571" i="2" a="1"/>
  <c r="Y571" i="2" s="1"/>
  <c r="Y572" i="2" a="1"/>
  <c r="Y572" i="2"/>
  <c r="Y573" i="2" a="1"/>
  <c r="Y573" i="2" s="1"/>
  <c r="Y574" i="2" a="1"/>
  <c r="Y574" i="2"/>
  <c r="Y575" i="2" a="1"/>
  <c r="Y575" i="2"/>
  <c r="Y576" i="2" a="1"/>
  <c r="Y576" i="2"/>
  <c r="Y577" i="2" a="1"/>
  <c r="Y577" i="2" s="1"/>
  <c r="Y578" i="2" a="1"/>
  <c r="Y578" i="2"/>
  <c r="Y579" i="2" a="1"/>
  <c r="Y579" i="2"/>
  <c r="Y580" i="2" a="1"/>
  <c r="Y580" i="2"/>
  <c r="Y581" i="2" a="1"/>
  <c r="Y581" i="2"/>
  <c r="Y582" i="2" a="1"/>
  <c r="Y582" i="2" s="1"/>
  <c r="Y583" i="2" a="1"/>
  <c r="Y583" i="2" s="1"/>
  <c r="Y584" i="2" a="1"/>
  <c r="Y584" i="2"/>
  <c r="Y585" i="2" a="1"/>
  <c r="Y585" i="2"/>
  <c r="Y586" i="2" a="1"/>
  <c r="Y586" i="2"/>
  <c r="Y587" i="2" a="1"/>
  <c r="Y587" i="2"/>
  <c r="Y588" i="2" a="1"/>
  <c r="Y588" i="2"/>
  <c r="Y589" i="2" a="1"/>
  <c r="Y589" i="2"/>
  <c r="Y590" i="2" a="1"/>
  <c r="Y590" i="2"/>
  <c r="Y591" i="2" a="1"/>
  <c r="Y591" i="2"/>
  <c r="Y592" i="2" a="1"/>
  <c r="Y592" i="2" s="1"/>
  <c r="Y593" i="2" a="1"/>
  <c r="Y593" i="2" s="1"/>
  <c r="Y594" i="2" a="1"/>
  <c r="Y594" i="2"/>
  <c r="Y595" i="2" a="1"/>
  <c r="Y595" i="2"/>
  <c r="Y596" i="2" a="1"/>
  <c r="Y596" i="2"/>
  <c r="Y597" i="2" a="1"/>
  <c r="Y597" i="2"/>
  <c r="Y598" i="2" a="1"/>
  <c r="Y598" i="2" s="1"/>
  <c r="Y599" i="2" a="1"/>
  <c r="Y599" i="2"/>
  <c r="Y600" i="2" a="1"/>
  <c r="Y600" i="2"/>
  <c r="Y601" i="2" a="1"/>
  <c r="Y601" i="2"/>
  <c r="Y602" i="2" a="1"/>
  <c r="Y602" i="2"/>
  <c r="Y603" i="2" a="1"/>
  <c r="Y603" i="2" s="1"/>
  <c r="Y604" i="2" a="1"/>
  <c r="Y604" i="2" s="1"/>
  <c r="Y605" i="2" a="1"/>
  <c r="Y605" i="2"/>
  <c r="Y606" i="2" a="1"/>
  <c r="Y606" i="2"/>
  <c r="Y607" i="2" a="1"/>
  <c r="Y607" i="2"/>
  <c r="Y608" i="2" a="1"/>
  <c r="Y608" i="2"/>
  <c r="Y609" i="2" a="1"/>
  <c r="Y609" i="2"/>
  <c r="Y610" i="2" a="1"/>
  <c r="Y610" i="2"/>
  <c r="Y611" i="2" a="1"/>
  <c r="Y611" i="2"/>
  <c r="Y612" i="2" a="1"/>
  <c r="Y612" i="2"/>
  <c r="Y613" i="2" a="1"/>
  <c r="Y613" i="2" s="1"/>
  <c r="Y614" i="2" a="1"/>
  <c r="Y614" i="2" s="1"/>
  <c r="Y615" i="2" a="1"/>
  <c r="Y615" i="2"/>
  <c r="Y616" i="2" a="1"/>
  <c r="Y616" i="2"/>
  <c r="Y617" i="2" a="1"/>
  <c r="Y617" i="2"/>
  <c r="Y618" i="2" a="1"/>
  <c r="Y618" i="2"/>
  <c r="Y619" i="2" a="1"/>
  <c r="Y619" i="2" s="1"/>
  <c r="Y620" i="2" a="1"/>
  <c r="Y620" i="2"/>
  <c r="Y621" i="2" a="1"/>
  <c r="Y621" i="2"/>
  <c r="Y622" i="2" a="1"/>
  <c r="Y622" i="2"/>
  <c r="Y623" i="2" a="1"/>
  <c r="Y623" i="2" s="1"/>
  <c r="Y624" i="2" a="1"/>
  <c r="Y624" i="2" s="1"/>
  <c r="Y625" i="2" a="1"/>
  <c r="Y625" i="2" s="1"/>
  <c r="Y626" i="2" a="1"/>
  <c r="Y626" i="2"/>
  <c r="Y627" i="2" a="1"/>
  <c r="Y627" i="2"/>
  <c r="Y628" i="2" a="1"/>
  <c r="Y628" i="2"/>
  <c r="Y629" i="2" a="1"/>
  <c r="Y629" i="2"/>
  <c r="Y630" i="2" a="1"/>
  <c r="Y630" i="2"/>
  <c r="Y631" i="2" a="1"/>
  <c r="Y631" i="2"/>
  <c r="Y632" i="2" a="1"/>
  <c r="Y632" i="2"/>
  <c r="Y633" i="2" a="1"/>
  <c r="Y633" i="2" s="1"/>
  <c r="Y634" i="2" a="1"/>
  <c r="Y634" i="2"/>
  <c r="Y635" i="2" a="1"/>
  <c r="Y635" i="2" s="1"/>
  <c r="Y636" i="2" a="1"/>
  <c r="Y636" i="2"/>
  <c r="Y637" i="2" a="1"/>
  <c r="Y637" i="2"/>
  <c r="Y638" i="2" a="1"/>
  <c r="Y638" i="2"/>
  <c r="Y639" i="2" a="1"/>
  <c r="Y639" i="2"/>
  <c r="Y640" i="2" a="1"/>
  <c r="Y640" i="2" s="1"/>
  <c r="Y641" i="2" a="1"/>
  <c r="Y641" i="2"/>
  <c r="Y642" i="2" a="1"/>
  <c r="Y642" i="2"/>
  <c r="Y643" i="2" a="1"/>
  <c r="Y643" i="2" s="1"/>
  <c r="Y644" i="2" a="1"/>
  <c r="Y644" i="2"/>
  <c r="Y645" i="2" a="1"/>
  <c r="Y645" i="2" s="1"/>
  <c r="Y646" i="2" a="1"/>
  <c r="Y646" i="2"/>
  <c r="Y647" i="2" a="1"/>
  <c r="Y647" i="2"/>
  <c r="Y648" i="2" a="1"/>
  <c r="Y648" i="2"/>
  <c r="Y649" i="2" a="1"/>
  <c r="Y649" i="2"/>
  <c r="Y650" i="2" a="1"/>
  <c r="Y650" i="2"/>
  <c r="Y651" i="2" a="1"/>
  <c r="Y651" i="2"/>
  <c r="Y652" i="2" a="1"/>
  <c r="Y652" i="2"/>
  <c r="Y653" i="2" a="1"/>
  <c r="Y653" i="2" s="1"/>
  <c r="Y654" i="2" a="1"/>
  <c r="Y654" i="2"/>
  <c r="Y655" i="2" a="1"/>
  <c r="Y655" i="2"/>
  <c r="Y656" i="2" a="1"/>
  <c r="Y656" i="2" s="1"/>
  <c r="Y657" i="2" a="1"/>
  <c r="Y657" i="2"/>
  <c r="Y658" i="2" a="1"/>
  <c r="Y658" i="2"/>
  <c r="Y659" i="2" a="1"/>
  <c r="Y659" i="2"/>
  <c r="Y660" i="2" a="1"/>
  <c r="Y660" i="2"/>
  <c r="Y661" i="2" a="1"/>
  <c r="Y661" i="2" s="1"/>
  <c r="Y662" i="2" a="1"/>
  <c r="Y662" i="2"/>
  <c r="Y663" i="2" a="1"/>
  <c r="Y663" i="2" s="1"/>
  <c r="Y664" i="2" a="1"/>
  <c r="Y664" i="2"/>
  <c r="Y665" i="2" a="1"/>
  <c r="Y665" i="2"/>
  <c r="Y666" i="2" a="1"/>
  <c r="Y666" i="2" s="1"/>
  <c r="Y667" i="2" a="1"/>
  <c r="Y667" i="2"/>
  <c r="Y668" i="2" a="1"/>
  <c r="Y668" i="2"/>
  <c r="Y669" i="2" a="1"/>
  <c r="Y669" i="2"/>
  <c r="Y670" i="2" a="1"/>
  <c r="Y670" i="2"/>
  <c r="Y671" i="2" a="1"/>
  <c r="Y671" i="2"/>
  <c r="Y672" i="2" a="1"/>
  <c r="Y672" i="2"/>
  <c r="Y673" i="2" a="1"/>
  <c r="Y673" i="2" s="1"/>
  <c r="Y674" i="2" a="1"/>
  <c r="Y674" i="2"/>
  <c r="Y675" i="2" a="1"/>
  <c r="Y675" i="2"/>
  <c r="Y676" i="2" a="1"/>
  <c r="Y676" i="2"/>
  <c r="Y677" i="2" a="1"/>
  <c r="Y677" i="2" s="1"/>
  <c r="Y678" i="2" a="1"/>
  <c r="Y678" i="2"/>
  <c r="Y679" i="2" a="1"/>
  <c r="Y679" i="2"/>
  <c r="Y680" i="2" a="1"/>
  <c r="Y680" i="2"/>
  <c r="Y681" i="2" a="1"/>
  <c r="Y681" i="2"/>
  <c r="Y682" i="2" a="1"/>
  <c r="Y682" i="2" s="1"/>
  <c r="Y683" i="2" a="1"/>
  <c r="Y683" i="2" s="1"/>
  <c r="Y684" i="2" a="1"/>
  <c r="Y684" i="2"/>
  <c r="Y685" i="2" a="1"/>
  <c r="Y685" i="2"/>
  <c r="Y686" i="2" a="1"/>
  <c r="Y686" i="2"/>
  <c r="Y687" i="2" a="1"/>
  <c r="Y687" i="2" s="1"/>
  <c r="Y688" i="2" a="1"/>
  <c r="Y688" i="2"/>
  <c r="Y689" i="2" a="1"/>
  <c r="Y689" i="2"/>
  <c r="Y690" i="2" a="1"/>
  <c r="Y690" i="2"/>
  <c r="Y691" i="2" a="1"/>
  <c r="Y691" i="2"/>
  <c r="Y692" i="2" a="1"/>
  <c r="Y692" i="2"/>
  <c r="Y693" i="2" a="1"/>
  <c r="Y693" i="2" s="1"/>
  <c r="Y694" i="2" a="1"/>
  <c r="Y694" i="2"/>
  <c r="Y695" i="2" a="1"/>
  <c r="Y695" i="2"/>
  <c r="Y696" i="2" a="1"/>
  <c r="Y696" i="2"/>
  <c r="Y697" i="2" a="1"/>
  <c r="Y697" i="2"/>
  <c r="Y698" i="2" a="1"/>
  <c r="Y698" i="2" s="1"/>
  <c r="Y699" i="2" a="1"/>
  <c r="Y699" i="2"/>
  <c r="Y700" i="2" a="1"/>
  <c r="Y700" i="2"/>
  <c r="Y701" i="2" a="1"/>
  <c r="Y701" i="2"/>
  <c r="Y702" i="2" a="1"/>
  <c r="Y702" i="2"/>
  <c r="Y703" i="2" a="1"/>
  <c r="Y703" i="2" s="1"/>
  <c r="Y704" i="2" a="1"/>
  <c r="Y704" i="2"/>
  <c r="Y705" i="2" a="1"/>
  <c r="Y705" i="2"/>
  <c r="Y706" i="2" a="1"/>
  <c r="Y706" i="2"/>
  <c r="Y707" i="2" a="1"/>
  <c r="Y707" i="2"/>
  <c r="Y708" i="2" a="1"/>
  <c r="Y708" i="2" s="1"/>
  <c r="Y709" i="2" a="1"/>
  <c r="Y709" i="2"/>
  <c r="Y710" i="2" a="1"/>
  <c r="Y710" i="2"/>
  <c r="Y711" i="2" a="1"/>
  <c r="Y711" i="2"/>
  <c r="Y712" i="2" a="1"/>
  <c r="Y712" i="2"/>
  <c r="Y713" i="2" a="1"/>
  <c r="Y713" i="2" s="1"/>
  <c r="Y714" i="2" a="1"/>
  <c r="Y714" i="2" s="1"/>
  <c r="Y715" i="2" a="1"/>
  <c r="Y715" i="2"/>
  <c r="Y716" i="2" a="1"/>
  <c r="Y716" i="2"/>
  <c r="Y717" i="2" a="1"/>
  <c r="Y717" i="2"/>
  <c r="Y718" i="2" a="1"/>
  <c r="Y718" i="2"/>
  <c r="Y719" i="2" a="1"/>
  <c r="Y719" i="2" s="1"/>
  <c r="Y720" i="2" a="1"/>
  <c r="Y720" i="2"/>
  <c r="Y721" i="2" a="1"/>
  <c r="Y721" i="2"/>
  <c r="Y722" i="2" a="1"/>
  <c r="Y722" i="2"/>
  <c r="Y723" i="2" a="1"/>
  <c r="Y723" i="2" s="1"/>
  <c r="Y724" i="2" a="1"/>
  <c r="Y724" i="2"/>
  <c r="Y725" i="2" a="1"/>
  <c r="Y725" i="2"/>
  <c r="Y726" i="2" a="1"/>
  <c r="Y726" i="2"/>
  <c r="Y727" i="2" a="1"/>
  <c r="Y727" i="2"/>
  <c r="Y728" i="2" a="1"/>
  <c r="Y728" i="2"/>
  <c r="Y729" i="2" a="1"/>
  <c r="Y729" i="2" s="1"/>
  <c r="Y730" i="2" a="1"/>
  <c r="Y730" i="2" s="1"/>
  <c r="Y731" i="2" a="1"/>
  <c r="Y731" i="2"/>
  <c r="Y732" i="2" a="1"/>
  <c r="Y732" i="2"/>
  <c r="Y733" i="2" a="1"/>
  <c r="Y733" i="2" s="1"/>
  <c r="Y734" i="2" a="1"/>
  <c r="Y734" i="2"/>
  <c r="Y735" i="2" a="1"/>
  <c r="Y735" i="2" s="1"/>
  <c r="Y736" i="2" a="1"/>
  <c r="Y736" i="2"/>
  <c r="Y737" i="2" a="1"/>
  <c r="Y737" i="2"/>
  <c r="Y738" i="2" a="1"/>
  <c r="Y738" i="2"/>
  <c r="Y739" i="2" a="1"/>
  <c r="Y739" i="2"/>
  <c r="Y740" i="2" a="1"/>
  <c r="Y740" i="2" s="1"/>
  <c r="Y741" i="2" a="1"/>
  <c r="Y741" i="2"/>
  <c r="Y742" i="2" a="1"/>
  <c r="Y742" i="2"/>
  <c r="Y743" i="2" a="1"/>
  <c r="Y743" i="2" s="1"/>
  <c r="Y744" i="2" a="1"/>
  <c r="Y744" i="2"/>
  <c r="Y745" i="2" a="1"/>
  <c r="Y745" i="2"/>
  <c r="Y746" i="2" a="1"/>
  <c r="Y746" i="2"/>
  <c r="Y747" i="2" a="1"/>
  <c r="Y747" i="2"/>
  <c r="Y748" i="2" a="1"/>
  <c r="Y748" i="2"/>
  <c r="Y749" i="2" a="1"/>
  <c r="Y749" i="2"/>
  <c r="Y750" i="2" a="1"/>
  <c r="Y750" i="2" s="1"/>
  <c r="Y751" i="2" a="1"/>
  <c r="Y751" i="2"/>
  <c r="Y752" i="2" a="1"/>
  <c r="Y752" i="2"/>
  <c r="Y753" i="2" a="1"/>
  <c r="Y753" i="2" s="1"/>
  <c r="Y754" i="2" a="1"/>
  <c r="Y754" i="2"/>
  <c r="Y755" i="2" a="1"/>
  <c r="Y755" i="2"/>
  <c r="Y756" i="2" a="1"/>
  <c r="Y756" i="2" s="1"/>
  <c r="Y757" i="2" a="1"/>
  <c r="Y757" i="2"/>
  <c r="Y758" i="2" a="1"/>
  <c r="Y758" i="2"/>
  <c r="Y759" i="2" a="1"/>
  <c r="Y759" i="2"/>
  <c r="Y760" i="2" a="1"/>
  <c r="Y760" i="2"/>
  <c r="Y761" i="2" a="1"/>
  <c r="Y761" i="2" s="1"/>
  <c r="Y762" i="2" a="1"/>
  <c r="Y762" i="2"/>
  <c r="Y763" i="2" a="1"/>
  <c r="Y763" i="2" s="1"/>
  <c r="Y764" i="2" a="1"/>
  <c r="Y764" i="2"/>
  <c r="Y765" i="2" a="1"/>
  <c r="Y765" i="2"/>
  <c r="Y766" i="2" a="1"/>
  <c r="Y766" i="2"/>
  <c r="Y767" i="2" a="1"/>
  <c r="Y767" i="2"/>
  <c r="Y768" i="2" a="1"/>
  <c r="Y768" i="2"/>
  <c r="Y769" i="2" a="1"/>
  <c r="Y769" i="2"/>
  <c r="Y770" i="2" a="1"/>
  <c r="Y770" i="2"/>
  <c r="Y771" i="2" a="1"/>
  <c r="Y771" i="2" s="1"/>
  <c r="Y772" i="2" a="1"/>
  <c r="Y772" i="2"/>
  <c r="Y773" i="2" a="1"/>
  <c r="Y773" i="2" s="1"/>
  <c r="Y774" i="2" a="1"/>
  <c r="Y774" i="2"/>
  <c r="Y775" i="2" a="1"/>
  <c r="Y775" i="2"/>
  <c r="Y776" i="2" a="1"/>
  <c r="Y776" i="2"/>
  <c r="Y777" i="2" a="1"/>
  <c r="Y777" i="2" s="1"/>
  <c r="Y778" i="2" a="1"/>
  <c r="Y778" i="2"/>
  <c r="Y779" i="2" a="1"/>
  <c r="Y779" i="2"/>
  <c r="Y780" i="2" a="1"/>
  <c r="Y780" i="2"/>
  <c r="Y781" i="2" a="1"/>
  <c r="Y781" i="2"/>
  <c r="Y782" i="2" a="1"/>
  <c r="Y782" i="2" s="1"/>
  <c r="Y783" i="2" a="1"/>
  <c r="Y783" i="2" s="1"/>
  <c r="Y784" i="2" a="1"/>
  <c r="Y784" i="2"/>
  <c r="Y785" i="2" a="1"/>
  <c r="Y785" i="2"/>
  <c r="Y786" i="2" a="1"/>
  <c r="Y786" i="2"/>
  <c r="Y787" i="2" a="1"/>
  <c r="Y787" i="2"/>
  <c r="Y788" i="2" a="1"/>
  <c r="Y788" i="2"/>
  <c r="Y789" i="2" a="1"/>
  <c r="Y789" i="2"/>
  <c r="Y790" i="2" a="1"/>
  <c r="Y790" i="2"/>
  <c r="Y791" i="2" a="1"/>
  <c r="Y791" i="2"/>
  <c r="Y792" i="2" a="1"/>
  <c r="Y792" i="2" s="1"/>
  <c r="Y793" i="2" a="1"/>
  <c r="Y793" i="2" s="1"/>
  <c r="Y794" i="2" a="1"/>
  <c r="Y794" i="2"/>
  <c r="Y795" i="2" a="1"/>
  <c r="Y795" i="2"/>
  <c r="Y796" i="2" a="1"/>
  <c r="Y796" i="2"/>
  <c r="Y797" i="2" a="1"/>
  <c r="Y797" i="2"/>
  <c r="Y798" i="2" a="1"/>
  <c r="Y798" i="2" s="1"/>
  <c r="Y799" i="2" a="1"/>
  <c r="Y799" i="2"/>
  <c r="Y800" i="2" a="1"/>
  <c r="Y800" i="2"/>
  <c r="Y801" i="2" a="1"/>
  <c r="Y801" i="2"/>
  <c r="Y802" i="2" a="1"/>
  <c r="Y802" i="2"/>
  <c r="Y803" i="2" a="1"/>
  <c r="Y803" i="2" s="1"/>
  <c r="Y804" i="2" a="1"/>
  <c r="Y804" i="2"/>
  <c r="Y805" i="2" a="1"/>
  <c r="Y805" i="2"/>
  <c r="Y806" i="2" a="1"/>
  <c r="Y806" i="2"/>
  <c r="Y807" i="2" a="1"/>
  <c r="Y807" i="2"/>
  <c r="Y808" i="2" a="1"/>
  <c r="Y808" i="2"/>
  <c r="Y809" i="2" a="1"/>
  <c r="Y809" i="2"/>
  <c r="Y810" i="2" a="1"/>
  <c r="Y810" i="2"/>
  <c r="Y811" i="2" a="1"/>
  <c r="Y811" i="2"/>
  <c r="Y812" i="2" a="1"/>
  <c r="Y812" i="2"/>
  <c r="Y813" i="2" a="1"/>
  <c r="Y813" i="2" s="1"/>
  <c r="Y814" i="2" a="1"/>
  <c r="Y814" i="2" s="1"/>
  <c r="Y815" i="2" a="1"/>
  <c r="Y815" i="2"/>
  <c r="Y816" i="2" a="1"/>
  <c r="Y816" i="2"/>
  <c r="Y817" i="2" a="1"/>
  <c r="Y817" i="2"/>
  <c r="Y818" i="2" a="1"/>
  <c r="Y818" i="2"/>
  <c r="Y819" i="2" a="1"/>
  <c r="Y819" i="2" s="1"/>
  <c r="Y820" i="2" a="1"/>
  <c r="Y820" i="2"/>
  <c r="Y821" i="2" a="1"/>
  <c r="Y821" i="2"/>
  <c r="Y822" i="2" a="1"/>
  <c r="Y822" i="2"/>
  <c r="Y823" i="2" a="1"/>
  <c r="Y823" i="2" s="1"/>
  <c r="Y824" i="2" a="1"/>
  <c r="Y824" i="2" s="1"/>
  <c r="Y825" i="2" a="1"/>
  <c r="Y825" i="2" s="1"/>
  <c r="Y826" i="2" a="1"/>
  <c r="Y826" i="2"/>
  <c r="Y827" i="2" a="1"/>
  <c r="Y827" i="2"/>
  <c r="Y828" i="2" a="1"/>
  <c r="Y828" i="2"/>
  <c r="Y829" i="2" a="1"/>
  <c r="Y829" i="2"/>
  <c r="Y830" i="2" a="1"/>
  <c r="Y830" i="2"/>
  <c r="Y831" i="2" a="1"/>
  <c r="Y831" i="2"/>
  <c r="Y832" i="2" a="1"/>
  <c r="Y832" i="2"/>
  <c r="Y833" i="2" a="1"/>
  <c r="Y833" i="2" s="1"/>
  <c r="Y834" i="2" a="1"/>
  <c r="Y834" i="2"/>
  <c r="Y835" i="2" a="1"/>
  <c r="Y835" i="2" s="1"/>
  <c r="Y836" i="2" a="1"/>
  <c r="Y836" i="2"/>
  <c r="Y837" i="2" a="1"/>
  <c r="Y837" i="2"/>
  <c r="Y838" i="2" a="1"/>
  <c r="Y838" i="2"/>
  <c r="Y839" i="2" a="1"/>
  <c r="Y839" i="2"/>
  <c r="Y840" i="2" a="1"/>
  <c r="Y840" i="2" s="1"/>
  <c r="Y841" i="2" a="1"/>
  <c r="Y841" i="2"/>
  <c r="Y842" i="2" a="1"/>
  <c r="Y842" i="2"/>
  <c r="Y843" i="2" a="1"/>
  <c r="Y843" i="2" s="1"/>
  <c r="Y844" i="2" a="1"/>
  <c r="Y844" i="2"/>
  <c r="Y845" i="2" a="1"/>
  <c r="Y845" i="2" s="1"/>
  <c r="Y846" i="2" a="1"/>
  <c r="Y846" i="2" s="1"/>
  <c r="Y847" i="2" a="1"/>
  <c r="Y847" i="2"/>
  <c r="Y848" i="2" a="1"/>
  <c r="Y848" i="2"/>
  <c r="Y849" i="2" a="1"/>
  <c r="Y849" i="2"/>
  <c r="Y850" i="2" a="1"/>
  <c r="Y850" i="2"/>
  <c r="Y851" i="2" a="1"/>
  <c r="Y851" i="2"/>
  <c r="Y852" i="2" a="1"/>
  <c r="Y852" i="2"/>
  <c r="Y853" i="2" a="1"/>
  <c r="Y853" i="2"/>
  <c r="Y854" i="2" a="1"/>
  <c r="Y854" i="2"/>
  <c r="Y855" i="2" a="1"/>
  <c r="Y855" i="2" s="1"/>
  <c r="Y856" i="2" a="1"/>
  <c r="Y856" i="2" s="1"/>
  <c r="Y857" i="2" a="1"/>
  <c r="Y857" i="2"/>
  <c r="Y858" i="2" a="1"/>
  <c r="Y858" i="2"/>
  <c r="Y859" i="2" a="1"/>
  <c r="Y859" i="2"/>
  <c r="Y860" i="2" a="1"/>
  <c r="Y860" i="2"/>
  <c r="Y861" i="2" a="1"/>
  <c r="Y861" i="2"/>
  <c r="Y862" i="2" a="1"/>
  <c r="Y862" i="2"/>
  <c r="Y863" i="2" a="1"/>
  <c r="Y863" i="2"/>
  <c r="Y864" i="2" a="1"/>
  <c r="Y864" i="2"/>
  <c r="Y865" i="2" a="1"/>
  <c r="Y865" i="2" s="1"/>
  <c r="Y866" i="2" a="1"/>
  <c r="Y866" i="2" s="1"/>
  <c r="Y867" i="2" a="1"/>
  <c r="Y867" i="2"/>
  <c r="Y868" i="2" a="1"/>
  <c r="Y868" i="2"/>
  <c r="Y869" i="2" a="1"/>
  <c r="Y869" i="2"/>
  <c r="Y870" i="2" a="1"/>
  <c r="Y870" i="2"/>
  <c r="Y871" i="2" a="1"/>
  <c r="Y871" i="2"/>
  <c r="Y872" i="2" a="1"/>
  <c r="Y872" i="2"/>
  <c r="Y873" i="2" a="1"/>
  <c r="Y873" i="2"/>
  <c r="Y874" i="2" a="1"/>
  <c r="Y874" i="2"/>
  <c r="Y875" i="2" a="1"/>
  <c r="Y875" i="2" s="1"/>
  <c r="Y876" i="2" a="1"/>
  <c r="Y876" i="2" s="1"/>
  <c r="Y877" i="2" a="1"/>
  <c r="Y877" i="2"/>
  <c r="Y878" i="2" a="1"/>
  <c r="Y878" i="2"/>
  <c r="Y879" i="2" a="1"/>
  <c r="Y879" i="2"/>
  <c r="Y880" i="2" a="1"/>
  <c r="Y880" i="2"/>
  <c r="Y881" i="2" a="1"/>
  <c r="Y881" i="2"/>
  <c r="Y882" i="2" a="1"/>
  <c r="Y882" i="2"/>
  <c r="Y883" i="2" a="1"/>
  <c r="Y883" i="2"/>
  <c r="Y884" i="2" a="1"/>
  <c r="Y884" i="2"/>
  <c r="Y885" i="2" a="1"/>
  <c r="Y885" i="2" s="1"/>
  <c r="Y886" i="2" a="1"/>
  <c r="Y886" i="2" s="1"/>
  <c r="Y887" i="2" a="1"/>
  <c r="Y887" i="2"/>
  <c r="Y888" i="2" a="1"/>
  <c r="Y888" i="2"/>
  <c r="Y889" i="2" a="1"/>
  <c r="Y889" i="2"/>
  <c r="Y890" i="2" a="1"/>
  <c r="Y890" i="2"/>
  <c r="Y891" i="2" a="1"/>
  <c r="Y891" i="2"/>
  <c r="Y892" i="2" a="1"/>
  <c r="Y892" i="2"/>
  <c r="Y893" i="2" a="1"/>
  <c r="Y893" i="2"/>
  <c r="Y894" i="2" a="1"/>
  <c r="Y894" i="2"/>
  <c r="Y895" i="2" a="1"/>
  <c r="Y895" i="2" s="1"/>
  <c r="Y896" i="2" a="1"/>
  <c r="Y896" i="2" s="1"/>
  <c r="Y897" i="2" a="1"/>
  <c r="Y897" i="2"/>
  <c r="Y898" i="2" a="1"/>
  <c r="Y898" i="2"/>
  <c r="Y899" i="2" a="1"/>
  <c r="Y899" i="2"/>
  <c r="Y900" i="2" a="1"/>
  <c r="Y900" i="2"/>
  <c r="Y901" i="2" a="1"/>
  <c r="Y901" i="2"/>
  <c r="Y902" i="2" a="1"/>
  <c r="Y902" i="2"/>
  <c r="Y903" i="2" a="1"/>
  <c r="Y903" i="2"/>
  <c r="Y904" i="2" a="1"/>
  <c r="Y904" i="2"/>
  <c r="Y905" i="2" a="1"/>
  <c r="Y905" i="2" s="1"/>
  <c r="Y906" i="2" a="1"/>
  <c r="Y906" i="2" s="1"/>
  <c r="Y907" i="2" a="1"/>
  <c r="Y907" i="2"/>
  <c r="Y908" i="2" a="1"/>
  <c r="Y908" i="2"/>
  <c r="Y909" i="2" a="1"/>
  <c r="Y909" i="2"/>
  <c r="Y910" i="2" a="1"/>
  <c r="Y910" i="2"/>
  <c r="Y911" i="2" a="1"/>
  <c r="Y911" i="2"/>
  <c r="Y912" i="2" a="1"/>
  <c r="Y912" i="2"/>
  <c r="Y913" i="2" a="1"/>
  <c r="Y913" i="2"/>
  <c r="Y914" i="2" a="1"/>
  <c r="Y914" i="2"/>
  <c r="Y915" i="2" a="1"/>
  <c r="Y915" i="2" s="1"/>
  <c r="Y916" i="2" a="1"/>
  <c r="Y916" i="2" s="1"/>
  <c r="Y917" i="2" a="1"/>
  <c r="Y917" i="2"/>
  <c r="Y918" i="2" a="1"/>
  <c r="Y918" i="2"/>
  <c r="Y919" i="2" a="1"/>
  <c r="Y919" i="2"/>
  <c r="Y920" i="2" a="1"/>
  <c r="Y920" i="2"/>
  <c r="Y921" i="2" a="1"/>
  <c r="Y921" i="2"/>
  <c r="Y922" i="2" a="1"/>
  <c r="Y922" i="2"/>
  <c r="Y923" i="2" a="1"/>
  <c r="Y923" i="2"/>
  <c r="Y924" i="2" a="1"/>
  <c r="Y924" i="2"/>
  <c r="Y925" i="2" a="1"/>
  <c r="Y925" i="2" s="1"/>
  <c r="Y926" i="2" a="1"/>
  <c r="Y926" i="2" s="1"/>
  <c r="Y927" i="2" a="1"/>
  <c r="Y927" i="2"/>
  <c r="Y928" i="2" a="1"/>
  <c r="Y928" i="2"/>
  <c r="Y929" i="2" a="1"/>
  <c r="Y929" i="2"/>
  <c r="Y930" i="2" a="1"/>
  <c r="Y930" i="2"/>
  <c r="Y931" i="2" a="1"/>
  <c r="Y931" i="2"/>
  <c r="Y932" i="2" a="1"/>
  <c r="Y932" i="2"/>
  <c r="Y933" i="2" a="1"/>
  <c r="Y933" i="2"/>
  <c r="Y934" i="2" a="1"/>
  <c r="Y934" i="2"/>
  <c r="Y935" i="2" a="1"/>
  <c r="Y935" i="2" s="1"/>
  <c r="Y936" i="2" a="1"/>
  <c r="Y936" i="2" s="1"/>
  <c r="Y937" i="2" a="1"/>
  <c r="Y937" i="2"/>
  <c r="Y938" i="2" a="1"/>
  <c r="Y938" i="2"/>
  <c r="Y939" i="2" a="1"/>
  <c r="Y939" i="2"/>
  <c r="Y940" i="2" a="1"/>
  <c r="Y940" i="2"/>
  <c r="Y941" i="2" a="1"/>
  <c r="Y941" i="2"/>
  <c r="Y942" i="2" a="1"/>
  <c r="Y942" i="2"/>
  <c r="Y943" i="2" a="1"/>
  <c r="Y943" i="2"/>
  <c r="Y944" i="2" a="1"/>
  <c r="Y944" i="2"/>
  <c r="Y945" i="2" a="1"/>
  <c r="Y945" i="2" s="1"/>
  <c r="Y946" i="2" a="1"/>
  <c r="Y946" i="2" s="1"/>
  <c r="Y947" i="2" a="1"/>
  <c r="Y947" i="2"/>
  <c r="Y948" i="2" a="1"/>
  <c r="Y948" i="2"/>
  <c r="Y949" i="2" a="1"/>
  <c r="Y949" i="2"/>
  <c r="Y950" i="2" a="1"/>
  <c r="Y950" i="2"/>
  <c r="Y951" i="2" a="1"/>
  <c r="Y951" i="2"/>
  <c r="Y952" i="2" a="1"/>
  <c r="Y952" i="2"/>
  <c r="Y953" i="2" a="1"/>
  <c r="Y953" i="2"/>
  <c r="Y954" i="2" a="1"/>
  <c r="Y954" i="2"/>
  <c r="Y955" i="2" a="1"/>
  <c r="Y955" i="2" s="1"/>
  <c r="Y956" i="2" a="1"/>
  <c r="Y956" i="2" s="1"/>
  <c r="Y957" i="2" a="1"/>
  <c r="Y957" i="2"/>
  <c r="Y958" i="2" a="1"/>
  <c r="Y958" i="2"/>
  <c r="Y959" i="2" a="1"/>
  <c r="Y959" i="2"/>
  <c r="Y960" i="2" a="1"/>
  <c r="Y960" i="2"/>
  <c r="Y961" i="2" a="1"/>
  <c r="Y961" i="2"/>
  <c r="Y962" i="2" a="1"/>
  <c r="Y962" i="2"/>
  <c r="Y963" i="2" a="1"/>
  <c r="Y963" i="2"/>
  <c r="Y964" i="2" a="1"/>
  <c r="Y964" i="2"/>
  <c r="Y965" i="2" a="1"/>
  <c r="Y965" i="2" s="1"/>
  <c r="Y966" i="2" a="1"/>
  <c r="Y966" i="2" s="1"/>
  <c r="Y967" i="2" a="1"/>
  <c r="Y967" i="2"/>
  <c r="Y968" i="2" a="1"/>
  <c r="Y968" i="2"/>
  <c r="Y969" i="2" a="1"/>
  <c r="Y969" i="2"/>
  <c r="Y970" i="2" a="1"/>
  <c r="Y970" i="2"/>
  <c r="Y971" i="2" a="1"/>
  <c r="Y971" i="2"/>
  <c r="Y972" i="2" a="1"/>
  <c r="Y972" i="2"/>
  <c r="Y973" i="2" a="1"/>
  <c r="Y973" i="2"/>
  <c r="Y974" i="2" a="1"/>
  <c r="Y974" i="2"/>
  <c r="Y975" i="2" a="1"/>
  <c r="Y975" i="2" s="1"/>
  <c r="Y976" i="2" a="1"/>
  <c r="Y976" i="2" s="1"/>
  <c r="Y977" i="2" a="1"/>
  <c r="Y977" i="2"/>
  <c r="Y978" i="2" a="1"/>
  <c r="Y978" i="2"/>
  <c r="Y979" i="2" a="1"/>
  <c r="Y979" i="2"/>
  <c r="Y980" i="2" a="1"/>
  <c r="Y980" i="2"/>
  <c r="Y981" i="2" a="1"/>
  <c r="Y981" i="2"/>
  <c r="Y982" i="2" a="1"/>
  <c r="Y982" i="2"/>
  <c r="Y983" i="2" a="1"/>
  <c r="Y983" i="2"/>
  <c r="Y984" i="2" a="1"/>
  <c r="Y984" i="2"/>
  <c r="Y985" i="2" a="1"/>
  <c r="Y985" i="2" s="1"/>
  <c r="Y986" i="2" a="1"/>
  <c r="Y986" i="2" s="1"/>
  <c r="Y987" i="2" a="1"/>
  <c r="Y987" i="2"/>
  <c r="Y988" i="2" a="1"/>
  <c r="Y988" i="2"/>
  <c r="Y989" i="2" a="1"/>
  <c r="Y989" i="2"/>
  <c r="Y990" i="2" a="1"/>
  <c r="Y990" i="2"/>
  <c r="Y991" i="2" a="1"/>
  <c r="Y991" i="2"/>
  <c r="Y992" i="2" a="1"/>
  <c r="Y992" i="2"/>
  <c r="Y993" i="2" a="1"/>
  <c r="Y993" i="2"/>
  <c r="Y994" i="2" a="1"/>
  <c r="Y994" i="2"/>
  <c r="Y995" i="2" a="1"/>
  <c r="Y995" i="2" s="1"/>
  <c r="Y996" i="2" a="1"/>
  <c r="Y996" i="2" s="1"/>
  <c r="Y997" i="2" a="1"/>
  <c r="Y997" i="2"/>
  <c r="Y998" i="2" a="1"/>
  <c r="Y998" i="2"/>
  <c r="Y999" i="2" a="1"/>
  <c r="Y999" i="2"/>
  <c r="Y1000" i="2" a="1"/>
  <c r="Y1000" i="2"/>
  <c r="Y1001" i="2" a="1"/>
  <c r="Y1001" i="2"/>
  <c r="Y1002" i="2" a="1"/>
  <c r="Y1002" i="2"/>
  <c r="Y1003" i="2" a="1"/>
  <c r="Y1003" i="2"/>
  <c r="Y1004" i="2" a="1"/>
  <c r="Y1004" i="2"/>
  <c r="Y1005" i="2" a="1"/>
  <c r="Y1005" i="2" s="1"/>
  <c r="Y1006" i="2" a="1"/>
  <c r="Y1006" i="2" s="1"/>
  <c r="Y1007" i="2" a="1"/>
  <c r="Y1007" i="2"/>
  <c r="Y1008" i="2" a="1"/>
  <c r="Y1008" i="2"/>
  <c r="Y1009" i="2" a="1"/>
  <c r="Y1009" i="2"/>
  <c r="Y1010" i="2" a="1"/>
  <c r="Y1010" i="2"/>
  <c r="Y1011" i="2" a="1"/>
  <c r="Y1011" i="2"/>
  <c r="Y1012" i="2" a="1"/>
  <c r="Y1012" i="2"/>
  <c r="Y1013" i="2" a="1"/>
  <c r="Y1013" i="2"/>
  <c r="Y1014" i="2" a="1"/>
  <c r="Y1014" i="2"/>
  <c r="Y1015" i="2" a="1"/>
  <c r="Y1015" i="2" s="1"/>
  <c r="Y1016" i="2" a="1"/>
  <c r="Y1016" i="2" s="1"/>
  <c r="Y1017" i="2" a="1"/>
  <c r="Y1017" i="2"/>
  <c r="Y1018" i="2" a="1"/>
  <c r="Y1018" i="2"/>
  <c r="Y1019" i="2" a="1"/>
  <c r="Y1019" i="2"/>
  <c r="Y1020" i="2" a="1"/>
  <c r="Y1020" i="2"/>
  <c r="Y1021" i="2" a="1"/>
  <c r="Y1021" i="2"/>
  <c r="Y1022" i="2" a="1"/>
  <c r="Y1022" i="2"/>
  <c r="Y1023" i="2" a="1"/>
  <c r="Y1023" i="2"/>
  <c r="Y1024" i="2" a="1"/>
  <c r="Y1024" i="2"/>
  <c r="Y1025" i="2" a="1"/>
  <c r="Y1025" i="2" s="1"/>
  <c r="Y1026" i="2" a="1"/>
  <c r="Y1026" i="2" s="1"/>
  <c r="Y1027" i="2" a="1"/>
  <c r="Y1027" i="2"/>
  <c r="Y1028" i="2" a="1"/>
  <c r="Y1028" i="2"/>
  <c r="Y1029" i="2" a="1"/>
  <c r="Y1029" i="2"/>
  <c r="Y1030" i="2" a="1"/>
  <c r="Y1030" i="2"/>
  <c r="Y1031" i="2" a="1"/>
  <c r="Y1031" i="2"/>
  <c r="Y1032" i="2" a="1"/>
  <c r="Y1032" i="2"/>
  <c r="Y1033" i="2" a="1"/>
  <c r="Y1033" i="2"/>
  <c r="Y1034" i="2" a="1"/>
  <c r="Y1034" i="2"/>
  <c r="Y1035" i="2" a="1"/>
  <c r="Y1035" i="2" s="1"/>
  <c r="Y1036" i="2" a="1"/>
  <c r="Y1036" i="2" s="1"/>
  <c r="Y1037" i="2" a="1"/>
  <c r="Y1037" i="2"/>
  <c r="Y1038" i="2" a="1"/>
  <c r="Y1038" i="2"/>
  <c r="Y1039" i="2" a="1"/>
  <c r="Y1039" i="2"/>
  <c r="Y1040" i="2" a="1"/>
  <c r="Y1040" i="2"/>
  <c r="Y1041" i="2" a="1"/>
  <c r="Y1041" i="2"/>
  <c r="Y1042" i="2" a="1"/>
  <c r="Y1042" i="2"/>
  <c r="Y1043" i="2" a="1"/>
  <c r="Y1043" i="2"/>
  <c r="Y1044" i="2" a="1"/>
  <c r="Y1044" i="2"/>
  <c r="Y1045" i="2" a="1"/>
  <c r="Y1045" i="2" s="1"/>
  <c r="Y1046" i="2" a="1"/>
  <c r="Y1046" i="2" s="1"/>
  <c r="Y1047" i="2" a="1"/>
  <c r="Y1047" i="2"/>
  <c r="Y1048" i="2" a="1"/>
  <c r="Y1048" i="2"/>
  <c r="Y1049" i="2" a="1"/>
  <c r="Y1049" i="2"/>
  <c r="Y1050" i="2" a="1"/>
  <c r="Y1050" i="2"/>
  <c r="Y1051" i="2" a="1"/>
  <c r="Y1051" i="2"/>
  <c r="Y1052" i="2" a="1"/>
  <c r="Y1052" i="2"/>
  <c r="Y1053" i="2" a="1"/>
  <c r="Y1053" i="2"/>
  <c r="Y1054" i="2" a="1"/>
  <c r="Y1054" i="2"/>
  <c r="Y1055" i="2" a="1"/>
  <c r="Y1055" i="2" s="1"/>
  <c r="Y1056" i="2" a="1"/>
  <c r="Y1056" i="2" s="1"/>
  <c r="Y1057" i="2" a="1"/>
  <c r="Y1057" i="2"/>
  <c r="Y1058" i="2" a="1"/>
  <c r="Y1058" i="2"/>
  <c r="Y1059" i="2" a="1"/>
  <c r="Y1059" i="2"/>
  <c r="Y1060" i="2" a="1"/>
  <c r="Y1060" i="2"/>
  <c r="Y1061" i="2" a="1"/>
  <c r="Y1061" i="2"/>
  <c r="Y1062" i="2" a="1"/>
  <c r="Y1062" i="2"/>
  <c r="Y1063" i="2" a="1"/>
  <c r="Y1063" i="2"/>
  <c r="Y1064" i="2" a="1"/>
  <c r="Y1064" i="2"/>
  <c r="Y1065" i="2" a="1"/>
  <c r="Y1065" i="2" s="1"/>
  <c r="Y1066" i="2" a="1"/>
  <c r="Y1066" i="2" s="1"/>
  <c r="Y1067" i="2" a="1"/>
  <c r="Y1067" i="2"/>
  <c r="Y1068" i="2" a="1"/>
  <c r="Y1068" i="2"/>
  <c r="Y1069" i="2" a="1"/>
  <c r="Y1069" i="2"/>
  <c r="Y1070" i="2" a="1"/>
  <c r="Y1070" i="2"/>
  <c r="Y1071" i="2" a="1"/>
  <c r="Y1071" i="2"/>
  <c r="Y1072" i="2" a="1"/>
  <c r="Y1072" i="2"/>
  <c r="Y1073" i="2" a="1"/>
  <c r="Y1073" i="2"/>
  <c r="Y1074" i="2" a="1"/>
  <c r="Y1074" i="2"/>
  <c r="Y1075" i="2" a="1"/>
  <c r="Y1075" i="2" s="1"/>
  <c r="Y1076" i="2" a="1"/>
  <c r="Y1076" i="2" s="1"/>
  <c r="Y1077" i="2" a="1"/>
  <c r="Y1077" i="2"/>
  <c r="Y1078" i="2" a="1"/>
  <c r="Y1078" i="2"/>
  <c r="Y1079" i="2" a="1"/>
  <c r="Y1079" i="2"/>
  <c r="Y1080" i="2" a="1"/>
  <c r="Y1080" i="2"/>
  <c r="Y1081" i="2" a="1"/>
  <c r="Y1081" i="2"/>
  <c r="Y1082" i="2" a="1"/>
  <c r="Y1082" i="2"/>
  <c r="Y1083" i="2" a="1"/>
  <c r="Y1083" i="2"/>
  <c r="Y1084" i="2" a="1"/>
  <c r="Y1084" i="2"/>
  <c r="Y1085" i="2" a="1"/>
  <c r="Y1085" i="2" s="1"/>
  <c r="Y1086" i="2" a="1"/>
  <c r="Y1086" i="2" s="1"/>
  <c r="Y1087" i="2" a="1"/>
  <c r="Y1087" i="2"/>
  <c r="Y1088" i="2" a="1"/>
  <c r="Y1088" i="2"/>
  <c r="Y1089" i="2" a="1"/>
  <c r="Y1089" i="2"/>
  <c r="Y1090" i="2" a="1"/>
  <c r="Y1090" i="2"/>
  <c r="Y1091" i="2" a="1"/>
  <c r="Y1091" i="2"/>
  <c r="Y1092" i="2" a="1"/>
  <c r="Y1092" i="2"/>
  <c r="Y1093" i="2" a="1"/>
  <c r="Y1093" i="2"/>
  <c r="Y1094" i="2" a="1"/>
  <c r="Y1094" i="2"/>
  <c r="Y1095" i="2" a="1"/>
  <c r="Y1095" i="2" s="1"/>
  <c r="Y1096" i="2" a="1"/>
  <c r="Y1096" i="2" s="1"/>
  <c r="Y1097" i="2" a="1"/>
  <c r="Y1097" i="2"/>
  <c r="Y1098" i="2" a="1"/>
  <c r="Y1098" i="2"/>
  <c r="Y1099" i="2" a="1"/>
  <c r="Y1099" i="2"/>
  <c r="Y1100" i="2" a="1"/>
  <c r="Y1100" i="2"/>
  <c r="Y1101" i="2" a="1"/>
  <c r="Y1101" i="2"/>
  <c r="Y1102" i="2" a="1"/>
  <c r="Y1102" i="2"/>
  <c r="Y1103" i="2" a="1"/>
  <c r="Y1103" i="2"/>
  <c r="Y1104" i="2" a="1"/>
  <c r="Y1104" i="2"/>
  <c r="Y1105" i="2" a="1"/>
  <c r="Y1105" i="2" s="1"/>
  <c r="Y1106" i="2" a="1"/>
  <c r="Y1106" i="2" s="1"/>
  <c r="Y1107" i="2" a="1"/>
  <c r="Y1107" i="2"/>
  <c r="Y1108" i="2" a="1"/>
  <c r="Y1108" i="2"/>
  <c r="Y1109" i="2" a="1"/>
  <c r="Y1109" i="2"/>
  <c r="Y1110" i="2" a="1"/>
  <c r="Y1110" i="2"/>
  <c r="Y1111" i="2" a="1"/>
  <c r="Y1111" i="2"/>
  <c r="Y1112" i="2" a="1"/>
  <c r="Y1112" i="2"/>
  <c r="Y1113" i="2" a="1"/>
  <c r="Y1113" i="2"/>
  <c r="Y1114" i="2" a="1"/>
  <c r="Y1114" i="2"/>
  <c r="Y1115" i="2" a="1"/>
  <c r="Y1115" i="2" s="1"/>
  <c r="Y1116" i="2" a="1"/>
  <c r="Y1116" i="2" s="1"/>
  <c r="Y1117" i="2" a="1"/>
  <c r="Y1117" i="2"/>
  <c r="Y1118" i="2" a="1"/>
  <c r="Y1118" i="2"/>
  <c r="Y1119" i="2" a="1"/>
  <c r="Y1119" i="2"/>
  <c r="Y1120" i="2" a="1"/>
  <c r="Y1120" i="2"/>
  <c r="Y1121" i="2" a="1"/>
  <c r="Y1121" i="2"/>
  <c r="Y1122" i="2" a="1"/>
  <c r="Y1122" i="2"/>
  <c r="Y1123" i="2" a="1"/>
  <c r="Y1123" i="2"/>
  <c r="Y1124" i="2" a="1"/>
  <c r="Y1124" i="2"/>
  <c r="Y1125" i="2" a="1"/>
  <c r="Y1125" i="2" s="1"/>
  <c r="Y1126" i="2" a="1"/>
  <c r="Y1126" i="2" s="1"/>
  <c r="Y1127" i="2" a="1"/>
  <c r="Y1127" i="2"/>
  <c r="Y1128" i="2" a="1"/>
  <c r="Y1128" i="2"/>
  <c r="Y1129" i="2" a="1"/>
  <c r="Y1129" i="2"/>
  <c r="Y1130" i="2" a="1"/>
  <c r="Y1130" i="2"/>
  <c r="Y1131" i="2" a="1"/>
  <c r="Y1131" i="2"/>
  <c r="Y1132" i="2" a="1"/>
  <c r="Y1132" i="2"/>
  <c r="Y1133" i="2" a="1"/>
  <c r="Y1133" i="2"/>
  <c r="Y1134" i="2" a="1"/>
  <c r="Y1134" i="2"/>
  <c r="Y1135" i="2" a="1"/>
  <c r="Y1135" i="2" s="1"/>
  <c r="Y1136" i="2" a="1"/>
  <c r="Y1136" i="2" s="1"/>
  <c r="Y1137" i="2" a="1"/>
  <c r="Y1137" i="2"/>
  <c r="Y1138" i="2" a="1"/>
  <c r="Y1138" i="2"/>
  <c r="Y1139" i="2" a="1"/>
  <c r="Y1139" i="2"/>
  <c r="Y1140" i="2" a="1"/>
  <c r="Y1140" i="2"/>
  <c r="Y1141" i="2" a="1"/>
  <c r="Y1141" i="2"/>
  <c r="Y1142" i="2" a="1"/>
  <c r="Y1142" i="2"/>
  <c r="Y1143" i="2" a="1"/>
  <c r="Y1143" i="2"/>
  <c r="Y1144" i="2" a="1"/>
  <c r="Y1144" i="2"/>
  <c r="Y1145" i="2" a="1"/>
  <c r="Y1145" i="2" s="1"/>
  <c r="Y1146" i="2" a="1"/>
  <c r="Y1146" i="2" s="1"/>
  <c r="Y1147" i="2" a="1"/>
  <c r="Y1147" i="2"/>
  <c r="Y1148" i="2" a="1"/>
  <c r="Y1148" i="2"/>
  <c r="Y1149" i="2" a="1"/>
  <c r="Y1149" i="2"/>
  <c r="Y1150" i="2" a="1"/>
  <c r="Y1150" i="2"/>
  <c r="Y1151" i="2" a="1"/>
  <c r="Y1151" i="2"/>
  <c r="Y1152" i="2" a="1"/>
  <c r="Y1152" i="2"/>
  <c r="Y1153" i="2" a="1"/>
  <c r="Y1153" i="2"/>
  <c r="Y1154" i="2" a="1"/>
  <c r="Y1154" i="2"/>
  <c r="Y1155" i="2" a="1"/>
  <c r="Y1155" i="2" s="1"/>
  <c r="Y1156" i="2" a="1"/>
  <c r="Y1156" i="2" s="1"/>
  <c r="Y1157" i="2" a="1"/>
  <c r="Y1157" i="2"/>
  <c r="Y1158" i="2" a="1"/>
  <c r="Y1158" i="2"/>
  <c r="Y1159" i="2" a="1"/>
  <c r="Y1159" i="2"/>
  <c r="Y1160" i="2" a="1"/>
  <c r="Y1160" i="2"/>
  <c r="Y1161" i="2" a="1"/>
  <c r="Y1161" i="2"/>
  <c r="Y1162" i="2" a="1"/>
  <c r="Y1162" i="2"/>
  <c r="Y1163" i="2" a="1"/>
  <c r="Y1163" i="2"/>
  <c r="Y1164" i="2" a="1"/>
  <c r="Y1164" i="2"/>
  <c r="Y1165" i="2" a="1"/>
  <c r="Y1165" i="2" s="1"/>
  <c r="Y1166" i="2" a="1"/>
  <c r="Y1166" i="2" s="1"/>
  <c r="Y1167" i="2" a="1"/>
  <c r="Y1167" i="2"/>
  <c r="Y1168" i="2" a="1"/>
  <c r="Y1168" i="2"/>
  <c r="Y1169" i="2" a="1"/>
  <c r="Y1169" i="2"/>
  <c r="Y1170" i="2" a="1"/>
  <c r="Y1170" i="2"/>
  <c r="Y1171" i="2" a="1"/>
  <c r="Y1171" i="2"/>
  <c r="Y1172" i="2" a="1"/>
  <c r="Y1172" i="2"/>
  <c r="Y1173" i="2" a="1"/>
  <c r="Y1173" i="2"/>
  <c r="Y1174" i="2" a="1"/>
  <c r="Y1174" i="2"/>
  <c r="Y1175" i="2" a="1"/>
  <c r="Y1175" i="2" s="1"/>
  <c r="Y1176" i="2" a="1"/>
  <c r="Y1176" i="2" s="1"/>
  <c r="Y1177" i="2" a="1"/>
  <c r="Y1177" i="2"/>
  <c r="Y1178" i="2" a="1"/>
  <c r="Y1178" i="2"/>
  <c r="Y1179" i="2" a="1"/>
  <c r="Y1179" i="2"/>
  <c r="Y1180" i="2" a="1"/>
  <c r="Y1180" i="2"/>
  <c r="Y1181" i="2" a="1"/>
  <c r="Y1181" i="2"/>
  <c r="Y1182" i="2" a="1"/>
  <c r="Y1182" i="2"/>
  <c r="Y1183" i="2" a="1"/>
  <c r="Y1183" i="2"/>
  <c r="Y1184" i="2" a="1"/>
  <c r="Y1184" i="2"/>
  <c r="Y1185" i="2" a="1"/>
  <c r="Y1185" i="2" s="1"/>
  <c r="Y1186" i="2" a="1"/>
  <c r="Y1186" i="2" s="1"/>
  <c r="Y1187" i="2" a="1"/>
  <c r="Y1187" i="2"/>
  <c r="Y1188" i="2" a="1"/>
  <c r="Y1188" i="2"/>
  <c r="Y1189" i="2" a="1"/>
  <c r="Y1189" i="2"/>
  <c r="Y1190" i="2" a="1"/>
  <c r="Y1190" i="2"/>
  <c r="Y1191" i="2" a="1"/>
  <c r="Y1191" i="2"/>
  <c r="Y1192" i="2" a="1"/>
  <c r="Y1192" i="2"/>
  <c r="Y1193" i="2" a="1"/>
  <c r="Y1193" i="2"/>
  <c r="Y1194" i="2" a="1"/>
  <c r="Y1194" i="2"/>
  <c r="Y1195" i="2" a="1"/>
  <c r="Y1195" i="2" s="1"/>
  <c r="Y1196" i="2" a="1"/>
  <c r="Y1196" i="2" s="1"/>
  <c r="Y1197" i="2" a="1"/>
  <c r="Y1197" i="2"/>
  <c r="Y1198" i="2" a="1"/>
  <c r="Y1198" i="2"/>
  <c r="Y1199" i="2" a="1"/>
  <c r="Y1199" i="2"/>
  <c r="Y1200" i="2" a="1"/>
  <c r="Y1200" i="2"/>
  <c r="Y1201" i="2" a="1"/>
  <c r="Y1201" i="2"/>
  <c r="Y1202" i="2" a="1"/>
  <c r="Y1202" i="2"/>
  <c r="Y1203" i="2" a="1"/>
  <c r="Y1203" i="2"/>
  <c r="Y1204" i="2" a="1"/>
  <c r="Y1204" i="2"/>
  <c r="Y1205" i="2" a="1"/>
  <c r="Y1205" i="2" s="1"/>
  <c r="Y1206" i="2" a="1"/>
  <c r="Y1206" i="2" s="1"/>
  <c r="Y1207" i="2" a="1"/>
  <c r="Y1207" i="2"/>
  <c r="Y1208" i="2" a="1"/>
  <c r="Y1208" i="2"/>
  <c r="Y1209" i="2" a="1"/>
  <c r="Y1209" i="2"/>
  <c r="Y1210" i="2" a="1"/>
  <c r="Y1210" i="2"/>
  <c r="Y1211" i="2" a="1"/>
  <c r="Y1211" i="2"/>
  <c r="Y1212" i="2" a="1"/>
  <c r="Y1212" i="2"/>
  <c r="Y1213" i="2" a="1"/>
  <c r="Y1213" i="2"/>
  <c r="Y1214" i="2" a="1"/>
  <c r="Y1214" i="2"/>
  <c r="Y1215" i="2" a="1"/>
  <c r="Y1215" i="2" s="1"/>
  <c r="Y1216" i="2" a="1"/>
  <c r="Y1216" i="2" s="1"/>
  <c r="Y1217" i="2" a="1"/>
  <c r="Y1217" i="2"/>
  <c r="Y1218" i="2" a="1"/>
  <c r="Y1218" i="2"/>
  <c r="Y1219" i="2" a="1"/>
  <c r="Y1219" i="2"/>
  <c r="Y1220" i="2" a="1"/>
  <c r="Y1220" i="2"/>
  <c r="Y1221" i="2" a="1"/>
  <c r="Y1221" i="2"/>
  <c r="Y1222" i="2" a="1"/>
  <c r="Y1222" i="2"/>
  <c r="Y1223" i="2" a="1"/>
  <c r="Y1223" i="2"/>
  <c r="Y1224" i="2" a="1"/>
  <c r="Y1224" i="2"/>
  <c r="Y1225" i="2" a="1"/>
  <c r="Y1225" i="2" s="1"/>
  <c r="Y1226" i="2" a="1"/>
  <c r="Y1226" i="2" s="1"/>
  <c r="Y1227" i="2" a="1"/>
  <c r="Y1227" i="2"/>
  <c r="Y1228" i="2" a="1"/>
  <c r="Y1228" i="2"/>
  <c r="Y1229" i="2" a="1"/>
  <c r="Y1229" i="2"/>
  <c r="Y1230" i="2" a="1"/>
  <c r="Y1230" i="2"/>
  <c r="Y1231" i="2" a="1"/>
  <c r="Y1231" i="2"/>
  <c r="Y1232" i="2" a="1"/>
  <c r="Y1232" i="2"/>
  <c r="Y1233" i="2" a="1"/>
  <c r="Y1233" i="2"/>
  <c r="Y1234" i="2" a="1"/>
  <c r="Y1234" i="2"/>
  <c r="Y1235" i="2" a="1"/>
  <c r="Y1235" i="2" s="1"/>
  <c r="Y1236" i="2" a="1"/>
  <c r="Y1236" i="2" s="1"/>
  <c r="Y1237" i="2" a="1"/>
  <c r="Y1237" i="2"/>
  <c r="Y1238" i="2" a="1"/>
  <c r="Y1238" i="2"/>
  <c r="Y1239" i="2" a="1"/>
  <c r="Y1239" i="2"/>
  <c r="Y1240" i="2" a="1"/>
  <c r="Y1240" i="2"/>
  <c r="Y1241" i="2" a="1"/>
  <c r="Y1241" i="2"/>
  <c r="Y1242" i="2" a="1"/>
  <c r="Y1242" i="2"/>
  <c r="Y1243" i="2" a="1"/>
  <c r="Y1243" i="2"/>
  <c r="Y1244" i="2" a="1"/>
  <c r="Y1244" i="2"/>
  <c r="Y1245" i="2" a="1"/>
  <c r="Y1245" i="2" s="1"/>
  <c r="Y1246" i="2" a="1"/>
  <c r="Y1246" i="2" s="1"/>
  <c r="Y1247" i="2" a="1"/>
  <c r="Y1247" i="2"/>
  <c r="Y1248" i="2" a="1"/>
  <c r="Y1248" i="2"/>
  <c r="Y1249" i="2" a="1"/>
  <c r="Y1249" i="2"/>
  <c r="Y1250" i="2" a="1"/>
  <c r="Y1250" i="2"/>
  <c r="Y1251" i="2" a="1"/>
  <c r="Y1251" i="2"/>
  <c r="Y1252" i="2" a="1"/>
  <c r="Y1252" i="2"/>
  <c r="Y1253" i="2" a="1"/>
  <c r="Y1253" i="2"/>
  <c r="Y1254" i="2" a="1"/>
  <c r="Y1254" i="2"/>
  <c r="Y1255" i="2" a="1"/>
  <c r="Y1255" i="2" s="1"/>
  <c r="Y1256" i="2" a="1"/>
  <c r="Y1256" i="2" s="1"/>
  <c r="Y1257" i="2" a="1"/>
  <c r="Y1257" i="2"/>
  <c r="Y1258" i="2" a="1"/>
  <c r="Y1258" i="2"/>
  <c r="Y1259" i="2" a="1"/>
  <c r="Y1259" i="2"/>
  <c r="Y1260" i="2" a="1"/>
  <c r="Y1260" i="2"/>
  <c r="Y1261" i="2" a="1"/>
  <c r="Y1261" i="2"/>
  <c r="Y1262" i="2" a="1"/>
  <c r="Y1262" i="2"/>
  <c r="Y1263" i="2" a="1"/>
  <c r="Y1263" i="2"/>
  <c r="Y1264" i="2" a="1"/>
  <c r="Y1264" i="2"/>
  <c r="Y1265" i="2" a="1"/>
  <c r="Y1265" i="2" s="1"/>
  <c r="Y1266" i="2" a="1"/>
  <c r="Y1266" i="2" s="1"/>
  <c r="Y1267" i="2" a="1"/>
  <c r="Y1267" i="2"/>
  <c r="Y1268" i="2" a="1"/>
  <c r="Y1268" i="2"/>
  <c r="Y1269" i="2" a="1"/>
  <c r="Y1269" i="2"/>
  <c r="Y1270" i="2" a="1"/>
  <c r="Y1270" i="2"/>
  <c r="Y1271" i="2" a="1"/>
  <c r="Y1271" i="2"/>
  <c r="Y1272" i="2" a="1"/>
  <c r="Y1272" i="2"/>
  <c r="Y1273" i="2" a="1"/>
  <c r="Y1273" i="2"/>
  <c r="Y1274" i="2" a="1"/>
  <c r="Y1274" i="2"/>
  <c r="Y1275" i="2" a="1"/>
  <c r="Y1275" i="2" s="1"/>
  <c r="Y1276" i="2" a="1"/>
  <c r="Y1276" i="2" s="1"/>
  <c r="Y1277" i="2" a="1"/>
  <c r="Y1277" i="2"/>
  <c r="Y1278" i="2" a="1"/>
  <c r="Y1278" i="2"/>
  <c r="Y1279" i="2" a="1"/>
  <c r="Y1279" i="2"/>
  <c r="Y1280" i="2" a="1"/>
  <c r="Y1280" i="2"/>
  <c r="Y1281" i="2" a="1"/>
  <c r="Y1281" i="2"/>
  <c r="Y1282" i="2" a="1"/>
  <c r="Y1282" i="2"/>
  <c r="X3" i="2" a="1"/>
  <c r="X3" i="2"/>
  <c r="X4" i="2" a="1"/>
  <c r="X4" i="2" s="1"/>
  <c r="X5" i="2" a="1"/>
  <c r="X5" i="2" s="1"/>
  <c r="X6" i="2" a="1"/>
  <c r="X6" i="2"/>
  <c r="X7" i="2" a="1"/>
  <c r="X7" i="2"/>
  <c r="X8" i="2" a="1"/>
  <c r="X8" i="2"/>
  <c r="X9" i="2" a="1"/>
  <c r="X9" i="2"/>
  <c r="X10" i="2" a="1"/>
  <c r="X10" i="2" s="1"/>
  <c r="X11" i="2" a="1"/>
  <c r="X11" i="2"/>
  <c r="X12" i="2" a="1"/>
  <c r="X12" i="2" s="1"/>
  <c r="X13" i="2" a="1"/>
  <c r="X13" i="2"/>
  <c r="X14" i="2" a="1"/>
  <c r="X14" i="2" s="1"/>
  <c r="X15" i="2" a="1"/>
  <c r="X15" i="2" s="1"/>
  <c r="X16" i="2" a="1"/>
  <c r="X16" i="2"/>
  <c r="X17" i="2" a="1"/>
  <c r="X17" i="2"/>
  <c r="X18" i="2" a="1"/>
  <c r="X18" i="2"/>
  <c r="X19" i="2" a="1"/>
  <c r="X19" i="2"/>
  <c r="X20" i="2" a="1"/>
  <c r="X20" i="2"/>
  <c r="X21" i="2" a="1"/>
  <c r="X21" i="2" s="1"/>
  <c r="X22" i="2" a="1"/>
  <c r="X22" i="2"/>
  <c r="X23" i="2" a="1"/>
  <c r="X23" i="2"/>
  <c r="X24" i="2" a="1"/>
  <c r="X24" i="2" s="1"/>
  <c r="X25" i="2" a="1"/>
  <c r="X25" i="2" s="1"/>
  <c r="X26" i="2" a="1"/>
  <c r="X26" i="2"/>
  <c r="X27" i="2" a="1"/>
  <c r="X27" i="2"/>
  <c r="X28" i="2" a="1"/>
  <c r="X28" i="2" s="1"/>
  <c r="X29" i="2" a="1"/>
  <c r="X29" i="2"/>
  <c r="X30" i="2" a="1"/>
  <c r="X30" i="2"/>
  <c r="X31" i="2" a="1"/>
  <c r="X31" i="2"/>
  <c r="X32" i="2" a="1"/>
  <c r="X32" i="2" s="1"/>
  <c r="X33" i="2" a="1"/>
  <c r="X33" i="2"/>
  <c r="X34" i="2" a="1"/>
  <c r="X34" i="2" s="1"/>
  <c r="X35" i="2" a="1"/>
  <c r="X35" i="2" s="1"/>
  <c r="X36" i="2" a="1"/>
  <c r="X36" i="2"/>
  <c r="X37" i="2" a="1"/>
  <c r="X37" i="2"/>
  <c r="X38" i="2" a="1"/>
  <c r="X38" i="2"/>
  <c r="X39" i="2" a="1"/>
  <c r="X39" i="2" s="1"/>
  <c r="X40" i="2" a="1"/>
  <c r="X40" i="2"/>
  <c r="X41" i="2" a="1"/>
  <c r="X41" i="2"/>
  <c r="X42" i="2" a="1"/>
  <c r="X42" i="2"/>
  <c r="X43" i="2" a="1"/>
  <c r="X43" i="2"/>
  <c r="X44" i="2" a="1"/>
  <c r="X44" i="2" s="1"/>
  <c r="X45" i="2" a="1"/>
  <c r="X45" i="2" s="1"/>
  <c r="X46" i="2" a="1"/>
  <c r="X46" i="2"/>
  <c r="X47" i="2" a="1"/>
  <c r="X47" i="2"/>
  <c r="X48" i="2" a="1"/>
  <c r="X48" i="2" s="1"/>
  <c r="X49" i="2" a="1"/>
  <c r="X49" i="2"/>
  <c r="X50" i="2" a="1"/>
  <c r="X50" i="2" s="1"/>
  <c r="X51" i="2" a="1"/>
  <c r="X51" i="2"/>
  <c r="X52" i="2" a="1"/>
  <c r="X52" i="2"/>
  <c r="X53" i="2" a="1"/>
  <c r="X53" i="2"/>
  <c r="X54" i="2" a="1"/>
  <c r="X54" i="2" s="1"/>
  <c r="X55" i="2" a="1"/>
  <c r="X55" i="2" s="1"/>
  <c r="X56" i="2" a="1"/>
  <c r="X56" i="2"/>
  <c r="X57" i="2" a="1"/>
  <c r="X57" i="2"/>
  <c r="X58" i="2" a="1"/>
  <c r="X58" i="2"/>
  <c r="X59" i="2" a="1"/>
  <c r="X59" i="2" s="1"/>
  <c r="X60" i="2" a="1"/>
  <c r="X60" i="2"/>
  <c r="X61" i="2" a="1"/>
  <c r="X61" i="2" s="1"/>
  <c r="X62" i="2" a="1"/>
  <c r="X62" i="2"/>
  <c r="X63" i="2" a="1"/>
  <c r="X63" i="2"/>
  <c r="X64" i="2" a="1"/>
  <c r="X64" i="2" s="1"/>
  <c r="X65" i="2" a="1"/>
  <c r="X65" i="2" s="1"/>
  <c r="X66" i="2" a="1"/>
  <c r="X66" i="2"/>
  <c r="X67" i="2" a="1"/>
  <c r="X67" i="2"/>
  <c r="X68" i="2" a="1"/>
  <c r="X68" i="2" s="1"/>
  <c r="X69" i="2" a="1"/>
  <c r="X69" i="2" s="1"/>
  <c r="X70" i="2" a="1"/>
  <c r="X70" i="2" s="1"/>
  <c r="X71" i="2" a="1"/>
  <c r="X71" i="2" s="1"/>
  <c r="X72" i="2" a="1"/>
  <c r="X72" i="2" s="1"/>
  <c r="X73" i="2" a="1"/>
  <c r="X73" i="2"/>
  <c r="X74" i="2" a="1"/>
  <c r="X74" i="2" s="1"/>
  <c r="X75" i="2" a="1"/>
  <c r="X75" i="2" s="1"/>
  <c r="X76" i="2" a="1"/>
  <c r="X76" i="2"/>
  <c r="X77" i="2" a="1"/>
  <c r="X77" i="2"/>
  <c r="X78" i="2" a="1"/>
  <c r="X78" i="2"/>
  <c r="X79" i="2" a="1"/>
  <c r="X79" i="2" s="1"/>
  <c r="X80" i="2" a="1"/>
  <c r="X80" i="2"/>
  <c r="X81" i="2" a="1"/>
  <c r="X81" i="2" s="1"/>
  <c r="X82" i="2" a="1"/>
  <c r="X82" i="2" s="1"/>
  <c r="X83" i="2" a="1"/>
  <c r="X83" i="2"/>
  <c r="X84" i="2" a="1"/>
  <c r="X84" i="2" s="1"/>
  <c r="X85" i="2" a="1"/>
  <c r="X85" i="2" s="1"/>
  <c r="X86" i="2" a="1"/>
  <c r="X86" i="2"/>
  <c r="X87" i="2" a="1"/>
  <c r="X87" i="2"/>
  <c r="X88" i="2" a="1"/>
  <c r="X88" i="2" s="1"/>
  <c r="X89" i="2" a="1"/>
  <c r="X89" i="2"/>
  <c r="X90" i="2" a="1"/>
  <c r="X90" i="2" s="1"/>
  <c r="X91" i="2" a="1"/>
  <c r="X91" i="2"/>
  <c r="X92" i="2" a="1"/>
  <c r="X92" i="2" s="1"/>
  <c r="X93" i="2" a="1"/>
  <c r="X93" i="2"/>
  <c r="X94" i="2" a="1"/>
  <c r="X94" i="2" s="1"/>
  <c r="X95" i="2" a="1"/>
  <c r="X95" i="2" s="1"/>
  <c r="X96" i="2" a="1"/>
  <c r="X96" i="2"/>
  <c r="X97" i="2" a="1"/>
  <c r="X97" i="2"/>
  <c r="X98" i="2" a="1"/>
  <c r="X98" i="2"/>
  <c r="X99" i="2" a="1"/>
  <c r="X99" i="2" s="1"/>
  <c r="X100" i="2" a="1"/>
  <c r="X100" i="2"/>
  <c r="X101" i="2" a="1"/>
  <c r="X101" i="2" s="1"/>
  <c r="X102" i="2" a="1"/>
  <c r="X102" i="2"/>
  <c r="X103" i="2" a="1"/>
  <c r="X103" i="2"/>
  <c r="X104" i="2" a="1"/>
  <c r="X104" i="2" s="1"/>
  <c r="X105" i="2" a="1"/>
  <c r="X105" i="2" s="1"/>
  <c r="X106" i="2" a="1"/>
  <c r="X106" i="2"/>
  <c r="X107" i="2" a="1"/>
  <c r="X107" i="2"/>
  <c r="X108" i="2" a="1"/>
  <c r="X108" i="2"/>
  <c r="X109" i="2" a="1"/>
  <c r="X109" i="2"/>
  <c r="X110" i="2" a="1"/>
  <c r="X110" i="2" s="1"/>
  <c r="X111" i="2" a="1"/>
  <c r="X111" i="2"/>
  <c r="X112" i="2" a="1"/>
  <c r="X112" i="2" s="1"/>
  <c r="X113" i="2" a="1"/>
  <c r="X113" i="2"/>
  <c r="X114" i="2" a="1"/>
  <c r="X114" i="2" s="1"/>
  <c r="X115" i="2" a="1"/>
  <c r="X115" i="2" s="1"/>
  <c r="X116" i="2" a="1"/>
  <c r="X116" i="2"/>
  <c r="X117" i="2" a="1"/>
  <c r="X117" i="2"/>
  <c r="X118" i="2" a="1"/>
  <c r="X118" i="2"/>
  <c r="X119" i="2" a="1"/>
  <c r="X119" i="2"/>
  <c r="X120" i="2" a="1"/>
  <c r="X120" i="2"/>
  <c r="X121" i="2" a="1"/>
  <c r="X121" i="2" s="1"/>
  <c r="X122" i="2" a="1"/>
  <c r="X122" i="2"/>
  <c r="X123" i="2" a="1"/>
  <c r="X123" i="2"/>
  <c r="X124" i="2" a="1"/>
  <c r="X124" i="2" s="1"/>
  <c r="X125" i="2" a="1"/>
  <c r="X125" i="2" s="1"/>
  <c r="X126" i="2" a="1"/>
  <c r="X126" i="2"/>
  <c r="X127" i="2" a="1"/>
  <c r="X127" i="2"/>
  <c r="X128" i="2" a="1"/>
  <c r="X128" i="2" s="1"/>
  <c r="X129" i="2" a="1"/>
  <c r="X129" i="2"/>
  <c r="X130" i="2" a="1"/>
  <c r="X130" i="2"/>
  <c r="X131" i="2" a="1"/>
  <c r="X131" i="2"/>
  <c r="X132" i="2" a="1"/>
  <c r="X132" i="2" s="1"/>
  <c r="X133" i="2" a="1"/>
  <c r="X133" i="2"/>
  <c r="X134" i="2" a="1"/>
  <c r="X134" i="2" s="1"/>
  <c r="X135" i="2" a="1"/>
  <c r="X135" i="2" s="1"/>
  <c r="X136" i="2" a="1"/>
  <c r="X136" i="2"/>
  <c r="X137" i="2" a="1"/>
  <c r="X137" i="2"/>
  <c r="X138" i="2" a="1"/>
  <c r="X138" i="2" s="1"/>
  <c r="X139" i="2" a="1"/>
  <c r="X139" i="2" s="1"/>
  <c r="X140" i="2" a="1"/>
  <c r="X140" i="2"/>
  <c r="X141" i="2" a="1"/>
  <c r="X141" i="2"/>
  <c r="X142" i="2" a="1"/>
  <c r="X142" i="2"/>
  <c r="X143" i="2" a="1"/>
  <c r="X143" i="2"/>
  <c r="X144" i="2" a="1"/>
  <c r="X144" i="2" s="1"/>
  <c r="X145" i="2" a="1"/>
  <c r="X145" i="2" s="1"/>
  <c r="X146" i="2" a="1"/>
  <c r="X146" i="2"/>
  <c r="X147" i="2" a="1"/>
  <c r="X147" i="2"/>
  <c r="X148" i="2" a="1"/>
  <c r="X148" i="2" s="1"/>
  <c r="X149" i="2" a="1"/>
  <c r="X149" i="2" s="1"/>
  <c r="X150" i="2" a="1"/>
  <c r="X150" i="2" s="1"/>
  <c r="X151" i="2" a="1"/>
  <c r="X151" i="2"/>
  <c r="X152" i="2" a="1"/>
  <c r="X152" i="2"/>
  <c r="X153" i="2" a="1"/>
  <c r="X153" i="2"/>
  <c r="X154" i="2" a="1"/>
  <c r="X154" i="2" s="1"/>
  <c r="X155" i="2" a="1"/>
  <c r="X155" i="2" s="1"/>
  <c r="X156" i="2" a="1"/>
  <c r="X156" i="2"/>
  <c r="X157" i="2" a="1"/>
  <c r="X157" i="2"/>
  <c r="X158" i="2" a="1"/>
  <c r="X158" i="2"/>
  <c r="X159" i="2" a="1"/>
  <c r="X159" i="2" s="1"/>
  <c r="X160" i="2" a="1"/>
  <c r="X160" i="2" s="1"/>
  <c r="X161" i="2" a="1"/>
  <c r="X161" i="2" s="1"/>
  <c r="X162" i="2" a="1"/>
  <c r="X162" i="2"/>
  <c r="X163" i="2" a="1"/>
  <c r="X163" i="2"/>
  <c r="X164" i="2" a="1"/>
  <c r="X164" i="2" s="1"/>
  <c r="X165" i="2" a="1"/>
  <c r="X165" i="2" s="1"/>
  <c r="X166" i="2" a="1"/>
  <c r="X166" i="2"/>
  <c r="X167" i="2" a="1"/>
  <c r="X167" i="2"/>
  <c r="X168" i="2" a="1"/>
  <c r="X168" i="2" s="1"/>
  <c r="X169" i="2" a="1"/>
  <c r="X169" i="2"/>
  <c r="X170" i="2" a="1"/>
  <c r="X170" i="2" s="1"/>
  <c r="X171" i="2" a="1"/>
  <c r="X171" i="2" s="1"/>
  <c r="X172" i="2" a="1"/>
  <c r="X172" i="2" s="1"/>
  <c r="X173" i="2" a="1"/>
  <c r="X173" i="2"/>
  <c r="X174" i="2" a="1"/>
  <c r="X174" i="2" s="1"/>
  <c r="X175" i="2" a="1"/>
  <c r="X175" i="2" s="1"/>
  <c r="X176" i="2" a="1"/>
  <c r="X176" i="2"/>
  <c r="X177" i="2" a="1"/>
  <c r="X177" i="2"/>
  <c r="X178" i="2" a="1"/>
  <c r="X178" i="2"/>
  <c r="X179" i="2" a="1"/>
  <c r="X179" i="2" s="1"/>
  <c r="X180" i="2" a="1"/>
  <c r="X180" i="2"/>
  <c r="X181" i="2" a="1"/>
  <c r="X181" i="2" s="1"/>
  <c r="X182" i="2" a="1"/>
  <c r="X182" i="2" s="1"/>
  <c r="X183" i="2" a="1"/>
  <c r="X183" i="2"/>
  <c r="X184" i="2" a="1"/>
  <c r="X184" i="2" s="1"/>
  <c r="X185" i="2" a="1"/>
  <c r="X185" i="2" s="1"/>
  <c r="X186" i="2" a="1"/>
  <c r="X186" i="2"/>
  <c r="X187" i="2" a="1"/>
  <c r="X187" i="2"/>
  <c r="X188" i="2" a="1"/>
  <c r="X188" i="2" s="1"/>
  <c r="X189" i="2" a="1"/>
  <c r="X189" i="2"/>
  <c r="X190" i="2" a="1"/>
  <c r="X190" i="2" s="1"/>
  <c r="X191" i="2" a="1"/>
  <c r="X191" i="2"/>
  <c r="X192" i="2" a="1"/>
  <c r="X192" i="2" s="1"/>
  <c r="X193" i="2" a="1"/>
  <c r="X193" i="2"/>
  <c r="X194" i="2" a="1"/>
  <c r="X194" i="2" s="1"/>
  <c r="X195" i="2" a="1"/>
  <c r="X195" i="2" s="1"/>
  <c r="X196" i="2" a="1"/>
  <c r="X196" i="2"/>
  <c r="X197" i="2" a="1"/>
  <c r="X197" i="2"/>
  <c r="X198" i="2" a="1"/>
  <c r="X198" i="2"/>
  <c r="X199" i="2" a="1"/>
  <c r="X199" i="2" s="1"/>
  <c r="X200" i="2" a="1"/>
  <c r="X200" i="2"/>
  <c r="X201" i="2" a="1"/>
  <c r="X201" i="2" s="1"/>
  <c r="X202" i="2" a="1"/>
  <c r="X202" i="2"/>
  <c r="X203" i="2" a="1"/>
  <c r="X203" i="2"/>
  <c r="X204" i="2" a="1"/>
  <c r="X204" i="2" s="1"/>
  <c r="X205" i="2" a="1"/>
  <c r="X205" i="2" s="1"/>
  <c r="X206" i="2" a="1"/>
  <c r="X206" i="2" s="1"/>
  <c r="X207" i="2" a="1"/>
  <c r="X207" i="2"/>
  <c r="X208" i="2" a="1"/>
  <c r="X208" i="2"/>
  <c r="X209" i="2" a="1"/>
  <c r="X209" i="2"/>
  <c r="X210" i="2" a="1"/>
  <c r="X210" i="2" s="1"/>
  <c r="X211" i="2" a="1"/>
  <c r="X211" i="2"/>
  <c r="X212" i="2" a="1"/>
  <c r="X212" i="2" s="1"/>
  <c r="X213" i="2" a="1"/>
  <c r="X213" i="2"/>
  <c r="X214" i="2" a="1"/>
  <c r="X214" i="2" s="1"/>
  <c r="X215" i="2" a="1"/>
  <c r="X215" i="2" s="1"/>
  <c r="X216" i="2" a="1"/>
  <c r="X216" i="2" s="1"/>
  <c r="X217" i="2" a="1"/>
  <c r="X217" i="2"/>
  <c r="X218" i="2" a="1"/>
  <c r="X218" i="2"/>
  <c r="X219" i="2" a="1"/>
  <c r="X219" i="2"/>
  <c r="X220" i="2" a="1"/>
  <c r="X220" i="2"/>
  <c r="X221" i="2" a="1"/>
  <c r="X221" i="2" s="1"/>
  <c r="X222" i="2" a="1"/>
  <c r="X222" i="2"/>
  <c r="X223" i="2" a="1"/>
  <c r="X223" i="2"/>
  <c r="X224" i="2" a="1"/>
  <c r="X224" i="2" s="1"/>
  <c r="X225" i="2" a="1"/>
  <c r="X225" i="2" s="1"/>
  <c r="X226" i="2" a="1"/>
  <c r="X226" i="2" s="1"/>
  <c r="X227" i="2" a="1"/>
  <c r="X227" i="2"/>
  <c r="X228" i="2" a="1"/>
  <c r="X228" i="2" s="1"/>
  <c r="X229" i="2" a="1"/>
  <c r="X229" i="2"/>
  <c r="X230" i="2" a="1"/>
  <c r="X230" i="2"/>
  <c r="X231" i="2" a="1"/>
  <c r="X231" i="2"/>
  <c r="X232" i="2" a="1"/>
  <c r="X232" i="2" s="1"/>
  <c r="X233" i="2" a="1"/>
  <c r="X233" i="2"/>
  <c r="X234" i="2" a="1"/>
  <c r="X234" i="2" s="1"/>
  <c r="X235" i="2" a="1"/>
  <c r="X235" i="2" s="1"/>
  <c r="X236" i="2" a="1"/>
  <c r="X236" i="2"/>
  <c r="X237" i="2" a="1"/>
  <c r="X237" i="2"/>
  <c r="X238" i="2" a="1"/>
  <c r="X238" i="2" s="1"/>
  <c r="X239" i="2" a="1"/>
  <c r="X239" i="2" s="1"/>
  <c r="X240" i="2" a="1"/>
  <c r="X240" i="2"/>
  <c r="X241" i="2" a="1"/>
  <c r="X241" i="2"/>
  <c r="X242" i="2" a="1"/>
  <c r="X242" i="2"/>
  <c r="X243" i="2" a="1"/>
  <c r="X243" i="2"/>
  <c r="X244" i="2" a="1"/>
  <c r="X244" i="2" s="1"/>
  <c r="X245" i="2" a="1"/>
  <c r="X245" i="2" s="1"/>
  <c r="X246" i="2" a="1"/>
  <c r="X246" i="2" s="1"/>
  <c r="X247" i="2" a="1"/>
  <c r="X247" i="2"/>
  <c r="X248" i="2" a="1"/>
  <c r="X248" i="2" s="1"/>
  <c r="X249" i="2" a="1"/>
  <c r="X249" i="2" s="1"/>
  <c r="X250" i="2" a="1"/>
  <c r="X250" i="2" s="1"/>
  <c r="X251" i="2" a="1"/>
  <c r="X251" i="2"/>
  <c r="X252" i="2" a="1"/>
  <c r="X252" i="2"/>
  <c r="X253" i="2" a="1"/>
  <c r="X253" i="2"/>
  <c r="X254" i="2" a="1"/>
  <c r="X254" i="2" s="1"/>
  <c r="X255" i="2" a="1"/>
  <c r="X255" i="2" s="1"/>
  <c r="X256" i="2" a="1"/>
  <c r="X256" i="2"/>
  <c r="X257" i="2" a="1"/>
  <c r="X257" i="2"/>
  <c r="X258" i="2" a="1"/>
  <c r="X258" i="2"/>
  <c r="X259" i="2" a="1"/>
  <c r="X259" i="2" s="1"/>
  <c r="X260" i="2" a="1"/>
  <c r="X260" i="2" s="1"/>
  <c r="X261" i="2" a="1"/>
  <c r="X261" i="2" s="1"/>
  <c r="X262" i="2" a="1"/>
  <c r="X262" i="2"/>
  <c r="X263" i="2" a="1"/>
  <c r="X263" i="2"/>
  <c r="X264" i="2" a="1"/>
  <c r="X264" i="2" s="1"/>
  <c r="X265" i="2" a="1"/>
  <c r="X265" i="2" s="1"/>
  <c r="X266" i="2" a="1"/>
  <c r="X266" i="2" s="1"/>
  <c r="X267" i="2" a="1"/>
  <c r="X267" i="2"/>
  <c r="X268" i="2" a="1"/>
  <c r="X268" i="2" s="1"/>
  <c r="X269" i="2" a="1"/>
  <c r="X269" i="2"/>
  <c r="X270" i="2" a="1"/>
  <c r="X270" i="2" s="1"/>
  <c r="X271" i="2" a="1"/>
  <c r="X271" i="2" s="1"/>
  <c r="X272" i="2" a="1"/>
  <c r="X272" i="2" s="1"/>
  <c r="X273" i="2" a="1"/>
  <c r="X273" i="2"/>
  <c r="X274" i="2" a="1"/>
  <c r="X274" i="2" s="1"/>
  <c r="X275" i="2" a="1"/>
  <c r="X275" i="2" s="1"/>
  <c r="X276" i="2" a="1"/>
  <c r="X276" i="2"/>
  <c r="X277" i="2" a="1"/>
  <c r="X277" i="2"/>
  <c r="X278" i="2" a="1"/>
  <c r="X278" i="2"/>
  <c r="X279" i="2" a="1"/>
  <c r="X279" i="2" s="1"/>
  <c r="X280" i="2" a="1"/>
  <c r="X280" i="2"/>
  <c r="X281" i="2" a="1"/>
  <c r="X281" i="2" s="1"/>
  <c r="X282" i="2" a="1"/>
  <c r="X282" i="2" s="1"/>
  <c r="X283" i="2" a="1"/>
  <c r="X283" i="2"/>
  <c r="X284" i="2" a="1"/>
  <c r="X284" i="2" s="1"/>
  <c r="X285" i="2" a="1"/>
  <c r="X285" i="2" s="1"/>
  <c r="X286" i="2" a="1"/>
  <c r="X286" i="2"/>
  <c r="X287" i="2" a="1"/>
  <c r="X287" i="2"/>
  <c r="X288" i="2" a="1"/>
  <c r="X288" i="2" s="1"/>
  <c r="X289" i="2" a="1"/>
  <c r="X289" i="2"/>
  <c r="X290" i="2" a="1"/>
  <c r="X290" i="2" s="1"/>
  <c r="X291" i="2" a="1"/>
  <c r="X291" i="2"/>
  <c r="X292" i="2" a="1"/>
  <c r="X292" i="2" s="1"/>
  <c r="X293" i="2" a="1"/>
  <c r="X293" i="2"/>
  <c r="X294" i="2" a="1"/>
  <c r="X294" i="2" s="1"/>
  <c r="X295" i="2" a="1"/>
  <c r="X295" i="2" s="1"/>
  <c r="X296" i="2" a="1"/>
  <c r="X296" i="2"/>
  <c r="X297" i="2" a="1"/>
  <c r="X297" i="2"/>
  <c r="X298" i="2" a="1"/>
  <c r="X298" i="2"/>
  <c r="X299" i="2" a="1"/>
  <c r="X299" i="2" s="1"/>
  <c r="X300" i="2" a="1"/>
  <c r="X300" i="2"/>
  <c r="X301" i="2" a="1"/>
  <c r="X301" i="2" s="1"/>
  <c r="X302" i="2" a="1"/>
  <c r="X302" i="2"/>
  <c r="X303" i="2" a="1"/>
  <c r="X303" i="2"/>
  <c r="X304" i="2" a="1"/>
  <c r="X304" i="2" s="1"/>
  <c r="X305" i="2" a="1"/>
  <c r="X305" i="2" s="1"/>
  <c r="X306" i="2" a="1"/>
  <c r="X306" i="2" s="1"/>
  <c r="X307" i="2" a="1"/>
  <c r="X307" i="2"/>
  <c r="X308" i="2" a="1"/>
  <c r="X308" i="2"/>
  <c r="X309" i="2" a="1"/>
  <c r="X309" i="2"/>
  <c r="X310" i="2" a="1"/>
  <c r="X310" i="2" s="1"/>
  <c r="X311" i="2" a="1"/>
  <c r="X311" i="2"/>
  <c r="X312" i="2" a="1"/>
  <c r="X312" i="2" s="1"/>
  <c r="X313" i="2" a="1"/>
  <c r="X313" i="2"/>
  <c r="X314" i="2" a="1"/>
  <c r="X314" i="2" s="1"/>
  <c r="X315" i="2" a="1"/>
  <c r="X315" i="2" s="1"/>
  <c r="X316" i="2" a="1"/>
  <c r="X316" i="2" s="1"/>
  <c r="X317" i="2" a="1"/>
  <c r="X317" i="2"/>
  <c r="X318" i="2" a="1"/>
  <c r="X318" i="2"/>
  <c r="X319" i="2" a="1"/>
  <c r="X319" i="2"/>
  <c r="X320" i="2" a="1"/>
  <c r="X320" i="2"/>
  <c r="X321" i="2" a="1"/>
  <c r="X321" i="2" s="1"/>
  <c r="X322" i="2" a="1"/>
  <c r="X322" i="2"/>
  <c r="X323" i="2" a="1"/>
  <c r="X323" i="2"/>
  <c r="X324" i="2" a="1"/>
  <c r="X324" i="2" s="1"/>
  <c r="X325" i="2" a="1"/>
  <c r="X325" i="2" s="1"/>
  <c r="X326" i="2" a="1"/>
  <c r="X326" i="2" s="1"/>
  <c r="X327" i="2" a="1"/>
  <c r="X327" i="2"/>
  <c r="X328" i="2" a="1"/>
  <c r="X328" i="2" s="1"/>
  <c r="X329" i="2" a="1"/>
  <c r="X329" i="2"/>
  <c r="X330" i="2" a="1"/>
  <c r="X330" i="2"/>
  <c r="X331" i="2" a="1"/>
  <c r="X331" i="2"/>
  <c r="X332" i="2" a="1"/>
  <c r="X332" i="2" s="1"/>
  <c r="X333" i="2" a="1"/>
  <c r="X333" i="2"/>
  <c r="X334" i="2" a="1"/>
  <c r="X334" i="2" s="1"/>
  <c r="X335" i="2" a="1"/>
  <c r="X335" i="2" s="1"/>
  <c r="X336" i="2" a="1"/>
  <c r="X336" i="2"/>
  <c r="X337" i="2" a="1"/>
  <c r="X337" i="2"/>
  <c r="X338" i="2" a="1"/>
  <c r="X338" i="2" s="1"/>
  <c r="X339" i="2" a="1"/>
  <c r="X339" i="2" s="1"/>
  <c r="X340" i="2" a="1"/>
  <c r="X340" i="2"/>
  <c r="X341" i="2" a="1"/>
  <c r="X341" i="2"/>
  <c r="X342" i="2" a="1"/>
  <c r="X342" i="2"/>
  <c r="X343" i="2" a="1"/>
  <c r="X343" i="2"/>
  <c r="X344" i="2" a="1"/>
  <c r="X344" i="2" s="1"/>
  <c r="X345" i="2" a="1"/>
  <c r="X345" i="2" s="1"/>
  <c r="X346" i="2" a="1"/>
  <c r="X346" i="2" s="1"/>
  <c r="X347" i="2" a="1"/>
  <c r="X347" i="2"/>
  <c r="X348" i="2" a="1"/>
  <c r="X348" i="2" s="1"/>
  <c r="X349" i="2" a="1"/>
  <c r="X349" i="2" s="1"/>
  <c r="X350" i="2" a="1"/>
  <c r="X350" i="2" s="1"/>
  <c r="X351" i="2" a="1"/>
  <c r="X351" i="2"/>
  <c r="X352" i="2" a="1"/>
  <c r="X352" i="2"/>
  <c r="X353" i="2" a="1"/>
  <c r="X353" i="2"/>
  <c r="X354" i="2" a="1"/>
  <c r="X354" i="2" s="1"/>
  <c r="X355" i="2" a="1"/>
  <c r="X355" i="2" s="1"/>
  <c r="X356" i="2" a="1"/>
  <c r="X356" i="2"/>
  <c r="X357" i="2" a="1"/>
  <c r="X357" i="2"/>
  <c r="X358" i="2" a="1"/>
  <c r="X358" i="2"/>
  <c r="X359" i="2" a="1"/>
  <c r="X359" i="2" s="1"/>
  <c r="X360" i="2" a="1"/>
  <c r="X360" i="2" s="1"/>
  <c r="X361" i="2" a="1"/>
  <c r="X361" i="2" s="1"/>
  <c r="X362" i="2" a="1"/>
  <c r="X362" i="2"/>
  <c r="X363" i="2" a="1"/>
  <c r="X363" i="2"/>
  <c r="X364" i="2" a="1"/>
  <c r="X364" i="2" s="1"/>
  <c r="X365" i="2" a="1"/>
  <c r="X365" i="2" s="1"/>
  <c r="X366" i="2" a="1"/>
  <c r="X366" i="2" s="1"/>
  <c r="X367" i="2" a="1"/>
  <c r="X367" i="2"/>
  <c r="X368" i="2" a="1"/>
  <c r="X368" i="2" s="1"/>
  <c r="X369" i="2" a="1"/>
  <c r="X369" i="2"/>
  <c r="X370" i="2" a="1"/>
  <c r="X370" i="2" s="1"/>
  <c r="X371" i="2" a="1"/>
  <c r="X371" i="2" s="1"/>
  <c r="X372" i="2" a="1"/>
  <c r="X372" i="2" s="1"/>
  <c r="X373" i="2" a="1"/>
  <c r="X373" i="2"/>
  <c r="X374" i="2" a="1"/>
  <c r="X374" i="2" s="1"/>
  <c r="X375" i="2" a="1"/>
  <c r="X375" i="2" s="1"/>
  <c r="X376" i="2" a="1"/>
  <c r="X376" i="2"/>
  <c r="X377" i="2" a="1"/>
  <c r="X377" i="2"/>
  <c r="X378" i="2" a="1"/>
  <c r="X378" i="2"/>
  <c r="X379" i="2" a="1"/>
  <c r="X379" i="2" s="1"/>
  <c r="X380" i="2" a="1"/>
  <c r="X380" i="2"/>
  <c r="X381" i="2" a="1"/>
  <c r="X381" i="2" s="1"/>
  <c r="X382" i="2" a="1"/>
  <c r="X382" i="2" s="1"/>
  <c r="X383" i="2" a="1"/>
  <c r="X383" i="2"/>
  <c r="X384" i="2" a="1"/>
  <c r="X384" i="2" s="1"/>
  <c r="X385" i="2" a="1"/>
  <c r="X385" i="2" s="1"/>
  <c r="X386" i="2" a="1"/>
  <c r="X386" i="2"/>
  <c r="X387" i="2" a="1"/>
  <c r="X387" i="2"/>
  <c r="X388" i="2" a="1"/>
  <c r="X388" i="2" s="1"/>
  <c r="X389" i="2" a="1"/>
  <c r="X389" i="2"/>
  <c r="X390" i="2" a="1"/>
  <c r="X390" i="2" s="1"/>
  <c r="X391" i="2" a="1"/>
  <c r="X391" i="2"/>
  <c r="X392" i="2" a="1"/>
  <c r="X392" i="2" s="1"/>
  <c r="X393" i="2" a="1"/>
  <c r="X393" i="2"/>
  <c r="X394" i="2" a="1"/>
  <c r="X394" i="2" s="1"/>
  <c r="X395" i="2" a="1"/>
  <c r="X395" i="2" s="1"/>
  <c r="X396" i="2" a="1"/>
  <c r="X396" i="2"/>
  <c r="X397" i="2" a="1"/>
  <c r="X397" i="2"/>
  <c r="X398" i="2" a="1"/>
  <c r="X398" i="2"/>
  <c r="X399" i="2" a="1"/>
  <c r="X399" i="2" s="1"/>
  <c r="X400" i="2" a="1"/>
  <c r="X400" i="2"/>
  <c r="X401" i="2" a="1"/>
  <c r="X401" i="2" s="1"/>
  <c r="X402" i="2" a="1"/>
  <c r="X402" i="2"/>
  <c r="X403" i="2" a="1"/>
  <c r="X403" i="2"/>
  <c r="X404" i="2" a="1"/>
  <c r="X404" i="2" s="1"/>
  <c r="X405" i="2" a="1"/>
  <c r="X405" i="2" s="1"/>
  <c r="X406" i="2" a="1"/>
  <c r="X406" i="2" s="1"/>
  <c r="X407" i="2" a="1"/>
  <c r="X407" i="2"/>
  <c r="X408" i="2" a="1"/>
  <c r="X408" i="2"/>
  <c r="X409" i="2" a="1"/>
  <c r="X409" i="2"/>
  <c r="X410" i="2" a="1"/>
  <c r="X410" i="2" s="1"/>
  <c r="X411" i="2" a="1"/>
  <c r="X411" i="2"/>
  <c r="X412" i="2" a="1"/>
  <c r="X412" i="2" s="1"/>
  <c r="X413" i="2" a="1"/>
  <c r="X413" i="2"/>
  <c r="X414" i="2" a="1"/>
  <c r="X414" i="2" s="1"/>
  <c r="X415" i="2" a="1"/>
  <c r="X415" i="2" s="1"/>
  <c r="X416" i="2" a="1"/>
  <c r="X416" i="2" s="1"/>
  <c r="X417" i="2" a="1"/>
  <c r="X417" i="2"/>
  <c r="X418" i="2" a="1"/>
  <c r="X418" i="2"/>
  <c r="X419" i="2" a="1"/>
  <c r="X419" i="2"/>
  <c r="X420" i="2" a="1"/>
  <c r="X420" i="2"/>
  <c r="X421" i="2" a="1"/>
  <c r="X421" i="2" s="1"/>
  <c r="X422" i="2" a="1"/>
  <c r="X422" i="2"/>
  <c r="X423" i="2" a="1"/>
  <c r="X423" i="2"/>
  <c r="X424" i="2" a="1"/>
  <c r="X424" i="2" s="1"/>
  <c r="X425" i="2" a="1"/>
  <c r="X425" i="2" s="1"/>
  <c r="X426" i="2" a="1"/>
  <c r="X426" i="2" s="1"/>
  <c r="X427" i="2" a="1"/>
  <c r="X427" i="2"/>
  <c r="X428" i="2" a="1"/>
  <c r="X428" i="2" s="1"/>
  <c r="X429" i="2" a="1"/>
  <c r="X429" i="2"/>
  <c r="X430" i="2" a="1"/>
  <c r="X430" i="2"/>
  <c r="X431" i="2" a="1"/>
  <c r="X431" i="2"/>
  <c r="X432" i="2" a="1"/>
  <c r="X432" i="2" s="1"/>
  <c r="X433" i="2" a="1"/>
  <c r="X433" i="2"/>
  <c r="X434" i="2" a="1"/>
  <c r="X434" i="2" s="1"/>
  <c r="X435" i="2" a="1"/>
  <c r="X435" i="2" s="1"/>
  <c r="X436" i="2" a="1"/>
  <c r="X436" i="2"/>
  <c r="X437" i="2" a="1"/>
  <c r="X437" i="2"/>
  <c r="X438" i="2" a="1"/>
  <c r="X438" i="2" s="1"/>
  <c r="X439" i="2" a="1"/>
  <c r="X439" i="2" s="1"/>
  <c r="X440" i="2" a="1"/>
  <c r="X440" i="2"/>
  <c r="X441" i="2" a="1"/>
  <c r="X441" i="2"/>
  <c r="X442" i="2" a="1"/>
  <c r="X442" i="2"/>
  <c r="X443" i="2" a="1"/>
  <c r="X443" i="2"/>
  <c r="X444" i="2" a="1"/>
  <c r="X444" i="2" s="1"/>
  <c r="X445" i="2" a="1"/>
  <c r="X445" i="2" s="1"/>
  <c r="X446" i="2" a="1"/>
  <c r="X446" i="2" s="1"/>
  <c r="X447" i="2" a="1"/>
  <c r="X447" i="2"/>
  <c r="X448" i="2" a="1"/>
  <c r="X448" i="2" s="1"/>
  <c r="X449" i="2" a="1"/>
  <c r="X449" i="2" s="1"/>
  <c r="X450" i="2" a="1"/>
  <c r="X450" i="2" s="1"/>
  <c r="X451" i="2" a="1"/>
  <c r="X451" i="2"/>
  <c r="X452" i="2" a="1"/>
  <c r="X452" i="2"/>
  <c r="X453" i="2" a="1"/>
  <c r="X453" i="2"/>
  <c r="X454" i="2" a="1"/>
  <c r="X454" i="2" s="1"/>
  <c r="X455" i="2" a="1"/>
  <c r="X455" i="2" s="1"/>
  <c r="X456" i="2" a="1"/>
  <c r="X456" i="2"/>
  <c r="X457" i="2" a="1"/>
  <c r="X457" i="2"/>
  <c r="X458" i="2" a="1"/>
  <c r="X458" i="2"/>
  <c r="X459" i="2" a="1"/>
  <c r="X459" i="2" s="1"/>
  <c r="X460" i="2" a="1"/>
  <c r="X460" i="2" s="1"/>
  <c r="X461" i="2" a="1"/>
  <c r="X461" i="2" s="1"/>
  <c r="X462" i="2" a="1"/>
  <c r="X462" i="2"/>
  <c r="X463" i="2" a="1"/>
  <c r="X463" i="2"/>
  <c r="X464" i="2" a="1"/>
  <c r="X464" i="2" s="1"/>
  <c r="X465" i="2" a="1"/>
  <c r="X465" i="2" s="1"/>
  <c r="X466" i="2" a="1"/>
  <c r="X466" i="2" s="1"/>
  <c r="X467" i="2" a="1"/>
  <c r="X467" i="2"/>
  <c r="X468" i="2" a="1"/>
  <c r="X468" i="2" s="1"/>
  <c r="X469" i="2" a="1"/>
  <c r="X469" i="2"/>
  <c r="X470" i="2" a="1"/>
  <c r="X470" i="2" s="1"/>
  <c r="X471" i="2" a="1"/>
  <c r="X471" i="2" s="1"/>
  <c r="X472" i="2" a="1"/>
  <c r="X472" i="2" s="1"/>
  <c r="X473" i="2" a="1"/>
  <c r="X473" i="2"/>
  <c r="X474" i="2" a="1"/>
  <c r="X474" i="2" s="1"/>
  <c r="X475" i="2" a="1"/>
  <c r="X475" i="2" s="1"/>
  <c r="X476" i="2" a="1"/>
  <c r="X476" i="2"/>
  <c r="X477" i="2" a="1"/>
  <c r="X477" i="2"/>
  <c r="X478" i="2" a="1"/>
  <c r="X478" i="2"/>
  <c r="X479" i="2" a="1"/>
  <c r="X479" i="2" s="1"/>
  <c r="X480" i="2" a="1"/>
  <c r="X480" i="2"/>
  <c r="X481" i="2" a="1"/>
  <c r="X481" i="2" s="1"/>
  <c r="X482" i="2" a="1"/>
  <c r="X482" i="2" s="1"/>
  <c r="X483" i="2" a="1"/>
  <c r="X483" i="2"/>
  <c r="X484" i="2" a="1"/>
  <c r="X484" i="2" s="1"/>
  <c r="X485" i="2" a="1"/>
  <c r="X485" i="2" s="1"/>
  <c r="X486" i="2" a="1"/>
  <c r="X486" i="2"/>
  <c r="X487" i="2" a="1"/>
  <c r="X487" i="2"/>
  <c r="X488" i="2" a="1"/>
  <c r="X488" i="2" s="1"/>
  <c r="X489" i="2" a="1"/>
  <c r="X489" i="2"/>
  <c r="X490" i="2" a="1"/>
  <c r="X490" i="2" s="1"/>
  <c r="X491" i="2" a="1"/>
  <c r="X491" i="2"/>
  <c r="X492" i="2" a="1"/>
  <c r="X492" i="2" s="1"/>
  <c r="X493" i="2" a="1"/>
  <c r="X493" i="2"/>
  <c r="X494" i="2" a="1"/>
  <c r="X494" i="2" s="1"/>
  <c r="X495" i="2" a="1"/>
  <c r="X495" i="2" s="1"/>
  <c r="X496" i="2" a="1"/>
  <c r="X496" i="2"/>
  <c r="X497" i="2" a="1"/>
  <c r="X497" i="2"/>
  <c r="X498" i="2" a="1"/>
  <c r="X498" i="2"/>
  <c r="X499" i="2" a="1"/>
  <c r="X499" i="2" s="1"/>
  <c r="X500" i="2" a="1"/>
  <c r="X500" i="2"/>
  <c r="X501" i="2" a="1"/>
  <c r="X501" i="2" s="1"/>
  <c r="X502" i="2" a="1"/>
  <c r="X502" i="2"/>
  <c r="X503" i="2" a="1"/>
  <c r="X503" i="2"/>
  <c r="X504" i="2" a="1"/>
  <c r="X504" i="2" s="1"/>
  <c r="X505" i="2" a="1"/>
  <c r="X505" i="2" s="1"/>
  <c r="X506" i="2" a="1"/>
  <c r="X506" i="2" s="1"/>
  <c r="X507" i="2" a="1"/>
  <c r="X507" i="2"/>
  <c r="X508" i="2" a="1"/>
  <c r="X508" i="2"/>
  <c r="X509" i="2" a="1"/>
  <c r="X509" i="2"/>
  <c r="X510" i="2" a="1"/>
  <c r="X510" i="2" s="1"/>
  <c r="X511" i="2" a="1"/>
  <c r="X511" i="2"/>
  <c r="X512" i="2" a="1"/>
  <c r="X512" i="2" s="1"/>
  <c r="X513" i="2" a="1"/>
  <c r="X513" i="2"/>
  <c r="X514" i="2" a="1"/>
  <c r="X514" i="2" s="1"/>
  <c r="X515" i="2" a="1"/>
  <c r="X515" i="2" s="1"/>
  <c r="X516" i="2" a="1"/>
  <c r="X516" i="2" s="1"/>
  <c r="X517" i="2" a="1"/>
  <c r="X517" i="2"/>
  <c r="X518" i="2" a="1"/>
  <c r="X518" i="2"/>
  <c r="X519" i="2" a="1"/>
  <c r="X519" i="2"/>
  <c r="X520" i="2" a="1"/>
  <c r="X520" i="2"/>
  <c r="X521" i="2" a="1"/>
  <c r="X521" i="2" s="1"/>
  <c r="X522" i="2" a="1"/>
  <c r="X522" i="2"/>
  <c r="X523" i="2" a="1"/>
  <c r="X523" i="2"/>
  <c r="X524" i="2" a="1"/>
  <c r="X524" i="2" s="1"/>
  <c r="X525" i="2" a="1"/>
  <c r="X525" i="2" s="1"/>
  <c r="X526" i="2" a="1"/>
  <c r="X526" i="2" s="1"/>
  <c r="X527" i="2" a="1"/>
  <c r="X527" i="2"/>
  <c r="X528" i="2" a="1"/>
  <c r="X528" i="2" s="1"/>
  <c r="X529" i="2" a="1"/>
  <c r="X529" i="2"/>
  <c r="X530" i="2" a="1"/>
  <c r="X530" i="2"/>
  <c r="X531" i="2" a="1"/>
  <c r="X531" i="2"/>
  <c r="X532" i="2" a="1"/>
  <c r="X532" i="2" s="1"/>
  <c r="X533" i="2" a="1"/>
  <c r="X533" i="2"/>
  <c r="X534" i="2" a="1"/>
  <c r="X534" i="2" s="1"/>
  <c r="X535" i="2" a="1"/>
  <c r="X535" i="2" s="1"/>
  <c r="X536" i="2" a="1"/>
  <c r="X536" i="2"/>
  <c r="X537" i="2" a="1"/>
  <c r="X537" i="2"/>
  <c r="X538" i="2" a="1"/>
  <c r="X538" i="2" s="1"/>
  <c r="X539" i="2" a="1"/>
  <c r="X539" i="2" s="1"/>
  <c r="X540" i="2" a="1"/>
  <c r="X540" i="2"/>
  <c r="X541" i="2" a="1"/>
  <c r="X541" i="2"/>
  <c r="X542" i="2" a="1"/>
  <c r="X542" i="2"/>
  <c r="X543" i="2" a="1"/>
  <c r="X543" i="2"/>
  <c r="X544" i="2" a="1"/>
  <c r="X544" i="2" s="1"/>
  <c r="X545" i="2" a="1"/>
  <c r="X545" i="2" s="1"/>
  <c r="X546" i="2" a="1"/>
  <c r="X546" i="2" s="1"/>
  <c r="X547" i="2" a="1"/>
  <c r="X547" i="2"/>
  <c r="X548" i="2" a="1"/>
  <c r="X548" i="2" s="1"/>
  <c r="X549" i="2" a="1"/>
  <c r="X549" i="2" s="1"/>
  <c r="X550" i="2" a="1"/>
  <c r="X550" i="2" s="1"/>
  <c r="X551" i="2" a="1"/>
  <c r="X551" i="2"/>
  <c r="X552" i="2" a="1"/>
  <c r="X552" i="2"/>
  <c r="X553" i="2" a="1"/>
  <c r="X553" i="2"/>
  <c r="X554" i="2" a="1"/>
  <c r="X554" i="2" s="1"/>
  <c r="X555" i="2" a="1"/>
  <c r="X555" i="2" s="1"/>
  <c r="X556" i="2" a="1"/>
  <c r="X556" i="2"/>
  <c r="X557" i="2" a="1"/>
  <c r="X557" i="2"/>
  <c r="X558" i="2" a="1"/>
  <c r="X558" i="2"/>
  <c r="X559" i="2" a="1"/>
  <c r="X559" i="2" s="1"/>
  <c r="X560" i="2" a="1"/>
  <c r="X560" i="2" s="1"/>
  <c r="X561" i="2" a="1"/>
  <c r="X561" i="2" s="1"/>
  <c r="X562" i="2" a="1"/>
  <c r="X562" i="2"/>
  <c r="X563" i="2" a="1"/>
  <c r="X563" i="2"/>
  <c r="X564" i="2" a="1"/>
  <c r="X564" i="2" s="1"/>
  <c r="X565" i="2" a="1"/>
  <c r="X565" i="2" s="1"/>
  <c r="X566" i="2" a="1"/>
  <c r="X566" i="2" s="1"/>
  <c r="X567" i="2" a="1"/>
  <c r="X567" i="2"/>
  <c r="X568" i="2" a="1"/>
  <c r="X568" i="2" s="1"/>
  <c r="X569" i="2" a="1"/>
  <c r="X569" i="2"/>
  <c r="X570" i="2" a="1"/>
  <c r="X570" i="2" s="1"/>
  <c r="X571" i="2" a="1"/>
  <c r="X571" i="2" s="1"/>
  <c r="X572" i="2" a="1"/>
  <c r="X572" i="2" s="1"/>
  <c r="X573" i="2" a="1"/>
  <c r="X573" i="2"/>
  <c r="X574" i="2" a="1"/>
  <c r="X574" i="2" s="1"/>
  <c r="X575" i="2" a="1"/>
  <c r="X575" i="2" s="1"/>
  <c r="X576" i="2" a="1"/>
  <c r="X576" i="2"/>
  <c r="X577" i="2" a="1"/>
  <c r="X577" i="2"/>
  <c r="X578" i="2" a="1"/>
  <c r="X578" i="2"/>
  <c r="X579" i="2" a="1"/>
  <c r="X579" i="2" s="1"/>
  <c r="X580" i="2" a="1"/>
  <c r="X580" i="2"/>
  <c r="X581" i="2" a="1"/>
  <c r="X581" i="2" s="1"/>
  <c r="X582" i="2" a="1"/>
  <c r="X582" i="2" s="1"/>
  <c r="X583" i="2" a="1"/>
  <c r="X583" i="2"/>
  <c r="X584" i="2" a="1"/>
  <c r="X584" i="2" s="1"/>
  <c r="X585" i="2" a="1"/>
  <c r="X585" i="2" s="1"/>
  <c r="X586" i="2" a="1"/>
  <c r="X586" i="2"/>
  <c r="X587" i="2" a="1"/>
  <c r="X587" i="2"/>
  <c r="X588" i="2" a="1"/>
  <c r="X588" i="2" s="1"/>
  <c r="X589" i="2" a="1"/>
  <c r="X589" i="2"/>
  <c r="X590" i="2" a="1"/>
  <c r="X590" i="2" s="1"/>
  <c r="X591" i="2" a="1"/>
  <c r="X591" i="2"/>
  <c r="X592" i="2" a="1"/>
  <c r="X592" i="2" s="1"/>
  <c r="X593" i="2" a="1"/>
  <c r="X593" i="2"/>
  <c r="X594" i="2" a="1"/>
  <c r="X594" i="2" s="1"/>
  <c r="X595" i="2" a="1"/>
  <c r="X595" i="2" s="1"/>
  <c r="X596" i="2" a="1"/>
  <c r="X596" i="2"/>
  <c r="X597" i="2" a="1"/>
  <c r="X597" i="2"/>
  <c r="X598" i="2" a="1"/>
  <c r="X598" i="2"/>
  <c r="X599" i="2" a="1"/>
  <c r="X599" i="2" s="1"/>
  <c r="X600" i="2" a="1"/>
  <c r="X600" i="2"/>
  <c r="X601" i="2" a="1"/>
  <c r="X601" i="2" s="1"/>
  <c r="X602" i="2" a="1"/>
  <c r="X602" i="2"/>
  <c r="X603" i="2" a="1"/>
  <c r="X603" i="2"/>
  <c r="X604" i="2" a="1"/>
  <c r="X604" i="2" s="1"/>
  <c r="X605" i="2" a="1"/>
  <c r="X605" i="2" s="1"/>
  <c r="X606" i="2" a="1"/>
  <c r="X606" i="2" s="1"/>
  <c r="X607" i="2" a="1"/>
  <c r="X607" i="2"/>
  <c r="X608" i="2" a="1"/>
  <c r="X608" i="2"/>
  <c r="X609" i="2" a="1"/>
  <c r="X609" i="2"/>
  <c r="X610" i="2" a="1"/>
  <c r="X610" i="2" s="1"/>
  <c r="X611" i="2" a="1"/>
  <c r="X611" i="2"/>
  <c r="X612" i="2" a="1"/>
  <c r="X612" i="2" s="1"/>
  <c r="X613" i="2" a="1"/>
  <c r="X613" i="2"/>
  <c r="X614" i="2" a="1"/>
  <c r="X614" i="2" s="1"/>
  <c r="X615" i="2" a="1"/>
  <c r="X615" i="2" s="1"/>
  <c r="X616" i="2" a="1"/>
  <c r="X616" i="2" s="1"/>
  <c r="X617" i="2" a="1"/>
  <c r="X617" i="2"/>
  <c r="X618" i="2" a="1"/>
  <c r="X618" i="2"/>
  <c r="X619" i="2" a="1"/>
  <c r="X619" i="2"/>
  <c r="X620" i="2" a="1"/>
  <c r="X620" i="2"/>
  <c r="X621" i="2" a="1"/>
  <c r="X621" i="2" s="1"/>
  <c r="X622" i="2" a="1"/>
  <c r="X622" i="2"/>
  <c r="X623" i="2" a="1"/>
  <c r="X623" i="2"/>
  <c r="X624" i="2" a="1"/>
  <c r="X624" i="2" s="1"/>
  <c r="X625" i="2" a="1"/>
  <c r="X625" i="2" s="1"/>
  <c r="X626" i="2" a="1"/>
  <c r="X626" i="2" s="1"/>
  <c r="X627" i="2" a="1"/>
  <c r="X627" i="2"/>
  <c r="X628" i="2" a="1"/>
  <c r="X628" i="2" s="1"/>
  <c r="X629" i="2" a="1"/>
  <c r="X629" i="2"/>
  <c r="X630" i="2" a="1"/>
  <c r="X630" i="2"/>
  <c r="X631" i="2" a="1"/>
  <c r="X631" i="2"/>
  <c r="X632" i="2" a="1"/>
  <c r="X632" i="2" s="1"/>
  <c r="X633" i="2" a="1"/>
  <c r="X633" i="2"/>
  <c r="X634" i="2" a="1"/>
  <c r="X634" i="2" s="1"/>
  <c r="X635" i="2" a="1"/>
  <c r="X635" i="2" s="1"/>
  <c r="X636" i="2" a="1"/>
  <c r="X636" i="2"/>
  <c r="X637" i="2" a="1"/>
  <c r="X637" i="2"/>
  <c r="X638" i="2" a="1"/>
  <c r="X638" i="2" s="1"/>
  <c r="X639" i="2" a="1"/>
  <c r="X639" i="2" s="1"/>
  <c r="X640" i="2" a="1"/>
  <c r="X640" i="2"/>
  <c r="X641" i="2" a="1"/>
  <c r="X641" i="2"/>
  <c r="X642" i="2" a="1"/>
  <c r="X642" i="2"/>
  <c r="X643" i="2" a="1"/>
  <c r="X643" i="2"/>
  <c r="X644" i="2" a="1"/>
  <c r="X644" i="2" s="1"/>
  <c r="X645" i="2" a="1"/>
  <c r="X645" i="2" s="1"/>
  <c r="X646" i="2" a="1"/>
  <c r="X646" i="2" s="1"/>
  <c r="X647" i="2" a="1"/>
  <c r="X647" i="2"/>
  <c r="X648" i="2" a="1"/>
  <c r="X648" i="2" s="1"/>
  <c r="X649" i="2" a="1"/>
  <c r="X649" i="2" s="1"/>
  <c r="X650" i="2" a="1"/>
  <c r="X650" i="2" s="1"/>
  <c r="X651" i="2" a="1"/>
  <c r="X651" i="2"/>
  <c r="X652" i="2" a="1"/>
  <c r="X652" i="2"/>
  <c r="X653" i="2" a="1"/>
  <c r="X653" i="2"/>
  <c r="X654" i="2" a="1"/>
  <c r="X654" i="2" s="1"/>
  <c r="X655" i="2" a="1"/>
  <c r="X655" i="2" s="1"/>
  <c r="X656" i="2" a="1"/>
  <c r="X656" i="2"/>
  <c r="X657" i="2" a="1"/>
  <c r="X657" i="2"/>
  <c r="X658" i="2" a="1"/>
  <c r="X658" i="2"/>
  <c r="X659" i="2" a="1"/>
  <c r="X659" i="2" s="1"/>
  <c r="X660" i="2" a="1"/>
  <c r="X660" i="2" s="1"/>
  <c r="X661" i="2" a="1"/>
  <c r="X661" i="2" s="1"/>
  <c r="X662" i="2" a="1"/>
  <c r="X662" i="2"/>
  <c r="X663" i="2" a="1"/>
  <c r="X663" i="2"/>
  <c r="X664" i="2" a="1"/>
  <c r="X664" i="2" s="1"/>
  <c r="X665" i="2" a="1"/>
  <c r="X665" i="2" s="1"/>
  <c r="X666" i="2" a="1"/>
  <c r="X666" i="2" s="1"/>
  <c r="X667" i="2" a="1"/>
  <c r="X667" i="2"/>
  <c r="X668" i="2" a="1"/>
  <c r="X668" i="2" s="1"/>
  <c r="X669" i="2" a="1"/>
  <c r="X669" i="2"/>
  <c r="X670" i="2" a="1"/>
  <c r="X670" i="2" s="1"/>
  <c r="X671" i="2" a="1"/>
  <c r="X671" i="2" s="1"/>
  <c r="X672" i="2" a="1"/>
  <c r="X672" i="2" s="1"/>
  <c r="X673" i="2" a="1"/>
  <c r="X673" i="2"/>
  <c r="X674" i="2" a="1"/>
  <c r="X674" i="2" s="1"/>
  <c r="X675" i="2" a="1"/>
  <c r="X675" i="2" s="1"/>
  <c r="X676" i="2" a="1"/>
  <c r="X676" i="2"/>
  <c r="X677" i="2" a="1"/>
  <c r="X677" i="2"/>
  <c r="X678" i="2" a="1"/>
  <c r="X678" i="2"/>
  <c r="X679" i="2" a="1"/>
  <c r="X679" i="2" s="1"/>
  <c r="X680" i="2" a="1"/>
  <c r="X680" i="2"/>
  <c r="X681" i="2" a="1"/>
  <c r="X681" i="2" s="1"/>
  <c r="X682" i="2" a="1"/>
  <c r="X682" i="2" s="1"/>
  <c r="X683" i="2" a="1"/>
  <c r="X683" i="2"/>
  <c r="X684" i="2" a="1"/>
  <c r="X684" i="2" s="1"/>
  <c r="X685" i="2" a="1"/>
  <c r="X685" i="2" s="1"/>
  <c r="X686" i="2" a="1"/>
  <c r="X686" i="2"/>
  <c r="X687" i="2" a="1"/>
  <c r="X687" i="2"/>
  <c r="X688" i="2" a="1"/>
  <c r="X688" i="2" s="1"/>
  <c r="X689" i="2" a="1"/>
  <c r="X689" i="2"/>
  <c r="X690" i="2" a="1"/>
  <c r="X690" i="2" s="1"/>
  <c r="X691" i="2" a="1"/>
  <c r="X691" i="2"/>
  <c r="X692" i="2" a="1"/>
  <c r="X692" i="2" s="1"/>
  <c r="X693" i="2" a="1"/>
  <c r="X693" i="2"/>
  <c r="X694" i="2" a="1"/>
  <c r="X694" i="2" s="1"/>
  <c r="X695" i="2" a="1"/>
  <c r="X695" i="2" s="1"/>
  <c r="X696" i="2" a="1"/>
  <c r="X696" i="2"/>
  <c r="X697" i="2" a="1"/>
  <c r="X697" i="2"/>
  <c r="X698" i="2" a="1"/>
  <c r="X698" i="2"/>
  <c r="X699" i="2" a="1"/>
  <c r="X699" i="2" s="1"/>
  <c r="X700" i="2" a="1"/>
  <c r="X700" i="2"/>
  <c r="X701" i="2" a="1"/>
  <c r="X701" i="2" s="1"/>
  <c r="X702" i="2" a="1"/>
  <c r="X702" i="2"/>
  <c r="X703" i="2" a="1"/>
  <c r="X703" i="2"/>
  <c r="X704" i="2" a="1"/>
  <c r="X704" i="2" s="1"/>
  <c r="X705" i="2" a="1"/>
  <c r="X705" i="2" s="1"/>
  <c r="X706" i="2" a="1"/>
  <c r="X706" i="2" s="1"/>
  <c r="X707" i="2" a="1"/>
  <c r="X707" i="2"/>
  <c r="X708" i="2" a="1"/>
  <c r="X708" i="2"/>
  <c r="X709" i="2" a="1"/>
  <c r="X709" i="2"/>
  <c r="X710" i="2" a="1"/>
  <c r="X710" i="2" s="1"/>
  <c r="X711" i="2" a="1"/>
  <c r="X711" i="2"/>
  <c r="X712" i="2" a="1"/>
  <c r="X712" i="2" s="1"/>
  <c r="X713" i="2" a="1"/>
  <c r="X713" i="2"/>
  <c r="X714" i="2" a="1"/>
  <c r="X714" i="2" s="1"/>
  <c r="X715" i="2" a="1"/>
  <c r="X715" i="2" s="1"/>
  <c r="X716" i="2" a="1"/>
  <c r="X716" i="2" s="1"/>
  <c r="X717" i="2" a="1"/>
  <c r="X717" i="2"/>
  <c r="X718" i="2" a="1"/>
  <c r="X718" i="2"/>
  <c r="X719" i="2" a="1"/>
  <c r="X719" i="2"/>
  <c r="X720" i="2" a="1"/>
  <c r="X720" i="2"/>
  <c r="X721" i="2" a="1"/>
  <c r="X721" i="2" s="1"/>
  <c r="X722" i="2" a="1"/>
  <c r="X722" i="2"/>
  <c r="X723" i="2" a="1"/>
  <c r="X723" i="2"/>
  <c r="X724" i="2" a="1"/>
  <c r="X724" i="2" s="1"/>
  <c r="X725" i="2" a="1"/>
  <c r="X725" i="2" s="1"/>
  <c r="X726" i="2" a="1"/>
  <c r="X726" i="2" s="1"/>
  <c r="X727" i="2" a="1"/>
  <c r="X727" i="2"/>
  <c r="X728" i="2" a="1"/>
  <c r="X728" i="2" s="1"/>
  <c r="X729" i="2" a="1"/>
  <c r="X729" i="2"/>
  <c r="X730" i="2" a="1"/>
  <c r="X730" i="2"/>
  <c r="X731" i="2" a="1"/>
  <c r="X731" i="2"/>
  <c r="X732" i="2" a="1"/>
  <c r="X732" i="2" s="1"/>
  <c r="X733" i="2" a="1"/>
  <c r="X733" i="2"/>
  <c r="X734" i="2" a="1"/>
  <c r="X734" i="2" s="1"/>
  <c r="X735" i="2" a="1"/>
  <c r="X735" i="2" s="1"/>
  <c r="X736" i="2" a="1"/>
  <c r="X736" i="2"/>
  <c r="X737" i="2" a="1"/>
  <c r="X737" i="2"/>
  <c r="X738" i="2" a="1"/>
  <c r="X738" i="2" s="1"/>
  <c r="X739" i="2" a="1"/>
  <c r="X739" i="2" s="1"/>
  <c r="X740" i="2" a="1"/>
  <c r="X740" i="2"/>
  <c r="X741" i="2" a="1"/>
  <c r="X741" i="2"/>
  <c r="X742" i="2" a="1"/>
  <c r="X742" i="2"/>
  <c r="X743" i="2" a="1"/>
  <c r="X743" i="2"/>
  <c r="X744" i="2" a="1"/>
  <c r="X744" i="2" s="1"/>
  <c r="X745" i="2" a="1"/>
  <c r="X745" i="2" s="1"/>
  <c r="X746" i="2" a="1"/>
  <c r="X746" i="2" s="1"/>
  <c r="X747" i="2" a="1"/>
  <c r="X747" i="2"/>
  <c r="X748" i="2" a="1"/>
  <c r="X748" i="2" s="1"/>
  <c r="X749" i="2" a="1"/>
  <c r="X749" i="2" s="1"/>
  <c r="X750" i="2" a="1"/>
  <c r="X750" i="2" s="1"/>
  <c r="X751" i="2" a="1"/>
  <c r="X751" i="2"/>
  <c r="X752" i="2" a="1"/>
  <c r="X752" i="2"/>
  <c r="X753" i="2" a="1"/>
  <c r="X753" i="2"/>
  <c r="X754" i="2" a="1"/>
  <c r="X754" i="2" s="1"/>
  <c r="X755" i="2" a="1"/>
  <c r="X755" i="2" s="1"/>
  <c r="X756" i="2" a="1"/>
  <c r="X756" i="2"/>
  <c r="X757" i="2" a="1"/>
  <c r="X757" i="2"/>
  <c r="X758" i="2" a="1"/>
  <c r="X758" i="2"/>
  <c r="X759" i="2" a="1"/>
  <c r="X759" i="2" s="1"/>
  <c r="X760" i="2" a="1"/>
  <c r="X760" i="2" s="1"/>
  <c r="X761" i="2" a="1"/>
  <c r="X761" i="2" s="1"/>
  <c r="X762" i="2" a="1"/>
  <c r="X762" i="2"/>
  <c r="X763" i="2" a="1"/>
  <c r="X763" i="2"/>
  <c r="X764" i="2" a="1"/>
  <c r="X764" i="2" s="1"/>
  <c r="X765" i="2" a="1"/>
  <c r="X765" i="2" s="1"/>
  <c r="X766" i="2" a="1"/>
  <c r="X766" i="2" s="1"/>
  <c r="X767" i="2" a="1"/>
  <c r="X767" i="2"/>
  <c r="X768" i="2" a="1"/>
  <c r="X768" i="2" s="1"/>
  <c r="X769" i="2" a="1"/>
  <c r="X769" i="2"/>
  <c r="X770" i="2" a="1"/>
  <c r="X770" i="2" s="1"/>
  <c r="X771" i="2" a="1"/>
  <c r="X771" i="2" s="1"/>
  <c r="X772" i="2" a="1"/>
  <c r="X772" i="2" s="1"/>
  <c r="X773" i="2" a="1"/>
  <c r="X773" i="2"/>
  <c r="X774" i="2" a="1"/>
  <c r="X774" i="2" s="1"/>
  <c r="X775" i="2" a="1"/>
  <c r="X775" i="2" s="1"/>
  <c r="X776" i="2" a="1"/>
  <c r="X776" i="2"/>
  <c r="X777" i="2" a="1"/>
  <c r="X777" i="2"/>
  <c r="X778" i="2" a="1"/>
  <c r="X778" i="2"/>
  <c r="X779" i="2" a="1"/>
  <c r="X779" i="2" s="1"/>
  <c r="X780" i="2" a="1"/>
  <c r="X780" i="2"/>
  <c r="X781" i="2" a="1"/>
  <c r="X781" i="2" s="1"/>
  <c r="X782" i="2" a="1"/>
  <c r="X782" i="2" s="1"/>
  <c r="X783" i="2" a="1"/>
  <c r="X783" i="2"/>
  <c r="X784" i="2" a="1"/>
  <c r="X784" i="2" s="1"/>
  <c r="X785" i="2" a="1"/>
  <c r="X785" i="2" s="1"/>
  <c r="X786" i="2" a="1"/>
  <c r="X786" i="2"/>
  <c r="X787" i="2" a="1"/>
  <c r="X787" i="2"/>
  <c r="X788" i="2" a="1"/>
  <c r="X788" i="2" s="1"/>
  <c r="X789" i="2" a="1"/>
  <c r="X789" i="2"/>
  <c r="X790" i="2" a="1"/>
  <c r="X790" i="2" s="1"/>
  <c r="X791" i="2" a="1"/>
  <c r="X791" i="2"/>
  <c r="X792" i="2" a="1"/>
  <c r="X792" i="2" s="1"/>
  <c r="X793" i="2" a="1"/>
  <c r="X793" i="2"/>
  <c r="X794" i="2" a="1"/>
  <c r="X794" i="2" s="1"/>
  <c r="X795" i="2" a="1"/>
  <c r="X795" i="2" s="1"/>
  <c r="X796" i="2" a="1"/>
  <c r="X796" i="2"/>
  <c r="X797" i="2" a="1"/>
  <c r="X797" i="2"/>
  <c r="X798" i="2" a="1"/>
  <c r="X798" i="2"/>
  <c r="X799" i="2" a="1"/>
  <c r="X799" i="2" s="1"/>
  <c r="X800" i="2" a="1"/>
  <c r="X800" i="2"/>
  <c r="X801" i="2" a="1"/>
  <c r="X801" i="2" s="1"/>
  <c r="X802" i="2" a="1"/>
  <c r="X802" i="2"/>
  <c r="X803" i="2" a="1"/>
  <c r="X803" i="2"/>
  <c r="X804" i="2" a="1"/>
  <c r="X804" i="2" s="1"/>
  <c r="X805" i="2" a="1"/>
  <c r="X805" i="2" s="1"/>
  <c r="X806" i="2" a="1"/>
  <c r="X806" i="2" s="1"/>
  <c r="X807" i="2" a="1"/>
  <c r="X807" i="2"/>
  <c r="X808" i="2" a="1"/>
  <c r="X808" i="2"/>
  <c r="X809" i="2" a="1"/>
  <c r="X809" i="2"/>
  <c r="X810" i="2" a="1"/>
  <c r="X810" i="2" s="1"/>
  <c r="X811" i="2" a="1"/>
  <c r="X811" i="2"/>
  <c r="X812" i="2" a="1"/>
  <c r="X812" i="2" s="1"/>
  <c r="X813" i="2" a="1"/>
  <c r="X813" i="2"/>
  <c r="X814" i="2" a="1"/>
  <c r="X814" i="2" s="1"/>
  <c r="X815" i="2" a="1"/>
  <c r="X815" i="2" s="1"/>
  <c r="X816" i="2" a="1"/>
  <c r="X816" i="2" s="1"/>
  <c r="X817" i="2" a="1"/>
  <c r="X817" i="2"/>
  <c r="X818" i="2" a="1"/>
  <c r="X818" i="2"/>
  <c r="X819" i="2" a="1"/>
  <c r="X819" i="2"/>
  <c r="X820" i="2" a="1"/>
  <c r="X820" i="2"/>
  <c r="X821" i="2" a="1"/>
  <c r="X821" i="2" s="1"/>
  <c r="X822" i="2" a="1"/>
  <c r="X822" i="2"/>
  <c r="X823" i="2" a="1"/>
  <c r="X823" i="2"/>
  <c r="X824" i="2" a="1"/>
  <c r="X824" i="2" s="1"/>
  <c r="X825" i="2" a="1"/>
  <c r="X825" i="2" s="1"/>
  <c r="X826" i="2" a="1"/>
  <c r="X826" i="2" s="1"/>
  <c r="X827" i="2" a="1"/>
  <c r="X827" i="2"/>
  <c r="X828" i="2" a="1"/>
  <c r="X828" i="2" s="1"/>
  <c r="X829" i="2" a="1"/>
  <c r="X829" i="2"/>
  <c r="X830" i="2" a="1"/>
  <c r="X830" i="2"/>
  <c r="X831" i="2" a="1"/>
  <c r="X831" i="2"/>
  <c r="X832" i="2" a="1"/>
  <c r="X832" i="2" s="1"/>
  <c r="X833" i="2" a="1"/>
  <c r="X833" i="2"/>
  <c r="X834" i="2" a="1"/>
  <c r="X834" i="2" s="1"/>
  <c r="X835" i="2" a="1"/>
  <c r="X835" i="2" s="1"/>
  <c r="X836" i="2" a="1"/>
  <c r="X836" i="2"/>
  <c r="X837" i="2" a="1"/>
  <c r="X837" i="2"/>
  <c r="X838" i="2" a="1"/>
  <c r="X838" i="2" s="1"/>
  <c r="X839" i="2" a="1"/>
  <c r="X839" i="2" s="1"/>
  <c r="X840" i="2" a="1"/>
  <c r="X840" i="2"/>
  <c r="X841" i="2" a="1"/>
  <c r="X841" i="2"/>
  <c r="X842" i="2" a="1"/>
  <c r="X842" i="2"/>
  <c r="X843" i="2" a="1"/>
  <c r="X843" i="2"/>
  <c r="X844" i="2" a="1"/>
  <c r="X844" i="2" s="1"/>
  <c r="X845" i="2" a="1"/>
  <c r="X845" i="2" s="1"/>
  <c r="X846" i="2" a="1"/>
  <c r="X846" i="2" s="1"/>
  <c r="X847" i="2" a="1"/>
  <c r="X847" i="2"/>
  <c r="X848" i="2" a="1"/>
  <c r="X848" i="2" s="1"/>
  <c r="X849" i="2" a="1"/>
  <c r="X849" i="2" s="1"/>
  <c r="X850" i="2" a="1"/>
  <c r="X850" i="2" s="1"/>
  <c r="X851" i="2" a="1"/>
  <c r="X851" i="2"/>
  <c r="X852" i="2" a="1"/>
  <c r="X852" i="2"/>
  <c r="X853" i="2" a="1"/>
  <c r="X853" i="2"/>
  <c r="X854" i="2" a="1"/>
  <c r="X854" i="2" s="1"/>
  <c r="X855" i="2" a="1"/>
  <c r="X855" i="2"/>
  <c r="X856" i="2" a="1"/>
  <c r="X856" i="2" s="1"/>
  <c r="X857" i="2" a="1"/>
  <c r="X857" i="2"/>
  <c r="X858" i="2" a="1"/>
  <c r="X858" i="2" s="1"/>
  <c r="X859" i="2" a="1"/>
  <c r="X859" i="2" s="1"/>
  <c r="X860" i="2" a="1"/>
  <c r="X860" i="2" s="1"/>
  <c r="X861" i="2" a="1"/>
  <c r="X861" i="2"/>
  <c r="X862" i="2" a="1"/>
  <c r="X862" i="2"/>
  <c r="X863" i="2" a="1"/>
  <c r="X863" i="2"/>
  <c r="X864" i="2" a="1"/>
  <c r="X864" i="2" s="1"/>
  <c r="X865" i="2" a="1"/>
  <c r="X865" i="2"/>
  <c r="X866" i="2" a="1"/>
  <c r="X866" i="2" s="1"/>
  <c r="X867" i="2" a="1"/>
  <c r="X867" i="2"/>
  <c r="X868" i="2" a="1"/>
  <c r="X868" i="2" s="1"/>
  <c r="X869" i="2" a="1"/>
  <c r="X869" i="2" s="1"/>
  <c r="X870" i="2" a="1"/>
  <c r="X870" i="2" s="1"/>
  <c r="X871" i="2" a="1"/>
  <c r="X871" i="2"/>
  <c r="X872" i="2" a="1"/>
  <c r="X872" i="2"/>
  <c r="X873" i="2" a="1"/>
  <c r="X873" i="2"/>
  <c r="X874" i="2" a="1"/>
  <c r="X874" i="2" s="1"/>
  <c r="X875" i="2" a="1"/>
  <c r="X875" i="2"/>
  <c r="X876" i="2" a="1"/>
  <c r="X876" i="2" s="1"/>
  <c r="X877" i="2" a="1"/>
  <c r="X877" i="2"/>
  <c r="X878" i="2" a="1"/>
  <c r="X878" i="2" s="1"/>
  <c r="X879" i="2" a="1"/>
  <c r="X879" i="2" s="1"/>
  <c r="X880" i="2" a="1"/>
  <c r="X880" i="2" s="1"/>
  <c r="X881" i="2" a="1"/>
  <c r="X881" i="2"/>
  <c r="X882" i="2" a="1"/>
  <c r="X882" i="2"/>
  <c r="X883" i="2" a="1"/>
  <c r="X883" i="2"/>
  <c r="X884" i="2" a="1"/>
  <c r="X884" i="2" s="1"/>
  <c r="X885" i="2" a="1"/>
  <c r="X885" i="2"/>
  <c r="X886" i="2" a="1"/>
  <c r="X886" i="2" s="1"/>
  <c r="X887" i="2" a="1"/>
  <c r="X887" i="2"/>
  <c r="X888" i="2" a="1"/>
  <c r="X888" i="2" s="1"/>
  <c r="X889" i="2" a="1"/>
  <c r="X889" i="2" s="1"/>
  <c r="X890" i="2" a="1"/>
  <c r="X890" i="2" s="1"/>
  <c r="X891" i="2" a="1"/>
  <c r="X891" i="2"/>
  <c r="X892" i="2" a="1"/>
  <c r="X892" i="2"/>
  <c r="X893" i="2" a="1"/>
  <c r="X893" i="2"/>
  <c r="X894" i="2" a="1"/>
  <c r="X894" i="2" s="1"/>
  <c r="X895" i="2" a="1"/>
  <c r="X895" i="2"/>
  <c r="X896" i="2" a="1"/>
  <c r="X896" i="2" s="1"/>
  <c r="X897" i="2" a="1"/>
  <c r="X897" i="2"/>
  <c r="X898" i="2" a="1"/>
  <c r="X898" i="2" s="1"/>
  <c r="X899" i="2" a="1"/>
  <c r="X899" i="2" s="1"/>
  <c r="X900" i="2" a="1"/>
  <c r="X900" i="2" s="1"/>
  <c r="X901" i="2" a="1"/>
  <c r="X901" i="2"/>
  <c r="X902" i="2" a="1"/>
  <c r="X902" i="2"/>
  <c r="X903" i="2" a="1"/>
  <c r="X903" i="2"/>
  <c r="X904" i="2" a="1"/>
  <c r="X904" i="2" s="1"/>
  <c r="X905" i="2" a="1"/>
  <c r="X905" i="2"/>
  <c r="X906" i="2" a="1"/>
  <c r="X906" i="2" s="1"/>
  <c r="X907" i="2" a="1"/>
  <c r="X907" i="2"/>
  <c r="X908" i="2" a="1"/>
  <c r="X908" i="2" s="1"/>
  <c r="X909" i="2" a="1"/>
  <c r="X909" i="2" s="1"/>
  <c r="X910" i="2" a="1"/>
  <c r="X910" i="2" s="1"/>
  <c r="X911" i="2" a="1"/>
  <c r="X911" i="2"/>
  <c r="X912" i="2" a="1"/>
  <c r="X912" i="2"/>
  <c r="X913" i="2" a="1"/>
  <c r="X913" i="2"/>
  <c r="X914" i="2" a="1"/>
  <c r="X914" i="2" s="1"/>
  <c r="X915" i="2" a="1"/>
  <c r="X915" i="2"/>
  <c r="X916" i="2" a="1"/>
  <c r="X916" i="2" s="1"/>
  <c r="X917" i="2" a="1"/>
  <c r="X917" i="2"/>
  <c r="X918" i="2" a="1"/>
  <c r="X918" i="2" s="1"/>
  <c r="X919" i="2" a="1"/>
  <c r="X919" i="2" s="1"/>
  <c r="X920" i="2" a="1"/>
  <c r="X920" i="2" s="1"/>
  <c r="X921" i="2" a="1"/>
  <c r="X921" i="2"/>
  <c r="X922" i="2" a="1"/>
  <c r="X922" i="2"/>
  <c r="X923" i="2" a="1"/>
  <c r="X923" i="2"/>
  <c r="X924" i="2" a="1"/>
  <c r="X924" i="2" s="1"/>
  <c r="X925" i="2" a="1"/>
  <c r="X925" i="2"/>
  <c r="X926" i="2" a="1"/>
  <c r="X926" i="2" s="1"/>
  <c r="X927" i="2" a="1"/>
  <c r="X927" i="2"/>
  <c r="X928" i="2" a="1"/>
  <c r="X928" i="2" s="1"/>
  <c r="X929" i="2" a="1"/>
  <c r="X929" i="2" s="1"/>
  <c r="X930" i="2" a="1"/>
  <c r="X930" i="2" s="1"/>
  <c r="X931" i="2" a="1"/>
  <c r="X931" i="2"/>
  <c r="X932" i="2" a="1"/>
  <c r="X932" i="2"/>
  <c r="X933" i="2" a="1"/>
  <c r="X933" i="2"/>
  <c r="X934" i="2" a="1"/>
  <c r="X934" i="2" s="1"/>
  <c r="X935" i="2" a="1"/>
  <c r="X935" i="2"/>
  <c r="X936" i="2" a="1"/>
  <c r="X936" i="2" s="1"/>
  <c r="X937" i="2" a="1"/>
  <c r="X937" i="2"/>
  <c r="X938" i="2" a="1"/>
  <c r="X938" i="2" s="1"/>
  <c r="X939" i="2" a="1"/>
  <c r="X939" i="2" s="1"/>
  <c r="X940" i="2" a="1"/>
  <c r="X940" i="2" s="1"/>
  <c r="X941" i="2" a="1"/>
  <c r="X941" i="2"/>
  <c r="X942" i="2" a="1"/>
  <c r="X942" i="2"/>
  <c r="X943" i="2" a="1"/>
  <c r="X943" i="2"/>
  <c r="X944" i="2" a="1"/>
  <c r="X944" i="2" s="1"/>
  <c r="X945" i="2" a="1"/>
  <c r="X945" i="2"/>
  <c r="X946" i="2" a="1"/>
  <c r="X946" i="2" s="1"/>
  <c r="X947" i="2" a="1"/>
  <c r="X947" i="2"/>
  <c r="X948" i="2" a="1"/>
  <c r="X948" i="2" s="1"/>
  <c r="X949" i="2" a="1"/>
  <c r="X949" i="2" s="1"/>
  <c r="X950" i="2" a="1"/>
  <c r="X950" i="2" s="1"/>
  <c r="X951" i="2" a="1"/>
  <c r="X951" i="2"/>
  <c r="X952" i="2" a="1"/>
  <c r="X952" i="2"/>
  <c r="X953" i="2" a="1"/>
  <c r="X953" i="2"/>
  <c r="X954" i="2" a="1"/>
  <c r="X954" i="2" s="1"/>
  <c r="X955" i="2" a="1"/>
  <c r="X955" i="2"/>
  <c r="X956" i="2" a="1"/>
  <c r="X956" i="2" s="1"/>
  <c r="X957" i="2" a="1"/>
  <c r="X957" i="2"/>
  <c r="X958" i="2" a="1"/>
  <c r="X958" i="2" s="1"/>
  <c r="X959" i="2" a="1"/>
  <c r="X959" i="2" s="1"/>
  <c r="X960" i="2" a="1"/>
  <c r="X960" i="2" s="1"/>
  <c r="X961" i="2" a="1"/>
  <c r="X961" i="2"/>
  <c r="X962" i="2" a="1"/>
  <c r="X962" i="2"/>
  <c r="X963" i="2" a="1"/>
  <c r="X963" i="2"/>
  <c r="X964" i="2" a="1"/>
  <c r="X964" i="2" s="1"/>
  <c r="X965" i="2" a="1"/>
  <c r="X965" i="2"/>
  <c r="X966" i="2" a="1"/>
  <c r="X966" i="2" s="1"/>
  <c r="X967" i="2" a="1"/>
  <c r="X967" i="2"/>
  <c r="X968" i="2" a="1"/>
  <c r="X968" i="2" s="1"/>
  <c r="X969" i="2" a="1"/>
  <c r="X969" i="2" s="1"/>
  <c r="X970" i="2" a="1"/>
  <c r="X970" i="2" s="1"/>
  <c r="X971" i="2" a="1"/>
  <c r="X971" i="2"/>
  <c r="X972" i="2" a="1"/>
  <c r="X972" i="2"/>
  <c r="X973" i="2" a="1"/>
  <c r="X973" i="2"/>
  <c r="X974" i="2" a="1"/>
  <c r="X974" i="2" s="1"/>
  <c r="X975" i="2" a="1"/>
  <c r="X975" i="2"/>
  <c r="X976" i="2" a="1"/>
  <c r="X976" i="2" s="1"/>
  <c r="X977" i="2" a="1"/>
  <c r="X977" i="2"/>
  <c r="X978" i="2" a="1"/>
  <c r="X978" i="2" s="1"/>
  <c r="X979" i="2" a="1"/>
  <c r="X979" i="2" s="1"/>
  <c r="X980" i="2" a="1"/>
  <c r="X980" i="2" s="1"/>
  <c r="X981" i="2" a="1"/>
  <c r="X981" i="2"/>
  <c r="X982" i="2" a="1"/>
  <c r="X982" i="2"/>
  <c r="X983" i="2" a="1"/>
  <c r="X983" i="2"/>
  <c r="X984" i="2" a="1"/>
  <c r="X984" i="2" s="1"/>
  <c r="X985" i="2" a="1"/>
  <c r="X985" i="2"/>
  <c r="X986" i="2" a="1"/>
  <c r="X986" i="2" s="1"/>
  <c r="X987" i="2" a="1"/>
  <c r="X987" i="2"/>
  <c r="X988" i="2" a="1"/>
  <c r="X988" i="2" s="1"/>
  <c r="X989" i="2" a="1"/>
  <c r="X989" i="2" s="1"/>
  <c r="X990" i="2" a="1"/>
  <c r="X990" i="2" s="1"/>
  <c r="X991" i="2" a="1"/>
  <c r="X991" i="2"/>
  <c r="X992" i="2" a="1"/>
  <c r="X992" i="2"/>
  <c r="X993" i="2" a="1"/>
  <c r="X993" i="2"/>
  <c r="X994" i="2" a="1"/>
  <c r="X994" i="2" s="1"/>
  <c r="X995" i="2" a="1"/>
  <c r="X995" i="2"/>
  <c r="X996" i="2" a="1"/>
  <c r="X996" i="2" s="1"/>
  <c r="X997" i="2" a="1"/>
  <c r="X997" i="2"/>
  <c r="X998" i="2" a="1"/>
  <c r="X998" i="2" s="1"/>
  <c r="X999" i="2" a="1"/>
  <c r="X999" i="2" s="1"/>
  <c r="X1000" i="2" a="1"/>
  <c r="X1000" i="2" s="1"/>
  <c r="X1001" i="2" a="1"/>
  <c r="X1001" i="2"/>
  <c r="X1002" i="2" a="1"/>
  <c r="X1002" i="2"/>
  <c r="X1003" i="2" a="1"/>
  <c r="X1003" i="2"/>
  <c r="X1004" i="2" a="1"/>
  <c r="X1004" i="2" s="1"/>
  <c r="X1005" i="2" a="1"/>
  <c r="X1005" i="2"/>
  <c r="X1006" i="2" a="1"/>
  <c r="X1006" i="2" s="1"/>
  <c r="X1007" i="2" a="1"/>
  <c r="X1007" i="2"/>
  <c r="X1008" i="2" a="1"/>
  <c r="X1008" i="2" s="1"/>
  <c r="X1009" i="2" a="1"/>
  <c r="X1009" i="2" s="1"/>
  <c r="X1010" i="2" a="1"/>
  <c r="X1010" i="2" s="1"/>
  <c r="X1011" i="2" a="1"/>
  <c r="X1011" i="2"/>
  <c r="X1012" i="2" a="1"/>
  <c r="X1012" i="2"/>
  <c r="X1013" i="2" a="1"/>
  <c r="X1013" i="2"/>
  <c r="X1014" i="2" a="1"/>
  <c r="X1014" i="2" s="1"/>
  <c r="X1015" i="2" a="1"/>
  <c r="X1015" i="2"/>
  <c r="X1016" i="2" a="1"/>
  <c r="X1016" i="2" s="1"/>
  <c r="X1017" i="2" a="1"/>
  <c r="X1017" i="2"/>
  <c r="X1018" i="2" a="1"/>
  <c r="X1018" i="2" s="1"/>
  <c r="X1019" i="2" a="1"/>
  <c r="X1019" i="2" s="1"/>
  <c r="X1020" i="2" a="1"/>
  <c r="X1020" i="2" s="1"/>
  <c r="X1021" i="2" a="1"/>
  <c r="X1021" i="2"/>
  <c r="X1022" i="2" a="1"/>
  <c r="X1022" i="2"/>
  <c r="X1023" i="2" a="1"/>
  <c r="X1023" i="2"/>
  <c r="X1024" i="2" a="1"/>
  <c r="X1024" i="2" s="1"/>
  <c r="X1025" i="2" a="1"/>
  <c r="X1025" i="2"/>
  <c r="X1026" i="2" a="1"/>
  <c r="X1026" i="2" s="1"/>
  <c r="X1027" i="2" a="1"/>
  <c r="X1027" i="2"/>
  <c r="X1028" i="2" a="1"/>
  <c r="X1028" i="2" s="1"/>
  <c r="X1029" i="2" a="1"/>
  <c r="X1029" i="2" s="1"/>
  <c r="X1030" i="2" a="1"/>
  <c r="X1030" i="2" s="1"/>
  <c r="X1031" i="2" a="1"/>
  <c r="X1031" i="2"/>
  <c r="X1032" i="2" a="1"/>
  <c r="X1032" i="2"/>
  <c r="X1033" i="2" a="1"/>
  <c r="X1033" i="2"/>
  <c r="X1034" i="2" a="1"/>
  <c r="X1034" i="2" s="1"/>
  <c r="X1035" i="2" a="1"/>
  <c r="X1035" i="2"/>
  <c r="X1036" i="2" a="1"/>
  <c r="X1036" i="2" s="1"/>
  <c r="X1037" i="2" a="1"/>
  <c r="X1037" i="2"/>
  <c r="X1038" i="2" a="1"/>
  <c r="X1038" i="2" s="1"/>
  <c r="X1039" i="2" a="1"/>
  <c r="X1039" i="2" s="1"/>
  <c r="X1040" i="2" a="1"/>
  <c r="X1040" i="2" s="1"/>
  <c r="X1041" i="2" a="1"/>
  <c r="X1041" i="2"/>
  <c r="X1042" i="2" a="1"/>
  <c r="X1042" i="2"/>
  <c r="X1043" i="2" a="1"/>
  <c r="X1043" i="2"/>
  <c r="X1044" i="2" a="1"/>
  <c r="X1044" i="2" s="1"/>
  <c r="X1045" i="2" a="1"/>
  <c r="X1045" i="2"/>
  <c r="X1046" i="2" a="1"/>
  <c r="X1046" i="2" s="1"/>
  <c r="X1047" i="2" a="1"/>
  <c r="X1047" i="2"/>
  <c r="X1048" i="2" a="1"/>
  <c r="X1048" i="2" s="1"/>
  <c r="X1049" i="2" a="1"/>
  <c r="X1049" i="2" s="1"/>
  <c r="X1050" i="2" a="1"/>
  <c r="X1050" i="2" s="1"/>
  <c r="X1051" i="2" a="1"/>
  <c r="X1051" i="2"/>
  <c r="X1052" i="2" a="1"/>
  <c r="X1052" i="2"/>
  <c r="X1053" i="2" a="1"/>
  <c r="X1053" i="2" s="1"/>
  <c r="X1054" i="2" a="1"/>
  <c r="X1054" i="2"/>
  <c r="X1055" i="2" a="1"/>
  <c r="X1055" i="2"/>
  <c r="X1056" i="2" a="1"/>
  <c r="X1056" i="2"/>
  <c r="X1057" i="2" a="1"/>
  <c r="X1057" i="2"/>
  <c r="X1058" i="2" a="1"/>
  <c r="X1058" i="2" s="1"/>
  <c r="X1059" i="2" a="1"/>
  <c r="X1059" i="2"/>
  <c r="X1060" i="2" a="1"/>
  <c r="X1060" i="2"/>
  <c r="X1061" i="2" a="1"/>
  <c r="X1061" i="2"/>
  <c r="X1062" i="2" a="1"/>
  <c r="X1062" i="2" s="1"/>
  <c r="X1063" i="2" a="1"/>
  <c r="X1063" i="2" s="1"/>
  <c r="X1064" i="2" a="1"/>
  <c r="X1064" i="2"/>
  <c r="X1065" i="2" a="1"/>
  <c r="X1065" i="2" s="1"/>
  <c r="X1066" i="2" a="1"/>
  <c r="X1066" i="2"/>
  <c r="X1067" i="2" a="1"/>
  <c r="X1067" i="2" s="1"/>
  <c r="X1068" i="2" a="1"/>
  <c r="X1068" i="2"/>
  <c r="X1069" i="2" a="1"/>
  <c r="X1069" i="2" s="1"/>
  <c r="X1070" i="2" a="1"/>
  <c r="X1070" i="2" s="1"/>
  <c r="X1071" i="2" a="1"/>
  <c r="X1071" i="2" s="1"/>
  <c r="X1072" i="2" a="1"/>
  <c r="X1072" i="2" s="1"/>
  <c r="X1073" i="2" a="1"/>
  <c r="X1073" i="2" s="1"/>
  <c r="X1074" i="2" a="1"/>
  <c r="X1074" i="2" s="1"/>
  <c r="X1075" i="2" a="1"/>
  <c r="X1075" i="2"/>
  <c r="X1076" i="2" a="1"/>
  <c r="X1076" i="2"/>
  <c r="X1077" i="2" a="1"/>
  <c r="X1077" i="2"/>
  <c r="X1078" i="2" a="1"/>
  <c r="X1078" i="2"/>
  <c r="X1079" i="2" a="1"/>
  <c r="X1079" i="2" s="1"/>
  <c r="X1080" i="2" a="1"/>
  <c r="X1080" i="2"/>
  <c r="X1081" i="2" a="1"/>
  <c r="X1081" i="2"/>
  <c r="X1082" i="2" a="1"/>
  <c r="X1082" i="2"/>
  <c r="X1083" i="2" a="1"/>
  <c r="X1083" i="2" s="1"/>
  <c r="X1084" i="2" a="1"/>
  <c r="X1084" i="2"/>
  <c r="X1085" i="2" a="1"/>
  <c r="X1085" i="2"/>
  <c r="X1086" i="2" a="1"/>
  <c r="X1086" i="2" s="1"/>
  <c r="X1087" i="2" a="1"/>
  <c r="X1087" i="2"/>
  <c r="X1088" i="2" a="1"/>
  <c r="X1088" i="2" s="1"/>
  <c r="X1089" i="2" a="1"/>
  <c r="X1089" i="2"/>
  <c r="X1090" i="2" a="1"/>
  <c r="X1090" i="2" s="1"/>
  <c r="X1091" i="2" a="1"/>
  <c r="X1091" i="2" s="1"/>
  <c r="X1092" i="2" a="1"/>
  <c r="X1092" i="2" s="1"/>
  <c r="X1093" i="2" a="1"/>
  <c r="X1093" i="2" s="1"/>
  <c r="X1094" i="2" a="1"/>
  <c r="X1094" i="2" s="1"/>
  <c r="X1095" i="2" a="1"/>
  <c r="X1095" i="2" s="1"/>
  <c r="X1096" i="2" a="1"/>
  <c r="X1096" i="2"/>
  <c r="X1097" i="2" a="1"/>
  <c r="X1097" i="2"/>
  <c r="X1098" i="2" a="1"/>
  <c r="X1098" i="2"/>
  <c r="X1099" i="2" a="1"/>
  <c r="X1099" i="2"/>
  <c r="X1100" i="2" a="1"/>
  <c r="X1100" i="2" s="1"/>
  <c r="X1101" i="2" a="1"/>
  <c r="X1101" i="2"/>
  <c r="X1102" i="2" a="1"/>
  <c r="X1102" i="2"/>
  <c r="X1103" i="2" a="1"/>
  <c r="X1103" i="2" s="1"/>
  <c r="X1104" i="2" a="1"/>
  <c r="X1104" i="2"/>
  <c r="X1105" i="2" a="1"/>
  <c r="X1105" i="2"/>
  <c r="X1106" i="2" a="1"/>
  <c r="X1106" i="2"/>
  <c r="X1107" i="2" a="1"/>
  <c r="X1107" i="2" s="1"/>
  <c r="X1108" i="2" a="1"/>
  <c r="X1108" i="2"/>
  <c r="X1109" i="2" a="1"/>
  <c r="X1109" i="2" s="1"/>
  <c r="X1110" i="2" a="1"/>
  <c r="X1110" i="2"/>
  <c r="X1111" i="2" a="1"/>
  <c r="X1111" i="2" s="1"/>
  <c r="X1112" i="2" a="1"/>
  <c r="X1112" i="2" s="1"/>
  <c r="X1113" i="2" a="1"/>
  <c r="X1113" i="2" s="1"/>
  <c r="X1114" i="2" a="1"/>
  <c r="X1114" i="2"/>
  <c r="X1115" i="2" a="1"/>
  <c r="X1115" i="2" s="1"/>
  <c r="X1116" i="2" a="1"/>
  <c r="X1116" i="2" s="1"/>
  <c r="X1117" i="2" a="1"/>
  <c r="X1117" i="2"/>
  <c r="X1118" i="2" a="1"/>
  <c r="X1118" i="2"/>
  <c r="X1119" i="2" a="1"/>
  <c r="X1119" i="2"/>
  <c r="X1120" i="2" a="1"/>
  <c r="X1120" i="2"/>
  <c r="X1121" i="2" a="1"/>
  <c r="X1121" i="2" s="1"/>
  <c r="X1122" i="2" a="1"/>
  <c r="X1122" i="2"/>
  <c r="X1123" i="2" a="1"/>
  <c r="X1123" i="2" s="1"/>
  <c r="X1124" i="2" a="1"/>
  <c r="X1124" i="2" s="1"/>
  <c r="X1125" i="2" a="1"/>
  <c r="X1125" i="2"/>
  <c r="X1126" i="2" a="1"/>
  <c r="X1126" i="2"/>
  <c r="X1127" i="2" a="1"/>
  <c r="X1127" i="2"/>
  <c r="X1128" i="2" a="1"/>
  <c r="X1128" i="2" s="1"/>
  <c r="X1129" i="2" a="1"/>
  <c r="X1129" i="2"/>
  <c r="X1130" i="2" a="1"/>
  <c r="X1130" i="2" s="1"/>
  <c r="X1131" i="2" a="1"/>
  <c r="X1131" i="2"/>
  <c r="X1132" i="2" a="1"/>
  <c r="X1132" i="2" s="1"/>
  <c r="X1133" i="2" a="1"/>
  <c r="X1133" i="2" s="1"/>
  <c r="X1134" i="2" a="1"/>
  <c r="X1134" i="2"/>
  <c r="X1135" i="2" a="1"/>
  <c r="X1135" i="2"/>
  <c r="X1136" i="2" a="1"/>
  <c r="X1136" i="2" s="1"/>
  <c r="X1137" i="2" a="1"/>
  <c r="X1137" i="2" s="1"/>
  <c r="X1138" i="2" a="1"/>
  <c r="X1138" i="2"/>
  <c r="X1139" i="2" a="1"/>
  <c r="X1139" i="2"/>
  <c r="X1140" i="2" a="1"/>
  <c r="X1140" i="2"/>
  <c r="X1141" i="2" a="1"/>
  <c r="X1141" i="2"/>
  <c r="X1142" i="2" a="1"/>
  <c r="X1142" i="2" s="1"/>
  <c r="X1143" i="2" a="1"/>
  <c r="X1143" i="2" s="1"/>
  <c r="X1144" i="2" a="1"/>
  <c r="X1144" i="2" s="1"/>
  <c r="X1145" i="2" a="1"/>
  <c r="X1145" i="2" s="1"/>
  <c r="X1146" i="2" a="1"/>
  <c r="X1146" i="2"/>
  <c r="X1147" i="2" a="1"/>
  <c r="X1147" i="2"/>
  <c r="X1148" i="2" a="1"/>
  <c r="X1148" i="2"/>
  <c r="X1149" i="2" a="1"/>
  <c r="X1149" i="2" s="1"/>
  <c r="X1150" i="2" a="1"/>
  <c r="X1150" i="2"/>
  <c r="X1151" i="2" a="1"/>
  <c r="X1151" i="2" s="1"/>
  <c r="X1152" i="2" a="1"/>
  <c r="X1152" i="2"/>
  <c r="X1153" i="2" a="1"/>
  <c r="X1153" i="2" s="1"/>
  <c r="X1154" i="2" a="1"/>
  <c r="X1154" i="2"/>
  <c r="X1155" i="2" a="1"/>
  <c r="X1155" i="2"/>
  <c r="X1156" i="2" a="1"/>
  <c r="X1156" i="2"/>
  <c r="X1157" i="2" a="1"/>
  <c r="X1157" i="2" s="1"/>
  <c r="X1158" i="2" a="1"/>
  <c r="X1158" i="2" s="1"/>
  <c r="X1159" i="2" a="1"/>
  <c r="X1159" i="2"/>
  <c r="X1160" i="2" a="1"/>
  <c r="X1160" i="2"/>
  <c r="X1161" i="2" a="1"/>
  <c r="X1161" i="2"/>
  <c r="X1162" i="2" a="1"/>
  <c r="X1162" i="2"/>
  <c r="X1163" i="2" a="1"/>
  <c r="X1163" i="2" s="1"/>
  <c r="X1164" i="2" a="1"/>
  <c r="X1164" i="2" s="1"/>
  <c r="X1165" i="2" a="1"/>
  <c r="X1165" i="2" s="1"/>
  <c r="X1166" i="2" a="1"/>
  <c r="X1166" i="2" s="1"/>
  <c r="X1167" i="2" a="1"/>
  <c r="X1167" i="2"/>
  <c r="X1168" i="2" a="1"/>
  <c r="X1168" i="2"/>
  <c r="X1169" i="2" a="1"/>
  <c r="X1169" i="2"/>
  <c r="X1170" i="2" a="1"/>
  <c r="X1170" i="2" s="1"/>
  <c r="X1171" i="2" a="1"/>
  <c r="X1171" i="2"/>
  <c r="X1172" i="2" a="1"/>
  <c r="X1172" i="2" s="1"/>
  <c r="X1173" i="2" a="1"/>
  <c r="X1173" i="2" s="1"/>
  <c r="X1174" i="2" a="1"/>
  <c r="X1174" i="2" s="1"/>
  <c r="X1175" i="2" a="1"/>
  <c r="X1175" i="2"/>
  <c r="X1176" i="2" a="1"/>
  <c r="X1176" i="2"/>
  <c r="X1177" i="2" a="1"/>
  <c r="X1177" i="2"/>
  <c r="X1178" i="2" a="1"/>
  <c r="X1178" i="2" s="1"/>
  <c r="X1179" i="2" a="1"/>
  <c r="X1179" i="2" s="1"/>
  <c r="X1180" i="2" a="1"/>
  <c r="X1180" i="2"/>
  <c r="X1181" i="2" a="1"/>
  <c r="X1181" i="2"/>
  <c r="X1182" i="2" a="1"/>
  <c r="X1182" i="2"/>
  <c r="X1183" i="2" a="1"/>
  <c r="X1183" i="2" s="1"/>
  <c r="X1184" i="2" a="1"/>
  <c r="X1184" i="2"/>
  <c r="X1185" i="2" a="1"/>
  <c r="X1185" i="2" s="1"/>
  <c r="X1186" i="2" a="1"/>
  <c r="X1186" i="2" s="1"/>
  <c r="X1187" i="2" a="1"/>
  <c r="X1187" i="2" s="1"/>
  <c r="X1188" i="2" a="1"/>
  <c r="X1188" i="2"/>
  <c r="X1189" i="2" a="1"/>
  <c r="X1189" i="2"/>
  <c r="X1190" i="2" a="1"/>
  <c r="X1190" i="2"/>
  <c r="X1191" i="2" a="1"/>
  <c r="X1191" i="2" s="1"/>
  <c r="X1192" i="2" a="1"/>
  <c r="X1192" i="2"/>
  <c r="X1193" i="2" a="1"/>
  <c r="X1193" i="2" s="1"/>
  <c r="X1194" i="2" a="1"/>
  <c r="X1194" i="2"/>
  <c r="X1195" i="2" a="1"/>
  <c r="X1195" i="2" s="1"/>
  <c r="X1196" i="2" a="1"/>
  <c r="X1196" i="2"/>
  <c r="X1197" i="2" a="1"/>
  <c r="X1197" i="2"/>
  <c r="X1198" i="2" a="1"/>
  <c r="X1198" i="2"/>
  <c r="X1199" i="2" a="1"/>
  <c r="X1199" i="2" s="1"/>
  <c r="X1200" i="2" a="1"/>
  <c r="X1200" i="2" s="1"/>
  <c r="X1201" i="2" a="1"/>
  <c r="X1201" i="2"/>
  <c r="X1202" i="2" a="1"/>
  <c r="X1202" i="2"/>
  <c r="X1203" i="2" a="1"/>
  <c r="X1203" i="2" s="1"/>
  <c r="X1204" i="2" a="1"/>
  <c r="X1204" i="2" s="1"/>
  <c r="X1205" i="2" a="1"/>
  <c r="X1205" i="2"/>
  <c r="X1206" i="2" a="1"/>
  <c r="X1206" i="2" s="1"/>
  <c r="X1207" i="2" a="1"/>
  <c r="X1207" i="2" s="1"/>
  <c r="X1208" i="2" a="1"/>
  <c r="X1208" i="2" s="1"/>
  <c r="X1209" i="2" a="1"/>
  <c r="X1209" i="2"/>
  <c r="X1210" i="2" a="1"/>
  <c r="X1210" i="2"/>
  <c r="X1211" i="2" a="1"/>
  <c r="X1211" i="2"/>
  <c r="X1212" i="2" a="1"/>
  <c r="X1212" i="2" s="1"/>
  <c r="X1213" i="2" a="1"/>
  <c r="X1213" i="2" s="1"/>
  <c r="X1214" i="2" a="1"/>
  <c r="X1214" i="2"/>
  <c r="X1215" i="2" a="1"/>
  <c r="X1215" i="2"/>
  <c r="X1216" i="2" a="1"/>
  <c r="X1216" i="2" s="1"/>
  <c r="X1217" i="2" a="1"/>
  <c r="X1217" i="2"/>
  <c r="X1218" i="2" a="1"/>
  <c r="X1218" i="2"/>
  <c r="X1219" i="2" a="1"/>
  <c r="X1219" i="2"/>
  <c r="X1220" i="2" a="1"/>
  <c r="X1220" i="2" s="1"/>
  <c r="X1221" i="2" a="1"/>
  <c r="X1221" i="2" s="1"/>
  <c r="X1222" i="2" a="1"/>
  <c r="X1222" i="2"/>
  <c r="X1223" i="2" a="1"/>
  <c r="X1223" i="2" s="1"/>
  <c r="X1224" i="2" a="1"/>
  <c r="X1224" i="2"/>
  <c r="X1225" i="2" a="1"/>
  <c r="X1225" i="2" s="1"/>
  <c r="X1226" i="2" a="1"/>
  <c r="X1226" i="2"/>
  <c r="X1227" i="2" a="1"/>
  <c r="X1227" i="2" s="1"/>
  <c r="X1228" i="2" a="1"/>
  <c r="X1228" i="2" s="1"/>
  <c r="X1229" i="2" a="1"/>
  <c r="X1229" i="2" s="1"/>
  <c r="X1230" i="2" a="1"/>
  <c r="X1230" i="2"/>
  <c r="X1231" i="2" a="1"/>
  <c r="X1231" i="2"/>
  <c r="X1232" i="2" a="1"/>
  <c r="X1232" i="2"/>
  <c r="X1233" i="2" a="1"/>
  <c r="X1233" i="2" s="1"/>
  <c r="X1234" i="2" a="1"/>
  <c r="X1234" i="2"/>
  <c r="X1235" i="2" a="1"/>
  <c r="X1235" i="2"/>
  <c r="X1236" i="2" a="1"/>
  <c r="X1236" i="2"/>
  <c r="X1237" i="2" a="1"/>
  <c r="X1237" i="2" s="1"/>
  <c r="X1238" i="2" a="1"/>
  <c r="X1238" i="2"/>
  <c r="X1239" i="2" a="1"/>
  <c r="X1239" i="2"/>
  <c r="X1240" i="2" a="1"/>
  <c r="X1240" i="2"/>
  <c r="X1241" i="2" a="1"/>
  <c r="X1241" i="2" s="1"/>
  <c r="X1242" i="2" a="1"/>
  <c r="X1242" i="2" s="1"/>
  <c r="X1243" i="2" a="1"/>
  <c r="X1243" i="2" s="1"/>
  <c r="X1244" i="2" a="1"/>
  <c r="X1244" i="2" s="1"/>
  <c r="X1245" i="2" a="1"/>
  <c r="X1245" i="2"/>
  <c r="X1246" i="2" a="1"/>
  <c r="X1246" i="2" s="1"/>
  <c r="X1247" i="2" a="1"/>
  <c r="X1247" i="2"/>
  <c r="X1248" i="2" a="1"/>
  <c r="X1248" i="2" s="1"/>
  <c r="X1249" i="2" a="1"/>
  <c r="X1249" i="2" s="1"/>
  <c r="X1250" i="2" a="1"/>
  <c r="X1250" i="2" s="1"/>
  <c r="X1251" i="2" a="1"/>
  <c r="X1251" i="2"/>
  <c r="X1252" i="2" a="1"/>
  <c r="X1252" i="2"/>
  <c r="X1253" i="2" a="1"/>
  <c r="X1253" i="2" s="1"/>
  <c r="X1254" i="2" a="1"/>
  <c r="X1254" i="2"/>
  <c r="X1255" i="2" a="1"/>
  <c r="X1255" i="2"/>
  <c r="X1256" i="2" a="1"/>
  <c r="X1256" i="2"/>
  <c r="X1257" i="2" a="1"/>
  <c r="X1257" i="2"/>
  <c r="X1258" i="2" a="1"/>
  <c r="X1258" i="2" s="1"/>
  <c r="X1259" i="2" a="1"/>
  <c r="X1259" i="2"/>
  <c r="X1260" i="2" a="1"/>
  <c r="X1260" i="2"/>
  <c r="X1261" i="2" a="1"/>
  <c r="X1261" i="2"/>
  <c r="X1262" i="2" a="1"/>
  <c r="X1262" i="2" s="1"/>
  <c r="X1263" i="2" a="1"/>
  <c r="X1263" i="2" s="1"/>
  <c r="X1264" i="2" a="1"/>
  <c r="X1264" i="2"/>
  <c r="X1265" i="2" a="1"/>
  <c r="X1265" i="2" s="1"/>
  <c r="X1266" i="2" a="1"/>
  <c r="X1266" i="2"/>
  <c r="X1267" i="2" a="1"/>
  <c r="X1267" i="2" s="1"/>
  <c r="X1268" i="2" a="1"/>
  <c r="X1268" i="2"/>
  <c r="X1269" i="2" a="1"/>
  <c r="X1269" i="2" s="1"/>
  <c r="X1270" i="2" a="1"/>
  <c r="X1270" i="2" s="1"/>
  <c r="X1271" i="2" a="1"/>
  <c r="X1271" i="2" s="1"/>
  <c r="X1272" i="2" a="1"/>
  <c r="X1272" i="2"/>
  <c r="X1273" i="2" a="1"/>
  <c r="X1273" i="2" s="1"/>
  <c r="X1274" i="2" a="1"/>
  <c r="X1274" i="2" s="1"/>
  <c r="X1275" i="2" a="1"/>
  <c r="X1275" i="2"/>
  <c r="X1276" i="2" a="1"/>
  <c r="X1276" i="2"/>
  <c r="X1277" i="2" a="1"/>
  <c r="X1277" i="2"/>
  <c r="X1278" i="2" a="1"/>
  <c r="X1278" i="2"/>
  <c r="X1279" i="2" a="1"/>
  <c r="X1279" i="2" s="1"/>
  <c r="X1280" i="2" a="1"/>
  <c r="X1280" i="2"/>
  <c r="X1281" i="2" a="1"/>
  <c r="X1281" i="2"/>
  <c r="X1282" i="2" a="1"/>
  <c r="X1282" i="2"/>
  <c r="V3" i="2" a="1"/>
  <c r="V3" i="2"/>
  <c r="W3" i="2" a="1"/>
  <c r="W3" i="2"/>
  <c r="W4" i="2" a="1"/>
  <c r="W4" i="2"/>
  <c r="W5" i="2" a="1"/>
  <c r="W5" i="2"/>
  <c r="W6" i="2" a="1"/>
  <c r="W6" i="2"/>
  <c r="W7" i="2" a="1"/>
  <c r="W7" i="2"/>
  <c r="W8" i="2" a="1"/>
  <c r="W8" i="2"/>
  <c r="W9" i="2" a="1"/>
  <c r="W9" i="2"/>
  <c r="W10" i="2" a="1"/>
  <c r="W10" i="2"/>
  <c r="W11" i="2" a="1"/>
  <c r="W11" i="2" s="1"/>
  <c r="W12" i="2" a="1"/>
  <c r="W12" i="2" s="1"/>
  <c r="W13" i="2" a="1"/>
  <c r="W13" i="2"/>
  <c r="W14" i="2" a="1"/>
  <c r="W14" i="2"/>
  <c r="W15" i="2" a="1"/>
  <c r="W15" i="2"/>
  <c r="W16" i="2" a="1"/>
  <c r="W16" i="2"/>
  <c r="W17" i="2" a="1"/>
  <c r="W17" i="2"/>
  <c r="W18" i="2" a="1"/>
  <c r="W18" i="2"/>
  <c r="W19" i="2" a="1"/>
  <c r="W19" i="2"/>
  <c r="W20" i="2" a="1"/>
  <c r="W20" i="2"/>
  <c r="W21" i="2" a="1"/>
  <c r="W21" i="2" s="1"/>
  <c r="W22" i="2" a="1"/>
  <c r="W22" i="2"/>
  <c r="W23" i="2" a="1"/>
  <c r="W23" i="2"/>
  <c r="W24" i="2" a="1"/>
  <c r="W24" i="2"/>
  <c r="W25" i="2" a="1"/>
  <c r="W25" i="2" s="1"/>
  <c r="W26" i="2" a="1"/>
  <c r="W26" i="2"/>
  <c r="W27" i="2" a="1"/>
  <c r="W27" i="2"/>
  <c r="W28" i="2" a="1"/>
  <c r="W28" i="2"/>
  <c r="W29" i="2" a="1"/>
  <c r="W29" i="2"/>
  <c r="W30" i="2" a="1"/>
  <c r="W30" i="2"/>
  <c r="W31" i="2" a="1"/>
  <c r="W31" i="2" s="1"/>
  <c r="W32" i="2" a="1"/>
  <c r="W32" i="2"/>
  <c r="W33" i="2" a="1"/>
  <c r="W33" i="2"/>
  <c r="W34" i="2" a="1"/>
  <c r="W34" i="2"/>
  <c r="W35" i="2" a="1"/>
  <c r="W35" i="2"/>
  <c r="W36" i="2" a="1"/>
  <c r="W36" i="2"/>
  <c r="W37" i="2" a="1"/>
  <c r="W37" i="2"/>
  <c r="W38" i="2" a="1"/>
  <c r="W38" i="2"/>
  <c r="W39" i="2" a="1"/>
  <c r="W39" i="2"/>
  <c r="W40" i="2" a="1"/>
  <c r="W40" i="2"/>
  <c r="W41" i="2" a="1"/>
  <c r="W41" i="2" s="1"/>
  <c r="W42" i="2" a="1"/>
  <c r="W42" i="2"/>
  <c r="W43" i="2" a="1"/>
  <c r="W43" i="2"/>
  <c r="W44" i="2" a="1"/>
  <c r="W44" i="2"/>
  <c r="W45" i="2" a="1"/>
  <c r="W45" i="2" s="1"/>
  <c r="W46" i="2" a="1"/>
  <c r="W46" i="2" s="1"/>
  <c r="W47" i="2" a="1"/>
  <c r="W47" i="2"/>
  <c r="W48" i="2" a="1"/>
  <c r="W48" i="2"/>
  <c r="W49" i="2" a="1"/>
  <c r="W49" i="2"/>
  <c r="W50" i="2" a="1"/>
  <c r="W50" i="2"/>
  <c r="W51" i="2" a="1"/>
  <c r="W51" i="2" s="1"/>
  <c r="W52" i="2" a="1"/>
  <c r="W52" i="2"/>
  <c r="W53" i="2" a="1"/>
  <c r="W53" i="2"/>
  <c r="W54" i="2" a="1"/>
  <c r="W54" i="2"/>
  <c r="W55" i="2" a="1"/>
  <c r="W55" i="2" s="1"/>
  <c r="W56" i="2" a="1"/>
  <c r="W56" i="2"/>
  <c r="W57" i="2" a="1"/>
  <c r="W57" i="2"/>
  <c r="W58" i="2" a="1"/>
  <c r="W58" i="2"/>
  <c r="W59" i="2" a="1"/>
  <c r="W59" i="2" s="1"/>
  <c r="W60" i="2" a="1"/>
  <c r="W60" i="2"/>
  <c r="W61" i="2" a="1"/>
  <c r="W61" i="2" s="1"/>
  <c r="W62" i="2" a="1"/>
  <c r="W62" i="2"/>
  <c r="W63" i="2" a="1"/>
  <c r="W63" i="2"/>
  <c r="W64" i="2" a="1"/>
  <c r="W64" i="2"/>
  <c r="W65" i="2" a="1"/>
  <c r="W65" i="2"/>
  <c r="W66" i="2" a="1"/>
  <c r="W66" i="2" s="1"/>
  <c r="W67" i="2" a="1"/>
  <c r="W67" i="2"/>
  <c r="W68" i="2" a="1"/>
  <c r="W68" i="2"/>
  <c r="W69" i="2" a="1"/>
  <c r="W69" i="2"/>
  <c r="W70" i="2" a="1"/>
  <c r="W70" i="2"/>
  <c r="W71" i="2" a="1"/>
  <c r="W71" i="2" s="1"/>
  <c r="W72" i="2" a="1"/>
  <c r="W72" i="2"/>
  <c r="W73" i="2" a="1"/>
  <c r="W73" i="2"/>
  <c r="W74" i="2" a="1"/>
  <c r="W74" i="2"/>
  <c r="W75" i="2" a="1"/>
  <c r="W75" i="2" s="1"/>
  <c r="W76" i="2" a="1"/>
  <c r="W76" i="2" s="1"/>
  <c r="W77" i="2" a="1"/>
  <c r="W77" i="2"/>
  <c r="W78" i="2" a="1"/>
  <c r="W78" i="2"/>
  <c r="W79" i="2" a="1"/>
  <c r="W79" i="2"/>
  <c r="W80" i="2" a="1"/>
  <c r="W80" i="2" s="1"/>
  <c r="W81" i="2" a="1"/>
  <c r="W81" i="2" s="1"/>
  <c r="W82" i="2" a="1"/>
  <c r="W82" i="2"/>
  <c r="W83" i="2" a="1"/>
  <c r="W83" i="2"/>
  <c r="W84" i="2" a="1"/>
  <c r="W84" i="2"/>
  <c r="W85" i="2" a="1"/>
  <c r="W85" i="2"/>
  <c r="W86" i="2" a="1"/>
  <c r="W86" i="2"/>
  <c r="W87" i="2" a="1"/>
  <c r="W87" i="2"/>
  <c r="W88" i="2" a="1"/>
  <c r="W88" i="2"/>
  <c r="W89" i="2" a="1"/>
  <c r="W89" i="2"/>
  <c r="W90" i="2" a="1"/>
  <c r="W90" i="2"/>
  <c r="W91" i="2" a="1"/>
  <c r="W91" i="2" s="1"/>
  <c r="W92" i="2" a="1"/>
  <c r="W92" i="2"/>
  <c r="W93" i="2" a="1"/>
  <c r="W93" i="2"/>
  <c r="W94" i="2" a="1"/>
  <c r="W94" i="2"/>
  <c r="W95" i="2" a="1"/>
  <c r="W95" i="2"/>
  <c r="W96" i="2" a="1"/>
  <c r="W96" i="2" s="1"/>
  <c r="W97" i="2" a="1"/>
  <c r="W97" i="2"/>
  <c r="W98" i="2" a="1"/>
  <c r="W98" i="2"/>
  <c r="W99" i="2" a="1"/>
  <c r="W99" i="2"/>
  <c r="W100" i="2" a="1"/>
  <c r="W100" i="2"/>
  <c r="W101" i="2" a="1"/>
  <c r="W101" i="2" s="1"/>
  <c r="W102" i="2" a="1"/>
  <c r="W102" i="2"/>
  <c r="W103" i="2" a="1"/>
  <c r="W103" i="2"/>
  <c r="W104" i="2" a="1"/>
  <c r="W104" i="2"/>
  <c r="W105" i="2" a="1"/>
  <c r="W105" i="2"/>
  <c r="W106" i="2" a="1"/>
  <c r="W106" i="2"/>
  <c r="W107" i="2" a="1"/>
  <c r="W107" i="2"/>
  <c r="W108" i="2" a="1"/>
  <c r="W108" i="2"/>
  <c r="W109" i="2" a="1"/>
  <c r="W109" i="2" s="1"/>
  <c r="W110" i="2" a="1"/>
  <c r="W110" i="2"/>
  <c r="W111" i="2" a="1"/>
  <c r="W111" i="2" s="1"/>
  <c r="W112" i="2" a="1"/>
  <c r="W112" i="2" s="1"/>
  <c r="W113" i="2" a="1"/>
  <c r="W113" i="2"/>
  <c r="W114" i="2" a="1"/>
  <c r="W114" i="2"/>
  <c r="W115" i="2" a="1"/>
  <c r="W115" i="2"/>
  <c r="W116" i="2" a="1"/>
  <c r="W116" i="2"/>
  <c r="W117" i="2" a="1"/>
  <c r="W117" i="2"/>
  <c r="W118" i="2" a="1"/>
  <c r="W118" i="2"/>
  <c r="W119" i="2" a="1"/>
  <c r="W119" i="2"/>
  <c r="W120" i="2" a="1"/>
  <c r="W120" i="2"/>
  <c r="W121" i="2" a="1"/>
  <c r="W121" i="2" s="1"/>
  <c r="W122" i="2" a="1"/>
  <c r="W122" i="2"/>
  <c r="W123" i="2" a="1"/>
  <c r="W123" i="2"/>
  <c r="W124" i="2" a="1"/>
  <c r="W124" i="2"/>
  <c r="W125" i="2" a="1"/>
  <c r="W125" i="2"/>
  <c r="W126" i="2" a="1"/>
  <c r="W126" i="2"/>
  <c r="W127" i="2" a="1"/>
  <c r="W127" i="2"/>
  <c r="W128" i="2" a="1"/>
  <c r="W128" i="2"/>
  <c r="W129" i="2" a="1"/>
  <c r="W129" i="2" s="1"/>
  <c r="W130" i="2" a="1"/>
  <c r="W130" i="2" s="1"/>
  <c r="W131" i="2" a="1"/>
  <c r="W131" i="2" s="1"/>
  <c r="W132" i="2" a="1"/>
  <c r="W132" i="2"/>
  <c r="W133" i="2" a="1"/>
  <c r="W133" i="2"/>
  <c r="W134" i="2" a="1"/>
  <c r="W134" i="2"/>
  <c r="W135" i="2" a="1"/>
  <c r="W135" i="2"/>
  <c r="W136" i="2" a="1"/>
  <c r="W136" i="2"/>
  <c r="W137" i="2" a="1"/>
  <c r="W137" i="2"/>
  <c r="W138" i="2" a="1"/>
  <c r="W138" i="2"/>
  <c r="W139" i="2" a="1"/>
  <c r="W139" i="2" s="1"/>
  <c r="W140" i="2" a="1"/>
  <c r="W140" i="2"/>
  <c r="W141" i="2" a="1"/>
  <c r="W141" i="2" s="1"/>
  <c r="W142" i="2" a="1"/>
  <c r="W142" i="2"/>
  <c r="W143" i="2" a="1"/>
  <c r="W143" i="2"/>
  <c r="W144" i="2" a="1"/>
  <c r="W144" i="2"/>
  <c r="W145" i="2" a="1"/>
  <c r="W145" i="2"/>
  <c r="W146" i="2" a="1"/>
  <c r="W146" i="2"/>
  <c r="W147" i="2" a="1"/>
  <c r="W147" i="2"/>
  <c r="W148" i="2" a="1"/>
  <c r="W148" i="2"/>
  <c r="W149" i="2" a="1"/>
  <c r="W149" i="2"/>
  <c r="W150" i="2" a="1"/>
  <c r="W150" i="2" s="1"/>
  <c r="W151" i="2" a="1"/>
  <c r="W151" i="2" s="1"/>
  <c r="W152" i="2" a="1"/>
  <c r="W152" i="2"/>
  <c r="W153" i="2" a="1"/>
  <c r="W153" i="2"/>
  <c r="W154" i="2" a="1"/>
  <c r="W154" i="2"/>
  <c r="W155" i="2" a="1"/>
  <c r="W155" i="2"/>
  <c r="W156" i="2" a="1"/>
  <c r="W156" i="2"/>
  <c r="W157" i="2" a="1"/>
  <c r="W157" i="2"/>
  <c r="W158" i="2" a="1"/>
  <c r="W158" i="2"/>
  <c r="W159" i="2" a="1"/>
  <c r="W159" i="2" s="1"/>
  <c r="W160" i="2" a="1"/>
  <c r="W160" i="2" s="1"/>
  <c r="W161" i="2" a="1"/>
  <c r="W161" i="2" s="1"/>
  <c r="W162" i="2" a="1"/>
  <c r="W162" i="2" s="1"/>
  <c r="W163" i="2" a="1"/>
  <c r="W163" i="2"/>
  <c r="W164" i="2" a="1"/>
  <c r="W164" i="2"/>
  <c r="W165" i="2" a="1"/>
  <c r="W165" i="2"/>
  <c r="W166" i="2" a="1"/>
  <c r="W166" i="2"/>
  <c r="W167" i="2" a="1"/>
  <c r="W167" i="2"/>
  <c r="W168" i="2" a="1"/>
  <c r="W168" i="2"/>
  <c r="W169" i="2" a="1"/>
  <c r="W169" i="2"/>
  <c r="W170" i="2" a="1"/>
  <c r="W170" i="2"/>
  <c r="W171" i="2" a="1"/>
  <c r="W171" i="2" s="1"/>
  <c r="W172" i="2" a="1"/>
  <c r="W172" i="2"/>
  <c r="W173" i="2" a="1"/>
  <c r="W173" i="2"/>
  <c r="W174" i="2" a="1"/>
  <c r="W174" i="2"/>
  <c r="W175" i="2" a="1"/>
  <c r="W175" i="2" s="1"/>
  <c r="W176" i="2" a="1"/>
  <c r="W176" i="2"/>
  <c r="W177" i="2" a="1"/>
  <c r="W177" i="2"/>
  <c r="W178" i="2" a="1"/>
  <c r="W178" i="2"/>
  <c r="W179" i="2" a="1"/>
  <c r="W179" i="2"/>
  <c r="W180" i="2" a="1"/>
  <c r="W180" i="2" s="1"/>
  <c r="W181" i="2" a="1"/>
  <c r="W181" i="2" s="1"/>
  <c r="W182" i="2" a="1"/>
  <c r="W182" i="2" s="1"/>
  <c r="W183" i="2" a="1"/>
  <c r="W183" i="2"/>
  <c r="W184" i="2" a="1"/>
  <c r="W184" i="2"/>
  <c r="W185" i="2" a="1"/>
  <c r="W185" i="2"/>
  <c r="W186" i="2" a="1"/>
  <c r="W186" i="2"/>
  <c r="W187" i="2" a="1"/>
  <c r="W187" i="2"/>
  <c r="W188" i="2" a="1"/>
  <c r="W188" i="2"/>
  <c r="W189" i="2" a="1"/>
  <c r="W189" i="2"/>
  <c r="W190" i="2" a="1"/>
  <c r="W190" i="2"/>
  <c r="W191" i="2" a="1"/>
  <c r="W191" i="2" s="1"/>
  <c r="W192" i="2" a="1"/>
  <c r="W192" i="2" s="1"/>
  <c r="W193" i="2" a="1"/>
  <c r="W193" i="2"/>
  <c r="W194" i="2" a="1"/>
  <c r="W194" i="2"/>
  <c r="W195" i="2" a="1"/>
  <c r="W195" i="2"/>
  <c r="W196" i="2" a="1"/>
  <c r="W196" i="2" s="1"/>
  <c r="W197" i="2" a="1"/>
  <c r="W197" i="2"/>
  <c r="W198" i="2" a="1"/>
  <c r="W198" i="2"/>
  <c r="W199" i="2" a="1"/>
  <c r="W199" i="2"/>
  <c r="W200" i="2" a="1"/>
  <c r="W200" i="2"/>
  <c r="W201" i="2" a="1"/>
  <c r="W201" i="2" s="1"/>
  <c r="W202" i="2" a="1"/>
  <c r="W202" i="2"/>
  <c r="W203" i="2" a="1"/>
  <c r="W203" i="2"/>
  <c r="W204" i="2" a="1"/>
  <c r="W204" i="2"/>
  <c r="W205" i="2" a="1"/>
  <c r="W205" i="2"/>
  <c r="W206" i="2" a="1"/>
  <c r="W206" i="2"/>
  <c r="W207" i="2" a="1"/>
  <c r="W207" i="2"/>
  <c r="W208" i="2" a="1"/>
  <c r="W208" i="2"/>
  <c r="W209" i="2" a="1"/>
  <c r="W209" i="2"/>
  <c r="W210" i="2" a="1"/>
  <c r="W210" i="2"/>
  <c r="W211" i="2" a="1"/>
  <c r="W211" i="2" s="1"/>
  <c r="W212" i="2" a="1"/>
  <c r="W212" i="2" s="1"/>
  <c r="W213" i="2" a="1"/>
  <c r="W213" i="2"/>
  <c r="W214" i="2" a="1"/>
  <c r="W214" i="2"/>
  <c r="W215" i="2" a="1"/>
  <c r="W215" i="2"/>
  <c r="W216" i="2" a="1"/>
  <c r="W216" i="2"/>
  <c r="W217" i="2" a="1"/>
  <c r="W217" i="2"/>
  <c r="W218" i="2" a="1"/>
  <c r="W218" i="2"/>
  <c r="W219" i="2" a="1"/>
  <c r="W219" i="2"/>
  <c r="W220" i="2" a="1"/>
  <c r="W220" i="2"/>
  <c r="W221" i="2" a="1"/>
  <c r="W221" i="2" s="1"/>
  <c r="W222" i="2" a="1"/>
  <c r="W222" i="2"/>
  <c r="W223" i="2" a="1"/>
  <c r="W223" i="2"/>
  <c r="W224" i="2" a="1"/>
  <c r="W224" i="2"/>
  <c r="W225" i="2" a="1"/>
  <c r="W225" i="2" s="1"/>
  <c r="W226" i="2" a="1"/>
  <c r="W226" i="2"/>
  <c r="W227" i="2" a="1"/>
  <c r="W227" i="2"/>
  <c r="W228" i="2" a="1"/>
  <c r="W228" i="2"/>
  <c r="W229" i="2" a="1"/>
  <c r="W229" i="2"/>
  <c r="W230" i="2" a="1"/>
  <c r="W230" i="2"/>
  <c r="W231" i="2" a="1"/>
  <c r="W231" i="2" s="1"/>
  <c r="W232" i="2" a="1"/>
  <c r="W232" i="2"/>
  <c r="W233" i="2" a="1"/>
  <c r="W233" i="2"/>
  <c r="W234" i="2" a="1"/>
  <c r="W234" i="2"/>
  <c r="W235" i="2" a="1"/>
  <c r="W235" i="2"/>
  <c r="W236" i="2" a="1"/>
  <c r="W236" i="2"/>
  <c r="W237" i="2" a="1"/>
  <c r="W237" i="2"/>
  <c r="W238" i="2" a="1"/>
  <c r="W238" i="2"/>
  <c r="W239" i="2" a="1"/>
  <c r="W239" i="2"/>
  <c r="W240" i="2" a="1"/>
  <c r="W240" i="2"/>
  <c r="W241" i="2" a="1"/>
  <c r="W241" i="2" s="1"/>
  <c r="W242" i="2" a="1"/>
  <c r="W242" i="2"/>
  <c r="W243" i="2" a="1"/>
  <c r="W243" i="2"/>
  <c r="W244" i="2" a="1"/>
  <c r="W244" i="2"/>
  <c r="W245" i="2" a="1"/>
  <c r="W245" i="2" s="1"/>
  <c r="W246" i="2" a="1"/>
  <c r="W246" i="2" s="1"/>
  <c r="W247" i="2" a="1"/>
  <c r="W247" i="2"/>
  <c r="W248" i="2" a="1"/>
  <c r="W248" i="2"/>
  <c r="W249" i="2" a="1"/>
  <c r="W249" i="2"/>
  <c r="W250" i="2" a="1"/>
  <c r="W250" i="2"/>
  <c r="W251" i="2" a="1"/>
  <c r="W251" i="2" s="1"/>
  <c r="W252" i="2" a="1"/>
  <c r="W252" i="2"/>
  <c r="W253" i="2" a="1"/>
  <c r="W253" i="2"/>
  <c r="W254" i="2" a="1"/>
  <c r="W254" i="2"/>
  <c r="W255" i="2" a="1"/>
  <c r="W255" i="2" s="1"/>
  <c r="W256" i="2" a="1"/>
  <c r="W256" i="2"/>
  <c r="W257" i="2" a="1"/>
  <c r="W257" i="2"/>
  <c r="W258" i="2" a="1"/>
  <c r="W258" i="2"/>
  <c r="W259" i="2" a="1"/>
  <c r="W259" i="2" s="1"/>
  <c r="W260" i="2" a="1"/>
  <c r="W260" i="2"/>
  <c r="W261" i="2" a="1"/>
  <c r="W261" i="2" s="1"/>
  <c r="W262" i="2" a="1"/>
  <c r="W262" i="2"/>
  <c r="W263" i="2" a="1"/>
  <c r="W263" i="2"/>
  <c r="W264" i="2" a="1"/>
  <c r="W264" i="2"/>
  <c r="W265" i="2" a="1"/>
  <c r="W265" i="2"/>
  <c r="W266" i="2" a="1"/>
  <c r="W266" i="2" s="1"/>
  <c r="W267" i="2" a="1"/>
  <c r="W267" i="2"/>
  <c r="W268" i="2" a="1"/>
  <c r="W268" i="2"/>
  <c r="W269" i="2" a="1"/>
  <c r="W269" i="2"/>
  <c r="W270" i="2" a="1"/>
  <c r="W270" i="2"/>
  <c r="W271" i="2" a="1"/>
  <c r="W271" i="2" s="1"/>
  <c r="W272" i="2" a="1"/>
  <c r="W272" i="2"/>
  <c r="W273" i="2" a="1"/>
  <c r="W273" i="2"/>
  <c r="W274" i="2" a="1"/>
  <c r="W274" i="2"/>
  <c r="W275" i="2" a="1"/>
  <c r="W275" i="2" s="1"/>
  <c r="W276" i="2" a="1"/>
  <c r="W276" i="2" s="1"/>
  <c r="W277" i="2" a="1"/>
  <c r="W277" i="2"/>
  <c r="W278" i="2" a="1"/>
  <c r="W278" i="2"/>
  <c r="W279" i="2" a="1"/>
  <c r="W279" i="2"/>
  <c r="W280" i="2" a="1"/>
  <c r="W280" i="2" s="1"/>
  <c r="W281" i="2" a="1"/>
  <c r="W281" i="2" s="1"/>
  <c r="W282" i="2" a="1"/>
  <c r="W282" i="2"/>
  <c r="W283" i="2" a="1"/>
  <c r="W283" i="2"/>
  <c r="W284" i="2" a="1"/>
  <c r="W284" i="2"/>
  <c r="W285" i="2" a="1"/>
  <c r="W285" i="2"/>
  <c r="W286" i="2" a="1"/>
  <c r="W286" i="2"/>
  <c r="W287" i="2" a="1"/>
  <c r="W287" i="2"/>
  <c r="W288" i="2" a="1"/>
  <c r="W288" i="2"/>
  <c r="W289" i="2" a="1"/>
  <c r="W289" i="2"/>
  <c r="W290" i="2" a="1"/>
  <c r="W290" i="2"/>
  <c r="W291" i="2" a="1"/>
  <c r="W291" i="2" s="1"/>
  <c r="W292" i="2" a="1"/>
  <c r="W292" i="2"/>
  <c r="W293" i="2" a="1"/>
  <c r="W293" i="2"/>
  <c r="W294" i="2" a="1"/>
  <c r="W294" i="2"/>
  <c r="W295" i="2" a="1"/>
  <c r="W295" i="2"/>
  <c r="W296" i="2" a="1"/>
  <c r="W296" i="2" s="1"/>
  <c r="W297" i="2" a="1"/>
  <c r="W297" i="2"/>
  <c r="W298" i="2" a="1"/>
  <c r="W298" i="2"/>
  <c r="W299" i="2" a="1"/>
  <c r="W299" i="2"/>
  <c r="W300" i="2" a="1"/>
  <c r="W300" i="2"/>
  <c r="W301" i="2" a="1"/>
  <c r="W301" i="2" s="1"/>
  <c r="W302" i="2" a="1"/>
  <c r="W302" i="2"/>
  <c r="W303" i="2" a="1"/>
  <c r="W303" i="2"/>
  <c r="W304" i="2" a="1"/>
  <c r="W304" i="2"/>
  <c r="W305" i="2" a="1"/>
  <c r="W305" i="2"/>
  <c r="W306" i="2" a="1"/>
  <c r="W306" i="2"/>
  <c r="W307" i="2" a="1"/>
  <c r="W307" i="2"/>
  <c r="W308" i="2" a="1"/>
  <c r="W308" i="2"/>
  <c r="W309" i="2" a="1"/>
  <c r="W309" i="2" s="1"/>
  <c r="W310" i="2" a="1"/>
  <c r="W310" i="2"/>
  <c r="W311" i="2" a="1"/>
  <c r="W311" i="2" s="1"/>
  <c r="W312" i="2" a="1"/>
  <c r="W312" i="2" s="1"/>
  <c r="W313" i="2" a="1"/>
  <c r="W313" i="2"/>
  <c r="W314" i="2" a="1"/>
  <c r="W314" i="2"/>
  <c r="W315" i="2" a="1"/>
  <c r="W315" i="2"/>
  <c r="W316" i="2" a="1"/>
  <c r="W316" i="2"/>
  <c r="W317" i="2" a="1"/>
  <c r="W317" i="2"/>
  <c r="W318" i="2" a="1"/>
  <c r="W318" i="2"/>
  <c r="W319" i="2" a="1"/>
  <c r="W319" i="2"/>
  <c r="W320" i="2" a="1"/>
  <c r="W320" i="2"/>
  <c r="W321" i="2" a="1"/>
  <c r="W321" i="2" s="1"/>
  <c r="W322" i="2" a="1"/>
  <c r="W322" i="2"/>
  <c r="W323" i="2" a="1"/>
  <c r="W323" i="2"/>
  <c r="W324" i="2" a="1"/>
  <c r="W324" i="2"/>
  <c r="W325" i="2" a="1"/>
  <c r="W325" i="2"/>
  <c r="W326" i="2" a="1"/>
  <c r="W326" i="2"/>
  <c r="W327" i="2" a="1"/>
  <c r="W327" i="2"/>
  <c r="W328" i="2" a="1"/>
  <c r="W328" i="2"/>
  <c r="W329" i="2" a="1"/>
  <c r="W329" i="2" s="1"/>
  <c r="W330" i="2" a="1"/>
  <c r="W330" i="2" s="1"/>
  <c r="W331" i="2" a="1"/>
  <c r="W331" i="2" s="1"/>
  <c r="W332" i="2" a="1"/>
  <c r="W332" i="2"/>
  <c r="W333" i="2" a="1"/>
  <c r="W333" i="2"/>
  <c r="W334" i="2" a="1"/>
  <c r="W334" i="2"/>
  <c r="W335" i="2" a="1"/>
  <c r="W335" i="2"/>
  <c r="W336" i="2" a="1"/>
  <c r="W336" i="2"/>
  <c r="W337" i="2" a="1"/>
  <c r="W337" i="2"/>
  <c r="W338" i="2" a="1"/>
  <c r="W338" i="2"/>
  <c r="W339" i="2" a="1"/>
  <c r="W339" i="2" s="1"/>
  <c r="W340" i="2" a="1"/>
  <c r="W340" i="2"/>
  <c r="W341" i="2" a="1"/>
  <c r="W341" i="2" s="1"/>
  <c r="W342" i="2" a="1"/>
  <c r="W342" i="2"/>
  <c r="W343" i="2" a="1"/>
  <c r="W343" i="2"/>
  <c r="W344" i="2" a="1"/>
  <c r="W344" i="2"/>
  <c r="W345" i="2" a="1"/>
  <c r="W345" i="2"/>
  <c r="W346" i="2" a="1"/>
  <c r="W346" i="2"/>
  <c r="W347" i="2" a="1"/>
  <c r="W347" i="2"/>
  <c r="W348" i="2" a="1"/>
  <c r="W348" i="2"/>
  <c r="W349" i="2" a="1"/>
  <c r="W349" i="2"/>
  <c r="W350" i="2" a="1"/>
  <c r="W350" i="2" s="1"/>
  <c r="W351" i="2" a="1"/>
  <c r="W351" i="2" s="1"/>
  <c r="W352" i="2" a="1"/>
  <c r="W352" i="2"/>
  <c r="W353" i="2" a="1"/>
  <c r="W353" i="2"/>
  <c r="W354" i="2" a="1"/>
  <c r="W354" i="2"/>
  <c r="W355" i="2" a="1"/>
  <c r="W355" i="2"/>
  <c r="W356" i="2" a="1"/>
  <c r="W356" i="2"/>
  <c r="W357" i="2" a="1"/>
  <c r="W357" i="2"/>
  <c r="W358" i="2" a="1"/>
  <c r="W358" i="2"/>
  <c r="W359" i="2" a="1"/>
  <c r="W359" i="2" s="1"/>
  <c r="W360" i="2" a="1"/>
  <c r="W360" i="2" s="1"/>
  <c r="W361" i="2" a="1"/>
  <c r="W361" i="2" s="1"/>
  <c r="W362" i="2" a="1"/>
  <c r="W362" i="2" s="1"/>
  <c r="W363" i="2" a="1"/>
  <c r="W363" i="2"/>
  <c r="W364" i="2" a="1"/>
  <c r="W364" i="2"/>
  <c r="W365" i="2" a="1"/>
  <c r="W365" i="2"/>
  <c r="W366" i="2" a="1"/>
  <c r="W366" i="2"/>
  <c r="W367" i="2" a="1"/>
  <c r="W367" i="2"/>
  <c r="W368" i="2" a="1"/>
  <c r="W368" i="2"/>
  <c r="W369" i="2" a="1"/>
  <c r="W369" i="2"/>
  <c r="W370" i="2" a="1"/>
  <c r="W370" i="2"/>
  <c r="W371" i="2" a="1"/>
  <c r="W371" i="2" s="1"/>
  <c r="W372" i="2" a="1"/>
  <c r="W372" i="2"/>
  <c r="W373" i="2" a="1"/>
  <c r="W373" i="2"/>
  <c r="W374" i="2" a="1"/>
  <c r="W374" i="2"/>
  <c r="W375" i="2" a="1"/>
  <c r="W375" i="2" s="1"/>
  <c r="W376" i="2" a="1"/>
  <c r="W376" i="2"/>
  <c r="W377" i="2" a="1"/>
  <c r="W377" i="2"/>
  <c r="W378" i="2" a="1"/>
  <c r="W378" i="2"/>
  <c r="W379" i="2" a="1"/>
  <c r="W379" i="2"/>
  <c r="W380" i="2" a="1"/>
  <c r="W380" i="2" s="1"/>
  <c r="W381" i="2" a="1"/>
  <c r="W381" i="2" s="1"/>
  <c r="W382" i="2" a="1"/>
  <c r="W382" i="2" s="1"/>
  <c r="W383" i="2" a="1"/>
  <c r="W383" i="2"/>
  <c r="W384" i="2" a="1"/>
  <c r="W384" i="2"/>
  <c r="W385" i="2" a="1"/>
  <c r="W385" i="2"/>
  <c r="W386" i="2" a="1"/>
  <c r="W386" i="2"/>
  <c r="W387" i="2" a="1"/>
  <c r="W387" i="2"/>
  <c r="W388" i="2" a="1"/>
  <c r="W388" i="2"/>
  <c r="W389" i="2" a="1"/>
  <c r="W389" i="2"/>
  <c r="W390" i="2" a="1"/>
  <c r="W390" i="2"/>
  <c r="W391" i="2" a="1"/>
  <c r="W391" i="2" s="1"/>
  <c r="W392" i="2" a="1"/>
  <c r="W392" i="2" s="1"/>
  <c r="W393" i="2" a="1"/>
  <c r="W393" i="2"/>
  <c r="W394" i="2" a="1"/>
  <c r="W394" i="2"/>
  <c r="W395" i="2" a="1"/>
  <c r="W395" i="2"/>
  <c r="W396" i="2" a="1"/>
  <c r="W396" i="2" s="1"/>
  <c r="W397" i="2" a="1"/>
  <c r="W397" i="2"/>
  <c r="W398" i="2" a="1"/>
  <c r="W398" i="2"/>
  <c r="W399" i="2" a="1"/>
  <c r="W399" i="2"/>
  <c r="W400" i="2" a="1"/>
  <c r="W400" i="2"/>
  <c r="W401" i="2" a="1"/>
  <c r="W401" i="2" s="1"/>
  <c r="W402" i="2" a="1"/>
  <c r="W402" i="2"/>
  <c r="W403" i="2" a="1"/>
  <c r="W403" i="2"/>
  <c r="W404" i="2" a="1"/>
  <c r="W404" i="2"/>
  <c r="W405" i="2" a="1"/>
  <c r="W405" i="2"/>
  <c r="W406" i="2" a="1"/>
  <c r="W406" i="2"/>
  <c r="W407" i="2" a="1"/>
  <c r="W407" i="2"/>
  <c r="W408" i="2" a="1"/>
  <c r="W408" i="2"/>
  <c r="W409" i="2" a="1"/>
  <c r="W409" i="2"/>
  <c r="W410" i="2" a="1"/>
  <c r="W410" i="2"/>
  <c r="W411" i="2" a="1"/>
  <c r="W411" i="2" s="1"/>
  <c r="W412" i="2" a="1"/>
  <c r="W412" i="2" s="1"/>
  <c r="W413" i="2" a="1"/>
  <c r="W413" i="2"/>
  <c r="W414" i="2" a="1"/>
  <c r="W414" i="2"/>
  <c r="W415" i="2" a="1"/>
  <c r="W415" i="2"/>
  <c r="W416" i="2" a="1"/>
  <c r="W416" i="2"/>
  <c r="W417" i="2" a="1"/>
  <c r="W417" i="2"/>
  <c r="W418" i="2" a="1"/>
  <c r="W418" i="2"/>
  <c r="W419" i="2" a="1"/>
  <c r="W419" i="2"/>
  <c r="W420" i="2" a="1"/>
  <c r="W420" i="2"/>
  <c r="W421" i="2" a="1"/>
  <c r="W421" i="2" s="1"/>
  <c r="W422" i="2" a="1"/>
  <c r="W422" i="2"/>
  <c r="W423" i="2" a="1"/>
  <c r="W423" i="2"/>
  <c r="W424" i="2" a="1"/>
  <c r="W424" i="2"/>
  <c r="W425" i="2" a="1"/>
  <c r="W425" i="2" s="1"/>
  <c r="W426" i="2" a="1"/>
  <c r="W426" i="2"/>
  <c r="W427" i="2" a="1"/>
  <c r="W427" i="2"/>
  <c r="W428" i="2" a="1"/>
  <c r="W428" i="2"/>
  <c r="W429" i="2" a="1"/>
  <c r="W429" i="2"/>
  <c r="W430" i="2" a="1"/>
  <c r="W430" i="2"/>
  <c r="W431" i="2" a="1"/>
  <c r="W431" i="2" s="1"/>
  <c r="W432" i="2" a="1"/>
  <c r="W432" i="2"/>
  <c r="W433" i="2" a="1"/>
  <c r="W433" i="2"/>
  <c r="W434" i="2" a="1"/>
  <c r="W434" i="2"/>
  <c r="W435" i="2" a="1"/>
  <c r="W435" i="2"/>
  <c r="W436" i="2" a="1"/>
  <c r="W436" i="2"/>
  <c r="W437" i="2" a="1"/>
  <c r="W437" i="2"/>
  <c r="W438" i="2" a="1"/>
  <c r="W438" i="2" s="1"/>
  <c r="W439" i="2" a="1"/>
  <c r="W439" i="2"/>
  <c r="W440" i="2" a="1"/>
  <c r="W440" i="2"/>
  <c r="W441" i="2" a="1"/>
  <c r="W441" i="2" s="1"/>
  <c r="W442" i="2" a="1"/>
  <c r="W442" i="2"/>
  <c r="W443" i="2" a="1"/>
  <c r="W443" i="2"/>
  <c r="W444" i="2" a="1"/>
  <c r="W444" i="2"/>
  <c r="W445" i="2" a="1"/>
  <c r="W445" i="2" s="1"/>
  <c r="W446" i="2" a="1"/>
  <c r="W446" i="2" s="1"/>
  <c r="W447" i="2" a="1"/>
  <c r="W447" i="2"/>
  <c r="W448" i="2" a="1"/>
  <c r="W448" i="2"/>
  <c r="W449" i="2" a="1"/>
  <c r="W449" i="2"/>
  <c r="W450" i="2" a="1"/>
  <c r="W450" i="2"/>
  <c r="W451" i="2" a="1"/>
  <c r="W451" i="2" s="1"/>
  <c r="W452" i="2" a="1"/>
  <c r="W452" i="2"/>
  <c r="W453" i="2" a="1"/>
  <c r="W453" i="2"/>
  <c r="W454" i="2" a="1"/>
  <c r="W454" i="2"/>
  <c r="W455" i="2" a="1"/>
  <c r="W455" i="2" s="1"/>
  <c r="W456" i="2" a="1"/>
  <c r="W456" i="2"/>
  <c r="W457" i="2" a="1"/>
  <c r="W457" i="2"/>
  <c r="W458" i="2" a="1"/>
  <c r="W458" i="2"/>
  <c r="W459" i="2" a="1"/>
  <c r="W459" i="2" s="1"/>
  <c r="W460" i="2" a="1"/>
  <c r="W460" i="2"/>
  <c r="W461" i="2" a="1"/>
  <c r="W461" i="2" s="1"/>
  <c r="W462" i="2" a="1"/>
  <c r="W462" i="2"/>
  <c r="W463" i="2" a="1"/>
  <c r="W463" i="2"/>
  <c r="W464" i="2" a="1"/>
  <c r="W464" i="2"/>
  <c r="W465" i="2" a="1"/>
  <c r="W465" i="2"/>
  <c r="W466" i="2" a="1"/>
  <c r="W466" i="2" s="1"/>
  <c r="W467" i="2" a="1"/>
  <c r="W467" i="2"/>
  <c r="W468" i="2" a="1"/>
  <c r="W468" i="2"/>
  <c r="W469" i="2" a="1"/>
  <c r="W469" i="2"/>
  <c r="W470" i="2" a="1"/>
  <c r="W470" i="2"/>
  <c r="W471" i="2" a="1"/>
  <c r="W471" i="2" s="1"/>
  <c r="W472" i="2" a="1"/>
  <c r="W472" i="2"/>
  <c r="W473" i="2" a="1"/>
  <c r="W473" i="2"/>
  <c r="W474" i="2" a="1"/>
  <c r="W474" i="2"/>
  <c r="W475" i="2" a="1"/>
  <c r="W475" i="2" s="1"/>
  <c r="W476" i="2" a="1"/>
  <c r="W476" i="2" s="1"/>
  <c r="W477" i="2" a="1"/>
  <c r="W477" i="2"/>
  <c r="W478" i="2" a="1"/>
  <c r="W478" i="2"/>
  <c r="W479" i="2" a="1"/>
  <c r="W479" i="2"/>
  <c r="W480" i="2" a="1"/>
  <c r="W480" i="2" s="1"/>
  <c r="W481" i="2" a="1"/>
  <c r="W481" i="2" s="1"/>
  <c r="W482" i="2" a="1"/>
  <c r="W482" i="2"/>
  <c r="W483" i="2" a="1"/>
  <c r="W483" i="2"/>
  <c r="W484" i="2" a="1"/>
  <c r="W484" i="2"/>
  <c r="W485" i="2" a="1"/>
  <c r="W485" i="2"/>
  <c r="W486" i="2" a="1"/>
  <c r="W486" i="2"/>
  <c r="W487" i="2" a="1"/>
  <c r="W487" i="2"/>
  <c r="W488" i="2" a="1"/>
  <c r="W488" i="2" s="1"/>
  <c r="W489" i="2" a="1"/>
  <c r="W489" i="2"/>
  <c r="W490" i="2" a="1"/>
  <c r="W490" i="2"/>
  <c r="W491" i="2" a="1"/>
  <c r="W491" i="2" s="1"/>
  <c r="W492" i="2" a="1"/>
  <c r="W492" i="2"/>
  <c r="W493" i="2" a="1"/>
  <c r="W493" i="2"/>
  <c r="W494" i="2" a="1"/>
  <c r="W494" i="2"/>
  <c r="W495" i="2" a="1"/>
  <c r="W495" i="2"/>
  <c r="W496" i="2" a="1"/>
  <c r="W496" i="2" s="1"/>
  <c r="W497" i="2" a="1"/>
  <c r="W497" i="2"/>
  <c r="W498" i="2" a="1"/>
  <c r="W498" i="2"/>
  <c r="W499" i="2" a="1"/>
  <c r="W499" i="2"/>
  <c r="W500" i="2" a="1"/>
  <c r="W500" i="2"/>
  <c r="W501" i="2" a="1"/>
  <c r="W501" i="2" s="1"/>
  <c r="W502" i="2" a="1"/>
  <c r="W502" i="2"/>
  <c r="W503" i="2" a="1"/>
  <c r="W503" i="2"/>
  <c r="W504" i="2" a="1"/>
  <c r="W504" i="2"/>
  <c r="W505" i="2" a="1"/>
  <c r="W505" i="2"/>
  <c r="W506" i="2" a="1"/>
  <c r="W506" i="2"/>
  <c r="W507" i="2" a="1"/>
  <c r="W507" i="2"/>
  <c r="W508" i="2" a="1"/>
  <c r="W508" i="2" s="1"/>
  <c r="W509" i="2" a="1"/>
  <c r="W509" i="2" s="1"/>
  <c r="W510" i="2" a="1"/>
  <c r="W510" i="2"/>
  <c r="W511" i="2" a="1"/>
  <c r="W511" i="2" s="1"/>
  <c r="W512" i="2" a="1"/>
  <c r="W512" i="2" s="1"/>
  <c r="W513" i="2" a="1"/>
  <c r="W513" i="2"/>
  <c r="W514" i="2" a="1"/>
  <c r="W514" i="2"/>
  <c r="W515" i="2" a="1"/>
  <c r="W515" i="2"/>
  <c r="W516" i="2" a="1"/>
  <c r="W516" i="2"/>
  <c r="W517" i="2" a="1"/>
  <c r="W517" i="2"/>
  <c r="W518" i="2" a="1"/>
  <c r="W518" i="2" s="1"/>
  <c r="W519" i="2" a="1"/>
  <c r="W519" i="2"/>
  <c r="W520" i="2" a="1"/>
  <c r="W520" i="2"/>
  <c r="W521" i="2" a="1"/>
  <c r="W521" i="2" s="1"/>
  <c r="W522" i="2" a="1"/>
  <c r="W522" i="2"/>
  <c r="W523" i="2" a="1"/>
  <c r="W523" i="2"/>
  <c r="W524" i="2" a="1"/>
  <c r="W524" i="2"/>
  <c r="W525" i="2" a="1"/>
  <c r="W525" i="2"/>
  <c r="W526" i="2" a="1"/>
  <c r="W526" i="2"/>
  <c r="W527" i="2" a="1"/>
  <c r="W527" i="2"/>
  <c r="W528" i="2" a="1"/>
  <c r="W528" i="2"/>
  <c r="W529" i="2" a="1"/>
  <c r="W529" i="2" s="1"/>
  <c r="W530" i="2" a="1"/>
  <c r="W530" i="2" s="1"/>
  <c r="W531" i="2" a="1"/>
  <c r="W531" i="2" s="1"/>
  <c r="W532" i="2" a="1"/>
  <c r="W532" i="2"/>
  <c r="W533" i="2" a="1"/>
  <c r="W533" i="2"/>
  <c r="W534" i="2" a="1"/>
  <c r="W534" i="2"/>
  <c r="W535" i="2" a="1"/>
  <c r="W535" i="2"/>
  <c r="W536" i="2" a="1"/>
  <c r="W536" i="2"/>
  <c r="W537" i="2" a="1"/>
  <c r="W537" i="2"/>
  <c r="W538" i="2" a="1"/>
  <c r="W538" i="2" s="1"/>
  <c r="W539" i="2" a="1"/>
  <c r="W539" i="2" s="1"/>
  <c r="W540" i="2" a="1"/>
  <c r="W540" i="2"/>
  <c r="W541" i="2" a="1"/>
  <c r="W541" i="2" s="1"/>
  <c r="W542" i="2" a="1"/>
  <c r="W542" i="2"/>
  <c r="W543" i="2" a="1"/>
  <c r="W543" i="2"/>
  <c r="W544" i="2" a="1"/>
  <c r="W544" i="2"/>
  <c r="W545" i="2" a="1"/>
  <c r="W545" i="2"/>
  <c r="W546" i="2" a="1"/>
  <c r="W546" i="2"/>
  <c r="W547" i="2" a="1"/>
  <c r="W547" i="2"/>
  <c r="W548" i="2" a="1"/>
  <c r="W548" i="2"/>
  <c r="W549" i="2" a="1"/>
  <c r="W549" i="2"/>
  <c r="W550" i="2" a="1"/>
  <c r="W550" i="2" s="1"/>
  <c r="W551" i="2" a="1"/>
  <c r="W551" i="2" s="1"/>
  <c r="W552" i="2" a="1"/>
  <c r="W552" i="2"/>
  <c r="W553" i="2" a="1"/>
  <c r="W553" i="2"/>
  <c r="W554" i="2" a="1"/>
  <c r="W554" i="2"/>
  <c r="W555" i="2" a="1"/>
  <c r="W555" i="2"/>
  <c r="W556" i="2" a="1"/>
  <c r="W556" i="2"/>
  <c r="W557" i="2" a="1"/>
  <c r="W557" i="2"/>
  <c r="W558" i="2" a="1"/>
  <c r="W558" i="2"/>
  <c r="W559" i="2" a="1"/>
  <c r="W559" i="2" s="1"/>
  <c r="W560" i="2" a="1"/>
  <c r="W560" i="2" s="1"/>
  <c r="W561" i="2" a="1"/>
  <c r="W561" i="2" s="1"/>
  <c r="W562" i="2" a="1"/>
  <c r="W562" i="2" s="1"/>
  <c r="W563" i="2" a="1"/>
  <c r="W563" i="2"/>
  <c r="W564" i="2" a="1"/>
  <c r="W564" i="2"/>
  <c r="W565" i="2" a="1"/>
  <c r="W565" i="2"/>
  <c r="W566" i="2" a="1"/>
  <c r="W566" i="2"/>
  <c r="W567" i="2" a="1"/>
  <c r="W567" i="2"/>
  <c r="W568" i="2" a="1"/>
  <c r="W568" i="2"/>
  <c r="W569" i="2" a="1"/>
  <c r="W569" i="2"/>
  <c r="W570" i="2" a="1"/>
  <c r="W570" i="2"/>
  <c r="W571" i="2" a="1"/>
  <c r="W571" i="2" s="1"/>
  <c r="W572" i="2" a="1"/>
  <c r="W572" i="2"/>
  <c r="W573" i="2" a="1"/>
  <c r="W573" i="2"/>
  <c r="W574" i="2" a="1"/>
  <c r="W574" i="2"/>
  <c r="W575" i="2" a="1"/>
  <c r="W575" i="2" s="1"/>
  <c r="W576" i="2" a="1"/>
  <c r="W576" i="2"/>
  <c r="W577" i="2" a="1"/>
  <c r="W577" i="2"/>
  <c r="W578" i="2" a="1"/>
  <c r="W578" i="2"/>
  <c r="W579" i="2" a="1"/>
  <c r="W579" i="2"/>
  <c r="W580" i="2" a="1"/>
  <c r="W580" i="2" s="1"/>
  <c r="W581" i="2" a="1"/>
  <c r="W581" i="2" s="1"/>
  <c r="W582" i="2" a="1"/>
  <c r="W582" i="2" s="1"/>
  <c r="W583" i="2" a="1"/>
  <c r="W583" i="2"/>
  <c r="W584" i="2" a="1"/>
  <c r="W584" i="2"/>
  <c r="W585" i="2" a="1"/>
  <c r="W585" i="2"/>
  <c r="W586" i="2" a="1"/>
  <c r="W586" i="2"/>
  <c r="W587" i="2" a="1"/>
  <c r="W587" i="2"/>
  <c r="W588" i="2" a="1"/>
  <c r="W588" i="2"/>
  <c r="W589" i="2" a="1"/>
  <c r="W589" i="2"/>
  <c r="W590" i="2" a="1"/>
  <c r="W590" i="2"/>
  <c r="W591" i="2" a="1"/>
  <c r="W591" i="2" s="1"/>
  <c r="W592" i="2" a="1"/>
  <c r="W592" i="2" s="1"/>
  <c r="W593" i="2" a="1"/>
  <c r="W593" i="2"/>
  <c r="W594" i="2" a="1"/>
  <c r="W594" i="2"/>
  <c r="W595" i="2" a="1"/>
  <c r="W595" i="2"/>
  <c r="W596" i="2" a="1"/>
  <c r="W596" i="2" s="1"/>
  <c r="W597" i="2" a="1"/>
  <c r="W597" i="2"/>
  <c r="W598" i="2" a="1"/>
  <c r="W598" i="2"/>
  <c r="W599" i="2" a="1"/>
  <c r="W599" i="2"/>
  <c r="W600" i="2" a="1"/>
  <c r="W600" i="2"/>
  <c r="W601" i="2" a="1"/>
  <c r="W601" i="2" s="1"/>
  <c r="W602" i="2" a="1"/>
  <c r="W602" i="2"/>
  <c r="W603" i="2" a="1"/>
  <c r="W603" i="2"/>
  <c r="W604" i="2" a="1"/>
  <c r="W604" i="2"/>
  <c r="W605" i="2" a="1"/>
  <c r="W605" i="2"/>
  <c r="W606" i="2" a="1"/>
  <c r="W606" i="2"/>
  <c r="W607" i="2" a="1"/>
  <c r="W607" i="2"/>
  <c r="W608" i="2" a="1"/>
  <c r="W608" i="2"/>
  <c r="W609" i="2" a="1"/>
  <c r="W609" i="2"/>
  <c r="W610" i="2" a="1"/>
  <c r="W610" i="2"/>
  <c r="W611" i="2" a="1"/>
  <c r="W611" i="2" s="1"/>
  <c r="W612" i="2" a="1"/>
  <c r="W612" i="2" s="1"/>
  <c r="W613" i="2" a="1"/>
  <c r="W613" i="2"/>
  <c r="W614" i="2" a="1"/>
  <c r="W614" i="2"/>
  <c r="W615" i="2" a="1"/>
  <c r="W615" i="2"/>
  <c r="W616" i="2" a="1"/>
  <c r="W616" i="2"/>
  <c r="W617" i="2" a="1"/>
  <c r="W617" i="2"/>
  <c r="W618" i="2" a="1"/>
  <c r="W618" i="2"/>
  <c r="W619" i="2" a="1"/>
  <c r="W619" i="2"/>
  <c r="W620" i="2" a="1"/>
  <c r="W620" i="2"/>
  <c r="W621" i="2" a="1"/>
  <c r="W621" i="2" s="1"/>
  <c r="W622" i="2" a="1"/>
  <c r="W622" i="2"/>
  <c r="W623" i="2" a="1"/>
  <c r="W623" i="2"/>
  <c r="W624" i="2" a="1"/>
  <c r="W624" i="2"/>
  <c r="W625" i="2" a="1"/>
  <c r="W625" i="2" s="1"/>
  <c r="W626" i="2" a="1"/>
  <c r="W626" i="2"/>
  <c r="W627" i="2" a="1"/>
  <c r="W627" i="2"/>
  <c r="W628" i="2" a="1"/>
  <c r="W628" i="2"/>
  <c r="W629" i="2" a="1"/>
  <c r="W629" i="2"/>
  <c r="W630" i="2" a="1"/>
  <c r="W630" i="2"/>
  <c r="W631" i="2" a="1"/>
  <c r="W631" i="2" s="1"/>
  <c r="W632" i="2" a="1"/>
  <c r="W632" i="2"/>
  <c r="W633" i="2" a="1"/>
  <c r="W633" i="2"/>
  <c r="W634" i="2" a="1"/>
  <c r="W634" i="2"/>
  <c r="W635" i="2" a="1"/>
  <c r="W635" i="2"/>
  <c r="W636" i="2" a="1"/>
  <c r="W636" i="2"/>
  <c r="W637" i="2" a="1"/>
  <c r="W637" i="2"/>
  <c r="W638" i="2" a="1"/>
  <c r="W638" i="2" s="1"/>
  <c r="W639" i="2" a="1"/>
  <c r="W639" i="2"/>
  <c r="W640" i="2" a="1"/>
  <c r="W640" i="2"/>
  <c r="W641" i="2" a="1"/>
  <c r="W641" i="2" s="1"/>
  <c r="W642" i="2" a="1"/>
  <c r="W642" i="2"/>
  <c r="W643" i="2" a="1"/>
  <c r="W643" i="2"/>
  <c r="W644" i="2" a="1"/>
  <c r="W644" i="2"/>
  <c r="W645" i="2" a="1"/>
  <c r="W645" i="2" s="1"/>
  <c r="W646" i="2" a="1"/>
  <c r="W646" i="2" s="1"/>
  <c r="W647" i="2" a="1"/>
  <c r="W647" i="2"/>
  <c r="W648" i="2" a="1"/>
  <c r="W648" i="2"/>
  <c r="W649" i="2" a="1"/>
  <c r="W649" i="2"/>
  <c r="W650" i="2" a="1"/>
  <c r="W650" i="2"/>
  <c r="W651" i="2" a="1"/>
  <c r="W651" i="2" s="1"/>
  <c r="W652" i="2" a="1"/>
  <c r="W652" i="2"/>
  <c r="W653" i="2" a="1"/>
  <c r="W653" i="2" s="1"/>
  <c r="W654" i="2" a="1"/>
  <c r="W654" i="2"/>
  <c r="W655" i="2" a="1"/>
  <c r="W655" i="2"/>
  <c r="W656" i="2" a="1"/>
  <c r="W656" i="2" s="1"/>
  <c r="W657" i="2" a="1"/>
  <c r="W657" i="2"/>
  <c r="W658" i="2" a="1"/>
  <c r="W658" i="2"/>
  <c r="W659" i="2" a="1"/>
  <c r="W659" i="2"/>
  <c r="W660" i="2" a="1"/>
  <c r="W660" i="2"/>
  <c r="W661" i="2" a="1"/>
  <c r="W661" i="2" s="1"/>
  <c r="W662" i="2" a="1"/>
  <c r="W662" i="2"/>
  <c r="W663" i="2" a="1"/>
  <c r="W663" i="2" s="1"/>
  <c r="W664" i="2" a="1"/>
  <c r="W664" i="2"/>
  <c r="W665" i="2" a="1"/>
  <c r="W665" i="2"/>
  <c r="W666" i="2" a="1"/>
  <c r="W666" i="2"/>
  <c r="W667" i="2" a="1"/>
  <c r="W667" i="2"/>
  <c r="W668" i="2" a="1"/>
  <c r="W668" i="2" s="1"/>
  <c r="W669" i="2" a="1"/>
  <c r="W669" i="2"/>
  <c r="W670" i="2" a="1"/>
  <c r="W670" i="2"/>
  <c r="W671" i="2" a="1"/>
  <c r="W671" i="2" s="1"/>
  <c r="W672" i="2" a="1"/>
  <c r="W672" i="2"/>
  <c r="W673" i="2" a="1"/>
  <c r="W673" i="2" s="1"/>
  <c r="W674" i="2" a="1"/>
  <c r="W674" i="2"/>
  <c r="W675" i="2" a="1"/>
  <c r="W675" i="2"/>
  <c r="W676" i="2" a="1"/>
  <c r="W676" i="2"/>
  <c r="W677" i="2" a="1"/>
  <c r="W677" i="2"/>
  <c r="W678" i="2" a="1"/>
  <c r="W678" i="2" s="1"/>
  <c r="W679" i="2" a="1"/>
  <c r="W679" i="2" s="1"/>
  <c r="W680" i="2" a="1"/>
  <c r="W680" i="2"/>
  <c r="W681" i="2" a="1"/>
  <c r="W681" i="2" s="1"/>
  <c r="W682" i="2" a="1"/>
  <c r="W682" i="2" s="1"/>
  <c r="W683" i="2" a="1"/>
  <c r="W683" i="2" s="1"/>
  <c r="W684" i="2" a="1"/>
  <c r="W684" i="2"/>
  <c r="W685" i="2" a="1"/>
  <c r="W685" i="2"/>
  <c r="W686" i="2" a="1"/>
  <c r="W686" i="2"/>
  <c r="W687" i="2" a="1"/>
  <c r="W687" i="2"/>
  <c r="W688" i="2" a="1"/>
  <c r="W688" i="2"/>
  <c r="W689" i="2" a="1"/>
  <c r="W689" i="2" s="1"/>
  <c r="W690" i="2" a="1"/>
  <c r="W690" i="2" s="1"/>
  <c r="W691" i="2" a="1"/>
  <c r="W691" i="2" s="1"/>
  <c r="W692" i="2" a="1"/>
  <c r="W692" i="2"/>
  <c r="W693" i="2" a="1"/>
  <c r="W693" i="2" s="1"/>
  <c r="W694" i="2" a="1"/>
  <c r="W694" i="2"/>
  <c r="W695" i="2" a="1"/>
  <c r="W695" i="2"/>
  <c r="W696" i="2" a="1"/>
  <c r="W696" i="2"/>
  <c r="W697" i="2" a="1"/>
  <c r="W697" i="2"/>
  <c r="W698" i="2" a="1"/>
  <c r="W698" i="2"/>
  <c r="W699" i="2" a="1"/>
  <c r="W699" i="2"/>
  <c r="W700" i="2" a="1"/>
  <c r="W700" i="2" s="1"/>
  <c r="W701" i="2" a="1"/>
  <c r="W701" i="2" s="1"/>
  <c r="W702" i="2" a="1"/>
  <c r="W702" i="2"/>
  <c r="W703" i="2" a="1"/>
  <c r="W703" i="2" s="1"/>
  <c r="W704" i="2" a="1"/>
  <c r="W704" i="2"/>
  <c r="W705" i="2" a="1"/>
  <c r="W705" i="2"/>
  <c r="W706" i="2" a="1"/>
  <c r="W706" i="2"/>
  <c r="W707" i="2" a="1"/>
  <c r="W707" i="2"/>
  <c r="W708" i="2" a="1"/>
  <c r="W708" i="2"/>
  <c r="W709" i="2" a="1"/>
  <c r="W709" i="2"/>
  <c r="W710" i="2" a="1"/>
  <c r="W710" i="2"/>
  <c r="W711" i="2" a="1"/>
  <c r="W711" i="2" s="1"/>
  <c r="W712" i="2" a="1"/>
  <c r="W712" i="2"/>
  <c r="W713" i="2" a="1"/>
  <c r="W713" i="2" s="1"/>
  <c r="W714" i="2" a="1"/>
  <c r="W714" i="2"/>
  <c r="W715" i="2" a="1"/>
  <c r="W715" i="2"/>
  <c r="W716" i="2" a="1"/>
  <c r="W716" i="2"/>
  <c r="W717" i="2" a="1"/>
  <c r="W717" i="2"/>
  <c r="W718" i="2" a="1"/>
  <c r="W718" i="2"/>
  <c r="W719" i="2" a="1"/>
  <c r="W719" i="2"/>
  <c r="W720" i="2" a="1"/>
  <c r="W720" i="2"/>
  <c r="W721" i="2" a="1"/>
  <c r="W721" i="2" s="1"/>
  <c r="W722" i="2" a="1"/>
  <c r="W722" i="2" s="1"/>
  <c r="W723" i="2" a="1"/>
  <c r="W723" i="2" s="1"/>
  <c r="W724" i="2" a="1"/>
  <c r="W724" i="2"/>
  <c r="W725" i="2" a="1"/>
  <c r="W725" i="2"/>
  <c r="W726" i="2" a="1"/>
  <c r="W726" i="2"/>
  <c r="W727" i="2" a="1"/>
  <c r="W727" i="2"/>
  <c r="W728" i="2" a="1"/>
  <c r="W728" i="2"/>
  <c r="W729" i="2" a="1"/>
  <c r="W729" i="2"/>
  <c r="W730" i="2" a="1"/>
  <c r="W730" i="2"/>
  <c r="W731" i="2" a="1"/>
  <c r="W731" i="2" s="1"/>
  <c r="W732" i="2" a="1"/>
  <c r="W732" i="2" s="1"/>
  <c r="W733" i="2" a="1"/>
  <c r="W733" i="2" s="1"/>
  <c r="W734" i="2" a="1"/>
  <c r="W734" i="2"/>
  <c r="W735" i="2" a="1"/>
  <c r="W735" i="2" s="1"/>
  <c r="W736" i="2" a="1"/>
  <c r="W736" i="2"/>
  <c r="W737" i="2" a="1"/>
  <c r="W737" i="2"/>
  <c r="W738" i="2" a="1"/>
  <c r="W738" i="2"/>
  <c r="W739" i="2" a="1"/>
  <c r="W739" i="2"/>
  <c r="W740" i="2" a="1"/>
  <c r="W740" i="2"/>
  <c r="W741" i="2" a="1"/>
  <c r="W741" i="2" s="1"/>
  <c r="W742" i="2" a="1"/>
  <c r="W742" i="2"/>
  <c r="W743" i="2" a="1"/>
  <c r="W743" i="2" s="1"/>
  <c r="W744" i="2" a="1"/>
  <c r="W744" i="2"/>
  <c r="W745" i="2" a="1"/>
  <c r="W745" i="2" s="1"/>
  <c r="W746" i="2" a="1"/>
  <c r="W746" i="2" s="1"/>
  <c r="W747" i="2" a="1"/>
  <c r="W747" i="2"/>
  <c r="W748" i="2" a="1"/>
  <c r="W748" i="2"/>
  <c r="W749" i="2" a="1"/>
  <c r="W749" i="2"/>
  <c r="W750" i="2" a="1"/>
  <c r="W750" i="2"/>
  <c r="W751" i="2" a="1"/>
  <c r="W751" i="2" s="1"/>
  <c r="W752" i="2" a="1"/>
  <c r="W752" i="2"/>
  <c r="W753" i="2" a="1"/>
  <c r="W753" i="2" s="1"/>
  <c r="W754" i="2" a="1"/>
  <c r="W754" i="2"/>
  <c r="W755" i="2" a="1"/>
  <c r="W755" i="2"/>
  <c r="W756" i="2" a="1"/>
  <c r="W756" i="2" s="1"/>
  <c r="W757" i="2" a="1"/>
  <c r="W757" i="2"/>
  <c r="W758" i="2" a="1"/>
  <c r="W758" i="2"/>
  <c r="W759" i="2" a="1"/>
  <c r="W759" i="2"/>
  <c r="W760" i="2" a="1"/>
  <c r="W760" i="2"/>
  <c r="W761" i="2" a="1"/>
  <c r="W761" i="2" s="1"/>
  <c r="W762" i="2" a="1"/>
  <c r="W762" i="2"/>
  <c r="W763" i="2" a="1"/>
  <c r="W763" i="2" s="1"/>
  <c r="W764" i="2" a="1"/>
  <c r="W764" i="2"/>
  <c r="W765" i="2" a="1"/>
  <c r="W765" i="2"/>
  <c r="W766" i="2" a="1"/>
  <c r="W766" i="2"/>
  <c r="W767" i="2" a="1"/>
  <c r="W767" i="2"/>
  <c r="W768" i="2" a="1"/>
  <c r="W768" i="2" s="1"/>
  <c r="W769" i="2" a="1"/>
  <c r="W769" i="2"/>
  <c r="W770" i="2" a="1"/>
  <c r="W770" i="2"/>
  <c r="W771" i="2" a="1"/>
  <c r="W771" i="2" s="1"/>
  <c r="W772" i="2" a="1"/>
  <c r="W772" i="2"/>
  <c r="W773" i="2" a="1"/>
  <c r="W773" i="2" s="1"/>
  <c r="W774" i="2" a="1"/>
  <c r="W774" i="2"/>
  <c r="W775" i="2" a="1"/>
  <c r="W775" i="2"/>
  <c r="W776" i="2" a="1"/>
  <c r="W776" i="2"/>
  <c r="W777" i="2" a="1"/>
  <c r="W777" i="2"/>
  <c r="W778" i="2" a="1"/>
  <c r="W778" i="2" s="1"/>
  <c r="W779" i="2" a="1"/>
  <c r="W779" i="2" s="1"/>
  <c r="W780" i="2" a="1"/>
  <c r="W780" i="2"/>
  <c r="W781" i="2" a="1"/>
  <c r="W781" i="2" s="1"/>
  <c r="W782" i="2" a="1"/>
  <c r="W782" i="2" s="1"/>
  <c r="W783" i="2" a="1"/>
  <c r="W783" i="2" s="1"/>
  <c r="W784" i="2" a="1"/>
  <c r="W784" i="2"/>
  <c r="W785" i="2" a="1"/>
  <c r="W785" i="2"/>
  <c r="W786" i="2" a="1"/>
  <c r="W786" i="2"/>
  <c r="W787" i="2" a="1"/>
  <c r="W787" i="2"/>
  <c r="W788" i="2" a="1"/>
  <c r="W788" i="2"/>
  <c r="W789" i="2" a="1"/>
  <c r="W789" i="2" s="1"/>
  <c r="W790" i="2" a="1"/>
  <c r="W790" i="2" s="1"/>
  <c r="W791" i="2" a="1"/>
  <c r="W791" i="2" s="1"/>
  <c r="W792" i="2" a="1"/>
  <c r="W792" i="2"/>
  <c r="W793" i="2" a="1"/>
  <c r="W793" i="2" s="1"/>
  <c r="W794" i="2" a="1"/>
  <c r="W794" i="2"/>
  <c r="W795" i="2" a="1"/>
  <c r="W795" i="2"/>
  <c r="W796" i="2" a="1"/>
  <c r="W796" i="2"/>
  <c r="W797" i="2" a="1"/>
  <c r="W797" i="2"/>
  <c r="W798" i="2" a="1"/>
  <c r="W798" i="2"/>
  <c r="W799" i="2" a="1"/>
  <c r="W799" i="2"/>
  <c r="W800" i="2" a="1"/>
  <c r="W800" i="2" s="1"/>
  <c r="W801" i="2" a="1"/>
  <c r="W801" i="2" s="1"/>
  <c r="W802" i="2" a="1"/>
  <c r="W802" i="2"/>
  <c r="W803" i="2" a="1"/>
  <c r="W803" i="2" s="1"/>
  <c r="W804" i="2" a="1"/>
  <c r="W804" i="2"/>
  <c r="W805" i="2" a="1"/>
  <c r="W805" i="2"/>
  <c r="W806" i="2" a="1"/>
  <c r="W806" i="2"/>
  <c r="W807" i="2" a="1"/>
  <c r="W807" i="2"/>
  <c r="W808" i="2" a="1"/>
  <c r="W808" i="2"/>
  <c r="W809" i="2" a="1"/>
  <c r="W809" i="2"/>
  <c r="W810" i="2" a="1"/>
  <c r="W810" i="2"/>
  <c r="W811" i="2" a="1"/>
  <c r="W811" i="2" s="1"/>
  <c r="W812" i="2" a="1"/>
  <c r="W812" i="2"/>
  <c r="W813" i="2" a="1"/>
  <c r="W813" i="2" s="1"/>
  <c r="W814" i="2" a="1"/>
  <c r="W814" i="2"/>
  <c r="W815" i="2" a="1"/>
  <c r="W815" i="2"/>
  <c r="W816" i="2" a="1"/>
  <c r="W816" i="2"/>
  <c r="W817" i="2" a="1"/>
  <c r="W817" i="2"/>
  <c r="W818" i="2" a="1"/>
  <c r="W818" i="2"/>
  <c r="W819" i="2" a="1"/>
  <c r="W819" i="2"/>
  <c r="W820" i="2" a="1"/>
  <c r="W820" i="2"/>
  <c r="W821" i="2" a="1"/>
  <c r="W821" i="2" s="1"/>
  <c r="W822" i="2" a="1"/>
  <c r="W822" i="2" s="1"/>
  <c r="W823" i="2" a="1"/>
  <c r="W823" i="2" s="1"/>
  <c r="W824" i="2" a="1"/>
  <c r="W824" i="2"/>
  <c r="W825" i="2" a="1"/>
  <c r="W825" i="2"/>
  <c r="W826" i="2" a="1"/>
  <c r="W826" i="2"/>
  <c r="W827" i="2" a="1"/>
  <c r="W827" i="2"/>
  <c r="W828" i="2" a="1"/>
  <c r="W828" i="2"/>
  <c r="W829" i="2" a="1"/>
  <c r="W829" i="2"/>
  <c r="W830" i="2" a="1"/>
  <c r="W830" i="2"/>
  <c r="W831" i="2" a="1"/>
  <c r="W831" i="2" s="1"/>
  <c r="W832" i="2" a="1"/>
  <c r="W832" i="2" s="1"/>
  <c r="W833" i="2" a="1"/>
  <c r="W833" i="2" s="1"/>
  <c r="W834" i="2" a="1"/>
  <c r="W834" i="2"/>
  <c r="W835" i="2" a="1"/>
  <c r="W835" i="2" s="1"/>
  <c r="W836" i="2" a="1"/>
  <c r="W836" i="2"/>
  <c r="W837" i="2" a="1"/>
  <c r="W837" i="2"/>
  <c r="W838" i="2" a="1"/>
  <c r="W838" i="2"/>
  <c r="W839" i="2" a="1"/>
  <c r="W839" i="2"/>
  <c r="W840" i="2" a="1"/>
  <c r="W840" i="2"/>
  <c r="W841" i="2" a="1"/>
  <c r="W841" i="2" s="1"/>
  <c r="W842" i="2" a="1"/>
  <c r="W842" i="2"/>
  <c r="W843" i="2" a="1"/>
  <c r="W843" i="2" s="1"/>
  <c r="W844" i="2" a="1"/>
  <c r="W844" i="2"/>
  <c r="W845" i="2" a="1"/>
  <c r="W845" i="2" s="1"/>
  <c r="W846" i="2" a="1"/>
  <c r="W846" i="2" s="1"/>
  <c r="W847" i="2" a="1"/>
  <c r="W847" i="2"/>
  <c r="W848" i="2" a="1"/>
  <c r="W848" i="2"/>
  <c r="W849" i="2" a="1"/>
  <c r="W849" i="2"/>
  <c r="W850" i="2" a="1"/>
  <c r="W850" i="2"/>
  <c r="W851" i="2" a="1"/>
  <c r="W851" i="2" s="1"/>
  <c r="W852" i="2" a="1"/>
  <c r="W852" i="2"/>
  <c r="W853" i="2" a="1"/>
  <c r="W853" i="2" s="1"/>
  <c r="W854" i="2" a="1"/>
  <c r="W854" i="2"/>
  <c r="W855" i="2" a="1"/>
  <c r="W855" i="2"/>
  <c r="W856" i="2" a="1"/>
  <c r="W856" i="2" s="1"/>
  <c r="W857" i="2" a="1"/>
  <c r="W857" i="2"/>
  <c r="W858" i="2" a="1"/>
  <c r="W858" i="2"/>
  <c r="W859" i="2" a="1"/>
  <c r="W859" i="2"/>
  <c r="W860" i="2" a="1"/>
  <c r="W860" i="2"/>
  <c r="W861" i="2" a="1"/>
  <c r="W861" i="2"/>
  <c r="W862" i="2" a="1"/>
  <c r="W862" i="2"/>
  <c r="W863" i="2" a="1"/>
  <c r="W863" i="2" s="1"/>
  <c r="W864" i="2" a="1"/>
  <c r="W864" i="2"/>
  <c r="W865" i="2" a="1"/>
  <c r="W865" i="2" s="1"/>
  <c r="W866" i="2" a="1"/>
  <c r="W866" i="2" s="1"/>
  <c r="W867" i="2" a="1"/>
  <c r="W867" i="2"/>
  <c r="W868" i="2" a="1"/>
  <c r="W868" i="2"/>
  <c r="W869" i="2" a="1"/>
  <c r="W869" i="2"/>
  <c r="W870" i="2" a="1"/>
  <c r="W870" i="2" s="1"/>
  <c r="W871" i="2" a="1"/>
  <c r="W871" i="2"/>
  <c r="W872" i="2" a="1"/>
  <c r="W872" i="2"/>
  <c r="W873" i="2" a="1"/>
  <c r="W873" i="2" s="1"/>
  <c r="W874" i="2" a="1"/>
  <c r="W874" i="2"/>
  <c r="W875" i="2" a="1"/>
  <c r="W875" i="2"/>
  <c r="W876" i="2" a="1"/>
  <c r="W876" i="2"/>
  <c r="W877" i="2" a="1"/>
  <c r="W877" i="2"/>
  <c r="W878" i="2" a="1"/>
  <c r="W878" i="2" s="1"/>
  <c r="W879" i="2" a="1"/>
  <c r="W879" i="2"/>
  <c r="W880" i="2" a="1"/>
  <c r="W880" i="2"/>
  <c r="W881" i="2" a="1"/>
  <c r="W881" i="2"/>
  <c r="W882" i="2" a="1"/>
  <c r="W882" i="2"/>
  <c r="W883" i="2" a="1"/>
  <c r="W883" i="2" s="1"/>
  <c r="W884" i="2" a="1"/>
  <c r="W884" i="2"/>
  <c r="W885" i="2" a="1"/>
  <c r="W885" i="2"/>
  <c r="W886" i="2" a="1"/>
  <c r="W886" i="2" s="1"/>
  <c r="W887" i="2" a="1"/>
  <c r="W887" i="2"/>
  <c r="W888" i="2" a="1"/>
  <c r="W888" i="2"/>
  <c r="W889" i="2" a="1"/>
  <c r="W889" i="2"/>
  <c r="W890" i="2" a="1"/>
  <c r="W890" i="2"/>
  <c r="W891" i="2" a="1"/>
  <c r="W891" i="2" s="1"/>
  <c r="W892" i="2" a="1"/>
  <c r="W892" i="2"/>
  <c r="W893" i="2" a="1"/>
  <c r="W893" i="2" s="1"/>
  <c r="W894" i="2" a="1"/>
  <c r="W894" i="2"/>
  <c r="W895" i="2" a="1"/>
  <c r="W895" i="2"/>
  <c r="W896" i="2" a="1"/>
  <c r="W896" i="2"/>
  <c r="W897" i="2" a="1"/>
  <c r="W897" i="2"/>
  <c r="W898" i="2" a="1"/>
  <c r="W898" i="2" s="1"/>
  <c r="W899" i="2" a="1"/>
  <c r="W899" i="2" s="1"/>
  <c r="W900" i="2" a="1"/>
  <c r="W900" i="2"/>
  <c r="W901" i="2" a="1"/>
  <c r="W901" i="2"/>
  <c r="W902" i="2" a="1"/>
  <c r="W902" i="2"/>
  <c r="W903" i="2" a="1"/>
  <c r="W903" i="2" s="1"/>
  <c r="W904" i="2" a="1"/>
  <c r="W904" i="2"/>
  <c r="W905" i="2" a="1"/>
  <c r="W905" i="2"/>
  <c r="W906" i="2" a="1"/>
  <c r="W906" i="2"/>
  <c r="W907" i="2" a="1"/>
  <c r="W907" i="2"/>
  <c r="W908" i="2" a="1"/>
  <c r="W908" i="2" s="1"/>
  <c r="W909" i="2" a="1"/>
  <c r="W909" i="2"/>
  <c r="W910" i="2" a="1"/>
  <c r="W910" i="2"/>
  <c r="W911" i="2" a="1"/>
  <c r="W911" i="2"/>
  <c r="W912" i="2" a="1"/>
  <c r="W912" i="2" s="1"/>
  <c r="W913" i="2" a="1"/>
  <c r="W913" i="2" s="1"/>
  <c r="W914" i="2" a="1"/>
  <c r="W914" i="2"/>
  <c r="W915" i="2" a="1"/>
  <c r="W915" i="2"/>
  <c r="W916" i="2" a="1"/>
  <c r="W916" i="2"/>
  <c r="W917" i="2" a="1"/>
  <c r="W917" i="2"/>
  <c r="W918" i="2" a="1"/>
  <c r="W918" i="2"/>
  <c r="W919" i="2" a="1"/>
  <c r="W919" i="2" s="1"/>
  <c r="W920" i="2" a="1"/>
  <c r="W920" i="2" s="1"/>
  <c r="W921" i="2" a="1"/>
  <c r="W921" i="2"/>
  <c r="W922" i="2" a="1"/>
  <c r="W922" i="2"/>
  <c r="W923" i="2" a="1"/>
  <c r="W923" i="2" s="1"/>
  <c r="W924" i="2" a="1"/>
  <c r="W924" i="2"/>
  <c r="W925" i="2" a="1"/>
  <c r="W925" i="2"/>
  <c r="W926" i="2" a="1"/>
  <c r="W926" i="2"/>
  <c r="W927" i="2" a="1"/>
  <c r="W927" i="2"/>
  <c r="W928" i="2" a="1"/>
  <c r="W928" i="2" s="1"/>
  <c r="W929" i="2" a="1"/>
  <c r="W929" i="2" s="1"/>
  <c r="W930" i="2" a="1"/>
  <c r="W930" i="2"/>
  <c r="W931" i="2" a="1"/>
  <c r="W931" i="2"/>
  <c r="W932" i="2" a="1"/>
  <c r="W932" i="2"/>
  <c r="W933" i="2" a="1"/>
  <c r="W933" i="2" s="1"/>
  <c r="W934" i="2" a="1"/>
  <c r="W934" i="2"/>
  <c r="W935" i="2" a="1"/>
  <c r="W935" i="2"/>
  <c r="W936" i="2" a="1"/>
  <c r="W936" i="2"/>
  <c r="W937" i="2" a="1"/>
  <c r="W937" i="2"/>
  <c r="W938" i="2" a="1"/>
  <c r="W938" i="2"/>
  <c r="W939" i="2" a="1"/>
  <c r="W939" i="2"/>
  <c r="W940" i="2" a="1"/>
  <c r="W940" i="2" s="1"/>
  <c r="W941" i="2" a="1"/>
  <c r="W941" i="2" s="1"/>
  <c r="W942" i="2" a="1"/>
  <c r="W942" i="2"/>
  <c r="W943" i="2" a="1"/>
  <c r="W943" i="2" s="1"/>
  <c r="W944" i="2" a="1"/>
  <c r="W944" i="2"/>
  <c r="W945" i="2" a="1"/>
  <c r="W945" i="2"/>
  <c r="W946" i="2" a="1"/>
  <c r="W946" i="2"/>
  <c r="W947" i="2" a="1"/>
  <c r="W947" i="2"/>
  <c r="W948" i="2" a="1"/>
  <c r="W948" i="2"/>
  <c r="W949" i="2" a="1"/>
  <c r="W949" i="2" s="1"/>
  <c r="W950" i="2" a="1"/>
  <c r="W950" i="2" s="1"/>
  <c r="W951" i="2" a="1"/>
  <c r="W951" i="2"/>
  <c r="W952" i="2" a="1"/>
  <c r="W952" i="2"/>
  <c r="W953" i="2" a="1"/>
  <c r="W953" i="2" s="1"/>
  <c r="W954" i="2" a="1"/>
  <c r="W954" i="2"/>
  <c r="W955" i="2" a="1"/>
  <c r="W955" i="2"/>
  <c r="W956" i="2" a="1"/>
  <c r="W956" i="2"/>
  <c r="W957" i="2" a="1"/>
  <c r="W957" i="2"/>
  <c r="W958" i="2" a="1"/>
  <c r="W958" i="2"/>
  <c r="W959" i="2" a="1"/>
  <c r="W959" i="2"/>
  <c r="W960" i="2" a="1"/>
  <c r="W960" i="2"/>
  <c r="W961" i="2" a="1"/>
  <c r="W961" i="2" s="1"/>
  <c r="W962" i="2" a="1"/>
  <c r="W962" i="2" s="1"/>
  <c r="W963" i="2" a="1"/>
  <c r="W963" i="2" s="1"/>
  <c r="W964" i="2" a="1"/>
  <c r="W964" i="2"/>
  <c r="W965" i="2" a="1"/>
  <c r="W965" i="2" s="1"/>
  <c r="W966" i="2" a="1"/>
  <c r="W966" i="2"/>
  <c r="W967" i="2" a="1"/>
  <c r="W967" i="2"/>
  <c r="W968" i="2" a="1"/>
  <c r="W968" i="2"/>
  <c r="W969" i="2" a="1"/>
  <c r="W969" i="2"/>
  <c r="W970" i="2" a="1"/>
  <c r="W970" i="2" s="1"/>
  <c r="W971" i="2" a="1"/>
  <c r="W971" i="2" s="1"/>
  <c r="W972" i="2" a="1"/>
  <c r="W972" i="2"/>
  <c r="W973" i="2" a="1"/>
  <c r="W973" i="2" s="1"/>
  <c r="W974" i="2" a="1"/>
  <c r="W974" i="2"/>
  <c r="W975" i="2" a="1"/>
  <c r="W975" i="2"/>
  <c r="W976" i="2" a="1"/>
  <c r="W976" i="2"/>
  <c r="W977" i="2" a="1"/>
  <c r="W977" i="2"/>
  <c r="W978" i="2" a="1"/>
  <c r="W978" i="2"/>
  <c r="W979" i="2" a="1"/>
  <c r="W979" i="2"/>
  <c r="W980" i="2" a="1"/>
  <c r="W980" i="2"/>
  <c r="W981" i="2" a="1"/>
  <c r="W981" i="2"/>
  <c r="W982" i="2" a="1"/>
  <c r="W982" i="2" s="1"/>
  <c r="W983" i="2" a="1"/>
  <c r="W983" i="2" s="1"/>
  <c r="W984" i="2" a="1"/>
  <c r="W984" i="2"/>
  <c r="W985" i="2" a="1"/>
  <c r="W985" i="2"/>
  <c r="W986" i="2" a="1"/>
  <c r="W986" i="2" s="1"/>
  <c r="W987" i="2" a="1"/>
  <c r="W987" i="2"/>
  <c r="W988" i="2" a="1"/>
  <c r="W988" i="2"/>
  <c r="W989" i="2" a="1"/>
  <c r="W989" i="2"/>
  <c r="W990" i="2" a="1"/>
  <c r="W990" i="2"/>
  <c r="W991" i="2" a="1"/>
  <c r="W991" i="2" s="1"/>
  <c r="W992" i="2" a="1"/>
  <c r="W992" i="2" s="1"/>
  <c r="W993" i="2" a="1"/>
  <c r="W993" i="2" s="1"/>
  <c r="W994" i="2" a="1"/>
  <c r="W994" i="2"/>
  <c r="W995" i="2" a="1"/>
  <c r="W995" i="2"/>
  <c r="W996" i="2" a="1"/>
  <c r="W996" i="2"/>
  <c r="W997" i="2" a="1"/>
  <c r="W997" i="2"/>
  <c r="W998" i="2" a="1"/>
  <c r="W998" i="2"/>
  <c r="W999" i="2" a="1"/>
  <c r="W999" i="2"/>
  <c r="W1000" i="2" a="1"/>
  <c r="W1000" i="2"/>
  <c r="W1001" i="2" a="1"/>
  <c r="W1001" i="2"/>
  <c r="W1002" i="2" a="1"/>
  <c r="W1002" i="2"/>
  <c r="W1003" i="2" a="1"/>
  <c r="W1003" i="2" s="1"/>
  <c r="W1004" i="2" a="1"/>
  <c r="W1004" i="2"/>
  <c r="W1005" i="2" a="1"/>
  <c r="W1005" i="2"/>
  <c r="W1006" i="2" a="1"/>
  <c r="W1006" i="2"/>
  <c r="W1007" i="2" a="1"/>
  <c r="W1007" i="2"/>
  <c r="W1008" i="2" a="1"/>
  <c r="W1008" i="2"/>
  <c r="W1009" i="2" a="1"/>
  <c r="W1009" i="2"/>
  <c r="W1010" i="2" a="1"/>
  <c r="W1010" i="2"/>
  <c r="W1011" i="2" a="1"/>
  <c r="W1011" i="2"/>
  <c r="W1012" i="2" a="1"/>
  <c r="W1012" i="2" s="1"/>
  <c r="W1013" i="2" a="1"/>
  <c r="W1013" i="2" s="1"/>
  <c r="W1014" i="2" a="1"/>
  <c r="W1014" i="2" s="1"/>
  <c r="W1015" i="2" a="1"/>
  <c r="W1015" i="2" s="1"/>
  <c r="W1016" i="2" a="1"/>
  <c r="W1016" i="2"/>
  <c r="W1017" i="2" a="1"/>
  <c r="W1017" i="2"/>
  <c r="W1018" i="2" a="1"/>
  <c r="W1018" i="2"/>
  <c r="W1019" i="2" a="1"/>
  <c r="W1019" i="2"/>
  <c r="W1020" i="2" a="1"/>
  <c r="W1020" i="2"/>
  <c r="W1021" i="2" a="1"/>
  <c r="W1021" i="2"/>
  <c r="W1022" i="2" a="1"/>
  <c r="W1022" i="2"/>
  <c r="W1023" i="2" a="1"/>
  <c r="W1023" i="2" s="1"/>
  <c r="W1024" i="2" a="1"/>
  <c r="W1024" i="2" s="1"/>
  <c r="W1025" i="2" a="1"/>
  <c r="W1025" i="2"/>
  <c r="W1026" i="2" a="1"/>
  <c r="W1026" i="2"/>
  <c r="W1027" i="2" a="1"/>
  <c r="W1027" i="2"/>
  <c r="W1028" i="2" a="1"/>
  <c r="W1028" i="2" s="1"/>
  <c r="W1029" i="2" a="1"/>
  <c r="W1029" i="2"/>
  <c r="W1030" i="2" a="1"/>
  <c r="W1030" i="2"/>
  <c r="W1031" i="2" a="1"/>
  <c r="W1031" i="2"/>
  <c r="W1032" i="2" a="1"/>
  <c r="W1032" i="2"/>
  <c r="W1033" i="2" a="1"/>
  <c r="W1033" i="2" s="1"/>
  <c r="W1034" i="2" a="1"/>
  <c r="W1034" i="2"/>
  <c r="W1035" i="2" a="1"/>
  <c r="W1035" i="2" s="1"/>
  <c r="W1036" i="2" a="1"/>
  <c r="W1036" i="2" s="1"/>
  <c r="W1037" i="2" a="1"/>
  <c r="W1037" i="2"/>
  <c r="W1038" i="2" a="1"/>
  <c r="W1038" i="2"/>
  <c r="W1039" i="2" a="1"/>
  <c r="W1039" i="2"/>
  <c r="W1040" i="2" a="1"/>
  <c r="W1040" i="2"/>
  <c r="W1041" i="2" a="1"/>
  <c r="W1041" i="2"/>
  <c r="W1042" i="2" a="1"/>
  <c r="W1042" i="2"/>
  <c r="W1043" i="2" a="1"/>
  <c r="W1043" i="2" s="1"/>
  <c r="W1044" i="2" a="1"/>
  <c r="W1044" i="2" s="1"/>
  <c r="W1045" i="2" a="1"/>
  <c r="W1045" i="2" s="1"/>
  <c r="W1046" i="2" a="1"/>
  <c r="W1046" i="2"/>
  <c r="W1047" i="2" a="1"/>
  <c r="W1047" i="2"/>
  <c r="W1048" i="2" a="1"/>
  <c r="W1048" i="2"/>
  <c r="W1049" i="2" a="1"/>
  <c r="W1049" i="2" s="1"/>
  <c r="W1050" i="2" a="1"/>
  <c r="W1050" i="2"/>
  <c r="W1051" i="2" a="1"/>
  <c r="W1051" i="2"/>
  <c r="W1052" i="2" a="1"/>
  <c r="W1052" i="2"/>
  <c r="W1053" i="2" a="1"/>
  <c r="W1053" i="2" s="1"/>
  <c r="W1054" i="2" a="1"/>
  <c r="W1054" i="2"/>
  <c r="W1055" i="2" a="1"/>
  <c r="W1055" i="2"/>
  <c r="W1056" i="2" a="1"/>
  <c r="W1056" i="2" s="1"/>
  <c r="W1057" i="2" a="1"/>
  <c r="W1057" i="2"/>
  <c r="W1058" i="2" a="1"/>
  <c r="W1058" i="2"/>
  <c r="W1059" i="2" a="1"/>
  <c r="W1059" i="2"/>
  <c r="W1060" i="2" a="1"/>
  <c r="W1060" i="2"/>
  <c r="W1061" i="2" a="1"/>
  <c r="W1061" i="2"/>
  <c r="W1062" i="2" a="1"/>
  <c r="W1062" i="2"/>
  <c r="W1063" i="2" a="1"/>
  <c r="W1063" i="2" s="1"/>
  <c r="W1064" i="2" a="1"/>
  <c r="W1064" i="2"/>
  <c r="W1065" i="2" a="1"/>
  <c r="W1065" i="2" s="1"/>
  <c r="W1066" i="2" a="1"/>
  <c r="W1066" i="2" s="1"/>
  <c r="W1067" i="2" a="1"/>
  <c r="W1067" i="2"/>
  <c r="W1068" i="2" a="1"/>
  <c r="W1068" i="2"/>
  <c r="W1069" i="2" a="1"/>
  <c r="W1069" i="2"/>
  <c r="W1070" i="2" a="1"/>
  <c r="W1070" i="2" s="1"/>
  <c r="W1071" i="2" a="1"/>
  <c r="W1071" i="2"/>
  <c r="W1072" i="2" a="1"/>
  <c r="W1072" i="2"/>
  <c r="W1073" i="2" a="1"/>
  <c r="W1073" i="2" s="1"/>
  <c r="W1074" i="2" a="1"/>
  <c r="W1074" i="2"/>
  <c r="W1075" i="2" a="1"/>
  <c r="W1075" i="2"/>
  <c r="W1076" i="2" a="1"/>
  <c r="W1076" i="2"/>
  <c r="W1077" i="2" a="1"/>
  <c r="W1077" i="2" s="1"/>
  <c r="W1078" i="2" a="1"/>
  <c r="W1078" i="2" s="1"/>
  <c r="W1079" i="2" a="1"/>
  <c r="W1079" i="2"/>
  <c r="W1080" i="2" a="1"/>
  <c r="W1080" i="2"/>
  <c r="W1081" i="2" a="1"/>
  <c r="W1081" i="2"/>
  <c r="W1082" i="2" a="1"/>
  <c r="W1082" i="2"/>
  <c r="W1083" i="2" a="1"/>
  <c r="W1083" i="2" s="1"/>
  <c r="W1084" i="2" a="1"/>
  <c r="W1084" i="2"/>
  <c r="W1085" i="2" a="1"/>
  <c r="W1085" i="2"/>
  <c r="W1086" i="2" a="1"/>
  <c r="W1086" i="2" s="1"/>
  <c r="W1087" i="2" a="1"/>
  <c r="W1087" i="2" s="1"/>
  <c r="W1088" i="2" a="1"/>
  <c r="W1088" i="2"/>
  <c r="W1089" i="2" a="1"/>
  <c r="W1089" i="2"/>
  <c r="W1090" i="2" a="1"/>
  <c r="W1090" i="2"/>
  <c r="W1091" i="2" a="1"/>
  <c r="W1091" i="2" s="1"/>
  <c r="W1092" i="2" a="1"/>
  <c r="W1092" i="2"/>
  <c r="W1093" i="2" a="1"/>
  <c r="W1093" i="2"/>
  <c r="W1094" i="2" a="1"/>
  <c r="W1094" i="2"/>
  <c r="W1095" i="2" a="1"/>
  <c r="W1095" i="2"/>
  <c r="W1096" i="2" a="1"/>
  <c r="W1096" i="2" s="1"/>
  <c r="W1097" i="2" a="1"/>
  <c r="W1097" i="2" s="1"/>
  <c r="W1098" i="2" a="1"/>
  <c r="W1098" i="2"/>
  <c r="W1099" i="2" a="1"/>
  <c r="W1099" i="2"/>
  <c r="W1100" i="2" a="1"/>
  <c r="W1100" i="2"/>
  <c r="W1101" i="2" a="1"/>
  <c r="W1101" i="2" s="1"/>
  <c r="W1102" i="2" a="1"/>
  <c r="W1102" i="2"/>
  <c r="W1103" i="2" a="1"/>
  <c r="W1103" i="2"/>
  <c r="W1104" i="2" a="1"/>
  <c r="W1104" i="2"/>
  <c r="W1105" i="2" a="1"/>
  <c r="W1105" i="2"/>
  <c r="W1106" i="2" a="1"/>
  <c r="W1106" i="2" s="1"/>
  <c r="W1107" i="2" a="1"/>
  <c r="W1107" i="2" s="1"/>
  <c r="W1108" i="2" a="1"/>
  <c r="W1108" i="2"/>
  <c r="W1109" i="2" a="1"/>
  <c r="W1109" i="2"/>
  <c r="W1110" i="2" a="1"/>
  <c r="W1110" i="2"/>
  <c r="W1111" i="2" a="1"/>
  <c r="W1111" i="2" s="1"/>
  <c r="W1112" i="2" a="1"/>
  <c r="W1112" i="2"/>
  <c r="W1113" i="2" a="1"/>
  <c r="W1113" i="2"/>
  <c r="W1114" i="2" a="1"/>
  <c r="W1114" i="2"/>
  <c r="W1115" i="2" a="1"/>
  <c r="W1115" i="2"/>
  <c r="W1116" i="2" a="1"/>
  <c r="W1116" i="2" s="1"/>
  <c r="W1117" i="2" a="1"/>
  <c r="W1117" i="2" s="1"/>
  <c r="W1118" i="2" a="1"/>
  <c r="W1118" i="2"/>
  <c r="W1119" i="2" a="1"/>
  <c r="W1119" i="2"/>
  <c r="W1120" i="2" a="1"/>
  <c r="W1120" i="2"/>
  <c r="W1121" i="2" a="1"/>
  <c r="W1121" i="2" s="1"/>
  <c r="W1122" i="2" a="1"/>
  <c r="W1122" i="2"/>
  <c r="W1123" i="2" a="1"/>
  <c r="W1123" i="2"/>
  <c r="W1124" i="2" a="1"/>
  <c r="W1124" i="2"/>
  <c r="W1125" i="2" a="1"/>
  <c r="W1125" i="2"/>
  <c r="W1126" i="2" a="1"/>
  <c r="W1126" i="2" s="1"/>
  <c r="W1127" i="2" a="1"/>
  <c r="W1127" i="2" s="1"/>
  <c r="W1128" i="2" a="1"/>
  <c r="W1128" i="2"/>
  <c r="W1129" i="2" a="1"/>
  <c r="W1129" i="2"/>
  <c r="W1130" i="2" a="1"/>
  <c r="W1130" i="2"/>
  <c r="W1131" i="2" a="1"/>
  <c r="W1131" i="2" s="1"/>
  <c r="W1132" i="2" a="1"/>
  <c r="W1132" i="2"/>
  <c r="W1133" i="2" a="1"/>
  <c r="W1133" i="2"/>
  <c r="W1134" i="2" a="1"/>
  <c r="W1134" i="2"/>
  <c r="W1135" i="2" a="1"/>
  <c r="W1135" i="2"/>
  <c r="W1136" i="2" a="1"/>
  <c r="W1136" i="2" s="1"/>
  <c r="W1137" i="2" a="1"/>
  <c r="W1137" i="2" s="1"/>
  <c r="W1138" i="2" a="1"/>
  <c r="W1138" i="2"/>
  <c r="W1139" i="2" a="1"/>
  <c r="W1139" i="2"/>
  <c r="W1140" i="2" a="1"/>
  <c r="W1140" i="2"/>
  <c r="W1141" i="2" a="1"/>
  <c r="W1141" i="2" s="1"/>
  <c r="W1142" i="2" a="1"/>
  <c r="W1142" i="2"/>
  <c r="W1143" i="2" a="1"/>
  <c r="W1143" i="2"/>
  <c r="W1144" i="2" a="1"/>
  <c r="W1144" i="2"/>
  <c r="W1145" i="2" a="1"/>
  <c r="W1145" i="2"/>
  <c r="W1146" i="2" a="1"/>
  <c r="W1146" i="2" s="1"/>
  <c r="W1147" i="2" a="1"/>
  <c r="W1147" i="2" s="1"/>
  <c r="W1148" i="2" a="1"/>
  <c r="W1148" i="2"/>
  <c r="W1149" i="2" a="1"/>
  <c r="W1149" i="2"/>
  <c r="W1150" i="2" a="1"/>
  <c r="W1150" i="2"/>
  <c r="W1151" i="2" a="1"/>
  <c r="W1151" i="2" s="1"/>
  <c r="W1152" i="2" a="1"/>
  <c r="W1152" i="2"/>
  <c r="W1153" i="2" a="1"/>
  <c r="W1153" i="2"/>
  <c r="W1154" i="2" a="1"/>
  <c r="W1154" i="2"/>
  <c r="W1155" i="2" a="1"/>
  <c r="W1155" i="2"/>
  <c r="W1156" i="2" a="1"/>
  <c r="W1156" i="2" s="1"/>
  <c r="W1157" i="2" a="1"/>
  <c r="W1157" i="2" s="1"/>
  <c r="W1158" i="2" a="1"/>
  <c r="W1158" i="2"/>
  <c r="W1159" i="2" a="1"/>
  <c r="W1159" i="2"/>
  <c r="W1160" i="2" a="1"/>
  <c r="W1160" i="2"/>
  <c r="W1161" i="2" a="1"/>
  <c r="W1161" i="2" s="1"/>
  <c r="W1162" i="2" a="1"/>
  <c r="W1162" i="2"/>
  <c r="W1163" i="2" a="1"/>
  <c r="W1163" i="2"/>
  <c r="W1164" i="2" a="1"/>
  <c r="W1164" i="2"/>
  <c r="W1165" i="2" a="1"/>
  <c r="W1165" i="2"/>
  <c r="W1166" i="2" a="1"/>
  <c r="W1166" i="2" s="1"/>
  <c r="W1167" i="2" a="1"/>
  <c r="W1167" i="2" s="1"/>
  <c r="W1168" i="2" a="1"/>
  <c r="W1168" i="2"/>
  <c r="W1169" i="2" a="1"/>
  <c r="W1169" i="2"/>
  <c r="W1170" i="2" a="1"/>
  <c r="W1170" i="2"/>
  <c r="W1171" i="2" a="1"/>
  <c r="W1171" i="2" s="1"/>
  <c r="W1172" i="2" a="1"/>
  <c r="W1172" i="2"/>
  <c r="W1173" i="2" a="1"/>
  <c r="W1173" i="2"/>
  <c r="W1174" i="2" a="1"/>
  <c r="W1174" i="2"/>
  <c r="W1175" i="2" a="1"/>
  <c r="W1175" i="2"/>
  <c r="W1176" i="2" a="1"/>
  <c r="W1176" i="2" s="1"/>
  <c r="W1177" i="2" a="1"/>
  <c r="W1177" i="2" s="1"/>
  <c r="W1178" i="2" a="1"/>
  <c r="W1178" i="2"/>
  <c r="W1179" i="2" a="1"/>
  <c r="W1179" i="2"/>
  <c r="W1180" i="2" a="1"/>
  <c r="W1180" i="2"/>
  <c r="W1181" i="2" a="1"/>
  <c r="W1181" i="2" s="1"/>
  <c r="W1182" i="2" a="1"/>
  <c r="W1182" i="2"/>
  <c r="W1183" i="2" a="1"/>
  <c r="W1183" i="2"/>
  <c r="W1184" i="2" a="1"/>
  <c r="W1184" i="2"/>
  <c r="W1185" i="2" a="1"/>
  <c r="W1185" i="2"/>
  <c r="W1186" i="2" a="1"/>
  <c r="W1186" i="2" s="1"/>
  <c r="W1187" i="2" a="1"/>
  <c r="W1187" i="2" s="1"/>
  <c r="W1188" i="2" a="1"/>
  <c r="W1188" i="2"/>
  <c r="W1189" i="2" a="1"/>
  <c r="W1189" i="2"/>
  <c r="W1190" i="2" a="1"/>
  <c r="W1190" i="2"/>
  <c r="W1191" i="2" a="1"/>
  <c r="W1191" i="2" s="1"/>
  <c r="W1192" i="2" a="1"/>
  <c r="W1192" i="2"/>
  <c r="W1193" i="2" a="1"/>
  <c r="W1193" i="2"/>
  <c r="W1194" i="2" a="1"/>
  <c r="W1194" i="2"/>
  <c r="W1195" i="2" a="1"/>
  <c r="W1195" i="2"/>
  <c r="W1196" i="2" a="1"/>
  <c r="W1196" i="2" s="1"/>
  <c r="W1197" i="2" a="1"/>
  <c r="W1197" i="2" s="1"/>
  <c r="W1198" i="2" a="1"/>
  <c r="W1198" i="2"/>
  <c r="W1199" i="2" a="1"/>
  <c r="W1199" i="2"/>
  <c r="W1200" i="2" a="1"/>
  <c r="W1200" i="2"/>
  <c r="W1201" i="2" a="1"/>
  <c r="W1201" i="2" s="1"/>
  <c r="W1202" i="2" a="1"/>
  <c r="W1202" i="2"/>
  <c r="W1203" i="2" a="1"/>
  <c r="W1203" i="2"/>
  <c r="W1204" i="2" a="1"/>
  <c r="W1204" i="2"/>
  <c r="W1205" i="2" a="1"/>
  <c r="W1205" i="2"/>
  <c r="W1206" i="2" a="1"/>
  <c r="W1206" i="2" s="1"/>
  <c r="W1207" i="2" a="1"/>
  <c r="W1207" i="2" s="1"/>
  <c r="W1208" i="2" a="1"/>
  <c r="W1208" i="2"/>
  <c r="W1209" i="2" a="1"/>
  <c r="W1209" i="2"/>
  <c r="W1210" i="2" a="1"/>
  <c r="W1210" i="2"/>
  <c r="W1211" i="2" a="1"/>
  <c r="W1211" i="2" s="1"/>
  <c r="W1212" i="2" a="1"/>
  <c r="W1212" i="2"/>
  <c r="W1213" i="2" a="1"/>
  <c r="W1213" i="2"/>
  <c r="W1214" i="2" a="1"/>
  <c r="W1214" i="2"/>
  <c r="W1215" i="2" a="1"/>
  <c r="W1215" i="2"/>
  <c r="W1216" i="2" a="1"/>
  <c r="W1216" i="2" s="1"/>
  <c r="W1217" i="2" a="1"/>
  <c r="W1217" i="2" s="1"/>
  <c r="W1218" i="2" a="1"/>
  <c r="W1218" i="2"/>
  <c r="W1219" i="2" a="1"/>
  <c r="W1219" i="2"/>
  <c r="W1220" i="2" a="1"/>
  <c r="W1220" i="2"/>
  <c r="W1221" i="2" a="1"/>
  <c r="W1221" i="2" s="1"/>
  <c r="W1222" i="2" a="1"/>
  <c r="W1222" i="2"/>
  <c r="W1223" i="2" a="1"/>
  <c r="W1223" i="2"/>
  <c r="W1224" i="2" a="1"/>
  <c r="W1224" i="2"/>
  <c r="W1225" i="2" a="1"/>
  <c r="W1225" i="2"/>
  <c r="W1226" i="2" a="1"/>
  <c r="W1226" i="2" s="1"/>
  <c r="W1227" i="2" a="1"/>
  <c r="W1227" i="2" s="1"/>
  <c r="W1228" i="2" a="1"/>
  <c r="W1228" i="2"/>
  <c r="W1229" i="2" a="1"/>
  <c r="W1229" i="2"/>
  <c r="W1230" i="2" a="1"/>
  <c r="W1230" i="2"/>
  <c r="W1231" i="2" a="1"/>
  <c r="W1231" i="2" s="1"/>
  <c r="W1232" i="2" a="1"/>
  <c r="W1232" i="2"/>
  <c r="W1233" i="2" a="1"/>
  <c r="W1233" i="2"/>
  <c r="W1234" i="2" a="1"/>
  <c r="W1234" i="2"/>
  <c r="W1235" i="2" a="1"/>
  <c r="W1235" i="2"/>
  <c r="W1236" i="2" a="1"/>
  <c r="W1236" i="2" s="1"/>
  <c r="W1237" i="2" a="1"/>
  <c r="W1237" i="2" s="1"/>
  <c r="W1238" i="2" a="1"/>
  <c r="W1238" i="2"/>
  <c r="W1239" i="2" a="1"/>
  <c r="W1239" i="2"/>
  <c r="W1240" i="2" a="1"/>
  <c r="W1240" i="2"/>
  <c r="W1241" i="2" a="1"/>
  <c r="W1241" i="2" s="1"/>
  <c r="W1242" i="2" a="1"/>
  <c r="W1242" i="2"/>
  <c r="W1243" i="2" a="1"/>
  <c r="W1243" i="2"/>
  <c r="W1244" i="2" a="1"/>
  <c r="W1244" i="2"/>
  <c r="W1245" i="2" a="1"/>
  <c r="W1245" i="2"/>
  <c r="W1246" i="2" a="1"/>
  <c r="W1246" i="2" s="1"/>
  <c r="W1247" i="2" a="1"/>
  <c r="W1247" i="2" s="1"/>
  <c r="W1248" i="2" a="1"/>
  <c r="W1248" i="2"/>
  <c r="W1249" i="2" a="1"/>
  <c r="W1249" i="2"/>
  <c r="W1250" i="2" a="1"/>
  <c r="W1250" i="2"/>
  <c r="W1251" i="2" a="1"/>
  <c r="W1251" i="2" s="1"/>
  <c r="W1252" i="2" a="1"/>
  <c r="W1252" i="2"/>
  <c r="W1253" i="2" a="1"/>
  <c r="W1253" i="2"/>
  <c r="W1254" i="2" a="1"/>
  <c r="W1254" i="2"/>
  <c r="W1255" i="2" a="1"/>
  <c r="W1255" i="2"/>
  <c r="W1256" i="2" a="1"/>
  <c r="W1256" i="2" s="1"/>
  <c r="W1257" i="2" a="1"/>
  <c r="W1257" i="2" s="1"/>
  <c r="W1258" i="2" a="1"/>
  <c r="W1258" i="2"/>
  <c r="W1259" i="2" a="1"/>
  <c r="W1259" i="2"/>
  <c r="W1260" i="2" a="1"/>
  <c r="W1260" i="2"/>
  <c r="W1261" i="2" a="1"/>
  <c r="W1261" i="2" s="1"/>
  <c r="W1262" i="2" a="1"/>
  <c r="W1262" i="2"/>
  <c r="W1263" i="2" a="1"/>
  <c r="W1263" i="2"/>
  <c r="W1264" i="2" a="1"/>
  <c r="W1264" i="2"/>
  <c r="W1265" i="2" a="1"/>
  <c r="W1265" i="2"/>
  <c r="W1266" i="2" a="1"/>
  <c r="W1266" i="2" s="1"/>
  <c r="W1267" i="2" a="1"/>
  <c r="W1267" i="2" s="1"/>
  <c r="W1268" i="2" a="1"/>
  <c r="W1268" i="2"/>
  <c r="W1269" i="2" a="1"/>
  <c r="W1269" i="2"/>
  <c r="W1270" i="2" a="1"/>
  <c r="W1270" i="2"/>
  <c r="W1271" i="2" a="1"/>
  <c r="W1271" i="2" s="1"/>
  <c r="W1272" i="2" a="1"/>
  <c r="W1272" i="2"/>
  <c r="W1273" i="2" a="1"/>
  <c r="W1273" i="2"/>
  <c r="W1274" i="2" a="1"/>
  <c r="W1274" i="2"/>
  <c r="W1275" i="2" a="1"/>
  <c r="W1275" i="2"/>
  <c r="W1276" i="2" a="1"/>
  <c r="W1276" i="2" s="1"/>
  <c r="W1277" i="2" a="1"/>
  <c r="W1277" i="2" s="1"/>
  <c r="W1278" i="2" a="1"/>
  <c r="W1278" i="2"/>
  <c r="W1279" i="2" a="1"/>
  <c r="W1279" i="2"/>
  <c r="W1280" i="2" a="1"/>
  <c r="W1280" i="2"/>
  <c r="W1281" i="2" a="1"/>
  <c r="W1281" i="2" s="1"/>
  <c r="W1282" i="2" a="1"/>
  <c r="W1282" i="2"/>
  <c r="U3" i="2" a="1"/>
  <c r="U3" i="2" s="1"/>
  <c r="U4" i="2" a="1"/>
  <c r="U4" i="2" s="1"/>
  <c r="U5" i="2" a="1"/>
  <c r="U5" i="2" s="1"/>
  <c r="U6" i="2" a="1"/>
  <c r="U6" i="2"/>
  <c r="U7" i="2" a="1"/>
  <c r="U7" i="2"/>
  <c r="U8" i="2" a="1"/>
  <c r="U8" i="2"/>
  <c r="U9" i="2" a="1"/>
  <c r="U9" i="2"/>
  <c r="U10" i="2" a="1"/>
  <c r="U10" i="2"/>
  <c r="U11" i="2" a="1"/>
  <c r="U11" i="2" s="1"/>
  <c r="U12" i="2" a="1"/>
  <c r="U12" i="2" s="1"/>
  <c r="U13" i="2" a="1"/>
  <c r="U13" i="2"/>
  <c r="U14" i="2" a="1"/>
  <c r="U14" i="2" s="1"/>
  <c r="U15" i="2" a="1"/>
  <c r="U15" i="2" s="1"/>
  <c r="U16" i="2" a="1"/>
  <c r="U16" i="2" s="1"/>
  <c r="U17" i="2" a="1"/>
  <c r="U17" i="2"/>
  <c r="U18" i="2" a="1"/>
  <c r="U18" i="2"/>
  <c r="U19" i="2" a="1"/>
  <c r="U19" i="2"/>
  <c r="U20" i="2" a="1"/>
  <c r="U20" i="2"/>
  <c r="U21" i="2" a="1"/>
  <c r="U21" i="2" s="1"/>
  <c r="U22" i="2" a="1"/>
  <c r="U22" i="2" s="1"/>
  <c r="U23" i="2" a="1"/>
  <c r="U23" i="2" s="1"/>
  <c r="U24" i="2" a="1"/>
  <c r="U24" i="2"/>
  <c r="U25" i="2" a="1"/>
  <c r="U25" i="2" s="1"/>
  <c r="U26" i="2" a="1"/>
  <c r="U26" i="2" s="1"/>
  <c r="U27" i="2" a="1"/>
  <c r="U27" i="2" s="1"/>
  <c r="U28" i="2" a="1"/>
  <c r="U28" i="2"/>
  <c r="U29" i="2" a="1"/>
  <c r="U29" i="2"/>
  <c r="U30" i="2" a="1"/>
  <c r="U30" i="2"/>
  <c r="U31" i="2" a="1"/>
  <c r="U31" i="2" s="1"/>
  <c r="U32" i="2" a="1"/>
  <c r="U32" i="2" s="1"/>
  <c r="U33" i="2" a="1"/>
  <c r="U33" i="2"/>
  <c r="U34" i="2" a="1"/>
  <c r="U34" i="2" s="1"/>
  <c r="U35" i="2" a="1"/>
  <c r="U35" i="2"/>
  <c r="U36" i="2" a="1"/>
  <c r="U36" i="2" s="1"/>
  <c r="U37" i="2" a="1"/>
  <c r="U37" i="2" s="1"/>
  <c r="U38" i="2" a="1"/>
  <c r="U38" i="2" s="1"/>
  <c r="U39" i="2" a="1"/>
  <c r="U39" i="2"/>
  <c r="U40" i="2" a="1"/>
  <c r="U40" i="2"/>
  <c r="U41" i="2" a="1"/>
  <c r="U41" i="2" s="1"/>
  <c r="U42" i="2" a="1"/>
  <c r="U42" i="2" s="1"/>
  <c r="U43" i="2" a="1"/>
  <c r="U43" i="2"/>
  <c r="U44" i="2" a="1"/>
  <c r="U44" i="2"/>
  <c r="U45" i="2" a="1"/>
  <c r="U45" i="2" s="1"/>
  <c r="U46" i="2" a="1"/>
  <c r="U46" i="2"/>
  <c r="U47" i="2" a="1"/>
  <c r="U47" i="2" s="1"/>
  <c r="U48" i="2" a="1"/>
  <c r="U48" i="2" s="1"/>
  <c r="U49" i="2" a="1"/>
  <c r="U49" i="2" s="1"/>
  <c r="U50" i="2" a="1"/>
  <c r="U50" i="2"/>
  <c r="U51" i="2" a="1"/>
  <c r="U51" i="2" s="1"/>
  <c r="U52" i="2" a="1"/>
  <c r="U52" i="2" s="1"/>
  <c r="U53" i="2" a="1"/>
  <c r="U53" i="2"/>
  <c r="U54" i="2" a="1"/>
  <c r="U54" i="2"/>
  <c r="U55" i="2" a="1"/>
  <c r="U55" i="2"/>
  <c r="U56" i="2" a="1"/>
  <c r="U56" i="2" s="1"/>
  <c r="U57" i="2" a="1"/>
  <c r="U57" i="2"/>
  <c r="U58" i="2" a="1"/>
  <c r="U58" i="2" s="1"/>
  <c r="U59" i="2" a="1"/>
  <c r="U59" i="2" s="1"/>
  <c r="U60" i="2" a="1"/>
  <c r="U60" i="2" s="1"/>
  <c r="U61" i="2" a="1"/>
  <c r="U61" i="2" s="1"/>
  <c r="U62" i="2" a="1"/>
  <c r="U62" i="2" s="1"/>
  <c r="U63" i="2" a="1"/>
  <c r="U63" i="2"/>
  <c r="U64" i="2" a="1"/>
  <c r="U64" i="2"/>
  <c r="U65" i="2" a="1"/>
  <c r="U65" i="2"/>
  <c r="U66" i="2" a="1"/>
  <c r="U66" i="2"/>
  <c r="U67" i="2" a="1"/>
  <c r="U67" i="2" s="1"/>
  <c r="U68" i="2" a="1"/>
  <c r="U68" i="2"/>
  <c r="U69" i="2" a="1"/>
  <c r="U69" i="2" s="1"/>
  <c r="U70" i="2" a="1"/>
  <c r="U70" i="2" s="1"/>
  <c r="U71" i="2" a="1"/>
  <c r="U71" i="2" s="1"/>
  <c r="U72" i="2" a="1"/>
  <c r="U72" i="2" s="1"/>
  <c r="U73" i="2" a="1"/>
  <c r="U73" i="2"/>
  <c r="U74" i="2" a="1"/>
  <c r="U74" i="2"/>
  <c r="U75" i="2" a="1"/>
  <c r="U75" i="2"/>
  <c r="U76" i="2" a="1"/>
  <c r="U76" i="2"/>
  <c r="U77" i="2" a="1"/>
  <c r="U77" i="2"/>
  <c r="U78" i="2" a="1"/>
  <c r="U78" i="2" s="1"/>
  <c r="U79" i="2" a="1"/>
  <c r="U79" i="2"/>
  <c r="U80" i="2" a="1"/>
  <c r="U80" i="2" s="1"/>
  <c r="U81" i="2" a="1"/>
  <c r="U81" i="2" s="1"/>
  <c r="U82" i="2" a="1"/>
  <c r="U82" i="2" s="1"/>
  <c r="U83" i="2" a="1"/>
  <c r="U83" i="2"/>
  <c r="U84" i="2" a="1"/>
  <c r="U84" i="2"/>
  <c r="U85" i="2" a="1"/>
  <c r="U85" i="2"/>
  <c r="U86" i="2" a="1"/>
  <c r="U86" i="2"/>
  <c r="U87" i="2" a="1"/>
  <c r="U87" i="2"/>
  <c r="U88" i="2" a="1"/>
  <c r="U88" i="2"/>
  <c r="U89" i="2" a="1"/>
  <c r="U89" i="2" s="1"/>
  <c r="U90" i="2" a="1"/>
  <c r="U90" i="2"/>
  <c r="U91" i="2" a="1"/>
  <c r="U91" i="2" s="1"/>
  <c r="U92" i="2" a="1"/>
  <c r="U92" i="2" s="1"/>
  <c r="U93" i="2" a="1"/>
  <c r="U93" i="2" s="1"/>
  <c r="U94" i="2" a="1"/>
  <c r="U94" i="2"/>
  <c r="U95" i="2" a="1"/>
  <c r="U95" i="2"/>
  <c r="U96" i="2" a="1"/>
  <c r="U96" i="2"/>
  <c r="U97" i="2" a="1"/>
  <c r="U97" i="2"/>
  <c r="U98" i="2" a="1"/>
  <c r="U98" i="2"/>
  <c r="U99" i="2" a="1"/>
  <c r="U99" i="2"/>
  <c r="U100" i="2" a="1"/>
  <c r="U100" i="2" s="1"/>
  <c r="U101" i="2" a="1"/>
  <c r="U101" i="2" s="1"/>
  <c r="U102" i="2" a="1"/>
  <c r="U102" i="2" s="1"/>
  <c r="U103" i="2" a="1"/>
  <c r="U103" i="2" s="1"/>
  <c r="U104" i="2" a="1"/>
  <c r="U104" i="2" s="1"/>
  <c r="U105" i="2" a="1"/>
  <c r="U105" i="2"/>
  <c r="U106" i="2" a="1"/>
  <c r="U106" i="2"/>
  <c r="U107" i="2" a="1"/>
  <c r="U107" i="2"/>
  <c r="U108" i="2" a="1"/>
  <c r="U108" i="2"/>
  <c r="U109" i="2" a="1"/>
  <c r="U109" i="2"/>
  <c r="U110" i="2" a="1"/>
  <c r="U110" i="2"/>
  <c r="U111" i="2" a="1"/>
  <c r="U111" i="2" s="1"/>
  <c r="U112" i="2" a="1"/>
  <c r="U112" i="2" s="1"/>
  <c r="U113" i="2" a="1"/>
  <c r="U113" i="2"/>
  <c r="U114" i="2" a="1"/>
  <c r="U114" i="2" s="1"/>
  <c r="U115" i="2" a="1"/>
  <c r="U115" i="2" s="1"/>
  <c r="U116" i="2" a="1"/>
  <c r="U116" i="2"/>
  <c r="U117" i="2" a="1"/>
  <c r="U117" i="2"/>
  <c r="U118" i="2" a="1"/>
  <c r="U118" i="2"/>
  <c r="U119" i="2" a="1"/>
  <c r="U119" i="2"/>
  <c r="U120" i="2" a="1"/>
  <c r="U120" i="2"/>
  <c r="U121" i="2" a="1"/>
  <c r="U121" i="2" s="1"/>
  <c r="U122" i="2" a="1"/>
  <c r="U122" i="2" s="1"/>
  <c r="U123" i="2" a="1"/>
  <c r="U123" i="2" s="1"/>
  <c r="U124" i="2" a="1"/>
  <c r="U124" i="2"/>
  <c r="U125" i="2" a="1"/>
  <c r="U125" i="2" s="1"/>
  <c r="U126" i="2" a="1"/>
  <c r="U126" i="2" s="1"/>
  <c r="U127" i="2" a="1"/>
  <c r="U127" i="2"/>
  <c r="U128" i="2" a="1"/>
  <c r="U128" i="2"/>
  <c r="U129" i="2" a="1"/>
  <c r="U129" i="2"/>
  <c r="U130" i="2" a="1"/>
  <c r="U130" i="2"/>
  <c r="U131" i="2" a="1"/>
  <c r="U131" i="2" s="1"/>
  <c r="U132" i="2" a="1"/>
  <c r="U132" i="2" s="1"/>
  <c r="U133" i="2" a="1"/>
  <c r="U133" i="2"/>
  <c r="U134" i="2" a="1"/>
  <c r="U134" i="2" s="1"/>
  <c r="U135" i="2" a="1"/>
  <c r="U135" i="2"/>
  <c r="U136" i="2" a="1"/>
  <c r="U136" i="2" s="1"/>
  <c r="U137" i="2" a="1"/>
  <c r="U137" i="2" s="1"/>
  <c r="U138" i="2" a="1"/>
  <c r="U138" i="2"/>
  <c r="U139" i="2" a="1"/>
  <c r="U139" i="2"/>
  <c r="U140" i="2" a="1"/>
  <c r="U140" i="2"/>
  <c r="U141" i="2" a="1"/>
  <c r="U141" i="2" s="1"/>
  <c r="U142" i="2" a="1"/>
  <c r="U142" i="2" s="1"/>
  <c r="U143" i="2" a="1"/>
  <c r="U143" i="2"/>
  <c r="U144" i="2" a="1"/>
  <c r="U144" i="2"/>
  <c r="U145" i="2" a="1"/>
  <c r="U145" i="2" s="1"/>
  <c r="U146" i="2" a="1"/>
  <c r="U146" i="2"/>
  <c r="U147" i="2" a="1"/>
  <c r="U147" i="2" s="1"/>
  <c r="U148" i="2" a="1"/>
  <c r="U148" i="2" s="1"/>
  <c r="U149" i="2" a="1"/>
  <c r="U149" i="2"/>
  <c r="U150" i="2" a="1"/>
  <c r="U150" i="2"/>
  <c r="U151" i="2" a="1"/>
  <c r="U151" i="2" s="1"/>
  <c r="U152" i="2" a="1"/>
  <c r="U152" i="2" s="1"/>
  <c r="U153" i="2" a="1"/>
  <c r="U153" i="2"/>
  <c r="U154" i="2" a="1"/>
  <c r="U154" i="2"/>
  <c r="U155" i="2" a="1"/>
  <c r="U155" i="2"/>
  <c r="U156" i="2" a="1"/>
  <c r="U156" i="2" s="1"/>
  <c r="U157" i="2" a="1"/>
  <c r="U157" i="2"/>
  <c r="U158" i="2" a="1"/>
  <c r="U158" i="2" s="1"/>
  <c r="U159" i="2" a="1"/>
  <c r="U159" i="2" s="1"/>
  <c r="U160" i="2" a="1"/>
  <c r="U160" i="2"/>
  <c r="U161" i="2" a="1"/>
  <c r="U161" i="2" s="1"/>
  <c r="U162" i="2" a="1"/>
  <c r="U162" i="2" s="1"/>
  <c r="U163" i="2" a="1"/>
  <c r="U163" i="2"/>
  <c r="U164" i="2" a="1"/>
  <c r="U164" i="2"/>
  <c r="U165" i="2" a="1"/>
  <c r="U165" i="2"/>
  <c r="U166" i="2" a="1"/>
  <c r="U166" i="2"/>
  <c r="U167" i="2" a="1"/>
  <c r="U167" i="2" s="1"/>
  <c r="U168" i="2" a="1"/>
  <c r="U168" i="2"/>
  <c r="U169" i="2" a="1"/>
  <c r="U169" i="2" s="1"/>
  <c r="U170" i="2" a="1"/>
  <c r="U170" i="2" s="1"/>
  <c r="U171" i="2" a="1"/>
  <c r="U171" i="2" s="1"/>
  <c r="U172" i="2" a="1"/>
  <c r="U172" i="2" s="1"/>
  <c r="U173" i="2" a="1"/>
  <c r="U173" i="2"/>
  <c r="U174" i="2" a="1"/>
  <c r="U174" i="2"/>
  <c r="U175" i="2" a="1"/>
  <c r="U175" i="2"/>
  <c r="U176" i="2" a="1"/>
  <c r="U176" i="2"/>
  <c r="U177" i="2" a="1"/>
  <c r="U177" i="2"/>
  <c r="U178" i="2" a="1"/>
  <c r="U178" i="2" s="1"/>
  <c r="U179" i="2" a="1"/>
  <c r="U179" i="2"/>
  <c r="U180" i="2" a="1"/>
  <c r="U180" i="2" s="1"/>
  <c r="U181" i="2" a="1"/>
  <c r="U181" i="2" s="1"/>
  <c r="U182" i="2" a="1"/>
  <c r="U182" i="2" s="1"/>
  <c r="U183" i="2" a="1"/>
  <c r="U183" i="2"/>
  <c r="U184" i="2" a="1"/>
  <c r="U184" i="2"/>
  <c r="U185" i="2" a="1"/>
  <c r="U185" i="2"/>
  <c r="U186" i="2" a="1"/>
  <c r="U186" i="2"/>
  <c r="U187" i="2" a="1"/>
  <c r="U187" i="2"/>
  <c r="U188" i="2" a="1"/>
  <c r="U188" i="2"/>
  <c r="U189" i="2" a="1"/>
  <c r="U189" i="2" s="1"/>
  <c r="U190" i="2" a="1"/>
  <c r="U190" i="2"/>
  <c r="U191" i="2" a="1"/>
  <c r="U191" i="2" s="1"/>
  <c r="U192" i="2" a="1"/>
  <c r="U192" i="2" s="1"/>
  <c r="U193" i="2" a="1"/>
  <c r="U193" i="2" s="1"/>
  <c r="U194" i="2" a="1"/>
  <c r="U194" i="2"/>
  <c r="U195" i="2" a="1"/>
  <c r="U195" i="2"/>
  <c r="U196" i="2" a="1"/>
  <c r="U196" i="2"/>
  <c r="U197" i="2" a="1"/>
  <c r="U197" i="2"/>
  <c r="U198" i="2" a="1"/>
  <c r="U198" i="2"/>
  <c r="U199" i="2" a="1"/>
  <c r="U199" i="2"/>
  <c r="U200" i="2" a="1"/>
  <c r="U200" i="2" s="1"/>
  <c r="U201" i="2" a="1"/>
  <c r="U201" i="2" s="1"/>
  <c r="U202" i="2" a="1"/>
  <c r="U202" i="2" s="1"/>
  <c r="U203" i="2" a="1"/>
  <c r="U203" i="2" s="1"/>
  <c r="U204" i="2" a="1"/>
  <c r="U204" i="2" s="1"/>
  <c r="U205" i="2" a="1"/>
  <c r="U205" i="2"/>
  <c r="U206" i="2" a="1"/>
  <c r="U206" i="2"/>
  <c r="U207" i="2" a="1"/>
  <c r="U207" i="2"/>
  <c r="U208" i="2" a="1"/>
  <c r="U208" i="2"/>
  <c r="U209" i="2" a="1"/>
  <c r="U209" i="2"/>
  <c r="U210" i="2" a="1"/>
  <c r="U210" i="2"/>
  <c r="U211" i="2" a="1"/>
  <c r="U211" i="2" s="1"/>
  <c r="U212" i="2" a="1"/>
  <c r="U212" i="2" s="1"/>
  <c r="U213" i="2" a="1"/>
  <c r="U213" i="2"/>
  <c r="U214" i="2" a="1"/>
  <c r="U214" i="2" s="1"/>
  <c r="U215" i="2" a="1"/>
  <c r="U215" i="2" s="1"/>
  <c r="U216" i="2" a="1"/>
  <c r="U216" i="2" s="1"/>
  <c r="U217" i="2" a="1"/>
  <c r="U217" i="2"/>
  <c r="U218" i="2" a="1"/>
  <c r="U218" i="2"/>
  <c r="U219" i="2" a="1"/>
  <c r="U219" i="2"/>
  <c r="U220" i="2" a="1"/>
  <c r="U220" i="2"/>
  <c r="U221" i="2" a="1"/>
  <c r="U221" i="2" s="1"/>
  <c r="U222" i="2" a="1"/>
  <c r="U222" i="2" s="1"/>
  <c r="U223" i="2" a="1"/>
  <c r="U223" i="2" s="1"/>
  <c r="U224" i="2" a="1"/>
  <c r="U224" i="2"/>
  <c r="U225" i="2" a="1"/>
  <c r="U225" i="2" s="1"/>
  <c r="U226" i="2" a="1"/>
  <c r="U226" i="2" s="1"/>
  <c r="U227" i="2" a="1"/>
  <c r="U227" i="2" s="1"/>
  <c r="U228" i="2" a="1"/>
  <c r="U228" i="2"/>
  <c r="U229" i="2" a="1"/>
  <c r="U229" i="2"/>
  <c r="U230" i="2" a="1"/>
  <c r="U230" i="2"/>
  <c r="U231" i="2" a="1"/>
  <c r="U231" i="2" s="1"/>
  <c r="U232" i="2" a="1"/>
  <c r="U232" i="2" s="1"/>
  <c r="U233" i="2" a="1"/>
  <c r="U233" i="2"/>
  <c r="U234" i="2" a="1"/>
  <c r="U234" i="2" s="1"/>
  <c r="U235" i="2" a="1"/>
  <c r="U235" i="2"/>
  <c r="U236" i="2" a="1"/>
  <c r="U236" i="2" s="1"/>
  <c r="U237" i="2" a="1"/>
  <c r="U237" i="2" s="1"/>
  <c r="U238" i="2" a="1"/>
  <c r="U238" i="2" s="1"/>
  <c r="U239" i="2" a="1"/>
  <c r="U239" i="2"/>
  <c r="U240" i="2" a="1"/>
  <c r="U240" i="2"/>
  <c r="U241" i="2" a="1"/>
  <c r="U241" i="2" s="1"/>
  <c r="U242" i="2" a="1"/>
  <c r="U242" i="2" s="1"/>
  <c r="U243" i="2" a="1"/>
  <c r="U243" i="2"/>
  <c r="U244" i="2" a="1"/>
  <c r="U244" i="2"/>
  <c r="U245" i="2" a="1"/>
  <c r="U245" i="2" s="1"/>
  <c r="U246" i="2" a="1"/>
  <c r="U246" i="2"/>
  <c r="U247" i="2" a="1"/>
  <c r="U247" i="2" s="1"/>
  <c r="U248" i="2" a="1"/>
  <c r="U248" i="2" s="1"/>
  <c r="U249" i="2" a="1"/>
  <c r="U249" i="2" s="1"/>
  <c r="U250" i="2" a="1"/>
  <c r="U250" i="2"/>
  <c r="U251" i="2" a="1"/>
  <c r="U251" i="2" s="1"/>
  <c r="U252" i="2" a="1"/>
  <c r="U252" i="2" s="1"/>
  <c r="U253" i="2" a="1"/>
  <c r="U253" i="2"/>
  <c r="U254" i="2" a="1"/>
  <c r="U254" i="2"/>
  <c r="U255" i="2" a="1"/>
  <c r="U255" i="2"/>
  <c r="U256" i="2" a="1"/>
  <c r="U256" i="2" s="1"/>
  <c r="U257" i="2" a="1"/>
  <c r="U257" i="2"/>
  <c r="U258" i="2" a="1"/>
  <c r="U258" i="2" s="1"/>
  <c r="U259" i="2" a="1"/>
  <c r="U259" i="2" s="1"/>
  <c r="U260" i="2" a="1"/>
  <c r="U260" i="2" s="1"/>
  <c r="U261" i="2" a="1"/>
  <c r="U261" i="2" s="1"/>
  <c r="U262" i="2" a="1"/>
  <c r="U262" i="2" s="1"/>
  <c r="U263" i="2" a="1"/>
  <c r="U263" i="2"/>
  <c r="U264" i="2" a="1"/>
  <c r="U264" i="2"/>
  <c r="U265" i="2" a="1"/>
  <c r="U265" i="2"/>
  <c r="U266" i="2" a="1"/>
  <c r="U266" i="2"/>
  <c r="U267" i="2" a="1"/>
  <c r="U267" i="2" s="1"/>
  <c r="U268" i="2" a="1"/>
  <c r="U268" i="2"/>
  <c r="U269" i="2" a="1"/>
  <c r="U269" i="2" s="1"/>
  <c r="U270" i="2" a="1"/>
  <c r="U270" i="2" s="1"/>
  <c r="U271" i="2" a="1"/>
  <c r="U271" i="2" s="1"/>
  <c r="U272" i="2" a="1"/>
  <c r="U272" i="2" s="1"/>
  <c r="U273" i="2" a="1"/>
  <c r="U273" i="2"/>
  <c r="U274" i="2" a="1"/>
  <c r="U274" i="2"/>
  <c r="U275" i="2" a="1"/>
  <c r="U275" i="2"/>
  <c r="U276" i="2" a="1"/>
  <c r="U276" i="2"/>
  <c r="U277" i="2" a="1"/>
  <c r="U277" i="2"/>
  <c r="U278" i="2" a="1"/>
  <c r="U278" i="2" s="1"/>
  <c r="U279" i="2" a="1"/>
  <c r="U279" i="2"/>
  <c r="U280" i="2" a="1"/>
  <c r="U280" i="2" s="1"/>
  <c r="U281" i="2" a="1"/>
  <c r="U281" i="2" s="1"/>
  <c r="U282" i="2" a="1"/>
  <c r="U282" i="2" s="1"/>
  <c r="U283" i="2" a="1"/>
  <c r="U283" i="2" s="1"/>
  <c r="U284" i="2" a="1"/>
  <c r="U284" i="2"/>
  <c r="U285" i="2" a="1"/>
  <c r="U285" i="2"/>
  <c r="U286" i="2" a="1"/>
  <c r="U286" i="2"/>
  <c r="U287" i="2" a="1"/>
  <c r="U287" i="2"/>
  <c r="U288" i="2" a="1"/>
  <c r="U288" i="2"/>
  <c r="U289" i="2" a="1"/>
  <c r="U289" i="2" s="1"/>
  <c r="U290" i="2" a="1"/>
  <c r="U290" i="2"/>
  <c r="U291" i="2" a="1"/>
  <c r="U291" i="2" s="1"/>
  <c r="U292" i="2" a="1"/>
  <c r="U292" i="2" s="1"/>
  <c r="U293" i="2" a="1"/>
  <c r="U293" i="2" s="1"/>
  <c r="U294" i="2" a="1"/>
  <c r="U294" i="2" s="1"/>
  <c r="U295" i="2" a="1"/>
  <c r="U295" i="2"/>
  <c r="U296" i="2" a="1"/>
  <c r="U296" i="2"/>
  <c r="U297" i="2" a="1"/>
  <c r="U297" i="2"/>
  <c r="U298" i="2" a="1"/>
  <c r="U298" i="2"/>
  <c r="U299" i="2" a="1"/>
  <c r="U299" i="2"/>
  <c r="U300" i="2" a="1"/>
  <c r="U300" i="2" s="1"/>
  <c r="U301" i="2" a="1"/>
  <c r="U301" i="2" s="1"/>
  <c r="U302" i="2" a="1"/>
  <c r="U302" i="2" s="1"/>
  <c r="U303" i="2" a="1"/>
  <c r="U303" i="2" s="1"/>
  <c r="U304" i="2" a="1"/>
  <c r="U304" i="2" s="1"/>
  <c r="U305" i="2" a="1"/>
  <c r="U305" i="2" s="1"/>
  <c r="U306" i="2" a="1"/>
  <c r="U306" i="2"/>
  <c r="U307" i="2" a="1"/>
  <c r="U307" i="2"/>
  <c r="U308" i="2" a="1"/>
  <c r="U308" i="2"/>
  <c r="U309" i="2" a="1"/>
  <c r="U309" i="2"/>
  <c r="U310" i="2" a="1"/>
  <c r="U310" i="2"/>
  <c r="U311" i="2" a="1"/>
  <c r="U311" i="2" s="1"/>
  <c r="U312" i="2" a="1"/>
  <c r="U312" i="2"/>
  <c r="U313" i="2" a="1"/>
  <c r="U313" i="2" s="1"/>
  <c r="U314" i="2" a="1"/>
  <c r="U314" i="2"/>
  <c r="U315" i="2" a="1"/>
  <c r="U315" i="2"/>
  <c r="U316" i="2" a="1"/>
  <c r="U316" i="2"/>
  <c r="U317" i="2" a="1"/>
  <c r="U317" i="2"/>
  <c r="U318" i="2" a="1"/>
  <c r="U318" i="2" s="1"/>
  <c r="U319" i="2" a="1"/>
  <c r="U319" i="2"/>
  <c r="U320" i="2" a="1"/>
  <c r="U320" i="2"/>
  <c r="U321" i="2" a="1"/>
  <c r="U321" i="2" s="1"/>
  <c r="U322" i="2" a="1"/>
  <c r="U322" i="2" s="1"/>
  <c r="U323" i="2" a="1"/>
  <c r="U323" i="2"/>
  <c r="U324" i="2" a="1"/>
  <c r="U324" i="2" s="1"/>
  <c r="U325" i="2" a="1"/>
  <c r="U325" i="2" s="1"/>
  <c r="U326" i="2" a="1"/>
  <c r="U326" i="2" s="1"/>
  <c r="U327" i="2" a="1"/>
  <c r="U327" i="2"/>
  <c r="U328" i="2" a="1"/>
  <c r="U328" i="2"/>
  <c r="U329" i="2" a="1"/>
  <c r="U329" i="2"/>
  <c r="U330" i="2" a="1"/>
  <c r="U330" i="2"/>
  <c r="U331" i="2" a="1"/>
  <c r="U331" i="2" s="1"/>
  <c r="U332" i="2" a="1"/>
  <c r="U332" i="2"/>
  <c r="U333" i="2" a="1"/>
  <c r="U333" i="2"/>
  <c r="U334" i="2" a="1"/>
  <c r="U334" i="2" s="1"/>
  <c r="U335" i="2" a="1"/>
  <c r="U335" i="2"/>
  <c r="U336" i="2" a="1"/>
  <c r="U336" i="2"/>
  <c r="U337" i="2" a="1"/>
  <c r="U337" i="2"/>
  <c r="U338" i="2" a="1"/>
  <c r="U338" i="2"/>
  <c r="U339" i="2" a="1"/>
  <c r="U339" i="2" s="1"/>
  <c r="U340" i="2" a="1"/>
  <c r="U340" i="2"/>
  <c r="U341" i="2" a="1"/>
  <c r="U341" i="2" s="1"/>
  <c r="U342" i="2" a="1"/>
  <c r="U342" i="2"/>
  <c r="U343" i="2" a="1"/>
  <c r="U343" i="2" s="1"/>
  <c r="U344" i="2" a="1"/>
  <c r="U344" i="2"/>
  <c r="U345" i="2" a="1"/>
  <c r="U345" i="2" s="1"/>
  <c r="U346" i="2" a="1"/>
  <c r="U346" i="2" s="1"/>
  <c r="U347" i="2" a="1"/>
  <c r="U347" i="2" s="1"/>
  <c r="U348" i="2" a="1"/>
  <c r="U348" i="2"/>
  <c r="U349" i="2" a="1"/>
  <c r="U349" i="2"/>
  <c r="U350" i="2" a="1"/>
  <c r="U350" i="2"/>
  <c r="U351" i="2" a="1"/>
  <c r="U351" i="2" s="1"/>
  <c r="U352" i="2" a="1"/>
  <c r="U352" i="2"/>
  <c r="U353" i="2" a="1"/>
  <c r="U353" i="2"/>
  <c r="U354" i="2" a="1"/>
  <c r="U354" i="2"/>
  <c r="U355" i="2" a="1"/>
  <c r="U355" i="2" s="1"/>
  <c r="U356" i="2" a="1"/>
  <c r="U356" i="2"/>
  <c r="U357" i="2" a="1"/>
  <c r="U357" i="2"/>
  <c r="U358" i="2" a="1"/>
  <c r="U358" i="2"/>
  <c r="U359" i="2" a="1"/>
  <c r="U359" i="2"/>
  <c r="U360" i="2" a="1"/>
  <c r="U360" i="2" s="1"/>
  <c r="U361" i="2" a="1"/>
  <c r="U361" i="2" s="1"/>
  <c r="U362" i="2" a="1"/>
  <c r="U362" i="2"/>
  <c r="U363" i="2" a="1"/>
  <c r="U363" i="2"/>
  <c r="U364" i="2" a="1"/>
  <c r="U364" i="2" s="1"/>
  <c r="U365" i="2" a="1"/>
  <c r="U365" i="2"/>
  <c r="U366" i="2" a="1"/>
  <c r="U366" i="2" s="1"/>
  <c r="U367" i="2" a="1"/>
  <c r="U367" i="2" s="1"/>
  <c r="U368" i="2" a="1"/>
  <c r="U368" i="2" s="1"/>
  <c r="U369" i="2" a="1"/>
  <c r="U369" i="2"/>
  <c r="U370" i="2" a="1"/>
  <c r="U370" i="2"/>
  <c r="U371" i="2" a="1"/>
  <c r="U371" i="2" s="1"/>
  <c r="U372" i="2" a="1"/>
  <c r="U372" i="2"/>
  <c r="U373" i="2" a="1"/>
  <c r="U373" i="2"/>
  <c r="U374" i="2" a="1"/>
  <c r="U374" i="2"/>
  <c r="U375" i="2" a="1"/>
  <c r="U375" i="2"/>
  <c r="U376" i="2" a="1"/>
  <c r="U376" i="2" s="1"/>
  <c r="U377" i="2" a="1"/>
  <c r="U377" i="2"/>
  <c r="U378" i="2" a="1"/>
  <c r="U378" i="2"/>
  <c r="U379" i="2" a="1"/>
  <c r="U379" i="2"/>
  <c r="U380" i="2" a="1"/>
  <c r="U380" i="2"/>
  <c r="U381" i="2" a="1"/>
  <c r="U381" i="2" s="1"/>
  <c r="U382" i="2" a="1"/>
  <c r="U382" i="2"/>
  <c r="U383" i="2" a="1"/>
  <c r="U383" i="2"/>
  <c r="U384" i="2" a="1"/>
  <c r="U384" i="2"/>
  <c r="U385" i="2" a="1"/>
  <c r="U385" i="2" s="1"/>
  <c r="U386" i="2" a="1"/>
  <c r="U386" i="2"/>
  <c r="U387" i="2" a="1"/>
  <c r="U387" i="2" s="1"/>
  <c r="U388" i="2" a="1"/>
  <c r="U388" i="2" s="1"/>
  <c r="U389" i="2" a="1"/>
  <c r="U389" i="2" s="1"/>
  <c r="U390" i="2" a="1"/>
  <c r="U390" i="2"/>
  <c r="U391" i="2" a="1"/>
  <c r="U391" i="2" s="1"/>
  <c r="U392" i="2" a="1"/>
  <c r="U392" i="2" s="1"/>
  <c r="U393" i="2" a="1"/>
  <c r="U393" i="2"/>
  <c r="U394" i="2" a="1"/>
  <c r="U394" i="2"/>
  <c r="U395" i="2" a="1"/>
  <c r="U395" i="2"/>
  <c r="U396" i="2" a="1"/>
  <c r="U396" i="2"/>
  <c r="U397" i="2" a="1"/>
  <c r="U397" i="2" s="1"/>
  <c r="U398" i="2" a="1"/>
  <c r="U398" i="2"/>
  <c r="U399" i="2" a="1"/>
  <c r="U399" i="2"/>
  <c r="U400" i="2" a="1"/>
  <c r="U400" i="2"/>
  <c r="U401" i="2" a="1"/>
  <c r="U401" i="2" s="1"/>
  <c r="U402" i="2" a="1"/>
  <c r="U402" i="2"/>
  <c r="U403" i="2" a="1"/>
  <c r="U403" i="2"/>
  <c r="U404" i="2" a="1"/>
  <c r="U404" i="2"/>
  <c r="U405" i="2" a="1"/>
  <c r="U405" i="2"/>
  <c r="U406" i="2" a="1"/>
  <c r="U406" i="2" s="1"/>
  <c r="U407" i="2" a="1"/>
  <c r="U407" i="2"/>
  <c r="U408" i="2" a="1"/>
  <c r="U408" i="2" s="1"/>
  <c r="U409" i="2" a="1"/>
  <c r="U409" i="2" s="1"/>
  <c r="U410" i="2" a="1"/>
  <c r="U410" i="2"/>
  <c r="U411" i="2" a="1"/>
  <c r="U411" i="2" s="1"/>
  <c r="U412" i="2" a="1"/>
  <c r="U412" i="2"/>
  <c r="U413" i="2" a="1"/>
  <c r="U413" i="2" s="1"/>
  <c r="U414" i="2" a="1"/>
  <c r="U414" i="2"/>
  <c r="U415" i="2" a="1"/>
  <c r="U415" i="2"/>
  <c r="U416" i="2" a="1"/>
  <c r="U416" i="2"/>
  <c r="U417" i="2" a="1"/>
  <c r="U417" i="2"/>
  <c r="U418" i="2" a="1"/>
  <c r="U418" i="2" s="1"/>
  <c r="U419" i="2" a="1"/>
  <c r="U419" i="2"/>
  <c r="U420" i="2" a="1"/>
  <c r="U420" i="2"/>
  <c r="U421" i="2" a="1"/>
  <c r="U421" i="2" s="1"/>
  <c r="U422" i="2" a="1"/>
  <c r="U422" i="2"/>
  <c r="U423" i="2" a="1"/>
  <c r="U423" i="2"/>
  <c r="U424" i="2" a="1"/>
  <c r="U424" i="2"/>
  <c r="U425" i="2" a="1"/>
  <c r="U425" i="2"/>
  <c r="U426" i="2" a="1"/>
  <c r="U426" i="2"/>
  <c r="U427" i="2" a="1"/>
  <c r="U427" i="2" s="1"/>
  <c r="U428" i="2" a="1"/>
  <c r="U428" i="2"/>
  <c r="U429" i="2" a="1"/>
  <c r="U429" i="2" s="1"/>
  <c r="U430" i="2" a="1"/>
  <c r="U430" i="2" s="1"/>
  <c r="U431" i="2" a="1"/>
  <c r="U431" i="2" s="1"/>
  <c r="U432" i="2" a="1"/>
  <c r="U432" i="2"/>
  <c r="U433" i="2" a="1"/>
  <c r="U433" i="2"/>
  <c r="U434" i="2" a="1"/>
  <c r="U434" i="2" s="1"/>
  <c r="U435" i="2" a="1"/>
  <c r="U435" i="2"/>
  <c r="U436" i="2" a="1"/>
  <c r="U436" i="2"/>
  <c r="U437" i="2" a="1"/>
  <c r="U437" i="2"/>
  <c r="U438" i="2" a="1"/>
  <c r="U438" i="2"/>
  <c r="U439" i="2" a="1"/>
  <c r="U439" i="2" s="1"/>
  <c r="U440" i="2" a="1"/>
  <c r="U440" i="2"/>
  <c r="U441" i="2" a="1"/>
  <c r="U441" i="2" s="1"/>
  <c r="U442" i="2" a="1"/>
  <c r="U442" i="2"/>
  <c r="U443" i="2" a="1"/>
  <c r="U443" i="2"/>
  <c r="U444" i="2" a="1"/>
  <c r="U444" i="2"/>
  <c r="U445" i="2" a="1"/>
  <c r="U445" i="2"/>
  <c r="U446" i="2" a="1"/>
  <c r="U446" i="2"/>
  <c r="U447" i="2" a="1"/>
  <c r="U447" i="2"/>
  <c r="U448" i="2" a="1"/>
  <c r="U448" i="2" s="1"/>
  <c r="U449" i="2" a="1"/>
  <c r="U449" i="2"/>
  <c r="U450" i="2" a="1"/>
  <c r="U450" i="2" s="1"/>
  <c r="U451" i="2" a="1"/>
  <c r="U451" i="2" s="1"/>
  <c r="U452" i="2" a="1"/>
  <c r="U452" i="2"/>
  <c r="U453" i="2" a="1"/>
  <c r="U453" i="2"/>
  <c r="U454" i="2" a="1"/>
  <c r="U454" i="2"/>
  <c r="U455" i="2" a="1"/>
  <c r="U455" i="2" s="1"/>
  <c r="U456" i="2" a="1"/>
  <c r="U456" i="2"/>
  <c r="U457" i="2" a="1"/>
  <c r="U457" i="2"/>
  <c r="U458" i="2" a="1"/>
  <c r="U458" i="2"/>
  <c r="U459" i="2" a="1"/>
  <c r="U459" i="2"/>
  <c r="U460" i="2" a="1"/>
  <c r="U460" i="2" s="1"/>
  <c r="U461" i="2" a="1"/>
  <c r="U461" i="2" s="1"/>
  <c r="U462" i="2" a="1"/>
  <c r="U462" i="2" s="1"/>
  <c r="U463" i="2" a="1"/>
  <c r="U463" i="2"/>
  <c r="U464" i="2" a="1"/>
  <c r="U464" i="2"/>
  <c r="U465" i="2" a="1"/>
  <c r="U465" i="2"/>
  <c r="U466" i="2" a="1"/>
  <c r="U466" i="2"/>
  <c r="U467" i="2" a="1"/>
  <c r="U467" i="2"/>
  <c r="U468" i="2" a="1"/>
  <c r="U468" i="2"/>
  <c r="U469" i="2" a="1"/>
  <c r="U469" i="2" s="1"/>
  <c r="U470" i="2" a="1"/>
  <c r="U470" i="2"/>
  <c r="U471" i="2" a="1"/>
  <c r="U471" i="2" s="1"/>
  <c r="U472" i="2" a="1"/>
  <c r="U472" i="2"/>
  <c r="U473" i="2" a="1"/>
  <c r="U473" i="2"/>
  <c r="U474" i="2" a="1"/>
  <c r="U474" i="2"/>
  <c r="U475" i="2" a="1"/>
  <c r="U475" i="2"/>
  <c r="U476" i="2" a="1"/>
  <c r="U476" i="2" s="1"/>
  <c r="U477" i="2" a="1"/>
  <c r="U477" i="2"/>
  <c r="U478" i="2" a="1"/>
  <c r="U478" i="2"/>
  <c r="U479" i="2" a="1"/>
  <c r="U479" i="2"/>
  <c r="U480" i="2" a="1"/>
  <c r="U480" i="2"/>
  <c r="U481" i="2" a="1"/>
  <c r="U481" i="2" s="1"/>
  <c r="U482" i="2" a="1"/>
  <c r="U482" i="2" s="1"/>
  <c r="U483" i="2" a="1"/>
  <c r="U483" i="2" s="1"/>
  <c r="U484" i="2" a="1"/>
  <c r="U484" i="2"/>
  <c r="U485" i="2" a="1"/>
  <c r="U485" i="2"/>
  <c r="U486" i="2" a="1"/>
  <c r="U486" i="2"/>
  <c r="U487" i="2" a="1"/>
  <c r="U487" i="2"/>
  <c r="U488" i="2" a="1"/>
  <c r="U488" i="2"/>
  <c r="U489" i="2" a="1"/>
  <c r="U489" i="2"/>
  <c r="U490" i="2" a="1"/>
  <c r="U490" i="2" s="1"/>
  <c r="U491" i="2" a="1"/>
  <c r="U491" i="2" s="1"/>
  <c r="U492" i="2" a="1"/>
  <c r="U492" i="2" s="1"/>
  <c r="U493" i="2" a="1"/>
  <c r="U493" i="2"/>
  <c r="U494" i="2" a="1"/>
  <c r="U494" i="2"/>
  <c r="U495" i="2" a="1"/>
  <c r="U495" i="2"/>
  <c r="U496" i="2" a="1"/>
  <c r="U496" i="2"/>
  <c r="U497" i="2" a="1"/>
  <c r="U497" i="2" s="1"/>
  <c r="U498" i="2" a="1"/>
  <c r="U498" i="2"/>
  <c r="U499" i="2" a="1"/>
  <c r="U499" i="2"/>
  <c r="U500" i="2" a="1"/>
  <c r="U500" i="2"/>
  <c r="U501" i="2" a="1"/>
  <c r="U501" i="2" s="1"/>
  <c r="U502" i="2" a="1"/>
  <c r="U502" i="2"/>
  <c r="U503" i="2" a="1"/>
  <c r="U503" i="2" s="1"/>
  <c r="U504" i="2" a="1"/>
  <c r="U504" i="2" s="1"/>
  <c r="U505" i="2" a="1"/>
  <c r="U505" i="2"/>
  <c r="U506" i="2" a="1"/>
  <c r="U506" i="2"/>
  <c r="U507" i="2" a="1"/>
  <c r="U507" i="2"/>
  <c r="U508" i="2" a="1"/>
  <c r="U508" i="2"/>
  <c r="U509" i="2" a="1"/>
  <c r="U509" i="2"/>
  <c r="U510" i="2" a="1"/>
  <c r="U510" i="2"/>
  <c r="U511" i="2" a="1"/>
  <c r="U511" i="2" s="1"/>
  <c r="U512" i="2" a="1"/>
  <c r="U512" i="2"/>
  <c r="U513" i="2" a="1"/>
  <c r="U513" i="2" s="1"/>
  <c r="U514" i="2" a="1"/>
  <c r="U514" i="2"/>
  <c r="U515" i="2" a="1"/>
  <c r="U515" i="2"/>
  <c r="U516" i="2" a="1"/>
  <c r="U516" i="2"/>
  <c r="U517" i="2" a="1"/>
  <c r="U517" i="2"/>
  <c r="U518" i="2" a="1"/>
  <c r="U518" i="2" s="1"/>
  <c r="U519" i="2" a="1"/>
  <c r="U519" i="2"/>
  <c r="U520" i="2" a="1"/>
  <c r="U520" i="2"/>
  <c r="U521" i="2" a="1"/>
  <c r="U521" i="2" s="1"/>
  <c r="U522" i="2" a="1"/>
  <c r="U522" i="2" s="1"/>
  <c r="U523" i="2" a="1"/>
  <c r="U523" i="2"/>
  <c r="U524" i="2" a="1"/>
  <c r="U524" i="2" s="1"/>
  <c r="U525" i="2" a="1"/>
  <c r="U525" i="2" s="1"/>
  <c r="U526" i="2" a="1"/>
  <c r="U526" i="2"/>
  <c r="U527" i="2" a="1"/>
  <c r="U527" i="2"/>
  <c r="U528" i="2" a="1"/>
  <c r="U528" i="2"/>
  <c r="U529" i="2" a="1"/>
  <c r="U529" i="2"/>
  <c r="U530" i="2" a="1"/>
  <c r="U530" i="2"/>
  <c r="U531" i="2" a="1"/>
  <c r="U531" i="2" s="1"/>
  <c r="U532" i="2" a="1"/>
  <c r="U532" i="2"/>
  <c r="U533" i="2" a="1"/>
  <c r="U533" i="2"/>
  <c r="U534" i="2" a="1"/>
  <c r="U534" i="2" s="1"/>
  <c r="U535" i="2" a="1"/>
  <c r="U535" i="2"/>
  <c r="U536" i="2" a="1"/>
  <c r="U536" i="2"/>
  <c r="U537" i="2" a="1"/>
  <c r="U537" i="2"/>
  <c r="U538" i="2" a="1"/>
  <c r="U538" i="2"/>
  <c r="U539" i="2" a="1"/>
  <c r="U539" i="2" s="1"/>
  <c r="U540" i="2" a="1"/>
  <c r="U540" i="2"/>
  <c r="U541" i="2" a="1"/>
  <c r="U541" i="2" s="1"/>
  <c r="U542" i="2" a="1"/>
  <c r="U542" i="2"/>
  <c r="U543" i="2" a="1"/>
  <c r="U543" i="2" s="1"/>
  <c r="U544" i="2" a="1"/>
  <c r="U544" i="2"/>
  <c r="U545" i="2" a="1"/>
  <c r="U545" i="2" s="1"/>
  <c r="U546" i="2" a="1"/>
  <c r="U546" i="2" s="1"/>
  <c r="U547" i="2" a="1"/>
  <c r="U547" i="2"/>
  <c r="U548" i="2" a="1"/>
  <c r="U548" i="2"/>
  <c r="U549" i="2" a="1"/>
  <c r="U549" i="2"/>
  <c r="U550" i="2" a="1"/>
  <c r="U550" i="2"/>
  <c r="U551" i="2" a="1"/>
  <c r="U551" i="2" s="1"/>
  <c r="U552" i="2" a="1"/>
  <c r="U552" i="2"/>
  <c r="U553" i="2" a="1"/>
  <c r="U553" i="2"/>
  <c r="U554" i="2" a="1"/>
  <c r="U554" i="2"/>
  <c r="U555" i="2" a="1"/>
  <c r="U555" i="2" s="1"/>
  <c r="U556" i="2" a="1"/>
  <c r="U556" i="2"/>
  <c r="U557" i="2" a="1"/>
  <c r="U557" i="2"/>
  <c r="U558" i="2" a="1"/>
  <c r="U558" i="2"/>
  <c r="U559" i="2" a="1"/>
  <c r="U559" i="2"/>
  <c r="U560" i="2" a="1"/>
  <c r="U560" i="2" s="1"/>
  <c r="U561" i="2" a="1"/>
  <c r="U561" i="2" s="1"/>
  <c r="U562" i="2" a="1"/>
  <c r="U562" i="2"/>
  <c r="U563" i="2" a="1"/>
  <c r="U563" i="2"/>
  <c r="U564" i="2" a="1"/>
  <c r="U564" i="2" s="1"/>
  <c r="U565" i="2" a="1"/>
  <c r="U565" i="2"/>
  <c r="U566" i="2" a="1"/>
  <c r="U566" i="2" s="1"/>
  <c r="U567" i="2" a="1"/>
  <c r="U567" i="2" s="1"/>
  <c r="U568" i="2" a="1"/>
  <c r="U568" i="2"/>
  <c r="U569" i="2" a="1"/>
  <c r="U569" i="2"/>
  <c r="U570" i="2" a="1"/>
  <c r="U570" i="2"/>
  <c r="U571" i="2" a="1"/>
  <c r="U571" i="2" s="1"/>
  <c r="U572" i="2" a="1"/>
  <c r="U572" i="2"/>
  <c r="U573" i="2" a="1"/>
  <c r="U573" i="2"/>
  <c r="U574" i="2" a="1"/>
  <c r="U574" i="2"/>
  <c r="U575" i="2" a="1"/>
  <c r="U575" i="2"/>
  <c r="U576" i="2" a="1"/>
  <c r="U576" i="2" s="1"/>
  <c r="U577" i="2" a="1"/>
  <c r="U577" i="2"/>
  <c r="U578" i="2" a="1"/>
  <c r="U578" i="2"/>
  <c r="U579" i="2" a="1"/>
  <c r="U579" i="2"/>
  <c r="U580" i="2" a="1"/>
  <c r="U580" i="2"/>
  <c r="U581" i="2" a="1"/>
  <c r="U581" i="2" s="1"/>
  <c r="U582" i="2" a="1"/>
  <c r="U582" i="2"/>
  <c r="U583" i="2" a="1"/>
  <c r="U583" i="2"/>
  <c r="U584" i="2" a="1"/>
  <c r="U584" i="2"/>
  <c r="U585" i="2" a="1"/>
  <c r="U585" i="2" s="1"/>
  <c r="U586" i="2" a="1"/>
  <c r="U586" i="2"/>
  <c r="U587" i="2" a="1"/>
  <c r="U587" i="2" s="1"/>
  <c r="U588" i="2" a="1"/>
  <c r="U588" i="2" s="1"/>
  <c r="U589" i="2" a="1"/>
  <c r="U589" i="2"/>
  <c r="U590" i="2" a="1"/>
  <c r="U590" i="2"/>
  <c r="U591" i="2" a="1"/>
  <c r="U591" i="2" s="1"/>
  <c r="U592" i="2" a="1"/>
  <c r="U592" i="2" s="1"/>
  <c r="U593" i="2" a="1"/>
  <c r="U593" i="2"/>
  <c r="U594" i="2" a="1"/>
  <c r="U594" i="2"/>
  <c r="U595" i="2" a="1"/>
  <c r="U595" i="2"/>
  <c r="U596" i="2" a="1"/>
  <c r="U596" i="2"/>
  <c r="U597" i="2" a="1"/>
  <c r="U597" i="2" s="1"/>
  <c r="U598" i="2" a="1"/>
  <c r="U598" i="2"/>
  <c r="U599" i="2" a="1"/>
  <c r="U599" i="2"/>
  <c r="U600" i="2" a="1"/>
  <c r="U600" i="2"/>
  <c r="U601" i="2" a="1"/>
  <c r="U601" i="2" s="1"/>
  <c r="U602" i="2" a="1"/>
  <c r="U602" i="2"/>
  <c r="U603" i="2" a="1"/>
  <c r="U603" i="2"/>
  <c r="U604" i="2" a="1"/>
  <c r="U604" i="2"/>
  <c r="U605" i="2" a="1"/>
  <c r="U605" i="2"/>
  <c r="U606" i="2" a="1"/>
  <c r="U606" i="2" s="1"/>
  <c r="U607" i="2" a="1"/>
  <c r="U607" i="2"/>
  <c r="U608" i="2" a="1"/>
  <c r="U608" i="2" s="1"/>
  <c r="U609" i="2" a="1"/>
  <c r="U609" i="2" s="1"/>
  <c r="U610" i="2" a="1"/>
  <c r="U610" i="2"/>
  <c r="U611" i="2" a="1"/>
  <c r="U611" i="2" s="1"/>
  <c r="U612" i="2" a="1"/>
  <c r="U612" i="2"/>
  <c r="U613" i="2" a="1"/>
  <c r="U613" i="2" s="1"/>
  <c r="U614" i="2" a="1"/>
  <c r="U614" i="2"/>
  <c r="U615" i="2" a="1"/>
  <c r="U615" i="2"/>
  <c r="U616" i="2" a="1"/>
  <c r="U616" i="2"/>
  <c r="U617" i="2" a="1"/>
  <c r="U617" i="2"/>
  <c r="U618" i="2" a="1"/>
  <c r="U618" i="2" s="1"/>
  <c r="U619" i="2" a="1"/>
  <c r="U619" i="2"/>
  <c r="U620" i="2" a="1"/>
  <c r="U620" i="2"/>
  <c r="U621" i="2" a="1"/>
  <c r="U621" i="2" s="1"/>
  <c r="U622" i="2" a="1"/>
  <c r="U622" i="2"/>
  <c r="U623" i="2" a="1"/>
  <c r="U623" i="2"/>
  <c r="U624" i="2" a="1"/>
  <c r="U624" i="2"/>
  <c r="U625" i="2" a="1"/>
  <c r="U625" i="2"/>
  <c r="U626" i="2" a="1"/>
  <c r="U626" i="2"/>
  <c r="U627" i="2" a="1"/>
  <c r="U627" i="2" s="1"/>
  <c r="U628" i="2" a="1"/>
  <c r="U628" i="2"/>
  <c r="U629" i="2" a="1"/>
  <c r="U629" i="2" s="1"/>
  <c r="U630" i="2" a="1"/>
  <c r="U630" i="2" s="1"/>
  <c r="U631" i="2" a="1"/>
  <c r="U631" i="2" s="1"/>
  <c r="U632" i="2" a="1"/>
  <c r="U632" i="2"/>
  <c r="U633" i="2" a="1"/>
  <c r="U633" i="2"/>
  <c r="U634" i="2" a="1"/>
  <c r="U634" i="2" s="1"/>
  <c r="U635" i="2" a="1"/>
  <c r="U635" i="2"/>
  <c r="U636" i="2" a="1"/>
  <c r="U636" i="2"/>
  <c r="U637" i="2" a="1"/>
  <c r="U637" i="2"/>
  <c r="U638" i="2" a="1"/>
  <c r="U638" i="2"/>
  <c r="U639" i="2" a="1"/>
  <c r="U639" i="2" s="1"/>
  <c r="U640" i="2" a="1"/>
  <c r="U640" i="2"/>
  <c r="U641" i="2" a="1"/>
  <c r="U641" i="2" s="1"/>
  <c r="U642" i="2" a="1"/>
  <c r="U642" i="2"/>
  <c r="U643" i="2" a="1"/>
  <c r="U643" i="2"/>
  <c r="U644" i="2" a="1"/>
  <c r="U644" i="2"/>
  <c r="U645" i="2" a="1"/>
  <c r="U645" i="2"/>
  <c r="U646" i="2" a="1"/>
  <c r="U646" i="2"/>
  <c r="U647" i="2" a="1"/>
  <c r="U647" i="2"/>
  <c r="U648" i="2" a="1"/>
  <c r="U648" i="2" s="1"/>
  <c r="U649" i="2" a="1"/>
  <c r="U649" i="2"/>
  <c r="U650" i="2" a="1"/>
  <c r="U650" i="2" s="1"/>
  <c r="U651" i="2" a="1"/>
  <c r="U651" i="2" s="1"/>
  <c r="U652" i="2" a="1"/>
  <c r="U652" i="2"/>
  <c r="U653" i="2" a="1"/>
  <c r="U653" i="2"/>
  <c r="U654" i="2" a="1"/>
  <c r="U654" i="2"/>
  <c r="U655" i="2" a="1"/>
  <c r="U655" i="2" s="1"/>
  <c r="U656" i="2" a="1"/>
  <c r="U656" i="2"/>
  <c r="U657" i="2" a="1"/>
  <c r="U657" i="2"/>
  <c r="U658" i="2" a="1"/>
  <c r="U658" i="2"/>
  <c r="U659" i="2" a="1"/>
  <c r="U659" i="2"/>
  <c r="U660" i="2" a="1"/>
  <c r="U660" i="2" s="1"/>
  <c r="U661" i="2" a="1"/>
  <c r="U661" i="2" s="1"/>
  <c r="U662" i="2" a="1"/>
  <c r="U662" i="2" s="1"/>
  <c r="U663" i="2" a="1"/>
  <c r="U663" i="2"/>
  <c r="U664" i="2" a="1"/>
  <c r="U664" i="2"/>
  <c r="U665" i="2" a="1"/>
  <c r="U665" i="2"/>
  <c r="U666" i="2" a="1"/>
  <c r="U666" i="2"/>
  <c r="U667" i="2" a="1"/>
  <c r="U667" i="2"/>
  <c r="U668" i="2" a="1"/>
  <c r="U668" i="2"/>
  <c r="U669" i="2" a="1"/>
  <c r="U669" i="2" s="1"/>
  <c r="U670" i="2" a="1"/>
  <c r="U670" i="2"/>
  <c r="U671" i="2" a="1"/>
  <c r="U671" i="2" s="1"/>
  <c r="U672" i="2" a="1"/>
  <c r="U672" i="2"/>
  <c r="U673" i="2" a="1"/>
  <c r="U673" i="2"/>
  <c r="U674" i="2" a="1"/>
  <c r="U674" i="2"/>
  <c r="U675" i="2" a="1"/>
  <c r="U675" i="2"/>
  <c r="U676" i="2" a="1"/>
  <c r="U676" i="2" s="1"/>
  <c r="U677" i="2" a="1"/>
  <c r="U677" i="2"/>
  <c r="U678" i="2" a="1"/>
  <c r="U678" i="2"/>
  <c r="U679" i="2" a="1"/>
  <c r="U679" i="2"/>
  <c r="U680" i="2" a="1"/>
  <c r="U680" i="2"/>
  <c r="U681" i="2" a="1"/>
  <c r="U681" i="2" s="1"/>
  <c r="U682" i="2" a="1"/>
  <c r="U682" i="2" s="1"/>
  <c r="U683" i="2" a="1"/>
  <c r="U683" i="2" s="1"/>
  <c r="U684" i="2" a="1"/>
  <c r="U684" i="2"/>
  <c r="U685" i="2" a="1"/>
  <c r="U685" i="2"/>
  <c r="U686" i="2" a="1"/>
  <c r="U686" i="2"/>
  <c r="U687" i="2" a="1"/>
  <c r="U687" i="2"/>
  <c r="U688" i="2" a="1"/>
  <c r="U688" i="2"/>
  <c r="U689" i="2" a="1"/>
  <c r="U689" i="2"/>
  <c r="U690" i="2" a="1"/>
  <c r="U690" i="2" s="1"/>
  <c r="U691" i="2" a="1"/>
  <c r="U691" i="2" s="1"/>
  <c r="U692" i="2" a="1"/>
  <c r="U692" i="2" s="1"/>
  <c r="U693" i="2" a="1"/>
  <c r="U693" i="2"/>
  <c r="U694" i="2" a="1"/>
  <c r="U694" i="2"/>
  <c r="U695" i="2" a="1"/>
  <c r="U695" i="2"/>
  <c r="U696" i="2" a="1"/>
  <c r="U696" i="2"/>
  <c r="U697" i="2" a="1"/>
  <c r="U697" i="2" s="1"/>
  <c r="U698" i="2" a="1"/>
  <c r="U698" i="2"/>
  <c r="U699" i="2" a="1"/>
  <c r="U699" i="2"/>
  <c r="U700" i="2" a="1"/>
  <c r="U700" i="2"/>
  <c r="U701" i="2" a="1"/>
  <c r="U701" i="2" s="1"/>
  <c r="U702" i="2" a="1"/>
  <c r="U702" i="2"/>
  <c r="U703" i="2" a="1"/>
  <c r="U703" i="2" s="1"/>
  <c r="U704" i="2" a="1"/>
  <c r="U704" i="2" s="1"/>
  <c r="U705" i="2" a="1"/>
  <c r="U705" i="2"/>
  <c r="U706" i="2" a="1"/>
  <c r="U706" i="2"/>
  <c r="U707" i="2" a="1"/>
  <c r="U707" i="2"/>
  <c r="U708" i="2" a="1"/>
  <c r="U708" i="2"/>
  <c r="U709" i="2" a="1"/>
  <c r="U709" i="2"/>
  <c r="U710" i="2" a="1"/>
  <c r="U710" i="2"/>
  <c r="U711" i="2" a="1"/>
  <c r="U711" i="2" s="1"/>
  <c r="U712" i="2" a="1"/>
  <c r="U712" i="2"/>
  <c r="U713" i="2" a="1"/>
  <c r="U713" i="2" s="1"/>
  <c r="U714" i="2" a="1"/>
  <c r="U714" i="2"/>
  <c r="U715" i="2" a="1"/>
  <c r="U715" i="2"/>
  <c r="U716" i="2" a="1"/>
  <c r="U716" i="2"/>
  <c r="U717" i="2" a="1"/>
  <c r="U717" i="2"/>
  <c r="U718" i="2" a="1"/>
  <c r="U718" i="2" s="1"/>
  <c r="U719" i="2" a="1"/>
  <c r="U719" i="2"/>
  <c r="U720" i="2" a="1"/>
  <c r="U720" i="2"/>
  <c r="U721" i="2" a="1"/>
  <c r="U721" i="2" s="1"/>
  <c r="U722" i="2" a="1"/>
  <c r="U722" i="2" s="1"/>
  <c r="U723" i="2" a="1"/>
  <c r="U723" i="2"/>
  <c r="U724" i="2" a="1"/>
  <c r="U724" i="2" s="1"/>
  <c r="U725" i="2" a="1"/>
  <c r="U725" i="2" s="1"/>
  <c r="U726" i="2" a="1"/>
  <c r="U726" i="2"/>
  <c r="U727" i="2" a="1"/>
  <c r="U727" i="2"/>
  <c r="U728" i="2" a="1"/>
  <c r="U728" i="2"/>
  <c r="U729" i="2" a="1"/>
  <c r="U729" i="2"/>
  <c r="U730" i="2" a="1"/>
  <c r="U730" i="2"/>
  <c r="U731" i="2" a="1"/>
  <c r="U731" i="2" s="1"/>
  <c r="U732" i="2" a="1"/>
  <c r="U732" i="2"/>
  <c r="U733" i="2" a="1"/>
  <c r="U733" i="2"/>
  <c r="U734" i="2" a="1"/>
  <c r="U734" i="2" s="1"/>
  <c r="U735" i="2" a="1"/>
  <c r="U735" i="2"/>
  <c r="U736" i="2" a="1"/>
  <c r="U736" i="2"/>
  <c r="U737" i="2" a="1"/>
  <c r="U737" i="2"/>
  <c r="U738" i="2" a="1"/>
  <c r="U738" i="2"/>
  <c r="U739" i="2" a="1"/>
  <c r="U739" i="2" s="1"/>
  <c r="U740" i="2" a="1"/>
  <c r="U740" i="2"/>
  <c r="U741" i="2" a="1"/>
  <c r="U741" i="2" s="1"/>
  <c r="U742" i="2" a="1"/>
  <c r="U742" i="2"/>
  <c r="U743" i="2" a="1"/>
  <c r="U743" i="2" s="1"/>
  <c r="U744" i="2" a="1"/>
  <c r="U744" i="2"/>
  <c r="U745" i="2" a="1"/>
  <c r="U745" i="2" s="1"/>
  <c r="U746" i="2" a="1"/>
  <c r="U746" i="2" s="1"/>
  <c r="U747" i="2" a="1"/>
  <c r="U747" i="2"/>
  <c r="U748" i="2" a="1"/>
  <c r="U748" i="2"/>
  <c r="U749" i="2" a="1"/>
  <c r="U749" i="2"/>
  <c r="U750" i="2" a="1"/>
  <c r="U750" i="2"/>
  <c r="U751" i="2" a="1"/>
  <c r="U751" i="2" s="1"/>
  <c r="U752" i="2" a="1"/>
  <c r="U752" i="2"/>
  <c r="U753" i="2" a="1"/>
  <c r="U753" i="2"/>
  <c r="U754" i="2" a="1"/>
  <c r="U754" i="2"/>
  <c r="U755" i="2" a="1"/>
  <c r="U755" i="2" s="1"/>
  <c r="U756" i="2" a="1"/>
  <c r="U756" i="2"/>
  <c r="U757" i="2" a="1"/>
  <c r="U757" i="2"/>
  <c r="U758" i="2" a="1"/>
  <c r="U758" i="2"/>
  <c r="U759" i="2" a="1"/>
  <c r="U759" i="2"/>
  <c r="U760" i="2" a="1"/>
  <c r="U760" i="2" s="1"/>
  <c r="U761" i="2" a="1"/>
  <c r="U761" i="2" s="1"/>
  <c r="U762" i="2" a="1"/>
  <c r="U762" i="2"/>
  <c r="U763" i="2" a="1"/>
  <c r="U763" i="2"/>
  <c r="U764" i="2" a="1"/>
  <c r="U764" i="2" s="1"/>
  <c r="U765" i="2" a="1"/>
  <c r="U765" i="2"/>
  <c r="U766" i="2" a="1"/>
  <c r="U766" i="2" s="1"/>
  <c r="U767" i="2" a="1"/>
  <c r="U767" i="2" s="1"/>
  <c r="U768" i="2" a="1"/>
  <c r="U768" i="2"/>
  <c r="U769" i="2" a="1"/>
  <c r="U769" i="2"/>
  <c r="U770" i="2" a="1"/>
  <c r="U770" i="2"/>
  <c r="U771" i="2" a="1"/>
  <c r="U771" i="2" s="1"/>
  <c r="U772" i="2" a="1"/>
  <c r="U772" i="2"/>
  <c r="U773" i="2" a="1"/>
  <c r="U773" i="2"/>
  <c r="U774" i="2" a="1"/>
  <c r="U774" i="2"/>
  <c r="U775" i="2" a="1"/>
  <c r="U775" i="2"/>
  <c r="U776" i="2" a="1"/>
  <c r="U776" i="2" s="1"/>
  <c r="U777" i="2" a="1"/>
  <c r="U777" i="2"/>
  <c r="U778" i="2" a="1"/>
  <c r="U778" i="2"/>
  <c r="U779" i="2" a="1"/>
  <c r="U779" i="2"/>
  <c r="U780" i="2" a="1"/>
  <c r="U780" i="2"/>
  <c r="U781" i="2" a="1"/>
  <c r="U781" i="2" s="1"/>
  <c r="U782" i="2" a="1"/>
  <c r="U782" i="2"/>
  <c r="U783" i="2" a="1"/>
  <c r="U783" i="2"/>
  <c r="U784" i="2" a="1"/>
  <c r="U784" i="2"/>
  <c r="U785" i="2" a="1"/>
  <c r="U785" i="2" s="1"/>
  <c r="U786" i="2" a="1"/>
  <c r="U786" i="2"/>
  <c r="U787" i="2" a="1"/>
  <c r="U787" i="2" s="1"/>
  <c r="U788" i="2" a="1"/>
  <c r="U788" i="2" s="1"/>
  <c r="U789" i="2" a="1"/>
  <c r="U789" i="2"/>
  <c r="U790" i="2" a="1"/>
  <c r="U790" i="2"/>
  <c r="U791" i="2" a="1"/>
  <c r="U791" i="2" s="1"/>
  <c r="U792" i="2" a="1"/>
  <c r="U792" i="2" s="1"/>
  <c r="U793" i="2" a="1"/>
  <c r="U793" i="2"/>
  <c r="U794" i="2" a="1"/>
  <c r="U794" i="2"/>
  <c r="U795" i="2" a="1"/>
  <c r="U795" i="2"/>
  <c r="U796" i="2" a="1"/>
  <c r="U796" i="2"/>
  <c r="U797" i="2" a="1"/>
  <c r="U797" i="2" s="1"/>
  <c r="U798" i="2" a="1"/>
  <c r="U798" i="2"/>
  <c r="U799" i="2" a="1"/>
  <c r="U799" i="2"/>
  <c r="U800" i="2" a="1"/>
  <c r="U800" i="2"/>
  <c r="U801" i="2" a="1"/>
  <c r="U801" i="2" s="1"/>
  <c r="U802" i="2" a="1"/>
  <c r="U802" i="2"/>
  <c r="U803" i="2" a="1"/>
  <c r="U803" i="2"/>
  <c r="U804" i="2" a="1"/>
  <c r="U804" i="2"/>
  <c r="U805" i="2" a="1"/>
  <c r="U805" i="2"/>
  <c r="U806" i="2" a="1"/>
  <c r="U806" i="2" s="1"/>
  <c r="U807" i="2" a="1"/>
  <c r="U807" i="2"/>
  <c r="U808" i="2" a="1"/>
  <c r="U808" i="2" s="1"/>
  <c r="U809" i="2" a="1"/>
  <c r="U809" i="2" s="1"/>
  <c r="U810" i="2" a="1"/>
  <c r="U810" i="2"/>
  <c r="U811" i="2" a="1"/>
  <c r="U811" i="2" s="1"/>
  <c r="U812" i="2" a="1"/>
  <c r="U812" i="2"/>
  <c r="U813" i="2" a="1"/>
  <c r="U813" i="2" s="1"/>
  <c r="U814" i="2" a="1"/>
  <c r="U814" i="2"/>
  <c r="U815" i="2" a="1"/>
  <c r="U815" i="2"/>
  <c r="U816" i="2" a="1"/>
  <c r="U816" i="2"/>
  <c r="U817" i="2" a="1"/>
  <c r="U817" i="2"/>
  <c r="U818" i="2" a="1"/>
  <c r="U818" i="2" s="1"/>
  <c r="U819" i="2" a="1"/>
  <c r="U819" i="2"/>
  <c r="U820" i="2" a="1"/>
  <c r="U820" i="2"/>
  <c r="U821" i="2" a="1"/>
  <c r="U821" i="2" s="1"/>
  <c r="U822" i="2" a="1"/>
  <c r="U822" i="2"/>
  <c r="U823" i="2" a="1"/>
  <c r="U823" i="2"/>
  <c r="U824" i="2" a="1"/>
  <c r="U824" i="2"/>
  <c r="U825" i="2" a="1"/>
  <c r="U825" i="2"/>
  <c r="U826" i="2" a="1"/>
  <c r="U826" i="2"/>
  <c r="U827" i="2" a="1"/>
  <c r="U827" i="2" s="1"/>
  <c r="U828" i="2" a="1"/>
  <c r="U828" i="2"/>
  <c r="U829" i="2" a="1"/>
  <c r="U829" i="2" s="1"/>
  <c r="U830" i="2" a="1"/>
  <c r="U830" i="2" s="1"/>
  <c r="U831" i="2" a="1"/>
  <c r="U831" i="2" s="1"/>
  <c r="U832" i="2" a="1"/>
  <c r="U832" i="2"/>
  <c r="U833" i="2" a="1"/>
  <c r="U833" i="2"/>
  <c r="U834" i="2" a="1"/>
  <c r="U834" i="2" s="1"/>
  <c r="U835" i="2" a="1"/>
  <c r="U835" i="2"/>
  <c r="U836" i="2" a="1"/>
  <c r="U836" i="2"/>
  <c r="U837" i="2" a="1"/>
  <c r="U837" i="2"/>
  <c r="U838" i="2" a="1"/>
  <c r="U838" i="2"/>
  <c r="U839" i="2" a="1"/>
  <c r="U839" i="2" s="1"/>
  <c r="U840" i="2" a="1"/>
  <c r="U840" i="2"/>
  <c r="U841" i="2" a="1"/>
  <c r="U841" i="2" s="1"/>
  <c r="U842" i="2" a="1"/>
  <c r="U842" i="2"/>
  <c r="U843" i="2" a="1"/>
  <c r="U843" i="2"/>
  <c r="U844" i="2" a="1"/>
  <c r="U844" i="2"/>
  <c r="U845" i="2" a="1"/>
  <c r="U845" i="2"/>
  <c r="U846" i="2" a="1"/>
  <c r="U846" i="2"/>
  <c r="U847" i="2" a="1"/>
  <c r="U847" i="2"/>
  <c r="U848" i="2" a="1"/>
  <c r="U848" i="2" s="1"/>
  <c r="U849" i="2" a="1"/>
  <c r="U849" i="2"/>
  <c r="U850" i="2" a="1"/>
  <c r="U850" i="2" s="1"/>
  <c r="U851" i="2" a="1"/>
  <c r="U851" i="2" s="1"/>
  <c r="U852" i="2" a="1"/>
  <c r="U852" i="2"/>
  <c r="U853" i="2" a="1"/>
  <c r="U853" i="2"/>
  <c r="U854" i="2" a="1"/>
  <c r="U854" i="2"/>
  <c r="U855" i="2" a="1"/>
  <c r="U855" i="2" s="1"/>
  <c r="U856" i="2" a="1"/>
  <c r="U856" i="2"/>
  <c r="U857" i="2" a="1"/>
  <c r="U857" i="2"/>
  <c r="U858" i="2" a="1"/>
  <c r="U858" i="2"/>
  <c r="U859" i="2" a="1"/>
  <c r="U859" i="2"/>
  <c r="U860" i="2" a="1"/>
  <c r="U860" i="2" s="1"/>
  <c r="U861" i="2" a="1"/>
  <c r="U861" i="2"/>
  <c r="U862" i="2" a="1"/>
  <c r="U862" i="2"/>
  <c r="U863" i="2" a="1"/>
  <c r="U863" i="2"/>
  <c r="U864" i="2" a="1"/>
  <c r="U864" i="2"/>
  <c r="U865" i="2" a="1"/>
  <c r="U865" i="2" s="1"/>
  <c r="U866" i="2" a="1"/>
  <c r="U866" i="2"/>
  <c r="U867" i="2" a="1"/>
  <c r="U867" i="2"/>
  <c r="U868" i="2" a="1"/>
  <c r="U868" i="2"/>
  <c r="U869" i="2" a="1"/>
  <c r="U869" i="2"/>
  <c r="U870" i="2" a="1"/>
  <c r="U870" i="2" s="1"/>
  <c r="U871" i="2" a="1"/>
  <c r="U871" i="2"/>
  <c r="U872" i="2" a="1"/>
  <c r="U872" i="2"/>
  <c r="U873" i="2" a="1"/>
  <c r="U873" i="2"/>
  <c r="U874" i="2" a="1"/>
  <c r="U874" i="2"/>
  <c r="U875" i="2" a="1"/>
  <c r="U875" i="2" s="1"/>
  <c r="U876" i="2" a="1"/>
  <c r="U876" i="2"/>
  <c r="U877" i="2" a="1"/>
  <c r="U877" i="2"/>
  <c r="U878" i="2" a="1"/>
  <c r="U878" i="2"/>
  <c r="U879" i="2" a="1"/>
  <c r="U879" i="2"/>
  <c r="U880" i="2" a="1"/>
  <c r="U880" i="2" s="1"/>
  <c r="U881" i="2" a="1"/>
  <c r="U881" i="2"/>
  <c r="U882" i="2" a="1"/>
  <c r="U882" i="2"/>
  <c r="U883" i="2" a="1"/>
  <c r="U883" i="2"/>
  <c r="U884" i="2" a="1"/>
  <c r="U884" i="2"/>
  <c r="U885" i="2" a="1"/>
  <c r="U885" i="2" s="1"/>
  <c r="U886" i="2" a="1"/>
  <c r="U886" i="2"/>
  <c r="U887" i="2" a="1"/>
  <c r="U887" i="2"/>
  <c r="U888" i="2" a="1"/>
  <c r="U888" i="2"/>
  <c r="U889" i="2" a="1"/>
  <c r="U889" i="2"/>
  <c r="U890" i="2" a="1"/>
  <c r="U890" i="2" s="1"/>
  <c r="U891" i="2" a="1"/>
  <c r="U891" i="2"/>
  <c r="U892" i="2" a="1"/>
  <c r="U892" i="2"/>
  <c r="U893" i="2" a="1"/>
  <c r="U893" i="2"/>
  <c r="U894" i="2" a="1"/>
  <c r="U894" i="2"/>
  <c r="U895" i="2" a="1"/>
  <c r="U895" i="2" s="1"/>
  <c r="U896" i="2" a="1"/>
  <c r="U896" i="2"/>
  <c r="U897" i="2" a="1"/>
  <c r="U897" i="2"/>
  <c r="U898" i="2" a="1"/>
  <c r="U898" i="2"/>
  <c r="U899" i="2" a="1"/>
  <c r="U899" i="2"/>
  <c r="U900" i="2" a="1"/>
  <c r="U900" i="2" s="1"/>
  <c r="U901" i="2" a="1"/>
  <c r="U901" i="2"/>
  <c r="U902" i="2" a="1"/>
  <c r="U902" i="2"/>
  <c r="U903" i="2" a="1"/>
  <c r="U903" i="2"/>
  <c r="U904" i="2" a="1"/>
  <c r="U904" i="2"/>
  <c r="U905" i="2" a="1"/>
  <c r="U905" i="2" s="1"/>
  <c r="U906" i="2" a="1"/>
  <c r="U906" i="2"/>
  <c r="U907" i="2" a="1"/>
  <c r="U907" i="2"/>
  <c r="U908" i="2" a="1"/>
  <c r="U908" i="2"/>
  <c r="U909" i="2" a="1"/>
  <c r="U909" i="2"/>
  <c r="U910" i="2" a="1"/>
  <c r="U910" i="2" s="1"/>
  <c r="U911" i="2" a="1"/>
  <c r="U911" i="2"/>
  <c r="U912" i="2" a="1"/>
  <c r="U912" i="2"/>
  <c r="U913" i="2" a="1"/>
  <c r="U913" i="2"/>
  <c r="U914" i="2" a="1"/>
  <c r="U914" i="2"/>
  <c r="U915" i="2" a="1"/>
  <c r="U915" i="2" s="1"/>
  <c r="U916" i="2" a="1"/>
  <c r="U916" i="2"/>
  <c r="U917" i="2" a="1"/>
  <c r="U917" i="2"/>
  <c r="U918" i="2" a="1"/>
  <c r="U918" i="2"/>
  <c r="U919" i="2" a="1"/>
  <c r="U919" i="2"/>
  <c r="U920" i="2" a="1"/>
  <c r="U920" i="2" s="1"/>
  <c r="U921" i="2" a="1"/>
  <c r="U921" i="2"/>
  <c r="U922" i="2" a="1"/>
  <c r="U922" i="2"/>
  <c r="U923" i="2" a="1"/>
  <c r="U923" i="2"/>
  <c r="U924" i="2" a="1"/>
  <c r="U924" i="2"/>
  <c r="U925" i="2" a="1"/>
  <c r="U925" i="2" s="1"/>
  <c r="U926" i="2" a="1"/>
  <c r="U926" i="2"/>
  <c r="U927" i="2" a="1"/>
  <c r="U927" i="2"/>
  <c r="U928" i="2" a="1"/>
  <c r="U928" i="2"/>
  <c r="U929" i="2" a="1"/>
  <c r="U929" i="2"/>
  <c r="U930" i="2" a="1"/>
  <c r="U930" i="2" s="1"/>
  <c r="U931" i="2" a="1"/>
  <c r="U931" i="2"/>
  <c r="U932" i="2" a="1"/>
  <c r="U932" i="2"/>
  <c r="U933" i="2" a="1"/>
  <c r="U933" i="2"/>
  <c r="U934" i="2" a="1"/>
  <c r="U934" i="2"/>
  <c r="U935" i="2" a="1"/>
  <c r="U935" i="2" s="1"/>
  <c r="U936" i="2" a="1"/>
  <c r="U936" i="2"/>
  <c r="U937" i="2" a="1"/>
  <c r="U937" i="2"/>
  <c r="U938" i="2" a="1"/>
  <c r="U938" i="2"/>
  <c r="U939" i="2" a="1"/>
  <c r="U939" i="2"/>
  <c r="U940" i="2" a="1"/>
  <c r="U940" i="2" s="1"/>
  <c r="U941" i="2" a="1"/>
  <c r="U941" i="2"/>
  <c r="U942" i="2" a="1"/>
  <c r="U942" i="2"/>
  <c r="U943" i="2" a="1"/>
  <c r="U943" i="2"/>
  <c r="U944" i="2" a="1"/>
  <c r="U944" i="2"/>
  <c r="U945" i="2" a="1"/>
  <c r="U945" i="2" s="1"/>
  <c r="U946" i="2" a="1"/>
  <c r="U946" i="2"/>
  <c r="U947" i="2" a="1"/>
  <c r="U947" i="2"/>
  <c r="U948" i="2" a="1"/>
  <c r="U948" i="2"/>
  <c r="U949" i="2" a="1"/>
  <c r="U949" i="2"/>
  <c r="U950" i="2" a="1"/>
  <c r="U950" i="2" s="1"/>
  <c r="U951" i="2" a="1"/>
  <c r="U951" i="2"/>
  <c r="U952" i="2" a="1"/>
  <c r="U952" i="2"/>
  <c r="U953" i="2" a="1"/>
  <c r="U953" i="2"/>
  <c r="U954" i="2" a="1"/>
  <c r="U954" i="2"/>
  <c r="U955" i="2" a="1"/>
  <c r="U955" i="2" s="1"/>
  <c r="U956" i="2" a="1"/>
  <c r="U956" i="2"/>
  <c r="U957" i="2" a="1"/>
  <c r="U957" i="2"/>
  <c r="U958" i="2" a="1"/>
  <c r="U958" i="2"/>
  <c r="U959" i="2" a="1"/>
  <c r="U959" i="2"/>
  <c r="U960" i="2" a="1"/>
  <c r="U960" i="2" s="1"/>
  <c r="U961" i="2" a="1"/>
  <c r="U961" i="2"/>
  <c r="U962" i="2" a="1"/>
  <c r="U962" i="2"/>
  <c r="U963" i="2" a="1"/>
  <c r="U963" i="2"/>
  <c r="U964" i="2" a="1"/>
  <c r="U964" i="2"/>
  <c r="U965" i="2" a="1"/>
  <c r="U965" i="2" s="1"/>
  <c r="U966" i="2" a="1"/>
  <c r="U966" i="2"/>
  <c r="U967" i="2" a="1"/>
  <c r="U967" i="2"/>
  <c r="U968" i="2" a="1"/>
  <c r="U968" i="2"/>
  <c r="U969" i="2" a="1"/>
  <c r="U969" i="2"/>
  <c r="U970" i="2" a="1"/>
  <c r="U970" i="2" s="1"/>
  <c r="U971" i="2" a="1"/>
  <c r="U971" i="2"/>
  <c r="U972" i="2" a="1"/>
  <c r="U972" i="2"/>
  <c r="U973" i="2" a="1"/>
  <c r="U973" i="2"/>
  <c r="U974" i="2" a="1"/>
  <c r="U974" i="2"/>
  <c r="U975" i="2" a="1"/>
  <c r="U975" i="2" s="1"/>
  <c r="U976" i="2" a="1"/>
  <c r="U976" i="2"/>
  <c r="U977" i="2" a="1"/>
  <c r="U977" i="2"/>
  <c r="U978" i="2" a="1"/>
  <c r="U978" i="2"/>
  <c r="U979" i="2" a="1"/>
  <c r="U979" i="2"/>
  <c r="U980" i="2" a="1"/>
  <c r="U980" i="2" s="1"/>
  <c r="U981" i="2" a="1"/>
  <c r="U981" i="2"/>
  <c r="U982" i="2" a="1"/>
  <c r="U982" i="2"/>
  <c r="U983" i="2" a="1"/>
  <c r="U983" i="2"/>
  <c r="U984" i="2" a="1"/>
  <c r="U984" i="2"/>
  <c r="U985" i="2" a="1"/>
  <c r="U985" i="2" s="1"/>
  <c r="U986" i="2" a="1"/>
  <c r="U986" i="2"/>
  <c r="U987" i="2" a="1"/>
  <c r="U987" i="2"/>
  <c r="U988" i="2" a="1"/>
  <c r="U988" i="2"/>
  <c r="U989" i="2" a="1"/>
  <c r="U989" i="2"/>
  <c r="U990" i="2" a="1"/>
  <c r="U990" i="2" s="1"/>
  <c r="U991" i="2" a="1"/>
  <c r="U991" i="2"/>
  <c r="U992" i="2" a="1"/>
  <c r="U992" i="2"/>
  <c r="U993" i="2" a="1"/>
  <c r="U993" i="2"/>
  <c r="U994" i="2" a="1"/>
  <c r="U994" i="2"/>
  <c r="U995" i="2" a="1"/>
  <c r="U995" i="2" s="1"/>
  <c r="U996" i="2" a="1"/>
  <c r="U996" i="2"/>
  <c r="U997" i="2" a="1"/>
  <c r="U997" i="2"/>
  <c r="U998" i="2" a="1"/>
  <c r="U998" i="2"/>
  <c r="U999" i="2" a="1"/>
  <c r="U999" i="2"/>
  <c r="U1000" i="2" a="1"/>
  <c r="U1000" i="2" s="1"/>
  <c r="U1001" i="2" a="1"/>
  <c r="U1001" i="2"/>
  <c r="U1002" i="2" a="1"/>
  <c r="U1002" i="2"/>
  <c r="U1003" i="2" a="1"/>
  <c r="U1003" i="2"/>
  <c r="U1004" i="2" a="1"/>
  <c r="U1004" i="2"/>
  <c r="U1005" i="2" a="1"/>
  <c r="U1005" i="2" s="1"/>
  <c r="U1006" i="2" a="1"/>
  <c r="U1006" i="2"/>
  <c r="U1007" i="2" a="1"/>
  <c r="U1007" i="2"/>
  <c r="U1008" i="2" a="1"/>
  <c r="U1008" i="2"/>
  <c r="U1009" i="2" a="1"/>
  <c r="U1009" i="2"/>
  <c r="U1010" i="2" a="1"/>
  <c r="U1010" i="2" s="1"/>
  <c r="U1011" i="2" a="1"/>
  <c r="U1011" i="2"/>
  <c r="U1012" i="2" a="1"/>
  <c r="U1012" i="2"/>
  <c r="U1013" i="2" a="1"/>
  <c r="U1013" i="2"/>
  <c r="U1014" i="2" a="1"/>
  <c r="U1014" i="2"/>
  <c r="U1015" i="2" a="1"/>
  <c r="U1015" i="2" s="1"/>
  <c r="U1016" i="2" a="1"/>
  <c r="U1016" i="2"/>
  <c r="U1017" i="2" a="1"/>
  <c r="U1017" i="2"/>
  <c r="U1018" i="2" a="1"/>
  <c r="U1018" i="2"/>
  <c r="U1019" i="2" a="1"/>
  <c r="U1019" i="2"/>
  <c r="U1020" i="2" a="1"/>
  <c r="U1020" i="2" s="1"/>
  <c r="U1021" i="2" a="1"/>
  <c r="U1021" i="2" s="1"/>
  <c r="U1022" i="2" a="1"/>
  <c r="U1022" i="2"/>
  <c r="U1023" i="2" a="1"/>
  <c r="U1023" i="2"/>
  <c r="U1024" i="2" a="1"/>
  <c r="U1024" i="2"/>
  <c r="U1025" i="2" a="1"/>
  <c r="U1025" i="2" s="1"/>
  <c r="U1026" i="2" a="1"/>
  <c r="U1026" i="2"/>
  <c r="U1027" i="2" a="1"/>
  <c r="U1027" i="2"/>
  <c r="U1028" i="2" a="1"/>
  <c r="U1028" i="2"/>
  <c r="U1029" i="2" a="1"/>
  <c r="U1029" i="2"/>
  <c r="U1030" i="2" a="1"/>
  <c r="U1030" i="2" s="1"/>
  <c r="U1031" i="2" a="1"/>
  <c r="U1031" i="2" s="1"/>
  <c r="U1032" i="2" a="1"/>
  <c r="U1032" i="2"/>
  <c r="U1033" i="2" a="1"/>
  <c r="U1033" i="2"/>
  <c r="U1034" i="2" a="1"/>
  <c r="U1034" i="2"/>
  <c r="U1035" i="2" a="1"/>
  <c r="U1035" i="2" s="1"/>
  <c r="U1036" i="2" a="1"/>
  <c r="U1036" i="2"/>
  <c r="U1037" i="2" a="1"/>
  <c r="U1037" i="2"/>
  <c r="U1038" i="2" a="1"/>
  <c r="U1038" i="2"/>
  <c r="U1039" i="2" a="1"/>
  <c r="U1039" i="2"/>
  <c r="U1040" i="2" a="1"/>
  <c r="U1040" i="2" s="1"/>
  <c r="U1041" i="2" a="1"/>
  <c r="U1041" i="2" s="1"/>
  <c r="U1042" i="2" a="1"/>
  <c r="U1042" i="2"/>
  <c r="U1043" i="2" a="1"/>
  <c r="U1043" i="2"/>
  <c r="U1044" i="2" a="1"/>
  <c r="U1044" i="2"/>
  <c r="U1045" i="2" a="1"/>
  <c r="U1045" i="2" s="1"/>
  <c r="U1046" i="2" a="1"/>
  <c r="U1046" i="2"/>
  <c r="U1047" i="2" a="1"/>
  <c r="U1047" i="2"/>
  <c r="U1048" i="2" a="1"/>
  <c r="U1048" i="2"/>
  <c r="U1049" i="2" a="1"/>
  <c r="U1049" i="2"/>
  <c r="U1050" i="2" a="1"/>
  <c r="U1050" i="2" s="1"/>
  <c r="U1051" i="2" a="1"/>
  <c r="U1051" i="2" s="1"/>
  <c r="U1052" i="2" a="1"/>
  <c r="U1052" i="2"/>
  <c r="U1053" i="2" a="1"/>
  <c r="U1053" i="2"/>
  <c r="U1054" i="2" a="1"/>
  <c r="U1054" i="2"/>
  <c r="U1055" i="2" a="1"/>
  <c r="U1055" i="2" s="1"/>
  <c r="U1056" i="2" a="1"/>
  <c r="U1056" i="2"/>
  <c r="U1057" i="2" a="1"/>
  <c r="U1057" i="2"/>
  <c r="U1058" i="2" a="1"/>
  <c r="U1058" i="2"/>
  <c r="U1059" i="2" a="1"/>
  <c r="U1059" i="2"/>
  <c r="U1060" i="2" a="1"/>
  <c r="U1060" i="2" s="1"/>
  <c r="U1061" i="2" a="1"/>
  <c r="U1061" i="2" s="1"/>
  <c r="U1062" i="2" a="1"/>
  <c r="U1062" i="2"/>
  <c r="U1063" i="2" a="1"/>
  <c r="U1063" i="2"/>
  <c r="U1064" i="2" a="1"/>
  <c r="U1064" i="2"/>
  <c r="U1065" i="2" a="1"/>
  <c r="U1065" i="2" s="1"/>
  <c r="U1066" i="2" a="1"/>
  <c r="U1066" i="2"/>
  <c r="U1067" i="2" a="1"/>
  <c r="U1067" i="2"/>
  <c r="U1068" i="2" a="1"/>
  <c r="U1068" i="2"/>
  <c r="U1069" i="2" a="1"/>
  <c r="U1069" i="2"/>
  <c r="U1070" i="2" a="1"/>
  <c r="U1070" i="2" s="1"/>
  <c r="U1071" i="2" a="1"/>
  <c r="U1071" i="2" s="1"/>
  <c r="U1072" i="2" a="1"/>
  <c r="U1072" i="2"/>
  <c r="U1073" i="2" a="1"/>
  <c r="U1073" i="2"/>
  <c r="U1074" i="2" a="1"/>
  <c r="U1074" i="2"/>
  <c r="U1075" i="2" a="1"/>
  <c r="U1075" i="2" s="1"/>
  <c r="U1076" i="2" a="1"/>
  <c r="U1076" i="2"/>
  <c r="U1077" i="2" a="1"/>
  <c r="U1077" i="2"/>
  <c r="U1078" i="2" a="1"/>
  <c r="U1078" i="2"/>
  <c r="U1079" i="2" a="1"/>
  <c r="U1079" i="2"/>
  <c r="U1080" i="2" a="1"/>
  <c r="U1080" i="2" s="1"/>
  <c r="U1081" i="2" a="1"/>
  <c r="U1081" i="2" s="1"/>
  <c r="U1082" i="2" a="1"/>
  <c r="U1082" i="2"/>
  <c r="U1083" i="2" a="1"/>
  <c r="U1083" i="2"/>
  <c r="U1084" i="2" a="1"/>
  <c r="U1084" i="2"/>
  <c r="U1085" i="2" a="1"/>
  <c r="U1085" i="2" s="1"/>
  <c r="U1086" i="2" a="1"/>
  <c r="U1086" i="2"/>
  <c r="U1087" i="2" a="1"/>
  <c r="U1087" i="2"/>
  <c r="U1088" i="2" a="1"/>
  <c r="U1088" i="2"/>
  <c r="U1089" i="2" a="1"/>
  <c r="U1089" i="2"/>
  <c r="U1090" i="2" a="1"/>
  <c r="U1090" i="2" s="1"/>
  <c r="U1091" i="2" a="1"/>
  <c r="U1091" i="2" s="1"/>
  <c r="U1092" i="2" a="1"/>
  <c r="U1092" i="2"/>
  <c r="U1093" i="2" a="1"/>
  <c r="U1093" i="2"/>
  <c r="U1094" i="2" a="1"/>
  <c r="U1094" i="2"/>
  <c r="U1095" i="2" a="1"/>
  <c r="U1095" i="2" s="1"/>
  <c r="U1096" i="2" a="1"/>
  <c r="U1096" i="2"/>
  <c r="U1097" i="2" a="1"/>
  <c r="U1097" i="2"/>
  <c r="U1098" i="2" a="1"/>
  <c r="U1098" i="2"/>
  <c r="U1099" i="2" a="1"/>
  <c r="U1099" i="2"/>
  <c r="U1100" i="2" a="1"/>
  <c r="U1100" i="2" s="1"/>
  <c r="U1101" i="2" a="1"/>
  <c r="U1101" i="2" s="1"/>
  <c r="U1102" i="2" a="1"/>
  <c r="U1102" i="2"/>
  <c r="U1103" i="2" a="1"/>
  <c r="U1103" i="2"/>
  <c r="U1104" i="2" a="1"/>
  <c r="U1104" i="2"/>
  <c r="U1105" i="2" a="1"/>
  <c r="U1105" i="2" s="1"/>
  <c r="U1106" i="2" a="1"/>
  <c r="U1106" i="2"/>
  <c r="U1107" i="2" a="1"/>
  <c r="U1107" i="2"/>
  <c r="U1108" i="2" a="1"/>
  <c r="U1108" i="2"/>
  <c r="U1109" i="2" a="1"/>
  <c r="U1109" i="2"/>
  <c r="U1110" i="2" a="1"/>
  <c r="U1110" i="2" s="1"/>
  <c r="U1111" i="2" a="1"/>
  <c r="U1111" i="2" s="1"/>
  <c r="U1112" i="2" a="1"/>
  <c r="U1112" i="2"/>
  <c r="U1113" i="2" a="1"/>
  <c r="U1113" i="2"/>
  <c r="U1114" i="2" a="1"/>
  <c r="U1114" i="2"/>
  <c r="U1115" i="2" a="1"/>
  <c r="U1115" i="2" s="1"/>
  <c r="U1116" i="2" a="1"/>
  <c r="U1116" i="2"/>
  <c r="U1117" i="2" a="1"/>
  <c r="U1117" i="2"/>
  <c r="U1118" i="2" a="1"/>
  <c r="U1118" i="2"/>
  <c r="U1119" i="2" a="1"/>
  <c r="U1119" i="2"/>
  <c r="U1120" i="2" a="1"/>
  <c r="U1120" i="2" s="1"/>
  <c r="U1121" i="2" a="1"/>
  <c r="U1121" i="2" s="1"/>
  <c r="U1122" i="2" a="1"/>
  <c r="U1122" i="2"/>
  <c r="U1123" i="2" a="1"/>
  <c r="U1123" i="2"/>
  <c r="U1124" i="2" a="1"/>
  <c r="U1124" i="2"/>
  <c r="U1125" i="2" a="1"/>
  <c r="U1125" i="2" s="1"/>
  <c r="U1126" i="2" a="1"/>
  <c r="U1126" i="2"/>
  <c r="U1127" i="2" a="1"/>
  <c r="U1127" i="2"/>
  <c r="U1128" i="2" a="1"/>
  <c r="U1128" i="2"/>
  <c r="U1129" i="2" a="1"/>
  <c r="U1129" i="2"/>
  <c r="U1130" i="2" a="1"/>
  <c r="U1130" i="2" s="1"/>
  <c r="U1131" i="2" a="1"/>
  <c r="U1131" i="2" s="1"/>
  <c r="U1132" i="2" a="1"/>
  <c r="U1132" i="2"/>
  <c r="U1133" i="2" a="1"/>
  <c r="U1133" i="2"/>
  <c r="U1134" i="2" a="1"/>
  <c r="U1134" i="2"/>
  <c r="U1135" i="2" a="1"/>
  <c r="U1135" i="2" s="1"/>
  <c r="U1136" i="2" a="1"/>
  <c r="U1136" i="2"/>
  <c r="U1137" i="2" a="1"/>
  <c r="U1137" i="2"/>
  <c r="U1138" i="2" a="1"/>
  <c r="U1138" i="2"/>
  <c r="U1139" i="2" a="1"/>
  <c r="U1139" i="2"/>
  <c r="U1140" i="2" a="1"/>
  <c r="U1140" i="2" s="1"/>
  <c r="U1141" i="2" a="1"/>
  <c r="U1141" i="2" s="1"/>
  <c r="U1142" i="2" a="1"/>
  <c r="U1142" i="2"/>
  <c r="U1143" i="2" a="1"/>
  <c r="U1143" i="2"/>
  <c r="U1144" i="2" a="1"/>
  <c r="U1144" i="2"/>
  <c r="U1145" i="2" a="1"/>
  <c r="U1145" i="2" s="1"/>
  <c r="U1146" i="2" a="1"/>
  <c r="U1146" i="2"/>
  <c r="U1147" i="2" a="1"/>
  <c r="U1147" i="2"/>
  <c r="U1148" i="2" a="1"/>
  <c r="U1148" i="2"/>
  <c r="U1149" i="2" a="1"/>
  <c r="U1149" i="2"/>
  <c r="U1150" i="2" a="1"/>
  <c r="U1150" i="2" s="1"/>
  <c r="U1151" i="2" a="1"/>
  <c r="U1151" i="2" s="1"/>
  <c r="U1152" i="2" a="1"/>
  <c r="U1152" i="2"/>
  <c r="U1153" i="2" a="1"/>
  <c r="U1153" i="2"/>
  <c r="U1154" i="2" a="1"/>
  <c r="U1154" i="2"/>
  <c r="U1155" i="2" a="1"/>
  <c r="U1155" i="2" s="1"/>
  <c r="U1156" i="2" a="1"/>
  <c r="U1156" i="2"/>
  <c r="U1157" i="2" a="1"/>
  <c r="U1157" i="2"/>
  <c r="U1158" i="2" a="1"/>
  <c r="U1158" i="2"/>
  <c r="U1159" i="2" a="1"/>
  <c r="U1159" i="2"/>
  <c r="U1160" i="2" a="1"/>
  <c r="U1160" i="2" s="1"/>
  <c r="U1161" i="2" a="1"/>
  <c r="U1161" i="2" s="1"/>
  <c r="U1162" i="2" a="1"/>
  <c r="U1162" i="2"/>
  <c r="U1163" i="2" a="1"/>
  <c r="U1163" i="2"/>
  <c r="U1164" i="2" a="1"/>
  <c r="U1164" i="2"/>
  <c r="U1165" i="2" a="1"/>
  <c r="U1165" i="2" s="1"/>
  <c r="U1166" i="2" a="1"/>
  <c r="U1166" i="2"/>
  <c r="U1167" i="2" a="1"/>
  <c r="U1167" i="2"/>
  <c r="U1168" i="2" a="1"/>
  <c r="U1168" i="2"/>
  <c r="U1169" i="2" a="1"/>
  <c r="U1169" i="2"/>
  <c r="U1170" i="2" a="1"/>
  <c r="U1170" i="2" s="1"/>
  <c r="U1171" i="2" a="1"/>
  <c r="U1171" i="2" s="1"/>
  <c r="U1172" i="2" a="1"/>
  <c r="U1172" i="2"/>
  <c r="U1173" i="2" a="1"/>
  <c r="U1173" i="2"/>
  <c r="U1174" i="2" a="1"/>
  <c r="U1174" i="2"/>
  <c r="U1175" i="2" a="1"/>
  <c r="U1175" i="2" s="1"/>
  <c r="U1176" i="2" a="1"/>
  <c r="U1176" i="2"/>
  <c r="U1177" i="2" a="1"/>
  <c r="U1177" i="2"/>
  <c r="U1178" i="2" a="1"/>
  <c r="U1178" i="2"/>
  <c r="U1179" i="2" a="1"/>
  <c r="U1179" i="2"/>
  <c r="U1180" i="2" a="1"/>
  <c r="U1180" i="2" s="1"/>
  <c r="U1181" i="2" a="1"/>
  <c r="U1181" i="2" s="1"/>
  <c r="U1182" i="2" a="1"/>
  <c r="U1182" i="2"/>
  <c r="U1183" i="2" a="1"/>
  <c r="U1183" i="2"/>
  <c r="U1184" i="2" a="1"/>
  <c r="U1184" i="2"/>
  <c r="U1185" i="2" a="1"/>
  <c r="U1185" i="2" s="1"/>
  <c r="U1186" i="2" a="1"/>
  <c r="U1186" i="2"/>
  <c r="U1187" i="2" a="1"/>
  <c r="U1187" i="2" s="1"/>
  <c r="U1188" i="2" a="1"/>
  <c r="U1188" i="2"/>
  <c r="U1189" i="2" a="1"/>
  <c r="U1189" i="2"/>
  <c r="U1190" i="2" a="1"/>
  <c r="U1190" i="2" s="1"/>
  <c r="U1191" i="2" a="1"/>
  <c r="U1191" i="2" s="1"/>
  <c r="U1192" i="2" a="1"/>
  <c r="U1192" i="2"/>
  <c r="U1193" i="2" a="1"/>
  <c r="U1193" i="2"/>
  <c r="U1194" i="2" a="1"/>
  <c r="U1194" i="2"/>
  <c r="U1195" i="2" a="1"/>
  <c r="U1195" i="2" s="1"/>
  <c r="U1196" i="2" a="1"/>
  <c r="U1196" i="2"/>
  <c r="U1197" i="2" a="1"/>
  <c r="U1197" i="2"/>
  <c r="U1198" i="2" a="1"/>
  <c r="U1198" i="2"/>
  <c r="U1199" i="2" a="1"/>
  <c r="U1199" i="2"/>
  <c r="U1200" i="2" a="1"/>
  <c r="U1200" i="2" s="1"/>
  <c r="U1201" i="2" a="1"/>
  <c r="U1201" i="2" s="1"/>
  <c r="U1202" i="2" a="1"/>
  <c r="U1202" i="2"/>
  <c r="U1203" i="2" a="1"/>
  <c r="U1203" i="2"/>
  <c r="U1204" i="2" a="1"/>
  <c r="U1204" i="2"/>
  <c r="U1205" i="2" a="1"/>
  <c r="U1205" i="2" s="1"/>
  <c r="U1206" i="2" a="1"/>
  <c r="U1206" i="2"/>
  <c r="U1207" i="2" a="1"/>
  <c r="U1207" i="2"/>
  <c r="U1208" i="2" a="1"/>
  <c r="U1208" i="2"/>
  <c r="U1209" i="2" a="1"/>
  <c r="U1209" i="2"/>
  <c r="U1210" i="2" a="1"/>
  <c r="U1210" i="2" s="1"/>
  <c r="U1211" i="2" a="1"/>
  <c r="U1211" i="2" s="1"/>
  <c r="U1212" i="2" a="1"/>
  <c r="U1212" i="2"/>
  <c r="U1213" i="2" a="1"/>
  <c r="U1213" i="2"/>
  <c r="U1214" i="2" a="1"/>
  <c r="U1214" i="2"/>
  <c r="U1215" i="2" a="1"/>
  <c r="U1215" i="2" s="1"/>
  <c r="U1216" i="2" a="1"/>
  <c r="U1216" i="2"/>
  <c r="U1217" i="2" a="1"/>
  <c r="U1217" i="2"/>
  <c r="U1218" i="2" a="1"/>
  <c r="U1218" i="2"/>
  <c r="U1219" i="2" a="1"/>
  <c r="U1219" i="2"/>
  <c r="U1220" i="2" a="1"/>
  <c r="U1220" i="2" s="1"/>
  <c r="U1221" i="2" a="1"/>
  <c r="U1221" i="2" s="1"/>
  <c r="U1222" i="2" a="1"/>
  <c r="U1222" i="2"/>
  <c r="U1223" i="2" a="1"/>
  <c r="U1223" i="2"/>
  <c r="U1224" i="2" a="1"/>
  <c r="U1224" i="2"/>
  <c r="U1225" i="2" a="1"/>
  <c r="U1225" i="2" s="1"/>
  <c r="U1226" i="2" a="1"/>
  <c r="U1226" i="2"/>
  <c r="U1227" i="2" a="1"/>
  <c r="U1227" i="2"/>
  <c r="U1228" i="2" a="1"/>
  <c r="U1228" i="2"/>
  <c r="U1229" i="2" a="1"/>
  <c r="U1229" i="2"/>
  <c r="U1230" i="2" a="1"/>
  <c r="U1230" i="2" s="1"/>
  <c r="U1231" i="2" a="1"/>
  <c r="U1231" i="2" s="1"/>
  <c r="U1232" i="2" a="1"/>
  <c r="U1232" i="2"/>
  <c r="U1233" i="2" a="1"/>
  <c r="U1233" i="2"/>
  <c r="U1234" i="2" a="1"/>
  <c r="U1234" i="2"/>
  <c r="U1235" i="2" a="1"/>
  <c r="U1235" i="2" s="1"/>
  <c r="U1236" i="2" a="1"/>
  <c r="U1236" i="2"/>
  <c r="U1237" i="2" a="1"/>
  <c r="U1237" i="2"/>
  <c r="U1238" i="2" a="1"/>
  <c r="U1238" i="2"/>
  <c r="U1239" i="2" a="1"/>
  <c r="U1239" i="2"/>
  <c r="U1240" i="2" a="1"/>
  <c r="U1240" i="2" s="1"/>
  <c r="U1241" i="2" a="1"/>
  <c r="U1241" i="2" s="1"/>
  <c r="U1242" i="2" a="1"/>
  <c r="U1242" i="2"/>
  <c r="U1243" i="2" a="1"/>
  <c r="U1243" i="2"/>
  <c r="U1244" i="2" a="1"/>
  <c r="U1244" i="2"/>
  <c r="U1245" i="2" a="1"/>
  <c r="U1245" i="2" s="1"/>
  <c r="U1246" i="2" a="1"/>
  <c r="U1246" i="2"/>
  <c r="U1247" i="2" a="1"/>
  <c r="U1247" i="2"/>
  <c r="U1248" i="2" a="1"/>
  <c r="U1248" i="2"/>
  <c r="U1249" i="2" a="1"/>
  <c r="U1249" i="2"/>
  <c r="U1250" i="2" a="1"/>
  <c r="U1250" i="2" s="1"/>
  <c r="U1251" i="2" a="1"/>
  <c r="U1251" i="2" s="1"/>
  <c r="U1252" i="2" a="1"/>
  <c r="U1252" i="2"/>
  <c r="U1253" i="2" a="1"/>
  <c r="U1253" i="2"/>
  <c r="U1254" i="2" a="1"/>
  <c r="U1254" i="2"/>
  <c r="U1255" i="2" a="1"/>
  <c r="U1255" i="2" s="1"/>
  <c r="U1256" i="2" a="1"/>
  <c r="U1256" i="2"/>
  <c r="U1257" i="2" a="1"/>
  <c r="U1257" i="2"/>
  <c r="U1258" i="2" a="1"/>
  <c r="U1258" i="2"/>
  <c r="U1259" i="2" a="1"/>
  <c r="U1259" i="2"/>
  <c r="U1260" i="2" a="1"/>
  <c r="U1260" i="2" s="1"/>
  <c r="U1261" i="2" a="1"/>
  <c r="U1261" i="2" s="1"/>
  <c r="U1262" i="2" a="1"/>
  <c r="U1262" i="2"/>
  <c r="U1263" i="2" a="1"/>
  <c r="U1263" i="2"/>
  <c r="U1264" i="2" a="1"/>
  <c r="U1264" i="2"/>
  <c r="U1265" i="2" a="1"/>
  <c r="U1265" i="2" s="1"/>
  <c r="U1266" i="2" a="1"/>
  <c r="U1266" i="2"/>
  <c r="U1267" i="2" a="1"/>
  <c r="U1267" i="2"/>
  <c r="U1268" i="2" a="1"/>
  <c r="U1268" i="2"/>
  <c r="U1269" i="2" a="1"/>
  <c r="U1269" i="2"/>
  <c r="U1270" i="2" a="1"/>
  <c r="U1270" i="2" s="1"/>
  <c r="U1271" i="2" a="1"/>
  <c r="U1271" i="2" s="1"/>
  <c r="U1272" i="2" a="1"/>
  <c r="U1272" i="2"/>
  <c r="U1273" i="2" a="1"/>
  <c r="U1273" i="2"/>
  <c r="U1274" i="2" a="1"/>
  <c r="U1274" i="2"/>
  <c r="U1275" i="2" a="1"/>
  <c r="U1275" i="2" s="1"/>
  <c r="U1276" i="2" a="1"/>
  <c r="U1276" i="2"/>
  <c r="U1277" i="2" a="1"/>
  <c r="U1277" i="2"/>
  <c r="U1278" i="2" a="1"/>
  <c r="U1278" i="2"/>
  <c r="U1279" i="2" a="1"/>
  <c r="U1279" i="2"/>
  <c r="U1280" i="2" a="1"/>
  <c r="U1280" i="2" s="1"/>
  <c r="U1281" i="2" a="1"/>
  <c r="U1281" i="2" s="1"/>
  <c r="U1282" i="2" a="1"/>
  <c r="U1282" i="2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Y217" i="3"/>
  <c r="Y218" i="3"/>
  <c r="Y219" i="3"/>
  <c r="Y220" i="3"/>
  <c r="Y221" i="3"/>
  <c r="Y222" i="3"/>
  <c r="Y223" i="3"/>
  <c r="Y224" i="3"/>
  <c r="Y225" i="3"/>
  <c r="Y226" i="3"/>
  <c r="Y227" i="3"/>
  <c r="Y228" i="3"/>
  <c r="Y229" i="3"/>
  <c r="Y230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Y243" i="3"/>
  <c r="Y244" i="3"/>
  <c r="Y245" i="3"/>
  <c r="Y246" i="3"/>
  <c r="Y247" i="3"/>
  <c r="Y248" i="3"/>
  <c r="Y249" i="3"/>
  <c r="Y250" i="3"/>
  <c r="Y251" i="3"/>
  <c r="Y252" i="3"/>
  <c r="Y253" i="3"/>
  <c r="Y254" i="3"/>
  <c r="Y255" i="3"/>
  <c r="Y256" i="3"/>
  <c r="Y257" i="3"/>
  <c r="Y258" i="3"/>
  <c r="Y259" i="3"/>
  <c r="Y260" i="3"/>
  <c r="Y261" i="3"/>
  <c r="Y262" i="3"/>
  <c r="Y263" i="3"/>
  <c r="Y264" i="3"/>
  <c r="Y265" i="3"/>
  <c r="Y266" i="3"/>
  <c r="Y267" i="3"/>
  <c r="Y268" i="3"/>
  <c r="Y269" i="3"/>
  <c r="Y270" i="3"/>
  <c r="Y271" i="3"/>
  <c r="Y272" i="3"/>
  <c r="Y273" i="3"/>
  <c r="Y274" i="3"/>
  <c r="Y275" i="3"/>
  <c r="Y276" i="3"/>
  <c r="Y277" i="3"/>
  <c r="Y278" i="3"/>
  <c r="Y279" i="3"/>
  <c r="Y280" i="3"/>
  <c r="Y281" i="3"/>
  <c r="Y282" i="3"/>
  <c r="Y283" i="3"/>
  <c r="Y284" i="3"/>
  <c r="Y285" i="3"/>
  <c r="Y286" i="3"/>
  <c r="Y287" i="3"/>
  <c r="Y288" i="3"/>
  <c r="Y289" i="3"/>
  <c r="Y290" i="3"/>
  <c r="Y291" i="3"/>
  <c r="Y292" i="3"/>
  <c r="Y293" i="3"/>
  <c r="Y294" i="3"/>
  <c r="Y295" i="3"/>
  <c r="Y296" i="3"/>
  <c r="Y297" i="3"/>
  <c r="Y298" i="3"/>
  <c r="Y299" i="3"/>
  <c r="Y300" i="3"/>
  <c r="Y301" i="3"/>
  <c r="Y302" i="3"/>
  <c r="Y303" i="3"/>
  <c r="Y304" i="3"/>
  <c r="Y305" i="3"/>
  <c r="Y306" i="3"/>
  <c r="Y307" i="3"/>
  <c r="Y308" i="3"/>
  <c r="Y309" i="3"/>
  <c r="Y310" i="3"/>
  <c r="Y311" i="3"/>
  <c r="Y312" i="3"/>
  <c r="Y313" i="3"/>
  <c r="Y314" i="3"/>
  <c r="Y315" i="3"/>
  <c r="Y316" i="3"/>
  <c r="Y317" i="3"/>
  <c r="Y318" i="3"/>
  <c r="Y319" i="3"/>
  <c r="Y320" i="3"/>
  <c r="Y321" i="3"/>
  <c r="Y322" i="3"/>
  <c r="Y323" i="3"/>
  <c r="Y324" i="3"/>
  <c r="Y325" i="3"/>
  <c r="Y326" i="3"/>
  <c r="Y327" i="3"/>
  <c r="Y328" i="3"/>
  <c r="Y329" i="3"/>
  <c r="Y330" i="3"/>
  <c r="Y331" i="3"/>
  <c r="Y332" i="3"/>
  <c r="Y333" i="3"/>
  <c r="Y334" i="3"/>
  <c r="Y335" i="3"/>
  <c r="Y336" i="3"/>
  <c r="Y337" i="3"/>
  <c r="Y338" i="3"/>
  <c r="Y339" i="3"/>
  <c r="Y340" i="3"/>
  <c r="Y341" i="3"/>
  <c r="Y342" i="3"/>
  <c r="Y343" i="3"/>
  <c r="Y344" i="3"/>
  <c r="Y345" i="3"/>
  <c r="Y346" i="3"/>
  <c r="Y347" i="3"/>
  <c r="Y348" i="3"/>
  <c r="Y349" i="3"/>
  <c r="Y350" i="3"/>
  <c r="Y351" i="3"/>
  <c r="Y352" i="3"/>
  <c r="Y353" i="3"/>
  <c r="Y354" i="3"/>
  <c r="Y355" i="3"/>
  <c r="Y356" i="3"/>
  <c r="Y357" i="3"/>
  <c r="Y358" i="3"/>
  <c r="Y359" i="3"/>
  <c r="Y360" i="3"/>
  <c r="Y361" i="3"/>
  <c r="Y362" i="3"/>
  <c r="Y363" i="3"/>
  <c r="Y364" i="3"/>
  <c r="Y365" i="3"/>
  <c r="Y366" i="3"/>
  <c r="Y367" i="3"/>
  <c r="Y368" i="3"/>
  <c r="Y369" i="3"/>
  <c r="Y370" i="3"/>
  <c r="Y371" i="3"/>
  <c r="Y372" i="3"/>
  <c r="Y373" i="3"/>
  <c r="Y374" i="3"/>
  <c r="Y375" i="3"/>
  <c r="Y376" i="3"/>
  <c r="Y377" i="3"/>
  <c r="Y378" i="3"/>
  <c r="Y379" i="3"/>
  <c r="Y380" i="3"/>
  <c r="Y381" i="3"/>
  <c r="Y382" i="3"/>
  <c r="Y383" i="3"/>
  <c r="Y384" i="3"/>
  <c r="Y385" i="3"/>
  <c r="Y386" i="3"/>
  <c r="Y387" i="3"/>
  <c r="Y388" i="3"/>
  <c r="Y389" i="3"/>
  <c r="Y390" i="3"/>
  <c r="Y391" i="3"/>
  <c r="Y392" i="3"/>
  <c r="Y393" i="3"/>
  <c r="Y394" i="3"/>
  <c r="Y395" i="3"/>
  <c r="Y396" i="3"/>
  <c r="Y397" i="3"/>
  <c r="Y398" i="3"/>
  <c r="Y399" i="3"/>
  <c r="Y400" i="3"/>
  <c r="Y401" i="3"/>
  <c r="Y402" i="3"/>
  <c r="Y403" i="3"/>
  <c r="Y404" i="3"/>
  <c r="Y405" i="3"/>
  <c r="Y406" i="3"/>
  <c r="Y407" i="3"/>
  <c r="Y408" i="3"/>
  <c r="Y409" i="3"/>
  <c r="Y410" i="3"/>
  <c r="Y411" i="3"/>
  <c r="Y412" i="3"/>
  <c r="Y413" i="3"/>
  <c r="Y414" i="3"/>
  <c r="Y415" i="3"/>
  <c r="Y416" i="3"/>
  <c r="Y417" i="3"/>
  <c r="Y418" i="3"/>
  <c r="Y419" i="3"/>
  <c r="Y420" i="3"/>
  <c r="Y421" i="3"/>
  <c r="Y422" i="3"/>
  <c r="Y423" i="3"/>
  <c r="Y424" i="3"/>
  <c r="Y425" i="3"/>
  <c r="Y426" i="3"/>
  <c r="Y427" i="3"/>
  <c r="Y428" i="3"/>
  <c r="Y429" i="3"/>
  <c r="Y430" i="3"/>
  <c r="Y431" i="3"/>
  <c r="Y432" i="3"/>
  <c r="Y433" i="3"/>
  <c r="Y434" i="3"/>
  <c r="Y435" i="3"/>
  <c r="Y436" i="3"/>
  <c r="Y437" i="3"/>
  <c r="Y438" i="3"/>
  <c r="Y439" i="3"/>
  <c r="Y440" i="3"/>
  <c r="Y441" i="3"/>
  <c r="Y442" i="3"/>
  <c r="Y443" i="3"/>
  <c r="Y444" i="3"/>
  <c r="Y445" i="3"/>
  <c r="Y446" i="3"/>
  <c r="Y447" i="3"/>
  <c r="Y448" i="3"/>
  <c r="Y449" i="3"/>
  <c r="Y450" i="3"/>
  <c r="Y451" i="3"/>
  <c r="Y452" i="3"/>
  <c r="Y453" i="3"/>
  <c r="Y454" i="3"/>
  <c r="Y455" i="3"/>
  <c r="Y456" i="3"/>
  <c r="Y457" i="3"/>
  <c r="Y458" i="3"/>
  <c r="Y459" i="3"/>
  <c r="Y460" i="3"/>
  <c r="Y461" i="3"/>
  <c r="Y462" i="3"/>
  <c r="Y463" i="3"/>
  <c r="Y464" i="3"/>
  <c r="Y465" i="3"/>
  <c r="Y466" i="3"/>
  <c r="Y467" i="3"/>
  <c r="Y468" i="3"/>
  <c r="Y469" i="3"/>
  <c r="Y470" i="3"/>
  <c r="Y471" i="3"/>
  <c r="Y472" i="3"/>
  <c r="Y473" i="3"/>
  <c r="Y474" i="3"/>
  <c r="Y475" i="3"/>
  <c r="Y476" i="3"/>
  <c r="Y477" i="3"/>
  <c r="Y478" i="3"/>
  <c r="Y479" i="3"/>
  <c r="Y480" i="3"/>
  <c r="Y481" i="3"/>
  <c r="Y482" i="3"/>
  <c r="Y483" i="3"/>
  <c r="Y484" i="3"/>
  <c r="Y485" i="3"/>
  <c r="Y486" i="3"/>
  <c r="Y487" i="3"/>
  <c r="Y488" i="3"/>
  <c r="Y489" i="3"/>
  <c r="Y490" i="3"/>
  <c r="Y491" i="3"/>
  <c r="Y492" i="3"/>
  <c r="Y493" i="3"/>
  <c r="Y494" i="3"/>
  <c r="Y495" i="3"/>
  <c r="Y496" i="3"/>
  <c r="Y497" i="3"/>
  <c r="Y498" i="3"/>
  <c r="Y499" i="3"/>
  <c r="Y500" i="3"/>
  <c r="Y501" i="3"/>
  <c r="Y502" i="3"/>
  <c r="Y503" i="3"/>
  <c r="Y504" i="3"/>
  <c r="Y505" i="3"/>
  <c r="Y506" i="3"/>
  <c r="Y507" i="3"/>
  <c r="Y508" i="3"/>
  <c r="Y509" i="3"/>
  <c r="Y510" i="3"/>
  <c r="Y511" i="3"/>
  <c r="Y512" i="3"/>
  <c r="Y513" i="3"/>
  <c r="Y514" i="3"/>
  <c r="Y515" i="3"/>
  <c r="Y516" i="3"/>
  <c r="Y517" i="3"/>
  <c r="Y518" i="3"/>
  <c r="Y519" i="3"/>
  <c r="Y520" i="3"/>
  <c r="Y521" i="3"/>
  <c r="Y522" i="3"/>
  <c r="Y523" i="3"/>
  <c r="Y524" i="3"/>
  <c r="Y525" i="3"/>
  <c r="Y526" i="3"/>
  <c r="Y527" i="3"/>
  <c r="Y528" i="3"/>
  <c r="Y529" i="3"/>
  <c r="Y530" i="3"/>
  <c r="Y531" i="3"/>
  <c r="Y532" i="3"/>
  <c r="Y533" i="3"/>
  <c r="Y534" i="3"/>
  <c r="Y535" i="3"/>
  <c r="Y536" i="3"/>
  <c r="Y537" i="3"/>
  <c r="Y538" i="3"/>
  <c r="Y539" i="3"/>
  <c r="Y540" i="3"/>
  <c r="Y541" i="3"/>
  <c r="Y542" i="3"/>
  <c r="Y543" i="3"/>
  <c r="Y544" i="3"/>
  <c r="Y545" i="3"/>
  <c r="Y546" i="3"/>
  <c r="Y547" i="3"/>
  <c r="Y548" i="3"/>
  <c r="Y549" i="3"/>
  <c r="Y550" i="3"/>
  <c r="Y551" i="3"/>
  <c r="Y552" i="3"/>
  <c r="Y553" i="3"/>
  <c r="Y554" i="3"/>
  <c r="Y555" i="3"/>
  <c r="Y556" i="3"/>
  <c r="Y557" i="3"/>
  <c r="Y558" i="3"/>
  <c r="Y559" i="3"/>
  <c r="Y560" i="3"/>
  <c r="Y561" i="3"/>
  <c r="Y562" i="3"/>
  <c r="Y563" i="3"/>
  <c r="Y564" i="3"/>
  <c r="Y565" i="3"/>
  <c r="Y566" i="3"/>
  <c r="Y567" i="3"/>
  <c r="Y568" i="3"/>
  <c r="Y569" i="3"/>
  <c r="Y570" i="3"/>
  <c r="Y571" i="3"/>
  <c r="Y572" i="3"/>
  <c r="Y573" i="3"/>
  <c r="Y574" i="3"/>
  <c r="Y575" i="3"/>
  <c r="Y576" i="3"/>
  <c r="Y577" i="3"/>
  <c r="Y578" i="3"/>
  <c r="Y579" i="3"/>
  <c r="Y580" i="3"/>
  <c r="Y581" i="3"/>
  <c r="Y582" i="3"/>
  <c r="Y583" i="3"/>
  <c r="Y584" i="3"/>
  <c r="Y585" i="3"/>
  <c r="Y586" i="3"/>
  <c r="Y587" i="3"/>
  <c r="Y588" i="3"/>
  <c r="Y589" i="3"/>
  <c r="Y590" i="3"/>
  <c r="Y591" i="3"/>
  <c r="Y592" i="3"/>
  <c r="Y593" i="3"/>
  <c r="Y594" i="3"/>
  <c r="Y595" i="3"/>
  <c r="Y596" i="3"/>
  <c r="Y597" i="3"/>
  <c r="Y598" i="3"/>
  <c r="Y599" i="3"/>
  <c r="Y600" i="3"/>
  <c r="Y601" i="3"/>
  <c r="Y602" i="3"/>
  <c r="Y603" i="3"/>
  <c r="Y604" i="3"/>
  <c r="Y605" i="3"/>
  <c r="Y606" i="3"/>
  <c r="Y607" i="3"/>
  <c r="Y608" i="3"/>
  <c r="Y609" i="3"/>
  <c r="Y610" i="3"/>
  <c r="Y611" i="3"/>
  <c r="Y612" i="3"/>
  <c r="Y613" i="3"/>
  <c r="Y614" i="3"/>
  <c r="Y615" i="3"/>
  <c r="Y616" i="3"/>
  <c r="Y617" i="3"/>
  <c r="Y618" i="3"/>
  <c r="Y619" i="3"/>
  <c r="Y620" i="3"/>
  <c r="Y621" i="3"/>
  <c r="Y622" i="3"/>
  <c r="Y623" i="3"/>
  <c r="Y624" i="3"/>
  <c r="Y625" i="3"/>
  <c r="Y626" i="3"/>
  <c r="Y627" i="3"/>
  <c r="Y628" i="3"/>
  <c r="Y629" i="3"/>
  <c r="Y630" i="3"/>
  <c r="Y631" i="3"/>
  <c r="Y632" i="3"/>
  <c r="Y633" i="3"/>
  <c r="Y634" i="3"/>
  <c r="Y635" i="3"/>
  <c r="Y636" i="3"/>
  <c r="Y637" i="3"/>
  <c r="Y638" i="3"/>
  <c r="Y639" i="3"/>
  <c r="Y640" i="3"/>
  <c r="Y641" i="3"/>
  <c r="Y642" i="3"/>
  <c r="Y643" i="3"/>
  <c r="Y644" i="3"/>
  <c r="Y645" i="3"/>
  <c r="Y646" i="3"/>
  <c r="Y647" i="3"/>
  <c r="Y648" i="3"/>
  <c r="Y649" i="3"/>
  <c r="Y650" i="3"/>
  <c r="Y651" i="3"/>
  <c r="Y652" i="3"/>
  <c r="Y653" i="3"/>
  <c r="Y654" i="3"/>
  <c r="Y655" i="3"/>
  <c r="Y656" i="3"/>
  <c r="Y657" i="3"/>
  <c r="Y658" i="3"/>
  <c r="Y659" i="3"/>
  <c r="Y660" i="3"/>
  <c r="Y661" i="3"/>
  <c r="Y662" i="3"/>
  <c r="Y663" i="3"/>
  <c r="Y664" i="3"/>
  <c r="Y665" i="3"/>
  <c r="Y666" i="3"/>
  <c r="Y667" i="3"/>
  <c r="Y668" i="3"/>
  <c r="Y669" i="3"/>
  <c r="Y670" i="3"/>
  <c r="Y671" i="3"/>
  <c r="Y672" i="3"/>
  <c r="Y673" i="3"/>
  <c r="Y674" i="3"/>
  <c r="Y675" i="3"/>
  <c r="Y676" i="3"/>
  <c r="Y677" i="3"/>
  <c r="Y678" i="3"/>
  <c r="Y679" i="3"/>
  <c r="Y680" i="3"/>
  <c r="Y681" i="3"/>
  <c r="Y682" i="3"/>
  <c r="Y683" i="3"/>
  <c r="Y684" i="3"/>
  <c r="Y685" i="3"/>
  <c r="Y686" i="3"/>
  <c r="Y687" i="3"/>
  <c r="Y688" i="3"/>
  <c r="Y689" i="3"/>
  <c r="Y690" i="3"/>
  <c r="Y691" i="3"/>
  <c r="Y692" i="3"/>
  <c r="Y693" i="3"/>
  <c r="Y694" i="3"/>
  <c r="Y695" i="3"/>
  <c r="Y696" i="3"/>
  <c r="Y697" i="3"/>
  <c r="Y698" i="3"/>
  <c r="Y699" i="3"/>
  <c r="Y700" i="3"/>
  <c r="Y701" i="3"/>
  <c r="Y702" i="3"/>
  <c r="Y703" i="3"/>
  <c r="Y704" i="3"/>
  <c r="Y705" i="3"/>
  <c r="Y706" i="3"/>
  <c r="Y707" i="3"/>
  <c r="Y708" i="3"/>
  <c r="Y709" i="3"/>
  <c r="Y710" i="3"/>
  <c r="Y711" i="3"/>
  <c r="Y712" i="3"/>
  <c r="Y713" i="3"/>
  <c r="Y714" i="3"/>
  <c r="Y715" i="3"/>
  <c r="Y716" i="3"/>
  <c r="Y717" i="3"/>
  <c r="Y718" i="3"/>
  <c r="Y719" i="3"/>
  <c r="Y720" i="3"/>
  <c r="Y721" i="3"/>
  <c r="Y722" i="3"/>
  <c r="Y723" i="3"/>
  <c r="Y724" i="3"/>
  <c r="Y725" i="3"/>
  <c r="Y726" i="3"/>
  <c r="Y727" i="3"/>
  <c r="Y728" i="3"/>
  <c r="Y729" i="3"/>
  <c r="Y730" i="3"/>
  <c r="Y731" i="3"/>
  <c r="Y732" i="3"/>
  <c r="Y733" i="3"/>
  <c r="Y734" i="3"/>
  <c r="Y735" i="3"/>
  <c r="Y736" i="3"/>
  <c r="Y737" i="3"/>
  <c r="Y738" i="3"/>
  <c r="Y739" i="3"/>
  <c r="Y740" i="3"/>
  <c r="Y741" i="3"/>
  <c r="Y742" i="3"/>
  <c r="Y743" i="3"/>
  <c r="Y744" i="3"/>
  <c r="Y745" i="3"/>
  <c r="Y746" i="3"/>
  <c r="Y747" i="3"/>
  <c r="Y748" i="3"/>
  <c r="Y749" i="3"/>
  <c r="Y750" i="3"/>
  <c r="Y751" i="3"/>
  <c r="Y752" i="3"/>
  <c r="Y753" i="3"/>
  <c r="Y754" i="3"/>
  <c r="Y755" i="3"/>
  <c r="Y756" i="3"/>
  <c r="Y757" i="3"/>
  <c r="Y758" i="3"/>
  <c r="Y759" i="3"/>
  <c r="Y760" i="3"/>
  <c r="Y761" i="3"/>
  <c r="Y762" i="3"/>
  <c r="Y763" i="3"/>
  <c r="Y764" i="3"/>
  <c r="Y765" i="3"/>
  <c r="Y766" i="3"/>
  <c r="Y767" i="3"/>
  <c r="Y768" i="3"/>
  <c r="Y769" i="3"/>
  <c r="Y770" i="3"/>
  <c r="Y771" i="3"/>
  <c r="Y772" i="3"/>
  <c r="Y773" i="3"/>
  <c r="Y774" i="3"/>
  <c r="Y775" i="3"/>
  <c r="Y776" i="3"/>
  <c r="Y777" i="3"/>
  <c r="Y778" i="3"/>
  <c r="Y779" i="3"/>
  <c r="Y780" i="3"/>
  <c r="Y781" i="3"/>
  <c r="Y782" i="3"/>
  <c r="Y783" i="3"/>
  <c r="Y784" i="3"/>
  <c r="Y785" i="3"/>
  <c r="Y786" i="3"/>
  <c r="Y787" i="3"/>
  <c r="Y788" i="3"/>
  <c r="Y789" i="3"/>
  <c r="Y790" i="3"/>
  <c r="Y791" i="3"/>
  <c r="Y792" i="3"/>
  <c r="Y793" i="3"/>
  <c r="Y794" i="3"/>
  <c r="Y795" i="3"/>
  <c r="Y796" i="3"/>
  <c r="Y797" i="3"/>
  <c r="Y798" i="3"/>
  <c r="Y799" i="3"/>
  <c r="Y800" i="3"/>
  <c r="Y801" i="3"/>
  <c r="Y802" i="3"/>
  <c r="Y803" i="3"/>
  <c r="Y804" i="3"/>
  <c r="Y805" i="3"/>
  <c r="Y806" i="3"/>
  <c r="Y807" i="3"/>
  <c r="Y808" i="3"/>
  <c r="Y809" i="3"/>
  <c r="Y810" i="3"/>
  <c r="Y811" i="3"/>
  <c r="Y812" i="3"/>
  <c r="Y813" i="3"/>
  <c r="Y814" i="3"/>
  <c r="Y815" i="3"/>
  <c r="Y816" i="3"/>
  <c r="Y817" i="3"/>
  <c r="Y818" i="3"/>
  <c r="Y819" i="3"/>
  <c r="Y820" i="3"/>
  <c r="Y821" i="3"/>
  <c r="Y822" i="3"/>
  <c r="Y823" i="3"/>
  <c r="Y824" i="3"/>
  <c r="Y825" i="3"/>
  <c r="Y826" i="3"/>
  <c r="Y827" i="3"/>
  <c r="Y828" i="3"/>
  <c r="Y829" i="3"/>
  <c r="Y830" i="3"/>
  <c r="Y831" i="3"/>
  <c r="Y832" i="3"/>
  <c r="Y833" i="3"/>
  <c r="Y834" i="3"/>
  <c r="Y835" i="3"/>
  <c r="Y836" i="3"/>
  <c r="Y837" i="3"/>
  <c r="Y838" i="3"/>
  <c r="Y839" i="3"/>
  <c r="Y840" i="3"/>
  <c r="Y841" i="3"/>
  <c r="Y842" i="3"/>
  <c r="Y843" i="3"/>
  <c r="Y844" i="3"/>
  <c r="Y845" i="3"/>
  <c r="Y846" i="3"/>
  <c r="Y847" i="3"/>
  <c r="Y848" i="3"/>
  <c r="Y849" i="3"/>
  <c r="Y850" i="3"/>
  <c r="Y851" i="3"/>
  <c r="Y852" i="3"/>
  <c r="Y853" i="3"/>
  <c r="Y854" i="3"/>
  <c r="Y855" i="3"/>
  <c r="Y856" i="3"/>
  <c r="Y857" i="3"/>
  <c r="Y858" i="3"/>
  <c r="Y859" i="3"/>
  <c r="Y860" i="3"/>
  <c r="Y861" i="3"/>
  <c r="Y862" i="3"/>
  <c r="Y863" i="3"/>
  <c r="Y864" i="3"/>
  <c r="Y865" i="3"/>
  <c r="Y866" i="3"/>
  <c r="Y867" i="3"/>
  <c r="Y868" i="3"/>
  <c r="Y869" i="3"/>
  <c r="Y870" i="3"/>
  <c r="Y871" i="3"/>
  <c r="Y872" i="3"/>
  <c r="Y873" i="3"/>
  <c r="Y874" i="3"/>
  <c r="Y875" i="3"/>
  <c r="Y876" i="3"/>
  <c r="Y877" i="3"/>
  <c r="Y878" i="3"/>
  <c r="Y879" i="3"/>
  <c r="Y880" i="3"/>
  <c r="Y881" i="3"/>
  <c r="Y882" i="3"/>
  <c r="Y883" i="3"/>
  <c r="Y884" i="3"/>
  <c r="Y885" i="3"/>
  <c r="Y886" i="3"/>
  <c r="Y887" i="3"/>
  <c r="Y888" i="3"/>
  <c r="Y889" i="3"/>
  <c r="Y890" i="3"/>
  <c r="Y891" i="3"/>
  <c r="Y892" i="3"/>
  <c r="Y893" i="3"/>
  <c r="Y894" i="3"/>
  <c r="Y895" i="3"/>
  <c r="Y896" i="3"/>
  <c r="Y897" i="3"/>
  <c r="Y898" i="3"/>
  <c r="Y899" i="3"/>
  <c r="Y900" i="3"/>
  <c r="Y901" i="3"/>
  <c r="Y902" i="3"/>
  <c r="Y903" i="3"/>
  <c r="Y904" i="3"/>
  <c r="Y905" i="3"/>
  <c r="Y906" i="3"/>
  <c r="Y907" i="3"/>
  <c r="Y908" i="3"/>
  <c r="Y909" i="3"/>
  <c r="Y910" i="3"/>
  <c r="Y911" i="3"/>
  <c r="Y912" i="3"/>
  <c r="Y913" i="3"/>
  <c r="Y914" i="3"/>
  <c r="Y915" i="3"/>
  <c r="Y916" i="3"/>
  <c r="Y917" i="3"/>
  <c r="Y918" i="3"/>
  <c r="Y919" i="3"/>
  <c r="Y920" i="3"/>
  <c r="Y921" i="3"/>
  <c r="Y922" i="3"/>
  <c r="Y923" i="3"/>
  <c r="Y924" i="3"/>
  <c r="Y925" i="3"/>
  <c r="Y926" i="3"/>
  <c r="Y927" i="3"/>
  <c r="Y928" i="3"/>
  <c r="Y929" i="3"/>
  <c r="Y930" i="3"/>
  <c r="Y931" i="3"/>
  <c r="Y932" i="3"/>
  <c r="Y933" i="3"/>
  <c r="Y934" i="3"/>
  <c r="Y935" i="3"/>
  <c r="Y936" i="3"/>
  <c r="Y937" i="3"/>
  <c r="Y938" i="3"/>
  <c r="Y939" i="3"/>
  <c r="Y940" i="3"/>
  <c r="Y941" i="3"/>
  <c r="Y942" i="3"/>
  <c r="Y943" i="3"/>
  <c r="Y944" i="3"/>
  <c r="Y945" i="3"/>
  <c r="Y946" i="3"/>
  <c r="Y947" i="3"/>
  <c r="Y948" i="3"/>
  <c r="Y949" i="3"/>
  <c r="Y950" i="3"/>
  <c r="Y951" i="3"/>
  <c r="Y952" i="3"/>
  <c r="Y953" i="3"/>
  <c r="Y954" i="3"/>
  <c r="Y955" i="3"/>
  <c r="Y956" i="3"/>
  <c r="Y957" i="3"/>
  <c r="Y958" i="3"/>
  <c r="Y959" i="3"/>
  <c r="Y960" i="3"/>
  <c r="Y961" i="3"/>
  <c r="Y962" i="3"/>
  <c r="Y963" i="3"/>
  <c r="Y964" i="3"/>
  <c r="Y965" i="3"/>
  <c r="Y966" i="3"/>
  <c r="Y967" i="3"/>
  <c r="Y968" i="3"/>
  <c r="Y969" i="3"/>
  <c r="Y970" i="3"/>
  <c r="Y971" i="3"/>
  <c r="Y972" i="3"/>
  <c r="Y973" i="3"/>
  <c r="Y974" i="3"/>
  <c r="Y975" i="3"/>
  <c r="Y976" i="3"/>
  <c r="Y977" i="3"/>
  <c r="Y978" i="3"/>
  <c r="Y979" i="3"/>
  <c r="Y980" i="3"/>
  <c r="Y981" i="3"/>
  <c r="Y982" i="3"/>
  <c r="Y983" i="3"/>
  <c r="Y984" i="3"/>
  <c r="Y985" i="3"/>
  <c r="Y986" i="3"/>
  <c r="Y987" i="3"/>
  <c r="Y988" i="3"/>
  <c r="Y989" i="3"/>
  <c r="Y990" i="3"/>
  <c r="Y991" i="3"/>
  <c r="Y992" i="3"/>
  <c r="Y993" i="3"/>
  <c r="Y994" i="3"/>
  <c r="Y995" i="3"/>
  <c r="Y996" i="3"/>
  <c r="Y997" i="3"/>
  <c r="Y998" i="3"/>
  <c r="Y999" i="3"/>
  <c r="Y1000" i="3"/>
  <c r="Y1001" i="3"/>
  <c r="Y1002" i="3"/>
  <c r="Y1003" i="3"/>
  <c r="Y1004" i="3"/>
  <c r="Y1005" i="3"/>
  <c r="Y1006" i="3"/>
  <c r="Y1007" i="3"/>
  <c r="Y1008" i="3"/>
  <c r="Y1009" i="3"/>
  <c r="Y1010" i="3"/>
  <c r="Y1011" i="3"/>
  <c r="Y1012" i="3"/>
  <c r="Y1013" i="3"/>
  <c r="Y1014" i="3"/>
  <c r="Y1015" i="3"/>
  <c r="Y1016" i="3"/>
  <c r="Y1017" i="3"/>
  <c r="Y1018" i="3"/>
  <c r="Y1019" i="3"/>
  <c r="Y1020" i="3"/>
  <c r="Y1021" i="3"/>
  <c r="Y1022" i="3"/>
  <c r="Y1023" i="3"/>
  <c r="Y1024" i="3"/>
  <c r="Y1025" i="3"/>
  <c r="Y1026" i="3"/>
  <c r="Y1027" i="3"/>
  <c r="Y1028" i="3"/>
  <c r="Y1029" i="3"/>
  <c r="Y1030" i="3"/>
  <c r="Y1031" i="3"/>
  <c r="Y1032" i="3"/>
  <c r="Y1033" i="3"/>
  <c r="Y1034" i="3"/>
  <c r="Y1035" i="3"/>
  <c r="Y1036" i="3"/>
  <c r="Y1037" i="3"/>
  <c r="Y1038" i="3"/>
  <c r="Y1039" i="3"/>
  <c r="Y1040" i="3"/>
  <c r="Y1041" i="3"/>
  <c r="Y1042" i="3"/>
  <c r="Y1043" i="3"/>
  <c r="Y1044" i="3"/>
  <c r="Y1045" i="3"/>
  <c r="Y1046" i="3"/>
  <c r="Y1047" i="3"/>
  <c r="Y1048" i="3"/>
  <c r="Y1049" i="3"/>
  <c r="Y1050" i="3"/>
  <c r="Y1051" i="3"/>
  <c r="Y1052" i="3"/>
  <c r="Y1053" i="3"/>
  <c r="Y1054" i="3"/>
  <c r="Y1055" i="3"/>
  <c r="Y1056" i="3"/>
  <c r="Y1057" i="3"/>
  <c r="Y1058" i="3"/>
  <c r="Y1059" i="3"/>
  <c r="Y1060" i="3"/>
  <c r="Y1061" i="3"/>
  <c r="Y1062" i="3"/>
  <c r="Y1063" i="3"/>
  <c r="Y1064" i="3"/>
  <c r="Y1065" i="3"/>
  <c r="Y1066" i="3"/>
  <c r="Y1067" i="3"/>
  <c r="Y1068" i="3"/>
  <c r="Y1069" i="3"/>
  <c r="Y1070" i="3"/>
  <c r="Y1071" i="3"/>
  <c r="Y1072" i="3"/>
  <c r="Y1073" i="3"/>
  <c r="Y1074" i="3"/>
  <c r="Y1075" i="3"/>
  <c r="Y1076" i="3"/>
  <c r="Y1077" i="3"/>
  <c r="Y1078" i="3"/>
  <c r="Y1079" i="3"/>
  <c r="Y1080" i="3"/>
  <c r="Y1081" i="3"/>
  <c r="Y1082" i="3"/>
  <c r="Y1083" i="3"/>
  <c r="Y1084" i="3"/>
  <c r="Y1085" i="3"/>
  <c r="Y1086" i="3"/>
  <c r="Y1087" i="3"/>
  <c r="Y1088" i="3"/>
  <c r="Y1089" i="3"/>
  <c r="Y1090" i="3"/>
  <c r="Y1091" i="3"/>
  <c r="Y1092" i="3"/>
  <c r="Y1093" i="3"/>
  <c r="Y1094" i="3"/>
  <c r="Y1095" i="3"/>
  <c r="Y1096" i="3"/>
  <c r="Y1097" i="3"/>
  <c r="Y1098" i="3"/>
  <c r="Y1099" i="3"/>
  <c r="Y1100" i="3"/>
  <c r="Y1101" i="3"/>
  <c r="Y1102" i="3"/>
  <c r="Y1103" i="3"/>
  <c r="Y1104" i="3"/>
  <c r="Y1105" i="3"/>
  <c r="Y1106" i="3"/>
  <c r="Y1107" i="3"/>
  <c r="Y1108" i="3"/>
  <c r="Y1109" i="3"/>
  <c r="Y1110" i="3"/>
  <c r="Y1111" i="3"/>
  <c r="Y1112" i="3"/>
  <c r="Y1113" i="3"/>
  <c r="Y1114" i="3"/>
  <c r="Y1115" i="3"/>
  <c r="Y1116" i="3"/>
  <c r="Y1117" i="3"/>
  <c r="Y1118" i="3"/>
  <c r="Y1119" i="3"/>
  <c r="Y1120" i="3"/>
  <c r="Y1121" i="3"/>
  <c r="Y1122" i="3"/>
  <c r="Y1123" i="3"/>
  <c r="Y1124" i="3"/>
  <c r="Y1125" i="3"/>
  <c r="Y1126" i="3"/>
  <c r="Y1127" i="3"/>
  <c r="Y1128" i="3"/>
  <c r="Y1129" i="3"/>
  <c r="Y1130" i="3"/>
  <c r="Y1131" i="3"/>
  <c r="Y1132" i="3"/>
  <c r="Y1133" i="3"/>
  <c r="Y1134" i="3"/>
  <c r="Y1135" i="3"/>
  <c r="Y1136" i="3"/>
  <c r="Y1137" i="3"/>
  <c r="Y1138" i="3"/>
  <c r="Y1139" i="3"/>
  <c r="Y1140" i="3"/>
  <c r="Y1141" i="3"/>
  <c r="Y1142" i="3"/>
  <c r="Y1143" i="3"/>
  <c r="Y1144" i="3"/>
  <c r="Y1145" i="3"/>
  <c r="Y1146" i="3"/>
  <c r="Y1147" i="3"/>
  <c r="Y1148" i="3"/>
  <c r="Y1149" i="3"/>
  <c r="Y1150" i="3"/>
  <c r="Y1151" i="3"/>
  <c r="Y1152" i="3"/>
  <c r="Y1153" i="3"/>
  <c r="Y1154" i="3"/>
  <c r="Y1155" i="3"/>
  <c r="Y1156" i="3"/>
  <c r="Y1157" i="3"/>
  <c r="Y1158" i="3"/>
  <c r="Y1159" i="3"/>
  <c r="Y1160" i="3"/>
  <c r="Y1161" i="3"/>
  <c r="Y1162" i="3"/>
  <c r="Y1163" i="3"/>
  <c r="Y1164" i="3"/>
  <c r="Y1165" i="3"/>
  <c r="Y1166" i="3"/>
  <c r="Y1167" i="3"/>
  <c r="Y1168" i="3"/>
  <c r="Y1169" i="3"/>
  <c r="Y1170" i="3"/>
  <c r="Y1171" i="3"/>
  <c r="Y1172" i="3"/>
  <c r="Y1173" i="3"/>
  <c r="Y1174" i="3"/>
  <c r="Y1175" i="3"/>
  <c r="Y1176" i="3"/>
  <c r="Y1177" i="3"/>
  <c r="Y1178" i="3"/>
  <c r="Y1179" i="3"/>
  <c r="Y1180" i="3"/>
  <c r="Y1181" i="3"/>
  <c r="Y1182" i="3"/>
  <c r="Y1183" i="3"/>
  <c r="Y1184" i="3"/>
  <c r="Y1185" i="3"/>
  <c r="Y1186" i="3"/>
  <c r="Y1187" i="3"/>
  <c r="Y1188" i="3"/>
  <c r="Y1189" i="3"/>
  <c r="Y1190" i="3"/>
  <c r="Y1191" i="3"/>
  <c r="Y1192" i="3"/>
  <c r="Y1193" i="3"/>
  <c r="Y1194" i="3"/>
  <c r="Y1195" i="3"/>
  <c r="Y1196" i="3"/>
  <c r="Y1197" i="3"/>
  <c r="Y1198" i="3"/>
  <c r="Y1199" i="3"/>
  <c r="Y1200" i="3"/>
  <c r="Y1201" i="3"/>
  <c r="Y1202" i="3"/>
  <c r="Y1203" i="3"/>
  <c r="Y1204" i="3"/>
  <c r="Y1205" i="3"/>
  <c r="Y1206" i="3"/>
  <c r="Y1207" i="3"/>
  <c r="Y1208" i="3"/>
  <c r="Y1209" i="3"/>
  <c r="Y1210" i="3"/>
  <c r="Y1211" i="3"/>
  <c r="Y1212" i="3"/>
  <c r="Y1213" i="3"/>
  <c r="Y1214" i="3"/>
  <c r="Y1215" i="3"/>
  <c r="Y1216" i="3"/>
  <c r="Y1217" i="3"/>
  <c r="Y1218" i="3"/>
  <c r="Y1219" i="3"/>
  <c r="Y1220" i="3"/>
  <c r="Y1221" i="3"/>
  <c r="Y1222" i="3"/>
  <c r="Y1223" i="3"/>
  <c r="Y1224" i="3"/>
  <c r="Y1225" i="3"/>
  <c r="Y1226" i="3"/>
  <c r="Y1227" i="3"/>
  <c r="Y1228" i="3"/>
  <c r="Y1229" i="3"/>
  <c r="Y1230" i="3"/>
  <c r="Y1231" i="3"/>
  <c r="Y1232" i="3"/>
  <c r="Y1233" i="3"/>
  <c r="Y1234" i="3"/>
  <c r="Y1235" i="3"/>
  <c r="Y1236" i="3"/>
  <c r="Y1237" i="3"/>
  <c r="Y1238" i="3"/>
  <c r="Y1239" i="3"/>
  <c r="Y1240" i="3"/>
  <c r="Y1241" i="3"/>
  <c r="Y1242" i="3"/>
  <c r="Y1243" i="3"/>
  <c r="Y1244" i="3"/>
  <c r="Y1245" i="3"/>
  <c r="Y1246" i="3"/>
  <c r="Y1247" i="3"/>
  <c r="Y1248" i="3"/>
  <c r="Y1249" i="3"/>
  <c r="Y1250" i="3"/>
  <c r="Y1251" i="3"/>
  <c r="Y1252" i="3"/>
  <c r="Y1253" i="3"/>
  <c r="Y1254" i="3"/>
  <c r="Y1255" i="3"/>
  <c r="Y1256" i="3"/>
  <c r="Y1257" i="3"/>
  <c r="Y1258" i="3"/>
  <c r="Y1259" i="3"/>
  <c r="Y1260" i="3"/>
  <c r="Y1261" i="3"/>
  <c r="Y1262" i="3"/>
  <c r="Y1263" i="3"/>
  <c r="Y1264" i="3"/>
  <c r="Y1265" i="3"/>
  <c r="Y1266" i="3"/>
  <c r="Y1267" i="3"/>
  <c r="Y1268" i="3"/>
  <c r="Y1269" i="3"/>
  <c r="Y1270" i="3"/>
  <c r="Y1271" i="3"/>
  <c r="Y1272" i="3"/>
  <c r="Y1273" i="3"/>
  <c r="Y1274" i="3"/>
  <c r="Y1275" i="3"/>
  <c r="Y1276" i="3"/>
  <c r="Y1277" i="3"/>
  <c r="Y1278" i="3"/>
  <c r="Y1279" i="3"/>
  <c r="Y1280" i="3"/>
  <c r="Y1281" i="3"/>
  <c r="Y128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X466" i="3"/>
  <c r="X467" i="3"/>
  <c r="X468" i="3"/>
  <c r="X469" i="3"/>
  <c r="X470" i="3"/>
  <c r="X471" i="3"/>
  <c r="X472" i="3"/>
  <c r="X473" i="3"/>
  <c r="X474" i="3"/>
  <c r="X475" i="3"/>
  <c r="X476" i="3"/>
  <c r="X477" i="3"/>
  <c r="X478" i="3"/>
  <c r="X479" i="3"/>
  <c r="X480" i="3"/>
  <c r="X481" i="3"/>
  <c r="X482" i="3"/>
  <c r="X483" i="3"/>
  <c r="X484" i="3"/>
  <c r="X485" i="3"/>
  <c r="X486" i="3"/>
  <c r="X487" i="3"/>
  <c r="X488" i="3"/>
  <c r="X489" i="3"/>
  <c r="X490" i="3"/>
  <c r="X491" i="3"/>
  <c r="X492" i="3"/>
  <c r="X493" i="3"/>
  <c r="X494" i="3"/>
  <c r="X495" i="3"/>
  <c r="X496" i="3"/>
  <c r="X497" i="3"/>
  <c r="X498" i="3"/>
  <c r="X499" i="3"/>
  <c r="X500" i="3"/>
  <c r="X501" i="3"/>
  <c r="X502" i="3"/>
  <c r="X503" i="3"/>
  <c r="X504" i="3"/>
  <c r="X505" i="3"/>
  <c r="X506" i="3"/>
  <c r="X507" i="3"/>
  <c r="X508" i="3"/>
  <c r="X509" i="3"/>
  <c r="X510" i="3"/>
  <c r="X511" i="3"/>
  <c r="X512" i="3"/>
  <c r="X513" i="3"/>
  <c r="X514" i="3"/>
  <c r="X515" i="3"/>
  <c r="X516" i="3"/>
  <c r="X517" i="3"/>
  <c r="X518" i="3"/>
  <c r="X519" i="3"/>
  <c r="X520" i="3"/>
  <c r="X521" i="3"/>
  <c r="X522" i="3"/>
  <c r="X523" i="3"/>
  <c r="X524" i="3"/>
  <c r="X525" i="3"/>
  <c r="X526" i="3"/>
  <c r="X527" i="3"/>
  <c r="X528" i="3"/>
  <c r="X529" i="3"/>
  <c r="X530" i="3"/>
  <c r="X531" i="3"/>
  <c r="X532" i="3"/>
  <c r="X533" i="3"/>
  <c r="X534" i="3"/>
  <c r="X535" i="3"/>
  <c r="X536" i="3"/>
  <c r="X537" i="3"/>
  <c r="X538" i="3"/>
  <c r="X539" i="3"/>
  <c r="X540" i="3"/>
  <c r="X541" i="3"/>
  <c r="X542" i="3"/>
  <c r="X543" i="3"/>
  <c r="X544" i="3"/>
  <c r="X545" i="3"/>
  <c r="X546" i="3"/>
  <c r="X547" i="3"/>
  <c r="X548" i="3"/>
  <c r="X549" i="3"/>
  <c r="X550" i="3"/>
  <c r="X551" i="3"/>
  <c r="X552" i="3"/>
  <c r="X553" i="3"/>
  <c r="X554" i="3"/>
  <c r="X555" i="3"/>
  <c r="X556" i="3"/>
  <c r="X557" i="3"/>
  <c r="X558" i="3"/>
  <c r="X559" i="3"/>
  <c r="X560" i="3"/>
  <c r="X561" i="3"/>
  <c r="X562" i="3"/>
  <c r="X563" i="3"/>
  <c r="X564" i="3"/>
  <c r="X565" i="3"/>
  <c r="X566" i="3"/>
  <c r="X567" i="3"/>
  <c r="X568" i="3"/>
  <c r="X569" i="3"/>
  <c r="X570" i="3"/>
  <c r="X571" i="3"/>
  <c r="X572" i="3"/>
  <c r="X573" i="3"/>
  <c r="X574" i="3"/>
  <c r="X575" i="3"/>
  <c r="X576" i="3"/>
  <c r="X577" i="3"/>
  <c r="X578" i="3"/>
  <c r="X579" i="3"/>
  <c r="X580" i="3"/>
  <c r="X581" i="3"/>
  <c r="X582" i="3"/>
  <c r="X583" i="3"/>
  <c r="X584" i="3"/>
  <c r="X585" i="3"/>
  <c r="X586" i="3"/>
  <c r="X587" i="3"/>
  <c r="X588" i="3"/>
  <c r="X589" i="3"/>
  <c r="X590" i="3"/>
  <c r="X591" i="3"/>
  <c r="X592" i="3"/>
  <c r="X593" i="3"/>
  <c r="X594" i="3"/>
  <c r="X595" i="3"/>
  <c r="X596" i="3"/>
  <c r="X597" i="3"/>
  <c r="X598" i="3"/>
  <c r="X599" i="3"/>
  <c r="X600" i="3"/>
  <c r="X601" i="3"/>
  <c r="X602" i="3"/>
  <c r="X603" i="3"/>
  <c r="X604" i="3"/>
  <c r="X605" i="3"/>
  <c r="X606" i="3"/>
  <c r="X607" i="3"/>
  <c r="X608" i="3"/>
  <c r="X609" i="3"/>
  <c r="X610" i="3"/>
  <c r="X611" i="3"/>
  <c r="X612" i="3"/>
  <c r="X613" i="3"/>
  <c r="X614" i="3"/>
  <c r="X615" i="3"/>
  <c r="X616" i="3"/>
  <c r="X617" i="3"/>
  <c r="X618" i="3"/>
  <c r="X619" i="3"/>
  <c r="X620" i="3"/>
  <c r="X621" i="3"/>
  <c r="X622" i="3"/>
  <c r="X623" i="3"/>
  <c r="X624" i="3"/>
  <c r="X625" i="3"/>
  <c r="X626" i="3"/>
  <c r="X627" i="3"/>
  <c r="X628" i="3"/>
  <c r="X629" i="3"/>
  <c r="X630" i="3"/>
  <c r="X631" i="3"/>
  <c r="X632" i="3"/>
  <c r="X633" i="3"/>
  <c r="X634" i="3"/>
  <c r="X635" i="3"/>
  <c r="X636" i="3"/>
  <c r="X637" i="3"/>
  <c r="X638" i="3"/>
  <c r="X639" i="3"/>
  <c r="X640" i="3"/>
  <c r="X641" i="3"/>
  <c r="X642" i="3"/>
  <c r="X643" i="3"/>
  <c r="X644" i="3"/>
  <c r="X645" i="3"/>
  <c r="X646" i="3"/>
  <c r="X647" i="3"/>
  <c r="X648" i="3"/>
  <c r="X649" i="3"/>
  <c r="X650" i="3"/>
  <c r="X651" i="3"/>
  <c r="X652" i="3"/>
  <c r="X653" i="3"/>
  <c r="X654" i="3"/>
  <c r="X655" i="3"/>
  <c r="X656" i="3"/>
  <c r="X657" i="3"/>
  <c r="X658" i="3"/>
  <c r="X659" i="3"/>
  <c r="X660" i="3"/>
  <c r="X661" i="3"/>
  <c r="X662" i="3"/>
  <c r="X663" i="3"/>
  <c r="X664" i="3"/>
  <c r="X665" i="3"/>
  <c r="X666" i="3"/>
  <c r="X667" i="3"/>
  <c r="X668" i="3"/>
  <c r="X669" i="3"/>
  <c r="X670" i="3"/>
  <c r="X671" i="3"/>
  <c r="X672" i="3"/>
  <c r="X673" i="3"/>
  <c r="X674" i="3"/>
  <c r="X675" i="3"/>
  <c r="X676" i="3"/>
  <c r="X677" i="3"/>
  <c r="X678" i="3"/>
  <c r="X679" i="3"/>
  <c r="X680" i="3"/>
  <c r="X681" i="3"/>
  <c r="X682" i="3"/>
  <c r="X683" i="3"/>
  <c r="X684" i="3"/>
  <c r="X685" i="3"/>
  <c r="X686" i="3"/>
  <c r="X687" i="3"/>
  <c r="X688" i="3"/>
  <c r="X689" i="3"/>
  <c r="X690" i="3"/>
  <c r="X691" i="3"/>
  <c r="X692" i="3"/>
  <c r="X693" i="3"/>
  <c r="X694" i="3"/>
  <c r="X695" i="3"/>
  <c r="X696" i="3"/>
  <c r="X697" i="3"/>
  <c r="X698" i="3"/>
  <c r="X699" i="3"/>
  <c r="X700" i="3"/>
  <c r="X701" i="3"/>
  <c r="X702" i="3"/>
  <c r="X703" i="3"/>
  <c r="X704" i="3"/>
  <c r="X705" i="3"/>
  <c r="X706" i="3"/>
  <c r="X707" i="3"/>
  <c r="X708" i="3"/>
  <c r="X709" i="3"/>
  <c r="X710" i="3"/>
  <c r="X711" i="3"/>
  <c r="X712" i="3"/>
  <c r="X713" i="3"/>
  <c r="X714" i="3"/>
  <c r="X715" i="3"/>
  <c r="X716" i="3"/>
  <c r="X717" i="3"/>
  <c r="X718" i="3"/>
  <c r="X719" i="3"/>
  <c r="X720" i="3"/>
  <c r="X721" i="3"/>
  <c r="X722" i="3"/>
  <c r="X723" i="3"/>
  <c r="X724" i="3"/>
  <c r="X725" i="3"/>
  <c r="X726" i="3"/>
  <c r="X727" i="3"/>
  <c r="X728" i="3"/>
  <c r="X729" i="3"/>
  <c r="X730" i="3"/>
  <c r="X731" i="3"/>
  <c r="X732" i="3"/>
  <c r="X733" i="3"/>
  <c r="X734" i="3"/>
  <c r="X735" i="3"/>
  <c r="X736" i="3"/>
  <c r="X737" i="3"/>
  <c r="X738" i="3"/>
  <c r="X739" i="3"/>
  <c r="X740" i="3"/>
  <c r="X741" i="3"/>
  <c r="X742" i="3"/>
  <c r="X743" i="3"/>
  <c r="X744" i="3"/>
  <c r="X745" i="3"/>
  <c r="X746" i="3"/>
  <c r="X747" i="3"/>
  <c r="X748" i="3"/>
  <c r="X749" i="3"/>
  <c r="X750" i="3"/>
  <c r="X751" i="3"/>
  <c r="X752" i="3"/>
  <c r="X753" i="3"/>
  <c r="X754" i="3"/>
  <c r="X755" i="3"/>
  <c r="X756" i="3"/>
  <c r="X757" i="3"/>
  <c r="X758" i="3"/>
  <c r="X759" i="3"/>
  <c r="X760" i="3"/>
  <c r="X761" i="3"/>
  <c r="X762" i="3"/>
  <c r="X763" i="3"/>
  <c r="X764" i="3"/>
  <c r="X765" i="3"/>
  <c r="X766" i="3"/>
  <c r="X767" i="3"/>
  <c r="X768" i="3"/>
  <c r="X769" i="3"/>
  <c r="X770" i="3"/>
  <c r="X771" i="3"/>
  <c r="X772" i="3"/>
  <c r="X773" i="3"/>
  <c r="X774" i="3"/>
  <c r="X775" i="3"/>
  <c r="X776" i="3"/>
  <c r="X777" i="3"/>
  <c r="X778" i="3"/>
  <c r="X779" i="3"/>
  <c r="X780" i="3"/>
  <c r="X781" i="3"/>
  <c r="X782" i="3"/>
  <c r="X783" i="3"/>
  <c r="X784" i="3"/>
  <c r="X785" i="3"/>
  <c r="X786" i="3"/>
  <c r="X787" i="3"/>
  <c r="X788" i="3"/>
  <c r="X789" i="3"/>
  <c r="X790" i="3"/>
  <c r="X791" i="3"/>
  <c r="X792" i="3"/>
  <c r="X793" i="3"/>
  <c r="X794" i="3"/>
  <c r="X795" i="3"/>
  <c r="X796" i="3"/>
  <c r="X797" i="3"/>
  <c r="X798" i="3"/>
  <c r="X799" i="3"/>
  <c r="X800" i="3"/>
  <c r="X801" i="3"/>
  <c r="X802" i="3"/>
  <c r="X803" i="3"/>
  <c r="X804" i="3"/>
  <c r="X805" i="3"/>
  <c r="X806" i="3"/>
  <c r="X807" i="3"/>
  <c r="X808" i="3"/>
  <c r="X809" i="3"/>
  <c r="X810" i="3"/>
  <c r="X811" i="3"/>
  <c r="X812" i="3"/>
  <c r="X813" i="3"/>
  <c r="X814" i="3"/>
  <c r="X815" i="3"/>
  <c r="X816" i="3"/>
  <c r="X817" i="3"/>
  <c r="X818" i="3"/>
  <c r="X819" i="3"/>
  <c r="X820" i="3"/>
  <c r="X821" i="3"/>
  <c r="X822" i="3"/>
  <c r="X823" i="3"/>
  <c r="X824" i="3"/>
  <c r="X825" i="3"/>
  <c r="X826" i="3"/>
  <c r="X827" i="3"/>
  <c r="X828" i="3"/>
  <c r="X829" i="3"/>
  <c r="X830" i="3"/>
  <c r="X831" i="3"/>
  <c r="X832" i="3"/>
  <c r="X833" i="3"/>
  <c r="X834" i="3"/>
  <c r="X835" i="3"/>
  <c r="X836" i="3"/>
  <c r="X837" i="3"/>
  <c r="X838" i="3"/>
  <c r="X839" i="3"/>
  <c r="X840" i="3"/>
  <c r="X841" i="3"/>
  <c r="X842" i="3"/>
  <c r="X843" i="3"/>
  <c r="X844" i="3"/>
  <c r="X845" i="3"/>
  <c r="X846" i="3"/>
  <c r="X847" i="3"/>
  <c r="X848" i="3"/>
  <c r="X849" i="3"/>
  <c r="X850" i="3"/>
  <c r="X851" i="3"/>
  <c r="X852" i="3"/>
  <c r="X853" i="3"/>
  <c r="X854" i="3"/>
  <c r="X855" i="3"/>
  <c r="X856" i="3"/>
  <c r="X857" i="3"/>
  <c r="X858" i="3"/>
  <c r="X859" i="3"/>
  <c r="X860" i="3"/>
  <c r="X861" i="3"/>
  <c r="X862" i="3"/>
  <c r="X863" i="3"/>
  <c r="X864" i="3"/>
  <c r="X865" i="3"/>
  <c r="X866" i="3"/>
  <c r="X867" i="3"/>
  <c r="X868" i="3"/>
  <c r="X869" i="3"/>
  <c r="X870" i="3"/>
  <c r="X871" i="3"/>
  <c r="X872" i="3"/>
  <c r="X873" i="3"/>
  <c r="X874" i="3"/>
  <c r="X875" i="3"/>
  <c r="X876" i="3"/>
  <c r="X877" i="3"/>
  <c r="X878" i="3"/>
  <c r="X879" i="3"/>
  <c r="X880" i="3"/>
  <c r="X881" i="3"/>
  <c r="X882" i="3"/>
  <c r="X883" i="3"/>
  <c r="X884" i="3"/>
  <c r="X885" i="3"/>
  <c r="X886" i="3"/>
  <c r="X887" i="3"/>
  <c r="X888" i="3"/>
  <c r="X889" i="3"/>
  <c r="X890" i="3"/>
  <c r="X891" i="3"/>
  <c r="X892" i="3"/>
  <c r="X893" i="3"/>
  <c r="X894" i="3"/>
  <c r="X895" i="3"/>
  <c r="X896" i="3"/>
  <c r="X897" i="3"/>
  <c r="X898" i="3"/>
  <c r="X899" i="3"/>
  <c r="X900" i="3"/>
  <c r="X901" i="3"/>
  <c r="X902" i="3"/>
  <c r="X903" i="3"/>
  <c r="X904" i="3"/>
  <c r="X905" i="3"/>
  <c r="X906" i="3"/>
  <c r="X907" i="3"/>
  <c r="X908" i="3"/>
  <c r="X909" i="3"/>
  <c r="X910" i="3"/>
  <c r="X911" i="3"/>
  <c r="X912" i="3"/>
  <c r="X913" i="3"/>
  <c r="X914" i="3"/>
  <c r="X915" i="3"/>
  <c r="X916" i="3"/>
  <c r="X917" i="3"/>
  <c r="X918" i="3"/>
  <c r="X919" i="3"/>
  <c r="X920" i="3"/>
  <c r="X921" i="3"/>
  <c r="X922" i="3"/>
  <c r="X923" i="3"/>
  <c r="X924" i="3"/>
  <c r="X925" i="3"/>
  <c r="X926" i="3"/>
  <c r="X927" i="3"/>
  <c r="X928" i="3"/>
  <c r="X929" i="3"/>
  <c r="X930" i="3"/>
  <c r="X931" i="3"/>
  <c r="X932" i="3"/>
  <c r="X933" i="3"/>
  <c r="X934" i="3"/>
  <c r="X935" i="3"/>
  <c r="X936" i="3"/>
  <c r="X937" i="3"/>
  <c r="X938" i="3"/>
  <c r="X939" i="3"/>
  <c r="X940" i="3"/>
  <c r="X941" i="3"/>
  <c r="X942" i="3"/>
  <c r="X943" i="3"/>
  <c r="X944" i="3"/>
  <c r="X945" i="3"/>
  <c r="X946" i="3"/>
  <c r="X947" i="3"/>
  <c r="X948" i="3"/>
  <c r="X949" i="3"/>
  <c r="X950" i="3"/>
  <c r="X951" i="3"/>
  <c r="X952" i="3"/>
  <c r="X953" i="3"/>
  <c r="X954" i="3"/>
  <c r="X955" i="3"/>
  <c r="X956" i="3"/>
  <c r="X957" i="3"/>
  <c r="X958" i="3"/>
  <c r="X959" i="3"/>
  <c r="X960" i="3"/>
  <c r="X961" i="3"/>
  <c r="X962" i="3"/>
  <c r="X963" i="3"/>
  <c r="X964" i="3"/>
  <c r="X965" i="3"/>
  <c r="X966" i="3"/>
  <c r="X967" i="3"/>
  <c r="X968" i="3"/>
  <c r="X969" i="3"/>
  <c r="X970" i="3"/>
  <c r="X971" i="3"/>
  <c r="X972" i="3"/>
  <c r="X973" i="3"/>
  <c r="X974" i="3"/>
  <c r="X975" i="3"/>
  <c r="X976" i="3"/>
  <c r="X977" i="3"/>
  <c r="X978" i="3"/>
  <c r="X979" i="3"/>
  <c r="X980" i="3"/>
  <c r="X981" i="3"/>
  <c r="X982" i="3"/>
  <c r="X983" i="3"/>
  <c r="X984" i="3"/>
  <c r="X985" i="3"/>
  <c r="X986" i="3"/>
  <c r="X987" i="3"/>
  <c r="X988" i="3"/>
  <c r="X989" i="3"/>
  <c r="X990" i="3"/>
  <c r="X991" i="3"/>
  <c r="X992" i="3"/>
  <c r="X993" i="3"/>
  <c r="X994" i="3"/>
  <c r="X995" i="3"/>
  <c r="X996" i="3"/>
  <c r="X997" i="3"/>
  <c r="X998" i="3"/>
  <c r="X999" i="3"/>
  <c r="X1000" i="3"/>
  <c r="X1001" i="3"/>
  <c r="X1002" i="3"/>
  <c r="X1003" i="3"/>
  <c r="X1004" i="3"/>
  <c r="X1005" i="3"/>
  <c r="X1006" i="3"/>
  <c r="X1007" i="3"/>
  <c r="X1008" i="3"/>
  <c r="X1009" i="3"/>
  <c r="X1010" i="3"/>
  <c r="X1011" i="3"/>
  <c r="X1012" i="3"/>
  <c r="X1013" i="3"/>
  <c r="X1014" i="3"/>
  <c r="X1015" i="3"/>
  <c r="X1016" i="3"/>
  <c r="X1017" i="3"/>
  <c r="X1018" i="3"/>
  <c r="X1019" i="3"/>
  <c r="X1020" i="3"/>
  <c r="X1021" i="3"/>
  <c r="X1022" i="3"/>
  <c r="X1023" i="3"/>
  <c r="X1024" i="3"/>
  <c r="X1025" i="3"/>
  <c r="X1026" i="3"/>
  <c r="X1027" i="3"/>
  <c r="X1028" i="3"/>
  <c r="X1029" i="3"/>
  <c r="X1030" i="3"/>
  <c r="X1031" i="3"/>
  <c r="X1032" i="3"/>
  <c r="X1033" i="3"/>
  <c r="X1034" i="3"/>
  <c r="X1035" i="3"/>
  <c r="X1036" i="3"/>
  <c r="X1037" i="3"/>
  <c r="X1038" i="3"/>
  <c r="X1039" i="3"/>
  <c r="X1040" i="3"/>
  <c r="X1041" i="3"/>
  <c r="X1042" i="3"/>
  <c r="X1043" i="3"/>
  <c r="X1044" i="3"/>
  <c r="X1045" i="3"/>
  <c r="X1046" i="3"/>
  <c r="X1047" i="3"/>
  <c r="X1048" i="3"/>
  <c r="X1049" i="3"/>
  <c r="X1050" i="3"/>
  <c r="X1051" i="3"/>
  <c r="X1052" i="3"/>
  <c r="X1053" i="3"/>
  <c r="X1054" i="3"/>
  <c r="X1055" i="3"/>
  <c r="X1056" i="3"/>
  <c r="X1057" i="3"/>
  <c r="X1058" i="3"/>
  <c r="X1059" i="3"/>
  <c r="X1060" i="3"/>
  <c r="X1061" i="3"/>
  <c r="X1062" i="3"/>
  <c r="X1063" i="3"/>
  <c r="X1064" i="3"/>
  <c r="X1065" i="3"/>
  <c r="X1066" i="3"/>
  <c r="X1067" i="3"/>
  <c r="X1068" i="3"/>
  <c r="X1069" i="3"/>
  <c r="X1070" i="3"/>
  <c r="X1071" i="3"/>
  <c r="X1072" i="3"/>
  <c r="X1073" i="3"/>
  <c r="X1074" i="3"/>
  <c r="X1075" i="3"/>
  <c r="X1076" i="3"/>
  <c r="X1077" i="3"/>
  <c r="X1078" i="3"/>
  <c r="X1079" i="3"/>
  <c r="X1080" i="3"/>
  <c r="X1081" i="3"/>
  <c r="X1082" i="3"/>
  <c r="X1083" i="3"/>
  <c r="X1084" i="3"/>
  <c r="X1085" i="3"/>
  <c r="X1086" i="3"/>
  <c r="X1087" i="3"/>
  <c r="X1088" i="3"/>
  <c r="X1089" i="3"/>
  <c r="X1090" i="3"/>
  <c r="X1091" i="3"/>
  <c r="X1092" i="3"/>
  <c r="X1093" i="3"/>
  <c r="X1094" i="3"/>
  <c r="X1095" i="3"/>
  <c r="X1096" i="3"/>
  <c r="X1097" i="3"/>
  <c r="X1098" i="3"/>
  <c r="X1099" i="3"/>
  <c r="X1100" i="3"/>
  <c r="X1101" i="3"/>
  <c r="X1102" i="3"/>
  <c r="X1103" i="3"/>
  <c r="X1104" i="3"/>
  <c r="X1105" i="3"/>
  <c r="X1106" i="3"/>
  <c r="X1107" i="3"/>
  <c r="X1108" i="3"/>
  <c r="X1109" i="3"/>
  <c r="X1110" i="3"/>
  <c r="X1111" i="3"/>
  <c r="X1112" i="3"/>
  <c r="X1113" i="3"/>
  <c r="X1114" i="3"/>
  <c r="X1115" i="3"/>
  <c r="X1116" i="3"/>
  <c r="X1117" i="3"/>
  <c r="X1118" i="3"/>
  <c r="X1119" i="3"/>
  <c r="X1120" i="3"/>
  <c r="X1121" i="3"/>
  <c r="X1122" i="3"/>
  <c r="X1123" i="3"/>
  <c r="X1124" i="3"/>
  <c r="X1125" i="3"/>
  <c r="X1126" i="3"/>
  <c r="X1127" i="3"/>
  <c r="X1128" i="3"/>
  <c r="X1129" i="3"/>
  <c r="X1130" i="3"/>
  <c r="X1131" i="3"/>
  <c r="X1132" i="3"/>
  <c r="X1133" i="3"/>
  <c r="X1134" i="3"/>
  <c r="X1135" i="3"/>
  <c r="X1136" i="3"/>
  <c r="X1137" i="3"/>
  <c r="X1138" i="3"/>
  <c r="X1139" i="3"/>
  <c r="X1140" i="3"/>
  <c r="X1141" i="3"/>
  <c r="X1142" i="3"/>
  <c r="X1143" i="3"/>
  <c r="X1144" i="3"/>
  <c r="X1145" i="3"/>
  <c r="X1146" i="3"/>
  <c r="X1147" i="3"/>
  <c r="X1148" i="3"/>
  <c r="X1149" i="3"/>
  <c r="X1150" i="3"/>
  <c r="X1151" i="3"/>
  <c r="X1152" i="3"/>
  <c r="X1153" i="3"/>
  <c r="X1154" i="3"/>
  <c r="X1155" i="3"/>
  <c r="X1156" i="3"/>
  <c r="X1157" i="3"/>
  <c r="X1158" i="3"/>
  <c r="X1159" i="3"/>
  <c r="X1160" i="3"/>
  <c r="X1161" i="3"/>
  <c r="X1162" i="3"/>
  <c r="X1163" i="3"/>
  <c r="X1164" i="3"/>
  <c r="X1165" i="3"/>
  <c r="X1166" i="3"/>
  <c r="X1167" i="3"/>
  <c r="X1168" i="3"/>
  <c r="X1169" i="3"/>
  <c r="X1170" i="3"/>
  <c r="X1171" i="3"/>
  <c r="X1172" i="3"/>
  <c r="X1173" i="3"/>
  <c r="X1174" i="3"/>
  <c r="X1175" i="3"/>
  <c r="X1176" i="3"/>
  <c r="X1177" i="3"/>
  <c r="X1178" i="3"/>
  <c r="X1179" i="3"/>
  <c r="X1180" i="3"/>
  <c r="X1181" i="3"/>
  <c r="X1182" i="3"/>
  <c r="X1183" i="3"/>
  <c r="X1184" i="3"/>
  <c r="X1185" i="3"/>
  <c r="X1186" i="3"/>
  <c r="X1187" i="3"/>
  <c r="X1188" i="3"/>
  <c r="X1189" i="3"/>
  <c r="X1190" i="3"/>
  <c r="X1191" i="3"/>
  <c r="X1192" i="3"/>
  <c r="X1193" i="3"/>
  <c r="X1194" i="3"/>
  <c r="X1195" i="3"/>
  <c r="X1196" i="3"/>
  <c r="X1197" i="3"/>
  <c r="X1198" i="3"/>
  <c r="X1199" i="3"/>
  <c r="X1200" i="3"/>
  <c r="X1201" i="3"/>
  <c r="X1202" i="3"/>
  <c r="X1203" i="3"/>
  <c r="X1204" i="3"/>
  <c r="X1205" i="3"/>
  <c r="X1206" i="3"/>
  <c r="X1207" i="3"/>
  <c r="X1208" i="3"/>
  <c r="X1209" i="3"/>
  <c r="X1210" i="3"/>
  <c r="X1211" i="3"/>
  <c r="X1212" i="3"/>
  <c r="X1213" i="3"/>
  <c r="X1214" i="3"/>
  <c r="X1215" i="3"/>
  <c r="X1216" i="3"/>
  <c r="X1217" i="3"/>
  <c r="X1218" i="3"/>
  <c r="X1219" i="3"/>
  <c r="X1220" i="3"/>
  <c r="X1221" i="3"/>
  <c r="X1222" i="3"/>
  <c r="X1223" i="3"/>
  <c r="X1224" i="3"/>
  <c r="X1225" i="3"/>
  <c r="X1226" i="3"/>
  <c r="X1227" i="3"/>
  <c r="X1228" i="3"/>
  <c r="X1229" i="3"/>
  <c r="X1230" i="3"/>
  <c r="X1231" i="3"/>
  <c r="X1232" i="3"/>
  <c r="X1233" i="3"/>
  <c r="X1234" i="3"/>
  <c r="X1235" i="3"/>
  <c r="X1236" i="3"/>
  <c r="X1237" i="3"/>
  <c r="X1238" i="3"/>
  <c r="X1239" i="3"/>
  <c r="X1240" i="3"/>
  <c r="X1241" i="3"/>
  <c r="X1242" i="3"/>
  <c r="X1243" i="3"/>
  <c r="X1244" i="3"/>
  <c r="X1245" i="3"/>
  <c r="X1246" i="3"/>
  <c r="X1247" i="3"/>
  <c r="X1248" i="3"/>
  <c r="X1249" i="3"/>
  <c r="X1250" i="3"/>
  <c r="X1251" i="3"/>
  <c r="X1252" i="3"/>
  <c r="X1253" i="3"/>
  <c r="X1254" i="3"/>
  <c r="X1255" i="3"/>
  <c r="X1256" i="3"/>
  <c r="X1257" i="3"/>
  <c r="X1258" i="3"/>
  <c r="X1259" i="3"/>
  <c r="X1260" i="3"/>
  <c r="X1261" i="3"/>
  <c r="X1262" i="3"/>
  <c r="X1263" i="3"/>
  <c r="X1264" i="3"/>
  <c r="X1265" i="3"/>
  <c r="X1266" i="3"/>
  <c r="X1267" i="3"/>
  <c r="X1268" i="3"/>
  <c r="X1269" i="3"/>
  <c r="X1270" i="3"/>
  <c r="X1271" i="3"/>
  <c r="X1272" i="3"/>
  <c r="X1273" i="3"/>
  <c r="X1274" i="3"/>
  <c r="X1275" i="3"/>
  <c r="X1276" i="3"/>
  <c r="X1277" i="3"/>
  <c r="X1278" i="3"/>
  <c r="X1279" i="3"/>
  <c r="X1280" i="3"/>
  <c r="X1281" i="3"/>
  <c r="X128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W514" i="3"/>
  <c r="W515" i="3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W532" i="3"/>
  <c r="W533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W548" i="3"/>
  <c r="W549" i="3"/>
  <c r="W550" i="3"/>
  <c r="W551" i="3"/>
  <c r="W552" i="3"/>
  <c r="W553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  <c r="W587" i="3"/>
  <c r="W588" i="3"/>
  <c r="W589" i="3"/>
  <c r="W590" i="3"/>
  <c r="W591" i="3"/>
  <c r="W592" i="3"/>
  <c r="W593" i="3"/>
  <c r="W594" i="3"/>
  <c r="W595" i="3"/>
  <c r="W596" i="3"/>
  <c r="W597" i="3"/>
  <c r="W598" i="3"/>
  <c r="W599" i="3"/>
  <c r="W600" i="3"/>
  <c r="W601" i="3"/>
  <c r="W602" i="3"/>
  <c r="W603" i="3"/>
  <c r="W604" i="3"/>
  <c r="W605" i="3"/>
  <c r="W606" i="3"/>
  <c r="W607" i="3"/>
  <c r="W608" i="3"/>
  <c r="W609" i="3"/>
  <c r="W610" i="3"/>
  <c r="W611" i="3"/>
  <c r="W612" i="3"/>
  <c r="W613" i="3"/>
  <c r="W614" i="3"/>
  <c r="W615" i="3"/>
  <c r="W616" i="3"/>
  <c r="W617" i="3"/>
  <c r="W618" i="3"/>
  <c r="W619" i="3"/>
  <c r="W620" i="3"/>
  <c r="W621" i="3"/>
  <c r="W622" i="3"/>
  <c r="W623" i="3"/>
  <c r="W624" i="3"/>
  <c r="W625" i="3"/>
  <c r="W626" i="3"/>
  <c r="W627" i="3"/>
  <c r="W628" i="3"/>
  <c r="W629" i="3"/>
  <c r="W630" i="3"/>
  <c r="W631" i="3"/>
  <c r="W632" i="3"/>
  <c r="W633" i="3"/>
  <c r="W634" i="3"/>
  <c r="W635" i="3"/>
  <c r="W636" i="3"/>
  <c r="W637" i="3"/>
  <c r="W638" i="3"/>
  <c r="W639" i="3"/>
  <c r="W640" i="3"/>
  <c r="W641" i="3"/>
  <c r="W642" i="3"/>
  <c r="W643" i="3"/>
  <c r="W644" i="3"/>
  <c r="W645" i="3"/>
  <c r="W646" i="3"/>
  <c r="W647" i="3"/>
  <c r="W648" i="3"/>
  <c r="W649" i="3"/>
  <c r="W650" i="3"/>
  <c r="W651" i="3"/>
  <c r="W652" i="3"/>
  <c r="W653" i="3"/>
  <c r="W654" i="3"/>
  <c r="W655" i="3"/>
  <c r="W656" i="3"/>
  <c r="W657" i="3"/>
  <c r="W658" i="3"/>
  <c r="W659" i="3"/>
  <c r="W660" i="3"/>
  <c r="W661" i="3"/>
  <c r="W662" i="3"/>
  <c r="W663" i="3"/>
  <c r="W664" i="3"/>
  <c r="W665" i="3"/>
  <c r="W666" i="3"/>
  <c r="W667" i="3"/>
  <c r="W668" i="3"/>
  <c r="W669" i="3"/>
  <c r="W670" i="3"/>
  <c r="W671" i="3"/>
  <c r="W672" i="3"/>
  <c r="W673" i="3"/>
  <c r="W674" i="3"/>
  <c r="W675" i="3"/>
  <c r="W676" i="3"/>
  <c r="W677" i="3"/>
  <c r="W678" i="3"/>
  <c r="W679" i="3"/>
  <c r="W680" i="3"/>
  <c r="W681" i="3"/>
  <c r="W682" i="3"/>
  <c r="W683" i="3"/>
  <c r="W684" i="3"/>
  <c r="W685" i="3"/>
  <c r="W686" i="3"/>
  <c r="W687" i="3"/>
  <c r="W688" i="3"/>
  <c r="W689" i="3"/>
  <c r="W690" i="3"/>
  <c r="W691" i="3"/>
  <c r="W692" i="3"/>
  <c r="W693" i="3"/>
  <c r="W694" i="3"/>
  <c r="W695" i="3"/>
  <c r="W696" i="3"/>
  <c r="W697" i="3"/>
  <c r="W698" i="3"/>
  <c r="W699" i="3"/>
  <c r="W700" i="3"/>
  <c r="W701" i="3"/>
  <c r="W702" i="3"/>
  <c r="W703" i="3"/>
  <c r="W704" i="3"/>
  <c r="W705" i="3"/>
  <c r="W706" i="3"/>
  <c r="W707" i="3"/>
  <c r="W708" i="3"/>
  <c r="W709" i="3"/>
  <c r="W710" i="3"/>
  <c r="W711" i="3"/>
  <c r="W712" i="3"/>
  <c r="W713" i="3"/>
  <c r="W714" i="3"/>
  <c r="W715" i="3"/>
  <c r="W716" i="3"/>
  <c r="W717" i="3"/>
  <c r="W718" i="3"/>
  <c r="W719" i="3"/>
  <c r="W720" i="3"/>
  <c r="W721" i="3"/>
  <c r="W722" i="3"/>
  <c r="W723" i="3"/>
  <c r="W724" i="3"/>
  <c r="W725" i="3"/>
  <c r="W726" i="3"/>
  <c r="W727" i="3"/>
  <c r="W728" i="3"/>
  <c r="W729" i="3"/>
  <c r="W730" i="3"/>
  <c r="W731" i="3"/>
  <c r="W732" i="3"/>
  <c r="W733" i="3"/>
  <c r="W734" i="3"/>
  <c r="W735" i="3"/>
  <c r="W736" i="3"/>
  <c r="W737" i="3"/>
  <c r="W738" i="3"/>
  <c r="W739" i="3"/>
  <c r="W740" i="3"/>
  <c r="W741" i="3"/>
  <c r="W742" i="3"/>
  <c r="W743" i="3"/>
  <c r="W744" i="3"/>
  <c r="W745" i="3"/>
  <c r="W746" i="3"/>
  <c r="W747" i="3"/>
  <c r="W748" i="3"/>
  <c r="W749" i="3"/>
  <c r="W750" i="3"/>
  <c r="W751" i="3"/>
  <c r="W752" i="3"/>
  <c r="W753" i="3"/>
  <c r="W754" i="3"/>
  <c r="W755" i="3"/>
  <c r="W756" i="3"/>
  <c r="W757" i="3"/>
  <c r="W758" i="3"/>
  <c r="W759" i="3"/>
  <c r="W760" i="3"/>
  <c r="W761" i="3"/>
  <c r="W762" i="3"/>
  <c r="W763" i="3"/>
  <c r="W764" i="3"/>
  <c r="W765" i="3"/>
  <c r="W766" i="3"/>
  <c r="W767" i="3"/>
  <c r="W768" i="3"/>
  <c r="W769" i="3"/>
  <c r="W770" i="3"/>
  <c r="W771" i="3"/>
  <c r="W772" i="3"/>
  <c r="W773" i="3"/>
  <c r="W774" i="3"/>
  <c r="W775" i="3"/>
  <c r="W776" i="3"/>
  <c r="W777" i="3"/>
  <c r="W778" i="3"/>
  <c r="W779" i="3"/>
  <c r="W780" i="3"/>
  <c r="W781" i="3"/>
  <c r="W782" i="3"/>
  <c r="W783" i="3"/>
  <c r="W784" i="3"/>
  <c r="W785" i="3"/>
  <c r="W786" i="3"/>
  <c r="W787" i="3"/>
  <c r="W788" i="3"/>
  <c r="W789" i="3"/>
  <c r="W790" i="3"/>
  <c r="W791" i="3"/>
  <c r="W792" i="3"/>
  <c r="W793" i="3"/>
  <c r="W794" i="3"/>
  <c r="W795" i="3"/>
  <c r="W796" i="3"/>
  <c r="W797" i="3"/>
  <c r="W798" i="3"/>
  <c r="W799" i="3"/>
  <c r="W800" i="3"/>
  <c r="W801" i="3"/>
  <c r="W802" i="3"/>
  <c r="W803" i="3"/>
  <c r="W804" i="3"/>
  <c r="W805" i="3"/>
  <c r="W806" i="3"/>
  <c r="W807" i="3"/>
  <c r="W808" i="3"/>
  <c r="W809" i="3"/>
  <c r="W810" i="3"/>
  <c r="W811" i="3"/>
  <c r="W812" i="3"/>
  <c r="W813" i="3"/>
  <c r="W814" i="3"/>
  <c r="W815" i="3"/>
  <c r="W816" i="3"/>
  <c r="W817" i="3"/>
  <c r="W818" i="3"/>
  <c r="W819" i="3"/>
  <c r="W820" i="3"/>
  <c r="W821" i="3"/>
  <c r="W822" i="3"/>
  <c r="W823" i="3"/>
  <c r="W824" i="3"/>
  <c r="W825" i="3"/>
  <c r="W826" i="3"/>
  <c r="W827" i="3"/>
  <c r="W828" i="3"/>
  <c r="W829" i="3"/>
  <c r="W830" i="3"/>
  <c r="W831" i="3"/>
  <c r="W832" i="3"/>
  <c r="W833" i="3"/>
  <c r="W834" i="3"/>
  <c r="W835" i="3"/>
  <c r="W836" i="3"/>
  <c r="W837" i="3"/>
  <c r="W838" i="3"/>
  <c r="W839" i="3"/>
  <c r="W840" i="3"/>
  <c r="W841" i="3"/>
  <c r="W842" i="3"/>
  <c r="W843" i="3"/>
  <c r="W844" i="3"/>
  <c r="W845" i="3"/>
  <c r="W846" i="3"/>
  <c r="W847" i="3"/>
  <c r="W848" i="3"/>
  <c r="W849" i="3"/>
  <c r="W850" i="3"/>
  <c r="W851" i="3"/>
  <c r="W852" i="3"/>
  <c r="W853" i="3"/>
  <c r="W854" i="3"/>
  <c r="W855" i="3"/>
  <c r="W856" i="3"/>
  <c r="W857" i="3"/>
  <c r="W858" i="3"/>
  <c r="W859" i="3"/>
  <c r="W860" i="3"/>
  <c r="W861" i="3"/>
  <c r="W862" i="3"/>
  <c r="W863" i="3"/>
  <c r="W864" i="3"/>
  <c r="W865" i="3"/>
  <c r="W866" i="3"/>
  <c r="W867" i="3"/>
  <c r="W868" i="3"/>
  <c r="W869" i="3"/>
  <c r="W870" i="3"/>
  <c r="W871" i="3"/>
  <c r="W872" i="3"/>
  <c r="W873" i="3"/>
  <c r="W874" i="3"/>
  <c r="W875" i="3"/>
  <c r="W876" i="3"/>
  <c r="W877" i="3"/>
  <c r="W878" i="3"/>
  <c r="W879" i="3"/>
  <c r="W880" i="3"/>
  <c r="W881" i="3"/>
  <c r="W882" i="3"/>
  <c r="W883" i="3"/>
  <c r="W884" i="3"/>
  <c r="W885" i="3"/>
  <c r="W886" i="3"/>
  <c r="W887" i="3"/>
  <c r="W888" i="3"/>
  <c r="W889" i="3"/>
  <c r="W890" i="3"/>
  <c r="W891" i="3"/>
  <c r="W892" i="3"/>
  <c r="W893" i="3"/>
  <c r="W894" i="3"/>
  <c r="W895" i="3"/>
  <c r="W896" i="3"/>
  <c r="W897" i="3"/>
  <c r="W898" i="3"/>
  <c r="W899" i="3"/>
  <c r="W900" i="3"/>
  <c r="W901" i="3"/>
  <c r="W902" i="3"/>
  <c r="W903" i="3"/>
  <c r="W904" i="3"/>
  <c r="W905" i="3"/>
  <c r="W906" i="3"/>
  <c r="W907" i="3"/>
  <c r="W908" i="3"/>
  <c r="W909" i="3"/>
  <c r="W910" i="3"/>
  <c r="W911" i="3"/>
  <c r="W912" i="3"/>
  <c r="W913" i="3"/>
  <c r="W914" i="3"/>
  <c r="W915" i="3"/>
  <c r="W916" i="3"/>
  <c r="W917" i="3"/>
  <c r="W918" i="3"/>
  <c r="W919" i="3"/>
  <c r="W920" i="3"/>
  <c r="W921" i="3"/>
  <c r="W922" i="3"/>
  <c r="W923" i="3"/>
  <c r="W924" i="3"/>
  <c r="W925" i="3"/>
  <c r="W926" i="3"/>
  <c r="W927" i="3"/>
  <c r="W928" i="3"/>
  <c r="W929" i="3"/>
  <c r="W930" i="3"/>
  <c r="W931" i="3"/>
  <c r="W932" i="3"/>
  <c r="W933" i="3"/>
  <c r="W934" i="3"/>
  <c r="W935" i="3"/>
  <c r="W936" i="3"/>
  <c r="W937" i="3"/>
  <c r="W938" i="3"/>
  <c r="W939" i="3"/>
  <c r="W940" i="3"/>
  <c r="W941" i="3"/>
  <c r="W942" i="3"/>
  <c r="W943" i="3"/>
  <c r="W944" i="3"/>
  <c r="W945" i="3"/>
  <c r="W946" i="3"/>
  <c r="W947" i="3"/>
  <c r="W948" i="3"/>
  <c r="W949" i="3"/>
  <c r="W950" i="3"/>
  <c r="W951" i="3"/>
  <c r="W952" i="3"/>
  <c r="W953" i="3"/>
  <c r="W954" i="3"/>
  <c r="W955" i="3"/>
  <c r="W956" i="3"/>
  <c r="W957" i="3"/>
  <c r="W958" i="3"/>
  <c r="W959" i="3"/>
  <c r="W960" i="3"/>
  <c r="W961" i="3"/>
  <c r="W962" i="3"/>
  <c r="W963" i="3"/>
  <c r="W964" i="3"/>
  <c r="W965" i="3"/>
  <c r="W966" i="3"/>
  <c r="W967" i="3"/>
  <c r="W968" i="3"/>
  <c r="W969" i="3"/>
  <c r="W970" i="3"/>
  <c r="W971" i="3"/>
  <c r="W972" i="3"/>
  <c r="W973" i="3"/>
  <c r="W974" i="3"/>
  <c r="W975" i="3"/>
  <c r="W976" i="3"/>
  <c r="W977" i="3"/>
  <c r="W978" i="3"/>
  <c r="W979" i="3"/>
  <c r="W980" i="3"/>
  <c r="W981" i="3"/>
  <c r="W982" i="3"/>
  <c r="W983" i="3"/>
  <c r="W984" i="3"/>
  <c r="W985" i="3"/>
  <c r="W986" i="3"/>
  <c r="W987" i="3"/>
  <c r="W988" i="3"/>
  <c r="W989" i="3"/>
  <c r="W990" i="3"/>
  <c r="W991" i="3"/>
  <c r="W992" i="3"/>
  <c r="W993" i="3"/>
  <c r="W994" i="3"/>
  <c r="W995" i="3"/>
  <c r="W996" i="3"/>
  <c r="W997" i="3"/>
  <c r="W998" i="3"/>
  <c r="W999" i="3"/>
  <c r="W1000" i="3"/>
  <c r="W1001" i="3"/>
  <c r="W1002" i="3"/>
  <c r="W1003" i="3"/>
  <c r="W1004" i="3"/>
  <c r="W1005" i="3"/>
  <c r="W1006" i="3"/>
  <c r="W1007" i="3"/>
  <c r="W1008" i="3"/>
  <c r="W1009" i="3"/>
  <c r="W1010" i="3"/>
  <c r="W1011" i="3"/>
  <c r="W1012" i="3"/>
  <c r="W1013" i="3"/>
  <c r="W1014" i="3"/>
  <c r="W1015" i="3"/>
  <c r="W1016" i="3"/>
  <c r="W1017" i="3"/>
  <c r="W1018" i="3"/>
  <c r="W1019" i="3"/>
  <c r="W1020" i="3"/>
  <c r="W1021" i="3"/>
  <c r="W1022" i="3"/>
  <c r="W1023" i="3"/>
  <c r="W1024" i="3"/>
  <c r="W1025" i="3"/>
  <c r="W1026" i="3"/>
  <c r="W1027" i="3"/>
  <c r="W1028" i="3"/>
  <c r="W1029" i="3"/>
  <c r="W1030" i="3"/>
  <c r="W1031" i="3"/>
  <c r="W1032" i="3"/>
  <c r="W1033" i="3"/>
  <c r="W1034" i="3"/>
  <c r="W1035" i="3"/>
  <c r="W1036" i="3"/>
  <c r="W1037" i="3"/>
  <c r="W1038" i="3"/>
  <c r="W1039" i="3"/>
  <c r="W1040" i="3"/>
  <c r="W1041" i="3"/>
  <c r="W1042" i="3"/>
  <c r="W1043" i="3"/>
  <c r="W1044" i="3"/>
  <c r="W1045" i="3"/>
  <c r="W1046" i="3"/>
  <c r="W1047" i="3"/>
  <c r="W1048" i="3"/>
  <c r="W1049" i="3"/>
  <c r="W1050" i="3"/>
  <c r="W1051" i="3"/>
  <c r="W1052" i="3"/>
  <c r="W1053" i="3"/>
  <c r="W1054" i="3"/>
  <c r="W1055" i="3"/>
  <c r="W1056" i="3"/>
  <c r="W1057" i="3"/>
  <c r="W1058" i="3"/>
  <c r="W1059" i="3"/>
  <c r="W1060" i="3"/>
  <c r="W1061" i="3"/>
  <c r="W1062" i="3"/>
  <c r="W1063" i="3"/>
  <c r="W1064" i="3"/>
  <c r="W1065" i="3"/>
  <c r="W1066" i="3"/>
  <c r="W1067" i="3"/>
  <c r="W1068" i="3"/>
  <c r="W1069" i="3"/>
  <c r="W1070" i="3"/>
  <c r="W1071" i="3"/>
  <c r="W1072" i="3"/>
  <c r="W1073" i="3"/>
  <c r="W1074" i="3"/>
  <c r="W1075" i="3"/>
  <c r="W1076" i="3"/>
  <c r="W1077" i="3"/>
  <c r="W1078" i="3"/>
  <c r="W1079" i="3"/>
  <c r="W1080" i="3"/>
  <c r="W1081" i="3"/>
  <c r="W1082" i="3"/>
  <c r="W1083" i="3"/>
  <c r="W1084" i="3"/>
  <c r="W1085" i="3"/>
  <c r="W1086" i="3"/>
  <c r="W1087" i="3"/>
  <c r="W1088" i="3"/>
  <c r="W1089" i="3"/>
  <c r="W1090" i="3"/>
  <c r="W1091" i="3"/>
  <c r="W1092" i="3"/>
  <c r="W1093" i="3"/>
  <c r="W1094" i="3"/>
  <c r="W1095" i="3"/>
  <c r="W1096" i="3"/>
  <c r="W1097" i="3"/>
  <c r="W1098" i="3"/>
  <c r="W1099" i="3"/>
  <c r="W1100" i="3"/>
  <c r="W1101" i="3"/>
  <c r="W1102" i="3"/>
  <c r="W1103" i="3"/>
  <c r="W1104" i="3"/>
  <c r="W1105" i="3"/>
  <c r="W1106" i="3"/>
  <c r="W1107" i="3"/>
  <c r="W1108" i="3"/>
  <c r="W1109" i="3"/>
  <c r="W1110" i="3"/>
  <c r="W1111" i="3"/>
  <c r="W1112" i="3"/>
  <c r="W1113" i="3"/>
  <c r="W1114" i="3"/>
  <c r="W1115" i="3"/>
  <c r="W1116" i="3"/>
  <c r="W1117" i="3"/>
  <c r="W1118" i="3"/>
  <c r="W1119" i="3"/>
  <c r="W1120" i="3"/>
  <c r="W1121" i="3"/>
  <c r="W1122" i="3"/>
  <c r="W1123" i="3"/>
  <c r="W1124" i="3"/>
  <c r="W1125" i="3"/>
  <c r="W1126" i="3"/>
  <c r="W1127" i="3"/>
  <c r="W1128" i="3"/>
  <c r="W1129" i="3"/>
  <c r="W1130" i="3"/>
  <c r="W1131" i="3"/>
  <c r="W1132" i="3"/>
  <c r="W1133" i="3"/>
  <c r="W1134" i="3"/>
  <c r="W1135" i="3"/>
  <c r="W1136" i="3"/>
  <c r="W1137" i="3"/>
  <c r="W1138" i="3"/>
  <c r="W1139" i="3"/>
  <c r="W1140" i="3"/>
  <c r="W1141" i="3"/>
  <c r="W1142" i="3"/>
  <c r="W1143" i="3"/>
  <c r="W1144" i="3"/>
  <c r="W1145" i="3"/>
  <c r="W1146" i="3"/>
  <c r="W1147" i="3"/>
  <c r="W1148" i="3"/>
  <c r="W1149" i="3"/>
  <c r="W1150" i="3"/>
  <c r="W1151" i="3"/>
  <c r="W1152" i="3"/>
  <c r="W1153" i="3"/>
  <c r="W1154" i="3"/>
  <c r="W1155" i="3"/>
  <c r="W1156" i="3"/>
  <c r="W1157" i="3"/>
  <c r="W1158" i="3"/>
  <c r="W1159" i="3"/>
  <c r="W1160" i="3"/>
  <c r="W1161" i="3"/>
  <c r="W1162" i="3"/>
  <c r="W1163" i="3"/>
  <c r="W1164" i="3"/>
  <c r="W1165" i="3"/>
  <c r="W1166" i="3"/>
  <c r="W1167" i="3"/>
  <c r="W1168" i="3"/>
  <c r="W1169" i="3"/>
  <c r="W1170" i="3"/>
  <c r="W1171" i="3"/>
  <c r="W1172" i="3"/>
  <c r="W1173" i="3"/>
  <c r="W1174" i="3"/>
  <c r="W1175" i="3"/>
  <c r="W1176" i="3"/>
  <c r="W1177" i="3"/>
  <c r="W1178" i="3"/>
  <c r="W1179" i="3"/>
  <c r="W1180" i="3"/>
  <c r="W1181" i="3"/>
  <c r="W1182" i="3"/>
  <c r="W1183" i="3"/>
  <c r="W1184" i="3"/>
  <c r="W1185" i="3"/>
  <c r="W1186" i="3"/>
  <c r="W1187" i="3"/>
  <c r="W1188" i="3"/>
  <c r="W1189" i="3"/>
  <c r="W1190" i="3"/>
  <c r="W1191" i="3"/>
  <c r="W1192" i="3"/>
  <c r="W1193" i="3"/>
  <c r="W1194" i="3"/>
  <c r="W1195" i="3"/>
  <c r="W1196" i="3"/>
  <c r="W1197" i="3"/>
  <c r="W1198" i="3"/>
  <c r="W1199" i="3"/>
  <c r="W1200" i="3"/>
  <c r="W1201" i="3"/>
  <c r="W1202" i="3"/>
  <c r="W1203" i="3"/>
  <c r="W1204" i="3"/>
  <c r="W1205" i="3"/>
  <c r="W1206" i="3"/>
  <c r="W1207" i="3"/>
  <c r="W1208" i="3"/>
  <c r="W1209" i="3"/>
  <c r="W1210" i="3"/>
  <c r="W1211" i="3"/>
  <c r="W1212" i="3"/>
  <c r="W1213" i="3"/>
  <c r="W1214" i="3"/>
  <c r="W1215" i="3"/>
  <c r="W1216" i="3"/>
  <c r="W1217" i="3"/>
  <c r="W1218" i="3"/>
  <c r="W1219" i="3"/>
  <c r="W1220" i="3"/>
  <c r="W1221" i="3"/>
  <c r="W1222" i="3"/>
  <c r="W1223" i="3"/>
  <c r="W1224" i="3"/>
  <c r="W1225" i="3"/>
  <c r="W1226" i="3"/>
  <c r="W1227" i="3"/>
  <c r="W1228" i="3"/>
  <c r="W1229" i="3"/>
  <c r="W1230" i="3"/>
  <c r="W1231" i="3"/>
  <c r="W1232" i="3"/>
  <c r="W1233" i="3"/>
  <c r="W1234" i="3"/>
  <c r="W1235" i="3"/>
  <c r="W1236" i="3"/>
  <c r="W1237" i="3"/>
  <c r="W1238" i="3"/>
  <c r="W1239" i="3"/>
  <c r="W1240" i="3"/>
  <c r="W1241" i="3"/>
  <c r="W1242" i="3"/>
  <c r="W1243" i="3"/>
  <c r="W1244" i="3"/>
  <c r="W1245" i="3"/>
  <c r="W1246" i="3"/>
  <c r="W1247" i="3"/>
  <c r="W1248" i="3"/>
  <c r="W1249" i="3"/>
  <c r="W1250" i="3"/>
  <c r="W1251" i="3"/>
  <c r="W1252" i="3"/>
  <c r="W1253" i="3"/>
  <c r="W1254" i="3"/>
  <c r="W1255" i="3"/>
  <c r="W1256" i="3"/>
  <c r="W1257" i="3"/>
  <c r="W1258" i="3"/>
  <c r="W1259" i="3"/>
  <c r="W1260" i="3"/>
  <c r="W1261" i="3"/>
  <c r="W1262" i="3"/>
  <c r="W1263" i="3"/>
  <c r="W1264" i="3"/>
  <c r="W1265" i="3"/>
  <c r="W1266" i="3"/>
  <c r="W1267" i="3"/>
  <c r="W1268" i="3"/>
  <c r="W1269" i="3"/>
  <c r="W1270" i="3"/>
  <c r="W1271" i="3"/>
  <c r="W1272" i="3"/>
  <c r="W1273" i="3"/>
  <c r="W1274" i="3"/>
  <c r="W1275" i="3"/>
  <c r="W1276" i="3"/>
  <c r="W1277" i="3"/>
  <c r="W1278" i="3"/>
  <c r="W1279" i="3"/>
  <c r="W1280" i="3"/>
  <c r="W1281" i="3"/>
  <c r="W128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84" i="3"/>
  <c r="V585" i="3"/>
  <c r="V586" i="3"/>
  <c r="V587" i="3"/>
  <c r="V588" i="3"/>
  <c r="V589" i="3"/>
  <c r="V590" i="3"/>
  <c r="V591" i="3"/>
  <c r="V592" i="3"/>
  <c r="V593" i="3"/>
  <c r="V594" i="3"/>
  <c r="V595" i="3"/>
  <c r="V596" i="3"/>
  <c r="V597" i="3"/>
  <c r="V598" i="3"/>
  <c r="V599" i="3"/>
  <c r="V600" i="3"/>
  <c r="V601" i="3"/>
  <c r="V602" i="3"/>
  <c r="V603" i="3"/>
  <c r="V604" i="3"/>
  <c r="V605" i="3"/>
  <c r="V606" i="3"/>
  <c r="V607" i="3"/>
  <c r="V608" i="3"/>
  <c r="V609" i="3"/>
  <c r="V610" i="3"/>
  <c r="V611" i="3"/>
  <c r="V612" i="3"/>
  <c r="V613" i="3"/>
  <c r="V614" i="3"/>
  <c r="V615" i="3"/>
  <c r="V616" i="3"/>
  <c r="V617" i="3"/>
  <c r="V618" i="3"/>
  <c r="V619" i="3"/>
  <c r="V620" i="3"/>
  <c r="V621" i="3"/>
  <c r="V622" i="3"/>
  <c r="V623" i="3"/>
  <c r="V624" i="3"/>
  <c r="V625" i="3"/>
  <c r="V626" i="3"/>
  <c r="V627" i="3"/>
  <c r="V628" i="3"/>
  <c r="V629" i="3"/>
  <c r="V630" i="3"/>
  <c r="V631" i="3"/>
  <c r="V632" i="3"/>
  <c r="V633" i="3"/>
  <c r="V634" i="3"/>
  <c r="V635" i="3"/>
  <c r="V636" i="3"/>
  <c r="V637" i="3"/>
  <c r="V638" i="3"/>
  <c r="V639" i="3"/>
  <c r="V640" i="3"/>
  <c r="V641" i="3"/>
  <c r="V642" i="3"/>
  <c r="V643" i="3"/>
  <c r="V644" i="3"/>
  <c r="V645" i="3"/>
  <c r="V646" i="3"/>
  <c r="V647" i="3"/>
  <c r="V648" i="3"/>
  <c r="V649" i="3"/>
  <c r="V650" i="3"/>
  <c r="V651" i="3"/>
  <c r="V652" i="3"/>
  <c r="V653" i="3"/>
  <c r="V654" i="3"/>
  <c r="V655" i="3"/>
  <c r="V656" i="3"/>
  <c r="V657" i="3"/>
  <c r="V658" i="3"/>
  <c r="V659" i="3"/>
  <c r="V660" i="3"/>
  <c r="V661" i="3"/>
  <c r="V662" i="3"/>
  <c r="V663" i="3"/>
  <c r="V664" i="3"/>
  <c r="V665" i="3"/>
  <c r="V666" i="3"/>
  <c r="V667" i="3"/>
  <c r="V668" i="3"/>
  <c r="V669" i="3"/>
  <c r="V670" i="3"/>
  <c r="V671" i="3"/>
  <c r="V672" i="3"/>
  <c r="V673" i="3"/>
  <c r="V674" i="3"/>
  <c r="V675" i="3"/>
  <c r="V676" i="3"/>
  <c r="V677" i="3"/>
  <c r="V678" i="3"/>
  <c r="V679" i="3"/>
  <c r="V680" i="3"/>
  <c r="V681" i="3"/>
  <c r="V682" i="3"/>
  <c r="V683" i="3"/>
  <c r="V684" i="3"/>
  <c r="V685" i="3"/>
  <c r="V686" i="3"/>
  <c r="V687" i="3"/>
  <c r="V688" i="3"/>
  <c r="V689" i="3"/>
  <c r="V690" i="3"/>
  <c r="V691" i="3"/>
  <c r="V692" i="3"/>
  <c r="V693" i="3"/>
  <c r="V694" i="3"/>
  <c r="V695" i="3"/>
  <c r="V696" i="3"/>
  <c r="V697" i="3"/>
  <c r="V698" i="3"/>
  <c r="V699" i="3"/>
  <c r="V700" i="3"/>
  <c r="V701" i="3"/>
  <c r="V702" i="3"/>
  <c r="V703" i="3"/>
  <c r="V704" i="3"/>
  <c r="V705" i="3"/>
  <c r="V706" i="3"/>
  <c r="V707" i="3"/>
  <c r="V708" i="3"/>
  <c r="V709" i="3"/>
  <c r="V710" i="3"/>
  <c r="V711" i="3"/>
  <c r="V712" i="3"/>
  <c r="V713" i="3"/>
  <c r="V714" i="3"/>
  <c r="V715" i="3"/>
  <c r="V716" i="3"/>
  <c r="V717" i="3"/>
  <c r="V718" i="3"/>
  <c r="V719" i="3"/>
  <c r="V720" i="3"/>
  <c r="V721" i="3"/>
  <c r="V722" i="3"/>
  <c r="V723" i="3"/>
  <c r="V724" i="3"/>
  <c r="V725" i="3"/>
  <c r="V726" i="3"/>
  <c r="V727" i="3"/>
  <c r="V728" i="3"/>
  <c r="V729" i="3"/>
  <c r="V730" i="3"/>
  <c r="V731" i="3"/>
  <c r="V732" i="3"/>
  <c r="V733" i="3"/>
  <c r="V734" i="3"/>
  <c r="V735" i="3"/>
  <c r="V736" i="3"/>
  <c r="V737" i="3"/>
  <c r="V738" i="3"/>
  <c r="V739" i="3"/>
  <c r="V740" i="3"/>
  <c r="V741" i="3"/>
  <c r="V742" i="3"/>
  <c r="V743" i="3"/>
  <c r="V744" i="3"/>
  <c r="V745" i="3"/>
  <c r="V746" i="3"/>
  <c r="V747" i="3"/>
  <c r="V748" i="3"/>
  <c r="V749" i="3"/>
  <c r="V750" i="3"/>
  <c r="V751" i="3"/>
  <c r="V752" i="3"/>
  <c r="V753" i="3"/>
  <c r="V754" i="3"/>
  <c r="V755" i="3"/>
  <c r="V756" i="3"/>
  <c r="V757" i="3"/>
  <c r="V758" i="3"/>
  <c r="V759" i="3"/>
  <c r="V760" i="3"/>
  <c r="V761" i="3"/>
  <c r="V762" i="3"/>
  <c r="V763" i="3"/>
  <c r="V764" i="3"/>
  <c r="V765" i="3"/>
  <c r="V766" i="3"/>
  <c r="V767" i="3"/>
  <c r="V768" i="3"/>
  <c r="V769" i="3"/>
  <c r="V770" i="3"/>
  <c r="V771" i="3"/>
  <c r="V772" i="3"/>
  <c r="V773" i="3"/>
  <c r="V774" i="3"/>
  <c r="V775" i="3"/>
  <c r="V776" i="3"/>
  <c r="V777" i="3"/>
  <c r="V778" i="3"/>
  <c r="V779" i="3"/>
  <c r="V780" i="3"/>
  <c r="V781" i="3"/>
  <c r="V782" i="3"/>
  <c r="V783" i="3"/>
  <c r="V784" i="3"/>
  <c r="V785" i="3"/>
  <c r="V786" i="3"/>
  <c r="V787" i="3"/>
  <c r="V788" i="3"/>
  <c r="V789" i="3"/>
  <c r="V790" i="3"/>
  <c r="V791" i="3"/>
  <c r="V792" i="3"/>
  <c r="V793" i="3"/>
  <c r="V794" i="3"/>
  <c r="V795" i="3"/>
  <c r="V796" i="3"/>
  <c r="V797" i="3"/>
  <c r="V798" i="3"/>
  <c r="V799" i="3"/>
  <c r="V800" i="3"/>
  <c r="V801" i="3"/>
  <c r="V802" i="3"/>
  <c r="V803" i="3"/>
  <c r="V804" i="3"/>
  <c r="V805" i="3"/>
  <c r="V806" i="3"/>
  <c r="V807" i="3"/>
  <c r="V808" i="3"/>
  <c r="V809" i="3"/>
  <c r="V810" i="3"/>
  <c r="V811" i="3"/>
  <c r="V812" i="3"/>
  <c r="V813" i="3"/>
  <c r="V814" i="3"/>
  <c r="V815" i="3"/>
  <c r="V816" i="3"/>
  <c r="V817" i="3"/>
  <c r="V818" i="3"/>
  <c r="V819" i="3"/>
  <c r="V820" i="3"/>
  <c r="V821" i="3"/>
  <c r="V822" i="3"/>
  <c r="V823" i="3"/>
  <c r="V824" i="3"/>
  <c r="V825" i="3"/>
  <c r="V826" i="3"/>
  <c r="V827" i="3"/>
  <c r="V828" i="3"/>
  <c r="V829" i="3"/>
  <c r="V830" i="3"/>
  <c r="V831" i="3"/>
  <c r="V832" i="3"/>
  <c r="V833" i="3"/>
  <c r="V834" i="3"/>
  <c r="V835" i="3"/>
  <c r="V836" i="3"/>
  <c r="V837" i="3"/>
  <c r="V838" i="3"/>
  <c r="V839" i="3"/>
  <c r="V840" i="3"/>
  <c r="V841" i="3"/>
  <c r="V842" i="3"/>
  <c r="V843" i="3"/>
  <c r="V844" i="3"/>
  <c r="V845" i="3"/>
  <c r="V846" i="3"/>
  <c r="V847" i="3"/>
  <c r="V848" i="3"/>
  <c r="V849" i="3"/>
  <c r="V850" i="3"/>
  <c r="V851" i="3"/>
  <c r="V852" i="3"/>
  <c r="V853" i="3"/>
  <c r="V854" i="3"/>
  <c r="V855" i="3"/>
  <c r="V856" i="3"/>
  <c r="V857" i="3"/>
  <c r="V858" i="3"/>
  <c r="V859" i="3"/>
  <c r="V860" i="3"/>
  <c r="V861" i="3"/>
  <c r="V862" i="3"/>
  <c r="V863" i="3"/>
  <c r="V864" i="3"/>
  <c r="V865" i="3"/>
  <c r="V866" i="3"/>
  <c r="V867" i="3"/>
  <c r="V868" i="3"/>
  <c r="V869" i="3"/>
  <c r="V870" i="3"/>
  <c r="V871" i="3"/>
  <c r="V872" i="3"/>
  <c r="V873" i="3"/>
  <c r="V874" i="3"/>
  <c r="V875" i="3"/>
  <c r="V876" i="3"/>
  <c r="V877" i="3"/>
  <c r="V878" i="3"/>
  <c r="V879" i="3"/>
  <c r="V880" i="3"/>
  <c r="V881" i="3"/>
  <c r="V882" i="3"/>
  <c r="V883" i="3"/>
  <c r="V884" i="3"/>
  <c r="V885" i="3"/>
  <c r="V886" i="3"/>
  <c r="V887" i="3"/>
  <c r="V888" i="3"/>
  <c r="V889" i="3"/>
  <c r="V890" i="3"/>
  <c r="V891" i="3"/>
  <c r="V892" i="3"/>
  <c r="V893" i="3"/>
  <c r="V894" i="3"/>
  <c r="V895" i="3"/>
  <c r="V896" i="3"/>
  <c r="V897" i="3"/>
  <c r="V898" i="3"/>
  <c r="V899" i="3"/>
  <c r="V900" i="3"/>
  <c r="V901" i="3"/>
  <c r="V902" i="3"/>
  <c r="V903" i="3"/>
  <c r="V904" i="3"/>
  <c r="V905" i="3"/>
  <c r="V906" i="3"/>
  <c r="V907" i="3"/>
  <c r="V908" i="3"/>
  <c r="V909" i="3"/>
  <c r="V910" i="3"/>
  <c r="V911" i="3"/>
  <c r="V912" i="3"/>
  <c r="V913" i="3"/>
  <c r="V914" i="3"/>
  <c r="V915" i="3"/>
  <c r="V916" i="3"/>
  <c r="V917" i="3"/>
  <c r="V918" i="3"/>
  <c r="V919" i="3"/>
  <c r="V920" i="3"/>
  <c r="V921" i="3"/>
  <c r="V922" i="3"/>
  <c r="V923" i="3"/>
  <c r="V924" i="3"/>
  <c r="V925" i="3"/>
  <c r="V926" i="3"/>
  <c r="V927" i="3"/>
  <c r="V928" i="3"/>
  <c r="V929" i="3"/>
  <c r="V930" i="3"/>
  <c r="V931" i="3"/>
  <c r="V932" i="3"/>
  <c r="V933" i="3"/>
  <c r="V934" i="3"/>
  <c r="V935" i="3"/>
  <c r="V936" i="3"/>
  <c r="V937" i="3"/>
  <c r="V938" i="3"/>
  <c r="V939" i="3"/>
  <c r="V940" i="3"/>
  <c r="V941" i="3"/>
  <c r="V942" i="3"/>
  <c r="V943" i="3"/>
  <c r="V944" i="3"/>
  <c r="V945" i="3"/>
  <c r="V946" i="3"/>
  <c r="V947" i="3"/>
  <c r="V948" i="3"/>
  <c r="V949" i="3"/>
  <c r="V950" i="3"/>
  <c r="V951" i="3"/>
  <c r="V952" i="3"/>
  <c r="V953" i="3"/>
  <c r="V954" i="3"/>
  <c r="V955" i="3"/>
  <c r="V956" i="3"/>
  <c r="V957" i="3"/>
  <c r="V958" i="3"/>
  <c r="V959" i="3"/>
  <c r="V960" i="3"/>
  <c r="V961" i="3"/>
  <c r="V962" i="3"/>
  <c r="V963" i="3"/>
  <c r="V964" i="3"/>
  <c r="V965" i="3"/>
  <c r="V966" i="3"/>
  <c r="V967" i="3"/>
  <c r="V968" i="3"/>
  <c r="V969" i="3"/>
  <c r="V970" i="3"/>
  <c r="V971" i="3"/>
  <c r="V972" i="3"/>
  <c r="V973" i="3"/>
  <c r="V974" i="3"/>
  <c r="V975" i="3"/>
  <c r="V976" i="3"/>
  <c r="V977" i="3"/>
  <c r="V978" i="3"/>
  <c r="V979" i="3"/>
  <c r="V980" i="3"/>
  <c r="V981" i="3"/>
  <c r="V982" i="3"/>
  <c r="V983" i="3"/>
  <c r="V984" i="3"/>
  <c r="V985" i="3"/>
  <c r="V986" i="3"/>
  <c r="V987" i="3"/>
  <c r="V988" i="3"/>
  <c r="V989" i="3"/>
  <c r="V990" i="3"/>
  <c r="V991" i="3"/>
  <c r="V992" i="3"/>
  <c r="V993" i="3"/>
  <c r="V994" i="3"/>
  <c r="V995" i="3"/>
  <c r="V996" i="3"/>
  <c r="V997" i="3"/>
  <c r="V998" i="3"/>
  <c r="V999" i="3"/>
  <c r="V1000" i="3"/>
  <c r="V1001" i="3"/>
  <c r="V1002" i="3"/>
  <c r="V1003" i="3"/>
  <c r="V1004" i="3"/>
  <c r="V1005" i="3"/>
  <c r="V1006" i="3"/>
  <c r="V1007" i="3"/>
  <c r="V1008" i="3"/>
  <c r="V1009" i="3"/>
  <c r="V1010" i="3"/>
  <c r="V1011" i="3"/>
  <c r="V1012" i="3"/>
  <c r="V1013" i="3"/>
  <c r="V1014" i="3"/>
  <c r="V1015" i="3"/>
  <c r="V1016" i="3"/>
  <c r="V1017" i="3"/>
  <c r="V1018" i="3"/>
  <c r="V1019" i="3"/>
  <c r="V1020" i="3"/>
  <c r="V1021" i="3"/>
  <c r="V1022" i="3"/>
  <c r="V1023" i="3"/>
  <c r="V1024" i="3"/>
  <c r="V1025" i="3"/>
  <c r="V1026" i="3"/>
  <c r="V1027" i="3"/>
  <c r="V1028" i="3"/>
  <c r="V1029" i="3"/>
  <c r="V1030" i="3"/>
  <c r="V1031" i="3"/>
  <c r="V1032" i="3"/>
  <c r="V1033" i="3"/>
  <c r="V1034" i="3"/>
  <c r="V1035" i="3"/>
  <c r="V1036" i="3"/>
  <c r="V1037" i="3"/>
  <c r="V1038" i="3"/>
  <c r="V1039" i="3"/>
  <c r="V1040" i="3"/>
  <c r="V1041" i="3"/>
  <c r="V1042" i="3"/>
  <c r="V1043" i="3"/>
  <c r="V1044" i="3"/>
  <c r="V1045" i="3"/>
  <c r="V1046" i="3"/>
  <c r="V1047" i="3"/>
  <c r="V1048" i="3"/>
  <c r="V1049" i="3"/>
  <c r="V1050" i="3"/>
  <c r="V1051" i="3"/>
  <c r="V1052" i="3"/>
  <c r="V1053" i="3"/>
  <c r="V1054" i="3"/>
  <c r="V1055" i="3"/>
  <c r="V1056" i="3"/>
  <c r="V1057" i="3"/>
  <c r="V1058" i="3"/>
  <c r="V1059" i="3"/>
  <c r="V1060" i="3"/>
  <c r="V1061" i="3"/>
  <c r="V1062" i="3"/>
  <c r="V1063" i="3"/>
  <c r="V1064" i="3"/>
  <c r="V1065" i="3"/>
  <c r="V1066" i="3"/>
  <c r="V1067" i="3"/>
  <c r="V1068" i="3"/>
  <c r="V1069" i="3"/>
  <c r="V1070" i="3"/>
  <c r="V1071" i="3"/>
  <c r="V1072" i="3"/>
  <c r="V1073" i="3"/>
  <c r="V1074" i="3"/>
  <c r="V1075" i="3"/>
  <c r="V1076" i="3"/>
  <c r="V1077" i="3"/>
  <c r="V1078" i="3"/>
  <c r="V1079" i="3"/>
  <c r="V1080" i="3"/>
  <c r="V1081" i="3"/>
  <c r="V1082" i="3"/>
  <c r="V1083" i="3"/>
  <c r="V1084" i="3"/>
  <c r="V1085" i="3"/>
  <c r="V1086" i="3"/>
  <c r="V1087" i="3"/>
  <c r="V1088" i="3"/>
  <c r="V1089" i="3"/>
  <c r="V1090" i="3"/>
  <c r="V1091" i="3"/>
  <c r="V1092" i="3"/>
  <c r="V1093" i="3"/>
  <c r="V1094" i="3"/>
  <c r="V1095" i="3"/>
  <c r="V1096" i="3"/>
  <c r="V1097" i="3"/>
  <c r="V1098" i="3"/>
  <c r="V1099" i="3"/>
  <c r="V1100" i="3"/>
  <c r="V1101" i="3"/>
  <c r="V1102" i="3"/>
  <c r="V1103" i="3"/>
  <c r="V1104" i="3"/>
  <c r="V1105" i="3"/>
  <c r="V1106" i="3"/>
  <c r="V1107" i="3"/>
  <c r="V1108" i="3"/>
  <c r="V1109" i="3"/>
  <c r="V1110" i="3"/>
  <c r="V1111" i="3"/>
  <c r="V1112" i="3"/>
  <c r="V1113" i="3"/>
  <c r="V1114" i="3"/>
  <c r="V1115" i="3"/>
  <c r="V1116" i="3"/>
  <c r="V1117" i="3"/>
  <c r="V1118" i="3"/>
  <c r="V1119" i="3"/>
  <c r="V1120" i="3"/>
  <c r="V1121" i="3"/>
  <c r="V1122" i="3"/>
  <c r="V1123" i="3"/>
  <c r="V1124" i="3"/>
  <c r="V1125" i="3"/>
  <c r="V1126" i="3"/>
  <c r="V1127" i="3"/>
  <c r="V1128" i="3"/>
  <c r="V1129" i="3"/>
  <c r="V1130" i="3"/>
  <c r="V1131" i="3"/>
  <c r="V1132" i="3"/>
  <c r="V1133" i="3"/>
  <c r="V1134" i="3"/>
  <c r="V1135" i="3"/>
  <c r="V1136" i="3"/>
  <c r="V1137" i="3"/>
  <c r="V1138" i="3"/>
  <c r="V1139" i="3"/>
  <c r="V1140" i="3"/>
  <c r="V1141" i="3"/>
  <c r="V1142" i="3"/>
  <c r="V1143" i="3"/>
  <c r="V1144" i="3"/>
  <c r="V1145" i="3"/>
  <c r="V1146" i="3"/>
  <c r="V1147" i="3"/>
  <c r="V1148" i="3"/>
  <c r="V1149" i="3"/>
  <c r="V1150" i="3"/>
  <c r="V1151" i="3"/>
  <c r="V1152" i="3"/>
  <c r="V1153" i="3"/>
  <c r="V1154" i="3"/>
  <c r="V1155" i="3"/>
  <c r="V1156" i="3"/>
  <c r="V1157" i="3"/>
  <c r="V1158" i="3"/>
  <c r="V1159" i="3"/>
  <c r="V1160" i="3"/>
  <c r="V1161" i="3"/>
  <c r="V1162" i="3"/>
  <c r="V1163" i="3"/>
  <c r="V1164" i="3"/>
  <c r="V1165" i="3"/>
  <c r="V1166" i="3"/>
  <c r="V1167" i="3"/>
  <c r="V1168" i="3"/>
  <c r="V1169" i="3"/>
  <c r="V1170" i="3"/>
  <c r="V1171" i="3"/>
  <c r="V1172" i="3"/>
  <c r="V1173" i="3"/>
  <c r="V1174" i="3"/>
  <c r="V1175" i="3"/>
  <c r="V1176" i="3"/>
  <c r="V1177" i="3"/>
  <c r="V1178" i="3"/>
  <c r="V1179" i="3"/>
  <c r="V1180" i="3"/>
  <c r="V1181" i="3"/>
  <c r="V1182" i="3"/>
  <c r="V1183" i="3"/>
  <c r="V1184" i="3"/>
  <c r="V1185" i="3"/>
  <c r="V1186" i="3"/>
  <c r="V1187" i="3"/>
  <c r="V1188" i="3"/>
  <c r="V1189" i="3"/>
  <c r="V1190" i="3"/>
  <c r="V1191" i="3"/>
  <c r="V1192" i="3"/>
  <c r="V1193" i="3"/>
  <c r="V1194" i="3"/>
  <c r="V1195" i="3"/>
  <c r="V1196" i="3"/>
  <c r="V1197" i="3"/>
  <c r="V1198" i="3"/>
  <c r="V1199" i="3"/>
  <c r="V1200" i="3"/>
  <c r="V1201" i="3"/>
  <c r="V1202" i="3"/>
  <c r="V1203" i="3"/>
  <c r="V1204" i="3"/>
  <c r="V1205" i="3"/>
  <c r="V1206" i="3"/>
  <c r="V1207" i="3"/>
  <c r="V1208" i="3"/>
  <c r="V1209" i="3"/>
  <c r="V1210" i="3"/>
  <c r="V1211" i="3"/>
  <c r="V1212" i="3"/>
  <c r="V1213" i="3"/>
  <c r="V1214" i="3"/>
  <c r="V1215" i="3"/>
  <c r="V1216" i="3"/>
  <c r="V1217" i="3"/>
  <c r="V1218" i="3"/>
  <c r="V1219" i="3"/>
  <c r="V1220" i="3"/>
  <c r="V1221" i="3"/>
  <c r="V1222" i="3"/>
  <c r="V1223" i="3"/>
  <c r="V1224" i="3"/>
  <c r="V1225" i="3"/>
  <c r="V1226" i="3"/>
  <c r="V1227" i="3"/>
  <c r="V1228" i="3"/>
  <c r="V1229" i="3"/>
  <c r="V1230" i="3"/>
  <c r="V1231" i="3"/>
  <c r="V1232" i="3"/>
  <c r="V1233" i="3"/>
  <c r="V1234" i="3"/>
  <c r="V1235" i="3"/>
  <c r="V1236" i="3"/>
  <c r="V1237" i="3"/>
  <c r="V1238" i="3"/>
  <c r="V1239" i="3"/>
  <c r="V1240" i="3"/>
  <c r="V1241" i="3"/>
  <c r="V1242" i="3"/>
  <c r="V1243" i="3"/>
  <c r="V1244" i="3"/>
  <c r="V1245" i="3"/>
  <c r="V1246" i="3"/>
  <c r="V1247" i="3"/>
  <c r="V1248" i="3"/>
  <c r="V1249" i="3"/>
  <c r="V1250" i="3"/>
  <c r="V1251" i="3"/>
  <c r="V1252" i="3"/>
  <c r="V1253" i="3"/>
  <c r="V1254" i="3"/>
  <c r="V1255" i="3"/>
  <c r="V1256" i="3"/>
  <c r="V1257" i="3"/>
  <c r="V1258" i="3"/>
  <c r="V1259" i="3"/>
  <c r="V1260" i="3"/>
  <c r="V1261" i="3"/>
  <c r="V1262" i="3"/>
  <c r="V1263" i="3"/>
  <c r="V1264" i="3"/>
  <c r="V1265" i="3"/>
  <c r="V1266" i="3"/>
  <c r="V1267" i="3"/>
  <c r="V1268" i="3"/>
  <c r="V1269" i="3"/>
  <c r="V1270" i="3"/>
  <c r="V1271" i="3"/>
  <c r="V1272" i="3"/>
  <c r="V1273" i="3"/>
  <c r="V1274" i="3"/>
  <c r="V1275" i="3"/>
  <c r="V1276" i="3"/>
  <c r="V1277" i="3"/>
  <c r="V1278" i="3"/>
  <c r="V1279" i="3"/>
  <c r="V1280" i="3"/>
  <c r="V1281" i="3"/>
  <c r="V128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1" i="3"/>
  <c r="U702" i="3"/>
  <c r="U703" i="3"/>
  <c r="U704" i="3"/>
  <c r="U705" i="3"/>
  <c r="U706" i="3"/>
  <c r="U707" i="3"/>
  <c r="U708" i="3"/>
  <c r="U709" i="3"/>
  <c r="U710" i="3"/>
  <c r="U711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39" i="3"/>
  <c r="U740" i="3"/>
  <c r="U741" i="3"/>
  <c r="U742" i="3"/>
  <c r="U743" i="3"/>
  <c r="U744" i="3"/>
  <c r="U745" i="3"/>
  <c r="U746" i="3"/>
  <c r="U747" i="3"/>
  <c r="U748" i="3"/>
  <c r="U749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68" i="3"/>
  <c r="U769" i="3"/>
  <c r="U770" i="3"/>
  <c r="U771" i="3"/>
  <c r="U772" i="3"/>
  <c r="U773" i="3"/>
  <c r="U774" i="3"/>
  <c r="U775" i="3"/>
  <c r="U776" i="3"/>
  <c r="U777" i="3"/>
  <c r="U778" i="3"/>
  <c r="U779" i="3"/>
  <c r="U780" i="3"/>
  <c r="U781" i="3"/>
  <c r="U782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09" i="3"/>
  <c r="U810" i="3"/>
  <c r="U811" i="3"/>
  <c r="U812" i="3"/>
  <c r="U813" i="3"/>
  <c r="U814" i="3"/>
  <c r="U815" i="3"/>
  <c r="U816" i="3"/>
  <c r="U817" i="3"/>
  <c r="U818" i="3"/>
  <c r="U819" i="3"/>
  <c r="U820" i="3"/>
  <c r="U821" i="3"/>
  <c r="U822" i="3"/>
  <c r="U823" i="3"/>
  <c r="U824" i="3"/>
  <c r="U825" i="3"/>
  <c r="U826" i="3"/>
  <c r="U827" i="3"/>
  <c r="U828" i="3"/>
  <c r="U829" i="3"/>
  <c r="U830" i="3"/>
  <c r="U831" i="3"/>
  <c r="U832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53" i="3"/>
  <c r="U854" i="3"/>
  <c r="U855" i="3"/>
  <c r="U856" i="3"/>
  <c r="U857" i="3"/>
  <c r="U858" i="3"/>
  <c r="U859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889" i="3"/>
  <c r="U890" i="3"/>
  <c r="U891" i="3"/>
  <c r="U892" i="3"/>
  <c r="U893" i="3"/>
  <c r="U894" i="3"/>
  <c r="U895" i="3"/>
  <c r="U896" i="3"/>
  <c r="U897" i="3"/>
  <c r="U898" i="3"/>
  <c r="U899" i="3"/>
  <c r="U900" i="3"/>
  <c r="U901" i="3"/>
  <c r="U902" i="3"/>
  <c r="U903" i="3"/>
  <c r="U904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934" i="3"/>
  <c r="U935" i="3"/>
  <c r="U936" i="3"/>
  <c r="U937" i="3"/>
  <c r="U938" i="3"/>
  <c r="U939" i="3"/>
  <c r="U940" i="3"/>
  <c r="U941" i="3"/>
  <c r="U942" i="3"/>
  <c r="U943" i="3"/>
  <c r="U944" i="3"/>
  <c r="U945" i="3"/>
  <c r="U946" i="3"/>
  <c r="U947" i="3"/>
  <c r="U948" i="3"/>
  <c r="U949" i="3"/>
  <c r="U950" i="3"/>
  <c r="U951" i="3"/>
  <c r="U952" i="3"/>
  <c r="U953" i="3"/>
  <c r="U954" i="3"/>
  <c r="U955" i="3"/>
  <c r="U956" i="3"/>
  <c r="U957" i="3"/>
  <c r="U958" i="3"/>
  <c r="U959" i="3"/>
  <c r="U960" i="3"/>
  <c r="U961" i="3"/>
  <c r="U962" i="3"/>
  <c r="U963" i="3"/>
  <c r="U964" i="3"/>
  <c r="U965" i="3"/>
  <c r="U966" i="3"/>
  <c r="U967" i="3"/>
  <c r="U968" i="3"/>
  <c r="U969" i="3"/>
  <c r="U970" i="3"/>
  <c r="U971" i="3"/>
  <c r="U972" i="3"/>
  <c r="U973" i="3"/>
  <c r="U974" i="3"/>
  <c r="U975" i="3"/>
  <c r="U976" i="3"/>
  <c r="U977" i="3"/>
  <c r="U978" i="3"/>
  <c r="U979" i="3"/>
  <c r="U980" i="3"/>
  <c r="U981" i="3"/>
  <c r="U982" i="3"/>
  <c r="U983" i="3"/>
  <c r="U984" i="3"/>
  <c r="U985" i="3"/>
  <c r="U986" i="3"/>
  <c r="U987" i="3"/>
  <c r="U988" i="3"/>
  <c r="U989" i="3"/>
  <c r="U990" i="3"/>
  <c r="U991" i="3"/>
  <c r="U992" i="3"/>
  <c r="U993" i="3"/>
  <c r="U994" i="3"/>
  <c r="U995" i="3"/>
  <c r="U996" i="3"/>
  <c r="U997" i="3"/>
  <c r="U998" i="3"/>
  <c r="U999" i="3"/>
  <c r="U1000" i="3"/>
  <c r="U1001" i="3"/>
  <c r="U1002" i="3"/>
  <c r="U1003" i="3"/>
  <c r="U1004" i="3"/>
  <c r="U1005" i="3"/>
  <c r="U1006" i="3"/>
  <c r="U1007" i="3"/>
  <c r="U1008" i="3"/>
  <c r="U1009" i="3"/>
  <c r="U1010" i="3"/>
  <c r="U1011" i="3"/>
  <c r="U1012" i="3"/>
  <c r="U1013" i="3"/>
  <c r="U1014" i="3"/>
  <c r="U1015" i="3"/>
  <c r="U1016" i="3"/>
  <c r="U1017" i="3"/>
  <c r="U1018" i="3"/>
  <c r="U1019" i="3"/>
  <c r="U1020" i="3"/>
  <c r="U1021" i="3"/>
  <c r="U1022" i="3"/>
  <c r="U1023" i="3"/>
  <c r="U1024" i="3"/>
  <c r="U1025" i="3"/>
  <c r="U1026" i="3"/>
  <c r="U1027" i="3"/>
  <c r="U1028" i="3"/>
  <c r="U1029" i="3"/>
  <c r="U1030" i="3"/>
  <c r="U1031" i="3"/>
  <c r="U1032" i="3"/>
  <c r="U1033" i="3"/>
  <c r="U1034" i="3"/>
  <c r="U1035" i="3"/>
  <c r="U1036" i="3"/>
  <c r="U1037" i="3"/>
  <c r="U1038" i="3"/>
  <c r="U1039" i="3"/>
  <c r="U1040" i="3"/>
  <c r="U1041" i="3"/>
  <c r="U1042" i="3"/>
  <c r="U1043" i="3"/>
  <c r="U1044" i="3"/>
  <c r="U1045" i="3"/>
  <c r="U1046" i="3"/>
  <c r="U1047" i="3"/>
  <c r="U1048" i="3"/>
  <c r="U1049" i="3"/>
  <c r="U1050" i="3"/>
  <c r="U1051" i="3"/>
  <c r="U1052" i="3"/>
  <c r="U1053" i="3"/>
  <c r="U1054" i="3"/>
  <c r="U1055" i="3"/>
  <c r="U1056" i="3"/>
  <c r="U1057" i="3"/>
  <c r="U1058" i="3"/>
  <c r="U1059" i="3"/>
  <c r="U1060" i="3"/>
  <c r="U1061" i="3"/>
  <c r="U1062" i="3"/>
  <c r="U1063" i="3"/>
  <c r="U1064" i="3"/>
  <c r="U1065" i="3"/>
  <c r="U1066" i="3"/>
  <c r="U1067" i="3"/>
  <c r="U1068" i="3"/>
  <c r="U1069" i="3"/>
  <c r="U1070" i="3"/>
  <c r="U1071" i="3"/>
  <c r="U1072" i="3"/>
  <c r="U1073" i="3"/>
  <c r="U1074" i="3"/>
  <c r="U1075" i="3"/>
  <c r="U1076" i="3"/>
  <c r="U1077" i="3"/>
  <c r="U1078" i="3"/>
  <c r="U1079" i="3"/>
  <c r="U1080" i="3"/>
  <c r="U1081" i="3"/>
  <c r="U1082" i="3"/>
  <c r="U1083" i="3"/>
  <c r="U1084" i="3"/>
  <c r="U1085" i="3"/>
  <c r="U1086" i="3"/>
  <c r="U1087" i="3"/>
  <c r="U1088" i="3"/>
  <c r="U1089" i="3"/>
  <c r="U1090" i="3"/>
  <c r="U1091" i="3"/>
  <c r="U1092" i="3"/>
  <c r="U1093" i="3"/>
  <c r="U1094" i="3"/>
  <c r="U1095" i="3"/>
  <c r="U1096" i="3"/>
  <c r="U1097" i="3"/>
  <c r="U1098" i="3"/>
  <c r="U1099" i="3"/>
  <c r="U1100" i="3"/>
  <c r="U1101" i="3"/>
  <c r="U1102" i="3"/>
  <c r="U1103" i="3"/>
  <c r="U1104" i="3"/>
  <c r="U1105" i="3"/>
  <c r="U1106" i="3"/>
  <c r="U1107" i="3"/>
  <c r="U1108" i="3"/>
  <c r="U1109" i="3"/>
  <c r="U1110" i="3"/>
  <c r="U1111" i="3"/>
  <c r="U1112" i="3"/>
  <c r="U1113" i="3"/>
  <c r="U1114" i="3"/>
  <c r="U1115" i="3"/>
  <c r="U1116" i="3"/>
  <c r="U1117" i="3"/>
  <c r="U1118" i="3"/>
  <c r="U1119" i="3"/>
  <c r="U1120" i="3"/>
  <c r="U1121" i="3"/>
  <c r="U1122" i="3"/>
  <c r="U1123" i="3"/>
  <c r="U1124" i="3"/>
  <c r="U1125" i="3"/>
  <c r="U1126" i="3"/>
  <c r="U1127" i="3"/>
  <c r="U1128" i="3"/>
  <c r="U1129" i="3"/>
  <c r="U1130" i="3"/>
  <c r="U1131" i="3"/>
  <c r="U1132" i="3"/>
  <c r="U1133" i="3"/>
  <c r="U1134" i="3"/>
  <c r="U1135" i="3"/>
  <c r="U1136" i="3"/>
  <c r="U1137" i="3"/>
  <c r="U1138" i="3"/>
  <c r="U1139" i="3"/>
  <c r="U1140" i="3"/>
  <c r="U1141" i="3"/>
  <c r="U1142" i="3"/>
  <c r="U1143" i="3"/>
  <c r="U1144" i="3"/>
  <c r="U1145" i="3"/>
  <c r="U1146" i="3"/>
  <c r="U1147" i="3"/>
  <c r="U1148" i="3"/>
  <c r="U1149" i="3"/>
  <c r="U1150" i="3"/>
  <c r="U1151" i="3"/>
  <c r="U1152" i="3"/>
  <c r="U1153" i="3"/>
  <c r="U1154" i="3"/>
  <c r="U1155" i="3"/>
  <c r="U1156" i="3"/>
  <c r="U1157" i="3"/>
  <c r="U1158" i="3"/>
  <c r="U1159" i="3"/>
  <c r="U1160" i="3"/>
  <c r="U1161" i="3"/>
  <c r="U1162" i="3"/>
  <c r="U1163" i="3"/>
  <c r="U1164" i="3"/>
  <c r="U1165" i="3"/>
  <c r="U1166" i="3"/>
  <c r="U1167" i="3"/>
  <c r="U1168" i="3"/>
  <c r="U1169" i="3"/>
  <c r="U1170" i="3"/>
  <c r="U1171" i="3"/>
  <c r="U1172" i="3"/>
  <c r="U1173" i="3"/>
  <c r="U1174" i="3"/>
  <c r="U1175" i="3"/>
  <c r="U1176" i="3"/>
  <c r="U1177" i="3"/>
  <c r="U1178" i="3"/>
  <c r="U1179" i="3"/>
  <c r="U1180" i="3"/>
  <c r="U1181" i="3"/>
  <c r="U1182" i="3"/>
  <c r="U1183" i="3"/>
  <c r="U1184" i="3"/>
  <c r="U1185" i="3"/>
  <c r="U1186" i="3"/>
  <c r="U1187" i="3"/>
  <c r="U1188" i="3"/>
  <c r="U1189" i="3"/>
  <c r="U1190" i="3"/>
  <c r="U1191" i="3"/>
  <c r="U1192" i="3"/>
  <c r="U1193" i="3"/>
  <c r="U1194" i="3"/>
  <c r="U1195" i="3"/>
  <c r="U1196" i="3"/>
  <c r="U1197" i="3"/>
  <c r="U1198" i="3"/>
  <c r="U1199" i="3"/>
  <c r="U1200" i="3"/>
  <c r="U1201" i="3"/>
  <c r="U1202" i="3"/>
  <c r="U1203" i="3"/>
  <c r="U1204" i="3"/>
  <c r="U1205" i="3"/>
  <c r="U1206" i="3"/>
  <c r="U1207" i="3"/>
  <c r="U1208" i="3"/>
  <c r="U1209" i="3"/>
  <c r="U1210" i="3"/>
  <c r="U1211" i="3"/>
  <c r="U1212" i="3"/>
  <c r="U1213" i="3"/>
  <c r="U1214" i="3"/>
  <c r="U1215" i="3"/>
  <c r="U1216" i="3"/>
  <c r="U1217" i="3"/>
  <c r="U1218" i="3"/>
  <c r="U1219" i="3"/>
  <c r="U1220" i="3"/>
  <c r="U1221" i="3"/>
  <c r="U1222" i="3"/>
  <c r="U1223" i="3"/>
  <c r="U1224" i="3"/>
  <c r="U1225" i="3"/>
  <c r="U1226" i="3"/>
  <c r="U1227" i="3"/>
  <c r="U1228" i="3"/>
  <c r="U1229" i="3"/>
  <c r="U1230" i="3"/>
  <c r="U1231" i="3"/>
  <c r="U1232" i="3"/>
  <c r="U1233" i="3"/>
  <c r="U1234" i="3"/>
  <c r="U1235" i="3"/>
  <c r="U1236" i="3"/>
  <c r="U1237" i="3"/>
  <c r="U1238" i="3"/>
  <c r="U1239" i="3"/>
  <c r="U1240" i="3"/>
  <c r="U1241" i="3"/>
  <c r="U1242" i="3"/>
  <c r="U1243" i="3"/>
  <c r="U1244" i="3"/>
  <c r="U1245" i="3"/>
  <c r="U1246" i="3"/>
  <c r="U1247" i="3"/>
  <c r="U1248" i="3"/>
  <c r="U1249" i="3"/>
  <c r="U1250" i="3"/>
  <c r="U1251" i="3"/>
  <c r="U1252" i="3"/>
  <c r="U1253" i="3"/>
  <c r="U1254" i="3"/>
  <c r="U1255" i="3"/>
  <c r="U1256" i="3"/>
  <c r="U1257" i="3"/>
  <c r="U1258" i="3"/>
  <c r="U1259" i="3"/>
  <c r="U1260" i="3"/>
  <c r="U1261" i="3"/>
  <c r="U1262" i="3"/>
  <c r="U1263" i="3"/>
  <c r="U1264" i="3"/>
  <c r="U1265" i="3"/>
  <c r="U1266" i="3"/>
  <c r="U1267" i="3"/>
  <c r="U1268" i="3"/>
  <c r="U1269" i="3"/>
  <c r="U1270" i="3"/>
  <c r="U1271" i="3"/>
  <c r="U1272" i="3"/>
  <c r="U1273" i="3"/>
  <c r="U1274" i="3"/>
  <c r="U1275" i="3"/>
  <c r="U1276" i="3"/>
  <c r="U1277" i="3"/>
  <c r="U1278" i="3"/>
  <c r="U1279" i="3"/>
  <c r="U1280" i="3"/>
  <c r="U1281" i="3"/>
  <c r="U1282" i="3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W3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U4" i="1"/>
  <c r="U5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<sst xmlns="http://schemas.openxmlformats.org/spreadsheetml/2006/main" count="96" uniqueCount="49">
  <si>
    <t>X</t>
  </si>
  <si>
    <t>Y</t>
  </si>
  <si>
    <t>Wavelength</t>
  </si>
  <si>
    <t>I_0</t>
  </si>
  <si>
    <t>I_10</t>
  </si>
  <si>
    <t>I_20</t>
  </si>
  <si>
    <t>I_30</t>
  </si>
  <si>
    <t>I_40</t>
  </si>
  <si>
    <t>I_50</t>
  </si>
  <si>
    <t>Wavelength nm</t>
  </si>
  <si>
    <t xml:space="preserve">Wavelength </t>
  </si>
  <si>
    <t>TER_10</t>
  </si>
  <si>
    <t>TER_20</t>
  </si>
  <si>
    <t>TER_30</t>
  </si>
  <si>
    <t>TER_40</t>
  </si>
  <si>
    <t>TER_50</t>
  </si>
  <si>
    <t>Wavelwngth</t>
  </si>
  <si>
    <t>Flitro de Ruido</t>
  </si>
  <si>
    <t>Filtro de ruido</t>
  </si>
  <si>
    <t>1%-0.0%</t>
  </si>
  <si>
    <t>1%-10.0%</t>
  </si>
  <si>
    <t>1%-20.0%</t>
  </si>
  <si>
    <t>1%-30.0%</t>
  </si>
  <si>
    <t>1%-40.0%</t>
  </si>
  <si>
    <t>1%-50.0%</t>
  </si>
  <si>
    <t>X2</t>
  </si>
  <si>
    <t>X4</t>
  </si>
  <si>
    <t>Y5</t>
  </si>
  <si>
    <t>X6</t>
  </si>
  <si>
    <t>Y7</t>
  </si>
  <si>
    <t>X8</t>
  </si>
  <si>
    <t>Y9</t>
  </si>
  <si>
    <t>X10</t>
  </si>
  <si>
    <t>Y11</t>
  </si>
  <si>
    <t>Y2</t>
  </si>
  <si>
    <t>Wavelength2</t>
  </si>
  <si>
    <t>Y3</t>
  </si>
  <si>
    <t>0.5%-0.0%</t>
  </si>
  <si>
    <t>0.5%-10.0%</t>
  </si>
  <si>
    <t>0.5%-20.0%</t>
  </si>
  <si>
    <t>0.5-30.0%</t>
  </si>
  <si>
    <t>0.5%-50.0%</t>
  </si>
  <si>
    <t>0.5%-40.0%</t>
  </si>
  <si>
    <t>0.0%-0.0%</t>
  </si>
  <si>
    <t>0.0%-10.0%</t>
  </si>
  <si>
    <t>0.0%-20.0%</t>
  </si>
  <si>
    <t>0.0%-30.0%</t>
  </si>
  <si>
    <t>0.0%-40.0%</t>
  </si>
  <si>
    <t>0.0%-50.0%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</si>
</sst>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16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2" fontId="0" fillId="0" borderId="0" xfId="0" applyNumberFormat="1"/>
    <xf numFmtId="0" fontId="2" fillId="2" borderId="0" xfId="0" applyFont="1" applyFill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2" fontId="0" fillId="0" borderId="7" xfId="0" applyNumberFormat="1" applyBorder="1"/>
    <xf numFmtId="2" fontId="0" fillId="0" borderId="8" xfId="0" applyNumberFormat="1" applyBorder="1"/>
    <xf numFmtId="2" fontId="0" fillId="0" borderId="9" xfId="0" applyNumberFormat="1" applyBorder="1"/>
    <xf numFmtId="0" fontId="0" fillId="0" borderId="1" xfId="0" applyBorder="1"/>
    <xf numFmtId="0" fontId="0" fillId="0" borderId="2" xfId="0" applyBorder="1"/>
    <xf numFmtId="2" fontId="0" fillId="0" borderId="1" xfId="0" applyNumberFormat="1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10" xfId="0" applyNumberFormat="1" applyBorder="1"/>
    <xf numFmtId="2" fontId="2" fillId="2" borderId="5" xfId="0" applyNumberFormat="1" applyFont="1" applyFill="1" applyBorder="1"/>
    <xf numFmtId="2" fontId="2" fillId="2" borderId="0" xfId="0" applyNumberFormat="1" applyFont="1" applyFill="1"/>
    <xf numFmtId="0" fontId="0" fillId="0" borderId="3" xfId="0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13" xfId="0" applyNumberFormat="1" applyBorder="1"/>
    <xf numFmtId="2" fontId="0" fillId="0" borderId="14" xfId="0" applyNumberFormat="1" applyBorder="1"/>
    <xf numFmtId="2" fontId="0" fillId="0" borderId="15" xfId="0" applyNumberForma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8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 style="medium">
          <color indexed="64"/>
        </left>
        <right/>
        <top/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2" formatCode="0.00"/>
      <fill>
        <patternFill patternType="solid">
          <fgColor theme="1"/>
          <bgColor theme="1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4BA2340-08B3-4D9C-9070-DBF44672D453}" name="Table25" displayName="Table25" ref="Z2:Z3" totalsRowShown="0">
  <autoFilter ref="Z2:Z3" xr:uid="{F4BA2340-08B3-4D9C-9070-DBF44672D453}"/>
  <tableColumns count="1">
    <tableColumn id="1" xr3:uid="{BB0C6476-9C26-4F1C-B353-AE97DA164374}" name="Filtro de ruido" dataDxfId="86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13EDA6-2B2D-4F12-814D-0316DBAD737B}" name="Table4" displayName="Table4" ref="A2:Y1282" totalsRowShown="0" headerRowDxfId="85" dataDxfId="84" tableBorderDxfId="83">
  <autoFilter ref="A2:Y1282" xr:uid="{FB13EDA6-2B2D-4F12-814D-0316DBAD737B}"/>
  <tableColumns count="25">
    <tableColumn id="1" xr3:uid="{E5F1E1E7-3158-4E0C-8426-B3D89BECE65E}" name="X" dataDxfId="82"/>
    <tableColumn id="2" xr3:uid="{9DCBD32A-F19B-4633-A06B-232848876678}" name="Y" dataDxfId="81"/>
    <tableColumn id="3" xr3:uid="{AC4FA72F-8B5A-49B1-BCC6-ABF936C9740B}" name="X2" dataDxfId="80"/>
    <tableColumn id="4" xr3:uid="{25C6DDC3-2C5A-4CB8-B476-86FE615C1645}" name="Y3" dataDxfId="79"/>
    <tableColumn id="5" xr3:uid="{FFB3A3BD-B453-482F-8D9C-224ACC715E39}" name="X4" dataDxfId="78"/>
    <tableColumn id="6" xr3:uid="{7ECD05ED-6657-4E24-8098-266E4CFD8FD0}" name="Y5" dataDxfId="77"/>
    <tableColumn id="7" xr3:uid="{32051416-FE35-460D-A44F-5BD062A61F5B}" name="X6" dataDxfId="76"/>
    <tableColumn id="8" xr3:uid="{C31759E4-BCF2-4C9D-BFF1-842D6D6ECA1D}" name="Y7" dataDxfId="75"/>
    <tableColumn id="9" xr3:uid="{FEC3DAB4-F1BC-432E-9E2D-7F09821B3084}" name="X8" dataDxfId="74"/>
    <tableColumn id="10" xr3:uid="{C472AA1F-D3CD-4289-915A-01272D7AC293}" name="Y9" dataDxfId="73"/>
    <tableColumn id="11" xr3:uid="{22761D19-3862-4626-8957-B0E7DA584F0E}" name="X10" dataDxfId="72"/>
    <tableColumn id="12" xr3:uid="{0F10A675-42F5-43F1-8258-2F0F1CAFA5EE}" name="Y11" dataDxfId="71"/>
    <tableColumn id="13" xr3:uid="{F6BEC76C-B867-4322-8EF9-30813A59C818}" name="Wavelength" dataDxfId="70"/>
    <tableColumn id="14" xr3:uid="{522FC3D1-AFEF-4E12-BB64-E7867E6EF3CC}" name="I_0" dataDxfId="69"/>
    <tableColumn id="15" xr3:uid="{BB93827C-F5EA-4542-A53B-01F56D5EDD60}" name="I_10" dataDxfId="68"/>
    <tableColumn id="16" xr3:uid="{EDABDE83-C67B-4E40-B506-B51CB1817BC7}" name="I_20" dataDxfId="67"/>
    <tableColumn id="17" xr3:uid="{E04FED0A-9D73-420C-8349-09B068B8D50F}" name="I_30" dataDxfId="66"/>
    <tableColumn id="18" xr3:uid="{88D96E32-F2FB-4720-9EC8-A18EA8870BED}" name="I_40" dataDxfId="65"/>
    <tableColumn id="19" xr3:uid="{6A3D30F8-3814-4B03-9E46-34173F9E1A1E}" name="I_50" dataDxfId="64"/>
    <tableColumn id="20" xr3:uid="{18B53A06-B54F-41A3-8268-119AAF5641B4}" name="Wavelength nm" dataDxfId="63"/>
    <tableColumn id="21" xr3:uid="{04AE3C10-BF27-43AC-A5D2-D95BC037AD0E}" name="TER_10" dataDxfId="62">
      <calculatedColumnFormula>IF('0.0%'!$N3&lt;$Z$3,0, '0.0%'!$O3/'0.0%'!$N3)</calculatedColumnFormula>
    </tableColumn>
    <tableColumn id="22" xr3:uid="{CEE85148-03A7-46D3-A601-60D6861246B1}" name="TER_20" dataDxfId="61">
      <calculatedColumnFormula>IF('0.0%'!$N3&lt;$Z$3,0, '0.0%'!$P3/'0.0%'!$N3)</calculatedColumnFormula>
    </tableColumn>
    <tableColumn id="23" xr3:uid="{95763D08-E43E-42CE-BBBB-5E76C2DE9289}" name="TER_30" dataDxfId="60">
      <calculatedColumnFormula>IF('0.0%'!$N3&lt;$Z$3,0, '0.0%'!$Q3/'0.0%'!$N3)</calculatedColumnFormula>
    </tableColumn>
    <tableColumn id="24" xr3:uid="{F00D4854-482C-44BB-91FC-0A49DA90A660}" name="TER_40" dataDxfId="59">
      <calculatedColumnFormula>IF('0.0%'!$N3&lt;$Z$3,0, '0.0%'!$R3/'0.0%'!$N3)</calculatedColumnFormula>
    </tableColumn>
    <tableColumn id="25" xr3:uid="{D1645025-CF87-42DE-B802-4AB7B718BC06}" name="TER_50" dataDxfId="58">
      <calculatedColumnFormula>IF('0.0%'!$N3&lt;$Z$3,0, '0.0%'!$S3/'0.0%'!$N3)</calculatedColumnFormula>
    </tableColumn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4B2C3578-2594-4DAA-8A4F-E51320BA05B5}" name="Table24" displayName="Table24" ref="Z2:Z3" totalsRowShown="0">
  <autoFilter ref="Z2:Z3" xr:uid="{4B2C3578-2594-4DAA-8A4F-E51320BA05B5}"/>
  <tableColumns count="1">
    <tableColumn id="1" xr3:uid="{AA8BD8F2-1D61-44F7-B25E-7330DD64758B}" name="Flitro de Ruido" dataDxfId="57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D81B94-F3A9-4245-B8B2-9C7578D6723A}" name="Table8" displayName="Table8" ref="A2:Y1282" totalsRowShown="0" headerRowDxfId="56" dataDxfId="55" tableBorderDxfId="54">
  <autoFilter ref="A2:Y1282" xr:uid="{2CD81B94-F3A9-4245-B8B2-9C7578D6723A}"/>
  <tableColumns count="25">
    <tableColumn id="1" xr3:uid="{0C733140-039F-449D-BBA7-507505301320}" name="X" dataDxfId="53"/>
    <tableColumn id="2" xr3:uid="{24F5B64E-A562-4185-AD86-79D9204DF9F7}" name="Y" dataDxfId="52"/>
    <tableColumn id="3" xr3:uid="{2D822155-F100-40BE-86ED-D52CD3A5D9C9}" name="X2" dataDxfId="51"/>
    <tableColumn id="4" xr3:uid="{86035989-987A-4FF7-AB69-1CF53898DA11}" name="Y3" dataDxfId="50"/>
    <tableColumn id="5" xr3:uid="{059E37ED-D3A9-4F67-B467-6DF25231E8F4}" name="X4" dataDxfId="49"/>
    <tableColumn id="6" xr3:uid="{DAF59526-F2E1-4AB4-99CD-F0136A27CFC5}" name="Y5" dataDxfId="48"/>
    <tableColumn id="7" xr3:uid="{7D142C27-6901-4B27-A435-6750C730A9DF}" name="X6" dataDxfId="47"/>
    <tableColumn id="8" xr3:uid="{5A11AB71-E24D-46C9-837B-3862A9620004}" name="Y7" dataDxfId="46"/>
    <tableColumn id="9" xr3:uid="{F25E0A18-C3BF-4077-8291-2F45478F8459}" name="X8" dataDxfId="45"/>
    <tableColumn id="10" xr3:uid="{DFCB1AD0-DE2D-4804-B9C2-63F54DA71992}" name="Y9" dataDxfId="44"/>
    <tableColumn id="11" xr3:uid="{4E49F8DD-8173-4969-8595-FF8CAC274C46}" name="X10" dataDxfId="43"/>
    <tableColumn id="12" xr3:uid="{68165E9A-6BA5-449A-BB1C-8C2BAA94AF22}" name="Y11" dataDxfId="42"/>
    <tableColumn id="13" xr3:uid="{026213E3-E76E-422B-8D8B-54D8F660F3DA}" name="Wavelength " dataDxfId="41"/>
    <tableColumn id="14" xr3:uid="{E22F80AE-2E30-417A-A397-BE159707CBF2}" name="I_0" dataDxfId="40"/>
    <tableColumn id="15" xr3:uid="{AE22050C-379F-494C-8118-60CEAFA39939}" name="I_10" dataDxfId="39"/>
    <tableColumn id="16" xr3:uid="{874C80D4-BDD0-45F1-B926-ADC4E9AAC133}" name="I_20" dataDxfId="38"/>
    <tableColumn id="17" xr3:uid="{705179EF-7F8D-4C6C-B101-27471C9621CC}" name="I_30" dataDxfId="37"/>
    <tableColumn id="18" xr3:uid="{A22D6EE9-3F52-4399-964D-A8C7182E89D0}" name="I_40" dataDxfId="36"/>
    <tableColumn id="19" xr3:uid="{0D7500BB-4F14-49E7-8B97-85FE5D8A802E}" name="I_50" dataDxfId="35"/>
    <tableColumn id="20" xr3:uid="{378A3F7C-322A-4814-96E6-20B1F035F230}" name="Wavelwngth" dataDxfId="34"/>
    <tableColumn id="21" xr3:uid="{767A5CDE-4458-4AE6-B822-B1FD31A89B54}" name="TER_10" dataDxfId="33">
      <calculatedColumnFormula array="1">IF(Table8[[#This Row],[I_0]]&lt;Table24[Flitro de Ruido],1,Table8[[#This Row],[I_10]]/Table8[[#This Row],[I_0]])</calculatedColumnFormula>
    </tableColumn>
    <tableColumn id="22" xr3:uid="{BF71A5EC-EDBB-4DE0-8185-D4A44F0C74D6}" name="TER_20" dataDxfId="32">
      <calculatedColumnFormula array="1">IF(Table8[[#This Row],[I_0]]&lt;Table24[Flitro de Ruido],1,Table8[[#This Row],[I_20]]/Table8[[#This Row],[I_0]])</calculatedColumnFormula>
    </tableColumn>
    <tableColumn id="23" xr3:uid="{36DB8FE0-956F-4434-87BA-4E39B23D9657}" name="TER_30" dataDxfId="31">
      <calculatedColumnFormula array="1">IF(Table8[[#This Row],[I_0]]&lt;Table24[Flitro de Ruido],1,Table8[[#This Row],[I_30]]/Table8[[#This Row],[I_0]])</calculatedColumnFormula>
    </tableColumn>
    <tableColumn id="24" xr3:uid="{4447BD7B-39FB-423D-89A0-D0E6E84FEACB}" name="TER_40" dataDxfId="30">
      <calculatedColumnFormula array="1">IF(Table8[[#This Row],[I_0]]&lt;Table24[Flitro de Ruido],1,Table8[[#This Row],[I_40]]/Table8[[#This Row],[I_0]])</calculatedColumnFormula>
    </tableColumn>
    <tableColumn id="25" xr3:uid="{18F4871A-F266-48B0-9398-B4FF9D359CCD}" name="TER_50" dataDxfId="29">
      <calculatedColumnFormula array="1">IF(Table8[[#This Row],[I_0]]&lt;Table24[Flitro de Ruido],1,Table8[[#This Row],[I_50]]/Table8[[#This Row],[I_0]])</calculatedColumnFormula>
    </tableColumn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62E1CEB-FF9E-43C0-894B-FE740B08C5A7}" name="Table28" displayName="Table28" ref="Z2:Z3" totalsRowShown="0">
  <autoFilter ref="Z2:Z3" xr:uid="{762E1CEB-FF9E-43C0-894B-FE740B08C5A7}"/>
  <tableColumns count="1">
    <tableColumn id="1" xr3:uid="{BE0318F8-3527-4A14-9A2E-F5A3CB28911B}" name="Filtro de ruido" dataDxfId="28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68B7288-A757-4CE9-AE91-81B9AAACEC52}" name="Table14" displayName="Table14" ref="A2:Y1282" totalsRowShown="0" headerRowDxfId="27" dataDxfId="26" tableBorderDxfId="25">
  <autoFilter ref="A2:Y1282" xr:uid="{368B7288-A757-4CE9-AE91-81B9AAACEC52}"/>
  <tableColumns count="25">
    <tableColumn id="1" xr3:uid="{278B241E-824F-48F1-9B8D-E2D22E050AC8}" name="X" dataDxfId="24"/>
    <tableColumn id="2" xr3:uid="{403AD139-C1FD-4C19-9790-98D87BBCB9F5}" name="Y" dataDxfId="23"/>
    <tableColumn id="3" xr3:uid="{0014EA18-E5D3-405B-A8D9-73A50DED3326}" name="X2" dataDxfId="22"/>
    <tableColumn id="4" xr3:uid="{BF17B50F-0CEA-4CCE-A43F-90AE5114F658}" name="Y2" dataDxfId="21"/>
    <tableColumn id="5" xr3:uid="{4085307B-0E2B-4437-A75F-6D2EAA9B791D}" name="X4" dataDxfId="20"/>
    <tableColumn id="6" xr3:uid="{4AC0C0F8-4C81-49A6-B203-162D578F4041}" name="Y5" dataDxfId="19"/>
    <tableColumn id="7" xr3:uid="{9965F591-409F-4784-81F5-1F1A098BB5C0}" name="X6" dataDxfId="18"/>
    <tableColumn id="8" xr3:uid="{F26FAEA3-6A58-45E8-AFE3-A00BB91D48F3}" name="Y7" dataDxfId="17"/>
    <tableColumn id="9" xr3:uid="{D6CC0A2B-CA40-464C-B4A9-90A988911E57}" name="X8" dataDxfId="16"/>
    <tableColumn id="10" xr3:uid="{29D602A8-98F6-4359-B9A3-CE7BDD5F5467}" name="Y9" dataDxfId="15"/>
    <tableColumn id="11" xr3:uid="{8C0A6FA8-76C6-426B-BE87-26C88D5B5E6C}" name="X10" dataDxfId="14"/>
    <tableColumn id="12" xr3:uid="{DE737FB5-A224-44F0-BD8E-3742FD20C602}" name="Y11" dataDxfId="13"/>
    <tableColumn id="13" xr3:uid="{4B4CAF91-6936-48F5-9A95-5B5291827932}" name="Wavelength" dataDxfId="12"/>
    <tableColumn id="14" xr3:uid="{F32B5E02-6139-432D-83ED-86D874A8772C}" name="I_0" dataDxfId="11"/>
    <tableColumn id="15" xr3:uid="{6CAFAECA-9375-4CCA-B7D6-6D604D73A8A1}" name="I_10" dataDxfId="10"/>
    <tableColumn id="16" xr3:uid="{525EC3FB-2FDF-479F-8663-0B9BE3939CC0}" name="I_20" dataDxfId="9"/>
    <tableColumn id="17" xr3:uid="{D5856A39-80C8-4A1A-8D22-F75E7D8F34E6}" name="I_30" dataDxfId="8"/>
    <tableColumn id="18" xr3:uid="{8202EA04-DFE7-4158-9B2E-4CF329F1195F}" name="I_40" dataDxfId="7"/>
    <tableColumn id="19" xr3:uid="{44F687A7-0B3B-45E3-9568-715D17B8216F}" name="I_50" dataDxfId="6"/>
    <tableColumn id="20" xr3:uid="{25CFBFCB-A680-4158-872D-86D390F27672}" name="Wavelength2" dataDxfId="5"/>
    <tableColumn id="21" xr3:uid="{F1EDC3B9-CE2A-4B03-A329-80553B921D85}" name="TER_10" dataDxfId="4">
      <calculatedColumnFormula>IF(Table14[[#This Row],[I_0]] &lt; INDEX(Table28[Filtro de ruido],1), 1, Table14[[#This Row],[I_10]] / Table14[[#This Row],[I_0]])</calculatedColumnFormula>
    </tableColumn>
    <tableColumn id="22" xr3:uid="{7BADE37A-88DE-4204-B33B-00E6FA5A3EB1}" name="TER_20" dataDxfId="3">
      <calculatedColumnFormula>IF(Table14[[#This Row],[I_0]] &lt; INDEX(Table28[Filtro de ruido],1), 1, Table14[[#This Row],[I_20]] / Table14[[#This Row],[I_0]])</calculatedColumnFormula>
    </tableColumn>
    <tableColumn id="23" xr3:uid="{1CF4A56F-7616-4297-B0F0-9DF4B4D8A1E0}" name="TER_30" dataDxfId="2">
      <calculatedColumnFormula>IF(Table14[[#This Row],[I_0]] &lt; INDEX(Table28[Filtro de ruido],1), 1, Table14[[#This Row],[I_30]] / Table14[[#This Row],[I_0]])</calculatedColumnFormula>
    </tableColumn>
    <tableColumn id="24" xr3:uid="{E0CB33B5-2DB1-4349-B354-3461441D94E4}" name="TER_40" dataDxfId="1">
      <calculatedColumnFormula>IF(Table14[[#This Row],[I_0]] &lt; INDEX(Table28[Filtro de ruido],1), 1, Table14[[#This Row],[I_40]] / Table14[[#This Row],[I_0]])</calculatedColumnFormula>
    </tableColumn>
    <tableColumn id="25" xr3:uid="{B53F2955-EFBB-4AF9-BCE7-C1CFB42B20DE}" name="TER_50" dataDxfId="0">
      <calculatedColumnFormula>IF(Table14[[#This Row],[I_0]] &lt; INDEX(Table28[Filtro de ruido],1), 1, Table14[[#This Row],[I_50]] / Table14[[#This Row],[I_0]])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7B3E2-BC3F-4CD7-A51C-A9D78ECDC555}">
  <dimension ref="A1:Z1282"/>
  <sheetViews>
    <sheetView tabSelected="1" zoomScaleNormal="100" workbookViewId="0">
      <selection activeCell="AC8" sqref="AC8"/>
    </sheetView>
  </sheetViews>
  <sheetFormatPr defaultRowHeight="14.4" x14ac:dyDescent="0.3"/>
  <cols>
    <col min="2" max="4" width="8.88671875" bestFit="1" customWidth="1"/>
    <col min="5" max="5" width="8.21875" bestFit="1" customWidth="1"/>
    <col min="6" max="6" width="9.33203125" bestFit="1" customWidth="1"/>
    <col min="7" max="7" width="8.21875" bestFit="1" customWidth="1"/>
    <col min="8" max="8" width="9.33203125" bestFit="1" customWidth="1"/>
    <col min="9" max="9" width="8.21875" bestFit="1" customWidth="1"/>
    <col min="10" max="10" width="9.33203125" bestFit="1" customWidth="1"/>
    <col min="11" max="11" width="8.21875" bestFit="1" customWidth="1"/>
    <col min="12" max="12" width="9.33203125" bestFit="1" customWidth="1"/>
    <col min="13" max="13" width="13.88671875" bestFit="1" customWidth="1"/>
    <col min="14" max="19" width="9.33203125" bestFit="1" customWidth="1"/>
    <col min="20" max="20" width="17.21875" bestFit="1" customWidth="1"/>
    <col min="21" max="25" width="10" bestFit="1" customWidth="1"/>
    <col min="26" max="26" width="15.6640625" bestFit="1" customWidth="1"/>
  </cols>
  <sheetData>
    <row r="1" spans="1:26" x14ac:dyDescent="0.3">
      <c r="A1" s="23" t="s">
        <v>43</v>
      </c>
      <c r="B1" s="23"/>
      <c r="C1" s="23" t="s">
        <v>44</v>
      </c>
      <c r="D1" s="23"/>
      <c r="E1" s="23" t="s">
        <v>45</v>
      </c>
      <c r="F1" s="23"/>
      <c r="G1" s="23" t="s">
        <v>46</v>
      </c>
      <c r="H1" s="23"/>
      <c r="I1" s="23" t="s">
        <v>47</v>
      </c>
      <c r="J1" s="23"/>
      <c r="K1" s="23" t="s">
        <v>48</v>
      </c>
      <c r="L1" s="23"/>
    </row>
    <row r="2" spans="1:26" x14ac:dyDescent="0.3">
      <c r="A2" s="2" t="s">
        <v>0</v>
      </c>
      <c r="B2" s="3" t="s">
        <v>1</v>
      </c>
      <c r="C2" s="4" t="s">
        <v>25</v>
      </c>
      <c r="D2" s="3" t="s">
        <v>36</v>
      </c>
      <c r="E2" s="4" t="s">
        <v>26</v>
      </c>
      <c r="F2" s="3" t="s">
        <v>27</v>
      </c>
      <c r="G2" s="4" t="s">
        <v>28</v>
      </c>
      <c r="H2" s="3" t="s">
        <v>29</v>
      </c>
      <c r="I2" s="4" t="s">
        <v>30</v>
      </c>
      <c r="J2" s="3" t="s">
        <v>31</v>
      </c>
      <c r="K2" s="4" t="s">
        <v>32</v>
      </c>
      <c r="L2" s="3" t="s">
        <v>33</v>
      </c>
      <c r="M2" s="4" t="s">
        <v>2</v>
      </c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  <c r="S2" s="3" t="s">
        <v>8</v>
      </c>
      <c r="T2" s="4" t="s">
        <v>9</v>
      </c>
      <c r="U2" s="2" t="s">
        <v>11</v>
      </c>
      <c r="V2" s="2" t="s">
        <v>12</v>
      </c>
      <c r="W2" s="2" t="s">
        <v>13</v>
      </c>
      <c r="X2" s="2" t="s">
        <v>14</v>
      </c>
      <c r="Y2" s="2" t="s">
        <v>15</v>
      </c>
      <c r="Z2" t="s">
        <v>18</v>
      </c>
    </row>
    <row r="3" spans="1:26" x14ac:dyDescent="0.3">
      <c r="A3" s="17">
        <v>71.27</v>
      </c>
      <c r="B3" s="10">
        <v>722.7</v>
      </c>
      <c r="C3" s="9">
        <v>71.27</v>
      </c>
      <c r="D3" s="10">
        <v>795.8</v>
      </c>
      <c r="E3" s="11">
        <v>71.27</v>
      </c>
      <c r="F3" s="12">
        <v>914.7</v>
      </c>
      <c r="G3" s="11">
        <v>71.27</v>
      </c>
      <c r="H3" s="12">
        <v>1001</v>
      </c>
      <c r="I3" s="11">
        <v>71.27</v>
      </c>
      <c r="J3" s="12">
        <v>1206.2</v>
      </c>
      <c r="K3" s="11">
        <v>71.27</v>
      </c>
      <c r="L3" s="12">
        <v>1267.0999999999999</v>
      </c>
      <c r="M3" s="11">
        <v>71.27</v>
      </c>
      <c r="N3" s="13">
        <v>722.7</v>
      </c>
      <c r="O3" s="13">
        <v>795.8</v>
      </c>
      <c r="P3" s="13">
        <v>914.7</v>
      </c>
      <c r="Q3" s="11">
        <v>1001</v>
      </c>
      <c r="R3" s="11">
        <v>1206.2</v>
      </c>
      <c r="S3" s="14">
        <v>1267.0999999999999</v>
      </c>
      <c r="T3" s="11">
        <v>71.27</v>
      </c>
      <c r="U3" s="13">
        <f>IF('0.0%'!$N3&lt;$Z$3,0, '0.0%'!$O3/'0.0%'!$N3)</f>
        <v>1.1011484710114845</v>
      </c>
      <c r="V3" s="13">
        <f>IF('0.0%'!$N3&lt;$Z$3,0, '0.0%'!$P3/'0.0%'!$N3)</f>
        <v>1.2656704026567041</v>
      </c>
      <c r="W3" s="13">
        <f>IF('0.0%'!$N3&lt;$Z$3,0, '0.0%'!$Q3/'0.0%'!$N3)</f>
        <v>1.385083713850837</v>
      </c>
      <c r="X3" s="13">
        <f>IF('0.0%'!$N3&lt;$Z$3,0, '0.0%'!$R3/'0.0%'!$N3)</f>
        <v>1.6690189566901896</v>
      </c>
      <c r="Y3" s="13">
        <f>IF('0.0%'!$N3&lt;$Z$3,0, '0.0%'!$S3/'0.0%'!$N3)</f>
        <v>1.7532862875328625</v>
      </c>
      <c r="Z3" s="1">
        <v>0.1</v>
      </c>
    </row>
    <row r="4" spans="1:26" x14ac:dyDescent="0.3">
      <c r="A4" s="17">
        <v>72.260000000000005</v>
      </c>
      <c r="B4" s="10">
        <v>800.8</v>
      </c>
      <c r="C4" s="9">
        <v>72.260000000000005</v>
      </c>
      <c r="D4" s="10">
        <v>882.8</v>
      </c>
      <c r="E4" s="11">
        <v>72.260000000000005</v>
      </c>
      <c r="F4" s="12">
        <v>1016.4</v>
      </c>
      <c r="G4" s="11">
        <v>72.260000000000005</v>
      </c>
      <c r="H4" s="12">
        <v>1113.2</v>
      </c>
      <c r="I4" s="11">
        <v>72.260000000000005</v>
      </c>
      <c r="J4" s="12">
        <v>1344.4</v>
      </c>
      <c r="K4" s="11">
        <v>72.260000000000005</v>
      </c>
      <c r="L4" s="12">
        <v>1413.6</v>
      </c>
      <c r="M4" s="11">
        <v>72.260000000000005</v>
      </c>
      <c r="N4" s="13">
        <v>800.8</v>
      </c>
      <c r="O4" s="13">
        <v>882.8</v>
      </c>
      <c r="P4" s="13">
        <v>1016.4</v>
      </c>
      <c r="Q4" s="11">
        <v>1113.2</v>
      </c>
      <c r="R4" s="11">
        <v>1344.4</v>
      </c>
      <c r="S4" s="14">
        <v>1413.6</v>
      </c>
      <c r="T4" s="11">
        <v>72.260000000000005</v>
      </c>
      <c r="U4" s="13">
        <f>IF('0.0%'!$N4&lt;$Z$3,0, '0.0%'!$O4/'0.0%'!$N4)</f>
        <v>1.1023976023976023</v>
      </c>
      <c r="V4" s="13">
        <f>IF('0.0%'!$N4&lt;$Z$3,0, '0.0%'!$P4/'0.0%'!$N4)</f>
        <v>1.2692307692307694</v>
      </c>
      <c r="W4" s="13">
        <f>IF('0.0%'!$N4&lt;$Z$3,0, '0.0%'!$Q4/'0.0%'!$N4)</f>
        <v>1.3901098901098903</v>
      </c>
      <c r="X4" s="13">
        <f>IF('0.0%'!$N4&lt;$Z$3,0, '0.0%'!$R4/'0.0%'!$N4)</f>
        <v>1.6788211788211791</v>
      </c>
      <c r="Y4" s="13">
        <f>IF('0.0%'!$N4&lt;$Z$3,0, '0.0%'!$S4/'0.0%'!$N4)</f>
        <v>1.7652347652347653</v>
      </c>
    </row>
    <row r="5" spans="1:26" x14ac:dyDescent="0.3">
      <c r="A5" s="17">
        <v>73.260000000000005</v>
      </c>
      <c r="B5" s="10">
        <v>857.3</v>
      </c>
      <c r="C5" s="9">
        <v>73.260000000000005</v>
      </c>
      <c r="D5" s="10">
        <v>946</v>
      </c>
      <c r="E5" s="11">
        <v>73.260000000000005</v>
      </c>
      <c r="F5" s="12">
        <v>1091.5</v>
      </c>
      <c r="G5" s="11">
        <v>73.260000000000005</v>
      </c>
      <c r="H5" s="12">
        <v>1196.2</v>
      </c>
      <c r="I5" s="11">
        <v>73.260000000000005</v>
      </c>
      <c r="J5" s="12">
        <v>1449.2</v>
      </c>
      <c r="K5" s="11">
        <v>73.260000000000005</v>
      </c>
      <c r="L5" s="12">
        <v>1525.4</v>
      </c>
      <c r="M5" s="11">
        <v>73.260000000000005</v>
      </c>
      <c r="N5" s="13">
        <v>857.3</v>
      </c>
      <c r="O5" s="13">
        <v>946</v>
      </c>
      <c r="P5" s="13">
        <v>1091.5</v>
      </c>
      <c r="Q5" s="11">
        <v>1196.2</v>
      </c>
      <c r="R5" s="11">
        <v>1449.2</v>
      </c>
      <c r="S5" s="14">
        <v>1525.4</v>
      </c>
      <c r="T5" s="11">
        <v>73.260000000000005</v>
      </c>
      <c r="U5" s="13">
        <f>IF('0.0%'!$N5&lt;$Z$3,0, '0.0%'!$O5/'0.0%'!$N5)</f>
        <v>1.1034643648664413</v>
      </c>
      <c r="V5" s="13">
        <f>IF('0.0%'!$N5&lt;$Z$3,0, '0.0%'!$P5/'0.0%'!$N5)</f>
        <v>1.2731832497375482</v>
      </c>
      <c r="W5" s="13">
        <f>IF('0.0%'!$N5&lt;$Z$3,0, '0.0%'!$Q5/'0.0%'!$N5)</f>
        <v>1.3953108596757262</v>
      </c>
      <c r="X5" s="13">
        <f>IF('0.0%'!$N5&lt;$Z$3,0, '0.0%'!$R5/'0.0%'!$N5)</f>
        <v>1.6904234223725652</v>
      </c>
      <c r="Y5" s="13">
        <f>IF('0.0%'!$N5&lt;$Z$3,0, '0.0%'!$S5/'0.0%'!$N5)</f>
        <v>1.779307127026712</v>
      </c>
    </row>
    <row r="6" spans="1:26" x14ac:dyDescent="0.3">
      <c r="A6" s="17">
        <v>74.25</v>
      </c>
      <c r="B6" s="10">
        <v>900.8</v>
      </c>
      <c r="C6" s="9">
        <v>74.25</v>
      </c>
      <c r="D6" s="10">
        <v>994.6</v>
      </c>
      <c r="E6" s="11">
        <v>74.25</v>
      </c>
      <c r="F6" s="12">
        <v>1149.3</v>
      </c>
      <c r="G6" s="11">
        <v>74.25</v>
      </c>
      <c r="H6" s="12">
        <v>1260.0999999999999</v>
      </c>
      <c r="I6" s="11">
        <v>74.25</v>
      </c>
      <c r="J6" s="12">
        <v>1530.2</v>
      </c>
      <c r="K6" s="11">
        <v>74.25</v>
      </c>
      <c r="L6" s="12">
        <v>1612.2</v>
      </c>
      <c r="M6" s="11">
        <v>74.25</v>
      </c>
      <c r="N6" s="13">
        <v>900.8</v>
      </c>
      <c r="O6" s="13">
        <v>994.6</v>
      </c>
      <c r="P6" s="13">
        <v>1149.3</v>
      </c>
      <c r="Q6" s="11">
        <v>1260.0999999999999</v>
      </c>
      <c r="R6" s="11">
        <v>1530.2</v>
      </c>
      <c r="S6" s="14">
        <v>1612.2</v>
      </c>
      <c r="T6" s="11">
        <v>74.25</v>
      </c>
      <c r="U6" s="13">
        <f>IF('0.0%'!$N6&lt;$Z$3,0, '0.0%'!$O6/'0.0%'!$N6)</f>
        <v>1.1041296625222026</v>
      </c>
      <c r="V6" s="13">
        <f>IF('0.0%'!$N6&lt;$Z$3,0, '0.0%'!$P6/'0.0%'!$N6)</f>
        <v>1.2758658969804619</v>
      </c>
      <c r="W6" s="13">
        <f>IF('0.0%'!$N6&lt;$Z$3,0, '0.0%'!$Q6/'0.0%'!$N6)</f>
        <v>1.3988676731793961</v>
      </c>
      <c r="X6" s="13">
        <f>IF('0.0%'!$N6&lt;$Z$3,0, '0.0%'!$R6/'0.0%'!$N6)</f>
        <v>1.6987122557726466</v>
      </c>
      <c r="Y6" s="13">
        <f>IF('0.0%'!$N6&lt;$Z$3,0, '0.0%'!$S6/'0.0%'!$N6)</f>
        <v>1.7897424511545295</v>
      </c>
    </row>
    <row r="7" spans="1:26" x14ac:dyDescent="0.3">
      <c r="A7" s="17">
        <v>75.239999999999995</v>
      </c>
      <c r="B7" s="10">
        <v>932.2</v>
      </c>
      <c r="C7" s="9">
        <v>75.239999999999995</v>
      </c>
      <c r="D7" s="10">
        <v>1030.3</v>
      </c>
      <c r="E7" s="11">
        <v>75.239999999999995</v>
      </c>
      <c r="F7" s="12">
        <v>1192.3</v>
      </c>
      <c r="G7" s="11">
        <v>75.239999999999995</v>
      </c>
      <c r="H7" s="12">
        <v>1308</v>
      </c>
      <c r="I7" s="11">
        <v>75.239999999999995</v>
      </c>
      <c r="J7" s="12">
        <v>1592.2</v>
      </c>
      <c r="K7" s="11">
        <v>75.239999999999995</v>
      </c>
      <c r="L7" s="12">
        <v>1679</v>
      </c>
      <c r="M7" s="11">
        <v>75.239999999999995</v>
      </c>
      <c r="N7" s="13">
        <v>932.2</v>
      </c>
      <c r="O7" s="13">
        <v>1030.3</v>
      </c>
      <c r="P7" s="13">
        <v>1192.3</v>
      </c>
      <c r="Q7" s="11">
        <v>1308</v>
      </c>
      <c r="R7" s="11">
        <v>1592.2</v>
      </c>
      <c r="S7" s="14">
        <v>1679</v>
      </c>
      <c r="T7" s="11">
        <v>75.239999999999995</v>
      </c>
      <c r="U7" s="13">
        <f>IF('0.0%'!$N7&lt;$Z$3,0, '0.0%'!$O7/'0.0%'!$N7)</f>
        <v>1.1052349281270113</v>
      </c>
      <c r="V7" s="13">
        <f>IF('0.0%'!$N7&lt;$Z$3,0, '0.0%'!$P7/'0.0%'!$N7)</f>
        <v>1.2790173782450116</v>
      </c>
      <c r="W7" s="13">
        <f>IF('0.0%'!$N7&lt;$Z$3,0, '0.0%'!$Q7/'0.0%'!$N7)</f>
        <v>1.4031323750268183</v>
      </c>
      <c r="X7" s="13">
        <f>IF('0.0%'!$N7&lt;$Z$3,0, '0.0%'!$R7/'0.0%'!$N7)</f>
        <v>1.7080025745548166</v>
      </c>
      <c r="Y7" s="13">
        <f>IF('0.0%'!$N7&lt;$Z$3,0, '0.0%'!$S7/'0.0%'!$N7)</f>
        <v>1.8011156404205104</v>
      </c>
    </row>
    <row r="8" spans="1:26" x14ac:dyDescent="0.3">
      <c r="A8" s="17">
        <v>76.23</v>
      </c>
      <c r="B8" s="10">
        <v>953</v>
      </c>
      <c r="C8" s="9">
        <v>76.23</v>
      </c>
      <c r="D8" s="10">
        <v>1053.7</v>
      </c>
      <c r="E8" s="11">
        <v>76.23</v>
      </c>
      <c r="F8" s="12">
        <v>1221.5</v>
      </c>
      <c r="G8" s="11">
        <v>76.23</v>
      </c>
      <c r="H8" s="12">
        <v>1340.2</v>
      </c>
      <c r="I8" s="11">
        <v>76.23</v>
      </c>
      <c r="J8" s="12">
        <v>1635.6</v>
      </c>
      <c r="K8" s="11">
        <v>76.23</v>
      </c>
      <c r="L8" s="12">
        <v>1725.7</v>
      </c>
      <c r="M8" s="11">
        <v>76.23</v>
      </c>
      <c r="N8" s="13">
        <v>953</v>
      </c>
      <c r="O8" s="13">
        <v>1053.7</v>
      </c>
      <c r="P8" s="13">
        <v>1221.5</v>
      </c>
      <c r="Q8" s="11">
        <v>1340.2</v>
      </c>
      <c r="R8" s="11">
        <v>1635.6</v>
      </c>
      <c r="S8" s="14">
        <v>1725.7</v>
      </c>
      <c r="T8" s="11">
        <v>76.23</v>
      </c>
      <c r="U8" s="13">
        <f>IF('0.0%'!$N8&lt;$Z$3,0, '0.0%'!$O8/'0.0%'!$N8)</f>
        <v>1.1056663168940188</v>
      </c>
      <c r="V8" s="13">
        <f>IF('0.0%'!$N8&lt;$Z$3,0, '0.0%'!$P8/'0.0%'!$N8)</f>
        <v>1.2817418677859391</v>
      </c>
      <c r="W8" s="13">
        <f>IF('0.0%'!$N8&lt;$Z$3,0, '0.0%'!$Q8/'0.0%'!$N8)</f>
        <v>1.406295907660021</v>
      </c>
      <c r="X8" s="13">
        <f>IF('0.0%'!$N8&lt;$Z$3,0, '0.0%'!$R8/'0.0%'!$N8)</f>
        <v>1.7162644281217208</v>
      </c>
      <c r="Y8" s="13">
        <f>IF('0.0%'!$N8&lt;$Z$3,0, '0.0%'!$S8/'0.0%'!$N8)</f>
        <v>1.8108079748163695</v>
      </c>
    </row>
    <row r="9" spans="1:26" x14ac:dyDescent="0.3">
      <c r="A9" s="17">
        <v>77.22</v>
      </c>
      <c r="B9" s="10">
        <v>966.4</v>
      </c>
      <c r="C9" s="9">
        <v>77.22</v>
      </c>
      <c r="D9" s="10">
        <v>1069.0999999999999</v>
      </c>
      <c r="E9" s="11">
        <v>77.22</v>
      </c>
      <c r="F9" s="12">
        <v>1241.5999999999999</v>
      </c>
      <c r="G9" s="11">
        <v>77.22</v>
      </c>
      <c r="H9" s="12">
        <v>1362.6</v>
      </c>
      <c r="I9" s="11">
        <v>77.22</v>
      </c>
      <c r="J9" s="12">
        <v>1667.8</v>
      </c>
      <c r="K9" s="11">
        <v>77.22</v>
      </c>
      <c r="L9" s="12">
        <v>1760</v>
      </c>
      <c r="M9" s="11">
        <v>77.22</v>
      </c>
      <c r="N9" s="13">
        <v>966.4</v>
      </c>
      <c r="O9" s="13">
        <v>1069.0999999999999</v>
      </c>
      <c r="P9" s="13">
        <v>1241.5999999999999</v>
      </c>
      <c r="Q9" s="11">
        <v>1362.6</v>
      </c>
      <c r="R9" s="11">
        <v>1667.8</v>
      </c>
      <c r="S9" s="14">
        <v>1760</v>
      </c>
      <c r="T9" s="11">
        <v>77.22</v>
      </c>
      <c r="U9" s="13">
        <f>IF('0.0%'!$N9&lt;$Z$3,0, '0.0%'!$O9/'0.0%'!$N9)</f>
        <v>1.1062706953642383</v>
      </c>
      <c r="V9" s="13">
        <f>IF('0.0%'!$N9&lt;$Z$3,0, '0.0%'!$P9/'0.0%'!$N9)</f>
        <v>1.2847682119205297</v>
      </c>
      <c r="W9" s="13">
        <f>IF('0.0%'!$N9&lt;$Z$3,0, '0.0%'!$Q9/'0.0%'!$N9)</f>
        <v>1.4099751655629138</v>
      </c>
      <c r="X9" s="13">
        <f>IF('0.0%'!$N9&lt;$Z$3,0, '0.0%'!$R9/'0.0%'!$N9)</f>
        <v>1.7257864238410596</v>
      </c>
      <c r="Y9" s="13">
        <f>IF('0.0%'!$N9&lt;$Z$3,0, '0.0%'!$S9/'0.0%'!$N9)</f>
        <v>1.8211920529801324</v>
      </c>
    </row>
    <row r="10" spans="1:26" x14ac:dyDescent="0.3">
      <c r="A10" s="17">
        <v>78.22</v>
      </c>
      <c r="B10" s="10">
        <v>973</v>
      </c>
      <c r="C10" s="9">
        <v>78.22</v>
      </c>
      <c r="D10" s="10">
        <v>1076.7</v>
      </c>
      <c r="E10" s="11">
        <v>78.22</v>
      </c>
      <c r="F10" s="12">
        <v>1252.5999999999999</v>
      </c>
      <c r="G10" s="11">
        <v>78.22</v>
      </c>
      <c r="H10" s="12">
        <v>1375</v>
      </c>
      <c r="I10" s="11">
        <v>78.22</v>
      </c>
      <c r="J10" s="12">
        <v>1687.6</v>
      </c>
      <c r="K10" s="11">
        <v>78.22</v>
      </c>
      <c r="L10" s="12">
        <v>1780.7</v>
      </c>
      <c r="M10" s="11">
        <v>78.22</v>
      </c>
      <c r="N10" s="13">
        <v>973</v>
      </c>
      <c r="O10" s="13">
        <v>1076.7</v>
      </c>
      <c r="P10" s="13">
        <v>1252.5999999999999</v>
      </c>
      <c r="Q10" s="11">
        <v>1375</v>
      </c>
      <c r="R10" s="11">
        <v>1687.6</v>
      </c>
      <c r="S10" s="14">
        <v>1780.7</v>
      </c>
      <c r="T10" s="11">
        <v>78.22</v>
      </c>
      <c r="U10" s="13">
        <f>IF('0.0%'!$N10&lt;$Z$3,0, '0.0%'!$O10/'0.0%'!$N10)</f>
        <v>1.1065775950668038</v>
      </c>
      <c r="V10" s="13">
        <f>IF('0.0%'!$N10&lt;$Z$3,0, '0.0%'!$P10/'0.0%'!$N10)</f>
        <v>1.2873586844809866</v>
      </c>
      <c r="W10" s="13">
        <f>IF('0.0%'!$N10&lt;$Z$3,0, '0.0%'!$Q10/'0.0%'!$N10)</f>
        <v>1.4131551901336075</v>
      </c>
      <c r="X10" s="13">
        <f>IF('0.0%'!$N10&lt;$Z$3,0, '0.0%'!$R10/'0.0%'!$N10)</f>
        <v>1.7344295991778005</v>
      </c>
      <c r="Y10" s="13">
        <f>IF('0.0%'!$N10&lt;$Z$3,0, '0.0%'!$S10/'0.0%'!$N10)</f>
        <v>1.8301130524152107</v>
      </c>
    </row>
    <row r="11" spans="1:26" x14ac:dyDescent="0.3">
      <c r="A11" s="17">
        <v>79.209999999999994</v>
      </c>
      <c r="B11" s="10">
        <v>974.5</v>
      </c>
      <c r="C11" s="9">
        <v>79.209999999999994</v>
      </c>
      <c r="D11" s="10">
        <v>1078.5</v>
      </c>
      <c r="E11" s="11">
        <v>79.209999999999994</v>
      </c>
      <c r="F11" s="12">
        <v>1257.3</v>
      </c>
      <c r="G11" s="11">
        <v>79.209999999999994</v>
      </c>
      <c r="H11" s="12">
        <v>1380.6</v>
      </c>
      <c r="I11" s="11">
        <v>79.209999999999994</v>
      </c>
      <c r="J11" s="12">
        <v>1699.5</v>
      </c>
      <c r="K11" s="11">
        <v>79.209999999999994</v>
      </c>
      <c r="L11" s="12">
        <v>1793.2</v>
      </c>
      <c r="M11" s="11">
        <v>79.209999999999994</v>
      </c>
      <c r="N11" s="13">
        <v>974.5</v>
      </c>
      <c r="O11" s="13">
        <v>1078.5</v>
      </c>
      <c r="P11" s="13">
        <v>1257.3</v>
      </c>
      <c r="Q11" s="11">
        <v>1380.6</v>
      </c>
      <c r="R11" s="11">
        <v>1699.5</v>
      </c>
      <c r="S11" s="14">
        <v>1793.2</v>
      </c>
      <c r="T11" s="11">
        <v>79.209999999999994</v>
      </c>
      <c r="U11" s="13">
        <f>IF('0.0%'!$N11&lt;$Z$3,0, '0.0%'!$O11/'0.0%'!$N11)</f>
        <v>1.1067213955874808</v>
      </c>
      <c r="V11" s="13">
        <f>IF('0.0%'!$N11&lt;$Z$3,0, '0.0%'!$P11/'0.0%'!$N11)</f>
        <v>1.2902001026167265</v>
      </c>
      <c r="W11" s="13">
        <f>IF('0.0%'!$N11&lt;$Z$3,0, '0.0%'!$Q11/'0.0%'!$N11)</f>
        <v>1.4167265264238069</v>
      </c>
      <c r="X11" s="13">
        <f>IF('0.0%'!$N11&lt;$Z$3,0, '0.0%'!$R11/'0.0%'!$N11)</f>
        <v>1.7439712673165726</v>
      </c>
      <c r="Y11" s="13">
        <f>IF('0.0%'!$N11&lt;$Z$3,0, '0.0%'!$S11/'0.0%'!$N11)</f>
        <v>1.8401231400718319</v>
      </c>
    </row>
    <row r="12" spans="1:26" x14ac:dyDescent="0.3">
      <c r="A12" s="17">
        <v>80.2</v>
      </c>
      <c r="B12" s="10">
        <v>970.9</v>
      </c>
      <c r="C12" s="9">
        <v>80.2</v>
      </c>
      <c r="D12" s="10">
        <v>1074.5999999999999</v>
      </c>
      <c r="E12" s="11">
        <v>80.2</v>
      </c>
      <c r="F12" s="12">
        <v>1255.3</v>
      </c>
      <c r="G12" s="11">
        <v>80.2</v>
      </c>
      <c r="H12" s="12">
        <v>1378.1</v>
      </c>
      <c r="I12" s="11">
        <v>80.2</v>
      </c>
      <c r="J12" s="12">
        <v>1701.7</v>
      </c>
      <c r="K12" s="11">
        <v>80.2</v>
      </c>
      <c r="L12" s="12">
        <v>1795.3</v>
      </c>
      <c r="M12" s="11">
        <v>80.2</v>
      </c>
      <c r="N12" s="13">
        <v>970.9</v>
      </c>
      <c r="O12" s="13">
        <v>1074.5999999999999</v>
      </c>
      <c r="P12" s="13">
        <v>1255.3</v>
      </c>
      <c r="Q12" s="11">
        <v>1378.1</v>
      </c>
      <c r="R12" s="11">
        <v>1701.7</v>
      </c>
      <c r="S12" s="14">
        <v>1795.3</v>
      </c>
      <c r="T12" s="11">
        <v>80.2</v>
      </c>
      <c r="U12" s="13">
        <f>IF('0.0%'!$N12&lt;$Z$3,0, '0.0%'!$O12/'0.0%'!$N12)</f>
        <v>1.1068081161808629</v>
      </c>
      <c r="V12" s="13">
        <f>IF('0.0%'!$N12&lt;$Z$3,0, '0.0%'!$P12/'0.0%'!$N12)</f>
        <v>1.2929240910495416</v>
      </c>
      <c r="W12" s="13">
        <f>IF('0.0%'!$N12&lt;$Z$3,0, '0.0%'!$Q12/'0.0%'!$N12)</f>
        <v>1.419404676073746</v>
      </c>
      <c r="X12" s="13">
        <f>IF('0.0%'!$N12&lt;$Z$3,0, '0.0%'!$R12/'0.0%'!$N12)</f>
        <v>1.7527036770007212</v>
      </c>
      <c r="Y12" s="13">
        <f>IF('0.0%'!$N12&lt;$Z$3,0, '0.0%'!$S12/'0.0%'!$N12)</f>
        <v>1.8491090740550005</v>
      </c>
    </row>
    <row r="13" spans="1:26" x14ac:dyDescent="0.3">
      <c r="A13" s="17">
        <v>81.19</v>
      </c>
      <c r="B13" s="10">
        <v>962</v>
      </c>
      <c r="C13" s="9">
        <v>81.19</v>
      </c>
      <c r="D13" s="10">
        <v>1064.5</v>
      </c>
      <c r="E13" s="11">
        <v>81.19</v>
      </c>
      <c r="F13" s="12">
        <v>1246.8</v>
      </c>
      <c r="G13" s="11">
        <v>81.19</v>
      </c>
      <c r="H13" s="12">
        <v>1368.1</v>
      </c>
      <c r="I13" s="11">
        <v>81.19</v>
      </c>
      <c r="J13" s="12">
        <v>1696.2</v>
      </c>
      <c r="K13" s="11">
        <v>81.19</v>
      </c>
      <c r="L13" s="12">
        <v>1789</v>
      </c>
      <c r="M13" s="11">
        <v>81.19</v>
      </c>
      <c r="N13" s="13">
        <v>962</v>
      </c>
      <c r="O13" s="13">
        <v>1064.5</v>
      </c>
      <c r="P13" s="13">
        <v>1246.8</v>
      </c>
      <c r="Q13" s="11">
        <v>1368.1</v>
      </c>
      <c r="R13" s="11">
        <v>1696.2</v>
      </c>
      <c r="S13" s="14">
        <v>1789</v>
      </c>
      <c r="T13" s="11">
        <v>81.19</v>
      </c>
      <c r="U13" s="13">
        <f>IF('0.0%'!$N13&lt;$Z$3,0, '0.0%'!$O13/'0.0%'!$N13)</f>
        <v>1.1065488565488566</v>
      </c>
      <c r="V13" s="13">
        <f>IF('0.0%'!$N13&lt;$Z$3,0, '0.0%'!$P13/'0.0%'!$N13)</f>
        <v>1.2960498960498961</v>
      </c>
      <c r="W13" s="13">
        <f>IF('0.0%'!$N13&lt;$Z$3,0, '0.0%'!$Q13/'0.0%'!$N13)</f>
        <v>1.422141372141372</v>
      </c>
      <c r="X13" s="13">
        <f>IF('0.0%'!$N13&lt;$Z$3,0, '0.0%'!$R13/'0.0%'!$N13)</f>
        <v>1.7632016632016632</v>
      </c>
      <c r="Y13" s="13">
        <f>IF('0.0%'!$N13&lt;$Z$3,0, '0.0%'!$S13/'0.0%'!$N13)</f>
        <v>1.8596673596673596</v>
      </c>
    </row>
    <row r="14" spans="1:26" x14ac:dyDescent="0.3">
      <c r="A14" s="17">
        <v>82.18</v>
      </c>
      <c r="B14" s="10">
        <v>952.1</v>
      </c>
      <c r="C14" s="9">
        <v>82.18</v>
      </c>
      <c r="D14" s="10">
        <v>1053.9000000000001</v>
      </c>
      <c r="E14" s="11">
        <v>82.18</v>
      </c>
      <c r="F14" s="12">
        <v>1237.2</v>
      </c>
      <c r="G14" s="11">
        <v>82.18</v>
      </c>
      <c r="H14" s="12">
        <v>1357.2</v>
      </c>
      <c r="I14" s="11">
        <v>82.18</v>
      </c>
      <c r="J14" s="12">
        <v>1688.9</v>
      </c>
      <c r="K14" s="11">
        <v>82.18</v>
      </c>
      <c r="L14" s="12">
        <v>1780.9</v>
      </c>
      <c r="M14" s="11">
        <v>82.18</v>
      </c>
      <c r="N14" s="13">
        <v>952.1</v>
      </c>
      <c r="O14" s="13">
        <v>1053.9000000000001</v>
      </c>
      <c r="P14" s="13">
        <v>1237.2</v>
      </c>
      <c r="Q14" s="11">
        <v>1357.2</v>
      </c>
      <c r="R14" s="11">
        <v>1688.9</v>
      </c>
      <c r="S14" s="14">
        <v>1780.9</v>
      </c>
      <c r="T14" s="11">
        <v>82.18</v>
      </c>
      <c r="U14" s="13">
        <f>IF('0.0%'!$N14&lt;$Z$3,0, '0.0%'!$O14/'0.0%'!$N14)</f>
        <v>1.1069215418548473</v>
      </c>
      <c r="V14" s="13">
        <f>IF('0.0%'!$N14&lt;$Z$3,0, '0.0%'!$P14/'0.0%'!$N14)</f>
        <v>1.2994433357840562</v>
      </c>
      <c r="W14" s="13">
        <f>IF('0.0%'!$N14&lt;$Z$3,0, '0.0%'!$Q14/'0.0%'!$N14)</f>
        <v>1.425480516752442</v>
      </c>
      <c r="X14" s="13">
        <f>IF('0.0%'!$N14&lt;$Z$3,0, '0.0%'!$R14/'0.0%'!$N14)</f>
        <v>1.7738682911458881</v>
      </c>
      <c r="Y14" s="13">
        <f>IF('0.0%'!$N14&lt;$Z$3,0, '0.0%'!$S14/'0.0%'!$N14)</f>
        <v>1.8704967965549837</v>
      </c>
    </row>
    <row r="15" spans="1:26" x14ac:dyDescent="0.3">
      <c r="A15" s="17">
        <v>83.17</v>
      </c>
      <c r="B15" s="10">
        <v>939.6</v>
      </c>
      <c r="C15" s="9">
        <v>83.17</v>
      </c>
      <c r="D15" s="10">
        <v>1040.4000000000001</v>
      </c>
      <c r="E15" s="11">
        <v>83.17</v>
      </c>
      <c r="F15" s="12">
        <v>1224.2</v>
      </c>
      <c r="G15" s="11">
        <v>83.17</v>
      </c>
      <c r="H15" s="12">
        <v>1342.5</v>
      </c>
      <c r="I15" s="11">
        <v>83.17</v>
      </c>
      <c r="J15" s="12">
        <v>1676.5</v>
      </c>
      <c r="K15" s="11">
        <v>83.17</v>
      </c>
      <c r="L15" s="12">
        <v>1767.3</v>
      </c>
      <c r="M15" s="11">
        <v>83.17</v>
      </c>
      <c r="N15" s="13">
        <v>939.6</v>
      </c>
      <c r="O15" s="13">
        <v>1040.4000000000001</v>
      </c>
      <c r="P15" s="13">
        <v>1224.2</v>
      </c>
      <c r="Q15" s="11">
        <v>1342.5</v>
      </c>
      <c r="R15" s="11">
        <v>1676.5</v>
      </c>
      <c r="S15" s="14">
        <v>1767.3</v>
      </c>
      <c r="T15" s="11">
        <v>83.17</v>
      </c>
      <c r="U15" s="13">
        <f>IF('0.0%'!$N15&lt;$Z$3,0, '0.0%'!$O15/'0.0%'!$N15)</f>
        <v>1.1072796934865901</v>
      </c>
      <c r="V15" s="13">
        <f>IF('0.0%'!$N15&lt;$Z$3,0, '0.0%'!$P15/'0.0%'!$N15)</f>
        <v>1.3028948488718604</v>
      </c>
      <c r="W15" s="13">
        <f>IF('0.0%'!$N15&lt;$Z$3,0, '0.0%'!$Q15/'0.0%'!$N15)</f>
        <v>1.4287994891443168</v>
      </c>
      <c r="X15" s="13">
        <f>IF('0.0%'!$N15&lt;$Z$3,0, '0.0%'!$R15/'0.0%'!$N15)</f>
        <v>1.784269902085994</v>
      </c>
      <c r="Y15" s="13">
        <f>IF('0.0%'!$N15&lt;$Z$3,0, '0.0%'!$S15/'0.0%'!$N15)</f>
        <v>1.8809067688378032</v>
      </c>
    </row>
    <row r="16" spans="1:26" x14ac:dyDescent="0.3">
      <c r="A16" s="17">
        <v>84.17</v>
      </c>
      <c r="B16" s="10">
        <v>926.2</v>
      </c>
      <c r="C16" s="9">
        <v>84.17</v>
      </c>
      <c r="D16" s="10">
        <v>1026</v>
      </c>
      <c r="E16" s="11">
        <v>84.17</v>
      </c>
      <c r="F16" s="12">
        <v>1210.3</v>
      </c>
      <c r="G16" s="11">
        <v>84.17</v>
      </c>
      <c r="H16" s="12">
        <v>1326.9</v>
      </c>
      <c r="I16" s="11">
        <v>84.17</v>
      </c>
      <c r="J16" s="12">
        <v>1663.7</v>
      </c>
      <c r="K16" s="11">
        <v>84.17</v>
      </c>
      <c r="L16" s="12">
        <v>1753.1</v>
      </c>
      <c r="M16" s="11">
        <v>84.17</v>
      </c>
      <c r="N16" s="13">
        <v>926.2</v>
      </c>
      <c r="O16" s="13">
        <v>1026</v>
      </c>
      <c r="P16" s="13">
        <v>1210.3</v>
      </c>
      <c r="Q16" s="11">
        <v>1326.9</v>
      </c>
      <c r="R16" s="11">
        <v>1663.7</v>
      </c>
      <c r="S16" s="14">
        <v>1753.1</v>
      </c>
      <c r="T16" s="11">
        <v>84.17</v>
      </c>
      <c r="U16" s="13">
        <f>IF('0.0%'!$N16&lt;$Z$3,0, '0.0%'!$O16/'0.0%'!$N16)</f>
        <v>1.1077521053768085</v>
      </c>
      <c r="V16" s="13">
        <f>IF('0.0%'!$N16&lt;$Z$3,0, '0.0%'!$P16/'0.0%'!$N16)</f>
        <v>1.306737205787087</v>
      </c>
      <c r="W16" s="13">
        <f>IF('0.0%'!$N16&lt;$Z$3,0, '0.0%'!$Q16/'0.0%'!$N16)</f>
        <v>1.4326279421291297</v>
      </c>
      <c r="X16" s="13">
        <f>IF('0.0%'!$N16&lt;$Z$3,0, '0.0%'!$R16/'0.0%'!$N16)</f>
        <v>1.7962643057654935</v>
      </c>
      <c r="Y16" s="13">
        <f>IF('0.0%'!$N16&lt;$Z$3,0, '0.0%'!$S16/'0.0%'!$N16)</f>
        <v>1.89278773483049</v>
      </c>
    </row>
    <row r="17" spans="1:25" x14ac:dyDescent="0.3">
      <c r="A17" s="17">
        <v>85.16</v>
      </c>
      <c r="B17" s="10">
        <v>911.8</v>
      </c>
      <c r="C17" s="9">
        <v>85.16</v>
      </c>
      <c r="D17" s="10">
        <v>1010.3</v>
      </c>
      <c r="E17" s="11">
        <v>85.16</v>
      </c>
      <c r="F17" s="12">
        <v>1194.5</v>
      </c>
      <c r="G17" s="11">
        <v>85.16</v>
      </c>
      <c r="H17" s="12">
        <v>1309.3</v>
      </c>
      <c r="I17" s="11">
        <v>85.16</v>
      </c>
      <c r="J17" s="12">
        <v>1648</v>
      </c>
      <c r="K17" s="11">
        <v>85.16</v>
      </c>
      <c r="L17" s="12">
        <v>1735.9</v>
      </c>
      <c r="M17" s="11">
        <v>85.16</v>
      </c>
      <c r="N17" s="13">
        <v>911.8</v>
      </c>
      <c r="O17" s="13">
        <v>1010.3</v>
      </c>
      <c r="P17" s="13">
        <v>1194.5</v>
      </c>
      <c r="Q17" s="11">
        <v>1309.3</v>
      </c>
      <c r="R17" s="11">
        <v>1648</v>
      </c>
      <c r="S17" s="14">
        <v>1735.9</v>
      </c>
      <c r="T17" s="11">
        <v>85.16</v>
      </c>
      <c r="U17" s="13">
        <f>IF('0.0%'!$N17&lt;$Z$3,0, '0.0%'!$O17/'0.0%'!$N17)</f>
        <v>1.108028076332529</v>
      </c>
      <c r="V17" s="13">
        <f>IF('0.0%'!$N17&lt;$Z$3,0, '0.0%'!$P17/'0.0%'!$N17)</f>
        <v>1.3100460627330555</v>
      </c>
      <c r="W17" s="13">
        <f>IF('0.0%'!$N17&lt;$Z$3,0, '0.0%'!$Q17/'0.0%'!$N17)</f>
        <v>1.4359508664180742</v>
      </c>
      <c r="X17" s="13">
        <f>IF('0.0%'!$N17&lt;$Z$3,0, '0.0%'!$R17/'0.0%'!$N17)</f>
        <v>1.8074139065584558</v>
      </c>
      <c r="Y17" s="13">
        <f>IF('0.0%'!$N17&lt;$Z$3,0, '0.0%'!$S17/'0.0%'!$N17)</f>
        <v>1.9038166264531697</v>
      </c>
    </row>
    <row r="18" spans="1:25" x14ac:dyDescent="0.3">
      <c r="A18" s="17">
        <v>86.15</v>
      </c>
      <c r="B18" s="10">
        <v>896.7</v>
      </c>
      <c r="C18" s="9">
        <v>86.15</v>
      </c>
      <c r="D18" s="10">
        <v>993.9</v>
      </c>
      <c r="E18" s="11">
        <v>86.15</v>
      </c>
      <c r="F18" s="12">
        <v>1178.3</v>
      </c>
      <c r="G18" s="11">
        <v>86.15</v>
      </c>
      <c r="H18" s="12">
        <v>1291.0999999999999</v>
      </c>
      <c r="I18" s="11">
        <v>86.15</v>
      </c>
      <c r="J18" s="12">
        <v>1632.1</v>
      </c>
      <c r="K18" s="11">
        <v>86.15</v>
      </c>
      <c r="L18" s="12">
        <v>1718.8</v>
      </c>
      <c r="M18" s="11">
        <v>86.15</v>
      </c>
      <c r="N18" s="13">
        <v>896.7</v>
      </c>
      <c r="O18" s="13">
        <v>993.9</v>
      </c>
      <c r="P18" s="13">
        <v>1178.3</v>
      </c>
      <c r="Q18" s="11">
        <v>1291.0999999999999</v>
      </c>
      <c r="R18" s="11">
        <v>1632.1</v>
      </c>
      <c r="S18" s="14">
        <v>1718.8</v>
      </c>
      <c r="T18" s="11">
        <v>86.15</v>
      </c>
      <c r="U18" s="13">
        <f>IF('0.0%'!$N18&lt;$Z$3,0, '0.0%'!$O18/'0.0%'!$N18)</f>
        <v>1.1083974573435931</v>
      </c>
      <c r="V18" s="13">
        <f>IF('0.0%'!$N18&lt;$Z$3,0, '0.0%'!$P18/'0.0%'!$N18)</f>
        <v>1.3140403702464591</v>
      </c>
      <c r="W18" s="13">
        <f>IF('0.0%'!$N18&lt;$Z$3,0, '0.0%'!$Q18/'0.0%'!$N18)</f>
        <v>1.4398349503735919</v>
      </c>
      <c r="X18" s="13">
        <f>IF('0.0%'!$N18&lt;$Z$3,0, '0.0%'!$R18/'0.0%'!$N18)</f>
        <v>1.8201182112189136</v>
      </c>
      <c r="Y18" s="13">
        <f>IF('0.0%'!$N18&lt;$Z$3,0, '0.0%'!$S18/'0.0%'!$N18)</f>
        <v>1.9168060666889706</v>
      </c>
    </row>
    <row r="19" spans="1:25" x14ac:dyDescent="0.3">
      <c r="A19" s="17">
        <v>87.14</v>
      </c>
      <c r="B19" s="10">
        <v>881.1</v>
      </c>
      <c r="C19" s="9">
        <v>87.14</v>
      </c>
      <c r="D19" s="10">
        <v>976.5</v>
      </c>
      <c r="E19" s="11">
        <v>87.14</v>
      </c>
      <c r="F19" s="12">
        <v>1160.4000000000001</v>
      </c>
      <c r="G19" s="11">
        <v>87.14</v>
      </c>
      <c r="H19" s="12">
        <v>1271.0999999999999</v>
      </c>
      <c r="I19" s="11">
        <v>87.14</v>
      </c>
      <c r="J19" s="12">
        <v>1613.6</v>
      </c>
      <c r="K19" s="11">
        <v>87.14</v>
      </c>
      <c r="L19" s="12">
        <v>1698.9</v>
      </c>
      <c r="M19" s="11">
        <v>87.14</v>
      </c>
      <c r="N19" s="13">
        <v>881.1</v>
      </c>
      <c r="O19" s="13">
        <v>976.5</v>
      </c>
      <c r="P19" s="13">
        <v>1160.4000000000001</v>
      </c>
      <c r="Q19" s="11">
        <v>1271.0999999999999</v>
      </c>
      <c r="R19" s="11">
        <v>1613.6</v>
      </c>
      <c r="S19" s="14">
        <v>1698.9</v>
      </c>
      <c r="T19" s="11">
        <v>87.14</v>
      </c>
      <c r="U19" s="13">
        <f>IF('0.0%'!$N19&lt;$Z$3,0, '0.0%'!$O19/'0.0%'!$N19)</f>
        <v>1.1082737487231868</v>
      </c>
      <c r="V19" s="13">
        <f>IF('0.0%'!$N19&lt;$Z$3,0, '0.0%'!$P19/'0.0%'!$N19)</f>
        <v>1.3169901259788901</v>
      </c>
      <c r="W19" s="13">
        <f>IF('0.0%'!$N19&lt;$Z$3,0, '0.0%'!$Q19/'0.0%'!$N19)</f>
        <v>1.4426285325161727</v>
      </c>
      <c r="X19" s="13">
        <f>IF('0.0%'!$N19&lt;$Z$3,0, '0.0%'!$R19/'0.0%'!$N19)</f>
        <v>1.8313471796617862</v>
      </c>
      <c r="Y19" s="13">
        <f>IF('0.0%'!$N19&lt;$Z$3,0, '0.0%'!$S19/'0.0%'!$N19)</f>
        <v>1.9281579843377596</v>
      </c>
    </row>
    <row r="20" spans="1:25" x14ac:dyDescent="0.3">
      <c r="A20" s="17">
        <v>88.13</v>
      </c>
      <c r="B20" s="10">
        <v>865.2</v>
      </c>
      <c r="C20" s="9">
        <v>88.13</v>
      </c>
      <c r="D20" s="10">
        <v>958.7</v>
      </c>
      <c r="E20" s="11">
        <v>88.13</v>
      </c>
      <c r="F20" s="12">
        <v>1142.2</v>
      </c>
      <c r="G20" s="11">
        <v>88.13</v>
      </c>
      <c r="H20" s="12">
        <v>1251</v>
      </c>
      <c r="I20" s="11">
        <v>88.13</v>
      </c>
      <c r="J20" s="12">
        <v>1595.6</v>
      </c>
      <c r="K20" s="11">
        <v>88.13</v>
      </c>
      <c r="L20" s="12">
        <v>1679.4</v>
      </c>
      <c r="M20" s="11">
        <v>88.13</v>
      </c>
      <c r="N20" s="13">
        <v>865.2</v>
      </c>
      <c r="O20" s="13">
        <v>958.7</v>
      </c>
      <c r="P20" s="13">
        <v>1142.2</v>
      </c>
      <c r="Q20" s="11">
        <v>1251</v>
      </c>
      <c r="R20" s="11">
        <v>1595.6</v>
      </c>
      <c r="S20" s="14">
        <v>1679.4</v>
      </c>
      <c r="T20" s="11">
        <v>88.13</v>
      </c>
      <c r="U20" s="13">
        <f>IF('0.0%'!$N20&lt;$Z$3,0, '0.0%'!$O20/'0.0%'!$N20)</f>
        <v>1.1080674988441979</v>
      </c>
      <c r="V20" s="13">
        <f>IF('0.0%'!$N20&lt;$Z$3,0, '0.0%'!$P20/'0.0%'!$N20)</f>
        <v>1.3201571890892279</v>
      </c>
      <c r="W20" s="13">
        <f>IF('0.0%'!$N20&lt;$Z$3,0, '0.0%'!$Q20/'0.0%'!$N20)</f>
        <v>1.4459084604715673</v>
      </c>
      <c r="X20" s="13">
        <f>IF('0.0%'!$N20&lt;$Z$3,0, '0.0%'!$R20/'0.0%'!$N20)</f>
        <v>1.8441978733240867</v>
      </c>
      <c r="Y20" s="13">
        <f>IF('0.0%'!$N20&lt;$Z$3,0, '0.0%'!$S20/'0.0%'!$N20)</f>
        <v>1.9410540915395285</v>
      </c>
    </row>
    <row r="21" spans="1:25" x14ac:dyDescent="0.3">
      <c r="A21" s="17">
        <v>89.12</v>
      </c>
      <c r="B21" s="10">
        <v>849</v>
      </c>
      <c r="C21" s="9">
        <v>89.12</v>
      </c>
      <c r="D21" s="10">
        <v>940.6</v>
      </c>
      <c r="E21" s="11">
        <v>89.12</v>
      </c>
      <c r="F21" s="12">
        <v>1123</v>
      </c>
      <c r="G21" s="11">
        <v>89.12</v>
      </c>
      <c r="H21" s="12">
        <v>1229.8</v>
      </c>
      <c r="I21" s="11">
        <v>89.12</v>
      </c>
      <c r="J21" s="12">
        <v>1575.4</v>
      </c>
      <c r="K21" s="11">
        <v>89.12</v>
      </c>
      <c r="L21" s="12">
        <v>1657.7</v>
      </c>
      <c r="M21" s="11">
        <v>89.12</v>
      </c>
      <c r="N21" s="13">
        <v>849</v>
      </c>
      <c r="O21" s="13">
        <v>940.6</v>
      </c>
      <c r="P21" s="13">
        <v>1123</v>
      </c>
      <c r="Q21" s="11">
        <v>1229.8</v>
      </c>
      <c r="R21" s="11">
        <v>1575.4</v>
      </c>
      <c r="S21" s="14">
        <v>1657.7</v>
      </c>
      <c r="T21" s="11">
        <v>89.12</v>
      </c>
      <c r="U21" s="13">
        <f>IF('0.0%'!$N21&lt;$Z$3,0, '0.0%'!$O21/'0.0%'!$N21)</f>
        <v>1.1078916372202592</v>
      </c>
      <c r="V21" s="13">
        <f>IF('0.0%'!$N21&lt;$Z$3,0, '0.0%'!$P21/'0.0%'!$N21)</f>
        <v>1.3227326266195525</v>
      </c>
      <c r="W21" s="13">
        <f>IF('0.0%'!$N21&lt;$Z$3,0, '0.0%'!$Q21/'0.0%'!$N21)</f>
        <v>1.4485276796230859</v>
      </c>
      <c r="X21" s="13">
        <f>IF('0.0%'!$N21&lt;$Z$3,0, '0.0%'!$R21/'0.0%'!$N21)</f>
        <v>1.8555948174322734</v>
      </c>
      <c r="Y21" s="13">
        <f>IF('0.0%'!$N21&lt;$Z$3,0, '0.0%'!$S21/'0.0%'!$N21)</f>
        <v>1.9525323910482921</v>
      </c>
    </row>
    <row r="22" spans="1:25" x14ac:dyDescent="0.3">
      <c r="A22" s="17">
        <v>90.12</v>
      </c>
      <c r="B22" s="10">
        <v>832.5</v>
      </c>
      <c r="C22" s="9">
        <v>90.12</v>
      </c>
      <c r="D22" s="10">
        <v>922.2</v>
      </c>
      <c r="E22" s="11">
        <v>90.12</v>
      </c>
      <c r="F22" s="12">
        <v>1103.8</v>
      </c>
      <c r="G22" s="11">
        <v>90.12</v>
      </c>
      <c r="H22" s="12">
        <v>1208.7</v>
      </c>
      <c r="I22" s="11">
        <v>90.12</v>
      </c>
      <c r="J22" s="12">
        <v>1555.6</v>
      </c>
      <c r="K22" s="11">
        <v>90.12</v>
      </c>
      <c r="L22" s="12">
        <v>1636.4</v>
      </c>
      <c r="M22" s="11">
        <v>90.12</v>
      </c>
      <c r="N22" s="13">
        <v>832.5</v>
      </c>
      <c r="O22" s="13">
        <v>922.2</v>
      </c>
      <c r="P22" s="13">
        <v>1103.8</v>
      </c>
      <c r="Q22" s="11">
        <v>1208.7</v>
      </c>
      <c r="R22" s="11">
        <v>1555.6</v>
      </c>
      <c r="S22" s="14">
        <v>1636.4</v>
      </c>
      <c r="T22" s="11">
        <v>90.12</v>
      </c>
      <c r="U22" s="13">
        <f>IF('0.0%'!$N22&lt;$Z$3,0, '0.0%'!$O22/'0.0%'!$N22)</f>
        <v>1.1077477477477478</v>
      </c>
      <c r="V22" s="13">
        <f>IF('0.0%'!$N22&lt;$Z$3,0, '0.0%'!$P22/'0.0%'!$N22)</f>
        <v>1.3258858858858857</v>
      </c>
      <c r="W22" s="13">
        <f>IF('0.0%'!$N22&lt;$Z$3,0, '0.0%'!$Q22/'0.0%'!$N22)</f>
        <v>1.4518918918918919</v>
      </c>
      <c r="X22" s="13">
        <f>IF('0.0%'!$N22&lt;$Z$3,0, '0.0%'!$R22/'0.0%'!$N22)</f>
        <v>1.8685885885885885</v>
      </c>
      <c r="Y22" s="13">
        <f>IF('0.0%'!$N22&lt;$Z$3,0, '0.0%'!$S22/'0.0%'!$N22)</f>
        <v>1.9656456456456457</v>
      </c>
    </row>
    <row r="23" spans="1:25" x14ac:dyDescent="0.3">
      <c r="A23" s="17">
        <v>91.11</v>
      </c>
      <c r="B23" s="10">
        <v>816.4</v>
      </c>
      <c r="C23" s="9">
        <v>91.11</v>
      </c>
      <c r="D23" s="10">
        <v>903.9</v>
      </c>
      <c r="E23" s="11">
        <v>91.11</v>
      </c>
      <c r="F23" s="12">
        <v>1084.2</v>
      </c>
      <c r="G23" s="11">
        <v>91.11</v>
      </c>
      <c r="H23" s="12">
        <v>1187.0999999999999</v>
      </c>
      <c r="I23" s="11">
        <v>91.11</v>
      </c>
      <c r="J23" s="12">
        <v>1534</v>
      </c>
      <c r="K23" s="11">
        <v>91.11</v>
      </c>
      <c r="L23" s="12">
        <v>1613.3</v>
      </c>
      <c r="M23" s="11">
        <v>91.11</v>
      </c>
      <c r="N23" s="13">
        <v>816.4</v>
      </c>
      <c r="O23" s="13">
        <v>903.9</v>
      </c>
      <c r="P23" s="13">
        <v>1084.2</v>
      </c>
      <c r="Q23" s="11">
        <v>1187.0999999999999</v>
      </c>
      <c r="R23" s="11">
        <v>1534</v>
      </c>
      <c r="S23" s="14">
        <v>1613.3</v>
      </c>
      <c r="T23" s="11">
        <v>91.11</v>
      </c>
      <c r="U23" s="13">
        <f>IF('0.0%'!$N23&lt;$Z$3,0, '0.0%'!$O23/'0.0%'!$N23)</f>
        <v>1.1071778539931407</v>
      </c>
      <c r="V23" s="13">
        <f>IF('0.0%'!$N23&lt;$Z$3,0, '0.0%'!$P23/'0.0%'!$N23)</f>
        <v>1.3280254777070064</v>
      </c>
      <c r="W23" s="13">
        <f>IF('0.0%'!$N23&lt;$Z$3,0, '0.0%'!$Q23/'0.0%'!$N23)</f>
        <v>1.4540666340029396</v>
      </c>
      <c r="X23" s="13">
        <f>IF('0.0%'!$N23&lt;$Z$3,0, '0.0%'!$R23/'0.0%'!$N23)</f>
        <v>1.8789808917197452</v>
      </c>
      <c r="Y23" s="13">
        <f>IF('0.0%'!$N23&lt;$Z$3,0, '0.0%'!$S23/'0.0%'!$N23)</f>
        <v>1.9761146496815287</v>
      </c>
    </row>
    <row r="24" spans="1:25" x14ac:dyDescent="0.3">
      <c r="A24" s="17">
        <v>92.1</v>
      </c>
      <c r="B24" s="10">
        <v>800.7</v>
      </c>
      <c r="C24" s="9">
        <v>92.1</v>
      </c>
      <c r="D24" s="10">
        <v>886.2</v>
      </c>
      <c r="E24" s="11">
        <v>92.1</v>
      </c>
      <c r="F24" s="12">
        <v>1065.3</v>
      </c>
      <c r="G24" s="11">
        <v>92.1</v>
      </c>
      <c r="H24" s="12">
        <v>1166.4000000000001</v>
      </c>
      <c r="I24" s="11">
        <v>92.1</v>
      </c>
      <c r="J24" s="12">
        <v>1513.9</v>
      </c>
      <c r="K24" s="11">
        <v>92.1</v>
      </c>
      <c r="L24" s="12">
        <v>1591.6</v>
      </c>
      <c r="M24" s="11">
        <v>92.1</v>
      </c>
      <c r="N24" s="13">
        <v>800.7</v>
      </c>
      <c r="O24" s="13">
        <v>886.2</v>
      </c>
      <c r="P24" s="13">
        <v>1065.3</v>
      </c>
      <c r="Q24" s="11">
        <v>1166.4000000000001</v>
      </c>
      <c r="R24" s="11">
        <v>1513.9</v>
      </c>
      <c r="S24" s="14">
        <v>1591.6</v>
      </c>
      <c r="T24" s="11">
        <v>92.1</v>
      </c>
      <c r="U24" s="13">
        <f>IF('0.0%'!$N24&lt;$Z$3,0, '0.0%'!$O24/'0.0%'!$N24)</f>
        <v>1.1067815661296365</v>
      </c>
      <c r="V24" s="13">
        <f>IF('0.0%'!$N24&lt;$Z$3,0, '0.0%'!$P24/'0.0%'!$N24)</f>
        <v>1.3304608467590857</v>
      </c>
      <c r="W24" s="13">
        <f>IF('0.0%'!$N24&lt;$Z$3,0, '0.0%'!$Q24/'0.0%'!$N24)</f>
        <v>1.4567253653053578</v>
      </c>
      <c r="X24" s="13">
        <f>IF('0.0%'!$N24&lt;$Z$3,0, '0.0%'!$R24/'0.0%'!$N24)</f>
        <v>1.8907206194579742</v>
      </c>
      <c r="Y24" s="13">
        <f>IF('0.0%'!$N24&lt;$Z$3,0, '0.0%'!$S24/'0.0%'!$N24)</f>
        <v>1.9877607093792928</v>
      </c>
    </row>
    <row r="25" spans="1:25" x14ac:dyDescent="0.3">
      <c r="A25" s="17">
        <v>93.09</v>
      </c>
      <c r="B25" s="10">
        <v>786</v>
      </c>
      <c r="C25" s="9">
        <v>93.09</v>
      </c>
      <c r="D25" s="10">
        <v>869</v>
      </c>
      <c r="E25" s="11">
        <v>93.09</v>
      </c>
      <c r="F25" s="12">
        <v>1046.7</v>
      </c>
      <c r="G25" s="11">
        <v>93.09</v>
      </c>
      <c r="H25" s="12">
        <v>1145.9000000000001</v>
      </c>
      <c r="I25" s="11">
        <v>93.09</v>
      </c>
      <c r="J25" s="12">
        <v>1492.8</v>
      </c>
      <c r="K25" s="11">
        <v>93.09</v>
      </c>
      <c r="L25" s="12">
        <v>1569</v>
      </c>
      <c r="M25" s="11">
        <v>93.09</v>
      </c>
      <c r="N25" s="13">
        <v>786</v>
      </c>
      <c r="O25" s="13">
        <v>869</v>
      </c>
      <c r="P25" s="13">
        <v>1046.7</v>
      </c>
      <c r="Q25" s="11">
        <v>1145.9000000000001</v>
      </c>
      <c r="R25" s="11">
        <v>1492.8</v>
      </c>
      <c r="S25" s="14">
        <v>1569</v>
      </c>
      <c r="T25" s="11">
        <v>93.09</v>
      </c>
      <c r="U25" s="13">
        <f>IF('0.0%'!$N25&lt;$Z$3,0, '0.0%'!$O25/'0.0%'!$N25)</f>
        <v>1.1055979643765903</v>
      </c>
      <c r="V25" s="13">
        <f>IF('0.0%'!$N25&lt;$Z$3,0, '0.0%'!$P25/'0.0%'!$N25)</f>
        <v>1.3316793893129772</v>
      </c>
      <c r="W25" s="13">
        <f>IF('0.0%'!$N25&lt;$Z$3,0, '0.0%'!$Q25/'0.0%'!$N25)</f>
        <v>1.4578880407124684</v>
      </c>
      <c r="X25" s="13">
        <f>IF('0.0%'!$N25&lt;$Z$3,0, '0.0%'!$R25/'0.0%'!$N25)</f>
        <v>1.8992366412213739</v>
      </c>
      <c r="Y25" s="13">
        <f>IF('0.0%'!$N25&lt;$Z$3,0, '0.0%'!$S25/'0.0%'!$N25)</f>
        <v>1.9961832061068703</v>
      </c>
    </row>
    <row r="26" spans="1:25" x14ac:dyDescent="0.3">
      <c r="A26" s="17">
        <v>94.08</v>
      </c>
      <c r="B26" s="10">
        <v>771.3</v>
      </c>
      <c r="C26" s="9">
        <v>94.08</v>
      </c>
      <c r="D26" s="10">
        <v>852</v>
      </c>
      <c r="E26" s="11">
        <v>94.08</v>
      </c>
      <c r="F26" s="12">
        <v>1028.5</v>
      </c>
      <c r="G26" s="11">
        <v>94.08</v>
      </c>
      <c r="H26" s="12">
        <v>1125.5</v>
      </c>
      <c r="I26" s="11">
        <v>94.08</v>
      </c>
      <c r="J26" s="12">
        <v>1472.9</v>
      </c>
      <c r="K26" s="11">
        <v>94.08</v>
      </c>
      <c r="L26" s="12">
        <v>1547.6</v>
      </c>
      <c r="M26" s="11">
        <v>94.08</v>
      </c>
      <c r="N26" s="13">
        <v>771.3</v>
      </c>
      <c r="O26" s="13">
        <v>852</v>
      </c>
      <c r="P26" s="13">
        <v>1028.5</v>
      </c>
      <c r="Q26" s="11">
        <v>1125.5</v>
      </c>
      <c r="R26" s="11">
        <v>1472.9</v>
      </c>
      <c r="S26" s="14">
        <v>1547.6</v>
      </c>
      <c r="T26" s="11">
        <v>94.08</v>
      </c>
      <c r="U26" s="13">
        <f>IF('0.0%'!$N26&lt;$Z$3,0, '0.0%'!$O26/'0.0%'!$N26)</f>
        <v>1.1046285492026449</v>
      </c>
      <c r="V26" s="13">
        <f>IF('0.0%'!$N26&lt;$Z$3,0, '0.0%'!$P26/'0.0%'!$N26)</f>
        <v>1.3334629845715027</v>
      </c>
      <c r="W26" s="13">
        <f>IF('0.0%'!$N26&lt;$Z$3,0, '0.0%'!$Q26/'0.0%'!$N26)</f>
        <v>1.4592246855957476</v>
      </c>
      <c r="X26" s="13">
        <f>IF('0.0%'!$N26&lt;$Z$3,0, '0.0%'!$R26/'0.0%'!$N26)</f>
        <v>1.909633086995981</v>
      </c>
      <c r="Y26" s="13">
        <f>IF('0.0%'!$N26&lt;$Z$3,0, '0.0%'!$S26/'0.0%'!$N26)</f>
        <v>2.0064825619084661</v>
      </c>
    </row>
    <row r="27" spans="1:25" x14ac:dyDescent="0.3">
      <c r="A27" s="17">
        <v>95.08</v>
      </c>
      <c r="B27" s="10">
        <v>757.5</v>
      </c>
      <c r="C27" s="9">
        <v>95.08</v>
      </c>
      <c r="D27" s="10">
        <v>835.8</v>
      </c>
      <c r="E27" s="11">
        <v>95.08</v>
      </c>
      <c r="F27" s="12">
        <v>1010.7</v>
      </c>
      <c r="G27" s="11">
        <v>95.08</v>
      </c>
      <c r="H27" s="12">
        <v>1105.3</v>
      </c>
      <c r="I27" s="11">
        <v>95.08</v>
      </c>
      <c r="J27" s="12">
        <v>1452.5</v>
      </c>
      <c r="K27" s="11">
        <v>95.08</v>
      </c>
      <c r="L27" s="12">
        <v>1525.2</v>
      </c>
      <c r="M27" s="11">
        <v>95.08</v>
      </c>
      <c r="N27" s="13">
        <v>757.5</v>
      </c>
      <c r="O27" s="13">
        <v>835.8</v>
      </c>
      <c r="P27" s="13">
        <v>1010.7</v>
      </c>
      <c r="Q27" s="11">
        <v>1105.3</v>
      </c>
      <c r="R27" s="11">
        <v>1452.5</v>
      </c>
      <c r="S27" s="14">
        <v>1525.2</v>
      </c>
      <c r="T27" s="11">
        <v>95.08</v>
      </c>
      <c r="U27" s="13">
        <f>IF('0.0%'!$N27&lt;$Z$3,0, '0.0%'!$O27/'0.0%'!$N27)</f>
        <v>1.1033663366336632</v>
      </c>
      <c r="V27" s="13">
        <f>IF('0.0%'!$N27&lt;$Z$3,0, '0.0%'!$P27/'0.0%'!$N27)</f>
        <v>1.3342574257425743</v>
      </c>
      <c r="W27" s="13">
        <f>IF('0.0%'!$N27&lt;$Z$3,0, '0.0%'!$Q27/'0.0%'!$N27)</f>
        <v>1.459141914191419</v>
      </c>
      <c r="X27" s="13">
        <f>IF('0.0%'!$N27&lt;$Z$3,0, '0.0%'!$R27/'0.0%'!$N27)</f>
        <v>1.9174917491749175</v>
      </c>
      <c r="Y27" s="13">
        <f>IF('0.0%'!$N27&lt;$Z$3,0, '0.0%'!$S27/'0.0%'!$N27)</f>
        <v>2.0134653465346535</v>
      </c>
    </row>
    <row r="28" spans="1:25" x14ac:dyDescent="0.3">
      <c r="A28" s="17">
        <v>96.07</v>
      </c>
      <c r="B28" s="10">
        <v>744.1</v>
      </c>
      <c r="C28" s="9">
        <v>96.07</v>
      </c>
      <c r="D28" s="10">
        <v>820.4</v>
      </c>
      <c r="E28" s="11">
        <v>96.07</v>
      </c>
      <c r="F28" s="12">
        <v>994</v>
      </c>
      <c r="G28" s="11">
        <v>96.07</v>
      </c>
      <c r="H28" s="12">
        <v>1086.2</v>
      </c>
      <c r="I28" s="11">
        <v>96.07</v>
      </c>
      <c r="J28" s="12">
        <v>1433.8</v>
      </c>
      <c r="K28" s="11">
        <v>96.07</v>
      </c>
      <c r="L28" s="12">
        <v>1504.5</v>
      </c>
      <c r="M28" s="11">
        <v>96.07</v>
      </c>
      <c r="N28" s="13">
        <v>744.1</v>
      </c>
      <c r="O28" s="13">
        <v>820.4</v>
      </c>
      <c r="P28" s="13">
        <v>994</v>
      </c>
      <c r="Q28" s="11">
        <v>1086.2</v>
      </c>
      <c r="R28" s="11">
        <v>1433.8</v>
      </c>
      <c r="S28" s="14">
        <v>1504.5</v>
      </c>
      <c r="T28" s="11">
        <v>96.07</v>
      </c>
      <c r="U28" s="13">
        <f>IF('0.0%'!$N28&lt;$Z$3,0, '0.0%'!$O28/'0.0%'!$N28)</f>
        <v>1.1025399811853245</v>
      </c>
      <c r="V28" s="13">
        <f>IF('0.0%'!$N28&lt;$Z$3,0, '0.0%'!$P28/'0.0%'!$N28)</f>
        <v>1.3358419567262465</v>
      </c>
      <c r="W28" s="13">
        <f>IF('0.0%'!$N28&lt;$Z$3,0, '0.0%'!$Q28/'0.0%'!$N28)</f>
        <v>1.4597500335976348</v>
      </c>
      <c r="X28" s="13">
        <f>IF('0.0%'!$N28&lt;$Z$3,0, '0.0%'!$R28/'0.0%'!$N28)</f>
        <v>1.9268915468351027</v>
      </c>
      <c r="Y28" s="13">
        <f>IF('0.0%'!$N28&lt;$Z$3,0, '0.0%'!$S28/'0.0%'!$N28)</f>
        <v>2.0219056578416881</v>
      </c>
    </row>
    <row r="29" spans="1:25" x14ac:dyDescent="0.3">
      <c r="A29" s="17">
        <v>97.06</v>
      </c>
      <c r="B29" s="10">
        <v>731.5</v>
      </c>
      <c r="C29" s="9">
        <v>97.06</v>
      </c>
      <c r="D29" s="10">
        <v>805.8</v>
      </c>
      <c r="E29" s="11">
        <v>97.06</v>
      </c>
      <c r="F29" s="12">
        <v>977.9</v>
      </c>
      <c r="G29" s="11">
        <v>97.06</v>
      </c>
      <c r="H29" s="12">
        <v>1067.5999999999999</v>
      </c>
      <c r="I29" s="11">
        <v>97.06</v>
      </c>
      <c r="J29" s="12">
        <v>1414.7</v>
      </c>
      <c r="K29" s="11">
        <v>97.06</v>
      </c>
      <c r="L29" s="12">
        <v>1483.7</v>
      </c>
      <c r="M29" s="11">
        <v>97.06</v>
      </c>
      <c r="N29" s="13">
        <v>731.5</v>
      </c>
      <c r="O29" s="13">
        <v>805.8</v>
      </c>
      <c r="P29" s="13">
        <v>977.9</v>
      </c>
      <c r="Q29" s="11">
        <v>1067.5999999999999</v>
      </c>
      <c r="R29" s="11">
        <v>1414.7</v>
      </c>
      <c r="S29" s="14">
        <v>1483.7</v>
      </c>
      <c r="T29" s="11">
        <v>97.06</v>
      </c>
      <c r="U29" s="13">
        <f>IF('0.0%'!$N29&lt;$Z$3,0, '0.0%'!$O29/'0.0%'!$N29)</f>
        <v>1.1015721120984279</v>
      </c>
      <c r="V29" s="13">
        <f>IF('0.0%'!$N29&lt;$Z$3,0, '0.0%'!$P29/'0.0%'!$N29)</f>
        <v>1.3368421052631578</v>
      </c>
      <c r="W29" s="13">
        <f>IF('0.0%'!$N29&lt;$Z$3,0, '0.0%'!$Q29/'0.0%'!$N29)</f>
        <v>1.4594668489405331</v>
      </c>
      <c r="X29" s="13">
        <f>IF('0.0%'!$N29&lt;$Z$3,0, '0.0%'!$R29/'0.0%'!$N29)</f>
        <v>1.9339712918660288</v>
      </c>
      <c r="Y29" s="13">
        <f>IF('0.0%'!$N29&lt;$Z$3,0, '0.0%'!$S29/'0.0%'!$N29)</f>
        <v>2.0282980177717023</v>
      </c>
    </row>
    <row r="30" spans="1:25" x14ac:dyDescent="0.3">
      <c r="A30" s="17">
        <v>98.05</v>
      </c>
      <c r="B30" s="10">
        <v>718.9</v>
      </c>
      <c r="C30" s="9">
        <v>98.05</v>
      </c>
      <c r="D30" s="10">
        <v>791.4</v>
      </c>
      <c r="E30" s="11">
        <v>98.05</v>
      </c>
      <c r="F30" s="12">
        <v>962.2</v>
      </c>
      <c r="G30" s="11">
        <v>98.05</v>
      </c>
      <c r="H30" s="12">
        <v>1049.4000000000001</v>
      </c>
      <c r="I30" s="11">
        <v>98.05</v>
      </c>
      <c r="J30" s="12">
        <v>1396.7</v>
      </c>
      <c r="K30" s="11">
        <v>98.05</v>
      </c>
      <c r="L30" s="12">
        <v>1464.1</v>
      </c>
      <c r="M30" s="11">
        <v>98.05</v>
      </c>
      <c r="N30" s="13">
        <v>718.9</v>
      </c>
      <c r="O30" s="13">
        <v>791.4</v>
      </c>
      <c r="P30" s="13">
        <v>962.2</v>
      </c>
      <c r="Q30" s="11">
        <v>1049.4000000000001</v>
      </c>
      <c r="R30" s="11">
        <v>1396.7</v>
      </c>
      <c r="S30" s="14">
        <v>1464.1</v>
      </c>
      <c r="T30" s="11">
        <v>98.05</v>
      </c>
      <c r="U30" s="13">
        <f>IF('0.0%'!$N30&lt;$Z$3,0, '0.0%'!$O30/'0.0%'!$N30)</f>
        <v>1.1008485185700376</v>
      </c>
      <c r="V30" s="13">
        <f>IF('0.0%'!$N30&lt;$Z$3,0, '0.0%'!$P30/'0.0%'!$N30)</f>
        <v>1.3384337181805537</v>
      </c>
      <c r="W30" s="13">
        <f>IF('0.0%'!$N30&lt;$Z$3,0, '0.0%'!$Q30/'0.0%'!$N30)</f>
        <v>1.4597301432744472</v>
      </c>
      <c r="X30" s="13">
        <f>IF('0.0%'!$N30&lt;$Z$3,0, '0.0%'!$R30/'0.0%'!$N30)</f>
        <v>1.9428293225761581</v>
      </c>
      <c r="Y30" s="13">
        <f>IF('0.0%'!$N30&lt;$Z$3,0, '0.0%'!$S30/'0.0%'!$N30)</f>
        <v>2.0365836694950619</v>
      </c>
    </row>
    <row r="31" spans="1:25" x14ac:dyDescent="0.3">
      <c r="A31" s="17">
        <v>99.04</v>
      </c>
      <c r="B31" s="10">
        <v>706.6</v>
      </c>
      <c r="C31" s="9">
        <v>99.04</v>
      </c>
      <c r="D31" s="10">
        <v>777.4</v>
      </c>
      <c r="E31" s="11">
        <v>99.04</v>
      </c>
      <c r="F31" s="12">
        <v>946.6</v>
      </c>
      <c r="G31" s="11">
        <v>99.04</v>
      </c>
      <c r="H31" s="12">
        <v>1031.2</v>
      </c>
      <c r="I31" s="11">
        <v>99.04</v>
      </c>
      <c r="J31" s="12">
        <v>1377.9</v>
      </c>
      <c r="K31" s="11">
        <v>99.04</v>
      </c>
      <c r="L31" s="12">
        <v>1443.7</v>
      </c>
      <c r="M31" s="11">
        <v>99.04</v>
      </c>
      <c r="N31" s="13">
        <v>706.6</v>
      </c>
      <c r="O31" s="13">
        <v>777.4</v>
      </c>
      <c r="P31" s="13">
        <v>946.6</v>
      </c>
      <c r="Q31" s="11">
        <v>1031.2</v>
      </c>
      <c r="R31" s="11">
        <v>1377.9</v>
      </c>
      <c r="S31" s="14">
        <v>1443.7</v>
      </c>
      <c r="T31" s="11">
        <v>99.04</v>
      </c>
      <c r="U31" s="13">
        <f>IF('0.0%'!$N31&lt;$Z$3,0, '0.0%'!$O31/'0.0%'!$N31)</f>
        <v>1.1001981318992358</v>
      </c>
      <c r="V31" s="13">
        <f>IF('0.0%'!$N31&lt;$Z$3,0, '0.0%'!$P31/'0.0%'!$N31)</f>
        <v>1.339654684404189</v>
      </c>
      <c r="W31" s="13">
        <f>IF('0.0%'!$N31&lt;$Z$3,0, '0.0%'!$Q31/'0.0%'!$N31)</f>
        <v>1.4593829606566657</v>
      </c>
      <c r="X31" s="13">
        <f>IF('0.0%'!$N31&lt;$Z$3,0, '0.0%'!$R31/'0.0%'!$N31)</f>
        <v>1.9500424568355506</v>
      </c>
      <c r="Y31" s="13">
        <f>IF('0.0%'!$N31&lt;$Z$3,0, '0.0%'!$S31/'0.0%'!$N31)</f>
        <v>2.0431644494763659</v>
      </c>
    </row>
    <row r="32" spans="1:25" x14ac:dyDescent="0.3">
      <c r="A32" s="17">
        <v>100.03</v>
      </c>
      <c r="B32" s="10">
        <v>694.2</v>
      </c>
      <c r="C32" s="9">
        <v>100.03</v>
      </c>
      <c r="D32" s="10">
        <v>763.3</v>
      </c>
      <c r="E32" s="11">
        <v>100.03</v>
      </c>
      <c r="F32" s="12">
        <v>931</v>
      </c>
      <c r="G32" s="11">
        <v>100.03</v>
      </c>
      <c r="H32" s="12">
        <v>1013</v>
      </c>
      <c r="I32" s="11">
        <v>100.03</v>
      </c>
      <c r="J32" s="12">
        <v>1360</v>
      </c>
      <c r="K32" s="11">
        <v>100.03</v>
      </c>
      <c r="L32" s="12">
        <v>1424.1</v>
      </c>
      <c r="M32" s="11">
        <v>100.03</v>
      </c>
      <c r="N32" s="13">
        <v>694.2</v>
      </c>
      <c r="O32" s="13">
        <v>763.3</v>
      </c>
      <c r="P32" s="13">
        <v>931</v>
      </c>
      <c r="Q32" s="11">
        <v>1013</v>
      </c>
      <c r="R32" s="11">
        <v>1360</v>
      </c>
      <c r="S32" s="14">
        <v>1424.1</v>
      </c>
      <c r="T32" s="11">
        <v>100.03</v>
      </c>
      <c r="U32" s="13">
        <f>IF('0.0%'!$N32&lt;$Z$3,0, '0.0%'!$O32/'0.0%'!$N32)</f>
        <v>1.0995390377412848</v>
      </c>
      <c r="V32" s="13">
        <f>IF('0.0%'!$N32&lt;$Z$3,0, '0.0%'!$P32/'0.0%'!$N32)</f>
        <v>1.34111207144915</v>
      </c>
      <c r="W32" s="13">
        <f>IF('0.0%'!$N32&lt;$Z$3,0, '0.0%'!$Q32/'0.0%'!$N32)</f>
        <v>1.4592336502448862</v>
      </c>
      <c r="X32" s="13">
        <f>IF('0.0%'!$N32&lt;$Z$3,0, '0.0%'!$R32/'0.0%'!$N32)</f>
        <v>1.9590895995390376</v>
      </c>
      <c r="Y32" s="13">
        <f>IF('0.0%'!$N32&lt;$Z$3,0, '0.0%'!$S32/'0.0%'!$N32)</f>
        <v>2.0514261019878997</v>
      </c>
    </row>
    <row r="33" spans="1:25" x14ac:dyDescent="0.3">
      <c r="A33" s="17">
        <v>101.03</v>
      </c>
      <c r="B33" s="10">
        <v>681</v>
      </c>
      <c r="C33" s="9">
        <v>101.03</v>
      </c>
      <c r="D33" s="10">
        <v>748</v>
      </c>
      <c r="E33" s="11">
        <v>101.03</v>
      </c>
      <c r="F33" s="12">
        <v>913.8</v>
      </c>
      <c r="G33" s="11">
        <v>101.03</v>
      </c>
      <c r="H33" s="12">
        <v>993.2</v>
      </c>
      <c r="I33" s="11">
        <v>101.03</v>
      </c>
      <c r="J33" s="12">
        <v>1340</v>
      </c>
      <c r="K33" s="11">
        <v>101.03</v>
      </c>
      <c r="L33" s="12">
        <v>1402.1</v>
      </c>
      <c r="M33" s="11">
        <v>101.03</v>
      </c>
      <c r="N33" s="13">
        <v>681</v>
      </c>
      <c r="O33" s="13">
        <v>748</v>
      </c>
      <c r="P33" s="13">
        <v>913.8</v>
      </c>
      <c r="Q33" s="11">
        <v>993.2</v>
      </c>
      <c r="R33" s="11">
        <v>1340</v>
      </c>
      <c r="S33" s="14">
        <v>1402.1</v>
      </c>
      <c r="T33" s="11">
        <v>101.03</v>
      </c>
      <c r="U33" s="13">
        <f>IF('0.0%'!$N33&lt;$Z$3,0, '0.0%'!$O33/'0.0%'!$N33)</f>
        <v>1.0983847283406756</v>
      </c>
      <c r="V33" s="13">
        <f>IF('0.0%'!$N33&lt;$Z$3,0, '0.0%'!$P33/'0.0%'!$N33)</f>
        <v>1.3418502202643172</v>
      </c>
      <c r="W33" s="13">
        <f>IF('0.0%'!$N33&lt;$Z$3,0, '0.0%'!$Q33/'0.0%'!$N33)</f>
        <v>1.4584434654919236</v>
      </c>
      <c r="X33" s="13">
        <f>IF('0.0%'!$N33&lt;$Z$3,0, '0.0%'!$R33/'0.0%'!$N33)</f>
        <v>1.9676945668135095</v>
      </c>
      <c r="Y33" s="13">
        <f>IF('0.0%'!$N33&lt;$Z$3,0, '0.0%'!$S33/'0.0%'!$N33)</f>
        <v>2.0588839941262846</v>
      </c>
    </row>
    <row r="34" spans="1:25" x14ac:dyDescent="0.3">
      <c r="A34" s="17">
        <v>102.02</v>
      </c>
      <c r="B34" s="10">
        <v>669.5</v>
      </c>
      <c r="C34" s="9">
        <v>102.02</v>
      </c>
      <c r="D34" s="10">
        <v>734.5</v>
      </c>
      <c r="E34" s="11">
        <v>102.02</v>
      </c>
      <c r="F34" s="12">
        <v>898.2</v>
      </c>
      <c r="G34" s="11">
        <v>102.02</v>
      </c>
      <c r="H34" s="12">
        <v>975.4</v>
      </c>
      <c r="I34" s="11">
        <v>102.02</v>
      </c>
      <c r="J34" s="12">
        <v>1321.6</v>
      </c>
      <c r="K34" s="11">
        <v>102.02</v>
      </c>
      <c r="L34" s="12">
        <v>1382</v>
      </c>
      <c r="M34" s="11">
        <v>102.02</v>
      </c>
      <c r="N34" s="13">
        <v>669.5</v>
      </c>
      <c r="O34" s="13">
        <v>734.5</v>
      </c>
      <c r="P34" s="13">
        <v>898.2</v>
      </c>
      <c r="Q34" s="11">
        <v>975.4</v>
      </c>
      <c r="R34" s="11">
        <v>1321.6</v>
      </c>
      <c r="S34" s="14">
        <v>1382</v>
      </c>
      <c r="T34" s="11">
        <v>102.02</v>
      </c>
      <c r="U34" s="13">
        <f>IF('0.0%'!$N34&lt;$Z$3,0, '0.0%'!$O34/'0.0%'!$N34)</f>
        <v>1.0970873786407767</v>
      </c>
      <c r="V34" s="13">
        <f>IF('0.0%'!$N34&lt;$Z$3,0, '0.0%'!$P34/'0.0%'!$N34)</f>
        <v>1.3415982076176252</v>
      </c>
      <c r="W34" s="13">
        <f>IF('0.0%'!$N34&lt;$Z$3,0, '0.0%'!$Q34/'0.0%'!$N34)</f>
        <v>1.456908140403286</v>
      </c>
      <c r="X34" s="13">
        <f>IF('0.0%'!$N34&lt;$Z$3,0, '0.0%'!$R34/'0.0%'!$N34)</f>
        <v>1.9740104555638536</v>
      </c>
      <c r="Y34" s="13">
        <f>IF('0.0%'!$N34&lt;$Z$3,0, '0.0%'!$S34/'0.0%'!$N34)</f>
        <v>2.0642270351008216</v>
      </c>
    </row>
    <row r="35" spans="1:25" x14ac:dyDescent="0.3">
      <c r="A35" s="17">
        <v>103.01</v>
      </c>
      <c r="B35" s="10">
        <v>657.8</v>
      </c>
      <c r="C35" s="9">
        <v>103.01</v>
      </c>
      <c r="D35" s="10">
        <v>720.9</v>
      </c>
      <c r="E35" s="11">
        <v>103.01</v>
      </c>
      <c r="F35" s="12">
        <v>882.9</v>
      </c>
      <c r="G35" s="11">
        <v>103.01</v>
      </c>
      <c r="H35" s="12">
        <v>957.9</v>
      </c>
      <c r="I35" s="11">
        <v>103.01</v>
      </c>
      <c r="J35" s="12">
        <v>1304.0999999999999</v>
      </c>
      <c r="K35" s="11">
        <v>103.01</v>
      </c>
      <c r="L35" s="12">
        <v>1363.1</v>
      </c>
      <c r="M35" s="11">
        <v>103.01</v>
      </c>
      <c r="N35" s="13">
        <v>657.8</v>
      </c>
      <c r="O35" s="13">
        <v>720.9</v>
      </c>
      <c r="P35" s="13">
        <v>882.9</v>
      </c>
      <c r="Q35" s="11">
        <v>957.9</v>
      </c>
      <c r="R35" s="11">
        <v>1304.0999999999999</v>
      </c>
      <c r="S35" s="14">
        <v>1363.1</v>
      </c>
      <c r="T35" s="11">
        <v>103.01</v>
      </c>
      <c r="U35" s="13">
        <f>IF('0.0%'!$N35&lt;$Z$3,0, '0.0%'!$O35/'0.0%'!$N35)</f>
        <v>1.0959258133171177</v>
      </c>
      <c r="V35" s="13">
        <f>IF('0.0%'!$N35&lt;$Z$3,0, '0.0%'!$P35/'0.0%'!$N35)</f>
        <v>1.3422012769838858</v>
      </c>
      <c r="W35" s="13">
        <f>IF('0.0%'!$N35&lt;$Z$3,0, '0.0%'!$Q35/'0.0%'!$N35)</f>
        <v>1.4562176953481303</v>
      </c>
      <c r="X35" s="13">
        <f>IF('0.0%'!$N35&lt;$Z$3,0, '0.0%'!$R35/'0.0%'!$N35)</f>
        <v>1.9825174825174825</v>
      </c>
      <c r="Y35" s="13">
        <f>IF('0.0%'!$N35&lt;$Z$3,0, '0.0%'!$S35/'0.0%'!$N35)</f>
        <v>2.0722103982973548</v>
      </c>
    </row>
    <row r="36" spans="1:25" x14ac:dyDescent="0.3">
      <c r="A36" s="17">
        <v>104</v>
      </c>
      <c r="B36" s="10">
        <v>646.70000000000005</v>
      </c>
      <c r="C36" s="9">
        <v>104</v>
      </c>
      <c r="D36" s="10">
        <v>708</v>
      </c>
      <c r="E36" s="11">
        <v>104</v>
      </c>
      <c r="F36" s="12">
        <v>868.2</v>
      </c>
      <c r="G36" s="11">
        <v>104</v>
      </c>
      <c r="H36" s="12">
        <v>940.9</v>
      </c>
      <c r="I36" s="11">
        <v>104</v>
      </c>
      <c r="J36" s="12">
        <v>1286.4000000000001</v>
      </c>
      <c r="K36" s="11">
        <v>104</v>
      </c>
      <c r="L36" s="12">
        <v>1343.7</v>
      </c>
      <c r="M36" s="11">
        <v>104</v>
      </c>
      <c r="N36" s="13">
        <v>646.70000000000005</v>
      </c>
      <c r="O36" s="13">
        <v>708</v>
      </c>
      <c r="P36" s="13">
        <v>868.2</v>
      </c>
      <c r="Q36" s="11">
        <v>940.9</v>
      </c>
      <c r="R36" s="11">
        <v>1286.4000000000001</v>
      </c>
      <c r="S36" s="14">
        <v>1343.7</v>
      </c>
      <c r="T36" s="11">
        <v>104</v>
      </c>
      <c r="U36" s="13">
        <f>IF('0.0%'!$N36&lt;$Z$3,0, '0.0%'!$O36/'0.0%'!$N36)</f>
        <v>1.0947889284057521</v>
      </c>
      <c r="V36" s="13">
        <f>IF('0.0%'!$N36&lt;$Z$3,0, '0.0%'!$P36/'0.0%'!$N36)</f>
        <v>1.3425081181382403</v>
      </c>
      <c r="W36" s="13">
        <f>IF('0.0%'!$N36&lt;$Z$3,0, '0.0%'!$Q36/'0.0%'!$N36)</f>
        <v>1.4549250038657799</v>
      </c>
      <c r="X36" s="13">
        <f>IF('0.0%'!$N36&lt;$Z$3,0, '0.0%'!$R36/'0.0%'!$N36)</f>
        <v>1.9891758156796042</v>
      </c>
      <c r="Y36" s="13">
        <f>IF('0.0%'!$N36&lt;$Z$3,0, '0.0%'!$S36/'0.0%'!$N36)</f>
        <v>2.0777794959022731</v>
      </c>
    </row>
    <row r="37" spans="1:25" x14ac:dyDescent="0.3">
      <c r="A37" s="17">
        <v>104.99</v>
      </c>
      <c r="B37" s="10">
        <v>635.4</v>
      </c>
      <c r="C37" s="9">
        <v>104.99</v>
      </c>
      <c r="D37" s="10">
        <v>695</v>
      </c>
      <c r="E37" s="11">
        <v>104.99</v>
      </c>
      <c r="F37" s="12">
        <v>853.8</v>
      </c>
      <c r="G37" s="11">
        <v>104.99</v>
      </c>
      <c r="H37" s="12">
        <v>924.1</v>
      </c>
      <c r="I37" s="11">
        <v>104.99</v>
      </c>
      <c r="J37" s="12">
        <v>1269.7</v>
      </c>
      <c r="K37" s="11">
        <v>104.99</v>
      </c>
      <c r="L37" s="12">
        <v>1325.3</v>
      </c>
      <c r="M37" s="11">
        <v>104.99</v>
      </c>
      <c r="N37" s="13">
        <v>635.4</v>
      </c>
      <c r="O37" s="13">
        <v>695</v>
      </c>
      <c r="P37" s="13">
        <v>853.8</v>
      </c>
      <c r="Q37" s="11">
        <v>924.1</v>
      </c>
      <c r="R37" s="11">
        <v>1269.7</v>
      </c>
      <c r="S37" s="14">
        <v>1325.3</v>
      </c>
      <c r="T37" s="11">
        <v>104.99</v>
      </c>
      <c r="U37" s="13">
        <f>IF('0.0%'!$N37&lt;$Z$3,0, '0.0%'!$O37/'0.0%'!$N37)</f>
        <v>1.0937991816178785</v>
      </c>
      <c r="V37" s="13">
        <f>IF('0.0%'!$N37&lt;$Z$3,0, '0.0%'!$P37/'0.0%'!$N37)</f>
        <v>1.3437204910292728</v>
      </c>
      <c r="W37" s="13">
        <f>IF('0.0%'!$N37&lt;$Z$3,0, '0.0%'!$Q37/'0.0%'!$N37)</f>
        <v>1.4543594586087505</v>
      </c>
      <c r="X37" s="13">
        <f>IF('0.0%'!$N37&lt;$Z$3,0, '0.0%'!$R37/'0.0%'!$N37)</f>
        <v>1.9982688070506769</v>
      </c>
      <c r="Y37" s="13">
        <f>IF('0.0%'!$N37&lt;$Z$3,0, '0.0%'!$S37/'0.0%'!$N37)</f>
        <v>2.0857727415801071</v>
      </c>
    </row>
    <row r="38" spans="1:25" x14ac:dyDescent="0.3">
      <c r="A38" s="17">
        <v>105.98</v>
      </c>
      <c r="B38" s="10">
        <v>624.9</v>
      </c>
      <c r="C38" s="9">
        <v>105.98</v>
      </c>
      <c r="D38" s="10">
        <v>682.8</v>
      </c>
      <c r="E38" s="11">
        <v>105.98</v>
      </c>
      <c r="F38" s="12">
        <v>840.1</v>
      </c>
      <c r="G38" s="11">
        <v>105.98</v>
      </c>
      <c r="H38" s="12">
        <v>908</v>
      </c>
      <c r="I38" s="11">
        <v>105.98</v>
      </c>
      <c r="J38" s="12">
        <v>1253.0999999999999</v>
      </c>
      <c r="K38" s="11">
        <v>105.98</v>
      </c>
      <c r="L38" s="12">
        <v>1306.9000000000001</v>
      </c>
      <c r="M38" s="11">
        <v>105.98</v>
      </c>
      <c r="N38" s="13">
        <v>624.9</v>
      </c>
      <c r="O38" s="13">
        <v>682.8</v>
      </c>
      <c r="P38" s="13">
        <v>840.1</v>
      </c>
      <c r="Q38" s="11">
        <v>908</v>
      </c>
      <c r="R38" s="11">
        <v>1253.0999999999999</v>
      </c>
      <c r="S38" s="14">
        <v>1306.9000000000001</v>
      </c>
      <c r="T38" s="11">
        <v>105.98</v>
      </c>
      <c r="U38" s="13">
        <f>IF('0.0%'!$N38&lt;$Z$3,0, '0.0%'!$O38/'0.0%'!$N38)</f>
        <v>1.0926548247719634</v>
      </c>
      <c r="V38" s="13">
        <f>IF('0.0%'!$N38&lt;$Z$3,0, '0.0%'!$P38/'0.0%'!$N38)</f>
        <v>1.3443751000160027</v>
      </c>
      <c r="W38" s="13">
        <f>IF('0.0%'!$N38&lt;$Z$3,0, '0.0%'!$Q38/'0.0%'!$N38)</f>
        <v>1.4530324851976317</v>
      </c>
      <c r="X38" s="13">
        <f>IF('0.0%'!$N38&lt;$Z$3,0, '0.0%'!$R38/'0.0%'!$N38)</f>
        <v>2.0052808449351898</v>
      </c>
      <c r="Y38" s="13">
        <f>IF('0.0%'!$N38&lt;$Z$3,0, '0.0%'!$S38/'0.0%'!$N38)</f>
        <v>2.0913746199391903</v>
      </c>
    </row>
    <row r="39" spans="1:25" x14ac:dyDescent="0.3">
      <c r="A39" s="17">
        <v>106.98</v>
      </c>
      <c r="B39" s="10">
        <v>615</v>
      </c>
      <c r="C39" s="9">
        <v>106.98</v>
      </c>
      <c r="D39" s="10">
        <v>671.3</v>
      </c>
      <c r="E39" s="11">
        <v>106.98</v>
      </c>
      <c r="F39" s="12">
        <v>827.5</v>
      </c>
      <c r="G39" s="11">
        <v>106.98</v>
      </c>
      <c r="H39" s="12">
        <v>893.1</v>
      </c>
      <c r="I39" s="11">
        <v>106.98</v>
      </c>
      <c r="J39" s="12">
        <v>1238.5</v>
      </c>
      <c r="K39" s="11">
        <v>106.98</v>
      </c>
      <c r="L39" s="12">
        <v>1290.7</v>
      </c>
      <c r="M39" s="11">
        <v>106.98</v>
      </c>
      <c r="N39" s="13">
        <v>615</v>
      </c>
      <c r="O39" s="13">
        <v>671.3</v>
      </c>
      <c r="P39" s="13">
        <v>827.5</v>
      </c>
      <c r="Q39" s="11">
        <v>893.1</v>
      </c>
      <c r="R39" s="11">
        <v>1238.5</v>
      </c>
      <c r="S39" s="14">
        <v>1290.7</v>
      </c>
      <c r="T39" s="11">
        <v>106.98</v>
      </c>
      <c r="U39" s="13">
        <f>IF('0.0%'!$N39&lt;$Z$3,0, '0.0%'!$O39/'0.0%'!$N39)</f>
        <v>1.0915447154471545</v>
      </c>
      <c r="V39" s="13">
        <f>IF('0.0%'!$N39&lt;$Z$3,0, '0.0%'!$P39/'0.0%'!$N39)</f>
        <v>1.3455284552845528</v>
      </c>
      <c r="W39" s="13">
        <f>IF('0.0%'!$N39&lt;$Z$3,0, '0.0%'!$Q39/'0.0%'!$N39)</f>
        <v>1.4521951219512195</v>
      </c>
      <c r="X39" s="13">
        <f>IF('0.0%'!$N39&lt;$Z$3,0, '0.0%'!$R39/'0.0%'!$N39)</f>
        <v>2.013821138211382</v>
      </c>
      <c r="Y39" s="13">
        <f>IF('0.0%'!$N39&lt;$Z$3,0, '0.0%'!$S39/'0.0%'!$N39)</f>
        <v>2.0986991869918699</v>
      </c>
    </row>
    <row r="40" spans="1:25" x14ac:dyDescent="0.3">
      <c r="A40" s="17">
        <v>107.97</v>
      </c>
      <c r="B40" s="10">
        <v>606.6</v>
      </c>
      <c r="C40" s="9">
        <v>107.97</v>
      </c>
      <c r="D40" s="10">
        <v>661.3</v>
      </c>
      <c r="E40" s="11">
        <v>107.97</v>
      </c>
      <c r="F40" s="12">
        <v>816.3</v>
      </c>
      <c r="G40" s="11">
        <v>107.97</v>
      </c>
      <c r="H40" s="12">
        <v>879.8</v>
      </c>
      <c r="I40" s="11">
        <v>107.97</v>
      </c>
      <c r="J40" s="12">
        <v>1224.8</v>
      </c>
      <c r="K40" s="11">
        <v>107.97</v>
      </c>
      <c r="L40" s="12">
        <v>1275.2</v>
      </c>
      <c r="M40" s="11">
        <v>107.97</v>
      </c>
      <c r="N40" s="13">
        <v>606.6</v>
      </c>
      <c r="O40" s="13">
        <v>661.3</v>
      </c>
      <c r="P40" s="13">
        <v>816.3</v>
      </c>
      <c r="Q40" s="11">
        <v>879.8</v>
      </c>
      <c r="R40" s="11">
        <v>1224.8</v>
      </c>
      <c r="S40" s="14">
        <v>1275.2</v>
      </c>
      <c r="T40" s="11">
        <v>107.97</v>
      </c>
      <c r="U40" s="13">
        <f>IF('0.0%'!$N40&lt;$Z$3,0, '0.0%'!$O40/'0.0%'!$N40)</f>
        <v>1.090174744477415</v>
      </c>
      <c r="V40" s="13">
        <f>IF('0.0%'!$N40&lt;$Z$3,0, '0.0%'!$P40/'0.0%'!$N40)</f>
        <v>1.3456973293768544</v>
      </c>
      <c r="W40" s="13">
        <f>IF('0.0%'!$N40&lt;$Z$3,0, '0.0%'!$Q40/'0.0%'!$N40)</f>
        <v>1.4503791625453346</v>
      </c>
      <c r="X40" s="13">
        <f>IF('0.0%'!$N40&lt;$Z$3,0, '0.0%'!$R40/'0.0%'!$N40)</f>
        <v>2.0191229805473125</v>
      </c>
      <c r="Y40" s="13">
        <f>IF('0.0%'!$N40&lt;$Z$3,0, '0.0%'!$S40/'0.0%'!$N40)</f>
        <v>2.1022090339597757</v>
      </c>
    </row>
    <row r="41" spans="1:25" x14ac:dyDescent="0.3">
      <c r="A41" s="17">
        <v>108.96</v>
      </c>
      <c r="B41" s="10">
        <v>598.1</v>
      </c>
      <c r="C41" s="9">
        <v>108.96</v>
      </c>
      <c r="D41" s="10">
        <v>651.29999999999995</v>
      </c>
      <c r="E41" s="11">
        <v>108.96</v>
      </c>
      <c r="F41" s="12">
        <v>805.6</v>
      </c>
      <c r="G41" s="11">
        <v>108.96</v>
      </c>
      <c r="H41" s="12">
        <v>867.3</v>
      </c>
      <c r="I41" s="11">
        <v>108.96</v>
      </c>
      <c r="J41" s="12">
        <v>1212.2</v>
      </c>
      <c r="K41" s="11">
        <v>108.96</v>
      </c>
      <c r="L41" s="12">
        <v>1261</v>
      </c>
      <c r="M41" s="11">
        <v>108.96</v>
      </c>
      <c r="N41" s="13">
        <v>598.1</v>
      </c>
      <c r="O41" s="13">
        <v>651.29999999999995</v>
      </c>
      <c r="P41" s="13">
        <v>805.6</v>
      </c>
      <c r="Q41" s="11">
        <v>867.3</v>
      </c>
      <c r="R41" s="11">
        <v>1212.2</v>
      </c>
      <c r="S41" s="14">
        <v>1261</v>
      </c>
      <c r="T41" s="11">
        <v>108.96</v>
      </c>
      <c r="U41" s="13">
        <f>IF('0.0%'!$N41&lt;$Z$3,0, '0.0%'!$O41/'0.0%'!$N41)</f>
        <v>1.0889483363985955</v>
      </c>
      <c r="V41" s="13">
        <f>IF('0.0%'!$N41&lt;$Z$3,0, '0.0%'!$P41/'0.0%'!$N41)</f>
        <v>1.3469319511787325</v>
      </c>
      <c r="W41" s="13">
        <f>IF('0.0%'!$N41&lt;$Z$3,0, '0.0%'!$Q41/'0.0%'!$N41)</f>
        <v>1.4500919578665774</v>
      </c>
      <c r="X41" s="13">
        <f>IF('0.0%'!$N41&lt;$Z$3,0, '0.0%'!$R41/'0.0%'!$N41)</f>
        <v>2.0267513793679988</v>
      </c>
      <c r="Y41" s="13">
        <f>IF('0.0%'!$N41&lt;$Z$3,0, '0.0%'!$S41/'0.0%'!$N41)</f>
        <v>2.1083430864403945</v>
      </c>
    </row>
    <row r="42" spans="1:25" x14ac:dyDescent="0.3">
      <c r="A42" s="17">
        <v>109.95</v>
      </c>
      <c r="B42" s="10">
        <v>590.4</v>
      </c>
      <c r="C42" s="9">
        <v>109.95</v>
      </c>
      <c r="D42" s="10">
        <v>642.20000000000005</v>
      </c>
      <c r="E42" s="11">
        <v>109.95</v>
      </c>
      <c r="F42" s="12">
        <v>795.6</v>
      </c>
      <c r="G42" s="11">
        <v>109.95</v>
      </c>
      <c r="H42" s="12">
        <v>855.4</v>
      </c>
      <c r="I42" s="11">
        <v>109.95</v>
      </c>
      <c r="J42" s="12">
        <v>1199.5999999999999</v>
      </c>
      <c r="K42" s="11">
        <v>109.95</v>
      </c>
      <c r="L42" s="12">
        <v>1246.5</v>
      </c>
      <c r="M42" s="11">
        <v>109.95</v>
      </c>
      <c r="N42" s="13">
        <v>590.4</v>
      </c>
      <c r="O42" s="13">
        <v>642.20000000000005</v>
      </c>
      <c r="P42" s="13">
        <v>795.6</v>
      </c>
      <c r="Q42" s="11">
        <v>855.4</v>
      </c>
      <c r="R42" s="11">
        <v>1199.5999999999999</v>
      </c>
      <c r="S42" s="14">
        <v>1246.5</v>
      </c>
      <c r="T42" s="11">
        <v>109.95</v>
      </c>
      <c r="U42" s="13">
        <f>IF('0.0%'!$N42&lt;$Z$3,0, '0.0%'!$O42/'0.0%'!$N42)</f>
        <v>1.0877371273712739</v>
      </c>
      <c r="V42" s="13">
        <f>IF('0.0%'!$N42&lt;$Z$3,0, '0.0%'!$P42/'0.0%'!$N42)</f>
        <v>1.3475609756097562</v>
      </c>
      <c r="W42" s="13">
        <f>IF('0.0%'!$N42&lt;$Z$3,0, '0.0%'!$Q42/'0.0%'!$N42)</f>
        <v>1.4488482384823849</v>
      </c>
      <c r="X42" s="13">
        <f>IF('0.0%'!$N42&lt;$Z$3,0, '0.0%'!$R42/'0.0%'!$N42)</f>
        <v>2.031842818428184</v>
      </c>
      <c r="Y42" s="13">
        <f>IF('0.0%'!$N42&lt;$Z$3,0, '0.0%'!$S42/'0.0%'!$N42)</f>
        <v>2.1112804878048781</v>
      </c>
    </row>
    <row r="43" spans="1:25" x14ac:dyDescent="0.3">
      <c r="A43" s="17">
        <v>110.94</v>
      </c>
      <c r="B43" s="10">
        <v>582.70000000000005</v>
      </c>
      <c r="C43" s="9">
        <v>110.94</v>
      </c>
      <c r="D43" s="10">
        <v>633.20000000000005</v>
      </c>
      <c r="E43" s="11">
        <v>110.94</v>
      </c>
      <c r="F43" s="12">
        <v>786.1</v>
      </c>
      <c r="G43" s="11">
        <v>110.94</v>
      </c>
      <c r="H43" s="12">
        <v>844.1</v>
      </c>
      <c r="I43" s="11">
        <v>110.94</v>
      </c>
      <c r="J43" s="12">
        <v>1188.2</v>
      </c>
      <c r="K43" s="11">
        <v>110.94</v>
      </c>
      <c r="L43" s="12">
        <v>1233.4000000000001</v>
      </c>
      <c r="M43" s="11">
        <v>110.94</v>
      </c>
      <c r="N43" s="13">
        <v>582.70000000000005</v>
      </c>
      <c r="O43" s="13">
        <v>633.20000000000005</v>
      </c>
      <c r="P43" s="13">
        <v>786.1</v>
      </c>
      <c r="Q43" s="11">
        <v>844.1</v>
      </c>
      <c r="R43" s="11">
        <v>1188.2</v>
      </c>
      <c r="S43" s="14">
        <v>1233.4000000000001</v>
      </c>
      <c r="T43" s="11">
        <v>110.94</v>
      </c>
      <c r="U43" s="13">
        <f>IF('0.0%'!$N43&lt;$Z$3,0, '0.0%'!$O43/'0.0%'!$N43)</f>
        <v>1.0866655225673589</v>
      </c>
      <c r="V43" s="13">
        <f>IF('0.0%'!$N43&lt;$Z$3,0, '0.0%'!$P43/'0.0%'!$N43)</f>
        <v>1.3490646988158572</v>
      </c>
      <c r="W43" s="13">
        <f>IF('0.0%'!$N43&lt;$Z$3,0, '0.0%'!$Q43/'0.0%'!$N43)</f>
        <v>1.44860133859619</v>
      </c>
      <c r="X43" s="13">
        <f>IF('0.0%'!$N43&lt;$Z$3,0, '0.0%'!$R43/'0.0%'!$N43)</f>
        <v>2.0391281963274412</v>
      </c>
      <c r="Y43" s="13">
        <f>IF('0.0%'!$N43&lt;$Z$3,0, '0.0%'!$S43/'0.0%'!$N43)</f>
        <v>2.1166981293976317</v>
      </c>
    </row>
    <row r="44" spans="1:25" x14ac:dyDescent="0.3">
      <c r="A44" s="17">
        <v>111.94</v>
      </c>
      <c r="B44" s="10">
        <v>576</v>
      </c>
      <c r="C44" s="9">
        <v>111.94</v>
      </c>
      <c r="D44" s="10">
        <v>625.20000000000005</v>
      </c>
      <c r="E44" s="11">
        <v>111.94</v>
      </c>
      <c r="F44" s="12">
        <v>777.4</v>
      </c>
      <c r="G44" s="11">
        <v>111.94</v>
      </c>
      <c r="H44" s="12">
        <v>833.4</v>
      </c>
      <c r="I44" s="11">
        <v>111.94</v>
      </c>
      <c r="J44" s="12">
        <v>1176.9000000000001</v>
      </c>
      <c r="K44" s="11">
        <v>111.94</v>
      </c>
      <c r="L44" s="12">
        <v>1220.4000000000001</v>
      </c>
      <c r="M44" s="11">
        <v>111.94</v>
      </c>
      <c r="N44" s="13">
        <v>576</v>
      </c>
      <c r="O44" s="13">
        <v>625.20000000000005</v>
      </c>
      <c r="P44" s="13">
        <v>777.4</v>
      </c>
      <c r="Q44" s="11">
        <v>833.4</v>
      </c>
      <c r="R44" s="11">
        <v>1176.9000000000001</v>
      </c>
      <c r="S44" s="14">
        <v>1220.4000000000001</v>
      </c>
      <c r="T44" s="11">
        <v>111.94</v>
      </c>
      <c r="U44" s="13">
        <f>IF('0.0%'!$N44&lt;$Z$3,0, '0.0%'!$O44/'0.0%'!$N44)</f>
        <v>1.0854166666666667</v>
      </c>
      <c r="V44" s="13">
        <f>IF('0.0%'!$N44&lt;$Z$3,0, '0.0%'!$P44/'0.0%'!$N44)</f>
        <v>1.3496527777777778</v>
      </c>
      <c r="W44" s="13">
        <f>IF('0.0%'!$N44&lt;$Z$3,0, '0.0%'!$Q44/'0.0%'!$N44)</f>
        <v>1.4468749999999999</v>
      </c>
      <c r="X44" s="13">
        <f>IF('0.0%'!$N44&lt;$Z$3,0, '0.0%'!$R44/'0.0%'!$N44)</f>
        <v>2.0432291666666669</v>
      </c>
      <c r="Y44" s="13">
        <f>IF('0.0%'!$N44&lt;$Z$3,0, '0.0%'!$S44/'0.0%'!$N44)</f>
        <v>2.1187500000000004</v>
      </c>
    </row>
    <row r="45" spans="1:25" x14ac:dyDescent="0.3">
      <c r="A45" s="17">
        <v>112.93</v>
      </c>
      <c r="B45" s="10">
        <v>569</v>
      </c>
      <c r="C45" s="9">
        <v>112.93</v>
      </c>
      <c r="D45" s="10">
        <v>617</v>
      </c>
      <c r="E45" s="11">
        <v>112.93</v>
      </c>
      <c r="F45" s="12">
        <v>769</v>
      </c>
      <c r="G45" s="11">
        <v>112.93</v>
      </c>
      <c r="H45" s="12">
        <v>823.1</v>
      </c>
      <c r="I45" s="11">
        <v>112.93</v>
      </c>
      <c r="J45" s="12">
        <v>1166.0999999999999</v>
      </c>
      <c r="K45" s="11">
        <v>112.93</v>
      </c>
      <c r="L45" s="12">
        <v>1208.4000000000001</v>
      </c>
      <c r="M45" s="11">
        <v>112.93</v>
      </c>
      <c r="N45" s="13">
        <v>569</v>
      </c>
      <c r="O45" s="13">
        <v>617</v>
      </c>
      <c r="P45" s="13">
        <v>769</v>
      </c>
      <c r="Q45" s="11">
        <v>823.1</v>
      </c>
      <c r="R45" s="11">
        <v>1166.0999999999999</v>
      </c>
      <c r="S45" s="14">
        <v>1208.4000000000001</v>
      </c>
      <c r="T45" s="11">
        <v>112.93</v>
      </c>
      <c r="U45" s="13">
        <f>IF('0.0%'!$N45&lt;$Z$3,0, '0.0%'!$O45/'0.0%'!$N45)</f>
        <v>1.0843585237258349</v>
      </c>
      <c r="V45" s="13">
        <f>IF('0.0%'!$N45&lt;$Z$3,0, '0.0%'!$P45/'0.0%'!$N45)</f>
        <v>1.3514938488576449</v>
      </c>
      <c r="W45" s="13">
        <f>IF('0.0%'!$N45&lt;$Z$3,0, '0.0%'!$Q45/'0.0%'!$N45)</f>
        <v>1.446572934973638</v>
      </c>
      <c r="X45" s="13">
        <f>IF('0.0%'!$N45&lt;$Z$3,0, '0.0%'!$R45/'0.0%'!$N45)</f>
        <v>2.049384885764499</v>
      </c>
      <c r="Y45" s="13">
        <f>IF('0.0%'!$N45&lt;$Z$3,0, '0.0%'!$S45/'0.0%'!$N45)</f>
        <v>2.1237258347978911</v>
      </c>
    </row>
    <row r="46" spans="1:25" x14ac:dyDescent="0.3">
      <c r="A46" s="17">
        <v>113.92</v>
      </c>
      <c r="B46" s="10">
        <v>562.9</v>
      </c>
      <c r="C46" s="9">
        <v>113.92</v>
      </c>
      <c r="D46" s="10">
        <v>609.70000000000005</v>
      </c>
      <c r="E46" s="11">
        <v>113.92</v>
      </c>
      <c r="F46" s="12">
        <v>761</v>
      </c>
      <c r="G46" s="11">
        <v>113.92</v>
      </c>
      <c r="H46" s="12">
        <v>813.4</v>
      </c>
      <c r="I46" s="11">
        <v>113.92</v>
      </c>
      <c r="J46" s="12">
        <v>1155.5</v>
      </c>
      <c r="K46" s="11">
        <v>113.92</v>
      </c>
      <c r="L46" s="12">
        <v>1196.4000000000001</v>
      </c>
      <c r="M46" s="11">
        <v>113.92</v>
      </c>
      <c r="N46" s="13">
        <v>562.9</v>
      </c>
      <c r="O46" s="13">
        <v>609.70000000000005</v>
      </c>
      <c r="P46" s="13">
        <v>761</v>
      </c>
      <c r="Q46" s="11">
        <v>813.4</v>
      </c>
      <c r="R46" s="11">
        <v>1155.5</v>
      </c>
      <c r="S46" s="14">
        <v>1196.4000000000001</v>
      </c>
      <c r="T46" s="11">
        <v>113.92</v>
      </c>
      <c r="U46" s="13">
        <f>IF('0.0%'!$N46&lt;$Z$3,0, '0.0%'!$O46/'0.0%'!$N46)</f>
        <v>1.0831408775981526</v>
      </c>
      <c r="V46" s="13">
        <f>IF('0.0%'!$N46&lt;$Z$3,0, '0.0%'!$P46/'0.0%'!$N46)</f>
        <v>1.3519275182092734</v>
      </c>
      <c r="W46" s="13">
        <f>IF('0.0%'!$N46&lt;$Z$3,0, '0.0%'!$Q46/'0.0%'!$N46)</f>
        <v>1.4450168768875467</v>
      </c>
      <c r="X46" s="13">
        <f>IF('0.0%'!$N46&lt;$Z$3,0, '0.0%'!$R46/'0.0%'!$N46)</f>
        <v>2.0527624800142124</v>
      </c>
      <c r="Y46" s="13">
        <f>IF('0.0%'!$N46&lt;$Z$3,0, '0.0%'!$S46/'0.0%'!$N46)</f>
        <v>2.1254219221886661</v>
      </c>
    </row>
    <row r="47" spans="1:25" x14ac:dyDescent="0.3">
      <c r="A47" s="17">
        <v>114.91</v>
      </c>
      <c r="B47" s="10">
        <v>556.79999999999995</v>
      </c>
      <c r="C47" s="9">
        <v>114.91</v>
      </c>
      <c r="D47" s="10">
        <v>602.4</v>
      </c>
      <c r="E47" s="11">
        <v>114.91</v>
      </c>
      <c r="F47" s="12">
        <v>753.4</v>
      </c>
      <c r="G47" s="11">
        <v>114.91</v>
      </c>
      <c r="H47" s="12">
        <v>804.3</v>
      </c>
      <c r="I47" s="11">
        <v>114.91</v>
      </c>
      <c r="J47" s="12">
        <v>1146</v>
      </c>
      <c r="K47" s="11">
        <v>114.91</v>
      </c>
      <c r="L47" s="12">
        <v>1185.5999999999999</v>
      </c>
      <c r="M47" s="11">
        <v>114.91</v>
      </c>
      <c r="N47" s="13">
        <v>556.79999999999995</v>
      </c>
      <c r="O47" s="13">
        <v>602.4</v>
      </c>
      <c r="P47" s="13">
        <v>753.4</v>
      </c>
      <c r="Q47" s="11">
        <v>804.3</v>
      </c>
      <c r="R47" s="11">
        <v>1146</v>
      </c>
      <c r="S47" s="14">
        <v>1185.5999999999999</v>
      </c>
      <c r="T47" s="11">
        <v>114.91</v>
      </c>
      <c r="U47" s="13">
        <f>IF('0.0%'!$N47&lt;$Z$3,0, '0.0%'!$O47/'0.0%'!$N47)</f>
        <v>1.0818965517241379</v>
      </c>
      <c r="V47" s="13">
        <f>IF('0.0%'!$N47&lt;$Z$3,0, '0.0%'!$P47/'0.0%'!$N47)</f>
        <v>1.3530890804597702</v>
      </c>
      <c r="W47" s="13">
        <f>IF('0.0%'!$N47&lt;$Z$3,0, '0.0%'!$Q47/'0.0%'!$N47)</f>
        <v>1.4445043103448276</v>
      </c>
      <c r="X47" s="13">
        <f>IF('0.0%'!$N47&lt;$Z$3,0, '0.0%'!$R47/'0.0%'!$N47)</f>
        <v>2.0581896551724141</v>
      </c>
      <c r="Y47" s="13">
        <f>IF('0.0%'!$N47&lt;$Z$3,0, '0.0%'!$S47/'0.0%'!$N47)</f>
        <v>2.1293103448275863</v>
      </c>
    </row>
    <row r="48" spans="1:25" x14ac:dyDescent="0.3">
      <c r="A48" s="17">
        <v>115.9</v>
      </c>
      <c r="B48" s="10">
        <v>551.6</v>
      </c>
      <c r="C48" s="9">
        <v>115.9</v>
      </c>
      <c r="D48" s="10">
        <v>596.1</v>
      </c>
      <c r="E48" s="11">
        <v>115.9</v>
      </c>
      <c r="F48" s="12">
        <v>746.5</v>
      </c>
      <c r="G48" s="11">
        <v>115.9</v>
      </c>
      <c r="H48" s="12">
        <v>795.9</v>
      </c>
      <c r="I48" s="11">
        <v>115.9</v>
      </c>
      <c r="J48" s="12">
        <v>1136.7</v>
      </c>
      <c r="K48" s="11">
        <v>115.9</v>
      </c>
      <c r="L48" s="12">
        <v>1174.9000000000001</v>
      </c>
      <c r="M48" s="11">
        <v>115.9</v>
      </c>
      <c r="N48" s="13">
        <v>551.6</v>
      </c>
      <c r="O48" s="13">
        <v>596.1</v>
      </c>
      <c r="P48" s="13">
        <v>746.5</v>
      </c>
      <c r="Q48" s="11">
        <v>795.9</v>
      </c>
      <c r="R48" s="11">
        <v>1136.7</v>
      </c>
      <c r="S48" s="14">
        <v>1174.9000000000001</v>
      </c>
      <c r="T48" s="11">
        <v>115.9</v>
      </c>
      <c r="U48" s="13">
        <f>IF('0.0%'!$N48&lt;$Z$3,0, '0.0%'!$O48/'0.0%'!$N48)</f>
        <v>1.0806744017403915</v>
      </c>
      <c r="V48" s="13">
        <f>IF('0.0%'!$N48&lt;$Z$3,0, '0.0%'!$P48/'0.0%'!$N48)</f>
        <v>1.3533357505438723</v>
      </c>
      <c r="W48" s="13">
        <f>IF('0.0%'!$N48&lt;$Z$3,0, '0.0%'!$Q48/'0.0%'!$N48)</f>
        <v>1.4428934010152283</v>
      </c>
      <c r="X48" s="13">
        <f>IF('0.0%'!$N48&lt;$Z$3,0, '0.0%'!$R48/'0.0%'!$N48)</f>
        <v>2.0607324147933284</v>
      </c>
      <c r="Y48" s="13">
        <f>IF('0.0%'!$N48&lt;$Z$3,0, '0.0%'!$S48/'0.0%'!$N48)</f>
        <v>2.129985496736766</v>
      </c>
    </row>
    <row r="49" spans="1:25" x14ac:dyDescent="0.3">
      <c r="A49" s="17">
        <v>116.89</v>
      </c>
      <c r="B49" s="10">
        <v>545.9</v>
      </c>
      <c r="C49" s="9">
        <v>116.89</v>
      </c>
      <c r="D49" s="10">
        <v>589.29999999999995</v>
      </c>
      <c r="E49" s="11">
        <v>116.89</v>
      </c>
      <c r="F49" s="12">
        <v>739.4</v>
      </c>
      <c r="G49" s="11">
        <v>116.89</v>
      </c>
      <c r="H49" s="12">
        <v>787.6</v>
      </c>
      <c r="I49" s="11">
        <v>116.89</v>
      </c>
      <c r="J49" s="12">
        <v>1127.7</v>
      </c>
      <c r="K49" s="11">
        <v>116.89</v>
      </c>
      <c r="L49" s="12">
        <v>1164.7</v>
      </c>
      <c r="M49" s="11">
        <v>116.89</v>
      </c>
      <c r="N49" s="13">
        <v>545.9</v>
      </c>
      <c r="O49" s="13">
        <v>589.29999999999995</v>
      </c>
      <c r="P49" s="13">
        <v>739.4</v>
      </c>
      <c r="Q49" s="11">
        <v>787.6</v>
      </c>
      <c r="R49" s="11">
        <v>1127.7</v>
      </c>
      <c r="S49" s="14">
        <v>1164.7</v>
      </c>
      <c r="T49" s="11">
        <v>116.89</v>
      </c>
      <c r="U49" s="13">
        <f>IF('0.0%'!$N49&lt;$Z$3,0, '0.0%'!$O49/'0.0%'!$N49)</f>
        <v>1.0795017402454661</v>
      </c>
      <c r="V49" s="13">
        <f>IF('0.0%'!$N49&lt;$Z$3,0, '0.0%'!$P49/'0.0%'!$N49)</f>
        <v>1.3544605239054772</v>
      </c>
      <c r="W49" s="13">
        <f>IF('0.0%'!$N49&lt;$Z$3,0, '0.0%'!$Q49/'0.0%'!$N49)</f>
        <v>1.4427550833485987</v>
      </c>
      <c r="X49" s="13">
        <f>IF('0.0%'!$N49&lt;$Z$3,0, '0.0%'!$R49/'0.0%'!$N49)</f>
        <v>2.0657629602491299</v>
      </c>
      <c r="Y49" s="13">
        <f>IF('0.0%'!$N49&lt;$Z$3,0, '0.0%'!$S49/'0.0%'!$N49)</f>
        <v>2.1335409415643891</v>
      </c>
    </row>
    <row r="50" spans="1:25" x14ac:dyDescent="0.3">
      <c r="A50" s="17">
        <v>117.89</v>
      </c>
      <c r="B50" s="10">
        <v>541</v>
      </c>
      <c r="C50" s="9">
        <v>117.89</v>
      </c>
      <c r="D50" s="10">
        <v>583.29999999999995</v>
      </c>
      <c r="E50" s="11">
        <v>117.89</v>
      </c>
      <c r="F50" s="12">
        <v>732.9</v>
      </c>
      <c r="G50" s="11">
        <v>117.89</v>
      </c>
      <c r="H50" s="12">
        <v>779.7</v>
      </c>
      <c r="I50" s="11">
        <v>117.89</v>
      </c>
      <c r="J50" s="12">
        <v>1118.7</v>
      </c>
      <c r="K50" s="11">
        <v>117.89</v>
      </c>
      <c r="L50" s="12">
        <v>1154.0999999999999</v>
      </c>
      <c r="M50" s="11">
        <v>117.89</v>
      </c>
      <c r="N50" s="13">
        <v>541</v>
      </c>
      <c r="O50" s="13">
        <v>583.29999999999995</v>
      </c>
      <c r="P50" s="13">
        <v>732.9</v>
      </c>
      <c r="Q50" s="11">
        <v>779.7</v>
      </c>
      <c r="R50" s="11">
        <v>1118.7</v>
      </c>
      <c r="S50" s="14">
        <v>1154.0999999999999</v>
      </c>
      <c r="T50" s="11">
        <v>117.89</v>
      </c>
      <c r="U50" s="13">
        <f>IF('0.0%'!$N50&lt;$Z$3,0, '0.0%'!$O50/'0.0%'!$N50)</f>
        <v>1.0781885397412199</v>
      </c>
      <c r="V50" s="13">
        <f>IF('0.0%'!$N50&lt;$Z$3,0, '0.0%'!$P50/'0.0%'!$N50)</f>
        <v>1.354713493530499</v>
      </c>
      <c r="W50" s="13">
        <f>IF('0.0%'!$N50&lt;$Z$3,0, '0.0%'!$Q50/'0.0%'!$N50)</f>
        <v>1.4412199630314233</v>
      </c>
      <c r="X50" s="13">
        <f>IF('0.0%'!$N50&lt;$Z$3,0, '0.0%'!$R50/'0.0%'!$N50)</f>
        <v>2.0678373382624771</v>
      </c>
      <c r="Y50" s="13">
        <f>IF('0.0%'!$N50&lt;$Z$3,0, '0.0%'!$S50/'0.0%'!$N50)</f>
        <v>2.1332717190388166</v>
      </c>
    </row>
    <row r="51" spans="1:25" x14ac:dyDescent="0.3">
      <c r="A51" s="17">
        <v>118.88</v>
      </c>
      <c r="B51" s="10">
        <v>535.9</v>
      </c>
      <c r="C51" s="9">
        <v>118.88</v>
      </c>
      <c r="D51" s="10">
        <v>577.5</v>
      </c>
      <c r="E51" s="11">
        <v>118.88</v>
      </c>
      <c r="F51" s="12">
        <v>726.6</v>
      </c>
      <c r="G51" s="11">
        <v>118.88</v>
      </c>
      <c r="H51" s="12">
        <v>772</v>
      </c>
      <c r="I51" s="11">
        <v>118.88</v>
      </c>
      <c r="J51" s="12">
        <v>1110.9000000000001</v>
      </c>
      <c r="K51" s="11">
        <v>118.88</v>
      </c>
      <c r="L51" s="12">
        <v>1144.5999999999999</v>
      </c>
      <c r="M51" s="11">
        <v>118.88</v>
      </c>
      <c r="N51" s="13">
        <v>535.9</v>
      </c>
      <c r="O51" s="13">
        <v>577.5</v>
      </c>
      <c r="P51" s="13">
        <v>726.6</v>
      </c>
      <c r="Q51" s="11">
        <v>772</v>
      </c>
      <c r="R51" s="11">
        <v>1110.9000000000001</v>
      </c>
      <c r="S51" s="14">
        <v>1144.5999999999999</v>
      </c>
      <c r="T51" s="11">
        <v>118.88</v>
      </c>
      <c r="U51" s="13">
        <f>IF('0.0%'!$N51&lt;$Z$3,0, '0.0%'!$O51/'0.0%'!$N51)</f>
        <v>1.0776264228400823</v>
      </c>
      <c r="V51" s="13">
        <f>IF('0.0%'!$N51&lt;$Z$3,0, '0.0%'!$P51/'0.0%'!$N51)</f>
        <v>1.3558499720097035</v>
      </c>
      <c r="W51" s="13">
        <f>IF('0.0%'!$N51&lt;$Z$3,0, '0.0%'!$Q51/'0.0%'!$N51)</f>
        <v>1.4405672700130623</v>
      </c>
      <c r="X51" s="13">
        <f>IF('0.0%'!$N51&lt;$Z$3,0, '0.0%'!$R51/'0.0%'!$N51)</f>
        <v>2.0729613733905583</v>
      </c>
      <c r="Y51" s="13">
        <f>IF('0.0%'!$N51&lt;$Z$3,0, '0.0%'!$S51/'0.0%'!$N51)</f>
        <v>2.1358462399701437</v>
      </c>
    </row>
    <row r="52" spans="1:25" x14ac:dyDescent="0.3">
      <c r="A52" s="17">
        <v>119.87</v>
      </c>
      <c r="B52" s="10">
        <v>531.9</v>
      </c>
      <c r="C52" s="9">
        <v>119.87</v>
      </c>
      <c r="D52" s="10">
        <v>572.6</v>
      </c>
      <c r="E52" s="11">
        <v>119.87</v>
      </c>
      <c r="F52" s="12">
        <v>721.1</v>
      </c>
      <c r="G52" s="11">
        <v>119.87</v>
      </c>
      <c r="H52" s="12">
        <v>765.1</v>
      </c>
      <c r="I52" s="11">
        <v>119.87</v>
      </c>
      <c r="J52" s="12">
        <v>1103.4000000000001</v>
      </c>
      <c r="K52" s="11">
        <v>119.87</v>
      </c>
      <c r="L52" s="12">
        <v>1135.5</v>
      </c>
      <c r="M52" s="11">
        <v>119.87</v>
      </c>
      <c r="N52" s="13">
        <v>531.9</v>
      </c>
      <c r="O52" s="13">
        <v>572.6</v>
      </c>
      <c r="P52" s="13">
        <v>721.1</v>
      </c>
      <c r="Q52" s="11">
        <v>765.1</v>
      </c>
      <c r="R52" s="11">
        <v>1103.4000000000001</v>
      </c>
      <c r="S52" s="14">
        <v>1135.5</v>
      </c>
      <c r="T52" s="11">
        <v>119.87</v>
      </c>
      <c r="U52" s="13">
        <f>IF('0.0%'!$N52&lt;$Z$3,0, '0.0%'!$O52/'0.0%'!$N52)</f>
        <v>1.0765181425079904</v>
      </c>
      <c r="V52" s="13">
        <f>IF('0.0%'!$N52&lt;$Z$3,0, '0.0%'!$P52/'0.0%'!$N52)</f>
        <v>1.3557059597668735</v>
      </c>
      <c r="W52" s="13">
        <f>IF('0.0%'!$N52&lt;$Z$3,0, '0.0%'!$Q52/'0.0%'!$N52)</f>
        <v>1.438428275991728</v>
      </c>
      <c r="X52" s="13">
        <f>IF('0.0%'!$N52&lt;$Z$3,0, '0.0%'!$R52/'0.0%'!$N52)</f>
        <v>2.0744500846023692</v>
      </c>
      <c r="Y52" s="13">
        <f>IF('0.0%'!$N52&lt;$Z$3,0, '0.0%'!$S52/'0.0%'!$N52)</f>
        <v>2.1347997743936831</v>
      </c>
    </row>
    <row r="53" spans="1:25" x14ac:dyDescent="0.3">
      <c r="A53" s="17">
        <v>120.86</v>
      </c>
      <c r="B53" s="10">
        <v>527.20000000000005</v>
      </c>
      <c r="C53" s="9">
        <v>120.86</v>
      </c>
      <c r="D53" s="10">
        <v>567.1</v>
      </c>
      <c r="E53" s="11">
        <v>120.86</v>
      </c>
      <c r="F53" s="12">
        <v>714.9</v>
      </c>
      <c r="G53" s="11">
        <v>120.86</v>
      </c>
      <c r="H53" s="12">
        <v>757.5</v>
      </c>
      <c r="I53" s="11">
        <v>120.86</v>
      </c>
      <c r="J53" s="12">
        <v>1095.2</v>
      </c>
      <c r="K53" s="11">
        <v>120.86</v>
      </c>
      <c r="L53" s="12">
        <v>1126.0999999999999</v>
      </c>
      <c r="M53" s="11">
        <v>120.86</v>
      </c>
      <c r="N53" s="13">
        <v>527.20000000000005</v>
      </c>
      <c r="O53" s="13">
        <v>567.1</v>
      </c>
      <c r="P53" s="13">
        <v>714.9</v>
      </c>
      <c r="Q53" s="11">
        <v>757.5</v>
      </c>
      <c r="R53" s="11">
        <v>1095.2</v>
      </c>
      <c r="S53" s="14">
        <v>1126.0999999999999</v>
      </c>
      <c r="T53" s="11">
        <v>120.86</v>
      </c>
      <c r="U53" s="13">
        <f>IF('0.0%'!$N53&lt;$Z$3,0, '0.0%'!$O53/'0.0%'!$N53)</f>
        <v>1.0756828528072837</v>
      </c>
      <c r="V53" s="13">
        <f>IF('0.0%'!$N53&lt;$Z$3,0, '0.0%'!$P53/'0.0%'!$N53)</f>
        <v>1.3560318664643398</v>
      </c>
      <c r="W53" s="13">
        <f>IF('0.0%'!$N53&lt;$Z$3,0, '0.0%'!$Q53/'0.0%'!$N53)</f>
        <v>1.4368361153262519</v>
      </c>
      <c r="X53" s="13">
        <f>IF('0.0%'!$N53&lt;$Z$3,0, '0.0%'!$R53/'0.0%'!$N53)</f>
        <v>2.0773899848254929</v>
      </c>
      <c r="Y53" s="13">
        <f>IF('0.0%'!$N53&lt;$Z$3,0, '0.0%'!$S53/'0.0%'!$N53)</f>
        <v>2.1360015174506826</v>
      </c>
    </row>
    <row r="54" spans="1:25" x14ac:dyDescent="0.3">
      <c r="A54" s="17">
        <v>121.85</v>
      </c>
      <c r="B54" s="10">
        <v>523</v>
      </c>
      <c r="C54" s="9">
        <v>121.85</v>
      </c>
      <c r="D54" s="10">
        <v>562</v>
      </c>
      <c r="E54" s="11">
        <v>121.85</v>
      </c>
      <c r="F54" s="12">
        <v>709.5</v>
      </c>
      <c r="G54" s="11">
        <v>121.85</v>
      </c>
      <c r="H54" s="12">
        <v>750.9</v>
      </c>
      <c r="I54" s="11">
        <v>121.85</v>
      </c>
      <c r="J54" s="12">
        <v>1088.2</v>
      </c>
      <c r="K54" s="11">
        <v>121.85</v>
      </c>
      <c r="L54" s="12">
        <v>1118.0999999999999</v>
      </c>
      <c r="M54" s="11">
        <v>121.85</v>
      </c>
      <c r="N54" s="13">
        <v>523</v>
      </c>
      <c r="O54" s="13">
        <v>562</v>
      </c>
      <c r="P54" s="13">
        <v>709.5</v>
      </c>
      <c r="Q54" s="11">
        <v>750.9</v>
      </c>
      <c r="R54" s="11">
        <v>1088.2</v>
      </c>
      <c r="S54" s="14">
        <v>1118.0999999999999</v>
      </c>
      <c r="T54" s="11">
        <v>121.85</v>
      </c>
      <c r="U54" s="13">
        <f>IF('0.0%'!$N54&lt;$Z$3,0, '0.0%'!$O54/'0.0%'!$N54)</f>
        <v>1.0745697896749522</v>
      </c>
      <c r="V54" s="13">
        <f>IF('0.0%'!$N54&lt;$Z$3,0, '0.0%'!$P54/'0.0%'!$N54)</f>
        <v>1.3565965583173996</v>
      </c>
      <c r="W54" s="13">
        <f>IF('0.0%'!$N54&lt;$Z$3,0, '0.0%'!$Q54/'0.0%'!$N54)</f>
        <v>1.435755258126195</v>
      </c>
      <c r="X54" s="13">
        <f>IF('0.0%'!$N54&lt;$Z$3,0, '0.0%'!$R54/'0.0%'!$N54)</f>
        <v>2.0806883365200766</v>
      </c>
      <c r="Y54" s="13">
        <f>IF('0.0%'!$N54&lt;$Z$3,0, '0.0%'!$S54/'0.0%'!$N54)</f>
        <v>2.1378585086042063</v>
      </c>
    </row>
    <row r="55" spans="1:25" x14ac:dyDescent="0.3">
      <c r="A55" s="17">
        <v>122.84</v>
      </c>
      <c r="B55" s="10">
        <v>519.5</v>
      </c>
      <c r="C55" s="9">
        <v>122.84</v>
      </c>
      <c r="D55" s="10">
        <v>557.79999999999995</v>
      </c>
      <c r="E55" s="11">
        <v>122.84</v>
      </c>
      <c r="F55" s="12">
        <v>704.6</v>
      </c>
      <c r="G55" s="11">
        <v>122.84</v>
      </c>
      <c r="H55" s="12">
        <v>744.8</v>
      </c>
      <c r="I55" s="11">
        <v>122.84</v>
      </c>
      <c r="J55" s="12">
        <v>1081.4000000000001</v>
      </c>
      <c r="K55" s="11">
        <v>122.84</v>
      </c>
      <c r="L55" s="12">
        <v>1110.3</v>
      </c>
      <c r="M55" s="11">
        <v>122.84</v>
      </c>
      <c r="N55" s="13">
        <v>519.5</v>
      </c>
      <c r="O55" s="13">
        <v>557.79999999999995</v>
      </c>
      <c r="P55" s="13">
        <v>704.6</v>
      </c>
      <c r="Q55" s="11">
        <v>744.8</v>
      </c>
      <c r="R55" s="11">
        <v>1081.4000000000001</v>
      </c>
      <c r="S55" s="14">
        <v>1110.3</v>
      </c>
      <c r="T55" s="11">
        <v>122.84</v>
      </c>
      <c r="U55" s="13">
        <f>IF('0.0%'!$N55&lt;$Z$3,0, '0.0%'!$O55/'0.0%'!$N55)</f>
        <v>1.0737247353224253</v>
      </c>
      <c r="V55" s="13">
        <f>IF('0.0%'!$N55&lt;$Z$3,0, '0.0%'!$P55/'0.0%'!$N55)</f>
        <v>1.3563041385948027</v>
      </c>
      <c r="W55" s="13">
        <f>IF('0.0%'!$N55&lt;$Z$3,0, '0.0%'!$Q55/'0.0%'!$N55)</f>
        <v>1.4336862367661212</v>
      </c>
      <c r="X55" s="13">
        <f>IF('0.0%'!$N55&lt;$Z$3,0, '0.0%'!$R55/'0.0%'!$N55)</f>
        <v>2.0816169393647739</v>
      </c>
      <c r="Y55" s="13">
        <f>IF('0.0%'!$N55&lt;$Z$3,0, '0.0%'!$S55/'0.0%'!$N55)</f>
        <v>2.1372473532242542</v>
      </c>
    </row>
    <row r="56" spans="1:25" x14ac:dyDescent="0.3">
      <c r="A56" s="17">
        <v>123.84</v>
      </c>
      <c r="B56" s="10">
        <v>515.29999999999995</v>
      </c>
      <c r="C56" s="9">
        <v>123.84</v>
      </c>
      <c r="D56" s="10">
        <v>552.9</v>
      </c>
      <c r="E56" s="11">
        <v>123.84</v>
      </c>
      <c r="F56" s="12">
        <v>699.5</v>
      </c>
      <c r="G56" s="11">
        <v>123.84</v>
      </c>
      <c r="H56" s="12">
        <v>738.4</v>
      </c>
      <c r="I56" s="11">
        <v>123.84</v>
      </c>
      <c r="J56" s="12">
        <v>1074.5</v>
      </c>
      <c r="K56" s="11">
        <v>123.84</v>
      </c>
      <c r="L56" s="12">
        <v>1102.5999999999999</v>
      </c>
      <c r="M56" s="11">
        <v>123.84</v>
      </c>
      <c r="N56" s="13">
        <v>515.29999999999995</v>
      </c>
      <c r="O56" s="13">
        <v>552.9</v>
      </c>
      <c r="P56" s="13">
        <v>699.5</v>
      </c>
      <c r="Q56" s="11">
        <v>738.4</v>
      </c>
      <c r="R56" s="11">
        <v>1074.5</v>
      </c>
      <c r="S56" s="14">
        <v>1102.5999999999999</v>
      </c>
      <c r="T56" s="11">
        <v>123.84</v>
      </c>
      <c r="U56" s="13">
        <f>IF('0.0%'!$N56&lt;$Z$3,0, '0.0%'!$O56/'0.0%'!$N56)</f>
        <v>1.0729672035707356</v>
      </c>
      <c r="V56" s="13">
        <f>IF('0.0%'!$N56&lt;$Z$3,0, '0.0%'!$P56/'0.0%'!$N56)</f>
        <v>1.3574616728119544</v>
      </c>
      <c r="W56" s="13">
        <f>IF('0.0%'!$N56&lt;$Z$3,0, '0.0%'!$Q56/'0.0%'!$N56)</f>
        <v>1.4329516786338057</v>
      </c>
      <c r="X56" s="13">
        <f>IF('0.0%'!$N56&lt;$Z$3,0, '0.0%'!$R56/'0.0%'!$N56)</f>
        <v>2.0851930914030663</v>
      </c>
      <c r="Y56" s="13">
        <f>IF('0.0%'!$N56&lt;$Z$3,0, '0.0%'!$S56/'0.0%'!$N56)</f>
        <v>2.1397244323694937</v>
      </c>
    </row>
    <row r="57" spans="1:25" x14ac:dyDescent="0.3">
      <c r="A57" s="17">
        <v>124.83</v>
      </c>
      <c r="B57" s="10">
        <v>511.9</v>
      </c>
      <c r="C57" s="9">
        <v>124.83</v>
      </c>
      <c r="D57" s="10">
        <v>548.9</v>
      </c>
      <c r="E57" s="11">
        <v>124.83</v>
      </c>
      <c r="F57" s="12">
        <v>694.9</v>
      </c>
      <c r="G57" s="11">
        <v>124.83</v>
      </c>
      <c r="H57" s="12">
        <v>732.6</v>
      </c>
      <c r="I57" s="11">
        <v>124.83</v>
      </c>
      <c r="J57" s="12">
        <v>1067.8</v>
      </c>
      <c r="K57" s="11">
        <v>124.83</v>
      </c>
      <c r="L57" s="12">
        <v>1095</v>
      </c>
      <c r="M57" s="11">
        <v>124.83</v>
      </c>
      <c r="N57" s="13">
        <v>511.9</v>
      </c>
      <c r="O57" s="13">
        <v>548.9</v>
      </c>
      <c r="P57" s="13">
        <v>694.9</v>
      </c>
      <c r="Q57" s="11">
        <v>732.6</v>
      </c>
      <c r="R57" s="11">
        <v>1067.8</v>
      </c>
      <c r="S57" s="14">
        <v>1095</v>
      </c>
      <c r="T57" s="11">
        <v>124.83</v>
      </c>
      <c r="U57" s="13">
        <f>IF('0.0%'!$N57&lt;$Z$3,0, '0.0%'!$O57/'0.0%'!$N57)</f>
        <v>1.0722797421371362</v>
      </c>
      <c r="V57" s="13">
        <f>IF('0.0%'!$N57&lt;$Z$3,0, '0.0%'!$P57/'0.0%'!$N57)</f>
        <v>1.3574916975971869</v>
      </c>
      <c r="W57" s="13">
        <f>IF('0.0%'!$N57&lt;$Z$3,0, '0.0%'!$Q57/'0.0%'!$N57)</f>
        <v>1.4311388943152961</v>
      </c>
      <c r="X57" s="13">
        <f>IF('0.0%'!$N57&lt;$Z$3,0, '0.0%'!$R57/'0.0%'!$N57)</f>
        <v>2.0859542879468647</v>
      </c>
      <c r="Y57" s="13">
        <f>IF('0.0%'!$N57&lt;$Z$3,0, '0.0%'!$S57/'0.0%'!$N57)</f>
        <v>2.1390896659503809</v>
      </c>
    </row>
    <row r="58" spans="1:25" x14ac:dyDescent="0.3">
      <c r="A58" s="17">
        <v>125.82</v>
      </c>
      <c r="B58" s="10">
        <v>508.3</v>
      </c>
      <c r="C58" s="9">
        <v>125.82</v>
      </c>
      <c r="D58" s="10">
        <v>544.70000000000005</v>
      </c>
      <c r="E58" s="11">
        <v>125.82</v>
      </c>
      <c r="F58" s="12">
        <v>690.1</v>
      </c>
      <c r="G58" s="11">
        <v>125.82</v>
      </c>
      <c r="H58" s="12">
        <v>726.7</v>
      </c>
      <c r="I58" s="11">
        <v>125.82</v>
      </c>
      <c r="J58" s="12">
        <v>1061.8</v>
      </c>
      <c r="K58" s="11">
        <v>125.82</v>
      </c>
      <c r="L58" s="12">
        <v>1088</v>
      </c>
      <c r="M58" s="11">
        <v>125.82</v>
      </c>
      <c r="N58" s="13">
        <v>508.3</v>
      </c>
      <c r="O58" s="13">
        <v>544.70000000000005</v>
      </c>
      <c r="P58" s="13">
        <v>690.1</v>
      </c>
      <c r="Q58" s="11">
        <v>726.7</v>
      </c>
      <c r="R58" s="11">
        <v>1061.8</v>
      </c>
      <c r="S58" s="14">
        <v>1088</v>
      </c>
      <c r="T58" s="11">
        <v>125.82</v>
      </c>
      <c r="U58" s="13">
        <f>IF('0.0%'!$N58&lt;$Z$3,0, '0.0%'!$O58/'0.0%'!$N58)</f>
        <v>1.0716112531969311</v>
      </c>
      <c r="V58" s="13">
        <f>IF('0.0%'!$N58&lt;$Z$3,0, '0.0%'!$P58/'0.0%'!$N58)</f>
        <v>1.3576627975604958</v>
      </c>
      <c r="W58" s="13">
        <f>IF('0.0%'!$N58&lt;$Z$3,0, '0.0%'!$Q58/'0.0%'!$N58)</f>
        <v>1.4296675191815857</v>
      </c>
      <c r="X58" s="13">
        <f>IF('0.0%'!$N58&lt;$Z$3,0, '0.0%'!$R58/'0.0%'!$N58)</f>
        <v>2.0889238638599252</v>
      </c>
      <c r="Y58" s="13">
        <f>IF('0.0%'!$N58&lt;$Z$3,0, '0.0%'!$S58/'0.0%'!$N58)</f>
        <v>2.1404682274247491</v>
      </c>
    </row>
    <row r="59" spans="1:25" x14ac:dyDescent="0.3">
      <c r="A59" s="17">
        <v>126.81</v>
      </c>
      <c r="B59" s="10">
        <v>505.4</v>
      </c>
      <c r="C59" s="9">
        <v>126.81</v>
      </c>
      <c r="D59" s="10">
        <v>541.20000000000005</v>
      </c>
      <c r="E59" s="11">
        <v>126.81</v>
      </c>
      <c r="F59" s="12">
        <v>685.9</v>
      </c>
      <c r="G59" s="11">
        <v>126.81</v>
      </c>
      <c r="H59" s="12">
        <v>721.3</v>
      </c>
      <c r="I59" s="11">
        <v>126.81</v>
      </c>
      <c r="J59" s="12">
        <v>1055.9000000000001</v>
      </c>
      <c r="K59" s="11">
        <v>126.81</v>
      </c>
      <c r="L59" s="12">
        <v>1081.3</v>
      </c>
      <c r="M59" s="11">
        <v>126.81</v>
      </c>
      <c r="N59" s="13">
        <v>505.4</v>
      </c>
      <c r="O59" s="13">
        <v>541.20000000000005</v>
      </c>
      <c r="P59" s="13">
        <v>685.9</v>
      </c>
      <c r="Q59" s="11">
        <v>721.3</v>
      </c>
      <c r="R59" s="11">
        <v>1055.9000000000001</v>
      </c>
      <c r="S59" s="14">
        <v>1081.3</v>
      </c>
      <c r="T59" s="11">
        <v>126.81</v>
      </c>
      <c r="U59" s="13">
        <f>IF('0.0%'!$N59&lt;$Z$3,0, '0.0%'!$O59/'0.0%'!$N59)</f>
        <v>1.0708349821923231</v>
      </c>
      <c r="V59" s="13">
        <f>IF('0.0%'!$N59&lt;$Z$3,0, '0.0%'!$P59/'0.0%'!$N59)</f>
        <v>1.3571428571428572</v>
      </c>
      <c r="W59" s="13">
        <f>IF('0.0%'!$N59&lt;$Z$3,0, '0.0%'!$Q59/'0.0%'!$N59)</f>
        <v>1.427186387020182</v>
      </c>
      <c r="X59" s="13">
        <f>IF('0.0%'!$N59&lt;$Z$3,0, '0.0%'!$R59/'0.0%'!$N59)</f>
        <v>2.089236248516027</v>
      </c>
      <c r="Y59" s="13">
        <f>IF('0.0%'!$N59&lt;$Z$3,0, '0.0%'!$S59/'0.0%'!$N59)</f>
        <v>2.1394934705184014</v>
      </c>
    </row>
    <row r="60" spans="1:25" x14ac:dyDescent="0.3">
      <c r="A60" s="17">
        <v>127.8</v>
      </c>
      <c r="B60" s="10">
        <v>501.7</v>
      </c>
      <c r="C60" s="9">
        <v>127.8</v>
      </c>
      <c r="D60" s="10">
        <v>537.1</v>
      </c>
      <c r="E60" s="11">
        <v>127.8</v>
      </c>
      <c r="F60" s="12">
        <v>680.9</v>
      </c>
      <c r="G60" s="11">
        <v>127.8</v>
      </c>
      <c r="H60" s="12">
        <v>715.5</v>
      </c>
      <c r="I60" s="11">
        <v>127.8</v>
      </c>
      <c r="J60" s="12">
        <v>1050.2</v>
      </c>
      <c r="K60" s="11">
        <v>127.8</v>
      </c>
      <c r="L60" s="12">
        <v>1074.5</v>
      </c>
      <c r="M60" s="11">
        <v>127.8</v>
      </c>
      <c r="N60" s="13">
        <v>501.7</v>
      </c>
      <c r="O60" s="13">
        <v>537.1</v>
      </c>
      <c r="P60" s="13">
        <v>680.9</v>
      </c>
      <c r="Q60" s="11">
        <v>715.5</v>
      </c>
      <c r="R60" s="11">
        <v>1050.2</v>
      </c>
      <c r="S60" s="14">
        <v>1074.5</v>
      </c>
      <c r="T60" s="11">
        <v>127.8</v>
      </c>
      <c r="U60" s="13">
        <f>IF('0.0%'!$N60&lt;$Z$3,0, '0.0%'!$O60/'0.0%'!$N60)</f>
        <v>1.0705600956747061</v>
      </c>
      <c r="V60" s="13">
        <f>IF('0.0%'!$N60&lt;$Z$3,0, '0.0%'!$P60/'0.0%'!$N60)</f>
        <v>1.3571855690651784</v>
      </c>
      <c r="W60" s="13">
        <f>IF('0.0%'!$N60&lt;$Z$3,0, '0.0%'!$Q60/'0.0%'!$N60)</f>
        <v>1.4261510863065578</v>
      </c>
      <c r="X60" s="13">
        <f>IF('0.0%'!$N60&lt;$Z$3,0, '0.0%'!$R60/'0.0%'!$N60)</f>
        <v>2.0932828383496114</v>
      </c>
      <c r="Y60" s="13">
        <f>IF('0.0%'!$N60&lt;$Z$3,0, '0.0%'!$S60/'0.0%'!$N60)</f>
        <v>2.1417181582619094</v>
      </c>
    </row>
    <row r="61" spans="1:25" x14ac:dyDescent="0.3">
      <c r="A61" s="17">
        <v>128.80000000000001</v>
      </c>
      <c r="B61" s="10">
        <v>498.6</v>
      </c>
      <c r="C61" s="9">
        <v>128.80000000000001</v>
      </c>
      <c r="D61" s="10">
        <v>533.5</v>
      </c>
      <c r="E61" s="11">
        <v>128.80000000000001</v>
      </c>
      <c r="F61" s="12">
        <v>676.3</v>
      </c>
      <c r="G61" s="11">
        <v>128.80000000000001</v>
      </c>
      <c r="H61" s="12">
        <v>710.1</v>
      </c>
      <c r="I61" s="11">
        <v>128.80000000000001</v>
      </c>
      <c r="J61" s="12">
        <v>1044.2</v>
      </c>
      <c r="K61" s="11">
        <v>128.80000000000001</v>
      </c>
      <c r="L61" s="12">
        <v>1067.5</v>
      </c>
      <c r="M61" s="11">
        <v>128.80000000000001</v>
      </c>
      <c r="N61" s="13">
        <v>498.6</v>
      </c>
      <c r="O61" s="13">
        <v>533.5</v>
      </c>
      <c r="P61" s="13">
        <v>676.3</v>
      </c>
      <c r="Q61" s="11">
        <v>710.1</v>
      </c>
      <c r="R61" s="11">
        <v>1044.2</v>
      </c>
      <c r="S61" s="14">
        <v>1067.5</v>
      </c>
      <c r="T61" s="11">
        <v>128.80000000000001</v>
      </c>
      <c r="U61" s="13">
        <f>IF('0.0%'!$N61&lt;$Z$3,0, '0.0%'!$O61/'0.0%'!$N61)</f>
        <v>1.069995988768552</v>
      </c>
      <c r="V61" s="13">
        <f>IF('0.0%'!$N61&lt;$Z$3,0, '0.0%'!$P61/'0.0%'!$N61)</f>
        <v>1.3563979141596469</v>
      </c>
      <c r="W61" s="13">
        <f>IF('0.0%'!$N61&lt;$Z$3,0, '0.0%'!$Q61/'0.0%'!$N61)</f>
        <v>1.424187725631769</v>
      </c>
      <c r="X61" s="13">
        <f>IF('0.0%'!$N61&lt;$Z$3,0, '0.0%'!$R61/'0.0%'!$N61)</f>
        <v>2.0942639390292821</v>
      </c>
      <c r="Y61" s="13">
        <f>IF('0.0%'!$N61&lt;$Z$3,0, '0.0%'!$S61/'0.0%'!$N61)</f>
        <v>2.1409947853991174</v>
      </c>
    </row>
    <row r="62" spans="1:25" x14ac:dyDescent="0.3">
      <c r="A62" s="17">
        <v>129.79</v>
      </c>
      <c r="B62" s="10">
        <v>494.9</v>
      </c>
      <c r="C62" s="9">
        <v>129.79</v>
      </c>
      <c r="D62" s="10">
        <v>529.4</v>
      </c>
      <c r="E62" s="11">
        <v>129.79</v>
      </c>
      <c r="F62" s="12">
        <v>671.5</v>
      </c>
      <c r="G62" s="11">
        <v>129.79</v>
      </c>
      <c r="H62" s="12">
        <v>704.5</v>
      </c>
      <c r="I62" s="11">
        <v>129.79</v>
      </c>
      <c r="J62" s="12">
        <v>1038.5999999999999</v>
      </c>
      <c r="K62" s="11">
        <v>129.79</v>
      </c>
      <c r="L62" s="12">
        <v>1061</v>
      </c>
      <c r="M62" s="11">
        <v>129.79</v>
      </c>
      <c r="N62" s="13">
        <v>494.9</v>
      </c>
      <c r="O62" s="13">
        <v>529.4</v>
      </c>
      <c r="P62" s="13">
        <v>671.5</v>
      </c>
      <c r="Q62" s="11">
        <v>704.5</v>
      </c>
      <c r="R62" s="11">
        <v>1038.5999999999999</v>
      </c>
      <c r="S62" s="14">
        <v>1061</v>
      </c>
      <c r="T62" s="11">
        <v>129.79</v>
      </c>
      <c r="U62" s="13">
        <f>IF('0.0%'!$N62&lt;$Z$3,0, '0.0%'!$O62/'0.0%'!$N62)</f>
        <v>1.0697110527379268</v>
      </c>
      <c r="V62" s="13">
        <f>IF('0.0%'!$N62&lt;$Z$3,0, '0.0%'!$P62/'0.0%'!$N62)</f>
        <v>1.3568397656092142</v>
      </c>
      <c r="W62" s="13">
        <f>IF('0.0%'!$N62&lt;$Z$3,0, '0.0%'!$Q62/'0.0%'!$N62)</f>
        <v>1.4235199030107093</v>
      </c>
      <c r="X62" s="13">
        <f>IF('0.0%'!$N62&lt;$Z$3,0, '0.0%'!$R62/'0.0%'!$N62)</f>
        <v>2.0986057789452413</v>
      </c>
      <c r="Y62" s="13">
        <f>IF('0.0%'!$N62&lt;$Z$3,0, '0.0%'!$S62/'0.0%'!$N62)</f>
        <v>2.1438674479692867</v>
      </c>
    </row>
    <row r="63" spans="1:25" x14ac:dyDescent="0.3">
      <c r="A63" s="17">
        <v>130.78</v>
      </c>
      <c r="B63" s="10">
        <v>492</v>
      </c>
      <c r="C63" s="9">
        <v>130.78</v>
      </c>
      <c r="D63" s="10">
        <v>526.29999999999995</v>
      </c>
      <c r="E63" s="11">
        <v>130.78</v>
      </c>
      <c r="F63" s="12">
        <v>667.2</v>
      </c>
      <c r="G63" s="11">
        <v>130.78</v>
      </c>
      <c r="H63" s="12">
        <v>699.6</v>
      </c>
      <c r="I63" s="11">
        <v>130.78</v>
      </c>
      <c r="J63" s="12">
        <v>1033.5</v>
      </c>
      <c r="K63" s="11">
        <v>130.78</v>
      </c>
      <c r="L63" s="12">
        <v>1054.8</v>
      </c>
      <c r="M63" s="11">
        <v>130.78</v>
      </c>
      <c r="N63" s="13">
        <v>492</v>
      </c>
      <c r="O63" s="13">
        <v>526.29999999999995</v>
      </c>
      <c r="P63" s="13">
        <v>667.2</v>
      </c>
      <c r="Q63" s="11">
        <v>699.6</v>
      </c>
      <c r="R63" s="11">
        <v>1033.5</v>
      </c>
      <c r="S63" s="14">
        <v>1054.8</v>
      </c>
      <c r="T63" s="11">
        <v>130.78</v>
      </c>
      <c r="U63" s="13">
        <f>IF('0.0%'!$N63&lt;$Z$3,0, '0.0%'!$O63/'0.0%'!$N63)</f>
        <v>1.0697154471544714</v>
      </c>
      <c r="V63" s="13">
        <f>IF('0.0%'!$N63&lt;$Z$3,0, '0.0%'!$P63/'0.0%'!$N63)</f>
        <v>1.3560975609756099</v>
      </c>
      <c r="W63" s="13">
        <f>IF('0.0%'!$N63&lt;$Z$3,0, '0.0%'!$Q63/'0.0%'!$N63)</f>
        <v>1.4219512195121953</v>
      </c>
      <c r="X63" s="13">
        <f>IF('0.0%'!$N63&lt;$Z$3,0, '0.0%'!$R63/'0.0%'!$N63)</f>
        <v>2.100609756097561</v>
      </c>
      <c r="Y63" s="13">
        <f>IF('0.0%'!$N63&lt;$Z$3,0, '0.0%'!$S63/'0.0%'!$N63)</f>
        <v>2.1439024390243904</v>
      </c>
    </row>
    <row r="64" spans="1:25" x14ac:dyDescent="0.3">
      <c r="A64" s="17">
        <v>131.77000000000001</v>
      </c>
      <c r="B64" s="10">
        <v>488.3</v>
      </c>
      <c r="C64" s="9">
        <v>131.77000000000001</v>
      </c>
      <c r="D64" s="10">
        <v>522.20000000000005</v>
      </c>
      <c r="E64" s="11">
        <v>131.77000000000001</v>
      </c>
      <c r="F64" s="12">
        <v>662.4</v>
      </c>
      <c r="G64" s="11">
        <v>131.77000000000001</v>
      </c>
      <c r="H64" s="12">
        <v>694.1</v>
      </c>
      <c r="I64" s="11">
        <v>131.77000000000001</v>
      </c>
      <c r="J64" s="12">
        <v>1028.3</v>
      </c>
      <c r="K64" s="11">
        <v>131.77000000000001</v>
      </c>
      <c r="L64" s="12">
        <v>1048.5</v>
      </c>
      <c r="M64" s="11">
        <v>131.77000000000001</v>
      </c>
      <c r="N64" s="13">
        <v>488.3</v>
      </c>
      <c r="O64" s="13">
        <v>522.20000000000005</v>
      </c>
      <c r="P64" s="13">
        <v>662.4</v>
      </c>
      <c r="Q64" s="11">
        <v>694.1</v>
      </c>
      <c r="R64" s="11">
        <v>1028.3</v>
      </c>
      <c r="S64" s="14">
        <v>1048.5</v>
      </c>
      <c r="T64" s="11">
        <v>131.77000000000001</v>
      </c>
      <c r="U64" s="13">
        <f>IF('0.0%'!$N64&lt;$Z$3,0, '0.0%'!$O64/'0.0%'!$N64)</f>
        <v>1.0694245340978907</v>
      </c>
      <c r="V64" s="13">
        <f>IF('0.0%'!$N64&lt;$Z$3,0, '0.0%'!$P64/'0.0%'!$N64)</f>
        <v>1.356543108744624</v>
      </c>
      <c r="W64" s="13">
        <f>IF('0.0%'!$N64&lt;$Z$3,0, '0.0%'!$Q64/'0.0%'!$N64)</f>
        <v>1.4214622158509114</v>
      </c>
      <c r="X64" s="13">
        <f>IF('0.0%'!$N64&lt;$Z$3,0, '0.0%'!$R64/'0.0%'!$N64)</f>
        <v>2.1058775343026825</v>
      </c>
      <c r="Y64" s="13">
        <f>IF('0.0%'!$N64&lt;$Z$3,0, '0.0%'!$S64/'0.0%'!$N64)</f>
        <v>2.1472455457710424</v>
      </c>
    </row>
    <row r="65" spans="1:25" x14ac:dyDescent="0.3">
      <c r="A65" s="17">
        <v>132.76</v>
      </c>
      <c r="B65" s="10">
        <v>485.3</v>
      </c>
      <c r="C65" s="9">
        <v>132.76</v>
      </c>
      <c r="D65" s="10">
        <v>518.79999999999995</v>
      </c>
      <c r="E65" s="11">
        <v>132.76</v>
      </c>
      <c r="F65" s="12">
        <v>658</v>
      </c>
      <c r="G65" s="11">
        <v>132.76</v>
      </c>
      <c r="H65" s="12">
        <v>689.1</v>
      </c>
      <c r="I65" s="11">
        <v>132.76</v>
      </c>
      <c r="J65" s="12">
        <v>1023.2</v>
      </c>
      <c r="K65" s="11">
        <v>132.76</v>
      </c>
      <c r="L65" s="12">
        <v>1042.4000000000001</v>
      </c>
      <c r="M65" s="11">
        <v>132.76</v>
      </c>
      <c r="N65" s="13">
        <v>485.3</v>
      </c>
      <c r="O65" s="13">
        <v>518.79999999999995</v>
      </c>
      <c r="P65" s="13">
        <v>658</v>
      </c>
      <c r="Q65" s="11">
        <v>689.1</v>
      </c>
      <c r="R65" s="11">
        <v>1023.2</v>
      </c>
      <c r="S65" s="14">
        <v>1042.4000000000001</v>
      </c>
      <c r="T65" s="11">
        <v>132.76</v>
      </c>
      <c r="U65" s="13">
        <f>IF('0.0%'!$N65&lt;$Z$3,0, '0.0%'!$O65/'0.0%'!$N65)</f>
        <v>1.0690294663094992</v>
      </c>
      <c r="V65" s="13">
        <f>IF('0.0%'!$N65&lt;$Z$3,0, '0.0%'!$P65/'0.0%'!$N65)</f>
        <v>1.3558623531835978</v>
      </c>
      <c r="W65" s="13">
        <f>IF('0.0%'!$N65&lt;$Z$3,0, '0.0%'!$Q65/'0.0%'!$N65)</f>
        <v>1.4199464248918194</v>
      </c>
      <c r="X65" s="13">
        <f>IF('0.0%'!$N65&lt;$Z$3,0, '0.0%'!$R65/'0.0%'!$N65)</f>
        <v>2.1083865650113331</v>
      </c>
      <c r="Y65" s="13">
        <f>IF('0.0%'!$N65&lt;$Z$3,0, '0.0%'!$S65/'0.0%'!$N65)</f>
        <v>2.1479497218215537</v>
      </c>
    </row>
    <row r="66" spans="1:25" x14ac:dyDescent="0.3">
      <c r="A66" s="17">
        <v>133.75</v>
      </c>
      <c r="B66" s="10">
        <v>481.8</v>
      </c>
      <c r="C66" s="9">
        <v>133.75</v>
      </c>
      <c r="D66" s="10">
        <v>514.79999999999995</v>
      </c>
      <c r="E66" s="11">
        <v>133.75</v>
      </c>
      <c r="F66" s="12">
        <v>653.20000000000005</v>
      </c>
      <c r="G66" s="11">
        <v>133.75</v>
      </c>
      <c r="H66" s="12">
        <v>683.9</v>
      </c>
      <c r="I66" s="11">
        <v>133.75</v>
      </c>
      <c r="J66" s="12">
        <v>1018.4</v>
      </c>
      <c r="K66" s="11">
        <v>133.75</v>
      </c>
      <c r="L66" s="12">
        <v>1036.8</v>
      </c>
      <c r="M66" s="11">
        <v>133.75</v>
      </c>
      <c r="N66" s="13">
        <v>481.8</v>
      </c>
      <c r="O66" s="13">
        <v>514.79999999999995</v>
      </c>
      <c r="P66" s="13">
        <v>653.20000000000005</v>
      </c>
      <c r="Q66" s="11">
        <v>683.9</v>
      </c>
      <c r="R66" s="11">
        <v>1018.4</v>
      </c>
      <c r="S66" s="14">
        <v>1036.8</v>
      </c>
      <c r="T66" s="11">
        <v>133.75</v>
      </c>
      <c r="U66" s="13">
        <f>IF('0.0%'!$N66&lt;$Z$3,0, '0.0%'!$O66/'0.0%'!$N66)</f>
        <v>1.0684931506849313</v>
      </c>
      <c r="V66" s="13">
        <f>IF('0.0%'!$N66&lt;$Z$3,0, '0.0%'!$P66/'0.0%'!$N66)</f>
        <v>1.3557492735574928</v>
      </c>
      <c r="W66" s="13">
        <f>IF('0.0%'!$N66&lt;$Z$3,0, '0.0%'!$Q66/'0.0%'!$N66)</f>
        <v>1.4194686591946866</v>
      </c>
      <c r="X66" s="13">
        <f>IF('0.0%'!$N66&lt;$Z$3,0, '0.0%'!$R66/'0.0%'!$N66)</f>
        <v>2.1137401411374013</v>
      </c>
      <c r="Y66" s="13">
        <f>IF('0.0%'!$N66&lt;$Z$3,0, '0.0%'!$S66/'0.0%'!$N66)</f>
        <v>2.1519302615193023</v>
      </c>
    </row>
    <row r="67" spans="1:25" x14ac:dyDescent="0.3">
      <c r="A67" s="17">
        <v>134.75</v>
      </c>
      <c r="B67" s="10">
        <v>478.9</v>
      </c>
      <c r="C67" s="9">
        <v>134.75</v>
      </c>
      <c r="D67" s="10">
        <v>511.5</v>
      </c>
      <c r="E67" s="11">
        <v>134.75</v>
      </c>
      <c r="F67" s="12">
        <v>649.1</v>
      </c>
      <c r="G67" s="11">
        <v>134.75</v>
      </c>
      <c r="H67" s="12">
        <v>679.4</v>
      </c>
      <c r="I67" s="11">
        <v>134.75</v>
      </c>
      <c r="J67" s="12">
        <v>1014</v>
      </c>
      <c r="K67" s="11">
        <v>134.75</v>
      </c>
      <c r="L67" s="12">
        <v>1031.3</v>
      </c>
      <c r="M67" s="11">
        <v>134.75</v>
      </c>
      <c r="N67" s="13">
        <v>478.9</v>
      </c>
      <c r="O67" s="13">
        <v>511.5</v>
      </c>
      <c r="P67" s="13">
        <v>649.1</v>
      </c>
      <c r="Q67" s="11">
        <v>679.4</v>
      </c>
      <c r="R67" s="11">
        <v>1014</v>
      </c>
      <c r="S67" s="14">
        <v>1031.3</v>
      </c>
      <c r="T67" s="11">
        <v>134.75</v>
      </c>
      <c r="U67" s="13">
        <f>IF('0.0%'!$N67&lt;$Z$3,0, '0.0%'!$O67/'0.0%'!$N67)</f>
        <v>1.0680726665274589</v>
      </c>
      <c r="V67" s="13">
        <f>IF('0.0%'!$N67&lt;$Z$3,0, '0.0%'!$P67/'0.0%'!$N67)</f>
        <v>1.3553977865942786</v>
      </c>
      <c r="W67" s="13">
        <f>IF('0.0%'!$N67&lt;$Z$3,0, '0.0%'!$Q67/'0.0%'!$N67)</f>
        <v>1.4186677803299228</v>
      </c>
      <c r="X67" s="13">
        <f>IF('0.0%'!$N67&lt;$Z$3,0, '0.0%'!$R67/'0.0%'!$N67)</f>
        <v>2.1173522656086865</v>
      </c>
      <c r="Y67" s="13">
        <f>IF('0.0%'!$N67&lt;$Z$3,0, '0.0%'!$S67/'0.0%'!$N67)</f>
        <v>2.1534767174775529</v>
      </c>
    </row>
    <row r="68" spans="1:25" x14ac:dyDescent="0.3">
      <c r="A68" s="17">
        <v>135.74</v>
      </c>
      <c r="B68" s="10">
        <v>475.3</v>
      </c>
      <c r="C68" s="9">
        <v>135.74</v>
      </c>
      <c r="D68" s="10">
        <v>507.5</v>
      </c>
      <c r="E68" s="11">
        <v>135.74</v>
      </c>
      <c r="F68" s="12">
        <v>644.29999999999995</v>
      </c>
      <c r="G68" s="11">
        <v>135.74</v>
      </c>
      <c r="H68" s="12">
        <v>674.3</v>
      </c>
      <c r="I68" s="11">
        <v>135.74</v>
      </c>
      <c r="J68" s="12">
        <v>1009.3</v>
      </c>
      <c r="K68" s="11">
        <v>135.74</v>
      </c>
      <c r="L68" s="12">
        <v>1025.7</v>
      </c>
      <c r="M68" s="11">
        <v>135.74</v>
      </c>
      <c r="N68" s="13">
        <v>475.3</v>
      </c>
      <c r="O68" s="13">
        <v>507.5</v>
      </c>
      <c r="P68" s="13">
        <v>644.29999999999995</v>
      </c>
      <c r="Q68" s="11">
        <v>674.3</v>
      </c>
      <c r="R68" s="11">
        <v>1009.3</v>
      </c>
      <c r="S68" s="14">
        <v>1025.7</v>
      </c>
      <c r="T68" s="11">
        <v>135.74</v>
      </c>
      <c r="U68" s="13">
        <f>IF('0.0%'!$N68&lt;$Z$3,0, '0.0%'!$O68/'0.0%'!$N68)</f>
        <v>1.0677466863033873</v>
      </c>
      <c r="V68" s="13">
        <f>IF('0.0%'!$N68&lt;$Z$3,0, '0.0%'!$P68/'0.0%'!$N68)</f>
        <v>1.3555649063749209</v>
      </c>
      <c r="W68" s="13">
        <f>IF('0.0%'!$N68&lt;$Z$3,0, '0.0%'!$Q68/'0.0%'!$N68)</f>
        <v>1.4186829370923626</v>
      </c>
      <c r="X68" s="13">
        <f>IF('0.0%'!$N68&lt;$Z$3,0, '0.0%'!$R68/'0.0%'!$N68)</f>
        <v>2.1235009467704606</v>
      </c>
      <c r="Y68" s="13">
        <f>IF('0.0%'!$N68&lt;$Z$3,0, '0.0%'!$S68/'0.0%'!$N68)</f>
        <v>2.158005470229329</v>
      </c>
    </row>
    <row r="69" spans="1:25" x14ac:dyDescent="0.3">
      <c r="A69" s="17">
        <v>136.72999999999999</v>
      </c>
      <c r="B69" s="10">
        <v>472.2</v>
      </c>
      <c r="C69" s="9">
        <v>136.72999999999999</v>
      </c>
      <c r="D69" s="10">
        <v>504</v>
      </c>
      <c r="E69" s="11">
        <v>136.72999999999999</v>
      </c>
      <c r="F69" s="12">
        <v>640</v>
      </c>
      <c r="G69" s="11">
        <v>136.72999999999999</v>
      </c>
      <c r="H69" s="12">
        <v>669.6</v>
      </c>
      <c r="I69" s="11">
        <v>136.72999999999999</v>
      </c>
      <c r="J69" s="12">
        <v>1004.6</v>
      </c>
      <c r="K69" s="11">
        <v>136.72999999999999</v>
      </c>
      <c r="L69" s="12">
        <v>1019.8</v>
      </c>
      <c r="M69" s="11">
        <v>136.72999999999999</v>
      </c>
      <c r="N69" s="13">
        <v>472.2</v>
      </c>
      <c r="O69" s="13">
        <v>504</v>
      </c>
      <c r="P69" s="13">
        <v>640</v>
      </c>
      <c r="Q69" s="11">
        <v>669.6</v>
      </c>
      <c r="R69" s="11">
        <v>1004.6</v>
      </c>
      <c r="S69" s="14">
        <v>1019.8</v>
      </c>
      <c r="T69" s="11">
        <v>136.72999999999999</v>
      </c>
      <c r="U69" s="13">
        <f>IF('0.0%'!$N69&lt;$Z$3,0, '0.0%'!$O69/'0.0%'!$N69)</f>
        <v>1.0673443456162643</v>
      </c>
      <c r="V69" s="13">
        <f>IF('0.0%'!$N69&lt;$Z$3,0, '0.0%'!$P69/'0.0%'!$N69)</f>
        <v>1.3553578991952562</v>
      </c>
      <c r="W69" s="13">
        <f>IF('0.0%'!$N69&lt;$Z$3,0, '0.0%'!$Q69/'0.0%'!$N69)</f>
        <v>1.4180432020330369</v>
      </c>
      <c r="X69" s="13">
        <f>IF('0.0%'!$N69&lt;$Z$3,0, '0.0%'!$R69/'0.0%'!$N69)</f>
        <v>2.1274883523930539</v>
      </c>
      <c r="Y69" s="13">
        <f>IF('0.0%'!$N69&lt;$Z$3,0, '0.0%'!$S69/'0.0%'!$N69)</f>
        <v>2.1596781024989409</v>
      </c>
    </row>
    <row r="70" spans="1:25" x14ac:dyDescent="0.3">
      <c r="A70" s="17">
        <v>137.72</v>
      </c>
      <c r="B70" s="10">
        <v>468.3</v>
      </c>
      <c r="C70" s="9">
        <v>137.72</v>
      </c>
      <c r="D70" s="10">
        <v>499.8</v>
      </c>
      <c r="E70" s="11">
        <v>137.72</v>
      </c>
      <c r="F70" s="12">
        <v>635.1</v>
      </c>
      <c r="G70" s="11">
        <v>137.72</v>
      </c>
      <c r="H70" s="12">
        <v>664.5</v>
      </c>
      <c r="I70" s="11">
        <v>137.72</v>
      </c>
      <c r="J70" s="12">
        <v>999.9</v>
      </c>
      <c r="K70" s="11">
        <v>137.72</v>
      </c>
      <c r="L70" s="12">
        <v>1013.9</v>
      </c>
      <c r="M70" s="11">
        <v>137.72</v>
      </c>
      <c r="N70" s="13">
        <v>468.3</v>
      </c>
      <c r="O70" s="13">
        <v>499.8</v>
      </c>
      <c r="P70" s="13">
        <v>635.1</v>
      </c>
      <c r="Q70" s="11">
        <v>664.5</v>
      </c>
      <c r="R70" s="11">
        <v>999.9</v>
      </c>
      <c r="S70" s="14">
        <v>1013.9</v>
      </c>
      <c r="T70" s="11">
        <v>137.72</v>
      </c>
      <c r="U70" s="13">
        <f>IF('0.0%'!$N70&lt;$Z$3,0, '0.0%'!$O70/'0.0%'!$N70)</f>
        <v>1.0672645739910314</v>
      </c>
      <c r="V70" s="13">
        <f>IF('0.0%'!$N70&lt;$Z$3,0, '0.0%'!$P70/'0.0%'!$N70)</f>
        <v>1.356181934657271</v>
      </c>
      <c r="W70" s="13">
        <f>IF('0.0%'!$N70&lt;$Z$3,0, '0.0%'!$Q70/'0.0%'!$N70)</f>
        <v>1.4189622037155669</v>
      </c>
      <c r="X70" s="13">
        <f>IF('0.0%'!$N70&lt;$Z$3,0, '0.0%'!$R70/'0.0%'!$N70)</f>
        <v>2.1351697629724535</v>
      </c>
      <c r="Y70" s="13">
        <f>IF('0.0%'!$N70&lt;$Z$3,0, '0.0%'!$S70/'0.0%'!$N70)</f>
        <v>2.1650651291906895</v>
      </c>
    </row>
    <row r="71" spans="1:25" x14ac:dyDescent="0.3">
      <c r="A71" s="17">
        <v>138.71</v>
      </c>
      <c r="B71" s="10">
        <v>465.2</v>
      </c>
      <c r="C71" s="9">
        <v>138.71</v>
      </c>
      <c r="D71" s="10">
        <v>496.3</v>
      </c>
      <c r="E71" s="11">
        <v>138.71</v>
      </c>
      <c r="F71" s="12">
        <v>630.6</v>
      </c>
      <c r="G71" s="11">
        <v>138.71</v>
      </c>
      <c r="H71" s="12">
        <v>659.8</v>
      </c>
      <c r="I71" s="11">
        <v>138.71</v>
      </c>
      <c r="J71" s="12">
        <v>995.1</v>
      </c>
      <c r="K71" s="11">
        <v>138.71</v>
      </c>
      <c r="L71" s="12">
        <v>1008</v>
      </c>
      <c r="M71" s="11">
        <v>138.71</v>
      </c>
      <c r="N71" s="13">
        <v>465.2</v>
      </c>
      <c r="O71" s="13">
        <v>496.3</v>
      </c>
      <c r="P71" s="13">
        <v>630.6</v>
      </c>
      <c r="Q71" s="11">
        <v>659.8</v>
      </c>
      <c r="R71" s="11">
        <v>995.1</v>
      </c>
      <c r="S71" s="14">
        <v>1008</v>
      </c>
      <c r="T71" s="11">
        <v>138.71</v>
      </c>
      <c r="U71" s="13">
        <f>IF('0.0%'!$N71&lt;$Z$3,0, '0.0%'!$O71/'0.0%'!$N71)</f>
        <v>1.0668529664660362</v>
      </c>
      <c r="V71" s="13">
        <f>IF('0.0%'!$N71&lt;$Z$3,0, '0.0%'!$P71/'0.0%'!$N71)</f>
        <v>1.3555460017196905</v>
      </c>
      <c r="W71" s="13">
        <f>IF('0.0%'!$N71&lt;$Z$3,0, '0.0%'!$Q71/'0.0%'!$N71)</f>
        <v>1.4183147033533963</v>
      </c>
      <c r="X71" s="13">
        <f>IF('0.0%'!$N71&lt;$Z$3,0, '0.0%'!$R71/'0.0%'!$N71)</f>
        <v>2.1390799656061912</v>
      </c>
      <c r="Y71" s="13">
        <f>IF('0.0%'!$N71&lt;$Z$3,0, '0.0%'!$S71/'0.0%'!$N71)</f>
        <v>2.1668099742046434</v>
      </c>
    </row>
    <row r="72" spans="1:25" x14ac:dyDescent="0.3">
      <c r="A72" s="17">
        <v>139.69999999999999</v>
      </c>
      <c r="B72" s="10">
        <v>461.1</v>
      </c>
      <c r="C72" s="9">
        <v>139.69999999999999</v>
      </c>
      <c r="D72" s="10">
        <v>491.8</v>
      </c>
      <c r="E72" s="11">
        <v>139.69999999999999</v>
      </c>
      <c r="F72" s="12">
        <v>625.1</v>
      </c>
      <c r="G72" s="11">
        <v>139.69999999999999</v>
      </c>
      <c r="H72" s="12">
        <v>654.20000000000005</v>
      </c>
      <c r="I72" s="11">
        <v>139.69999999999999</v>
      </c>
      <c r="J72" s="12">
        <v>989.1</v>
      </c>
      <c r="K72" s="11">
        <v>139.69999999999999</v>
      </c>
      <c r="L72" s="12">
        <v>1001.4</v>
      </c>
      <c r="M72" s="11">
        <v>139.69999999999999</v>
      </c>
      <c r="N72" s="13">
        <v>461.1</v>
      </c>
      <c r="O72" s="13">
        <v>491.8</v>
      </c>
      <c r="P72" s="13">
        <v>625.1</v>
      </c>
      <c r="Q72" s="11">
        <v>654.20000000000005</v>
      </c>
      <c r="R72" s="11">
        <v>989.1</v>
      </c>
      <c r="S72" s="14">
        <v>1001.4</v>
      </c>
      <c r="T72" s="11">
        <v>139.69999999999999</v>
      </c>
      <c r="U72" s="13">
        <f>IF('0.0%'!$N72&lt;$Z$3,0, '0.0%'!$O72/'0.0%'!$N72)</f>
        <v>1.0665799175883757</v>
      </c>
      <c r="V72" s="13">
        <f>IF('0.0%'!$N72&lt;$Z$3,0, '0.0%'!$P72/'0.0%'!$N72)</f>
        <v>1.3556712209932769</v>
      </c>
      <c r="W72" s="13">
        <f>IF('0.0%'!$N72&lt;$Z$3,0, '0.0%'!$Q72/'0.0%'!$N72)</f>
        <v>1.4187811754500108</v>
      </c>
      <c r="X72" s="13">
        <f>IF('0.0%'!$N72&lt;$Z$3,0, '0.0%'!$R72/'0.0%'!$N72)</f>
        <v>2.1450878334417696</v>
      </c>
      <c r="Y72" s="13">
        <f>IF('0.0%'!$N72&lt;$Z$3,0, '0.0%'!$S72/'0.0%'!$N72)</f>
        <v>2.1717631750162654</v>
      </c>
    </row>
    <row r="73" spans="1:25" x14ac:dyDescent="0.3">
      <c r="A73" s="17">
        <v>140.69999999999999</v>
      </c>
      <c r="B73" s="10">
        <v>457</v>
      </c>
      <c r="C73" s="9">
        <v>140.69999999999999</v>
      </c>
      <c r="D73" s="10">
        <v>487.4</v>
      </c>
      <c r="E73" s="11">
        <v>140.69999999999999</v>
      </c>
      <c r="F73" s="12">
        <v>620</v>
      </c>
      <c r="G73" s="11">
        <v>140.69999999999999</v>
      </c>
      <c r="H73" s="12">
        <v>648.79999999999995</v>
      </c>
      <c r="I73" s="11">
        <v>140.69999999999999</v>
      </c>
      <c r="J73" s="12">
        <v>983.3</v>
      </c>
      <c r="K73" s="11">
        <v>140.69999999999999</v>
      </c>
      <c r="L73" s="12">
        <v>995.3</v>
      </c>
      <c r="M73" s="11">
        <v>140.69999999999999</v>
      </c>
      <c r="N73" s="13">
        <v>457</v>
      </c>
      <c r="O73" s="13">
        <v>487.4</v>
      </c>
      <c r="P73" s="13">
        <v>620</v>
      </c>
      <c r="Q73" s="11">
        <v>648.79999999999995</v>
      </c>
      <c r="R73" s="11">
        <v>983.3</v>
      </c>
      <c r="S73" s="14">
        <v>995.3</v>
      </c>
      <c r="T73" s="11">
        <v>140.69999999999999</v>
      </c>
      <c r="U73" s="13">
        <f>IF('0.0%'!$N73&lt;$Z$3,0, '0.0%'!$O73/'0.0%'!$N73)</f>
        <v>1.0665207877461707</v>
      </c>
      <c r="V73" s="13">
        <f>IF('0.0%'!$N73&lt;$Z$3,0, '0.0%'!$P73/'0.0%'!$N73)</f>
        <v>1.3566739606126914</v>
      </c>
      <c r="W73" s="13">
        <f>IF('0.0%'!$N73&lt;$Z$3,0, '0.0%'!$Q73/'0.0%'!$N73)</f>
        <v>1.4196936542669583</v>
      </c>
      <c r="X73" s="13">
        <f>IF('0.0%'!$N73&lt;$Z$3,0, '0.0%'!$R73/'0.0%'!$N73)</f>
        <v>2.15164113785558</v>
      </c>
      <c r="Y73" s="13">
        <f>IF('0.0%'!$N73&lt;$Z$3,0, '0.0%'!$S73/'0.0%'!$N73)</f>
        <v>2.1778993435448575</v>
      </c>
    </row>
    <row r="74" spans="1:25" x14ac:dyDescent="0.3">
      <c r="A74" s="17">
        <v>141.69</v>
      </c>
      <c r="B74" s="10">
        <v>453.7</v>
      </c>
      <c r="C74" s="9">
        <v>141.69</v>
      </c>
      <c r="D74" s="10">
        <v>483.7</v>
      </c>
      <c r="E74" s="11">
        <v>141.69</v>
      </c>
      <c r="F74" s="12">
        <v>615.29999999999995</v>
      </c>
      <c r="G74" s="11">
        <v>141.69</v>
      </c>
      <c r="H74" s="12">
        <v>643.9</v>
      </c>
      <c r="I74" s="11">
        <v>141.69</v>
      </c>
      <c r="J74" s="12">
        <v>977.2</v>
      </c>
      <c r="K74" s="11">
        <v>141.69</v>
      </c>
      <c r="L74" s="12">
        <v>989</v>
      </c>
      <c r="M74" s="11">
        <v>141.69</v>
      </c>
      <c r="N74" s="13">
        <v>453.7</v>
      </c>
      <c r="O74" s="13">
        <v>483.7</v>
      </c>
      <c r="P74" s="13">
        <v>615.29999999999995</v>
      </c>
      <c r="Q74" s="11">
        <v>643.9</v>
      </c>
      <c r="R74" s="11">
        <v>977.2</v>
      </c>
      <c r="S74" s="14">
        <v>989</v>
      </c>
      <c r="T74" s="11">
        <v>141.69</v>
      </c>
      <c r="U74" s="13">
        <f>IF('0.0%'!$N74&lt;$Z$3,0, '0.0%'!$O74/'0.0%'!$N74)</f>
        <v>1.0661229887590919</v>
      </c>
      <c r="V74" s="13">
        <f>IF('0.0%'!$N74&lt;$Z$3,0, '0.0%'!$P74/'0.0%'!$N74)</f>
        <v>1.3561824994489751</v>
      </c>
      <c r="W74" s="13">
        <f>IF('0.0%'!$N74&lt;$Z$3,0, '0.0%'!$Q74/'0.0%'!$N74)</f>
        <v>1.4192197487326428</v>
      </c>
      <c r="X74" s="13">
        <f>IF('0.0%'!$N74&lt;$Z$3,0, '0.0%'!$R74/'0.0%'!$N74)</f>
        <v>2.1538461538461542</v>
      </c>
      <c r="Y74" s="13">
        <f>IF('0.0%'!$N74&lt;$Z$3,0, '0.0%'!$S74/'0.0%'!$N74)</f>
        <v>2.17985452942473</v>
      </c>
    </row>
    <row r="75" spans="1:25" x14ac:dyDescent="0.3">
      <c r="A75" s="17">
        <v>142.68</v>
      </c>
      <c r="B75" s="10">
        <v>449.3</v>
      </c>
      <c r="C75" s="9">
        <v>142.68</v>
      </c>
      <c r="D75" s="10">
        <v>479.1</v>
      </c>
      <c r="E75" s="11">
        <v>142.68</v>
      </c>
      <c r="F75" s="12">
        <v>610</v>
      </c>
      <c r="G75" s="11">
        <v>142.68</v>
      </c>
      <c r="H75" s="12">
        <v>638.20000000000005</v>
      </c>
      <c r="I75" s="11">
        <v>142.68</v>
      </c>
      <c r="J75" s="12">
        <v>970.5</v>
      </c>
      <c r="K75" s="11">
        <v>142.68</v>
      </c>
      <c r="L75" s="12">
        <v>982.3</v>
      </c>
      <c r="M75" s="11">
        <v>142.68</v>
      </c>
      <c r="N75" s="13">
        <v>449.3</v>
      </c>
      <c r="O75" s="13">
        <v>479.1</v>
      </c>
      <c r="P75" s="13">
        <v>610</v>
      </c>
      <c r="Q75" s="11">
        <v>638.20000000000005</v>
      </c>
      <c r="R75" s="11">
        <v>970.5</v>
      </c>
      <c r="S75" s="14">
        <v>982.3</v>
      </c>
      <c r="T75" s="11">
        <v>142.68</v>
      </c>
      <c r="U75" s="13">
        <f>IF('0.0%'!$N75&lt;$Z$3,0, '0.0%'!$O75/'0.0%'!$N75)</f>
        <v>1.0663253950589806</v>
      </c>
      <c r="V75" s="13">
        <f>IF('0.0%'!$N75&lt;$Z$3,0, '0.0%'!$P75/'0.0%'!$N75)</f>
        <v>1.3576674827509458</v>
      </c>
      <c r="W75" s="13">
        <f>IF('0.0%'!$N75&lt;$Z$3,0, '0.0%'!$Q75/'0.0%'!$N75)</f>
        <v>1.4204317827732029</v>
      </c>
      <c r="X75" s="13">
        <f>IF('0.0%'!$N75&lt;$Z$3,0, '0.0%'!$R75/'0.0%'!$N75)</f>
        <v>2.1600267082127753</v>
      </c>
      <c r="Y75" s="13">
        <f>IF('0.0%'!$N75&lt;$Z$3,0, '0.0%'!$S75/'0.0%'!$N75)</f>
        <v>2.1862897841086131</v>
      </c>
    </row>
    <row r="76" spans="1:25" x14ac:dyDescent="0.3">
      <c r="A76" s="17">
        <v>143.66999999999999</v>
      </c>
      <c r="B76" s="10">
        <v>445.8</v>
      </c>
      <c r="C76" s="9">
        <v>143.66999999999999</v>
      </c>
      <c r="D76" s="10">
        <v>475.3</v>
      </c>
      <c r="E76" s="11">
        <v>143.66999999999999</v>
      </c>
      <c r="F76" s="12">
        <v>605.4</v>
      </c>
      <c r="G76" s="11">
        <v>143.66999999999999</v>
      </c>
      <c r="H76" s="12">
        <v>633.20000000000005</v>
      </c>
      <c r="I76" s="11">
        <v>143.66999999999999</v>
      </c>
      <c r="J76" s="12">
        <v>963.9</v>
      </c>
      <c r="K76" s="11">
        <v>143.66999999999999</v>
      </c>
      <c r="L76" s="12">
        <v>975.8</v>
      </c>
      <c r="M76" s="11">
        <v>143.66999999999999</v>
      </c>
      <c r="N76" s="13">
        <v>445.8</v>
      </c>
      <c r="O76" s="13">
        <v>475.3</v>
      </c>
      <c r="P76" s="13">
        <v>605.4</v>
      </c>
      <c r="Q76" s="11">
        <v>633.20000000000005</v>
      </c>
      <c r="R76" s="11">
        <v>963.9</v>
      </c>
      <c r="S76" s="14">
        <v>975.8</v>
      </c>
      <c r="T76" s="11">
        <v>143.66999999999999</v>
      </c>
      <c r="U76" s="13">
        <f>IF('0.0%'!$N76&lt;$Z$3,0, '0.0%'!$O76/'0.0%'!$N76)</f>
        <v>1.0661731718259309</v>
      </c>
      <c r="V76" s="13">
        <f>IF('0.0%'!$N76&lt;$Z$3,0, '0.0%'!$P76/'0.0%'!$N76)</f>
        <v>1.3580080753701211</v>
      </c>
      <c r="W76" s="13">
        <f>IF('0.0%'!$N76&lt;$Z$3,0, '0.0%'!$Q76/'0.0%'!$N76)</f>
        <v>1.4203678779721849</v>
      </c>
      <c r="X76" s="13">
        <f>IF('0.0%'!$N76&lt;$Z$3,0, '0.0%'!$R76/'0.0%'!$N76)</f>
        <v>2.1621803499327052</v>
      </c>
      <c r="Y76" s="13">
        <f>IF('0.0%'!$N76&lt;$Z$3,0, '0.0%'!$S76/'0.0%'!$N76)</f>
        <v>2.1888739344997754</v>
      </c>
    </row>
    <row r="77" spans="1:25" x14ac:dyDescent="0.3">
      <c r="A77" s="17">
        <v>144.66</v>
      </c>
      <c r="B77" s="10">
        <v>441.9</v>
      </c>
      <c r="C77" s="9">
        <v>144.66</v>
      </c>
      <c r="D77" s="10">
        <v>471.1</v>
      </c>
      <c r="E77" s="11">
        <v>144.66</v>
      </c>
      <c r="F77" s="12">
        <v>600.70000000000005</v>
      </c>
      <c r="G77" s="11">
        <v>144.66</v>
      </c>
      <c r="H77" s="12">
        <v>628</v>
      </c>
      <c r="I77" s="11">
        <v>144.66</v>
      </c>
      <c r="J77" s="12">
        <v>957.5</v>
      </c>
      <c r="K77" s="11">
        <v>144.66</v>
      </c>
      <c r="L77" s="12">
        <v>969.5</v>
      </c>
      <c r="M77" s="11">
        <v>144.66</v>
      </c>
      <c r="N77" s="13">
        <v>441.9</v>
      </c>
      <c r="O77" s="13">
        <v>471.1</v>
      </c>
      <c r="P77" s="13">
        <v>600.70000000000005</v>
      </c>
      <c r="Q77" s="11">
        <v>628</v>
      </c>
      <c r="R77" s="11">
        <v>957.5</v>
      </c>
      <c r="S77" s="14">
        <v>969.5</v>
      </c>
      <c r="T77" s="11">
        <v>144.66</v>
      </c>
      <c r="U77" s="13">
        <f>IF('0.0%'!$N77&lt;$Z$3,0, '0.0%'!$O77/'0.0%'!$N77)</f>
        <v>1.0660782982575245</v>
      </c>
      <c r="V77" s="13">
        <f>IF('0.0%'!$N77&lt;$Z$3,0, '0.0%'!$P77/'0.0%'!$N77)</f>
        <v>1.3593573206607832</v>
      </c>
      <c r="W77" s="13">
        <f>IF('0.0%'!$N77&lt;$Z$3,0, '0.0%'!$Q77/'0.0%'!$N77)</f>
        <v>1.4211360036207288</v>
      </c>
      <c r="X77" s="13">
        <f>IF('0.0%'!$N77&lt;$Z$3,0, '0.0%'!$R77/'0.0%'!$N77)</f>
        <v>2.1667798144376555</v>
      </c>
      <c r="Y77" s="13">
        <f>IF('0.0%'!$N77&lt;$Z$3,0, '0.0%'!$S77/'0.0%'!$N77)</f>
        <v>2.1939352794749944</v>
      </c>
    </row>
    <row r="78" spans="1:25" x14ac:dyDescent="0.3">
      <c r="A78" s="17">
        <v>145.66</v>
      </c>
      <c r="B78" s="10">
        <v>439.2</v>
      </c>
      <c r="C78" s="9">
        <v>145.66</v>
      </c>
      <c r="D78" s="10">
        <v>468.1</v>
      </c>
      <c r="E78" s="11">
        <v>145.66</v>
      </c>
      <c r="F78" s="12">
        <v>597</v>
      </c>
      <c r="G78" s="11">
        <v>145.66</v>
      </c>
      <c r="H78" s="12">
        <v>623.79999999999995</v>
      </c>
      <c r="I78" s="11">
        <v>145.66</v>
      </c>
      <c r="J78" s="12">
        <v>951.7</v>
      </c>
      <c r="K78" s="11">
        <v>145.66</v>
      </c>
      <c r="L78" s="12">
        <v>964.1</v>
      </c>
      <c r="M78" s="11">
        <v>145.66</v>
      </c>
      <c r="N78" s="13">
        <v>439.2</v>
      </c>
      <c r="O78" s="13">
        <v>468.1</v>
      </c>
      <c r="P78" s="13">
        <v>597</v>
      </c>
      <c r="Q78" s="11">
        <v>623.79999999999995</v>
      </c>
      <c r="R78" s="11">
        <v>951.7</v>
      </c>
      <c r="S78" s="14">
        <v>964.1</v>
      </c>
      <c r="T78" s="11">
        <v>145.66</v>
      </c>
      <c r="U78" s="13">
        <f>IF('0.0%'!$N78&lt;$Z$3,0, '0.0%'!$O78/'0.0%'!$N78)</f>
        <v>1.0658014571948999</v>
      </c>
      <c r="V78" s="13">
        <f>IF('0.0%'!$N78&lt;$Z$3,0, '0.0%'!$P78/'0.0%'!$N78)</f>
        <v>1.3592896174863389</v>
      </c>
      <c r="W78" s="13">
        <f>IF('0.0%'!$N78&lt;$Z$3,0, '0.0%'!$Q78/'0.0%'!$N78)</f>
        <v>1.4203096539162112</v>
      </c>
      <c r="X78" s="13">
        <f>IF('0.0%'!$N78&lt;$Z$3,0, '0.0%'!$R78/'0.0%'!$N78)</f>
        <v>2.1668943533697633</v>
      </c>
      <c r="Y78" s="13">
        <f>IF('0.0%'!$N78&lt;$Z$3,0, '0.0%'!$S78/'0.0%'!$N78)</f>
        <v>2.1951275045537342</v>
      </c>
    </row>
    <row r="79" spans="1:25" x14ac:dyDescent="0.3">
      <c r="A79" s="17">
        <v>146.65</v>
      </c>
      <c r="B79" s="10">
        <v>435.6</v>
      </c>
      <c r="C79" s="9">
        <v>146.65</v>
      </c>
      <c r="D79" s="10">
        <v>464.5</v>
      </c>
      <c r="E79" s="11">
        <v>146.65</v>
      </c>
      <c r="F79" s="12">
        <v>593</v>
      </c>
      <c r="G79" s="11">
        <v>146.65</v>
      </c>
      <c r="H79" s="12">
        <v>619.29999999999995</v>
      </c>
      <c r="I79" s="11">
        <v>146.65</v>
      </c>
      <c r="J79" s="12">
        <v>946.1</v>
      </c>
      <c r="K79" s="11">
        <v>146.65</v>
      </c>
      <c r="L79" s="12">
        <v>958.8</v>
      </c>
      <c r="M79" s="11">
        <v>146.65</v>
      </c>
      <c r="N79" s="13">
        <v>435.6</v>
      </c>
      <c r="O79" s="13">
        <v>464.5</v>
      </c>
      <c r="P79" s="13">
        <v>593</v>
      </c>
      <c r="Q79" s="11">
        <v>619.29999999999995</v>
      </c>
      <c r="R79" s="11">
        <v>946.1</v>
      </c>
      <c r="S79" s="14">
        <v>958.8</v>
      </c>
      <c r="T79" s="11">
        <v>146.65</v>
      </c>
      <c r="U79" s="13">
        <f>IF('0.0%'!$N79&lt;$Z$3,0, '0.0%'!$O79/'0.0%'!$N79)</f>
        <v>1.0663452708907253</v>
      </c>
      <c r="V79" s="13">
        <f>IF('0.0%'!$N79&lt;$Z$3,0, '0.0%'!$P79/'0.0%'!$N79)</f>
        <v>1.3613406795224976</v>
      </c>
      <c r="W79" s="13">
        <f>IF('0.0%'!$N79&lt;$Z$3,0, '0.0%'!$Q79/'0.0%'!$N79)</f>
        <v>1.4217171717171715</v>
      </c>
      <c r="X79" s="13">
        <f>IF('0.0%'!$N79&lt;$Z$3,0, '0.0%'!$R79/'0.0%'!$N79)</f>
        <v>2.1719467401285582</v>
      </c>
      <c r="Y79" s="13">
        <f>IF('0.0%'!$N79&lt;$Z$3,0, '0.0%'!$S79/'0.0%'!$N79)</f>
        <v>2.2011019283746553</v>
      </c>
    </row>
    <row r="80" spans="1:25" x14ac:dyDescent="0.3">
      <c r="A80" s="17">
        <v>147.63999999999999</v>
      </c>
      <c r="B80" s="10">
        <v>433.1</v>
      </c>
      <c r="C80" s="9">
        <v>147.63999999999999</v>
      </c>
      <c r="D80" s="10">
        <v>461.9</v>
      </c>
      <c r="E80" s="11">
        <v>147.63999999999999</v>
      </c>
      <c r="F80" s="12">
        <v>589.70000000000005</v>
      </c>
      <c r="G80" s="11">
        <v>147.63999999999999</v>
      </c>
      <c r="H80" s="12">
        <v>615.6</v>
      </c>
      <c r="I80" s="11">
        <v>147.63999999999999</v>
      </c>
      <c r="J80" s="12">
        <v>940.8</v>
      </c>
      <c r="K80" s="11">
        <v>147.63999999999999</v>
      </c>
      <c r="L80" s="12">
        <v>953.8</v>
      </c>
      <c r="M80" s="11">
        <v>147.63999999999999</v>
      </c>
      <c r="N80" s="13">
        <v>433.1</v>
      </c>
      <c r="O80" s="13">
        <v>461.9</v>
      </c>
      <c r="P80" s="13">
        <v>589.70000000000005</v>
      </c>
      <c r="Q80" s="11">
        <v>615.6</v>
      </c>
      <c r="R80" s="11">
        <v>940.8</v>
      </c>
      <c r="S80" s="14">
        <v>953.8</v>
      </c>
      <c r="T80" s="11">
        <v>147.63999999999999</v>
      </c>
      <c r="U80" s="13">
        <f>IF('0.0%'!$N80&lt;$Z$3,0, '0.0%'!$O80/'0.0%'!$N80)</f>
        <v>1.0664973447240822</v>
      </c>
      <c r="V80" s="13">
        <f>IF('0.0%'!$N80&lt;$Z$3,0, '0.0%'!$P80/'0.0%'!$N80)</f>
        <v>1.3615793119371971</v>
      </c>
      <c r="W80" s="13">
        <f>IF('0.0%'!$N80&lt;$Z$3,0, '0.0%'!$Q80/'0.0%'!$N80)</f>
        <v>1.421380743477257</v>
      </c>
      <c r="X80" s="13">
        <f>IF('0.0%'!$N80&lt;$Z$3,0, '0.0%'!$R80/'0.0%'!$N80)</f>
        <v>2.1722465943200184</v>
      </c>
      <c r="Y80" s="13">
        <f>IF('0.0%'!$N80&lt;$Z$3,0, '0.0%'!$S80/'0.0%'!$N80)</f>
        <v>2.2022627568690831</v>
      </c>
    </row>
    <row r="81" spans="1:25" x14ac:dyDescent="0.3">
      <c r="A81" s="17">
        <v>148.63</v>
      </c>
      <c r="B81" s="10">
        <v>429.8</v>
      </c>
      <c r="C81" s="9">
        <v>148.63</v>
      </c>
      <c r="D81" s="10">
        <v>458.5</v>
      </c>
      <c r="E81" s="11">
        <v>148.63</v>
      </c>
      <c r="F81" s="12">
        <v>585.70000000000005</v>
      </c>
      <c r="G81" s="11">
        <v>148.63</v>
      </c>
      <c r="H81" s="12">
        <v>611.5</v>
      </c>
      <c r="I81" s="11">
        <v>148.63</v>
      </c>
      <c r="J81" s="12">
        <v>935.6</v>
      </c>
      <c r="K81" s="11">
        <v>148.63</v>
      </c>
      <c r="L81" s="12">
        <v>948.9</v>
      </c>
      <c r="M81" s="11">
        <v>148.63</v>
      </c>
      <c r="N81" s="13">
        <v>429.8</v>
      </c>
      <c r="O81" s="13">
        <v>458.5</v>
      </c>
      <c r="P81" s="13">
        <v>585.70000000000005</v>
      </c>
      <c r="Q81" s="11">
        <v>611.5</v>
      </c>
      <c r="R81" s="11">
        <v>935.6</v>
      </c>
      <c r="S81" s="14">
        <v>948.9</v>
      </c>
      <c r="T81" s="11">
        <v>148.63</v>
      </c>
      <c r="U81" s="13">
        <f>IF('0.0%'!$N81&lt;$Z$3,0, '0.0%'!$O81/'0.0%'!$N81)</f>
        <v>1.0667752442996743</v>
      </c>
      <c r="V81" s="13">
        <f>IF('0.0%'!$N81&lt;$Z$3,0, '0.0%'!$P81/'0.0%'!$N81)</f>
        <v>1.3627268496975338</v>
      </c>
      <c r="W81" s="13">
        <f>IF('0.0%'!$N81&lt;$Z$3,0, '0.0%'!$Q81/'0.0%'!$N81)</f>
        <v>1.4227547696603071</v>
      </c>
      <c r="X81" s="13">
        <f>IF('0.0%'!$N81&lt;$Z$3,0, '0.0%'!$R81/'0.0%'!$N81)</f>
        <v>2.176826430898092</v>
      </c>
      <c r="Y81" s="13">
        <f>IF('0.0%'!$N81&lt;$Z$3,0, '0.0%'!$S81/'0.0%'!$N81)</f>
        <v>2.2077710563052579</v>
      </c>
    </row>
    <row r="82" spans="1:25" x14ac:dyDescent="0.3">
      <c r="A82" s="17">
        <v>149.62</v>
      </c>
      <c r="B82" s="10">
        <v>427.4</v>
      </c>
      <c r="C82" s="9">
        <v>149.62</v>
      </c>
      <c r="D82" s="10">
        <v>456</v>
      </c>
      <c r="E82" s="11">
        <v>149.62</v>
      </c>
      <c r="F82" s="12">
        <v>582.5</v>
      </c>
      <c r="G82" s="11">
        <v>149.62</v>
      </c>
      <c r="H82" s="12">
        <v>608</v>
      </c>
      <c r="I82" s="11">
        <v>149.62</v>
      </c>
      <c r="J82" s="12">
        <v>930.8</v>
      </c>
      <c r="K82" s="11">
        <v>149.62</v>
      </c>
      <c r="L82" s="12">
        <v>944.1</v>
      </c>
      <c r="M82" s="11">
        <v>149.62</v>
      </c>
      <c r="N82" s="13">
        <v>427.4</v>
      </c>
      <c r="O82" s="13">
        <v>456</v>
      </c>
      <c r="P82" s="13">
        <v>582.5</v>
      </c>
      <c r="Q82" s="11">
        <v>608</v>
      </c>
      <c r="R82" s="11">
        <v>930.8</v>
      </c>
      <c r="S82" s="14">
        <v>944.1</v>
      </c>
      <c r="T82" s="11">
        <v>149.62</v>
      </c>
      <c r="U82" s="13">
        <f>IF('0.0%'!$N82&lt;$Z$3,0, '0.0%'!$O82/'0.0%'!$N82)</f>
        <v>1.066916237716425</v>
      </c>
      <c r="V82" s="13">
        <f>IF('0.0%'!$N82&lt;$Z$3,0, '0.0%'!$P82/'0.0%'!$N82)</f>
        <v>1.3628919045390735</v>
      </c>
      <c r="W82" s="13">
        <f>IF('0.0%'!$N82&lt;$Z$3,0, '0.0%'!$Q82/'0.0%'!$N82)</f>
        <v>1.4225549836219</v>
      </c>
      <c r="X82" s="13">
        <f>IF('0.0%'!$N82&lt;$Z$3,0, '0.0%'!$R82/'0.0%'!$N82)</f>
        <v>2.1778193729527375</v>
      </c>
      <c r="Y82" s="13">
        <f>IF('0.0%'!$N82&lt;$Z$3,0, '0.0%'!$S82/'0.0%'!$N82)</f>
        <v>2.2089377632194669</v>
      </c>
    </row>
    <row r="83" spans="1:25" x14ac:dyDescent="0.3">
      <c r="A83" s="17">
        <v>150.61000000000001</v>
      </c>
      <c r="B83" s="10">
        <v>424.2</v>
      </c>
      <c r="C83" s="9">
        <v>150.61000000000001</v>
      </c>
      <c r="D83" s="10">
        <v>452.5</v>
      </c>
      <c r="E83" s="11">
        <v>150.61000000000001</v>
      </c>
      <c r="F83" s="12">
        <v>578.6</v>
      </c>
      <c r="G83" s="11">
        <v>150.61000000000001</v>
      </c>
      <c r="H83" s="12">
        <v>603.70000000000005</v>
      </c>
      <c r="I83" s="11">
        <v>150.61000000000001</v>
      </c>
      <c r="J83" s="12">
        <v>925.7</v>
      </c>
      <c r="K83" s="11">
        <v>150.61000000000001</v>
      </c>
      <c r="L83" s="12">
        <v>939.1</v>
      </c>
      <c r="M83" s="11">
        <v>150.61000000000001</v>
      </c>
      <c r="N83" s="13">
        <v>424.2</v>
      </c>
      <c r="O83" s="13">
        <v>452.5</v>
      </c>
      <c r="P83" s="13">
        <v>578.6</v>
      </c>
      <c r="Q83" s="11">
        <v>603.70000000000005</v>
      </c>
      <c r="R83" s="11">
        <v>925.7</v>
      </c>
      <c r="S83" s="14">
        <v>939.1</v>
      </c>
      <c r="T83" s="11">
        <v>150.61000000000001</v>
      </c>
      <c r="U83" s="13">
        <f>IF('0.0%'!$N83&lt;$Z$3,0, '0.0%'!$O83/'0.0%'!$N83)</f>
        <v>1.0667138142385668</v>
      </c>
      <c r="V83" s="13">
        <f>IF('0.0%'!$N83&lt;$Z$3,0, '0.0%'!$P83/'0.0%'!$N83)</f>
        <v>1.363979255068364</v>
      </c>
      <c r="W83" s="13">
        <f>IF('0.0%'!$N83&lt;$Z$3,0, '0.0%'!$Q83/'0.0%'!$N83)</f>
        <v>1.4231494578029233</v>
      </c>
      <c r="X83" s="13">
        <f>IF('0.0%'!$N83&lt;$Z$3,0, '0.0%'!$R83/'0.0%'!$N83)</f>
        <v>2.1822253653936823</v>
      </c>
      <c r="Y83" s="13">
        <f>IF('0.0%'!$N83&lt;$Z$3,0, '0.0%'!$S83/'0.0%'!$N83)</f>
        <v>2.2138142385667141</v>
      </c>
    </row>
    <row r="84" spans="1:25" x14ac:dyDescent="0.3">
      <c r="A84" s="17">
        <v>151.61000000000001</v>
      </c>
      <c r="B84" s="10">
        <v>421.8</v>
      </c>
      <c r="C84" s="9">
        <v>151.61000000000001</v>
      </c>
      <c r="D84" s="10">
        <v>449.8</v>
      </c>
      <c r="E84" s="11">
        <v>151.61000000000001</v>
      </c>
      <c r="F84" s="12">
        <v>575.1</v>
      </c>
      <c r="G84" s="11">
        <v>151.61000000000001</v>
      </c>
      <c r="H84" s="12">
        <v>600</v>
      </c>
      <c r="I84" s="11">
        <v>151.61000000000001</v>
      </c>
      <c r="J84" s="12">
        <v>920.4</v>
      </c>
      <c r="K84" s="11">
        <v>151.61000000000001</v>
      </c>
      <c r="L84" s="12">
        <v>934</v>
      </c>
      <c r="M84" s="11">
        <v>151.61000000000001</v>
      </c>
      <c r="N84" s="13">
        <v>421.8</v>
      </c>
      <c r="O84" s="13">
        <v>449.8</v>
      </c>
      <c r="P84" s="13">
        <v>575.1</v>
      </c>
      <c r="Q84" s="11">
        <v>600</v>
      </c>
      <c r="R84" s="11">
        <v>920.4</v>
      </c>
      <c r="S84" s="14">
        <v>934</v>
      </c>
      <c r="T84" s="11">
        <v>151.61000000000001</v>
      </c>
      <c r="U84" s="13">
        <f>IF('0.0%'!$N84&lt;$Z$3,0, '0.0%'!$O84/'0.0%'!$N84)</f>
        <v>1.0663821716453294</v>
      </c>
      <c r="V84" s="13">
        <f>IF('0.0%'!$N84&lt;$Z$3,0, '0.0%'!$P84/'0.0%'!$N84)</f>
        <v>1.3634423897581793</v>
      </c>
      <c r="W84" s="13">
        <f>IF('0.0%'!$N84&lt;$Z$3,0, '0.0%'!$Q84/'0.0%'!$N84)</f>
        <v>1.4224751066856329</v>
      </c>
      <c r="X84" s="13">
        <f>IF('0.0%'!$N84&lt;$Z$3,0, '0.0%'!$R84/'0.0%'!$N84)</f>
        <v>2.1820768136557609</v>
      </c>
      <c r="Y84" s="13">
        <f>IF('0.0%'!$N84&lt;$Z$3,0, '0.0%'!$S84/'0.0%'!$N84)</f>
        <v>2.2143195827406355</v>
      </c>
    </row>
    <row r="85" spans="1:25" x14ac:dyDescent="0.3">
      <c r="A85" s="17">
        <v>152.6</v>
      </c>
      <c r="B85" s="10">
        <v>418.5</v>
      </c>
      <c r="C85" s="9">
        <v>152.6</v>
      </c>
      <c r="D85" s="10">
        <v>446.4</v>
      </c>
      <c r="E85" s="11">
        <v>152.6</v>
      </c>
      <c r="F85" s="12">
        <v>570.79999999999995</v>
      </c>
      <c r="G85" s="11">
        <v>152.6</v>
      </c>
      <c r="H85" s="12">
        <v>595.5</v>
      </c>
      <c r="I85" s="11">
        <v>152.6</v>
      </c>
      <c r="J85" s="12">
        <v>914.8</v>
      </c>
      <c r="K85" s="11">
        <v>152.6</v>
      </c>
      <c r="L85" s="12">
        <v>928.4</v>
      </c>
      <c r="M85" s="11">
        <v>152.6</v>
      </c>
      <c r="N85" s="13">
        <v>418.5</v>
      </c>
      <c r="O85" s="13">
        <v>446.4</v>
      </c>
      <c r="P85" s="13">
        <v>570.79999999999995</v>
      </c>
      <c r="Q85" s="11">
        <v>595.5</v>
      </c>
      <c r="R85" s="11">
        <v>914.8</v>
      </c>
      <c r="S85" s="14">
        <v>928.4</v>
      </c>
      <c r="T85" s="11">
        <v>152.6</v>
      </c>
      <c r="U85" s="13">
        <f>IF('0.0%'!$N85&lt;$Z$3,0, '0.0%'!$O85/'0.0%'!$N85)</f>
        <v>1.0666666666666667</v>
      </c>
      <c r="V85" s="13">
        <f>IF('0.0%'!$N85&lt;$Z$3,0, '0.0%'!$P85/'0.0%'!$N85)</f>
        <v>1.3639187574671445</v>
      </c>
      <c r="W85" s="13">
        <f>IF('0.0%'!$N85&lt;$Z$3,0, '0.0%'!$Q85/'0.0%'!$N85)</f>
        <v>1.4229390681003584</v>
      </c>
      <c r="X85" s="13">
        <f>IF('0.0%'!$N85&lt;$Z$3,0, '0.0%'!$R85/'0.0%'!$N85)</f>
        <v>2.1859020310633213</v>
      </c>
      <c r="Y85" s="13">
        <f>IF('0.0%'!$N85&lt;$Z$3,0, '0.0%'!$S85/'0.0%'!$N85)</f>
        <v>2.2183990442054959</v>
      </c>
    </row>
    <row r="86" spans="1:25" x14ac:dyDescent="0.3">
      <c r="A86" s="17">
        <v>153.59</v>
      </c>
      <c r="B86" s="10">
        <v>416.1</v>
      </c>
      <c r="C86" s="9">
        <v>153.59</v>
      </c>
      <c r="D86" s="10">
        <v>443.7</v>
      </c>
      <c r="E86" s="11">
        <v>153.59</v>
      </c>
      <c r="F86" s="12">
        <v>567.1</v>
      </c>
      <c r="G86" s="11">
        <v>153.59</v>
      </c>
      <c r="H86" s="12">
        <v>591.4</v>
      </c>
      <c r="I86" s="11">
        <v>153.59</v>
      </c>
      <c r="J86" s="12">
        <v>909</v>
      </c>
      <c r="K86" s="11">
        <v>153.59</v>
      </c>
      <c r="L86" s="12">
        <v>922.7</v>
      </c>
      <c r="M86" s="11">
        <v>153.59</v>
      </c>
      <c r="N86" s="13">
        <v>416.1</v>
      </c>
      <c r="O86" s="13">
        <v>443.7</v>
      </c>
      <c r="P86" s="13">
        <v>567.1</v>
      </c>
      <c r="Q86" s="11">
        <v>591.4</v>
      </c>
      <c r="R86" s="11">
        <v>909</v>
      </c>
      <c r="S86" s="14">
        <v>922.7</v>
      </c>
      <c r="T86" s="11">
        <v>153.59</v>
      </c>
      <c r="U86" s="13">
        <f>IF('0.0%'!$N86&lt;$Z$3,0, '0.0%'!$O86/'0.0%'!$N86)</f>
        <v>1.0663302090843547</v>
      </c>
      <c r="V86" s="13">
        <f>IF('0.0%'!$N86&lt;$Z$3,0, '0.0%'!$P86/'0.0%'!$N86)</f>
        <v>1.3628935352078828</v>
      </c>
      <c r="W86" s="13">
        <f>IF('0.0%'!$N86&lt;$Z$3,0, '0.0%'!$Q86/'0.0%'!$N86)</f>
        <v>1.4212929584234557</v>
      </c>
      <c r="X86" s="13">
        <f>IF('0.0%'!$N86&lt;$Z$3,0, '0.0%'!$R86/'0.0%'!$N86)</f>
        <v>2.1845710165825523</v>
      </c>
      <c r="Y86" s="13">
        <f>IF('0.0%'!$N86&lt;$Z$3,0, '0.0%'!$S86/'0.0%'!$N86)</f>
        <v>2.2174957942802211</v>
      </c>
    </row>
    <row r="87" spans="1:25" x14ac:dyDescent="0.3">
      <c r="A87" s="17">
        <v>154.58000000000001</v>
      </c>
      <c r="B87" s="10">
        <v>412.5</v>
      </c>
      <c r="C87" s="9">
        <v>154.58000000000001</v>
      </c>
      <c r="D87" s="10">
        <v>439.9</v>
      </c>
      <c r="E87" s="11">
        <v>154.58000000000001</v>
      </c>
      <c r="F87" s="12">
        <v>562.4</v>
      </c>
      <c r="G87" s="11">
        <v>154.58000000000001</v>
      </c>
      <c r="H87" s="12">
        <v>586.6</v>
      </c>
      <c r="I87" s="11">
        <v>154.58000000000001</v>
      </c>
      <c r="J87" s="12">
        <v>902.5</v>
      </c>
      <c r="K87" s="11">
        <v>154.58000000000001</v>
      </c>
      <c r="L87" s="12">
        <v>916.2</v>
      </c>
      <c r="M87" s="11">
        <v>154.58000000000001</v>
      </c>
      <c r="N87" s="13">
        <v>412.5</v>
      </c>
      <c r="O87" s="13">
        <v>439.9</v>
      </c>
      <c r="P87" s="13">
        <v>562.4</v>
      </c>
      <c r="Q87" s="11">
        <v>586.6</v>
      </c>
      <c r="R87" s="11">
        <v>902.5</v>
      </c>
      <c r="S87" s="14">
        <v>916.2</v>
      </c>
      <c r="T87" s="11">
        <v>154.58000000000001</v>
      </c>
      <c r="U87" s="13">
        <f>IF('0.0%'!$N87&lt;$Z$3,0, '0.0%'!$O87/'0.0%'!$N87)</f>
        <v>1.0664242424242423</v>
      </c>
      <c r="V87" s="13">
        <f>IF('0.0%'!$N87&lt;$Z$3,0, '0.0%'!$P87/'0.0%'!$N87)</f>
        <v>1.3633939393939394</v>
      </c>
      <c r="W87" s="13">
        <f>IF('0.0%'!$N87&lt;$Z$3,0, '0.0%'!$Q87/'0.0%'!$N87)</f>
        <v>1.422060606060606</v>
      </c>
      <c r="X87" s="13">
        <f>IF('0.0%'!$N87&lt;$Z$3,0, '0.0%'!$R87/'0.0%'!$N87)</f>
        <v>2.187878787878788</v>
      </c>
      <c r="Y87" s="13">
        <f>IF('0.0%'!$N87&lt;$Z$3,0, '0.0%'!$S87/'0.0%'!$N87)</f>
        <v>2.221090909090909</v>
      </c>
    </row>
    <row r="88" spans="1:25" x14ac:dyDescent="0.3">
      <c r="A88" s="17">
        <v>155.57</v>
      </c>
      <c r="B88" s="10">
        <v>409.7</v>
      </c>
      <c r="C88" s="9">
        <v>155.57</v>
      </c>
      <c r="D88" s="10">
        <v>436.9</v>
      </c>
      <c r="E88" s="11">
        <v>155.57</v>
      </c>
      <c r="F88" s="12">
        <v>558.1</v>
      </c>
      <c r="G88" s="11">
        <v>155.57</v>
      </c>
      <c r="H88" s="12">
        <v>582.4</v>
      </c>
      <c r="I88" s="11">
        <v>155.57</v>
      </c>
      <c r="J88" s="12">
        <v>895.8</v>
      </c>
      <c r="K88" s="11">
        <v>155.57</v>
      </c>
      <c r="L88" s="12">
        <v>909.7</v>
      </c>
      <c r="M88" s="11">
        <v>155.57</v>
      </c>
      <c r="N88" s="13">
        <v>409.7</v>
      </c>
      <c r="O88" s="13">
        <v>436.9</v>
      </c>
      <c r="P88" s="13">
        <v>558.1</v>
      </c>
      <c r="Q88" s="11">
        <v>582.4</v>
      </c>
      <c r="R88" s="11">
        <v>895.8</v>
      </c>
      <c r="S88" s="14">
        <v>909.7</v>
      </c>
      <c r="T88" s="11">
        <v>155.57</v>
      </c>
      <c r="U88" s="13">
        <f>IF('0.0%'!$N88&lt;$Z$3,0, '0.0%'!$O88/'0.0%'!$N88)</f>
        <v>1.0663900414937759</v>
      </c>
      <c r="V88" s="13">
        <f>IF('0.0%'!$N88&lt;$Z$3,0, '0.0%'!$P88/'0.0%'!$N88)</f>
        <v>1.3622162557969246</v>
      </c>
      <c r="W88" s="13">
        <f>IF('0.0%'!$N88&lt;$Z$3,0, '0.0%'!$Q88/'0.0%'!$N88)</f>
        <v>1.4215279472784965</v>
      </c>
      <c r="X88" s="13">
        <f>IF('0.0%'!$N88&lt;$Z$3,0, '0.0%'!$R88/'0.0%'!$N88)</f>
        <v>2.186477910666341</v>
      </c>
      <c r="Y88" s="13">
        <f>IF('0.0%'!$N88&lt;$Z$3,0, '0.0%'!$S88/'0.0%'!$N88)</f>
        <v>2.2204051745179401</v>
      </c>
    </row>
    <row r="89" spans="1:25" x14ac:dyDescent="0.3">
      <c r="A89" s="17">
        <v>156.56</v>
      </c>
      <c r="B89" s="10">
        <v>406.2</v>
      </c>
      <c r="C89" s="9">
        <v>156.56</v>
      </c>
      <c r="D89" s="10">
        <v>433.2</v>
      </c>
      <c r="E89" s="11">
        <v>156.56</v>
      </c>
      <c r="F89" s="12">
        <v>553.29999999999995</v>
      </c>
      <c r="G89" s="11">
        <v>156.56</v>
      </c>
      <c r="H89" s="12">
        <v>577.79999999999995</v>
      </c>
      <c r="I89" s="11">
        <v>156.56</v>
      </c>
      <c r="J89" s="12">
        <v>889.1</v>
      </c>
      <c r="K89" s="11">
        <v>156.56</v>
      </c>
      <c r="L89" s="12">
        <v>903.2</v>
      </c>
      <c r="M89" s="11">
        <v>156.56</v>
      </c>
      <c r="N89" s="13">
        <v>406.2</v>
      </c>
      <c r="O89" s="13">
        <v>433.2</v>
      </c>
      <c r="P89" s="13">
        <v>553.29999999999995</v>
      </c>
      <c r="Q89" s="11">
        <v>577.79999999999995</v>
      </c>
      <c r="R89" s="11">
        <v>889.1</v>
      </c>
      <c r="S89" s="14">
        <v>903.2</v>
      </c>
      <c r="T89" s="11">
        <v>156.56</v>
      </c>
      <c r="U89" s="13">
        <f>IF('0.0%'!$N89&lt;$Z$3,0, '0.0%'!$O89/'0.0%'!$N89)</f>
        <v>1.0664697193500738</v>
      </c>
      <c r="V89" s="13">
        <f>IF('0.0%'!$N89&lt;$Z$3,0, '0.0%'!$P89/'0.0%'!$N89)</f>
        <v>1.3621368783850318</v>
      </c>
      <c r="W89" s="13">
        <f>IF('0.0%'!$N89&lt;$Z$3,0, '0.0%'!$Q89/'0.0%'!$N89)</f>
        <v>1.4224519940915805</v>
      </c>
      <c r="X89" s="13">
        <f>IF('0.0%'!$N89&lt;$Z$3,0, '0.0%'!$R89/'0.0%'!$N89)</f>
        <v>2.1888232397833582</v>
      </c>
      <c r="Y89" s="13">
        <f>IF('0.0%'!$N89&lt;$Z$3,0, '0.0%'!$S89/'0.0%'!$N89)</f>
        <v>2.2235352043328414</v>
      </c>
    </row>
    <row r="90" spans="1:25" x14ac:dyDescent="0.3">
      <c r="A90" s="17">
        <v>157.56</v>
      </c>
      <c r="B90" s="10">
        <v>403.8</v>
      </c>
      <c r="C90" s="9">
        <v>157.56</v>
      </c>
      <c r="D90" s="10">
        <v>430.5</v>
      </c>
      <c r="E90" s="11">
        <v>157.56</v>
      </c>
      <c r="F90" s="12">
        <v>549.6</v>
      </c>
      <c r="G90" s="11">
        <v>157.56</v>
      </c>
      <c r="H90" s="12">
        <v>574.20000000000005</v>
      </c>
      <c r="I90" s="11">
        <v>157.56</v>
      </c>
      <c r="J90" s="12">
        <v>882.8</v>
      </c>
      <c r="K90" s="11">
        <v>157.56</v>
      </c>
      <c r="L90" s="12">
        <v>897.4</v>
      </c>
      <c r="M90" s="11">
        <v>157.56</v>
      </c>
      <c r="N90" s="13">
        <v>403.8</v>
      </c>
      <c r="O90" s="13">
        <v>430.5</v>
      </c>
      <c r="P90" s="13">
        <v>549.6</v>
      </c>
      <c r="Q90" s="11">
        <v>574.20000000000005</v>
      </c>
      <c r="R90" s="11">
        <v>882.8</v>
      </c>
      <c r="S90" s="14">
        <v>897.4</v>
      </c>
      <c r="T90" s="11">
        <v>157.56</v>
      </c>
      <c r="U90" s="13">
        <f>IF('0.0%'!$N90&lt;$Z$3,0, '0.0%'!$O90/'0.0%'!$N90)</f>
        <v>1.0661218424962853</v>
      </c>
      <c r="V90" s="13">
        <f>IF('0.0%'!$N90&lt;$Z$3,0, '0.0%'!$P90/'0.0%'!$N90)</f>
        <v>1.3610698365527489</v>
      </c>
      <c r="W90" s="13">
        <f>IF('0.0%'!$N90&lt;$Z$3,0, '0.0%'!$Q90/'0.0%'!$N90)</f>
        <v>1.4219910846953938</v>
      </c>
      <c r="X90" s="13">
        <f>IF('0.0%'!$N90&lt;$Z$3,0, '0.0%'!$R90/'0.0%'!$N90)</f>
        <v>2.1862308073303613</v>
      </c>
      <c r="Y90" s="13">
        <f>IF('0.0%'!$N90&lt;$Z$3,0, '0.0%'!$S90/'0.0%'!$N90)</f>
        <v>2.2223873204556712</v>
      </c>
    </row>
    <row r="91" spans="1:25" x14ac:dyDescent="0.3">
      <c r="A91" s="17">
        <v>158.55000000000001</v>
      </c>
      <c r="B91" s="10">
        <v>400.6</v>
      </c>
      <c r="C91" s="9">
        <v>158.55000000000001</v>
      </c>
      <c r="D91" s="10">
        <v>427.2</v>
      </c>
      <c r="E91" s="11">
        <v>158.55000000000001</v>
      </c>
      <c r="F91" s="12">
        <v>545.29999999999995</v>
      </c>
      <c r="G91" s="11">
        <v>158.55000000000001</v>
      </c>
      <c r="H91" s="12">
        <v>570</v>
      </c>
      <c r="I91" s="11">
        <v>158.55000000000001</v>
      </c>
      <c r="J91" s="12">
        <v>876.5</v>
      </c>
      <c r="K91" s="11">
        <v>158.55000000000001</v>
      </c>
      <c r="L91" s="12">
        <v>891.6</v>
      </c>
      <c r="M91" s="11">
        <v>158.55000000000001</v>
      </c>
      <c r="N91" s="13">
        <v>400.6</v>
      </c>
      <c r="O91" s="13">
        <v>427.2</v>
      </c>
      <c r="P91" s="13">
        <v>545.29999999999995</v>
      </c>
      <c r="Q91" s="11">
        <v>570</v>
      </c>
      <c r="R91" s="11">
        <v>876.5</v>
      </c>
      <c r="S91" s="14">
        <v>891.6</v>
      </c>
      <c r="T91" s="11">
        <v>158.55000000000001</v>
      </c>
      <c r="U91" s="13">
        <f>IF('0.0%'!$N91&lt;$Z$3,0, '0.0%'!$O91/'0.0%'!$N91)</f>
        <v>1.0664003994008986</v>
      </c>
      <c r="V91" s="13">
        <f>IF('0.0%'!$N91&lt;$Z$3,0, '0.0%'!$P91/'0.0%'!$N91)</f>
        <v>1.3612081877184221</v>
      </c>
      <c r="W91" s="13">
        <f>IF('0.0%'!$N91&lt;$Z$3,0, '0.0%'!$Q91/'0.0%'!$N91)</f>
        <v>1.4228657014478281</v>
      </c>
      <c r="X91" s="13">
        <f>IF('0.0%'!$N91&lt;$Z$3,0, '0.0%'!$R91/'0.0%'!$N91)</f>
        <v>2.1879680479281078</v>
      </c>
      <c r="Y91" s="13">
        <f>IF('0.0%'!$N91&lt;$Z$3,0, '0.0%'!$S91/'0.0%'!$N91)</f>
        <v>2.2256615077383923</v>
      </c>
    </row>
    <row r="92" spans="1:25" x14ac:dyDescent="0.3">
      <c r="A92" s="17">
        <v>159.54</v>
      </c>
      <c r="B92" s="10">
        <v>397.7</v>
      </c>
      <c r="C92" s="9">
        <v>159.54</v>
      </c>
      <c r="D92" s="10">
        <v>424.2</v>
      </c>
      <c r="E92" s="11">
        <v>159.54</v>
      </c>
      <c r="F92" s="12">
        <v>541.4</v>
      </c>
      <c r="G92" s="11">
        <v>159.54</v>
      </c>
      <c r="H92" s="12">
        <v>566.20000000000005</v>
      </c>
      <c r="I92" s="11">
        <v>159.54</v>
      </c>
      <c r="J92" s="12">
        <v>870.2</v>
      </c>
      <c r="K92" s="11">
        <v>159.54</v>
      </c>
      <c r="L92" s="12">
        <v>885.9</v>
      </c>
      <c r="M92" s="11">
        <v>159.54</v>
      </c>
      <c r="N92" s="13">
        <v>397.7</v>
      </c>
      <c r="O92" s="13">
        <v>424.2</v>
      </c>
      <c r="P92" s="13">
        <v>541.4</v>
      </c>
      <c r="Q92" s="11">
        <v>566.20000000000005</v>
      </c>
      <c r="R92" s="11">
        <v>870.2</v>
      </c>
      <c r="S92" s="14">
        <v>885.9</v>
      </c>
      <c r="T92" s="11">
        <v>159.54</v>
      </c>
      <c r="U92" s="13">
        <f>IF('0.0%'!$N92&lt;$Z$3,0, '0.0%'!$O92/'0.0%'!$N92)</f>
        <v>1.0666331405582097</v>
      </c>
      <c r="V92" s="13">
        <f>IF('0.0%'!$N92&lt;$Z$3,0, '0.0%'!$P92/'0.0%'!$N92)</f>
        <v>1.3613276338948956</v>
      </c>
      <c r="W92" s="13">
        <f>IF('0.0%'!$N92&lt;$Z$3,0, '0.0%'!$Q92/'0.0%'!$N92)</f>
        <v>1.423686195624843</v>
      </c>
      <c r="X92" s="13">
        <f>IF('0.0%'!$N92&lt;$Z$3,0, '0.0%'!$R92/'0.0%'!$N92)</f>
        <v>2.1880814684435506</v>
      </c>
      <c r="Y92" s="13">
        <f>IF('0.0%'!$N92&lt;$Z$3,0, '0.0%'!$S92/'0.0%'!$N92)</f>
        <v>2.2275584611516219</v>
      </c>
    </row>
    <row r="93" spans="1:25" x14ac:dyDescent="0.3">
      <c r="A93" s="17">
        <v>160.53</v>
      </c>
      <c r="B93" s="10">
        <v>395.7</v>
      </c>
      <c r="C93" s="9">
        <v>160.53</v>
      </c>
      <c r="D93" s="10">
        <v>422.2</v>
      </c>
      <c r="E93" s="11">
        <v>160.53</v>
      </c>
      <c r="F93" s="12">
        <v>538.29999999999995</v>
      </c>
      <c r="G93" s="11">
        <v>160.53</v>
      </c>
      <c r="H93" s="12">
        <v>563.4</v>
      </c>
      <c r="I93" s="11">
        <v>160.53</v>
      </c>
      <c r="J93" s="12">
        <v>864.9</v>
      </c>
      <c r="K93" s="11">
        <v>160.53</v>
      </c>
      <c r="L93" s="12">
        <v>881.2</v>
      </c>
      <c r="M93" s="11">
        <v>160.53</v>
      </c>
      <c r="N93" s="13">
        <v>395.7</v>
      </c>
      <c r="O93" s="13">
        <v>422.2</v>
      </c>
      <c r="P93" s="13">
        <v>538.29999999999995</v>
      </c>
      <c r="Q93" s="11">
        <v>563.4</v>
      </c>
      <c r="R93" s="11">
        <v>864.9</v>
      </c>
      <c r="S93" s="14">
        <v>881.2</v>
      </c>
      <c r="T93" s="11">
        <v>160.53</v>
      </c>
      <c r="U93" s="13">
        <f>IF('0.0%'!$N93&lt;$Z$3,0, '0.0%'!$O93/'0.0%'!$N93)</f>
        <v>1.0669699267121557</v>
      </c>
      <c r="V93" s="13">
        <f>IF('0.0%'!$N93&lt;$Z$3,0, '0.0%'!$P93/'0.0%'!$N93)</f>
        <v>1.3603740207227697</v>
      </c>
      <c r="W93" s="13">
        <f>IF('0.0%'!$N93&lt;$Z$3,0, '0.0%'!$Q93/'0.0%'!$N93)</f>
        <v>1.4238059135708869</v>
      </c>
      <c r="X93" s="13">
        <f>IF('0.0%'!$N93&lt;$Z$3,0, '0.0%'!$R93/'0.0%'!$N93)</f>
        <v>2.1857467778620165</v>
      </c>
      <c r="Y93" s="13">
        <f>IF('0.0%'!$N93&lt;$Z$3,0, '0.0%'!$S93/'0.0%'!$N93)</f>
        <v>2.226939600707607</v>
      </c>
    </row>
    <row r="94" spans="1:25" x14ac:dyDescent="0.3">
      <c r="A94" s="17">
        <v>161.52000000000001</v>
      </c>
      <c r="B94" s="10">
        <v>392.9</v>
      </c>
      <c r="C94" s="9">
        <v>161.52000000000001</v>
      </c>
      <c r="D94" s="10">
        <v>419.3</v>
      </c>
      <c r="E94" s="11">
        <v>161.52000000000001</v>
      </c>
      <c r="F94" s="12">
        <v>534.5</v>
      </c>
      <c r="G94" s="11">
        <v>161.52000000000001</v>
      </c>
      <c r="H94" s="12">
        <v>559.79999999999995</v>
      </c>
      <c r="I94" s="11">
        <v>161.52000000000001</v>
      </c>
      <c r="J94" s="12">
        <v>859.4</v>
      </c>
      <c r="K94" s="11">
        <v>161.52000000000001</v>
      </c>
      <c r="L94" s="12">
        <v>876.3</v>
      </c>
      <c r="M94" s="11">
        <v>161.52000000000001</v>
      </c>
      <c r="N94" s="13">
        <v>392.9</v>
      </c>
      <c r="O94" s="13">
        <v>419.3</v>
      </c>
      <c r="P94" s="13">
        <v>534.5</v>
      </c>
      <c r="Q94" s="11">
        <v>559.79999999999995</v>
      </c>
      <c r="R94" s="11">
        <v>859.4</v>
      </c>
      <c r="S94" s="14">
        <v>876.3</v>
      </c>
      <c r="T94" s="11">
        <v>161.52000000000001</v>
      </c>
      <c r="U94" s="13">
        <f>IF('0.0%'!$N94&lt;$Z$3,0, '0.0%'!$O94/'0.0%'!$N94)</f>
        <v>1.0671926698905574</v>
      </c>
      <c r="V94" s="13">
        <f>IF('0.0%'!$N94&lt;$Z$3,0, '0.0%'!$P94/'0.0%'!$N94)</f>
        <v>1.360397047594808</v>
      </c>
      <c r="W94" s="13">
        <f>IF('0.0%'!$N94&lt;$Z$3,0, '0.0%'!$Q94/'0.0%'!$N94)</f>
        <v>1.424790022906592</v>
      </c>
      <c r="X94" s="13">
        <f>IF('0.0%'!$N94&lt;$Z$3,0, '0.0%'!$R94/'0.0%'!$N94)</f>
        <v>2.1873250190888269</v>
      </c>
      <c r="Y94" s="13">
        <f>IF('0.0%'!$N94&lt;$Z$3,0, '0.0%'!$S94/'0.0%'!$N94)</f>
        <v>2.2303385085263425</v>
      </c>
    </row>
    <row r="95" spans="1:25" x14ac:dyDescent="0.3">
      <c r="A95" s="17">
        <v>162.52000000000001</v>
      </c>
      <c r="B95" s="10">
        <v>391.1</v>
      </c>
      <c r="C95" s="9">
        <v>162.52000000000001</v>
      </c>
      <c r="D95" s="10">
        <v>417.5</v>
      </c>
      <c r="E95" s="11">
        <v>162.52000000000001</v>
      </c>
      <c r="F95" s="12">
        <v>531.70000000000005</v>
      </c>
      <c r="G95" s="11">
        <v>162.52000000000001</v>
      </c>
      <c r="H95" s="12">
        <v>557.20000000000005</v>
      </c>
      <c r="I95" s="11">
        <v>162.52000000000001</v>
      </c>
      <c r="J95" s="12">
        <v>854.4</v>
      </c>
      <c r="K95" s="11">
        <v>162.52000000000001</v>
      </c>
      <c r="L95" s="12">
        <v>871.9</v>
      </c>
      <c r="M95" s="11">
        <v>162.52000000000001</v>
      </c>
      <c r="N95" s="13">
        <v>391.1</v>
      </c>
      <c r="O95" s="13">
        <v>417.5</v>
      </c>
      <c r="P95" s="13">
        <v>531.70000000000005</v>
      </c>
      <c r="Q95" s="11">
        <v>557.20000000000005</v>
      </c>
      <c r="R95" s="11">
        <v>854.4</v>
      </c>
      <c r="S95" s="14">
        <v>871.9</v>
      </c>
      <c r="T95" s="11">
        <v>162.52000000000001</v>
      </c>
      <c r="U95" s="13">
        <f>IF('0.0%'!$N95&lt;$Z$3,0, '0.0%'!$O95/'0.0%'!$N95)</f>
        <v>1.0675019176681155</v>
      </c>
      <c r="V95" s="13">
        <f>IF('0.0%'!$N95&lt;$Z$3,0, '0.0%'!$P95/'0.0%'!$N95)</f>
        <v>1.3594988493991307</v>
      </c>
      <c r="W95" s="13">
        <f>IF('0.0%'!$N95&lt;$Z$3,0, '0.0%'!$Q95/'0.0%'!$N95)</f>
        <v>1.4246995653285606</v>
      </c>
      <c r="X95" s="13">
        <f>IF('0.0%'!$N95&lt;$Z$3,0, '0.0%'!$R95/'0.0%'!$N95)</f>
        <v>2.1846075172590127</v>
      </c>
      <c r="Y95" s="13">
        <f>IF('0.0%'!$N95&lt;$Z$3,0, '0.0%'!$S95/'0.0%'!$N95)</f>
        <v>2.2293531066223471</v>
      </c>
    </row>
    <row r="96" spans="1:25" x14ac:dyDescent="0.3">
      <c r="A96" s="17">
        <v>163.51</v>
      </c>
      <c r="B96" s="10">
        <v>388.7</v>
      </c>
      <c r="C96" s="9">
        <v>163.51</v>
      </c>
      <c r="D96" s="10">
        <v>415.1</v>
      </c>
      <c r="E96" s="11">
        <v>163.51</v>
      </c>
      <c r="F96" s="12">
        <v>528.4</v>
      </c>
      <c r="G96" s="11">
        <v>163.51</v>
      </c>
      <c r="H96" s="12">
        <v>554.1</v>
      </c>
      <c r="I96" s="11">
        <v>163.51</v>
      </c>
      <c r="J96" s="12">
        <v>849.7</v>
      </c>
      <c r="K96" s="11">
        <v>163.51</v>
      </c>
      <c r="L96" s="12">
        <v>867.6</v>
      </c>
      <c r="M96" s="11">
        <v>163.51</v>
      </c>
      <c r="N96" s="13">
        <v>388.7</v>
      </c>
      <c r="O96" s="13">
        <v>415.1</v>
      </c>
      <c r="P96" s="13">
        <v>528.4</v>
      </c>
      <c r="Q96" s="11">
        <v>554.1</v>
      </c>
      <c r="R96" s="11">
        <v>849.7</v>
      </c>
      <c r="S96" s="14">
        <v>867.6</v>
      </c>
      <c r="T96" s="11">
        <v>163.51</v>
      </c>
      <c r="U96" s="13">
        <f>IF('0.0%'!$N96&lt;$Z$3,0, '0.0%'!$O96/'0.0%'!$N96)</f>
        <v>1.0679187033702084</v>
      </c>
      <c r="V96" s="13">
        <f>IF('0.0%'!$N96&lt;$Z$3,0, '0.0%'!$P96/'0.0%'!$N96)</f>
        <v>1.3594031386673526</v>
      </c>
      <c r="W96" s="13">
        <f>IF('0.0%'!$N96&lt;$Z$3,0, '0.0%'!$Q96/'0.0%'!$N96)</f>
        <v>1.4255209673269875</v>
      </c>
      <c r="X96" s="13">
        <f>IF('0.0%'!$N96&lt;$Z$3,0, '0.0%'!$R96/'0.0%'!$N96)</f>
        <v>2.1860046308206846</v>
      </c>
      <c r="Y96" s="13">
        <f>IF('0.0%'!$N96&lt;$Z$3,0, '0.0%'!$S96/'0.0%'!$N96)</f>
        <v>2.2320555698482121</v>
      </c>
    </row>
    <row r="97" spans="1:25" x14ac:dyDescent="0.3">
      <c r="A97" s="17">
        <v>164.5</v>
      </c>
      <c r="B97" s="10">
        <v>387.5</v>
      </c>
      <c r="C97" s="9">
        <v>164.5</v>
      </c>
      <c r="D97" s="10">
        <v>413.8</v>
      </c>
      <c r="E97" s="11">
        <v>164.5</v>
      </c>
      <c r="F97" s="12">
        <v>526.29999999999995</v>
      </c>
      <c r="G97" s="11">
        <v>164.5</v>
      </c>
      <c r="H97" s="12">
        <v>552</v>
      </c>
      <c r="I97" s="11">
        <v>164.5</v>
      </c>
      <c r="J97" s="12">
        <v>845.6</v>
      </c>
      <c r="K97" s="11">
        <v>164.5</v>
      </c>
      <c r="L97" s="12">
        <v>863.9</v>
      </c>
      <c r="M97" s="11">
        <v>164.5</v>
      </c>
      <c r="N97" s="13">
        <v>387.5</v>
      </c>
      <c r="O97" s="13">
        <v>413.8</v>
      </c>
      <c r="P97" s="13">
        <v>526.29999999999995</v>
      </c>
      <c r="Q97" s="11">
        <v>552</v>
      </c>
      <c r="R97" s="11">
        <v>845.6</v>
      </c>
      <c r="S97" s="14">
        <v>863.9</v>
      </c>
      <c r="T97" s="11">
        <v>164.5</v>
      </c>
      <c r="U97" s="13">
        <f>IF('0.0%'!$N97&lt;$Z$3,0, '0.0%'!$O97/'0.0%'!$N97)</f>
        <v>1.0678709677419356</v>
      </c>
      <c r="V97" s="13">
        <f>IF('0.0%'!$N97&lt;$Z$3,0, '0.0%'!$P97/'0.0%'!$N97)</f>
        <v>1.3581935483870966</v>
      </c>
      <c r="W97" s="13">
        <f>IF('0.0%'!$N97&lt;$Z$3,0, '0.0%'!$Q97/'0.0%'!$N97)</f>
        <v>1.4245161290322581</v>
      </c>
      <c r="X97" s="13">
        <f>IF('0.0%'!$N97&lt;$Z$3,0, '0.0%'!$R97/'0.0%'!$N97)</f>
        <v>2.1821935483870969</v>
      </c>
      <c r="Y97" s="13">
        <f>IF('0.0%'!$N97&lt;$Z$3,0, '0.0%'!$S97/'0.0%'!$N97)</f>
        <v>2.2294193548387096</v>
      </c>
    </row>
    <row r="98" spans="1:25" x14ac:dyDescent="0.3">
      <c r="A98" s="17">
        <v>165.49</v>
      </c>
      <c r="B98" s="10">
        <v>385.3</v>
      </c>
      <c r="C98" s="9">
        <v>165.49</v>
      </c>
      <c r="D98" s="10">
        <v>411.6</v>
      </c>
      <c r="E98" s="11">
        <v>165.49</v>
      </c>
      <c r="F98" s="12">
        <v>523.4</v>
      </c>
      <c r="G98" s="11">
        <v>165.49</v>
      </c>
      <c r="H98" s="12">
        <v>549.20000000000005</v>
      </c>
      <c r="I98" s="11">
        <v>165.49</v>
      </c>
      <c r="J98" s="12">
        <v>841.1</v>
      </c>
      <c r="K98" s="11">
        <v>165.49</v>
      </c>
      <c r="L98" s="12">
        <v>859.7</v>
      </c>
      <c r="M98" s="11">
        <v>165.49</v>
      </c>
      <c r="N98" s="13">
        <v>385.3</v>
      </c>
      <c r="O98" s="13">
        <v>411.6</v>
      </c>
      <c r="P98" s="13">
        <v>523.4</v>
      </c>
      <c r="Q98" s="11">
        <v>549.20000000000005</v>
      </c>
      <c r="R98" s="11">
        <v>841.1</v>
      </c>
      <c r="S98" s="14">
        <v>859.7</v>
      </c>
      <c r="T98" s="11">
        <v>165.49</v>
      </c>
      <c r="U98" s="13">
        <f>IF('0.0%'!$N98&lt;$Z$3,0, '0.0%'!$O98/'0.0%'!$N98)</f>
        <v>1.0682584998702309</v>
      </c>
      <c r="V98" s="13">
        <f>IF('0.0%'!$N98&lt;$Z$3,0, '0.0%'!$P98/'0.0%'!$N98)</f>
        <v>1.3584220088242926</v>
      </c>
      <c r="W98" s="13">
        <f>IF('0.0%'!$N98&lt;$Z$3,0, '0.0%'!$Q98/'0.0%'!$N98)</f>
        <v>1.4253828185829225</v>
      </c>
      <c r="X98" s="13">
        <f>IF('0.0%'!$N98&lt;$Z$3,0, '0.0%'!$R98/'0.0%'!$N98)</f>
        <v>2.1829743057357902</v>
      </c>
      <c r="Y98" s="13">
        <f>IF('0.0%'!$N98&lt;$Z$3,0, '0.0%'!$S98/'0.0%'!$N98)</f>
        <v>2.2312483778873604</v>
      </c>
    </row>
    <row r="99" spans="1:25" x14ac:dyDescent="0.3">
      <c r="A99" s="17">
        <v>166.48</v>
      </c>
      <c r="B99" s="10">
        <v>384</v>
      </c>
      <c r="C99" s="9">
        <v>166.48</v>
      </c>
      <c r="D99" s="10">
        <v>410.3</v>
      </c>
      <c r="E99" s="11">
        <v>166.48</v>
      </c>
      <c r="F99" s="12">
        <v>521.4</v>
      </c>
      <c r="G99" s="11">
        <v>166.48</v>
      </c>
      <c r="H99" s="12">
        <v>547.1</v>
      </c>
      <c r="I99" s="11">
        <v>166.48</v>
      </c>
      <c r="J99" s="12">
        <v>837</v>
      </c>
      <c r="K99" s="11">
        <v>166.48</v>
      </c>
      <c r="L99" s="12">
        <v>855.8</v>
      </c>
      <c r="M99" s="11">
        <v>166.48</v>
      </c>
      <c r="N99" s="13">
        <v>384</v>
      </c>
      <c r="O99" s="13">
        <v>410.3</v>
      </c>
      <c r="P99" s="13">
        <v>521.4</v>
      </c>
      <c r="Q99" s="11">
        <v>547.1</v>
      </c>
      <c r="R99" s="11">
        <v>837</v>
      </c>
      <c r="S99" s="14">
        <v>855.8</v>
      </c>
      <c r="T99" s="11">
        <v>166.48</v>
      </c>
      <c r="U99" s="13">
        <f>IF('0.0%'!$N99&lt;$Z$3,0, '0.0%'!$O99/'0.0%'!$N99)</f>
        <v>1.0684895833333334</v>
      </c>
      <c r="V99" s="13">
        <f>IF('0.0%'!$N99&lt;$Z$3,0, '0.0%'!$P99/'0.0%'!$N99)</f>
        <v>1.3578124999999999</v>
      </c>
      <c r="W99" s="13">
        <f>IF('0.0%'!$N99&lt;$Z$3,0, '0.0%'!$Q99/'0.0%'!$N99)</f>
        <v>1.4247395833333334</v>
      </c>
      <c r="X99" s="13">
        <f>IF('0.0%'!$N99&lt;$Z$3,0, '0.0%'!$R99/'0.0%'!$N99)</f>
        <v>2.1796875</v>
      </c>
      <c r="Y99" s="13">
        <f>IF('0.0%'!$N99&lt;$Z$3,0, '0.0%'!$S99/'0.0%'!$N99)</f>
        <v>2.2286458333333332</v>
      </c>
    </row>
    <row r="100" spans="1:25" x14ac:dyDescent="0.3">
      <c r="A100" s="17">
        <v>167.47</v>
      </c>
      <c r="B100" s="10">
        <v>382</v>
      </c>
      <c r="C100" s="9">
        <v>167.47</v>
      </c>
      <c r="D100" s="10">
        <v>408.2</v>
      </c>
      <c r="E100" s="11">
        <v>167.47</v>
      </c>
      <c r="F100" s="12">
        <v>518.70000000000005</v>
      </c>
      <c r="G100" s="11">
        <v>167.47</v>
      </c>
      <c r="H100" s="12">
        <v>544.5</v>
      </c>
      <c r="I100" s="11">
        <v>167.47</v>
      </c>
      <c r="J100" s="12">
        <v>832.6</v>
      </c>
      <c r="K100" s="11">
        <v>167.47</v>
      </c>
      <c r="L100" s="12">
        <v>851.5</v>
      </c>
      <c r="M100" s="11">
        <v>167.47</v>
      </c>
      <c r="N100" s="13">
        <v>382</v>
      </c>
      <c r="O100" s="13">
        <v>408.2</v>
      </c>
      <c r="P100" s="13">
        <v>518.70000000000005</v>
      </c>
      <c r="Q100" s="11">
        <v>544.5</v>
      </c>
      <c r="R100" s="11">
        <v>832.6</v>
      </c>
      <c r="S100" s="14">
        <v>851.5</v>
      </c>
      <c r="T100" s="11">
        <v>167.47</v>
      </c>
      <c r="U100" s="13">
        <f>IF('0.0%'!$N100&lt;$Z$3,0, '0.0%'!$O100/'0.0%'!$N100)</f>
        <v>1.0685863874345549</v>
      </c>
      <c r="V100" s="13">
        <f>IF('0.0%'!$N100&lt;$Z$3,0, '0.0%'!$P100/'0.0%'!$N100)</f>
        <v>1.3578534031413614</v>
      </c>
      <c r="W100" s="13">
        <f>IF('0.0%'!$N100&lt;$Z$3,0, '0.0%'!$Q100/'0.0%'!$N100)</f>
        <v>1.4253926701570681</v>
      </c>
      <c r="X100" s="13">
        <f>IF('0.0%'!$N100&lt;$Z$3,0, '0.0%'!$R100/'0.0%'!$N100)</f>
        <v>2.1795811518324606</v>
      </c>
      <c r="Y100" s="13">
        <f>IF('0.0%'!$N100&lt;$Z$3,0, '0.0%'!$S100/'0.0%'!$N100)</f>
        <v>2.2290575916230368</v>
      </c>
    </row>
    <row r="101" spans="1:25" x14ac:dyDescent="0.3">
      <c r="A101" s="17">
        <v>168.47</v>
      </c>
      <c r="B101" s="10">
        <v>381</v>
      </c>
      <c r="C101" s="9">
        <v>168.47</v>
      </c>
      <c r="D101" s="10">
        <v>407.1</v>
      </c>
      <c r="E101" s="11">
        <v>168.47</v>
      </c>
      <c r="F101" s="12">
        <v>516.9</v>
      </c>
      <c r="G101" s="11">
        <v>168.47</v>
      </c>
      <c r="H101" s="12">
        <v>542.6</v>
      </c>
      <c r="I101" s="11">
        <v>168.47</v>
      </c>
      <c r="J101" s="12">
        <v>828.7</v>
      </c>
      <c r="K101" s="11">
        <v>168.47</v>
      </c>
      <c r="L101" s="12">
        <v>847.8</v>
      </c>
      <c r="M101" s="11">
        <v>168.47</v>
      </c>
      <c r="N101" s="13">
        <v>381</v>
      </c>
      <c r="O101" s="13">
        <v>407.1</v>
      </c>
      <c r="P101" s="13">
        <v>516.9</v>
      </c>
      <c r="Q101" s="11">
        <v>542.6</v>
      </c>
      <c r="R101" s="11">
        <v>828.7</v>
      </c>
      <c r="S101" s="14">
        <v>847.8</v>
      </c>
      <c r="T101" s="11">
        <v>168.47</v>
      </c>
      <c r="U101" s="13">
        <f>IF('0.0%'!$N101&lt;$Z$3,0, '0.0%'!$O101/'0.0%'!$N101)</f>
        <v>1.0685039370078742</v>
      </c>
      <c r="V101" s="13">
        <f>IF('0.0%'!$N101&lt;$Z$3,0, '0.0%'!$P101/'0.0%'!$N101)</f>
        <v>1.3566929133858268</v>
      </c>
      <c r="W101" s="13">
        <f>IF('0.0%'!$N101&lt;$Z$3,0, '0.0%'!$Q101/'0.0%'!$N101)</f>
        <v>1.4241469816272967</v>
      </c>
      <c r="X101" s="13">
        <f>IF('0.0%'!$N101&lt;$Z$3,0, '0.0%'!$R101/'0.0%'!$N101)</f>
        <v>2.1750656167979003</v>
      </c>
      <c r="Y101" s="13">
        <f>IF('0.0%'!$N101&lt;$Z$3,0, '0.0%'!$S101/'0.0%'!$N101)</f>
        <v>2.2251968503937007</v>
      </c>
    </row>
    <row r="102" spans="1:25" x14ac:dyDescent="0.3">
      <c r="A102" s="17">
        <v>169.46</v>
      </c>
      <c r="B102" s="10">
        <v>378.8</v>
      </c>
      <c r="C102" s="9">
        <v>169.46</v>
      </c>
      <c r="D102" s="10">
        <v>404.9</v>
      </c>
      <c r="E102" s="11">
        <v>169.46</v>
      </c>
      <c r="F102" s="12">
        <v>514.1</v>
      </c>
      <c r="G102" s="11">
        <v>169.46</v>
      </c>
      <c r="H102" s="12">
        <v>539.9</v>
      </c>
      <c r="I102" s="11">
        <v>169.46</v>
      </c>
      <c r="J102" s="12">
        <v>824.4</v>
      </c>
      <c r="K102" s="11">
        <v>169.46</v>
      </c>
      <c r="L102" s="12">
        <v>843.4</v>
      </c>
      <c r="M102" s="11">
        <v>169.46</v>
      </c>
      <c r="N102" s="13">
        <v>378.8</v>
      </c>
      <c r="O102" s="13">
        <v>404.9</v>
      </c>
      <c r="P102" s="13">
        <v>514.1</v>
      </c>
      <c r="Q102" s="11">
        <v>539.9</v>
      </c>
      <c r="R102" s="11">
        <v>824.4</v>
      </c>
      <c r="S102" s="14">
        <v>843.4</v>
      </c>
      <c r="T102" s="11">
        <v>169.46</v>
      </c>
      <c r="U102" s="13">
        <f>IF('0.0%'!$N102&lt;$Z$3,0, '0.0%'!$O102/'0.0%'!$N102)</f>
        <v>1.0689017951425555</v>
      </c>
      <c r="V102" s="13">
        <f>IF('0.0%'!$N102&lt;$Z$3,0, '0.0%'!$P102/'0.0%'!$N102)</f>
        <v>1.357180570221753</v>
      </c>
      <c r="W102" s="13">
        <f>IF('0.0%'!$N102&lt;$Z$3,0, '0.0%'!$Q102/'0.0%'!$N102)</f>
        <v>1.4252903907074972</v>
      </c>
      <c r="X102" s="13">
        <f>IF('0.0%'!$N102&lt;$Z$3,0, '0.0%'!$R102/'0.0%'!$N102)</f>
        <v>2.1763463569165786</v>
      </c>
      <c r="Y102" s="13">
        <f>IF('0.0%'!$N102&lt;$Z$3,0, '0.0%'!$S102/'0.0%'!$N102)</f>
        <v>2.2265047518479406</v>
      </c>
    </row>
    <row r="103" spans="1:25" x14ac:dyDescent="0.3">
      <c r="A103" s="17">
        <v>170.45</v>
      </c>
      <c r="B103" s="10">
        <v>377.4</v>
      </c>
      <c r="C103" s="9">
        <v>170.45</v>
      </c>
      <c r="D103" s="10">
        <v>403.6</v>
      </c>
      <c r="E103" s="11">
        <v>170.45</v>
      </c>
      <c r="F103" s="12">
        <v>512</v>
      </c>
      <c r="G103" s="11">
        <v>170.45</v>
      </c>
      <c r="H103" s="12">
        <v>537.70000000000005</v>
      </c>
      <c r="I103" s="11">
        <v>170.45</v>
      </c>
      <c r="J103" s="12">
        <v>820.2</v>
      </c>
      <c r="K103" s="11">
        <v>170.45</v>
      </c>
      <c r="L103" s="12">
        <v>839.5</v>
      </c>
      <c r="M103" s="11">
        <v>170.45</v>
      </c>
      <c r="N103" s="13">
        <v>377.4</v>
      </c>
      <c r="O103" s="13">
        <v>403.6</v>
      </c>
      <c r="P103" s="13">
        <v>512</v>
      </c>
      <c r="Q103" s="11">
        <v>537.70000000000005</v>
      </c>
      <c r="R103" s="11">
        <v>820.2</v>
      </c>
      <c r="S103" s="14">
        <v>839.5</v>
      </c>
      <c r="T103" s="11">
        <v>170.45</v>
      </c>
      <c r="U103" s="13">
        <f>IF('0.0%'!$N103&lt;$Z$3,0, '0.0%'!$O103/'0.0%'!$N103)</f>
        <v>1.0694223635400106</v>
      </c>
      <c r="V103" s="13">
        <f>IF('0.0%'!$N103&lt;$Z$3,0, '0.0%'!$P103/'0.0%'!$N103)</f>
        <v>1.3566507684154743</v>
      </c>
      <c r="W103" s="13">
        <f>IF('0.0%'!$N103&lt;$Z$3,0, '0.0%'!$Q103/'0.0%'!$N103)</f>
        <v>1.4247482776894544</v>
      </c>
      <c r="X103" s="13">
        <f>IF('0.0%'!$N103&lt;$Z$3,0, '0.0%'!$R103/'0.0%'!$N103)</f>
        <v>2.1732909379968204</v>
      </c>
      <c r="Y103" s="13">
        <f>IF('0.0%'!$N103&lt;$Z$3,0, '0.0%'!$S103/'0.0%'!$N103)</f>
        <v>2.2244303126656071</v>
      </c>
    </row>
    <row r="104" spans="1:25" x14ac:dyDescent="0.3">
      <c r="A104" s="17">
        <v>171.44</v>
      </c>
      <c r="B104" s="10">
        <v>375.1</v>
      </c>
      <c r="C104" s="9">
        <v>171.44</v>
      </c>
      <c r="D104" s="10">
        <v>401.2</v>
      </c>
      <c r="E104" s="11">
        <v>171.44</v>
      </c>
      <c r="F104" s="12">
        <v>508.8</v>
      </c>
      <c r="G104" s="11">
        <v>171.44</v>
      </c>
      <c r="H104" s="12">
        <v>534.6</v>
      </c>
      <c r="I104" s="11">
        <v>171.44</v>
      </c>
      <c r="J104" s="12">
        <v>815.6</v>
      </c>
      <c r="K104" s="11">
        <v>171.44</v>
      </c>
      <c r="L104" s="12">
        <v>835</v>
      </c>
      <c r="M104" s="11">
        <v>171.44</v>
      </c>
      <c r="N104" s="13">
        <v>375.1</v>
      </c>
      <c r="O104" s="13">
        <v>401.2</v>
      </c>
      <c r="P104" s="13">
        <v>508.8</v>
      </c>
      <c r="Q104" s="11">
        <v>534.6</v>
      </c>
      <c r="R104" s="11">
        <v>815.6</v>
      </c>
      <c r="S104" s="14">
        <v>835</v>
      </c>
      <c r="T104" s="11">
        <v>171.44</v>
      </c>
      <c r="U104" s="13">
        <f>IF('0.0%'!$N104&lt;$Z$3,0, '0.0%'!$O104/'0.0%'!$N104)</f>
        <v>1.0695814449480137</v>
      </c>
      <c r="V104" s="13">
        <f>IF('0.0%'!$N104&lt;$Z$3,0, '0.0%'!$P104/'0.0%'!$N104)</f>
        <v>1.3564382831245001</v>
      </c>
      <c r="W104" s="13">
        <f>IF('0.0%'!$N104&lt;$Z$3,0, '0.0%'!$Q104/'0.0%'!$N104)</f>
        <v>1.4252199413489737</v>
      </c>
      <c r="X104" s="13">
        <f>IF('0.0%'!$N104&lt;$Z$3,0, '0.0%'!$R104/'0.0%'!$N104)</f>
        <v>2.1743535057318049</v>
      </c>
      <c r="Y104" s="13">
        <f>IF('0.0%'!$N104&lt;$Z$3,0, '0.0%'!$S104/'0.0%'!$N104)</f>
        <v>2.2260730471874166</v>
      </c>
    </row>
    <row r="105" spans="1:25" x14ac:dyDescent="0.3">
      <c r="A105" s="17">
        <v>172.43</v>
      </c>
      <c r="B105" s="10">
        <v>373.5</v>
      </c>
      <c r="C105" s="9">
        <v>172.43</v>
      </c>
      <c r="D105" s="10">
        <v>399.7</v>
      </c>
      <c r="E105" s="11">
        <v>172.43</v>
      </c>
      <c r="F105" s="12">
        <v>506.3</v>
      </c>
      <c r="G105" s="11">
        <v>172.43</v>
      </c>
      <c r="H105" s="12">
        <v>532.1</v>
      </c>
      <c r="I105" s="11">
        <v>172.43</v>
      </c>
      <c r="J105" s="12">
        <v>811</v>
      </c>
      <c r="K105" s="11">
        <v>172.43</v>
      </c>
      <c r="L105" s="12">
        <v>830.7</v>
      </c>
      <c r="M105" s="11">
        <v>172.43</v>
      </c>
      <c r="N105" s="13">
        <v>373.5</v>
      </c>
      <c r="O105" s="13">
        <v>399.7</v>
      </c>
      <c r="P105" s="13">
        <v>506.3</v>
      </c>
      <c r="Q105" s="11">
        <v>532.1</v>
      </c>
      <c r="R105" s="11">
        <v>811</v>
      </c>
      <c r="S105" s="14">
        <v>830.7</v>
      </c>
      <c r="T105" s="11">
        <v>172.43</v>
      </c>
      <c r="U105" s="13">
        <f>IF('0.0%'!$N105&lt;$Z$3,0, '0.0%'!$O105/'0.0%'!$N105)</f>
        <v>1.0701472556894243</v>
      </c>
      <c r="V105" s="13">
        <f>IF('0.0%'!$N105&lt;$Z$3,0, '0.0%'!$P105/'0.0%'!$N105)</f>
        <v>1.3555555555555556</v>
      </c>
      <c r="W105" s="13">
        <f>IF('0.0%'!$N105&lt;$Z$3,0, '0.0%'!$Q105/'0.0%'!$N105)</f>
        <v>1.4246318607764392</v>
      </c>
      <c r="X105" s="13">
        <f>IF('0.0%'!$N105&lt;$Z$3,0, '0.0%'!$R105/'0.0%'!$N105)</f>
        <v>2.1713520749665327</v>
      </c>
      <c r="Y105" s="13">
        <f>IF('0.0%'!$N105&lt;$Z$3,0, '0.0%'!$S105/'0.0%'!$N105)</f>
        <v>2.2240963855421687</v>
      </c>
    </row>
    <row r="106" spans="1:25" x14ac:dyDescent="0.3">
      <c r="A106" s="17">
        <v>173.42</v>
      </c>
      <c r="B106" s="10">
        <v>370.8</v>
      </c>
      <c r="C106" s="9">
        <v>173.42</v>
      </c>
      <c r="D106" s="10">
        <v>397</v>
      </c>
      <c r="E106" s="11">
        <v>173.42</v>
      </c>
      <c r="F106" s="12">
        <v>502.9</v>
      </c>
      <c r="G106" s="11">
        <v>173.42</v>
      </c>
      <c r="H106" s="12">
        <v>528.6</v>
      </c>
      <c r="I106" s="11">
        <v>173.42</v>
      </c>
      <c r="J106" s="12">
        <v>805.9</v>
      </c>
      <c r="K106" s="11">
        <v>173.42</v>
      </c>
      <c r="L106" s="12">
        <v>825.8</v>
      </c>
      <c r="M106" s="11">
        <v>173.42</v>
      </c>
      <c r="N106" s="13">
        <v>370.8</v>
      </c>
      <c r="O106" s="13">
        <v>397</v>
      </c>
      <c r="P106" s="13">
        <v>502.9</v>
      </c>
      <c r="Q106" s="11">
        <v>528.6</v>
      </c>
      <c r="R106" s="11">
        <v>805.9</v>
      </c>
      <c r="S106" s="14">
        <v>825.8</v>
      </c>
      <c r="T106" s="11">
        <v>173.42</v>
      </c>
      <c r="U106" s="13">
        <f>IF('0.0%'!$N106&lt;$Z$3,0, '0.0%'!$O106/'0.0%'!$N106)</f>
        <v>1.0706580366774541</v>
      </c>
      <c r="V106" s="13">
        <f>IF('0.0%'!$N106&lt;$Z$3,0, '0.0%'!$P106/'0.0%'!$N106)</f>
        <v>1.3562567421790721</v>
      </c>
      <c r="W106" s="13">
        <f>IF('0.0%'!$N106&lt;$Z$3,0, '0.0%'!$Q106/'0.0%'!$N106)</f>
        <v>1.4255663430420713</v>
      </c>
      <c r="X106" s="13">
        <f>IF('0.0%'!$N106&lt;$Z$3,0, '0.0%'!$R106/'0.0%'!$N106)</f>
        <v>2.1734088457389427</v>
      </c>
      <c r="Y106" s="13">
        <f>IF('0.0%'!$N106&lt;$Z$3,0, '0.0%'!$S106/'0.0%'!$N106)</f>
        <v>2.2270765911542609</v>
      </c>
    </row>
    <row r="107" spans="1:25" x14ac:dyDescent="0.3">
      <c r="A107" s="17">
        <v>174.42</v>
      </c>
      <c r="B107" s="10">
        <v>369.2</v>
      </c>
      <c r="C107" s="9">
        <v>174.42</v>
      </c>
      <c r="D107" s="10">
        <v>395.3</v>
      </c>
      <c r="E107" s="11">
        <v>174.42</v>
      </c>
      <c r="F107" s="12">
        <v>500.4</v>
      </c>
      <c r="G107" s="11">
        <v>174.42</v>
      </c>
      <c r="H107" s="12">
        <v>525.9</v>
      </c>
      <c r="I107" s="11">
        <v>174.42</v>
      </c>
      <c r="J107" s="12">
        <v>801.1</v>
      </c>
      <c r="K107" s="11">
        <v>174.42</v>
      </c>
      <c r="L107" s="12">
        <v>821.2</v>
      </c>
      <c r="M107" s="11">
        <v>174.42</v>
      </c>
      <c r="N107" s="13">
        <v>369.2</v>
      </c>
      <c r="O107" s="13">
        <v>395.3</v>
      </c>
      <c r="P107" s="13">
        <v>500.4</v>
      </c>
      <c r="Q107" s="11">
        <v>525.9</v>
      </c>
      <c r="R107" s="11">
        <v>801.1</v>
      </c>
      <c r="S107" s="14">
        <v>821.2</v>
      </c>
      <c r="T107" s="11">
        <v>174.42</v>
      </c>
      <c r="U107" s="13">
        <f>IF('0.0%'!$N107&lt;$Z$3,0, '0.0%'!$O107/'0.0%'!$N107)</f>
        <v>1.0706933911159264</v>
      </c>
      <c r="V107" s="13">
        <f>IF('0.0%'!$N107&lt;$Z$3,0, '0.0%'!$P107/'0.0%'!$N107)</f>
        <v>1.3553629469122426</v>
      </c>
      <c r="W107" s="13">
        <f>IF('0.0%'!$N107&lt;$Z$3,0, '0.0%'!$Q107/'0.0%'!$N107)</f>
        <v>1.4244312026002166</v>
      </c>
      <c r="X107" s="13">
        <f>IF('0.0%'!$N107&lt;$Z$3,0, '0.0%'!$R107/'0.0%'!$N107)</f>
        <v>2.1698266522210186</v>
      </c>
      <c r="Y107" s="13">
        <f>IF('0.0%'!$N107&lt;$Z$3,0, '0.0%'!$S107/'0.0%'!$N107)</f>
        <v>2.2242686890574217</v>
      </c>
    </row>
    <row r="108" spans="1:25" x14ac:dyDescent="0.3">
      <c r="A108" s="17">
        <v>175.41</v>
      </c>
      <c r="B108" s="10">
        <v>366.7</v>
      </c>
      <c r="C108" s="9">
        <v>175.41</v>
      </c>
      <c r="D108" s="10">
        <v>392.7</v>
      </c>
      <c r="E108" s="11">
        <v>175.41</v>
      </c>
      <c r="F108" s="12">
        <v>497.1</v>
      </c>
      <c r="G108" s="11">
        <v>175.41</v>
      </c>
      <c r="H108" s="12">
        <v>522.6</v>
      </c>
      <c r="I108" s="11">
        <v>175.41</v>
      </c>
      <c r="J108" s="12">
        <v>796</v>
      </c>
      <c r="K108" s="11">
        <v>175.41</v>
      </c>
      <c r="L108" s="12">
        <v>816.4</v>
      </c>
      <c r="M108" s="11">
        <v>175.41</v>
      </c>
      <c r="N108" s="13">
        <v>366.7</v>
      </c>
      <c r="O108" s="13">
        <v>392.7</v>
      </c>
      <c r="P108" s="13">
        <v>497.1</v>
      </c>
      <c r="Q108" s="11">
        <v>522.6</v>
      </c>
      <c r="R108" s="11">
        <v>796</v>
      </c>
      <c r="S108" s="14">
        <v>816.4</v>
      </c>
      <c r="T108" s="11">
        <v>175.41</v>
      </c>
      <c r="U108" s="13">
        <f>IF('0.0%'!$N108&lt;$Z$3,0, '0.0%'!$O108/'0.0%'!$N108)</f>
        <v>1.0709026452140715</v>
      </c>
      <c r="V108" s="13">
        <f>IF('0.0%'!$N108&lt;$Z$3,0, '0.0%'!$P108/'0.0%'!$N108)</f>
        <v>1.3556040359967276</v>
      </c>
      <c r="W108" s="13">
        <f>IF('0.0%'!$N108&lt;$Z$3,0, '0.0%'!$Q108/'0.0%'!$N108)</f>
        <v>1.4251431688028362</v>
      </c>
      <c r="X108" s="13">
        <f>IF('0.0%'!$N108&lt;$Z$3,0, '0.0%'!$R108/'0.0%'!$N108)</f>
        <v>2.1707117534769567</v>
      </c>
      <c r="Y108" s="13">
        <f>IF('0.0%'!$N108&lt;$Z$3,0, '0.0%'!$S108/'0.0%'!$N108)</f>
        <v>2.2263430597218434</v>
      </c>
    </row>
    <row r="109" spans="1:25" x14ac:dyDescent="0.3">
      <c r="A109" s="17">
        <v>176.4</v>
      </c>
      <c r="B109" s="10">
        <v>365.3</v>
      </c>
      <c r="C109" s="9">
        <v>176.4</v>
      </c>
      <c r="D109" s="10">
        <v>391.1</v>
      </c>
      <c r="E109" s="11">
        <v>176.4</v>
      </c>
      <c r="F109" s="12">
        <v>494.7</v>
      </c>
      <c r="G109" s="11">
        <v>176.4</v>
      </c>
      <c r="H109" s="12">
        <v>520.20000000000005</v>
      </c>
      <c r="I109" s="11">
        <v>176.4</v>
      </c>
      <c r="J109" s="12">
        <v>791.3</v>
      </c>
      <c r="K109" s="11">
        <v>176.4</v>
      </c>
      <c r="L109" s="12">
        <v>812.1</v>
      </c>
      <c r="M109" s="11">
        <v>176.4</v>
      </c>
      <c r="N109" s="13">
        <v>365.3</v>
      </c>
      <c r="O109" s="13">
        <v>391.1</v>
      </c>
      <c r="P109" s="13">
        <v>494.7</v>
      </c>
      <c r="Q109" s="11">
        <v>520.20000000000005</v>
      </c>
      <c r="R109" s="11">
        <v>791.3</v>
      </c>
      <c r="S109" s="14">
        <v>812.1</v>
      </c>
      <c r="T109" s="11">
        <v>176.4</v>
      </c>
      <c r="U109" s="13">
        <f>IF('0.0%'!$N109&lt;$Z$3,0, '0.0%'!$O109/'0.0%'!$N109)</f>
        <v>1.0706268820147824</v>
      </c>
      <c r="V109" s="13">
        <f>IF('0.0%'!$N109&lt;$Z$3,0, '0.0%'!$P109/'0.0%'!$N109)</f>
        <v>1.3542294004927455</v>
      </c>
      <c r="W109" s="13">
        <f>IF('0.0%'!$N109&lt;$Z$3,0, '0.0%'!$Q109/'0.0%'!$N109)</f>
        <v>1.4240350396934027</v>
      </c>
      <c r="X109" s="13">
        <f>IF('0.0%'!$N109&lt;$Z$3,0, '0.0%'!$R109/'0.0%'!$N109)</f>
        <v>2.1661647960580344</v>
      </c>
      <c r="Y109" s="13">
        <f>IF('0.0%'!$N109&lt;$Z$3,0, '0.0%'!$S109/'0.0%'!$N109)</f>
        <v>2.223104297837394</v>
      </c>
    </row>
    <row r="110" spans="1:25" x14ac:dyDescent="0.3">
      <c r="A110" s="17">
        <v>177.39</v>
      </c>
      <c r="B110" s="10">
        <v>362.7</v>
      </c>
      <c r="C110" s="9">
        <v>177.39</v>
      </c>
      <c r="D110" s="10">
        <v>388.4</v>
      </c>
      <c r="E110" s="11">
        <v>177.39</v>
      </c>
      <c r="F110" s="12">
        <v>491.3</v>
      </c>
      <c r="G110" s="11">
        <v>177.39</v>
      </c>
      <c r="H110" s="12">
        <v>516.70000000000005</v>
      </c>
      <c r="I110" s="11">
        <v>177.39</v>
      </c>
      <c r="J110" s="12">
        <v>785.8</v>
      </c>
      <c r="K110" s="11">
        <v>177.39</v>
      </c>
      <c r="L110" s="12">
        <v>807</v>
      </c>
      <c r="M110" s="11">
        <v>177.39</v>
      </c>
      <c r="N110" s="13">
        <v>362.7</v>
      </c>
      <c r="O110" s="13">
        <v>388.4</v>
      </c>
      <c r="P110" s="13">
        <v>491.3</v>
      </c>
      <c r="Q110" s="11">
        <v>516.70000000000005</v>
      </c>
      <c r="R110" s="11">
        <v>785.8</v>
      </c>
      <c r="S110" s="14">
        <v>807</v>
      </c>
      <c r="T110" s="11">
        <v>177.39</v>
      </c>
      <c r="U110" s="13">
        <f>IF('0.0%'!$N110&lt;$Z$3,0, '0.0%'!$O110/'0.0%'!$N110)</f>
        <v>1.070857457954232</v>
      </c>
      <c r="V110" s="13">
        <f>IF('0.0%'!$N110&lt;$Z$3,0, '0.0%'!$P110/'0.0%'!$N110)</f>
        <v>1.3545629997242901</v>
      </c>
      <c r="W110" s="13">
        <f>IF('0.0%'!$N110&lt;$Z$3,0, '0.0%'!$Q110/'0.0%'!$N110)</f>
        <v>1.4245933278191345</v>
      </c>
      <c r="X110" s="13">
        <f>IF('0.0%'!$N110&lt;$Z$3,0, '0.0%'!$R110/'0.0%'!$N110)</f>
        <v>2.1665288116901018</v>
      </c>
      <c r="Y110" s="13">
        <f>IF('0.0%'!$N110&lt;$Z$3,0, '0.0%'!$S110/'0.0%'!$N110)</f>
        <v>2.2249793217535152</v>
      </c>
    </row>
    <row r="111" spans="1:25" x14ac:dyDescent="0.3">
      <c r="A111" s="17">
        <v>178.38</v>
      </c>
      <c r="B111" s="10">
        <v>361</v>
      </c>
      <c r="C111" s="9">
        <v>178.38</v>
      </c>
      <c r="D111" s="10">
        <v>386.7</v>
      </c>
      <c r="E111" s="11">
        <v>178.38</v>
      </c>
      <c r="F111" s="12">
        <v>488.7</v>
      </c>
      <c r="G111" s="11">
        <v>178.38</v>
      </c>
      <c r="H111" s="12">
        <v>514</v>
      </c>
      <c r="I111" s="11">
        <v>178.38</v>
      </c>
      <c r="J111" s="12">
        <v>780.7</v>
      </c>
      <c r="K111" s="11">
        <v>178.38</v>
      </c>
      <c r="L111" s="12">
        <v>802</v>
      </c>
      <c r="M111" s="11">
        <v>178.38</v>
      </c>
      <c r="N111" s="13">
        <v>361</v>
      </c>
      <c r="O111" s="13">
        <v>386.7</v>
      </c>
      <c r="P111" s="13">
        <v>488.7</v>
      </c>
      <c r="Q111" s="11">
        <v>514</v>
      </c>
      <c r="R111" s="11">
        <v>780.7</v>
      </c>
      <c r="S111" s="14">
        <v>802</v>
      </c>
      <c r="T111" s="11">
        <v>178.38</v>
      </c>
      <c r="U111" s="13">
        <f>IF('0.0%'!$N111&lt;$Z$3,0, '0.0%'!$O111/'0.0%'!$N111)</f>
        <v>1.071191135734072</v>
      </c>
      <c r="V111" s="13">
        <f>IF('0.0%'!$N111&lt;$Z$3,0, '0.0%'!$P111/'0.0%'!$N111)</f>
        <v>1.3537396121883656</v>
      </c>
      <c r="W111" s="13">
        <f>IF('0.0%'!$N111&lt;$Z$3,0, '0.0%'!$Q111/'0.0%'!$N111)</f>
        <v>1.4238227146814404</v>
      </c>
      <c r="X111" s="13">
        <f>IF('0.0%'!$N111&lt;$Z$3,0, '0.0%'!$R111/'0.0%'!$N111)</f>
        <v>2.1626038781163435</v>
      </c>
      <c r="Y111" s="13">
        <f>IF('0.0%'!$N111&lt;$Z$3,0, '0.0%'!$S111/'0.0%'!$N111)</f>
        <v>2.2216066481994461</v>
      </c>
    </row>
    <row r="112" spans="1:25" x14ac:dyDescent="0.3">
      <c r="A112" s="17">
        <v>179.38</v>
      </c>
      <c r="B112" s="10">
        <v>358.7</v>
      </c>
      <c r="C112" s="9">
        <v>179.38</v>
      </c>
      <c r="D112" s="10">
        <v>384.5</v>
      </c>
      <c r="E112" s="11">
        <v>179.38</v>
      </c>
      <c r="F112" s="12">
        <v>485.4</v>
      </c>
      <c r="G112" s="11">
        <v>179.38</v>
      </c>
      <c r="H112" s="12">
        <v>510.7</v>
      </c>
      <c r="I112" s="11">
        <v>179.38</v>
      </c>
      <c r="J112" s="12">
        <v>774.7</v>
      </c>
      <c r="K112" s="11">
        <v>179.38</v>
      </c>
      <c r="L112" s="12">
        <v>796.3</v>
      </c>
      <c r="M112" s="11">
        <v>179.38</v>
      </c>
      <c r="N112" s="13">
        <v>358.7</v>
      </c>
      <c r="O112" s="13">
        <v>384.5</v>
      </c>
      <c r="P112" s="13">
        <v>485.4</v>
      </c>
      <c r="Q112" s="11">
        <v>510.7</v>
      </c>
      <c r="R112" s="11">
        <v>774.7</v>
      </c>
      <c r="S112" s="14">
        <v>796.3</v>
      </c>
      <c r="T112" s="11">
        <v>179.38</v>
      </c>
      <c r="U112" s="13">
        <f>IF('0.0%'!$N112&lt;$Z$3,0, '0.0%'!$O112/'0.0%'!$N112)</f>
        <v>1.0719264008921103</v>
      </c>
      <c r="V112" s="13">
        <f>IF('0.0%'!$N112&lt;$Z$3,0, '0.0%'!$P112/'0.0%'!$N112)</f>
        <v>1.3532199609701701</v>
      </c>
      <c r="W112" s="13">
        <f>IF('0.0%'!$N112&lt;$Z$3,0, '0.0%'!$Q112/'0.0%'!$N112)</f>
        <v>1.4237524393643715</v>
      </c>
      <c r="X112" s="13">
        <f>IF('0.0%'!$N112&lt;$Z$3,0, '0.0%'!$R112/'0.0%'!$N112)</f>
        <v>2.159743518260385</v>
      </c>
      <c r="Y112" s="13">
        <f>IF('0.0%'!$N112&lt;$Z$3,0, '0.0%'!$S112/'0.0%'!$N112)</f>
        <v>2.2199609701700584</v>
      </c>
    </row>
    <row r="113" spans="1:25" x14ac:dyDescent="0.3">
      <c r="A113" s="17">
        <v>180.37</v>
      </c>
      <c r="B113" s="10">
        <v>356.1</v>
      </c>
      <c r="C113" s="9">
        <v>180.37</v>
      </c>
      <c r="D113" s="10">
        <v>381.8</v>
      </c>
      <c r="E113" s="11">
        <v>180.37</v>
      </c>
      <c r="F113" s="12">
        <v>481.8</v>
      </c>
      <c r="G113" s="11">
        <v>180.37</v>
      </c>
      <c r="H113" s="12">
        <v>507.2</v>
      </c>
      <c r="I113" s="11">
        <v>180.37</v>
      </c>
      <c r="J113" s="12">
        <v>768.8</v>
      </c>
      <c r="K113" s="11">
        <v>180.37</v>
      </c>
      <c r="L113" s="12">
        <v>790.7</v>
      </c>
      <c r="M113" s="11">
        <v>180.37</v>
      </c>
      <c r="N113" s="13">
        <v>356.1</v>
      </c>
      <c r="O113" s="13">
        <v>381.8</v>
      </c>
      <c r="P113" s="13">
        <v>481.8</v>
      </c>
      <c r="Q113" s="11">
        <v>507.2</v>
      </c>
      <c r="R113" s="11">
        <v>768.8</v>
      </c>
      <c r="S113" s="14">
        <v>790.7</v>
      </c>
      <c r="T113" s="11">
        <v>180.37</v>
      </c>
      <c r="U113" s="13">
        <f>IF('0.0%'!$N113&lt;$Z$3,0, '0.0%'!$O113/'0.0%'!$N113)</f>
        <v>1.0721707385565853</v>
      </c>
      <c r="V113" s="13">
        <f>IF('0.0%'!$N113&lt;$Z$3,0, '0.0%'!$P113/'0.0%'!$N113)</f>
        <v>1.3529907329401853</v>
      </c>
      <c r="W113" s="13">
        <f>IF('0.0%'!$N113&lt;$Z$3,0, '0.0%'!$Q113/'0.0%'!$N113)</f>
        <v>1.4243190115136197</v>
      </c>
      <c r="X113" s="13">
        <f>IF('0.0%'!$N113&lt;$Z$3,0, '0.0%'!$R113/'0.0%'!$N113)</f>
        <v>2.1589441168211172</v>
      </c>
      <c r="Y113" s="13">
        <f>IF('0.0%'!$N113&lt;$Z$3,0, '0.0%'!$S113/'0.0%'!$N113)</f>
        <v>2.220443695591126</v>
      </c>
    </row>
    <row r="114" spans="1:25" x14ac:dyDescent="0.3">
      <c r="A114" s="17">
        <v>181.36</v>
      </c>
      <c r="B114" s="10">
        <v>354.6</v>
      </c>
      <c r="C114" s="9">
        <v>181.36</v>
      </c>
      <c r="D114" s="10">
        <v>380.2</v>
      </c>
      <c r="E114" s="11">
        <v>181.36</v>
      </c>
      <c r="F114" s="12">
        <v>479.2</v>
      </c>
      <c r="G114" s="11">
        <v>181.36</v>
      </c>
      <c r="H114" s="12">
        <v>504.6</v>
      </c>
      <c r="I114" s="11">
        <v>181.36</v>
      </c>
      <c r="J114" s="12">
        <v>763.5</v>
      </c>
      <c r="K114" s="11">
        <v>181.36</v>
      </c>
      <c r="L114" s="12">
        <v>785.7</v>
      </c>
      <c r="M114" s="11">
        <v>181.36</v>
      </c>
      <c r="N114" s="13">
        <v>354.6</v>
      </c>
      <c r="O114" s="13">
        <v>380.2</v>
      </c>
      <c r="P114" s="13">
        <v>479.2</v>
      </c>
      <c r="Q114" s="11">
        <v>504.6</v>
      </c>
      <c r="R114" s="11">
        <v>763.5</v>
      </c>
      <c r="S114" s="14">
        <v>785.7</v>
      </c>
      <c r="T114" s="11">
        <v>181.36</v>
      </c>
      <c r="U114" s="13">
        <f>IF('0.0%'!$N114&lt;$Z$3,0, '0.0%'!$O114/'0.0%'!$N114)</f>
        <v>1.0721940214326</v>
      </c>
      <c r="V114" s="13">
        <f>IF('0.0%'!$N114&lt;$Z$3,0, '0.0%'!$P114/'0.0%'!$N114)</f>
        <v>1.3513818386914833</v>
      </c>
      <c r="W114" s="13">
        <f>IF('0.0%'!$N114&lt;$Z$3,0, '0.0%'!$Q114/'0.0%'!$N114)</f>
        <v>1.4230118443316413</v>
      </c>
      <c r="X114" s="13">
        <f>IF('0.0%'!$N114&lt;$Z$3,0, '0.0%'!$R114/'0.0%'!$N114)</f>
        <v>2.1531302876480538</v>
      </c>
      <c r="Y114" s="13">
        <f>IF('0.0%'!$N114&lt;$Z$3,0, '0.0%'!$S114/'0.0%'!$N114)</f>
        <v>2.2157360406091371</v>
      </c>
    </row>
    <row r="115" spans="1:25" x14ac:dyDescent="0.3">
      <c r="A115" s="17">
        <v>182.35</v>
      </c>
      <c r="B115" s="10">
        <v>352.1</v>
      </c>
      <c r="C115" s="9">
        <v>182.35</v>
      </c>
      <c r="D115" s="10">
        <v>377.7</v>
      </c>
      <c r="E115" s="11">
        <v>182.35</v>
      </c>
      <c r="F115" s="12">
        <v>475.8</v>
      </c>
      <c r="G115" s="11">
        <v>182.35</v>
      </c>
      <c r="H115" s="12">
        <v>501.3</v>
      </c>
      <c r="I115" s="11">
        <v>182.35</v>
      </c>
      <c r="J115" s="12">
        <v>757.9</v>
      </c>
      <c r="K115" s="11">
        <v>182.35</v>
      </c>
      <c r="L115" s="12">
        <v>780.2</v>
      </c>
      <c r="M115" s="11">
        <v>182.35</v>
      </c>
      <c r="N115" s="13">
        <v>352.1</v>
      </c>
      <c r="O115" s="13">
        <v>377.7</v>
      </c>
      <c r="P115" s="13">
        <v>475.8</v>
      </c>
      <c r="Q115" s="11">
        <v>501.3</v>
      </c>
      <c r="R115" s="11">
        <v>757.9</v>
      </c>
      <c r="S115" s="14">
        <v>780.2</v>
      </c>
      <c r="T115" s="11">
        <v>182.35</v>
      </c>
      <c r="U115" s="13">
        <f>IF('0.0%'!$N115&lt;$Z$3,0, '0.0%'!$O115/'0.0%'!$N115)</f>
        <v>1.0727066174382276</v>
      </c>
      <c r="V115" s="13">
        <f>IF('0.0%'!$N115&lt;$Z$3,0, '0.0%'!$P115/'0.0%'!$N115)</f>
        <v>1.3513206475433115</v>
      </c>
      <c r="W115" s="13">
        <f>IF('0.0%'!$N115&lt;$Z$3,0, '0.0%'!$Q115/'0.0%'!$N115)</f>
        <v>1.4237432547571711</v>
      </c>
      <c r="X115" s="13">
        <f>IF('0.0%'!$N115&lt;$Z$3,0, '0.0%'!$R115/'0.0%'!$N115)</f>
        <v>2.1525134904856573</v>
      </c>
      <c r="Y115" s="13">
        <f>IF('0.0%'!$N115&lt;$Z$3,0, '0.0%'!$S115/'0.0%'!$N115)</f>
        <v>2.2158477705197388</v>
      </c>
    </row>
    <row r="116" spans="1:25" x14ac:dyDescent="0.3">
      <c r="A116" s="17">
        <v>183.34</v>
      </c>
      <c r="B116" s="10">
        <v>350.5</v>
      </c>
      <c r="C116" s="9">
        <v>183.34</v>
      </c>
      <c r="D116" s="10">
        <v>376.1</v>
      </c>
      <c r="E116" s="11">
        <v>183.34</v>
      </c>
      <c r="F116" s="12">
        <v>473.3</v>
      </c>
      <c r="G116" s="11">
        <v>183.34</v>
      </c>
      <c r="H116" s="12">
        <v>498.8</v>
      </c>
      <c r="I116" s="11">
        <v>183.34</v>
      </c>
      <c r="J116" s="12">
        <v>752.8</v>
      </c>
      <c r="K116" s="11">
        <v>183.34</v>
      </c>
      <c r="L116" s="12">
        <v>775</v>
      </c>
      <c r="M116" s="11">
        <v>183.34</v>
      </c>
      <c r="N116" s="13">
        <v>350.5</v>
      </c>
      <c r="O116" s="13">
        <v>376.1</v>
      </c>
      <c r="P116" s="13">
        <v>473.3</v>
      </c>
      <c r="Q116" s="11">
        <v>498.8</v>
      </c>
      <c r="R116" s="11">
        <v>752.8</v>
      </c>
      <c r="S116" s="14">
        <v>775</v>
      </c>
      <c r="T116" s="11">
        <v>183.34</v>
      </c>
      <c r="U116" s="13">
        <f>IF('0.0%'!$N116&lt;$Z$3,0, '0.0%'!$O116/'0.0%'!$N116)</f>
        <v>1.0730385164051355</v>
      </c>
      <c r="V116" s="13">
        <f>IF('0.0%'!$N116&lt;$Z$3,0, '0.0%'!$P116/'0.0%'!$N116)</f>
        <v>1.3503566333808845</v>
      </c>
      <c r="W116" s="13">
        <f>IF('0.0%'!$N116&lt;$Z$3,0, '0.0%'!$Q116/'0.0%'!$N116)</f>
        <v>1.4231098430813125</v>
      </c>
      <c r="X116" s="13">
        <f>IF('0.0%'!$N116&lt;$Z$3,0, '0.0%'!$R116/'0.0%'!$N116)</f>
        <v>2.1477888730385164</v>
      </c>
      <c r="Y116" s="13">
        <f>IF('0.0%'!$N116&lt;$Z$3,0, '0.0%'!$S116/'0.0%'!$N116)</f>
        <v>2.2111269614835947</v>
      </c>
    </row>
    <row r="117" spans="1:25" x14ac:dyDescent="0.3">
      <c r="A117" s="17">
        <v>184.33</v>
      </c>
      <c r="B117" s="10">
        <v>347.8</v>
      </c>
      <c r="C117" s="9">
        <v>184.33</v>
      </c>
      <c r="D117" s="10">
        <v>373.4</v>
      </c>
      <c r="E117" s="11">
        <v>184.33</v>
      </c>
      <c r="F117" s="12">
        <v>469.9</v>
      </c>
      <c r="G117" s="11">
        <v>184.33</v>
      </c>
      <c r="H117" s="12">
        <v>495.2</v>
      </c>
      <c r="I117" s="11">
        <v>184.33</v>
      </c>
      <c r="J117" s="12">
        <v>747</v>
      </c>
      <c r="K117" s="11">
        <v>184.33</v>
      </c>
      <c r="L117" s="12">
        <v>769.4</v>
      </c>
      <c r="M117" s="11">
        <v>184.33</v>
      </c>
      <c r="N117" s="13">
        <v>347.8</v>
      </c>
      <c r="O117" s="13">
        <v>373.4</v>
      </c>
      <c r="P117" s="13">
        <v>469.9</v>
      </c>
      <c r="Q117" s="11">
        <v>495.2</v>
      </c>
      <c r="R117" s="11">
        <v>747</v>
      </c>
      <c r="S117" s="14">
        <v>769.4</v>
      </c>
      <c r="T117" s="11">
        <v>184.33</v>
      </c>
      <c r="U117" s="13">
        <f>IF('0.0%'!$N117&lt;$Z$3,0, '0.0%'!$O117/'0.0%'!$N117)</f>
        <v>1.0736055204140309</v>
      </c>
      <c r="V117" s="13">
        <f>IF('0.0%'!$N117&lt;$Z$3,0, '0.0%'!$P117/'0.0%'!$N117)</f>
        <v>1.3510638297872339</v>
      </c>
      <c r="W117" s="13">
        <f>IF('0.0%'!$N117&lt;$Z$3,0, '0.0%'!$Q117/'0.0%'!$N117)</f>
        <v>1.4238067855089132</v>
      </c>
      <c r="X117" s="13">
        <f>IF('0.0%'!$N117&lt;$Z$3,0, '0.0%'!$R117/'0.0%'!$N117)</f>
        <v>2.1477860839562966</v>
      </c>
      <c r="Y117" s="13">
        <f>IF('0.0%'!$N117&lt;$Z$3,0, '0.0%'!$S117/'0.0%'!$N117)</f>
        <v>2.2121909143185738</v>
      </c>
    </row>
    <row r="118" spans="1:25" x14ac:dyDescent="0.3">
      <c r="A118" s="17">
        <v>185.33</v>
      </c>
      <c r="B118" s="10">
        <v>346.2</v>
      </c>
      <c r="C118" s="9">
        <v>185.33</v>
      </c>
      <c r="D118" s="10">
        <v>371.6</v>
      </c>
      <c r="E118" s="11">
        <v>185.33</v>
      </c>
      <c r="F118" s="12">
        <v>467.3</v>
      </c>
      <c r="G118" s="11">
        <v>185.33</v>
      </c>
      <c r="H118" s="12">
        <v>492.6</v>
      </c>
      <c r="I118" s="11">
        <v>185.33</v>
      </c>
      <c r="J118" s="12">
        <v>741.8</v>
      </c>
      <c r="K118" s="11">
        <v>185.33</v>
      </c>
      <c r="L118" s="12">
        <v>764.4</v>
      </c>
      <c r="M118" s="11">
        <v>185.33</v>
      </c>
      <c r="N118" s="13">
        <v>346.2</v>
      </c>
      <c r="O118" s="13">
        <v>371.6</v>
      </c>
      <c r="P118" s="13">
        <v>467.3</v>
      </c>
      <c r="Q118" s="11">
        <v>492.6</v>
      </c>
      <c r="R118" s="11">
        <v>741.8</v>
      </c>
      <c r="S118" s="14">
        <v>764.4</v>
      </c>
      <c r="T118" s="11">
        <v>185.33</v>
      </c>
      <c r="U118" s="13">
        <f>IF('0.0%'!$N118&lt;$Z$3,0, '0.0%'!$O118/'0.0%'!$N118)</f>
        <v>1.0733679953783941</v>
      </c>
      <c r="V118" s="13">
        <f>IF('0.0%'!$N118&lt;$Z$3,0, '0.0%'!$P118/'0.0%'!$N118)</f>
        <v>1.3497978047371462</v>
      </c>
      <c r="W118" s="13">
        <f>IF('0.0%'!$N118&lt;$Z$3,0, '0.0%'!$Q118/'0.0%'!$N118)</f>
        <v>1.4228769497400349</v>
      </c>
      <c r="X118" s="13">
        <f>IF('0.0%'!$N118&lt;$Z$3,0, '0.0%'!$R118/'0.0%'!$N118)</f>
        <v>2.1426920854997111</v>
      </c>
      <c r="Y118" s="13">
        <f>IF('0.0%'!$N118&lt;$Z$3,0, '0.0%'!$S118/'0.0%'!$N118)</f>
        <v>2.2079722703639515</v>
      </c>
    </row>
    <row r="119" spans="1:25" x14ac:dyDescent="0.3">
      <c r="A119" s="17">
        <v>186.32</v>
      </c>
      <c r="B119" s="10">
        <v>343.7</v>
      </c>
      <c r="C119" s="9">
        <v>186.32</v>
      </c>
      <c r="D119" s="10">
        <v>368.8</v>
      </c>
      <c r="E119" s="11">
        <v>186.32</v>
      </c>
      <c r="F119" s="12">
        <v>463.8</v>
      </c>
      <c r="G119" s="11">
        <v>186.32</v>
      </c>
      <c r="H119" s="12">
        <v>489.1</v>
      </c>
      <c r="I119" s="11">
        <v>186.32</v>
      </c>
      <c r="J119" s="12">
        <v>736</v>
      </c>
      <c r="K119" s="11">
        <v>186.32</v>
      </c>
      <c r="L119" s="12">
        <v>759</v>
      </c>
      <c r="M119" s="11">
        <v>186.32</v>
      </c>
      <c r="N119" s="13">
        <v>343.7</v>
      </c>
      <c r="O119" s="13">
        <v>368.8</v>
      </c>
      <c r="P119" s="13">
        <v>463.8</v>
      </c>
      <c r="Q119" s="11">
        <v>489.1</v>
      </c>
      <c r="R119" s="11">
        <v>736</v>
      </c>
      <c r="S119" s="14">
        <v>759</v>
      </c>
      <c r="T119" s="11">
        <v>186.32</v>
      </c>
      <c r="U119" s="13">
        <f>IF('0.0%'!$N119&lt;$Z$3,0, '0.0%'!$O119/'0.0%'!$N119)</f>
        <v>1.0730288041897005</v>
      </c>
      <c r="V119" s="13">
        <f>IF('0.0%'!$N119&lt;$Z$3,0, '0.0%'!$P119/'0.0%'!$N119)</f>
        <v>1.3494326447483271</v>
      </c>
      <c r="W119" s="13">
        <f>IF('0.0%'!$N119&lt;$Z$3,0, '0.0%'!$Q119/'0.0%'!$N119)</f>
        <v>1.4230433517602561</v>
      </c>
      <c r="X119" s="13">
        <f>IF('0.0%'!$N119&lt;$Z$3,0, '0.0%'!$R119/'0.0%'!$N119)</f>
        <v>2.1414023858015714</v>
      </c>
      <c r="Y119" s="13">
        <f>IF('0.0%'!$N119&lt;$Z$3,0, '0.0%'!$S119/'0.0%'!$N119)</f>
        <v>2.2083212103578704</v>
      </c>
    </row>
    <row r="120" spans="1:25" x14ac:dyDescent="0.3">
      <c r="A120" s="17">
        <v>187.31</v>
      </c>
      <c r="B120" s="10">
        <v>342.2</v>
      </c>
      <c r="C120" s="9">
        <v>187.31</v>
      </c>
      <c r="D120" s="10">
        <v>367</v>
      </c>
      <c r="E120" s="11">
        <v>187.31</v>
      </c>
      <c r="F120" s="12">
        <v>461.3</v>
      </c>
      <c r="G120" s="11">
        <v>187.31</v>
      </c>
      <c r="H120" s="12">
        <v>486.5</v>
      </c>
      <c r="I120" s="11">
        <v>187.31</v>
      </c>
      <c r="J120" s="12">
        <v>731.1</v>
      </c>
      <c r="K120" s="11">
        <v>187.31</v>
      </c>
      <c r="L120" s="12">
        <v>754.3</v>
      </c>
      <c r="M120" s="11">
        <v>187.31</v>
      </c>
      <c r="N120" s="13">
        <v>342.2</v>
      </c>
      <c r="O120" s="13">
        <v>367</v>
      </c>
      <c r="P120" s="13">
        <v>461.3</v>
      </c>
      <c r="Q120" s="11">
        <v>486.5</v>
      </c>
      <c r="R120" s="11">
        <v>731.1</v>
      </c>
      <c r="S120" s="14">
        <v>754.3</v>
      </c>
      <c r="T120" s="11">
        <v>187.31</v>
      </c>
      <c r="U120" s="13">
        <f>IF('0.0%'!$N120&lt;$Z$3,0, '0.0%'!$O120/'0.0%'!$N120)</f>
        <v>1.0724722384570426</v>
      </c>
      <c r="V120" s="13">
        <f>IF('0.0%'!$N120&lt;$Z$3,0, '0.0%'!$P120/'0.0%'!$N120)</f>
        <v>1.3480420806545881</v>
      </c>
      <c r="W120" s="13">
        <f>IF('0.0%'!$N120&lt;$Z$3,0, '0.0%'!$Q120/'0.0%'!$N120)</f>
        <v>1.4216832261835184</v>
      </c>
      <c r="X120" s="13">
        <f>IF('0.0%'!$N120&lt;$Z$3,0, '0.0%'!$R120/'0.0%'!$N120)</f>
        <v>2.1364699006428989</v>
      </c>
      <c r="Y120" s="13">
        <f>IF('0.0%'!$N120&lt;$Z$3,0, '0.0%'!$S120/'0.0%'!$N120)</f>
        <v>2.2042665108123902</v>
      </c>
    </row>
    <row r="121" spans="1:25" x14ac:dyDescent="0.3">
      <c r="A121" s="17">
        <v>188.3</v>
      </c>
      <c r="B121" s="10">
        <v>339.7</v>
      </c>
      <c r="C121" s="9">
        <v>188.3</v>
      </c>
      <c r="D121" s="10">
        <v>364.3</v>
      </c>
      <c r="E121" s="11">
        <v>188.3</v>
      </c>
      <c r="F121" s="12">
        <v>458.2</v>
      </c>
      <c r="G121" s="11">
        <v>188.3</v>
      </c>
      <c r="H121" s="12">
        <v>483.3</v>
      </c>
      <c r="I121" s="11">
        <v>188.3</v>
      </c>
      <c r="J121" s="12">
        <v>726</v>
      </c>
      <c r="K121" s="11">
        <v>188.3</v>
      </c>
      <c r="L121" s="12">
        <v>749.4</v>
      </c>
      <c r="M121" s="11">
        <v>188.3</v>
      </c>
      <c r="N121" s="13">
        <v>339.7</v>
      </c>
      <c r="O121" s="13">
        <v>364.3</v>
      </c>
      <c r="P121" s="13">
        <v>458.2</v>
      </c>
      <c r="Q121" s="11">
        <v>483.3</v>
      </c>
      <c r="R121" s="11">
        <v>726</v>
      </c>
      <c r="S121" s="14">
        <v>749.4</v>
      </c>
      <c r="T121" s="11">
        <v>188.3</v>
      </c>
      <c r="U121" s="13">
        <f>IF('0.0%'!$N121&lt;$Z$3,0, '0.0%'!$O121/'0.0%'!$N121)</f>
        <v>1.072416838386812</v>
      </c>
      <c r="V121" s="13">
        <f>IF('0.0%'!$N121&lt;$Z$3,0, '0.0%'!$P121/'0.0%'!$N121)</f>
        <v>1.3488372093023255</v>
      </c>
      <c r="W121" s="13">
        <f>IF('0.0%'!$N121&lt;$Z$3,0, '0.0%'!$Q121/'0.0%'!$N121)</f>
        <v>1.4227259346482191</v>
      </c>
      <c r="X121" s="13">
        <f>IF('0.0%'!$N121&lt;$Z$3,0, '0.0%'!$R121/'0.0%'!$N121)</f>
        <v>2.1371798645864</v>
      </c>
      <c r="Y121" s="13">
        <f>IF('0.0%'!$N121&lt;$Z$3,0, '0.0%'!$S121/'0.0%'!$N121)</f>
        <v>2.206064174271416</v>
      </c>
    </row>
    <row r="122" spans="1:25" x14ac:dyDescent="0.3">
      <c r="A122" s="17">
        <v>189.29</v>
      </c>
      <c r="B122" s="10">
        <v>338.4</v>
      </c>
      <c r="C122" s="9">
        <v>189.29</v>
      </c>
      <c r="D122" s="10">
        <v>362.9</v>
      </c>
      <c r="E122" s="11">
        <v>189.29</v>
      </c>
      <c r="F122" s="12">
        <v>456.3</v>
      </c>
      <c r="G122" s="11">
        <v>189.29</v>
      </c>
      <c r="H122" s="12">
        <v>481.2</v>
      </c>
      <c r="I122" s="11">
        <v>189.29</v>
      </c>
      <c r="J122" s="12">
        <v>722.1</v>
      </c>
      <c r="K122" s="11">
        <v>189.29</v>
      </c>
      <c r="L122" s="12">
        <v>745.9</v>
      </c>
      <c r="M122" s="11">
        <v>189.29</v>
      </c>
      <c r="N122" s="13">
        <v>338.4</v>
      </c>
      <c r="O122" s="13">
        <v>362.9</v>
      </c>
      <c r="P122" s="13">
        <v>456.3</v>
      </c>
      <c r="Q122" s="11">
        <v>481.2</v>
      </c>
      <c r="R122" s="11">
        <v>722.1</v>
      </c>
      <c r="S122" s="14">
        <v>745.9</v>
      </c>
      <c r="T122" s="11">
        <v>189.29</v>
      </c>
      <c r="U122" s="13">
        <f>IF('0.0%'!$N122&lt;$Z$3,0, '0.0%'!$O122/'0.0%'!$N122)</f>
        <v>1.0723995271867612</v>
      </c>
      <c r="V122" s="13">
        <f>IF('0.0%'!$N122&lt;$Z$3,0, '0.0%'!$P122/'0.0%'!$N122)</f>
        <v>1.3484042553191491</v>
      </c>
      <c r="W122" s="13">
        <f>IF('0.0%'!$N122&lt;$Z$3,0, '0.0%'!$Q122/'0.0%'!$N122)</f>
        <v>1.4219858156028369</v>
      </c>
      <c r="X122" s="13">
        <f>IF('0.0%'!$N122&lt;$Z$3,0, '0.0%'!$R122/'0.0%'!$N122)</f>
        <v>2.1338652482269507</v>
      </c>
      <c r="Y122" s="13">
        <f>IF('0.0%'!$N122&lt;$Z$3,0, '0.0%'!$S122/'0.0%'!$N122)</f>
        <v>2.2041962174940899</v>
      </c>
    </row>
    <row r="123" spans="1:25" x14ac:dyDescent="0.3">
      <c r="A123" s="17">
        <v>190.28</v>
      </c>
      <c r="B123" s="10">
        <v>336.6</v>
      </c>
      <c r="C123" s="9">
        <v>190.28</v>
      </c>
      <c r="D123" s="10">
        <v>360.9</v>
      </c>
      <c r="E123" s="11">
        <v>190.28</v>
      </c>
      <c r="F123" s="12">
        <v>453.9</v>
      </c>
      <c r="G123" s="11">
        <v>190.28</v>
      </c>
      <c r="H123" s="12">
        <v>478.8</v>
      </c>
      <c r="I123" s="11">
        <v>190.28</v>
      </c>
      <c r="J123" s="12">
        <v>718.4</v>
      </c>
      <c r="K123" s="11">
        <v>190.28</v>
      </c>
      <c r="L123" s="12">
        <v>742.6</v>
      </c>
      <c r="M123" s="11">
        <v>190.28</v>
      </c>
      <c r="N123" s="13">
        <v>336.6</v>
      </c>
      <c r="O123" s="13">
        <v>360.9</v>
      </c>
      <c r="P123" s="13">
        <v>453.9</v>
      </c>
      <c r="Q123" s="11">
        <v>478.8</v>
      </c>
      <c r="R123" s="11">
        <v>718.4</v>
      </c>
      <c r="S123" s="14">
        <v>742.6</v>
      </c>
      <c r="T123" s="11">
        <v>190.28</v>
      </c>
      <c r="U123" s="13">
        <f>IF('0.0%'!$N123&lt;$Z$3,0, '0.0%'!$O123/'0.0%'!$N123)</f>
        <v>1.0721925133689838</v>
      </c>
      <c r="V123" s="13">
        <f>IF('0.0%'!$N123&lt;$Z$3,0, '0.0%'!$P123/'0.0%'!$N123)</f>
        <v>1.3484848484848484</v>
      </c>
      <c r="W123" s="13">
        <f>IF('0.0%'!$N123&lt;$Z$3,0, '0.0%'!$Q123/'0.0%'!$N123)</f>
        <v>1.4224598930481283</v>
      </c>
      <c r="X123" s="13">
        <f>IF('0.0%'!$N123&lt;$Z$3,0, '0.0%'!$R123/'0.0%'!$N123)</f>
        <v>2.1342840166369577</v>
      </c>
      <c r="Y123" s="13">
        <f>IF('0.0%'!$N123&lt;$Z$3,0, '0.0%'!$S123/'0.0%'!$N123)</f>
        <v>2.2061794414735592</v>
      </c>
    </row>
    <row r="124" spans="1:25" x14ac:dyDescent="0.3">
      <c r="A124" s="17">
        <v>191.28</v>
      </c>
      <c r="B124" s="10">
        <v>335.9</v>
      </c>
      <c r="C124" s="9">
        <v>191.28</v>
      </c>
      <c r="D124" s="10">
        <v>360.1</v>
      </c>
      <c r="E124" s="11">
        <v>191.28</v>
      </c>
      <c r="F124" s="12">
        <v>452.8</v>
      </c>
      <c r="G124" s="11">
        <v>191.28</v>
      </c>
      <c r="H124" s="12">
        <v>477.6</v>
      </c>
      <c r="I124" s="11">
        <v>191.28</v>
      </c>
      <c r="J124" s="12">
        <v>715.9</v>
      </c>
      <c r="K124" s="11">
        <v>191.28</v>
      </c>
      <c r="L124" s="12">
        <v>740.2</v>
      </c>
      <c r="M124" s="11">
        <v>191.28</v>
      </c>
      <c r="N124" s="13">
        <v>335.9</v>
      </c>
      <c r="O124" s="13">
        <v>360.1</v>
      </c>
      <c r="P124" s="13">
        <v>452.8</v>
      </c>
      <c r="Q124" s="11">
        <v>477.6</v>
      </c>
      <c r="R124" s="11">
        <v>715.9</v>
      </c>
      <c r="S124" s="14">
        <v>740.2</v>
      </c>
      <c r="T124" s="11">
        <v>191.28</v>
      </c>
      <c r="U124" s="13">
        <f>IF('0.0%'!$N124&lt;$Z$3,0, '0.0%'!$O124/'0.0%'!$N124)</f>
        <v>1.0720452515629653</v>
      </c>
      <c r="V124" s="13">
        <f>IF('0.0%'!$N124&lt;$Z$3,0, '0.0%'!$P124/'0.0%'!$N124)</f>
        <v>1.348020244120274</v>
      </c>
      <c r="W124" s="13">
        <f>IF('0.0%'!$N124&lt;$Z$3,0, '0.0%'!$Q124/'0.0%'!$N124)</f>
        <v>1.4218517415897589</v>
      </c>
      <c r="X124" s="13">
        <f>IF('0.0%'!$N124&lt;$Z$3,0, '0.0%'!$R124/'0.0%'!$N124)</f>
        <v>2.1312890741292052</v>
      </c>
      <c r="Y124" s="13">
        <f>IF('0.0%'!$N124&lt;$Z$3,0, '0.0%'!$S124/'0.0%'!$N124)</f>
        <v>2.2036320333432573</v>
      </c>
    </row>
    <row r="125" spans="1:25" x14ac:dyDescent="0.3">
      <c r="A125" s="17">
        <v>192.27</v>
      </c>
      <c r="B125" s="10">
        <v>334.1</v>
      </c>
      <c r="C125" s="9">
        <v>192.27</v>
      </c>
      <c r="D125" s="10">
        <v>358.1</v>
      </c>
      <c r="E125" s="11">
        <v>192.27</v>
      </c>
      <c r="F125" s="12">
        <v>450.6</v>
      </c>
      <c r="G125" s="11">
        <v>192.27</v>
      </c>
      <c r="H125" s="12">
        <v>475.3</v>
      </c>
      <c r="I125" s="11">
        <v>192.27</v>
      </c>
      <c r="J125" s="12">
        <v>712.6</v>
      </c>
      <c r="K125" s="11">
        <v>192.27</v>
      </c>
      <c r="L125" s="12">
        <v>737.1</v>
      </c>
      <c r="M125" s="11">
        <v>192.27</v>
      </c>
      <c r="N125" s="13">
        <v>334.1</v>
      </c>
      <c r="O125" s="13">
        <v>358.1</v>
      </c>
      <c r="P125" s="13">
        <v>450.6</v>
      </c>
      <c r="Q125" s="11">
        <v>475.3</v>
      </c>
      <c r="R125" s="11">
        <v>712.6</v>
      </c>
      <c r="S125" s="14">
        <v>737.1</v>
      </c>
      <c r="T125" s="11">
        <v>192.27</v>
      </c>
      <c r="U125" s="13">
        <f>IF('0.0%'!$N125&lt;$Z$3,0, '0.0%'!$O125/'0.0%'!$N125)</f>
        <v>1.0718347800059862</v>
      </c>
      <c r="V125" s="13">
        <f>IF('0.0%'!$N125&lt;$Z$3,0, '0.0%'!$P125/'0.0%'!$N125)</f>
        <v>1.3486979946123914</v>
      </c>
      <c r="W125" s="13">
        <f>IF('0.0%'!$N125&lt;$Z$3,0, '0.0%'!$Q125/'0.0%'!$N125)</f>
        <v>1.4226279557018855</v>
      </c>
      <c r="X125" s="13">
        <f>IF('0.0%'!$N125&lt;$Z$3,0, '0.0%'!$R125/'0.0%'!$N125)</f>
        <v>2.1328943430110745</v>
      </c>
      <c r="Y125" s="13">
        <f>IF('0.0%'!$N125&lt;$Z$3,0, '0.0%'!$S125/'0.0%'!$N125)</f>
        <v>2.2062256809338519</v>
      </c>
    </row>
    <row r="126" spans="1:25" x14ac:dyDescent="0.3">
      <c r="A126" s="17">
        <v>193.26</v>
      </c>
      <c r="B126" s="10">
        <v>333.1</v>
      </c>
      <c r="C126" s="9">
        <v>193.26</v>
      </c>
      <c r="D126" s="10">
        <v>357</v>
      </c>
      <c r="E126" s="11">
        <v>193.26</v>
      </c>
      <c r="F126" s="12">
        <v>449.2</v>
      </c>
      <c r="G126" s="11">
        <v>193.26</v>
      </c>
      <c r="H126" s="12">
        <v>473.7</v>
      </c>
      <c r="I126" s="11">
        <v>193.26</v>
      </c>
      <c r="J126" s="12">
        <v>709.5</v>
      </c>
      <c r="K126" s="11">
        <v>193.26</v>
      </c>
      <c r="L126" s="12">
        <v>734.1</v>
      </c>
      <c r="M126" s="11">
        <v>193.26</v>
      </c>
      <c r="N126" s="13">
        <v>333.1</v>
      </c>
      <c r="O126" s="13">
        <v>357</v>
      </c>
      <c r="P126" s="13">
        <v>449.2</v>
      </c>
      <c r="Q126" s="11">
        <v>473.7</v>
      </c>
      <c r="R126" s="11">
        <v>709.5</v>
      </c>
      <c r="S126" s="14">
        <v>734.1</v>
      </c>
      <c r="T126" s="11">
        <v>193.26</v>
      </c>
      <c r="U126" s="13">
        <f>IF('0.0%'!$N126&lt;$Z$3,0, '0.0%'!$O126/'0.0%'!$N126)</f>
        <v>1.0717502251576103</v>
      </c>
      <c r="V126" s="13">
        <f>IF('0.0%'!$N126&lt;$Z$3,0, '0.0%'!$P126/'0.0%'!$N126)</f>
        <v>1.3485439807865505</v>
      </c>
      <c r="W126" s="13">
        <f>IF('0.0%'!$N126&lt;$Z$3,0, '0.0%'!$Q126/'0.0%'!$N126)</f>
        <v>1.4220954668267787</v>
      </c>
      <c r="X126" s="13">
        <f>IF('0.0%'!$N126&lt;$Z$3,0, '0.0%'!$R126/'0.0%'!$N126)</f>
        <v>2.129990993695587</v>
      </c>
      <c r="Y126" s="13">
        <f>IF('0.0%'!$N126&lt;$Z$3,0, '0.0%'!$S126/'0.0%'!$N126)</f>
        <v>2.2038426898829178</v>
      </c>
    </row>
    <row r="127" spans="1:25" x14ac:dyDescent="0.3">
      <c r="A127" s="17">
        <v>194.25</v>
      </c>
      <c r="B127" s="10">
        <v>331.1</v>
      </c>
      <c r="C127" s="9">
        <v>194.25</v>
      </c>
      <c r="D127" s="10">
        <v>354.8</v>
      </c>
      <c r="E127" s="11">
        <v>194.25</v>
      </c>
      <c r="F127" s="12">
        <v>446.5</v>
      </c>
      <c r="G127" s="11">
        <v>194.25</v>
      </c>
      <c r="H127" s="12">
        <v>470.9</v>
      </c>
      <c r="I127" s="11">
        <v>194.25</v>
      </c>
      <c r="J127" s="12">
        <v>705.4</v>
      </c>
      <c r="K127" s="11">
        <v>194.25</v>
      </c>
      <c r="L127" s="12">
        <v>729.9</v>
      </c>
      <c r="M127" s="11">
        <v>194.25</v>
      </c>
      <c r="N127" s="13">
        <v>331.1</v>
      </c>
      <c r="O127" s="13">
        <v>354.8</v>
      </c>
      <c r="P127" s="13">
        <v>446.5</v>
      </c>
      <c r="Q127" s="11">
        <v>470.9</v>
      </c>
      <c r="R127" s="11">
        <v>705.4</v>
      </c>
      <c r="S127" s="14">
        <v>729.9</v>
      </c>
      <c r="T127" s="11">
        <v>194.25</v>
      </c>
      <c r="U127" s="13">
        <f>IF('0.0%'!$N127&lt;$Z$3,0, '0.0%'!$O127/'0.0%'!$N127)</f>
        <v>1.0715795832074901</v>
      </c>
      <c r="V127" s="13">
        <f>IF('0.0%'!$N127&lt;$Z$3,0, '0.0%'!$P127/'0.0%'!$N127)</f>
        <v>1.3485351857444881</v>
      </c>
      <c r="W127" s="13">
        <f>IF('0.0%'!$N127&lt;$Z$3,0, '0.0%'!$Q127/'0.0%'!$N127)</f>
        <v>1.4222289338568406</v>
      </c>
      <c r="X127" s="13">
        <f>IF('0.0%'!$N127&lt;$Z$3,0, '0.0%'!$R127/'0.0%'!$N127)</f>
        <v>2.1304741769858047</v>
      </c>
      <c r="Y127" s="13">
        <f>IF('0.0%'!$N127&lt;$Z$3,0, '0.0%'!$S127/'0.0%'!$N127)</f>
        <v>2.2044699486559951</v>
      </c>
    </row>
    <row r="128" spans="1:25" x14ac:dyDescent="0.3">
      <c r="A128" s="17">
        <v>195.24</v>
      </c>
      <c r="B128" s="10">
        <v>330</v>
      </c>
      <c r="C128" s="9">
        <v>195.24</v>
      </c>
      <c r="D128" s="10">
        <v>353.6</v>
      </c>
      <c r="E128" s="11">
        <v>195.24</v>
      </c>
      <c r="F128" s="12">
        <v>444.3</v>
      </c>
      <c r="G128" s="11">
        <v>195.24</v>
      </c>
      <c r="H128" s="12">
        <v>468.8</v>
      </c>
      <c r="I128" s="11">
        <v>195.24</v>
      </c>
      <c r="J128" s="12">
        <v>701.2</v>
      </c>
      <c r="K128" s="11">
        <v>195.24</v>
      </c>
      <c r="L128" s="12">
        <v>725.7</v>
      </c>
      <c r="M128" s="11">
        <v>195.24</v>
      </c>
      <c r="N128" s="13">
        <v>330</v>
      </c>
      <c r="O128" s="13">
        <v>353.6</v>
      </c>
      <c r="P128" s="13">
        <v>444.3</v>
      </c>
      <c r="Q128" s="11">
        <v>468.8</v>
      </c>
      <c r="R128" s="11">
        <v>701.2</v>
      </c>
      <c r="S128" s="14">
        <v>725.7</v>
      </c>
      <c r="T128" s="11">
        <v>195.24</v>
      </c>
      <c r="U128" s="13">
        <f>IF('0.0%'!$N128&lt;$Z$3,0, '0.0%'!$O128/'0.0%'!$N128)</f>
        <v>1.0715151515151515</v>
      </c>
      <c r="V128" s="13">
        <f>IF('0.0%'!$N128&lt;$Z$3,0, '0.0%'!$P128/'0.0%'!$N128)</f>
        <v>1.3463636363636364</v>
      </c>
      <c r="W128" s="13">
        <f>IF('0.0%'!$N128&lt;$Z$3,0, '0.0%'!$Q128/'0.0%'!$N128)</f>
        <v>1.4206060606060606</v>
      </c>
      <c r="X128" s="13">
        <f>IF('0.0%'!$N128&lt;$Z$3,0, '0.0%'!$R128/'0.0%'!$N128)</f>
        <v>2.124848484848485</v>
      </c>
      <c r="Y128" s="13">
        <f>IF('0.0%'!$N128&lt;$Z$3,0, '0.0%'!$S128/'0.0%'!$N128)</f>
        <v>2.1990909090909092</v>
      </c>
    </row>
    <row r="129" spans="1:25" x14ac:dyDescent="0.3">
      <c r="A129" s="17">
        <v>196.24</v>
      </c>
      <c r="B129" s="10">
        <v>327.7</v>
      </c>
      <c r="C129" s="9">
        <v>196.24</v>
      </c>
      <c r="D129" s="10">
        <v>351.2</v>
      </c>
      <c r="E129" s="11">
        <v>196.24</v>
      </c>
      <c r="F129" s="12">
        <v>440.9</v>
      </c>
      <c r="G129" s="11">
        <v>196.24</v>
      </c>
      <c r="H129" s="12">
        <v>465.3</v>
      </c>
      <c r="I129" s="11">
        <v>196.24</v>
      </c>
      <c r="J129" s="12">
        <v>695.6</v>
      </c>
      <c r="K129" s="11">
        <v>196.24</v>
      </c>
      <c r="L129" s="12">
        <v>720.1</v>
      </c>
      <c r="M129" s="11">
        <v>196.24</v>
      </c>
      <c r="N129" s="13">
        <v>327.7</v>
      </c>
      <c r="O129" s="13">
        <v>351.2</v>
      </c>
      <c r="P129" s="13">
        <v>440.9</v>
      </c>
      <c r="Q129" s="11">
        <v>465.3</v>
      </c>
      <c r="R129" s="11">
        <v>695.6</v>
      </c>
      <c r="S129" s="14">
        <v>720.1</v>
      </c>
      <c r="T129" s="11">
        <v>196.24</v>
      </c>
      <c r="U129" s="13">
        <f>IF('0.0%'!$N129&lt;$Z$3,0, '0.0%'!$O129/'0.0%'!$N129)</f>
        <v>1.0717119316447972</v>
      </c>
      <c r="V129" s="13">
        <f>IF('0.0%'!$N129&lt;$Z$3,0, '0.0%'!$P129/'0.0%'!$N129)</f>
        <v>1.3454379005187671</v>
      </c>
      <c r="W129" s="13">
        <f>IF('0.0%'!$N129&lt;$Z$3,0, '0.0%'!$Q129/'0.0%'!$N129)</f>
        <v>1.419896246566982</v>
      </c>
      <c r="X129" s="13">
        <f>IF('0.0%'!$N129&lt;$Z$3,0, '0.0%'!$R129/'0.0%'!$N129)</f>
        <v>2.1226731766859936</v>
      </c>
      <c r="Y129" s="13">
        <f>IF('0.0%'!$N129&lt;$Z$3,0, '0.0%'!$S129/'0.0%'!$N129)</f>
        <v>2.1974366798901435</v>
      </c>
    </row>
    <row r="130" spans="1:25" x14ac:dyDescent="0.3">
      <c r="A130" s="17">
        <v>197.23</v>
      </c>
      <c r="B130" s="10">
        <v>326.3</v>
      </c>
      <c r="C130" s="9">
        <v>197.23</v>
      </c>
      <c r="D130" s="10">
        <v>349.7</v>
      </c>
      <c r="E130" s="11">
        <v>197.23</v>
      </c>
      <c r="F130" s="12">
        <v>438</v>
      </c>
      <c r="G130" s="11">
        <v>197.23</v>
      </c>
      <c r="H130" s="12">
        <v>462.6</v>
      </c>
      <c r="I130" s="11">
        <v>197.23</v>
      </c>
      <c r="J130" s="12">
        <v>690</v>
      </c>
      <c r="K130" s="11">
        <v>197.23</v>
      </c>
      <c r="L130" s="12">
        <v>714.6</v>
      </c>
      <c r="M130" s="11">
        <v>197.23</v>
      </c>
      <c r="N130" s="13">
        <v>326.3</v>
      </c>
      <c r="O130" s="13">
        <v>349.7</v>
      </c>
      <c r="P130" s="13">
        <v>438</v>
      </c>
      <c r="Q130" s="11">
        <v>462.6</v>
      </c>
      <c r="R130" s="11">
        <v>690</v>
      </c>
      <c r="S130" s="14">
        <v>714.6</v>
      </c>
      <c r="T130" s="11">
        <v>197.23</v>
      </c>
      <c r="U130" s="13">
        <f>IF('0.0%'!$N130&lt;$Z$3,0, '0.0%'!$O130/'0.0%'!$N130)</f>
        <v>1.0717131474103585</v>
      </c>
      <c r="V130" s="13">
        <f>IF('0.0%'!$N130&lt;$Z$3,0, '0.0%'!$P130/'0.0%'!$N130)</f>
        <v>1.3423230156297885</v>
      </c>
      <c r="W130" s="13">
        <f>IF('0.0%'!$N130&lt;$Z$3,0, '0.0%'!$Q130/'0.0%'!$N130)</f>
        <v>1.4177137603432424</v>
      </c>
      <c r="X130" s="13">
        <f>IF('0.0%'!$N130&lt;$Z$3,0, '0.0%'!$R130/'0.0%'!$N130)</f>
        <v>2.1146184492798037</v>
      </c>
      <c r="Y130" s="13">
        <f>IF('0.0%'!$N130&lt;$Z$3,0, '0.0%'!$S130/'0.0%'!$N130)</f>
        <v>2.1900091939932578</v>
      </c>
    </row>
    <row r="131" spans="1:25" x14ac:dyDescent="0.3">
      <c r="A131" s="17">
        <v>198.22</v>
      </c>
      <c r="B131" s="10">
        <v>324.2</v>
      </c>
      <c r="C131" s="9">
        <v>198.22</v>
      </c>
      <c r="D131" s="10">
        <v>347.4</v>
      </c>
      <c r="E131" s="11">
        <v>198.22</v>
      </c>
      <c r="F131" s="12">
        <v>434.2</v>
      </c>
      <c r="G131" s="11">
        <v>198.22</v>
      </c>
      <c r="H131" s="12">
        <v>459.1</v>
      </c>
      <c r="I131" s="11">
        <v>198.22</v>
      </c>
      <c r="J131" s="12">
        <v>683</v>
      </c>
      <c r="K131" s="11">
        <v>198.22</v>
      </c>
      <c r="L131" s="12">
        <v>708.1</v>
      </c>
      <c r="M131" s="11">
        <v>198.22</v>
      </c>
      <c r="N131" s="13">
        <v>324.2</v>
      </c>
      <c r="O131" s="13">
        <v>347.4</v>
      </c>
      <c r="P131" s="13">
        <v>434.2</v>
      </c>
      <c r="Q131" s="11">
        <v>459.1</v>
      </c>
      <c r="R131" s="11">
        <v>683</v>
      </c>
      <c r="S131" s="14">
        <v>708.1</v>
      </c>
      <c r="T131" s="11">
        <v>198.22</v>
      </c>
      <c r="U131" s="13">
        <f>IF('0.0%'!$N131&lt;$Z$3,0, '0.0%'!$O131/'0.0%'!$N131)</f>
        <v>1.0715607649599013</v>
      </c>
      <c r="V131" s="13">
        <f>IF('0.0%'!$N131&lt;$Z$3,0, '0.0%'!$P131/'0.0%'!$N131)</f>
        <v>1.3392967304133252</v>
      </c>
      <c r="W131" s="13">
        <f>IF('0.0%'!$N131&lt;$Z$3,0, '0.0%'!$Q131/'0.0%'!$N131)</f>
        <v>1.416101172115978</v>
      </c>
      <c r="X131" s="13">
        <f>IF('0.0%'!$N131&lt;$Z$3,0, '0.0%'!$R131/'0.0%'!$N131)</f>
        <v>2.106724244293646</v>
      </c>
      <c r="Y131" s="13">
        <f>IF('0.0%'!$N131&lt;$Z$3,0, '0.0%'!$S131/'0.0%'!$N131)</f>
        <v>2.1841455891425046</v>
      </c>
    </row>
    <row r="132" spans="1:25" x14ac:dyDescent="0.3">
      <c r="A132" s="17">
        <v>199.21</v>
      </c>
      <c r="B132" s="10">
        <v>321.7</v>
      </c>
      <c r="C132" s="9">
        <v>199.21</v>
      </c>
      <c r="D132" s="10">
        <v>344.9</v>
      </c>
      <c r="E132" s="11">
        <v>199.21</v>
      </c>
      <c r="F132" s="12">
        <v>430.5</v>
      </c>
      <c r="G132" s="11">
        <v>199.21</v>
      </c>
      <c r="H132" s="12">
        <v>455.6</v>
      </c>
      <c r="I132" s="11">
        <v>199.21</v>
      </c>
      <c r="J132" s="12">
        <v>676.9</v>
      </c>
      <c r="K132" s="11">
        <v>199.21</v>
      </c>
      <c r="L132" s="12">
        <v>702.2</v>
      </c>
      <c r="M132" s="11">
        <v>199.21</v>
      </c>
      <c r="N132" s="13">
        <v>321.7</v>
      </c>
      <c r="O132" s="13">
        <v>344.9</v>
      </c>
      <c r="P132" s="13">
        <v>430.5</v>
      </c>
      <c r="Q132" s="11">
        <v>455.6</v>
      </c>
      <c r="R132" s="11">
        <v>676.9</v>
      </c>
      <c r="S132" s="14">
        <v>702.2</v>
      </c>
      <c r="T132" s="11">
        <v>199.21</v>
      </c>
      <c r="U132" s="13">
        <f>IF('0.0%'!$N132&lt;$Z$3,0, '0.0%'!$O132/'0.0%'!$N132)</f>
        <v>1.0721168790798881</v>
      </c>
      <c r="V132" s="13">
        <f>IF('0.0%'!$N132&lt;$Z$3,0, '0.0%'!$P132/'0.0%'!$N132)</f>
        <v>1.3382032949953373</v>
      </c>
      <c r="W132" s="13">
        <f>IF('0.0%'!$N132&lt;$Z$3,0, '0.0%'!$Q132/'0.0%'!$N132)</f>
        <v>1.4162262977929749</v>
      </c>
      <c r="X132" s="13">
        <f>IF('0.0%'!$N132&lt;$Z$3,0, '0.0%'!$R132/'0.0%'!$N132)</f>
        <v>2.1041342866024246</v>
      </c>
      <c r="Y132" s="13">
        <f>IF('0.0%'!$N132&lt;$Z$3,0, '0.0%'!$S132/'0.0%'!$N132)</f>
        <v>2.1827789866335099</v>
      </c>
    </row>
    <row r="133" spans="1:25" x14ac:dyDescent="0.3">
      <c r="A133" s="17">
        <v>200.2</v>
      </c>
      <c r="B133" s="10">
        <v>320.39999999999998</v>
      </c>
      <c r="C133" s="9">
        <v>200.2</v>
      </c>
      <c r="D133" s="10">
        <v>343.5</v>
      </c>
      <c r="E133" s="11">
        <v>200.2</v>
      </c>
      <c r="F133" s="12">
        <v>427.9</v>
      </c>
      <c r="G133" s="11">
        <v>200.2</v>
      </c>
      <c r="H133" s="12">
        <v>453.3</v>
      </c>
      <c r="I133" s="11">
        <v>200.2</v>
      </c>
      <c r="J133" s="12">
        <v>671.8</v>
      </c>
      <c r="K133" s="11">
        <v>200.2</v>
      </c>
      <c r="L133" s="12">
        <v>697.3</v>
      </c>
      <c r="M133" s="11">
        <v>200.2</v>
      </c>
      <c r="N133" s="13">
        <v>320.39999999999998</v>
      </c>
      <c r="O133" s="13">
        <v>343.5</v>
      </c>
      <c r="P133" s="13">
        <v>427.9</v>
      </c>
      <c r="Q133" s="11">
        <v>453.3</v>
      </c>
      <c r="R133" s="11">
        <v>671.8</v>
      </c>
      <c r="S133" s="14">
        <v>697.3</v>
      </c>
      <c r="T133" s="11">
        <v>200.2</v>
      </c>
      <c r="U133" s="13">
        <f>IF('0.0%'!$N133&lt;$Z$3,0, '0.0%'!$O133/'0.0%'!$N133)</f>
        <v>1.0720973782771537</v>
      </c>
      <c r="V133" s="13">
        <f>IF('0.0%'!$N133&lt;$Z$3,0, '0.0%'!$P133/'0.0%'!$N133)</f>
        <v>1.3355181023720351</v>
      </c>
      <c r="W133" s="13">
        <f>IF('0.0%'!$N133&lt;$Z$3,0, '0.0%'!$Q133/'0.0%'!$N133)</f>
        <v>1.4147940074906369</v>
      </c>
      <c r="X133" s="13">
        <f>IF('0.0%'!$N133&lt;$Z$3,0, '0.0%'!$R133/'0.0%'!$N133)</f>
        <v>2.0967540574282149</v>
      </c>
      <c r="Y133" s="13">
        <f>IF('0.0%'!$N133&lt;$Z$3,0, '0.0%'!$S133/'0.0%'!$N133)</f>
        <v>2.1763420724094882</v>
      </c>
    </row>
    <row r="134" spans="1:25" x14ac:dyDescent="0.3">
      <c r="A134" s="17">
        <v>201.19</v>
      </c>
      <c r="B134" s="10">
        <v>318.10000000000002</v>
      </c>
      <c r="C134" s="9">
        <v>201.19</v>
      </c>
      <c r="D134" s="10">
        <v>341.1</v>
      </c>
      <c r="E134" s="11">
        <v>201.19</v>
      </c>
      <c r="F134" s="12">
        <v>424.5</v>
      </c>
      <c r="G134" s="11">
        <v>201.19</v>
      </c>
      <c r="H134" s="12">
        <v>450.1</v>
      </c>
      <c r="I134" s="11">
        <v>201.19</v>
      </c>
      <c r="J134" s="12">
        <v>666.4</v>
      </c>
      <c r="K134" s="11">
        <v>201.19</v>
      </c>
      <c r="L134" s="12">
        <v>692.1</v>
      </c>
      <c r="M134" s="11">
        <v>201.19</v>
      </c>
      <c r="N134" s="13">
        <v>318.10000000000002</v>
      </c>
      <c r="O134" s="13">
        <v>341.1</v>
      </c>
      <c r="P134" s="13">
        <v>424.5</v>
      </c>
      <c r="Q134" s="11">
        <v>450.1</v>
      </c>
      <c r="R134" s="11">
        <v>666.4</v>
      </c>
      <c r="S134" s="14">
        <v>692.1</v>
      </c>
      <c r="T134" s="11">
        <v>201.19</v>
      </c>
      <c r="U134" s="13">
        <f>IF('0.0%'!$N134&lt;$Z$3,0, '0.0%'!$O134/'0.0%'!$N134)</f>
        <v>1.0723043068217541</v>
      </c>
      <c r="V134" s="13">
        <f>IF('0.0%'!$N134&lt;$Z$3,0, '0.0%'!$P134/'0.0%'!$N134)</f>
        <v>1.3344860106884626</v>
      </c>
      <c r="W134" s="13">
        <f>IF('0.0%'!$N134&lt;$Z$3,0, '0.0%'!$Q134/'0.0%'!$N134)</f>
        <v>1.4149638478465891</v>
      </c>
      <c r="X134" s="13">
        <f>IF('0.0%'!$N134&lt;$Z$3,0, '0.0%'!$R134/'0.0%'!$N134)</f>
        <v>2.0949386985224772</v>
      </c>
      <c r="Y134" s="13">
        <f>IF('0.0%'!$N134&lt;$Z$3,0, '0.0%'!$S134/'0.0%'!$N134)</f>
        <v>2.1757309022320026</v>
      </c>
    </row>
    <row r="135" spans="1:25" x14ac:dyDescent="0.3">
      <c r="A135" s="17">
        <v>202.19</v>
      </c>
      <c r="B135" s="10">
        <v>316.8</v>
      </c>
      <c r="C135" s="9">
        <v>202.19</v>
      </c>
      <c r="D135" s="10">
        <v>339.8</v>
      </c>
      <c r="E135" s="11">
        <v>202.19</v>
      </c>
      <c r="F135" s="12">
        <v>422.1</v>
      </c>
      <c r="G135" s="11">
        <v>202.19</v>
      </c>
      <c r="H135" s="12">
        <v>448</v>
      </c>
      <c r="I135" s="11">
        <v>202.19</v>
      </c>
      <c r="J135" s="12">
        <v>661.9</v>
      </c>
      <c r="K135" s="11">
        <v>202.19</v>
      </c>
      <c r="L135" s="12">
        <v>687.7</v>
      </c>
      <c r="M135" s="11">
        <v>202.19</v>
      </c>
      <c r="N135" s="13">
        <v>316.8</v>
      </c>
      <c r="O135" s="13">
        <v>339.8</v>
      </c>
      <c r="P135" s="13">
        <v>422.1</v>
      </c>
      <c r="Q135" s="11">
        <v>448</v>
      </c>
      <c r="R135" s="11">
        <v>661.9</v>
      </c>
      <c r="S135" s="14">
        <v>687.7</v>
      </c>
      <c r="T135" s="11">
        <v>202.19</v>
      </c>
      <c r="U135" s="13">
        <f>IF('0.0%'!$N135&lt;$Z$3,0, '0.0%'!$O135/'0.0%'!$N135)</f>
        <v>1.0726010101010102</v>
      </c>
      <c r="V135" s="13">
        <f>IF('0.0%'!$N135&lt;$Z$3,0, '0.0%'!$P135/'0.0%'!$N135)</f>
        <v>1.3323863636363638</v>
      </c>
      <c r="W135" s="13">
        <f>IF('0.0%'!$N135&lt;$Z$3,0, '0.0%'!$Q135/'0.0%'!$N135)</f>
        <v>1.4141414141414141</v>
      </c>
      <c r="X135" s="13">
        <f>IF('0.0%'!$N135&lt;$Z$3,0, '0.0%'!$R135/'0.0%'!$N135)</f>
        <v>2.089330808080808</v>
      </c>
      <c r="Y135" s="13">
        <f>IF('0.0%'!$N135&lt;$Z$3,0, '0.0%'!$S135/'0.0%'!$N135)</f>
        <v>2.170770202020202</v>
      </c>
    </row>
    <row r="136" spans="1:25" x14ac:dyDescent="0.3">
      <c r="A136" s="17">
        <v>203.18</v>
      </c>
      <c r="B136" s="10">
        <v>314.39999999999998</v>
      </c>
      <c r="C136" s="9">
        <v>203.18</v>
      </c>
      <c r="D136" s="10">
        <v>337.3</v>
      </c>
      <c r="E136" s="11">
        <v>203.18</v>
      </c>
      <c r="F136" s="12">
        <v>418.8</v>
      </c>
      <c r="G136" s="11">
        <v>203.18</v>
      </c>
      <c r="H136" s="12">
        <v>444.9</v>
      </c>
      <c r="I136" s="11">
        <v>203.18</v>
      </c>
      <c r="J136" s="12">
        <v>656.8</v>
      </c>
      <c r="K136" s="11">
        <v>203.18</v>
      </c>
      <c r="L136" s="12">
        <v>682.6</v>
      </c>
      <c r="M136" s="11">
        <v>203.18</v>
      </c>
      <c r="N136" s="13">
        <v>314.39999999999998</v>
      </c>
      <c r="O136" s="13">
        <v>337.3</v>
      </c>
      <c r="P136" s="13">
        <v>418.8</v>
      </c>
      <c r="Q136" s="11">
        <v>444.9</v>
      </c>
      <c r="R136" s="11">
        <v>656.8</v>
      </c>
      <c r="S136" s="14">
        <v>682.6</v>
      </c>
      <c r="T136" s="11">
        <v>203.18</v>
      </c>
      <c r="U136" s="13">
        <f>IF('0.0%'!$N136&lt;$Z$3,0, '0.0%'!$O136/'0.0%'!$N136)</f>
        <v>1.0728371501272265</v>
      </c>
      <c r="V136" s="13">
        <f>IF('0.0%'!$N136&lt;$Z$3,0, '0.0%'!$P136/'0.0%'!$N136)</f>
        <v>1.3320610687022902</v>
      </c>
      <c r="W136" s="13">
        <f>IF('0.0%'!$N136&lt;$Z$3,0, '0.0%'!$Q136/'0.0%'!$N136)</f>
        <v>1.4150763358778626</v>
      </c>
      <c r="X136" s="13">
        <f>IF('0.0%'!$N136&lt;$Z$3,0, '0.0%'!$R136/'0.0%'!$N136)</f>
        <v>2.0890585241730282</v>
      </c>
      <c r="Y136" s="13">
        <f>IF('0.0%'!$N136&lt;$Z$3,0, '0.0%'!$S136/'0.0%'!$N136)</f>
        <v>2.1711195928753182</v>
      </c>
    </row>
    <row r="137" spans="1:25" x14ac:dyDescent="0.3">
      <c r="A137" s="17">
        <v>204.17</v>
      </c>
      <c r="B137" s="10">
        <v>313.2</v>
      </c>
      <c r="C137" s="9">
        <v>204.17</v>
      </c>
      <c r="D137" s="10">
        <v>335.8</v>
      </c>
      <c r="E137" s="11">
        <v>204.17</v>
      </c>
      <c r="F137" s="12">
        <v>416.4</v>
      </c>
      <c r="G137" s="11">
        <v>204.17</v>
      </c>
      <c r="H137" s="12">
        <v>442.8</v>
      </c>
      <c r="I137" s="11">
        <v>204.17</v>
      </c>
      <c r="J137" s="12">
        <v>652.5</v>
      </c>
      <c r="K137" s="11">
        <v>204.17</v>
      </c>
      <c r="L137" s="12">
        <v>678.4</v>
      </c>
      <c r="M137" s="11">
        <v>204.17</v>
      </c>
      <c r="N137" s="13">
        <v>313.2</v>
      </c>
      <c r="O137" s="13">
        <v>335.8</v>
      </c>
      <c r="P137" s="13">
        <v>416.4</v>
      </c>
      <c r="Q137" s="11">
        <v>442.8</v>
      </c>
      <c r="R137" s="11">
        <v>652.5</v>
      </c>
      <c r="S137" s="14">
        <v>678.4</v>
      </c>
      <c r="T137" s="11">
        <v>204.17</v>
      </c>
      <c r="U137" s="13">
        <f>IF('0.0%'!$N137&lt;$Z$3,0, '0.0%'!$O137/'0.0%'!$N137)</f>
        <v>1.0721583652618136</v>
      </c>
      <c r="V137" s="13">
        <f>IF('0.0%'!$N137&lt;$Z$3,0, '0.0%'!$P137/'0.0%'!$N137)</f>
        <v>1.3295019157088122</v>
      </c>
      <c r="W137" s="13">
        <f>IF('0.0%'!$N137&lt;$Z$3,0, '0.0%'!$Q137/'0.0%'!$N137)</f>
        <v>1.413793103448276</v>
      </c>
      <c r="X137" s="13">
        <f>IF('0.0%'!$N137&lt;$Z$3,0, '0.0%'!$R137/'0.0%'!$N137)</f>
        <v>2.0833333333333335</v>
      </c>
      <c r="Y137" s="13">
        <f>IF('0.0%'!$N137&lt;$Z$3,0, '0.0%'!$S137/'0.0%'!$N137)</f>
        <v>2.16602809706258</v>
      </c>
    </row>
    <row r="138" spans="1:25" x14ac:dyDescent="0.3">
      <c r="A138" s="17">
        <v>205.16</v>
      </c>
      <c r="B138" s="10">
        <v>310.89999999999998</v>
      </c>
      <c r="C138" s="9">
        <v>205.16</v>
      </c>
      <c r="D138" s="10">
        <v>333.3</v>
      </c>
      <c r="E138" s="11">
        <v>205.16</v>
      </c>
      <c r="F138" s="12">
        <v>413.3</v>
      </c>
      <c r="G138" s="11">
        <v>205.16</v>
      </c>
      <c r="H138" s="12">
        <v>439.9</v>
      </c>
      <c r="I138" s="11">
        <v>205.16</v>
      </c>
      <c r="J138" s="12">
        <v>647.9</v>
      </c>
      <c r="K138" s="11">
        <v>205.16</v>
      </c>
      <c r="L138" s="12">
        <v>673.6</v>
      </c>
      <c r="M138" s="11">
        <v>205.16</v>
      </c>
      <c r="N138" s="13">
        <v>310.89999999999998</v>
      </c>
      <c r="O138" s="13">
        <v>333.3</v>
      </c>
      <c r="P138" s="13">
        <v>413.3</v>
      </c>
      <c r="Q138" s="11">
        <v>439.9</v>
      </c>
      <c r="R138" s="11">
        <v>647.9</v>
      </c>
      <c r="S138" s="14">
        <v>673.6</v>
      </c>
      <c r="T138" s="11">
        <v>205.16</v>
      </c>
      <c r="U138" s="13">
        <f>IF('0.0%'!$N138&lt;$Z$3,0, '0.0%'!$O138/'0.0%'!$N138)</f>
        <v>1.0720488903184304</v>
      </c>
      <c r="V138" s="13">
        <f>IF('0.0%'!$N138&lt;$Z$3,0, '0.0%'!$P138/'0.0%'!$N138)</f>
        <v>1.3293663557413962</v>
      </c>
      <c r="W138" s="13">
        <f>IF('0.0%'!$N138&lt;$Z$3,0, '0.0%'!$Q138/'0.0%'!$N138)</f>
        <v>1.414924412994532</v>
      </c>
      <c r="X138" s="13">
        <f>IF('0.0%'!$N138&lt;$Z$3,0, '0.0%'!$R138/'0.0%'!$N138)</f>
        <v>2.0839498230942426</v>
      </c>
      <c r="Y138" s="13">
        <f>IF('0.0%'!$N138&lt;$Z$3,0, '0.0%'!$S138/'0.0%'!$N138)</f>
        <v>2.1666130588613703</v>
      </c>
    </row>
    <row r="139" spans="1:25" x14ac:dyDescent="0.3">
      <c r="A139" s="17">
        <v>206.15</v>
      </c>
      <c r="B139" s="10">
        <v>309.8</v>
      </c>
      <c r="C139" s="9">
        <v>206.15</v>
      </c>
      <c r="D139" s="10">
        <v>331.9</v>
      </c>
      <c r="E139" s="11">
        <v>206.15</v>
      </c>
      <c r="F139" s="12">
        <v>411.2</v>
      </c>
      <c r="G139" s="11">
        <v>206.15</v>
      </c>
      <c r="H139" s="12">
        <v>438</v>
      </c>
      <c r="I139" s="11">
        <v>206.15</v>
      </c>
      <c r="J139" s="12">
        <v>644.1</v>
      </c>
      <c r="K139" s="11">
        <v>206.15</v>
      </c>
      <c r="L139" s="12">
        <v>669.7</v>
      </c>
      <c r="M139" s="11">
        <v>206.15</v>
      </c>
      <c r="N139" s="13">
        <v>309.8</v>
      </c>
      <c r="O139" s="13">
        <v>331.9</v>
      </c>
      <c r="P139" s="13">
        <v>411.2</v>
      </c>
      <c r="Q139" s="11">
        <v>438</v>
      </c>
      <c r="R139" s="11">
        <v>644.1</v>
      </c>
      <c r="S139" s="14">
        <v>669.7</v>
      </c>
      <c r="T139" s="11">
        <v>206.15</v>
      </c>
      <c r="U139" s="13">
        <f>IF('0.0%'!$N139&lt;$Z$3,0, '0.0%'!$O139/'0.0%'!$N139)</f>
        <v>1.0713363460296965</v>
      </c>
      <c r="V139" s="13">
        <f>IF('0.0%'!$N139&lt;$Z$3,0, '0.0%'!$P139/'0.0%'!$N139)</f>
        <v>1.3273079406068431</v>
      </c>
      <c r="W139" s="13">
        <f>IF('0.0%'!$N139&lt;$Z$3,0, '0.0%'!$Q139/'0.0%'!$N139)</f>
        <v>1.4138153647514524</v>
      </c>
      <c r="X139" s="13">
        <f>IF('0.0%'!$N139&lt;$Z$3,0, '0.0%'!$R139/'0.0%'!$N139)</f>
        <v>2.0790832795351841</v>
      </c>
      <c r="Y139" s="13">
        <f>IF('0.0%'!$N139&lt;$Z$3,0, '0.0%'!$S139/'0.0%'!$N139)</f>
        <v>2.1617172369270499</v>
      </c>
    </row>
    <row r="140" spans="1:25" x14ac:dyDescent="0.3">
      <c r="A140" s="17">
        <v>207.14</v>
      </c>
      <c r="B140" s="10">
        <v>307.5</v>
      </c>
      <c r="C140" s="9">
        <v>207.14</v>
      </c>
      <c r="D140" s="10">
        <v>329.5</v>
      </c>
      <c r="E140" s="11">
        <v>207.14</v>
      </c>
      <c r="F140" s="12">
        <v>408</v>
      </c>
      <c r="G140" s="11">
        <v>207.14</v>
      </c>
      <c r="H140" s="12">
        <v>435</v>
      </c>
      <c r="I140" s="11">
        <v>207.14</v>
      </c>
      <c r="J140" s="12">
        <v>639.6</v>
      </c>
      <c r="K140" s="11">
        <v>207.14</v>
      </c>
      <c r="L140" s="12">
        <v>665.1</v>
      </c>
      <c r="M140" s="11">
        <v>207.14</v>
      </c>
      <c r="N140" s="13">
        <v>307.5</v>
      </c>
      <c r="O140" s="13">
        <v>329.5</v>
      </c>
      <c r="P140" s="13">
        <v>408</v>
      </c>
      <c r="Q140" s="11">
        <v>435</v>
      </c>
      <c r="R140" s="11">
        <v>639.6</v>
      </c>
      <c r="S140" s="14">
        <v>665.1</v>
      </c>
      <c r="T140" s="11">
        <v>207.14</v>
      </c>
      <c r="U140" s="13">
        <f>IF('0.0%'!$N140&lt;$Z$3,0, '0.0%'!$O140/'0.0%'!$N140)</f>
        <v>1.0715447154471545</v>
      </c>
      <c r="V140" s="13">
        <f>IF('0.0%'!$N140&lt;$Z$3,0, '0.0%'!$P140/'0.0%'!$N140)</f>
        <v>1.326829268292683</v>
      </c>
      <c r="W140" s="13">
        <f>IF('0.0%'!$N140&lt;$Z$3,0, '0.0%'!$Q140/'0.0%'!$N140)</f>
        <v>1.4146341463414633</v>
      </c>
      <c r="X140" s="13">
        <f>IF('0.0%'!$N140&lt;$Z$3,0, '0.0%'!$R140/'0.0%'!$N140)</f>
        <v>2.08</v>
      </c>
      <c r="Y140" s="13">
        <f>IF('0.0%'!$N140&lt;$Z$3,0, '0.0%'!$S140/'0.0%'!$N140)</f>
        <v>2.1629268292682928</v>
      </c>
    </row>
    <row r="141" spans="1:25" x14ac:dyDescent="0.3">
      <c r="A141" s="17">
        <v>208.14</v>
      </c>
      <c r="B141" s="10">
        <v>306.3</v>
      </c>
      <c r="C141" s="9">
        <v>208.14</v>
      </c>
      <c r="D141" s="10">
        <v>328.1</v>
      </c>
      <c r="E141" s="11">
        <v>208.14</v>
      </c>
      <c r="F141" s="12">
        <v>405.9</v>
      </c>
      <c r="G141" s="11">
        <v>208.14</v>
      </c>
      <c r="H141" s="12">
        <v>433</v>
      </c>
      <c r="I141" s="11">
        <v>208.14</v>
      </c>
      <c r="J141" s="12">
        <v>635.9</v>
      </c>
      <c r="K141" s="11">
        <v>208.14</v>
      </c>
      <c r="L141" s="12">
        <v>661.2</v>
      </c>
      <c r="M141" s="11">
        <v>208.14</v>
      </c>
      <c r="N141" s="13">
        <v>306.3</v>
      </c>
      <c r="O141" s="13">
        <v>328.1</v>
      </c>
      <c r="P141" s="13">
        <v>405.9</v>
      </c>
      <c r="Q141" s="11">
        <v>433</v>
      </c>
      <c r="R141" s="11">
        <v>635.9</v>
      </c>
      <c r="S141" s="14">
        <v>661.2</v>
      </c>
      <c r="T141" s="11">
        <v>208.14</v>
      </c>
      <c r="U141" s="13">
        <f>IF('0.0%'!$N141&lt;$Z$3,0, '0.0%'!$O141/'0.0%'!$N141)</f>
        <v>1.0711720535422788</v>
      </c>
      <c r="V141" s="13">
        <f>IF('0.0%'!$N141&lt;$Z$3,0, '0.0%'!$P141/'0.0%'!$N141)</f>
        <v>1.3251714005876591</v>
      </c>
      <c r="W141" s="13">
        <f>IF('0.0%'!$N141&lt;$Z$3,0, '0.0%'!$Q141/'0.0%'!$N141)</f>
        <v>1.4136467515507671</v>
      </c>
      <c r="X141" s="13">
        <f>IF('0.0%'!$N141&lt;$Z$3,0, '0.0%'!$R141/'0.0%'!$N141)</f>
        <v>2.0760692131896832</v>
      </c>
      <c r="Y141" s="13">
        <f>IF('0.0%'!$N141&lt;$Z$3,0, '0.0%'!$S141/'0.0%'!$N141)</f>
        <v>2.1586679725759059</v>
      </c>
    </row>
    <row r="142" spans="1:25" x14ac:dyDescent="0.3">
      <c r="A142" s="17">
        <v>209.13</v>
      </c>
      <c r="B142" s="10">
        <v>304.10000000000002</v>
      </c>
      <c r="C142" s="9">
        <v>209.13</v>
      </c>
      <c r="D142" s="10">
        <v>325.60000000000002</v>
      </c>
      <c r="E142" s="11">
        <v>209.13</v>
      </c>
      <c r="F142" s="12">
        <v>402.9</v>
      </c>
      <c r="G142" s="11">
        <v>209.13</v>
      </c>
      <c r="H142" s="12">
        <v>430.2</v>
      </c>
      <c r="I142" s="11">
        <v>209.13</v>
      </c>
      <c r="J142" s="12">
        <v>631.5</v>
      </c>
      <c r="K142" s="11">
        <v>209.13</v>
      </c>
      <c r="L142" s="12">
        <v>656.6</v>
      </c>
      <c r="M142" s="11">
        <v>209.13</v>
      </c>
      <c r="N142" s="13">
        <v>304.10000000000002</v>
      </c>
      <c r="O142" s="13">
        <v>325.60000000000002</v>
      </c>
      <c r="P142" s="13">
        <v>402.9</v>
      </c>
      <c r="Q142" s="11">
        <v>430.2</v>
      </c>
      <c r="R142" s="11">
        <v>631.5</v>
      </c>
      <c r="S142" s="14">
        <v>656.6</v>
      </c>
      <c r="T142" s="11">
        <v>209.13</v>
      </c>
      <c r="U142" s="13">
        <f>IF('0.0%'!$N142&lt;$Z$3,0, '0.0%'!$O142/'0.0%'!$N142)</f>
        <v>1.0707004274909568</v>
      </c>
      <c r="V142" s="13">
        <f>IF('0.0%'!$N142&lt;$Z$3,0, '0.0%'!$P142/'0.0%'!$N142)</f>
        <v>1.3248931272607694</v>
      </c>
      <c r="W142" s="13">
        <f>IF('0.0%'!$N142&lt;$Z$3,0, '0.0%'!$Q142/'0.0%'!$N142)</f>
        <v>1.4146662282144029</v>
      </c>
      <c r="X142" s="13">
        <f>IF('0.0%'!$N142&lt;$Z$3,0, '0.0%'!$R142/'0.0%'!$N142)</f>
        <v>2.0766195330483392</v>
      </c>
      <c r="Y142" s="13">
        <f>IF('0.0%'!$N142&lt;$Z$3,0, '0.0%'!$S142/'0.0%'!$N142)</f>
        <v>2.1591581716540609</v>
      </c>
    </row>
    <row r="143" spans="1:25" x14ac:dyDescent="0.3">
      <c r="A143" s="17">
        <v>210.12</v>
      </c>
      <c r="B143" s="10">
        <v>302.8</v>
      </c>
      <c r="C143" s="9">
        <v>210.12</v>
      </c>
      <c r="D143" s="10">
        <v>324.2</v>
      </c>
      <c r="E143" s="11">
        <v>210.12</v>
      </c>
      <c r="F143" s="12">
        <v>400.8</v>
      </c>
      <c r="G143" s="11">
        <v>210.12</v>
      </c>
      <c r="H143" s="12">
        <v>428.2</v>
      </c>
      <c r="I143" s="11">
        <v>210.12</v>
      </c>
      <c r="J143" s="12">
        <v>627.6</v>
      </c>
      <c r="K143" s="11">
        <v>210.12</v>
      </c>
      <c r="L143" s="12">
        <v>652.70000000000005</v>
      </c>
      <c r="M143" s="11">
        <v>210.12</v>
      </c>
      <c r="N143" s="13">
        <v>302.8</v>
      </c>
      <c r="O143" s="13">
        <v>324.2</v>
      </c>
      <c r="P143" s="13">
        <v>400.8</v>
      </c>
      <c r="Q143" s="11">
        <v>428.2</v>
      </c>
      <c r="R143" s="11">
        <v>627.6</v>
      </c>
      <c r="S143" s="14">
        <v>652.70000000000005</v>
      </c>
      <c r="T143" s="11">
        <v>210.12</v>
      </c>
      <c r="U143" s="13">
        <f>IF('0.0%'!$N143&lt;$Z$3,0, '0.0%'!$O143/'0.0%'!$N143)</f>
        <v>1.070673712021136</v>
      </c>
      <c r="V143" s="13">
        <f>IF('0.0%'!$N143&lt;$Z$3,0, '0.0%'!$P143/'0.0%'!$N143)</f>
        <v>1.3236459709379127</v>
      </c>
      <c r="W143" s="13">
        <f>IF('0.0%'!$N143&lt;$Z$3,0, '0.0%'!$Q143/'0.0%'!$N143)</f>
        <v>1.4141347424042272</v>
      </c>
      <c r="X143" s="13">
        <f>IF('0.0%'!$N143&lt;$Z$3,0, '0.0%'!$R143/'0.0%'!$N143)</f>
        <v>2.0726552179656541</v>
      </c>
      <c r="Y143" s="13">
        <f>IF('0.0%'!$N143&lt;$Z$3,0, '0.0%'!$S143/'0.0%'!$N143)</f>
        <v>2.1555482166446498</v>
      </c>
    </row>
    <row r="144" spans="1:25" x14ac:dyDescent="0.3">
      <c r="A144" s="17">
        <v>211.11</v>
      </c>
      <c r="B144" s="10">
        <v>300.39999999999998</v>
      </c>
      <c r="C144" s="9">
        <v>211.11</v>
      </c>
      <c r="D144" s="10">
        <v>321.60000000000002</v>
      </c>
      <c r="E144" s="11">
        <v>211.11</v>
      </c>
      <c r="F144" s="12">
        <v>397.6</v>
      </c>
      <c r="G144" s="11">
        <v>211.11</v>
      </c>
      <c r="H144" s="12">
        <v>425.2</v>
      </c>
      <c r="I144" s="11">
        <v>211.11</v>
      </c>
      <c r="J144" s="12">
        <v>622.9</v>
      </c>
      <c r="K144" s="11">
        <v>211.11</v>
      </c>
      <c r="L144" s="12">
        <v>648.20000000000005</v>
      </c>
      <c r="M144" s="11">
        <v>211.11</v>
      </c>
      <c r="N144" s="13">
        <v>300.39999999999998</v>
      </c>
      <c r="O144" s="13">
        <v>321.60000000000002</v>
      </c>
      <c r="P144" s="13">
        <v>397.6</v>
      </c>
      <c r="Q144" s="11">
        <v>425.2</v>
      </c>
      <c r="R144" s="11">
        <v>622.9</v>
      </c>
      <c r="S144" s="14">
        <v>648.20000000000005</v>
      </c>
      <c r="T144" s="11">
        <v>211.11</v>
      </c>
      <c r="U144" s="13">
        <f>IF('0.0%'!$N144&lt;$Z$3,0, '0.0%'!$O144/'0.0%'!$N144)</f>
        <v>1.0705725699067912</v>
      </c>
      <c r="V144" s="13">
        <f>IF('0.0%'!$N144&lt;$Z$3,0, '0.0%'!$P144/'0.0%'!$N144)</f>
        <v>1.3235685752330228</v>
      </c>
      <c r="W144" s="13">
        <f>IF('0.0%'!$N144&lt;$Z$3,0, '0.0%'!$Q144/'0.0%'!$N144)</f>
        <v>1.415446071904128</v>
      </c>
      <c r="X144" s="13">
        <f>IF('0.0%'!$N144&lt;$Z$3,0, '0.0%'!$R144/'0.0%'!$N144)</f>
        <v>2.0735685752330228</v>
      </c>
      <c r="Y144" s="13">
        <f>IF('0.0%'!$N144&lt;$Z$3,0, '0.0%'!$S144/'0.0%'!$N144)</f>
        <v>2.1577896138482027</v>
      </c>
    </row>
    <row r="145" spans="1:25" x14ac:dyDescent="0.3">
      <c r="A145" s="17">
        <v>212.1</v>
      </c>
      <c r="B145" s="10">
        <v>299.10000000000002</v>
      </c>
      <c r="C145" s="9">
        <v>212.1</v>
      </c>
      <c r="D145" s="10">
        <v>320.10000000000002</v>
      </c>
      <c r="E145" s="11">
        <v>212.1</v>
      </c>
      <c r="F145" s="12">
        <v>395.4</v>
      </c>
      <c r="G145" s="11">
        <v>212.1</v>
      </c>
      <c r="H145" s="12">
        <v>423</v>
      </c>
      <c r="I145" s="11">
        <v>212.1</v>
      </c>
      <c r="J145" s="12">
        <v>618.9</v>
      </c>
      <c r="K145" s="11">
        <v>212.1</v>
      </c>
      <c r="L145" s="12">
        <v>644.29999999999995</v>
      </c>
      <c r="M145" s="11">
        <v>212.1</v>
      </c>
      <c r="N145" s="13">
        <v>299.10000000000002</v>
      </c>
      <c r="O145" s="13">
        <v>320.10000000000002</v>
      </c>
      <c r="P145" s="13">
        <v>395.4</v>
      </c>
      <c r="Q145" s="11">
        <v>423</v>
      </c>
      <c r="R145" s="11">
        <v>618.9</v>
      </c>
      <c r="S145" s="14">
        <v>644.29999999999995</v>
      </c>
      <c r="T145" s="11">
        <v>212.1</v>
      </c>
      <c r="U145" s="13">
        <f>IF('0.0%'!$N145&lt;$Z$3,0, '0.0%'!$O145/'0.0%'!$N145)</f>
        <v>1.070210631895687</v>
      </c>
      <c r="V145" s="13">
        <f>IF('0.0%'!$N145&lt;$Z$3,0, '0.0%'!$P145/'0.0%'!$N145)</f>
        <v>1.321965897693079</v>
      </c>
      <c r="W145" s="13">
        <f>IF('0.0%'!$N145&lt;$Z$3,0, '0.0%'!$Q145/'0.0%'!$N145)</f>
        <v>1.4142427281845535</v>
      </c>
      <c r="X145" s="13">
        <f>IF('0.0%'!$N145&lt;$Z$3,0, '0.0%'!$R145/'0.0%'!$N145)</f>
        <v>2.0692076228686056</v>
      </c>
      <c r="Y145" s="13">
        <f>IF('0.0%'!$N145&lt;$Z$3,0, '0.0%'!$S145/'0.0%'!$N145)</f>
        <v>2.154129053828151</v>
      </c>
    </row>
    <row r="146" spans="1:25" x14ac:dyDescent="0.3">
      <c r="A146" s="17">
        <v>213.1</v>
      </c>
      <c r="B146" s="10">
        <v>296.7</v>
      </c>
      <c r="C146" s="9">
        <v>213.1</v>
      </c>
      <c r="D146" s="10">
        <v>317.60000000000002</v>
      </c>
      <c r="E146" s="11">
        <v>213.1</v>
      </c>
      <c r="F146" s="12">
        <v>392.4</v>
      </c>
      <c r="G146" s="11">
        <v>213.1</v>
      </c>
      <c r="H146" s="12">
        <v>419.9</v>
      </c>
      <c r="I146" s="11">
        <v>213.1</v>
      </c>
      <c r="J146" s="12">
        <v>614.29999999999995</v>
      </c>
      <c r="K146" s="11">
        <v>213.1</v>
      </c>
      <c r="L146" s="12">
        <v>639.9</v>
      </c>
      <c r="M146" s="11">
        <v>213.1</v>
      </c>
      <c r="N146" s="13">
        <v>296.7</v>
      </c>
      <c r="O146" s="13">
        <v>317.60000000000002</v>
      </c>
      <c r="P146" s="13">
        <v>392.4</v>
      </c>
      <c r="Q146" s="11">
        <v>419.9</v>
      </c>
      <c r="R146" s="11">
        <v>614.29999999999995</v>
      </c>
      <c r="S146" s="14">
        <v>639.9</v>
      </c>
      <c r="T146" s="11">
        <v>213.1</v>
      </c>
      <c r="U146" s="13">
        <f>IF('0.0%'!$N146&lt;$Z$3,0, '0.0%'!$O146/'0.0%'!$N146)</f>
        <v>1.0704415234243345</v>
      </c>
      <c r="V146" s="13">
        <f>IF('0.0%'!$N146&lt;$Z$3,0, '0.0%'!$P146/'0.0%'!$N146)</f>
        <v>1.3225480283114257</v>
      </c>
      <c r="W146" s="13">
        <f>IF('0.0%'!$N146&lt;$Z$3,0, '0.0%'!$Q146/'0.0%'!$N146)</f>
        <v>1.4152342433434446</v>
      </c>
      <c r="X146" s="13">
        <f>IF('0.0%'!$N146&lt;$Z$3,0, '0.0%'!$R146/'0.0%'!$N146)</f>
        <v>2.0704415234243343</v>
      </c>
      <c r="Y146" s="13">
        <f>IF('0.0%'!$N146&lt;$Z$3,0, '0.0%'!$S146/'0.0%'!$N146)</f>
        <v>2.1567239635995956</v>
      </c>
    </row>
    <row r="147" spans="1:25" x14ac:dyDescent="0.3">
      <c r="A147" s="17">
        <v>214.09</v>
      </c>
      <c r="B147" s="10">
        <v>295.39999999999998</v>
      </c>
      <c r="C147" s="9">
        <v>214.09</v>
      </c>
      <c r="D147" s="10">
        <v>316.2</v>
      </c>
      <c r="E147" s="11">
        <v>214.09</v>
      </c>
      <c r="F147" s="12">
        <v>390.4</v>
      </c>
      <c r="G147" s="11">
        <v>214.09</v>
      </c>
      <c r="H147" s="12">
        <v>417.8</v>
      </c>
      <c r="I147" s="11">
        <v>214.09</v>
      </c>
      <c r="J147" s="12">
        <v>610.29999999999995</v>
      </c>
      <c r="K147" s="11">
        <v>214.09</v>
      </c>
      <c r="L147" s="12">
        <v>636.20000000000005</v>
      </c>
      <c r="M147" s="11">
        <v>214.09</v>
      </c>
      <c r="N147" s="13">
        <v>295.39999999999998</v>
      </c>
      <c r="O147" s="13">
        <v>316.2</v>
      </c>
      <c r="P147" s="13">
        <v>390.4</v>
      </c>
      <c r="Q147" s="11">
        <v>417.8</v>
      </c>
      <c r="R147" s="11">
        <v>610.29999999999995</v>
      </c>
      <c r="S147" s="14">
        <v>636.20000000000005</v>
      </c>
      <c r="T147" s="11">
        <v>214.09</v>
      </c>
      <c r="U147" s="13">
        <f>IF('0.0%'!$N147&lt;$Z$3,0, '0.0%'!$O147/'0.0%'!$N147)</f>
        <v>1.0704129993229519</v>
      </c>
      <c r="V147" s="13">
        <f>IF('0.0%'!$N147&lt;$Z$3,0, '0.0%'!$P147/'0.0%'!$N147)</f>
        <v>1.3215978334461747</v>
      </c>
      <c r="W147" s="13">
        <f>IF('0.0%'!$N147&lt;$Z$3,0, '0.0%'!$Q147/'0.0%'!$N147)</f>
        <v>1.4143534190927558</v>
      </c>
      <c r="X147" s="13">
        <f>IF('0.0%'!$N147&lt;$Z$3,0, '0.0%'!$R147/'0.0%'!$N147)</f>
        <v>2.0660121868652674</v>
      </c>
      <c r="Y147" s="13">
        <f>IF('0.0%'!$N147&lt;$Z$3,0, '0.0%'!$S147/'0.0%'!$N147)</f>
        <v>2.1536899119837511</v>
      </c>
    </row>
    <row r="148" spans="1:25" x14ac:dyDescent="0.3">
      <c r="A148" s="17">
        <v>215.08</v>
      </c>
      <c r="B148" s="10">
        <v>293</v>
      </c>
      <c r="C148" s="9">
        <v>215.08</v>
      </c>
      <c r="D148" s="10">
        <v>313.60000000000002</v>
      </c>
      <c r="E148" s="11">
        <v>215.08</v>
      </c>
      <c r="F148" s="12">
        <v>387.1</v>
      </c>
      <c r="G148" s="11">
        <v>215.08</v>
      </c>
      <c r="H148" s="12">
        <v>414.6</v>
      </c>
      <c r="I148" s="11">
        <v>215.08</v>
      </c>
      <c r="J148" s="12">
        <v>605.5</v>
      </c>
      <c r="K148" s="11">
        <v>215.08</v>
      </c>
      <c r="L148" s="12">
        <v>631.5</v>
      </c>
      <c r="M148" s="11">
        <v>215.08</v>
      </c>
      <c r="N148" s="13">
        <v>293</v>
      </c>
      <c r="O148" s="13">
        <v>313.60000000000002</v>
      </c>
      <c r="P148" s="13">
        <v>387.1</v>
      </c>
      <c r="Q148" s="11">
        <v>414.6</v>
      </c>
      <c r="R148" s="11">
        <v>605.5</v>
      </c>
      <c r="S148" s="14">
        <v>631.5</v>
      </c>
      <c r="T148" s="11">
        <v>215.08</v>
      </c>
      <c r="U148" s="13">
        <f>IF('0.0%'!$N148&lt;$Z$3,0, '0.0%'!$O148/'0.0%'!$N148)</f>
        <v>1.0703071672354949</v>
      </c>
      <c r="V148" s="13">
        <f>IF('0.0%'!$N148&lt;$Z$3,0, '0.0%'!$P148/'0.0%'!$N148)</f>
        <v>1.3211604095563141</v>
      </c>
      <c r="W148" s="13">
        <f>IF('0.0%'!$N148&lt;$Z$3,0, '0.0%'!$Q148/'0.0%'!$N148)</f>
        <v>1.4150170648464164</v>
      </c>
      <c r="X148" s="13">
        <f>IF('0.0%'!$N148&lt;$Z$3,0, '0.0%'!$R148/'0.0%'!$N148)</f>
        <v>2.0665529010238908</v>
      </c>
      <c r="Y148" s="13">
        <f>IF('0.0%'!$N148&lt;$Z$3,0, '0.0%'!$S148/'0.0%'!$N148)</f>
        <v>2.1552901023890785</v>
      </c>
    </row>
    <row r="149" spans="1:25" x14ac:dyDescent="0.3">
      <c r="A149" s="17">
        <v>216.07</v>
      </c>
      <c r="B149" s="10">
        <v>291.60000000000002</v>
      </c>
      <c r="C149" s="9">
        <v>216.07</v>
      </c>
      <c r="D149" s="10">
        <v>311.89999999999998</v>
      </c>
      <c r="E149" s="11">
        <v>216.07</v>
      </c>
      <c r="F149" s="12">
        <v>384.8</v>
      </c>
      <c r="G149" s="11">
        <v>216.07</v>
      </c>
      <c r="H149" s="12">
        <v>412.3</v>
      </c>
      <c r="I149" s="11">
        <v>216.07</v>
      </c>
      <c r="J149" s="12">
        <v>601.4</v>
      </c>
      <c r="K149" s="11">
        <v>216.07</v>
      </c>
      <c r="L149" s="12">
        <v>627.70000000000005</v>
      </c>
      <c r="M149" s="11">
        <v>216.07</v>
      </c>
      <c r="N149" s="13">
        <v>291.60000000000002</v>
      </c>
      <c r="O149" s="13">
        <v>311.89999999999998</v>
      </c>
      <c r="P149" s="13">
        <v>384.8</v>
      </c>
      <c r="Q149" s="11">
        <v>412.3</v>
      </c>
      <c r="R149" s="11">
        <v>601.4</v>
      </c>
      <c r="S149" s="14">
        <v>627.70000000000005</v>
      </c>
      <c r="T149" s="11">
        <v>216.07</v>
      </c>
      <c r="U149" s="13">
        <f>IF('0.0%'!$N149&lt;$Z$3,0, '0.0%'!$O149/'0.0%'!$N149)</f>
        <v>1.0696159122085047</v>
      </c>
      <c r="V149" s="13">
        <f>IF('0.0%'!$N149&lt;$Z$3,0, '0.0%'!$P149/'0.0%'!$N149)</f>
        <v>1.3196159122085047</v>
      </c>
      <c r="W149" s="13">
        <f>IF('0.0%'!$N149&lt;$Z$3,0, '0.0%'!$Q149/'0.0%'!$N149)</f>
        <v>1.4139231824417009</v>
      </c>
      <c r="X149" s="13">
        <f>IF('0.0%'!$N149&lt;$Z$3,0, '0.0%'!$R149/'0.0%'!$N149)</f>
        <v>2.0624142661179694</v>
      </c>
      <c r="Y149" s="13">
        <f>IF('0.0%'!$N149&lt;$Z$3,0, '0.0%'!$S149/'0.0%'!$N149)</f>
        <v>2.1526063100137174</v>
      </c>
    </row>
    <row r="150" spans="1:25" x14ac:dyDescent="0.3">
      <c r="A150" s="17">
        <v>217.06</v>
      </c>
      <c r="B150" s="10">
        <v>289.2</v>
      </c>
      <c r="C150" s="9">
        <v>217.06</v>
      </c>
      <c r="D150" s="10">
        <v>309.3</v>
      </c>
      <c r="E150" s="11">
        <v>217.06</v>
      </c>
      <c r="F150" s="12">
        <v>381.5</v>
      </c>
      <c r="G150" s="11">
        <v>217.06</v>
      </c>
      <c r="H150" s="12">
        <v>409.2</v>
      </c>
      <c r="I150" s="11">
        <v>217.06</v>
      </c>
      <c r="J150" s="12">
        <v>596.5</v>
      </c>
      <c r="K150" s="11">
        <v>217.06</v>
      </c>
      <c r="L150" s="12">
        <v>623.20000000000005</v>
      </c>
      <c r="M150" s="11">
        <v>217.06</v>
      </c>
      <c r="N150" s="13">
        <v>289.2</v>
      </c>
      <c r="O150" s="13">
        <v>309.3</v>
      </c>
      <c r="P150" s="13">
        <v>381.5</v>
      </c>
      <c r="Q150" s="11">
        <v>409.2</v>
      </c>
      <c r="R150" s="11">
        <v>596.5</v>
      </c>
      <c r="S150" s="14">
        <v>623.20000000000005</v>
      </c>
      <c r="T150" s="11">
        <v>217.06</v>
      </c>
      <c r="U150" s="13">
        <f>IF('0.0%'!$N150&lt;$Z$3,0, '0.0%'!$O150/'0.0%'!$N150)</f>
        <v>1.0695020746887967</v>
      </c>
      <c r="V150" s="13">
        <f>IF('0.0%'!$N150&lt;$Z$3,0, '0.0%'!$P150/'0.0%'!$N150)</f>
        <v>1.3191562932226832</v>
      </c>
      <c r="W150" s="13">
        <f>IF('0.0%'!$N150&lt;$Z$3,0, '0.0%'!$Q150/'0.0%'!$N150)</f>
        <v>1.4149377593360997</v>
      </c>
      <c r="X150" s="13">
        <f>IF('0.0%'!$N150&lt;$Z$3,0, '0.0%'!$R150/'0.0%'!$N150)</f>
        <v>2.0625864453665286</v>
      </c>
      <c r="Y150" s="13">
        <f>IF('0.0%'!$N150&lt;$Z$3,0, '0.0%'!$S150/'0.0%'!$N150)</f>
        <v>2.1549100968188108</v>
      </c>
    </row>
    <row r="151" spans="1:25" x14ac:dyDescent="0.3">
      <c r="A151" s="17">
        <v>218.05</v>
      </c>
      <c r="B151" s="10">
        <v>287.3</v>
      </c>
      <c r="C151" s="9">
        <v>218.05</v>
      </c>
      <c r="D151" s="10">
        <v>307.10000000000002</v>
      </c>
      <c r="E151" s="11">
        <v>218.05</v>
      </c>
      <c r="F151" s="12">
        <v>378.4</v>
      </c>
      <c r="G151" s="11">
        <v>218.05</v>
      </c>
      <c r="H151" s="12">
        <v>406.3</v>
      </c>
      <c r="I151" s="11">
        <v>218.05</v>
      </c>
      <c r="J151" s="12">
        <v>591.79999999999995</v>
      </c>
      <c r="K151" s="11">
        <v>218.05</v>
      </c>
      <c r="L151" s="12">
        <v>618.9</v>
      </c>
      <c r="M151" s="11">
        <v>218.05</v>
      </c>
      <c r="N151" s="13">
        <v>287.3</v>
      </c>
      <c r="O151" s="13">
        <v>307.10000000000002</v>
      </c>
      <c r="P151" s="13">
        <v>378.4</v>
      </c>
      <c r="Q151" s="11">
        <v>406.3</v>
      </c>
      <c r="R151" s="11">
        <v>591.79999999999995</v>
      </c>
      <c r="S151" s="14">
        <v>618.9</v>
      </c>
      <c r="T151" s="11">
        <v>218.05</v>
      </c>
      <c r="U151" s="13">
        <f>IF('0.0%'!$N151&lt;$Z$3,0, '0.0%'!$O151/'0.0%'!$N151)</f>
        <v>1.0689175078315349</v>
      </c>
      <c r="V151" s="13">
        <f>IF('0.0%'!$N151&lt;$Z$3,0, '0.0%'!$P151/'0.0%'!$N151)</f>
        <v>1.317090149669335</v>
      </c>
      <c r="W151" s="13">
        <f>IF('0.0%'!$N151&lt;$Z$3,0, '0.0%'!$Q151/'0.0%'!$N151)</f>
        <v>1.4142011834319526</v>
      </c>
      <c r="X151" s="13">
        <f>IF('0.0%'!$N151&lt;$Z$3,0, '0.0%'!$R151/'0.0%'!$N151)</f>
        <v>2.0598677340758784</v>
      </c>
      <c r="Y151" s="13">
        <f>IF('0.0%'!$N151&lt;$Z$3,0, '0.0%'!$S151/'0.0%'!$N151)</f>
        <v>2.1541942220675252</v>
      </c>
    </row>
    <row r="152" spans="1:25" x14ac:dyDescent="0.3">
      <c r="A152" s="17">
        <v>219.05</v>
      </c>
      <c r="B152" s="10">
        <v>285.89999999999998</v>
      </c>
      <c r="C152" s="9">
        <v>219.05</v>
      </c>
      <c r="D152" s="10">
        <v>305.5</v>
      </c>
      <c r="E152" s="11">
        <v>219.05</v>
      </c>
      <c r="F152" s="12">
        <v>376</v>
      </c>
      <c r="G152" s="11">
        <v>219.05</v>
      </c>
      <c r="H152" s="12">
        <v>404</v>
      </c>
      <c r="I152" s="11">
        <v>219.05</v>
      </c>
      <c r="J152" s="12">
        <v>587.4</v>
      </c>
      <c r="K152" s="11">
        <v>219.05</v>
      </c>
      <c r="L152" s="12">
        <v>615</v>
      </c>
      <c r="M152" s="11">
        <v>219.05</v>
      </c>
      <c r="N152" s="13">
        <v>285.89999999999998</v>
      </c>
      <c r="O152" s="13">
        <v>305.5</v>
      </c>
      <c r="P152" s="13">
        <v>376</v>
      </c>
      <c r="Q152" s="11">
        <v>404</v>
      </c>
      <c r="R152" s="11">
        <v>587.4</v>
      </c>
      <c r="S152" s="14">
        <v>615</v>
      </c>
      <c r="T152" s="11">
        <v>219.05</v>
      </c>
      <c r="U152" s="13">
        <f>IF('0.0%'!$N152&lt;$Z$3,0, '0.0%'!$O152/'0.0%'!$N152)</f>
        <v>1.068555438964673</v>
      </c>
      <c r="V152" s="13">
        <f>IF('0.0%'!$N152&lt;$Z$3,0, '0.0%'!$P152/'0.0%'!$N152)</f>
        <v>1.3151451556488283</v>
      </c>
      <c r="W152" s="13">
        <f>IF('0.0%'!$N152&lt;$Z$3,0, '0.0%'!$Q152/'0.0%'!$N152)</f>
        <v>1.4130814970269325</v>
      </c>
      <c r="X152" s="13">
        <f>IF('0.0%'!$N152&lt;$Z$3,0, '0.0%'!$R152/'0.0%'!$N152)</f>
        <v>2.0545645330535152</v>
      </c>
      <c r="Y152" s="13">
        <f>IF('0.0%'!$N152&lt;$Z$3,0, '0.0%'!$S152/'0.0%'!$N152)</f>
        <v>2.1511017838405038</v>
      </c>
    </row>
    <row r="153" spans="1:25" x14ac:dyDescent="0.3">
      <c r="A153" s="17">
        <v>220.04</v>
      </c>
      <c r="B153" s="10">
        <v>283.5</v>
      </c>
      <c r="C153" s="9">
        <v>220.04</v>
      </c>
      <c r="D153" s="10">
        <v>302.8</v>
      </c>
      <c r="E153" s="11">
        <v>220.04</v>
      </c>
      <c r="F153" s="12">
        <v>372.6</v>
      </c>
      <c r="G153" s="11">
        <v>220.04</v>
      </c>
      <c r="H153" s="12">
        <v>400.8</v>
      </c>
      <c r="I153" s="11">
        <v>220.04</v>
      </c>
      <c r="J153" s="12">
        <v>582.20000000000005</v>
      </c>
      <c r="K153" s="11">
        <v>220.04</v>
      </c>
      <c r="L153" s="12">
        <v>610.29999999999995</v>
      </c>
      <c r="M153" s="11">
        <v>220.04</v>
      </c>
      <c r="N153" s="13">
        <v>283.5</v>
      </c>
      <c r="O153" s="13">
        <v>302.8</v>
      </c>
      <c r="P153" s="13">
        <v>372.6</v>
      </c>
      <c r="Q153" s="11">
        <v>400.8</v>
      </c>
      <c r="R153" s="11">
        <v>582.20000000000005</v>
      </c>
      <c r="S153" s="14">
        <v>610.29999999999995</v>
      </c>
      <c r="T153" s="11">
        <v>220.04</v>
      </c>
      <c r="U153" s="13">
        <f>IF('0.0%'!$N153&lt;$Z$3,0, '0.0%'!$O153/'0.0%'!$N153)</f>
        <v>1.0680776014109348</v>
      </c>
      <c r="V153" s="13">
        <f>IF('0.0%'!$N153&lt;$Z$3,0, '0.0%'!$P153/'0.0%'!$N153)</f>
        <v>1.3142857142857143</v>
      </c>
      <c r="W153" s="13">
        <f>IF('0.0%'!$N153&lt;$Z$3,0, '0.0%'!$Q153/'0.0%'!$N153)</f>
        <v>1.4137566137566138</v>
      </c>
      <c r="X153" s="13">
        <f>IF('0.0%'!$N153&lt;$Z$3,0, '0.0%'!$R153/'0.0%'!$N153)</f>
        <v>2.0536155202821873</v>
      </c>
      <c r="Y153" s="13">
        <f>IF('0.0%'!$N153&lt;$Z$3,0, '0.0%'!$S153/'0.0%'!$N153)</f>
        <v>2.1527336860670192</v>
      </c>
    </row>
    <row r="154" spans="1:25" x14ac:dyDescent="0.3">
      <c r="A154" s="17">
        <v>221.03</v>
      </c>
      <c r="B154" s="10">
        <v>282</v>
      </c>
      <c r="C154" s="9">
        <v>221.03</v>
      </c>
      <c r="D154" s="10">
        <v>301.2</v>
      </c>
      <c r="E154" s="11">
        <v>221.03</v>
      </c>
      <c r="F154" s="12">
        <v>370.1</v>
      </c>
      <c r="G154" s="11">
        <v>221.03</v>
      </c>
      <c r="H154" s="12">
        <v>398.4</v>
      </c>
      <c r="I154" s="11">
        <v>221.03</v>
      </c>
      <c r="J154" s="12">
        <v>577.79999999999995</v>
      </c>
      <c r="K154" s="11">
        <v>221.03</v>
      </c>
      <c r="L154" s="12">
        <v>606.29999999999995</v>
      </c>
      <c r="M154" s="11">
        <v>221.03</v>
      </c>
      <c r="N154" s="13">
        <v>282</v>
      </c>
      <c r="O154" s="13">
        <v>301.2</v>
      </c>
      <c r="P154" s="13">
        <v>370.1</v>
      </c>
      <c r="Q154" s="11">
        <v>398.4</v>
      </c>
      <c r="R154" s="11">
        <v>577.79999999999995</v>
      </c>
      <c r="S154" s="14">
        <v>606.29999999999995</v>
      </c>
      <c r="T154" s="11">
        <v>221.03</v>
      </c>
      <c r="U154" s="13">
        <f>IF('0.0%'!$N154&lt;$Z$3,0, '0.0%'!$O154/'0.0%'!$N154)</f>
        <v>1.0680851063829786</v>
      </c>
      <c r="V154" s="13">
        <f>IF('0.0%'!$N154&lt;$Z$3,0, '0.0%'!$P154/'0.0%'!$N154)</f>
        <v>1.3124113475177306</v>
      </c>
      <c r="W154" s="13">
        <f>IF('0.0%'!$N154&lt;$Z$3,0, '0.0%'!$Q154/'0.0%'!$N154)</f>
        <v>1.4127659574468083</v>
      </c>
      <c r="X154" s="13">
        <f>IF('0.0%'!$N154&lt;$Z$3,0, '0.0%'!$R154/'0.0%'!$N154)</f>
        <v>2.048936170212766</v>
      </c>
      <c r="Y154" s="13">
        <f>IF('0.0%'!$N154&lt;$Z$3,0, '0.0%'!$S154/'0.0%'!$N154)</f>
        <v>2.15</v>
      </c>
    </row>
    <row r="155" spans="1:25" x14ac:dyDescent="0.3">
      <c r="A155" s="17">
        <v>222.02</v>
      </c>
      <c r="B155" s="10">
        <v>279.39999999999998</v>
      </c>
      <c r="C155" s="9">
        <v>222.02</v>
      </c>
      <c r="D155" s="10">
        <v>298.39999999999998</v>
      </c>
      <c r="E155" s="11">
        <v>222.02</v>
      </c>
      <c r="F155" s="12">
        <v>366.4</v>
      </c>
      <c r="G155" s="11">
        <v>222.02</v>
      </c>
      <c r="H155" s="12">
        <v>394.9</v>
      </c>
      <c r="I155" s="11">
        <v>222.02</v>
      </c>
      <c r="J155" s="12">
        <v>572.29999999999995</v>
      </c>
      <c r="K155" s="11">
        <v>222.02</v>
      </c>
      <c r="L155" s="12">
        <v>601.5</v>
      </c>
      <c r="M155" s="11">
        <v>222.02</v>
      </c>
      <c r="N155" s="13">
        <v>279.39999999999998</v>
      </c>
      <c r="O155" s="13">
        <v>298.39999999999998</v>
      </c>
      <c r="P155" s="13">
        <v>366.4</v>
      </c>
      <c r="Q155" s="11">
        <v>394.9</v>
      </c>
      <c r="R155" s="11">
        <v>572.29999999999995</v>
      </c>
      <c r="S155" s="14">
        <v>601.5</v>
      </c>
      <c r="T155" s="11">
        <v>222.02</v>
      </c>
      <c r="U155" s="13">
        <f>IF('0.0%'!$N155&lt;$Z$3,0, '0.0%'!$O155/'0.0%'!$N155)</f>
        <v>1.0680028632784537</v>
      </c>
      <c r="V155" s="13">
        <f>IF('0.0%'!$N155&lt;$Z$3,0, '0.0%'!$P155/'0.0%'!$N155)</f>
        <v>1.3113815318539728</v>
      </c>
      <c r="W155" s="13">
        <f>IF('0.0%'!$N155&lt;$Z$3,0, '0.0%'!$Q155/'0.0%'!$N155)</f>
        <v>1.4133858267716535</v>
      </c>
      <c r="X155" s="13">
        <f>IF('0.0%'!$N155&lt;$Z$3,0, '0.0%'!$R155/'0.0%'!$N155)</f>
        <v>2.0483178239083752</v>
      </c>
      <c r="Y155" s="13">
        <f>IF('0.0%'!$N155&lt;$Z$3,0, '0.0%'!$S155/'0.0%'!$N155)</f>
        <v>2.1528274874731568</v>
      </c>
    </row>
    <row r="156" spans="1:25" x14ac:dyDescent="0.3">
      <c r="A156" s="17">
        <v>223.01</v>
      </c>
      <c r="B156" s="10">
        <v>277.8</v>
      </c>
      <c r="C156" s="9">
        <v>223.01</v>
      </c>
      <c r="D156" s="10">
        <v>296.7</v>
      </c>
      <c r="E156" s="11">
        <v>223.01</v>
      </c>
      <c r="F156" s="12">
        <v>363.7</v>
      </c>
      <c r="G156" s="11">
        <v>223.01</v>
      </c>
      <c r="H156" s="12">
        <v>392.3</v>
      </c>
      <c r="I156" s="11">
        <v>223.01</v>
      </c>
      <c r="J156" s="12">
        <v>567.4</v>
      </c>
      <c r="K156" s="11">
        <v>223.01</v>
      </c>
      <c r="L156" s="12">
        <v>597.1</v>
      </c>
      <c r="M156" s="11">
        <v>223.01</v>
      </c>
      <c r="N156" s="13">
        <v>277.8</v>
      </c>
      <c r="O156" s="13">
        <v>296.7</v>
      </c>
      <c r="P156" s="13">
        <v>363.7</v>
      </c>
      <c r="Q156" s="11">
        <v>392.3</v>
      </c>
      <c r="R156" s="11">
        <v>567.4</v>
      </c>
      <c r="S156" s="14">
        <v>597.1</v>
      </c>
      <c r="T156" s="11">
        <v>223.01</v>
      </c>
      <c r="U156" s="13">
        <f>IF('0.0%'!$N156&lt;$Z$3,0, '0.0%'!$O156/'0.0%'!$N156)</f>
        <v>1.0680345572354211</v>
      </c>
      <c r="V156" s="13">
        <f>IF('0.0%'!$N156&lt;$Z$3,0, '0.0%'!$P156/'0.0%'!$N156)</f>
        <v>1.3092152627789775</v>
      </c>
      <c r="W156" s="13">
        <f>IF('0.0%'!$N156&lt;$Z$3,0, '0.0%'!$Q156/'0.0%'!$N156)</f>
        <v>1.412167026637869</v>
      </c>
      <c r="X156" s="13">
        <f>IF('0.0%'!$N156&lt;$Z$3,0, '0.0%'!$R156/'0.0%'!$N156)</f>
        <v>2.0424766018718499</v>
      </c>
      <c r="Y156" s="13">
        <f>IF('0.0%'!$N156&lt;$Z$3,0, '0.0%'!$S156/'0.0%'!$N156)</f>
        <v>2.1493880489560837</v>
      </c>
    </row>
    <row r="157" spans="1:25" x14ac:dyDescent="0.3">
      <c r="A157" s="17">
        <v>224</v>
      </c>
      <c r="B157" s="10">
        <v>275.2</v>
      </c>
      <c r="C157" s="9">
        <v>224</v>
      </c>
      <c r="D157" s="10">
        <v>293.8</v>
      </c>
      <c r="E157" s="11">
        <v>224</v>
      </c>
      <c r="F157" s="12">
        <v>360</v>
      </c>
      <c r="G157" s="11">
        <v>224</v>
      </c>
      <c r="H157" s="12">
        <v>388.7</v>
      </c>
      <c r="I157" s="11">
        <v>224</v>
      </c>
      <c r="J157" s="12">
        <v>561.70000000000005</v>
      </c>
      <c r="K157" s="11">
        <v>224</v>
      </c>
      <c r="L157" s="12">
        <v>592.1</v>
      </c>
      <c r="M157" s="11">
        <v>224</v>
      </c>
      <c r="N157" s="13">
        <v>275.2</v>
      </c>
      <c r="O157" s="13">
        <v>293.8</v>
      </c>
      <c r="P157" s="13">
        <v>360</v>
      </c>
      <c r="Q157" s="11">
        <v>388.7</v>
      </c>
      <c r="R157" s="11">
        <v>561.70000000000005</v>
      </c>
      <c r="S157" s="14">
        <v>592.1</v>
      </c>
      <c r="T157" s="11">
        <v>224</v>
      </c>
      <c r="U157" s="13">
        <f>IF('0.0%'!$N157&lt;$Z$3,0, '0.0%'!$O157/'0.0%'!$N157)</f>
        <v>1.0675872093023258</v>
      </c>
      <c r="V157" s="13">
        <f>IF('0.0%'!$N157&lt;$Z$3,0, '0.0%'!$P157/'0.0%'!$N157)</f>
        <v>1.308139534883721</v>
      </c>
      <c r="W157" s="13">
        <f>IF('0.0%'!$N157&lt;$Z$3,0, '0.0%'!$Q157/'0.0%'!$N157)</f>
        <v>1.4124273255813953</v>
      </c>
      <c r="X157" s="13">
        <f>IF('0.0%'!$N157&lt;$Z$3,0, '0.0%'!$R157/'0.0%'!$N157)</f>
        <v>2.0410610465116283</v>
      </c>
      <c r="Y157" s="13">
        <f>IF('0.0%'!$N157&lt;$Z$3,0, '0.0%'!$S157/'0.0%'!$N157)</f>
        <v>2.1515261627906979</v>
      </c>
    </row>
    <row r="158" spans="1:25" x14ac:dyDescent="0.3">
      <c r="A158" s="17">
        <v>225</v>
      </c>
      <c r="B158" s="10">
        <v>273.7</v>
      </c>
      <c r="C158" s="9">
        <v>225</v>
      </c>
      <c r="D158" s="10">
        <v>292.10000000000002</v>
      </c>
      <c r="E158" s="11">
        <v>225</v>
      </c>
      <c r="F158" s="12">
        <v>357.6</v>
      </c>
      <c r="G158" s="11">
        <v>225</v>
      </c>
      <c r="H158" s="12">
        <v>386</v>
      </c>
      <c r="I158" s="11">
        <v>225</v>
      </c>
      <c r="J158" s="12">
        <v>556.9</v>
      </c>
      <c r="K158" s="11">
        <v>225</v>
      </c>
      <c r="L158" s="12">
        <v>587.9</v>
      </c>
      <c r="M158" s="11">
        <v>225</v>
      </c>
      <c r="N158" s="13">
        <v>273.7</v>
      </c>
      <c r="O158" s="13">
        <v>292.10000000000002</v>
      </c>
      <c r="P158" s="13">
        <v>357.6</v>
      </c>
      <c r="Q158" s="11">
        <v>386</v>
      </c>
      <c r="R158" s="11">
        <v>556.9</v>
      </c>
      <c r="S158" s="14">
        <v>587.9</v>
      </c>
      <c r="T158" s="11">
        <v>225</v>
      </c>
      <c r="U158" s="13">
        <f>IF('0.0%'!$N158&lt;$Z$3,0, '0.0%'!$O158/'0.0%'!$N158)</f>
        <v>1.0672268907563027</v>
      </c>
      <c r="V158" s="13">
        <f>IF('0.0%'!$N158&lt;$Z$3,0, '0.0%'!$P158/'0.0%'!$N158)</f>
        <v>1.3065400073072708</v>
      </c>
      <c r="W158" s="13">
        <f>IF('0.0%'!$N158&lt;$Z$3,0, '0.0%'!$Q158/'0.0%'!$N158)</f>
        <v>1.4103032517354768</v>
      </c>
      <c r="X158" s="13">
        <f>IF('0.0%'!$N158&lt;$Z$3,0, '0.0%'!$R158/'0.0%'!$N158)</f>
        <v>2.0347095359883083</v>
      </c>
      <c r="Y158" s="13">
        <f>IF('0.0%'!$N158&lt;$Z$3,0, '0.0%'!$S158/'0.0%'!$N158)</f>
        <v>2.1479722323712092</v>
      </c>
    </row>
    <row r="159" spans="1:25" x14ac:dyDescent="0.3">
      <c r="A159" s="17">
        <v>225.99</v>
      </c>
      <c r="B159" s="10">
        <v>271.10000000000002</v>
      </c>
      <c r="C159" s="9">
        <v>225.99</v>
      </c>
      <c r="D159" s="10">
        <v>289.3</v>
      </c>
      <c r="E159" s="11">
        <v>225.99</v>
      </c>
      <c r="F159" s="12">
        <v>354.1</v>
      </c>
      <c r="G159" s="11">
        <v>225.99</v>
      </c>
      <c r="H159" s="12">
        <v>382.4</v>
      </c>
      <c r="I159" s="11">
        <v>225.99</v>
      </c>
      <c r="J159" s="12">
        <v>551.1</v>
      </c>
      <c r="K159" s="11">
        <v>225.99</v>
      </c>
      <c r="L159" s="12">
        <v>583</v>
      </c>
      <c r="M159" s="11">
        <v>225.99</v>
      </c>
      <c r="N159" s="13">
        <v>271.10000000000002</v>
      </c>
      <c r="O159" s="13">
        <v>289.3</v>
      </c>
      <c r="P159" s="13">
        <v>354.1</v>
      </c>
      <c r="Q159" s="11">
        <v>382.4</v>
      </c>
      <c r="R159" s="11">
        <v>551.1</v>
      </c>
      <c r="S159" s="14">
        <v>583</v>
      </c>
      <c r="T159" s="11">
        <v>225.99</v>
      </c>
      <c r="U159" s="13">
        <f>IF('0.0%'!$N159&lt;$Z$3,0, '0.0%'!$O159/'0.0%'!$N159)</f>
        <v>1.0671338989302839</v>
      </c>
      <c r="V159" s="13">
        <f>IF('0.0%'!$N159&lt;$Z$3,0, '0.0%'!$P159/'0.0%'!$N159)</f>
        <v>1.3061600885282183</v>
      </c>
      <c r="W159" s="13">
        <f>IF('0.0%'!$N159&lt;$Z$3,0, '0.0%'!$Q159/'0.0%'!$N159)</f>
        <v>1.4105496126890444</v>
      </c>
      <c r="X159" s="13">
        <f>IF('0.0%'!$N159&lt;$Z$3,0, '0.0%'!$R159/'0.0%'!$N159)</f>
        <v>2.0328292143120619</v>
      </c>
      <c r="Y159" s="13">
        <f>IF('0.0%'!$N159&lt;$Z$3,0, '0.0%'!$S159/'0.0%'!$N159)</f>
        <v>2.150497971228329</v>
      </c>
    </row>
    <row r="160" spans="1:25" x14ac:dyDescent="0.3">
      <c r="A160" s="17">
        <v>226.98</v>
      </c>
      <c r="B160" s="10">
        <v>269.60000000000002</v>
      </c>
      <c r="C160" s="9">
        <v>226.98</v>
      </c>
      <c r="D160" s="10">
        <v>287.60000000000002</v>
      </c>
      <c r="E160" s="11">
        <v>226.98</v>
      </c>
      <c r="F160" s="12">
        <v>351.8</v>
      </c>
      <c r="G160" s="11">
        <v>226.98</v>
      </c>
      <c r="H160" s="12">
        <v>380</v>
      </c>
      <c r="I160" s="11">
        <v>226.98</v>
      </c>
      <c r="J160" s="12">
        <v>546.20000000000005</v>
      </c>
      <c r="K160" s="11">
        <v>226.98</v>
      </c>
      <c r="L160" s="12">
        <v>578.79999999999995</v>
      </c>
      <c r="M160" s="11">
        <v>226.98</v>
      </c>
      <c r="N160" s="13">
        <v>269.60000000000002</v>
      </c>
      <c r="O160" s="13">
        <v>287.60000000000002</v>
      </c>
      <c r="P160" s="13">
        <v>351.8</v>
      </c>
      <c r="Q160" s="11">
        <v>380</v>
      </c>
      <c r="R160" s="11">
        <v>546.20000000000005</v>
      </c>
      <c r="S160" s="14">
        <v>578.79999999999995</v>
      </c>
      <c r="T160" s="11">
        <v>226.98</v>
      </c>
      <c r="U160" s="13">
        <f>IF('0.0%'!$N160&lt;$Z$3,0, '0.0%'!$O160/'0.0%'!$N160)</f>
        <v>1.0667655786350148</v>
      </c>
      <c r="V160" s="13">
        <f>IF('0.0%'!$N160&lt;$Z$3,0, '0.0%'!$P160/'0.0%'!$N160)</f>
        <v>1.3048961424332344</v>
      </c>
      <c r="W160" s="13">
        <f>IF('0.0%'!$N160&lt;$Z$3,0, '0.0%'!$Q160/'0.0%'!$N160)</f>
        <v>1.4094955489614243</v>
      </c>
      <c r="X160" s="13">
        <f>IF('0.0%'!$N160&lt;$Z$3,0, '0.0%'!$R160/'0.0%'!$N160)</f>
        <v>2.0259643916913945</v>
      </c>
      <c r="Y160" s="13">
        <f>IF('0.0%'!$N160&lt;$Z$3,0, '0.0%'!$S160/'0.0%'!$N160)</f>
        <v>2.1468842729970321</v>
      </c>
    </row>
    <row r="161" spans="1:25" x14ac:dyDescent="0.3">
      <c r="A161" s="17">
        <v>227.97</v>
      </c>
      <c r="B161" s="10">
        <v>267.2</v>
      </c>
      <c r="C161" s="9">
        <v>227.97</v>
      </c>
      <c r="D161" s="10">
        <v>285</v>
      </c>
      <c r="E161" s="11">
        <v>227.97</v>
      </c>
      <c r="F161" s="12">
        <v>348.5</v>
      </c>
      <c r="G161" s="11">
        <v>227.97</v>
      </c>
      <c r="H161" s="12">
        <v>376.6</v>
      </c>
      <c r="I161" s="11">
        <v>227.97</v>
      </c>
      <c r="J161" s="12">
        <v>540.70000000000005</v>
      </c>
      <c r="K161" s="11">
        <v>227.97</v>
      </c>
      <c r="L161" s="12">
        <v>574</v>
      </c>
      <c r="M161" s="11">
        <v>227.97</v>
      </c>
      <c r="N161" s="13">
        <v>267.2</v>
      </c>
      <c r="O161" s="13">
        <v>285</v>
      </c>
      <c r="P161" s="13">
        <v>348.5</v>
      </c>
      <c r="Q161" s="11">
        <v>376.6</v>
      </c>
      <c r="R161" s="11">
        <v>540.70000000000005</v>
      </c>
      <c r="S161" s="14">
        <v>574</v>
      </c>
      <c r="T161" s="11">
        <v>227.97</v>
      </c>
      <c r="U161" s="13">
        <f>IF('0.0%'!$N161&lt;$Z$3,0, '0.0%'!$O161/'0.0%'!$N161)</f>
        <v>1.0666167664670658</v>
      </c>
      <c r="V161" s="13">
        <f>IF('0.0%'!$N161&lt;$Z$3,0, '0.0%'!$P161/'0.0%'!$N161)</f>
        <v>1.3042664670658684</v>
      </c>
      <c r="W161" s="13">
        <f>IF('0.0%'!$N161&lt;$Z$3,0, '0.0%'!$Q161/'0.0%'!$N161)</f>
        <v>1.409431137724551</v>
      </c>
      <c r="X161" s="13">
        <f>IF('0.0%'!$N161&lt;$Z$3,0, '0.0%'!$R161/'0.0%'!$N161)</f>
        <v>2.0235778443113777</v>
      </c>
      <c r="Y161" s="13">
        <f>IF('0.0%'!$N161&lt;$Z$3,0, '0.0%'!$S161/'0.0%'!$N161)</f>
        <v>2.1482035928143715</v>
      </c>
    </row>
    <row r="162" spans="1:25" x14ac:dyDescent="0.3">
      <c r="A162" s="17">
        <v>228.96</v>
      </c>
      <c r="B162" s="10">
        <v>265.89999999999998</v>
      </c>
      <c r="C162" s="9">
        <v>228.96</v>
      </c>
      <c r="D162" s="10">
        <v>283.60000000000002</v>
      </c>
      <c r="E162" s="11">
        <v>228.96</v>
      </c>
      <c r="F162" s="12">
        <v>346.5</v>
      </c>
      <c r="G162" s="11">
        <v>228.96</v>
      </c>
      <c r="H162" s="12">
        <v>374.4</v>
      </c>
      <c r="I162" s="11">
        <v>228.96</v>
      </c>
      <c r="J162" s="12">
        <v>536.29999999999995</v>
      </c>
      <c r="K162" s="11">
        <v>228.96</v>
      </c>
      <c r="L162" s="12">
        <v>570.20000000000005</v>
      </c>
      <c r="M162" s="11">
        <v>228.96</v>
      </c>
      <c r="N162" s="13">
        <v>265.89999999999998</v>
      </c>
      <c r="O162" s="13">
        <v>283.60000000000002</v>
      </c>
      <c r="P162" s="13">
        <v>346.5</v>
      </c>
      <c r="Q162" s="11">
        <v>374.4</v>
      </c>
      <c r="R162" s="11">
        <v>536.29999999999995</v>
      </c>
      <c r="S162" s="14">
        <v>570.20000000000005</v>
      </c>
      <c r="T162" s="11">
        <v>228.96</v>
      </c>
      <c r="U162" s="13">
        <f>IF('0.0%'!$N162&lt;$Z$3,0, '0.0%'!$O162/'0.0%'!$N162)</f>
        <v>1.0665663783377211</v>
      </c>
      <c r="V162" s="13">
        <f>IF('0.0%'!$N162&lt;$Z$3,0, '0.0%'!$P162/'0.0%'!$N162)</f>
        <v>1.3031214742384356</v>
      </c>
      <c r="W162" s="13">
        <f>IF('0.0%'!$N162&lt;$Z$3,0, '0.0%'!$Q162/'0.0%'!$N162)</f>
        <v>1.408048138397894</v>
      </c>
      <c r="X162" s="13">
        <f>IF('0.0%'!$N162&lt;$Z$3,0, '0.0%'!$R162/'0.0%'!$N162)</f>
        <v>2.01692365550959</v>
      </c>
      <c r="Y162" s="13">
        <f>IF('0.0%'!$N162&lt;$Z$3,0, '0.0%'!$S162/'0.0%'!$N162)</f>
        <v>2.1444151936818354</v>
      </c>
    </row>
    <row r="163" spans="1:25" x14ac:dyDescent="0.3">
      <c r="A163" s="17">
        <v>229.96</v>
      </c>
      <c r="B163" s="10">
        <v>263.89999999999998</v>
      </c>
      <c r="C163" s="9">
        <v>229.96</v>
      </c>
      <c r="D163" s="10">
        <v>281.3</v>
      </c>
      <c r="E163" s="11">
        <v>229.96</v>
      </c>
      <c r="F163" s="12">
        <v>343.6</v>
      </c>
      <c r="G163" s="11">
        <v>229.96</v>
      </c>
      <c r="H163" s="12">
        <v>371.3</v>
      </c>
      <c r="I163" s="11">
        <v>229.96</v>
      </c>
      <c r="J163" s="12">
        <v>531.5</v>
      </c>
      <c r="K163" s="11">
        <v>229.96</v>
      </c>
      <c r="L163" s="12">
        <v>566</v>
      </c>
      <c r="M163" s="11">
        <v>229.96</v>
      </c>
      <c r="N163" s="13">
        <v>263.89999999999998</v>
      </c>
      <c r="O163" s="13">
        <v>281.3</v>
      </c>
      <c r="P163" s="13">
        <v>343.6</v>
      </c>
      <c r="Q163" s="11">
        <v>371.3</v>
      </c>
      <c r="R163" s="11">
        <v>531.5</v>
      </c>
      <c r="S163" s="14">
        <v>566</v>
      </c>
      <c r="T163" s="11">
        <v>229.96</v>
      </c>
      <c r="U163" s="13">
        <f>IF('0.0%'!$N163&lt;$Z$3,0, '0.0%'!$O163/'0.0%'!$N163)</f>
        <v>1.0659340659340661</v>
      </c>
      <c r="V163" s="13">
        <f>IF('0.0%'!$N163&lt;$Z$3,0, '0.0%'!$P163/'0.0%'!$N163)</f>
        <v>1.3020083364910953</v>
      </c>
      <c r="W163" s="13">
        <f>IF('0.0%'!$N163&lt;$Z$3,0, '0.0%'!$Q163/'0.0%'!$N163)</f>
        <v>1.4069723380068209</v>
      </c>
      <c r="X163" s="13">
        <f>IF('0.0%'!$N163&lt;$Z$3,0, '0.0%'!$R163/'0.0%'!$N163)</f>
        <v>2.0140204622963247</v>
      </c>
      <c r="Y163" s="13">
        <f>IF('0.0%'!$N163&lt;$Z$3,0, '0.0%'!$S163/'0.0%'!$N163)</f>
        <v>2.1447517999242138</v>
      </c>
    </row>
    <row r="164" spans="1:25" x14ac:dyDescent="0.3">
      <c r="A164" s="17">
        <v>230.95</v>
      </c>
      <c r="B164" s="10">
        <v>263</v>
      </c>
      <c r="C164" s="9">
        <v>230.95</v>
      </c>
      <c r="D164" s="10">
        <v>280.3</v>
      </c>
      <c r="E164" s="11">
        <v>230.95</v>
      </c>
      <c r="F164" s="12">
        <v>341.9</v>
      </c>
      <c r="G164" s="11">
        <v>230.95</v>
      </c>
      <c r="H164" s="12">
        <v>369.3</v>
      </c>
      <c r="I164" s="11">
        <v>230.95</v>
      </c>
      <c r="J164" s="12">
        <v>527.9</v>
      </c>
      <c r="K164" s="11">
        <v>230.95</v>
      </c>
      <c r="L164" s="12">
        <v>562.79999999999995</v>
      </c>
      <c r="M164" s="11">
        <v>230.95</v>
      </c>
      <c r="N164" s="13">
        <v>263</v>
      </c>
      <c r="O164" s="13">
        <v>280.3</v>
      </c>
      <c r="P164" s="13">
        <v>341.9</v>
      </c>
      <c r="Q164" s="11">
        <v>369.3</v>
      </c>
      <c r="R164" s="11">
        <v>527.9</v>
      </c>
      <c r="S164" s="14">
        <v>562.79999999999995</v>
      </c>
      <c r="T164" s="11">
        <v>230.95</v>
      </c>
      <c r="U164" s="13">
        <f>IF('0.0%'!$N164&lt;$Z$3,0, '0.0%'!$O164/'0.0%'!$N164)</f>
        <v>1.0657794676806085</v>
      </c>
      <c r="V164" s="13">
        <f>IF('0.0%'!$N164&lt;$Z$3,0, '0.0%'!$P164/'0.0%'!$N164)</f>
        <v>1.2999999999999998</v>
      </c>
      <c r="W164" s="13">
        <f>IF('0.0%'!$N164&lt;$Z$3,0, '0.0%'!$Q164/'0.0%'!$N164)</f>
        <v>1.4041825095057034</v>
      </c>
      <c r="X164" s="13">
        <f>IF('0.0%'!$N164&lt;$Z$3,0, '0.0%'!$R164/'0.0%'!$N164)</f>
        <v>2.0072243346007603</v>
      </c>
      <c r="Y164" s="13">
        <f>IF('0.0%'!$N164&lt;$Z$3,0, '0.0%'!$S164/'0.0%'!$N164)</f>
        <v>2.1399239543726236</v>
      </c>
    </row>
    <row r="165" spans="1:25" x14ac:dyDescent="0.3">
      <c r="A165" s="17">
        <v>231.94</v>
      </c>
      <c r="B165" s="10">
        <v>261.2</v>
      </c>
      <c r="C165" s="9">
        <v>231.94</v>
      </c>
      <c r="D165" s="10">
        <v>278.2</v>
      </c>
      <c r="E165" s="11">
        <v>231.94</v>
      </c>
      <c r="F165" s="12">
        <v>339.4</v>
      </c>
      <c r="G165" s="11">
        <v>231.94</v>
      </c>
      <c r="H165" s="12">
        <v>366.4</v>
      </c>
      <c r="I165" s="11">
        <v>231.94</v>
      </c>
      <c r="J165" s="12">
        <v>523.70000000000005</v>
      </c>
      <c r="K165" s="11">
        <v>231.94</v>
      </c>
      <c r="L165" s="12">
        <v>559</v>
      </c>
      <c r="M165" s="11">
        <v>231.94</v>
      </c>
      <c r="N165" s="13">
        <v>261.2</v>
      </c>
      <c r="O165" s="13">
        <v>278.2</v>
      </c>
      <c r="P165" s="13">
        <v>339.4</v>
      </c>
      <c r="Q165" s="11">
        <v>366.4</v>
      </c>
      <c r="R165" s="11">
        <v>523.70000000000005</v>
      </c>
      <c r="S165" s="14">
        <v>559</v>
      </c>
      <c r="T165" s="11">
        <v>231.94</v>
      </c>
      <c r="U165" s="13">
        <f>IF('0.0%'!$N165&lt;$Z$3,0, '0.0%'!$O165/'0.0%'!$N165)</f>
        <v>1.0650842266462481</v>
      </c>
      <c r="V165" s="13">
        <f>IF('0.0%'!$N165&lt;$Z$3,0, '0.0%'!$P165/'0.0%'!$N165)</f>
        <v>1.2993874425727412</v>
      </c>
      <c r="W165" s="13">
        <f>IF('0.0%'!$N165&lt;$Z$3,0, '0.0%'!$Q165/'0.0%'!$N165)</f>
        <v>1.4027565084226645</v>
      </c>
      <c r="X165" s="13">
        <f>IF('0.0%'!$N165&lt;$Z$3,0, '0.0%'!$R165/'0.0%'!$N165)</f>
        <v>2.0049770290964779</v>
      </c>
      <c r="Y165" s="13">
        <f>IF('0.0%'!$N165&lt;$Z$3,0, '0.0%'!$S165/'0.0%'!$N165)</f>
        <v>2.1401225114854521</v>
      </c>
    </row>
    <row r="166" spans="1:25" x14ac:dyDescent="0.3">
      <c r="A166" s="17">
        <v>232.93</v>
      </c>
      <c r="B166" s="10">
        <v>260.39999999999998</v>
      </c>
      <c r="C166" s="9">
        <v>232.93</v>
      </c>
      <c r="D166" s="10">
        <v>277.10000000000002</v>
      </c>
      <c r="E166" s="11">
        <v>232.93</v>
      </c>
      <c r="F166" s="12">
        <v>337.9</v>
      </c>
      <c r="G166" s="11">
        <v>232.93</v>
      </c>
      <c r="H166" s="12">
        <v>364.5</v>
      </c>
      <c r="I166" s="11">
        <v>232.93</v>
      </c>
      <c r="J166" s="12">
        <v>520.5</v>
      </c>
      <c r="K166" s="11">
        <v>232.93</v>
      </c>
      <c r="L166" s="12">
        <v>556.1</v>
      </c>
      <c r="M166" s="11">
        <v>232.93</v>
      </c>
      <c r="N166" s="13">
        <v>260.39999999999998</v>
      </c>
      <c r="O166" s="13">
        <v>277.10000000000002</v>
      </c>
      <c r="P166" s="13">
        <v>337.9</v>
      </c>
      <c r="Q166" s="11">
        <v>364.5</v>
      </c>
      <c r="R166" s="11">
        <v>520.5</v>
      </c>
      <c r="S166" s="14">
        <v>556.1</v>
      </c>
      <c r="T166" s="11">
        <v>232.93</v>
      </c>
      <c r="U166" s="13">
        <f>IF('0.0%'!$N166&lt;$Z$3,0, '0.0%'!$O166/'0.0%'!$N166)</f>
        <v>1.0641321044546852</v>
      </c>
      <c r="V166" s="13">
        <f>IF('0.0%'!$N166&lt;$Z$3,0, '0.0%'!$P166/'0.0%'!$N166)</f>
        <v>1.2976190476190477</v>
      </c>
      <c r="W166" s="13">
        <f>IF('0.0%'!$N166&lt;$Z$3,0, '0.0%'!$Q166/'0.0%'!$N166)</f>
        <v>1.3997695852534564</v>
      </c>
      <c r="X166" s="13">
        <f>IF('0.0%'!$N166&lt;$Z$3,0, '0.0%'!$R166/'0.0%'!$N166)</f>
        <v>1.9988479262672814</v>
      </c>
      <c r="Y166" s="13">
        <f>IF('0.0%'!$N166&lt;$Z$3,0, '0.0%'!$S166/'0.0%'!$N166)</f>
        <v>2.1355606758832568</v>
      </c>
    </row>
    <row r="167" spans="1:25" x14ac:dyDescent="0.3">
      <c r="A167" s="17">
        <v>233.92</v>
      </c>
      <c r="B167" s="10">
        <v>258.3</v>
      </c>
      <c r="C167" s="9">
        <v>233.92</v>
      </c>
      <c r="D167" s="10">
        <v>274.8</v>
      </c>
      <c r="E167" s="11">
        <v>233.92</v>
      </c>
      <c r="F167" s="12">
        <v>335</v>
      </c>
      <c r="G167" s="11">
        <v>233.92</v>
      </c>
      <c r="H167" s="12">
        <v>361.4</v>
      </c>
      <c r="I167" s="11">
        <v>233.92</v>
      </c>
      <c r="J167" s="12">
        <v>516.1</v>
      </c>
      <c r="K167" s="11">
        <v>233.92</v>
      </c>
      <c r="L167" s="12">
        <v>552</v>
      </c>
      <c r="M167" s="11">
        <v>233.92</v>
      </c>
      <c r="N167" s="13">
        <v>258.3</v>
      </c>
      <c r="O167" s="13">
        <v>274.8</v>
      </c>
      <c r="P167" s="13">
        <v>335</v>
      </c>
      <c r="Q167" s="11">
        <v>361.4</v>
      </c>
      <c r="R167" s="11">
        <v>516.1</v>
      </c>
      <c r="S167" s="14">
        <v>552</v>
      </c>
      <c r="T167" s="11">
        <v>233.92</v>
      </c>
      <c r="U167" s="13">
        <f>IF('0.0%'!$N167&lt;$Z$3,0, '0.0%'!$O167/'0.0%'!$N167)</f>
        <v>1.0638792102206736</v>
      </c>
      <c r="V167" s="13">
        <f>IF('0.0%'!$N167&lt;$Z$3,0, '0.0%'!$P167/'0.0%'!$N167)</f>
        <v>1.2969415408439797</v>
      </c>
      <c r="W167" s="13">
        <f>IF('0.0%'!$N167&lt;$Z$3,0, '0.0%'!$Q167/'0.0%'!$N167)</f>
        <v>1.3991482771970576</v>
      </c>
      <c r="X167" s="13">
        <f>IF('0.0%'!$N167&lt;$Z$3,0, '0.0%'!$R167/'0.0%'!$N167)</f>
        <v>1.9980642663569492</v>
      </c>
      <c r="Y167" s="13">
        <f>IF('0.0%'!$N167&lt;$Z$3,0, '0.0%'!$S167/'0.0%'!$N167)</f>
        <v>2.1370499419279905</v>
      </c>
    </row>
    <row r="168" spans="1:25" x14ac:dyDescent="0.3">
      <c r="A168" s="17">
        <v>234.91</v>
      </c>
      <c r="B168" s="10">
        <v>257.2</v>
      </c>
      <c r="C168" s="9">
        <v>234.91</v>
      </c>
      <c r="D168" s="10">
        <v>273.5</v>
      </c>
      <c r="E168" s="11">
        <v>234.91</v>
      </c>
      <c r="F168" s="12">
        <v>333</v>
      </c>
      <c r="G168" s="11">
        <v>234.91</v>
      </c>
      <c r="H168" s="12">
        <v>359.2</v>
      </c>
      <c r="I168" s="11">
        <v>234.91</v>
      </c>
      <c r="J168" s="12">
        <v>512.5</v>
      </c>
      <c r="K168" s="11">
        <v>234.91</v>
      </c>
      <c r="L168" s="12">
        <v>548.70000000000005</v>
      </c>
      <c r="M168" s="11">
        <v>234.91</v>
      </c>
      <c r="N168" s="13">
        <v>257.2</v>
      </c>
      <c r="O168" s="13">
        <v>273.5</v>
      </c>
      <c r="P168" s="13">
        <v>333</v>
      </c>
      <c r="Q168" s="11">
        <v>359.2</v>
      </c>
      <c r="R168" s="11">
        <v>512.5</v>
      </c>
      <c r="S168" s="14">
        <v>548.70000000000005</v>
      </c>
      <c r="T168" s="11">
        <v>234.91</v>
      </c>
      <c r="U168" s="13">
        <f>IF('0.0%'!$N168&lt;$Z$3,0, '0.0%'!$O168/'0.0%'!$N168)</f>
        <v>1.063374805598756</v>
      </c>
      <c r="V168" s="13">
        <f>IF('0.0%'!$N168&lt;$Z$3,0, '0.0%'!$P168/'0.0%'!$N168)</f>
        <v>1.2947122861586315</v>
      </c>
      <c r="W168" s="13">
        <f>IF('0.0%'!$N168&lt;$Z$3,0, '0.0%'!$Q168/'0.0%'!$N168)</f>
        <v>1.3965785381026439</v>
      </c>
      <c r="X168" s="13">
        <f>IF('0.0%'!$N168&lt;$Z$3,0, '0.0%'!$R168/'0.0%'!$N168)</f>
        <v>1.9926127527216175</v>
      </c>
      <c r="Y168" s="13">
        <f>IF('0.0%'!$N168&lt;$Z$3,0, '0.0%'!$S168/'0.0%'!$N168)</f>
        <v>2.1333592534992225</v>
      </c>
    </row>
    <row r="169" spans="1:25" x14ac:dyDescent="0.3">
      <c r="A169" s="17">
        <v>235.91</v>
      </c>
      <c r="B169" s="10">
        <v>255</v>
      </c>
      <c r="C169" s="9">
        <v>235.91</v>
      </c>
      <c r="D169" s="10">
        <v>271</v>
      </c>
      <c r="E169" s="11">
        <v>235.91</v>
      </c>
      <c r="F169" s="12">
        <v>329.9</v>
      </c>
      <c r="G169" s="11">
        <v>235.91</v>
      </c>
      <c r="H169" s="12">
        <v>355.8</v>
      </c>
      <c r="I169" s="11">
        <v>235.91</v>
      </c>
      <c r="J169" s="12">
        <v>508</v>
      </c>
      <c r="K169" s="11">
        <v>235.91</v>
      </c>
      <c r="L169" s="12">
        <v>544.4</v>
      </c>
      <c r="M169" s="11">
        <v>235.91</v>
      </c>
      <c r="N169" s="13">
        <v>255</v>
      </c>
      <c r="O169" s="13">
        <v>271</v>
      </c>
      <c r="P169" s="13">
        <v>329.9</v>
      </c>
      <c r="Q169" s="11">
        <v>355.8</v>
      </c>
      <c r="R169" s="11">
        <v>508</v>
      </c>
      <c r="S169" s="14">
        <v>544.4</v>
      </c>
      <c r="T169" s="11">
        <v>235.91</v>
      </c>
      <c r="U169" s="13">
        <f>IF('0.0%'!$N169&lt;$Z$3,0, '0.0%'!$O169/'0.0%'!$N169)</f>
        <v>1.0627450980392157</v>
      </c>
      <c r="V169" s="13">
        <f>IF('0.0%'!$N169&lt;$Z$3,0, '0.0%'!$P169/'0.0%'!$N169)</f>
        <v>1.2937254901960784</v>
      </c>
      <c r="W169" s="13">
        <f>IF('0.0%'!$N169&lt;$Z$3,0, '0.0%'!$Q169/'0.0%'!$N169)</f>
        <v>1.3952941176470588</v>
      </c>
      <c r="X169" s="13">
        <f>IF('0.0%'!$N169&lt;$Z$3,0, '0.0%'!$R169/'0.0%'!$N169)</f>
        <v>1.9921568627450981</v>
      </c>
      <c r="Y169" s="13">
        <f>IF('0.0%'!$N169&lt;$Z$3,0, '0.0%'!$S169/'0.0%'!$N169)</f>
        <v>2.1349019607843136</v>
      </c>
    </row>
    <row r="170" spans="1:25" x14ac:dyDescent="0.3">
      <c r="A170" s="17">
        <v>236.9</v>
      </c>
      <c r="B170" s="10">
        <v>253.7</v>
      </c>
      <c r="C170" s="9">
        <v>236.9</v>
      </c>
      <c r="D170" s="10">
        <v>269.5</v>
      </c>
      <c r="E170" s="11">
        <v>236.9</v>
      </c>
      <c r="F170" s="12">
        <v>327.60000000000002</v>
      </c>
      <c r="G170" s="11">
        <v>236.9</v>
      </c>
      <c r="H170" s="12">
        <v>353.3</v>
      </c>
      <c r="I170" s="11">
        <v>236.9</v>
      </c>
      <c r="J170" s="12">
        <v>504.3</v>
      </c>
      <c r="K170" s="11">
        <v>236.9</v>
      </c>
      <c r="L170" s="12">
        <v>540.70000000000005</v>
      </c>
      <c r="M170" s="11">
        <v>236.9</v>
      </c>
      <c r="N170" s="13">
        <v>253.7</v>
      </c>
      <c r="O170" s="13">
        <v>269.5</v>
      </c>
      <c r="P170" s="13">
        <v>327.60000000000002</v>
      </c>
      <c r="Q170" s="11">
        <v>353.3</v>
      </c>
      <c r="R170" s="11">
        <v>504.3</v>
      </c>
      <c r="S170" s="14">
        <v>540.70000000000005</v>
      </c>
      <c r="T170" s="11">
        <v>236.9</v>
      </c>
      <c r="U170" s="13">
        <f>IF('0.0%'!$N170&lt;$Z$3,0, '0.0%'!$O170/'0.0%'!$N170)</f>
        <v>1.0622782814347655</v>
      </c>
      <c r="V170" s="13">
        <f>IF('0.0%'!$N170&lt;$Z$3,0, '0.0%'!$P170/'0.0%'!$N170)</f>
        <v>1.2912889239258969</v>
      </c>
      <c r="W170" s="13">
        <f>IF('0.0%'!$N170&lt;$Z$3,0, '0.0%'!$Q170/'0.0%'!$N170)</f>
        <v>1.3925896728419394</v>
      </c>
      <c r="X170" s="13">
        <f>IF('0.0%'!$N170&lt;$Z$3,0, '0.0%'!$R170/'0.0%'!$N170)</f>
        <v>1.9877808435159638</v>
      </c>
      <c r="Y170" s="13">
        <f>IF('0.0%'!$N170&lt;$Z$3,0, '0.0%'!$S170/'0.0%'!$N170)</f>
        <v>2.1312573906188415</v>
      </c>
    </row>
    <row r="171" spans="1:25" x14ac:dyDescent="0.3">
      <c r="A171" s="17">
        <v>237.89</v>
      </c>
      <c r="B171" s="10">
        <v>251.4</v>
      </c>
      <c r="C171" s="9">
        <v>237.89</v>
      </c>
      <c r="D171" s="10">
        <v>267</v>
      </c>
      <c r="E171" s="11">
        <v>237.89</v>
      </c>
      <c r="F171" s="12">
        <v>324.2</v>
      </c>
      <c r="G171" s="11">
        <v>237.89</v>
      </c>
      <c r="H171" s="12">
        <v>349.8</v>
      </c>
      <c r="I171" s="11">
        <v>237.89</v>
      </c>
      <c r="J171" s="12">
        <v>499.6</v>
      </c>
      <c r="K171" s="11">
        <v>237.89</v>
      </c>
      <c r="L171" s="12">
        <v>535.70000000000005</v>
      </c>
      <c r="M171" s="11">
        <v>237.89</v>
      </c>
      <c r="N171" s="13">
        <v>251.4</v>
      </c>
      <c r="O171" s="13">
        <v>267</v>
      </c>
      <c r="P171" s="13">
        <v>324.2</v>
      </c>
      <c r="Q171" s="11">
        <v>349.8</v>
      </c>
      <c r="R171" s="11">
        <v>499.6</v>
      </c>
      <c r="S171" s="14">
        <v>535.70000000000005</v>
      </c>
      <c r="T171" s="11">
        <v>237.89</v>
      </c>
      <c r="U171" s="13">
        <f>IF('0.0%'!$N171&lt;$Z$3,0, '0.0%'!$O171/'0.0%'!$N171)</f>
        <v>1.0620525059665871</v>
      </c>
      <c r="V171" s="13">
        <f>IF('0.0%'!$N171&lt;$Z$3,0, '0.0%'!$P171/'0.0%'!$N171)</f>
        <v>1.2895783611774065</v>
      </c>
      <c r="W171" s="13">
        <f>IF('0.0%'!$N171&lt;$Z$3,0, '0.0%'!$Q171/'0.0%'!$N171)</f>
        <v>1.3914081145584725</v>
      </c>
      <c r="X171" s="13">
        <f>IF('0.0%'!$N171&lt;$Z$3,0, '0.0%'!$R171/'0.0%'!$N171)</f>
        <v>1.9872712808273667</v>
      </c>
      <c r="Y171" s="13">
        <f>IF('0.0%'!$N171&lt;$Z$3,0, '0.0%'!$S171/'0.0%'!$N171)</f>
        <v>2.130867143993636</v>
      </c>
    </row>
    <row r="172" spans="1:25" x14ac:dyDescent="0.3">
      <c r="A172" s="17">
        <v>238.88</v>
      </c>
      <c r="B172" s="10">
        <v>248.8</v>
      </c>
      <c r="C172" s="9">
        <v>238.88</v>
      </c>
      <c r="D172" s="10">
        <v>264.2</v>
      </c>
      <c r="E172" s="11">
        <v>238.88</v>
      </c>
      <c r="F172" s="12">
        <v>320.60000000000002</v>
      </c>
      <c r="G172" s="11">
        <v>238.88</v>
      </c>
      <c r="H172" s="12">
        <v>346.1</v>
      </c>
      <c r="I172" s="11">
        <v>238.88</v>
      </c>
      <c r="J172" s="12">
        <v>494.7</v>
      </c>
      <c r="K172" s="11">
        <v>238.88</v>
      </c>
      <c r="L172" s="12">
        <v>530.6</v>
      </c>
      <c r="M172" s="11">
        <v>238.88</v>
      </c>
      <c r="N172" s="13">
        <v>248.8</v>
      </c>
      <c r="O172" s="13">
        <v>264.2</v>
      </c>
      <c r="P172" s="13">
        <v>320.60000000000002</v>
      </c>
      <c r="Q172" s="11">
        <v>346.1</v>
      </c>
      <c r="R172" s="11">
        <v>494.7</v>
      </c>
      <c r="S172" s="14">
        <v>530.6</v>
      </c>
      <c r="T172" s="11">
        <v>238.88</v>
      </c>
      <c r="U172" s="13">
        <f>IF('0.0%'!$N172&lt;$Z$3,0, '0.0%'!$O172/'0.0%'!$N172)</f>
        <v>1.0618971061093248</v>
      </c>
      <c r="V172" s="13">
        <f>IF('0.0%'!$N172&lt;$Z$3,0, '0.0%'!$P172/'0.0%'!$N172)</f>
        <v>1.2885852090032155</v>
      </c>
      <c r="W172" s="13">
        <f>IF('0.0%'!$N172&lt;$Z$3,0, '0.0%'!$Q172/'0.0%'!$N172)</f>
        <v>1.3910771704180065</v>
      </c>
      <c r="X172" s="13">
        <f>IF('0.0%'!$N172&lt;$Z$3,0, '0.0%'!$R172/'0.0%'!$N172)</f>
        <v>1.9883440514469453</v>
      </c>
      <c r="Y172" s="13">
        <f>IF('0.0%'!$N172&lt;$Z$3,0, '0.0%'!$S172/'0.0%'!$N172)</f>
        <v>2.132636655948553</v>
      </c>
    </row>
    <row r="173" spans="1:25" x14ac:dyDescent="0.3">
      <c r="A173" s="17">
        <v>239.87</v>
      </c>
      <c r="B173" s="10">
        <v>247.3</v>
      </c>
      <c r="C173" s="9">
        <v>239.87</v>
      </c>
      <c r="D173" s="10">
        <v>262.39999999999998</v>
      </c>
      <c r="E173" s="11">
        <v>239.87</v>
      </c>
      <c r="F173" s="12">
        <v>318.10000000000002</v>
      </c>
      <c r="G173" s="11">
        <v>239.87</v>
      </c>
      <c r="H173" s="12">
        <v>343.4</v>
      </c>
      <c r="I173" s="11">
        <v>239.87</v>
      </c>
      <c r="J173" s="12">
        <v>490.7</v>
      </c>
      <c r="K173" s="11">
        <v>239.87</v>
      </c>
      <c r="L173" s="12">
        <v>526.4</v>
      </c>
      <c r="M173" s="11">
        <v>239.87</v>
      </c>
      <c r="N173" s="13">
        <v>247.3</v>
      </c>
      <c r="O173" s="13">
        <v>262.39999999999998</v>
      </c>
      <c r="P173" s="13">
        <v>318.10000000000002</v>
      </c>
      <c r="Q173" s="11">
        <v>343.4</v>
      </c>
      <c r="R173" s="11">
        <v>490.7</v>
      </c>
      <c r="S173" s="14">
        <v>526.4</v>
      </c>
      <c r="T173" s="11">
        <v>239.87</v>
      </c>
      <c r="U173" s="13">
        <f>IF('0.0%'!$N173&lt;$Z$3,0, '0.0%'!$O173/'0.0%'!$N173)</f>
        <v>1.0610594419733117</v>
      </c>
      <c r="V173" s="13">
        <f>IF('0.0%'!$N173&lt;$Z$3,0, '0.0%'!$P173/'0.0%'!$N173)</f>
        <v>1.2862919530934089</v>
      </c>
      <c r="W173" s="13">
        <f>IF('0.0%'!$N173&lt;$Z$3,0, '0.0%'!$Q173/'0.0%'!$N173)</f>
        <v>1.3885968459361098</v>
      </c>
      <c r="X173" s="13">
        <f>IF('0.0%'!$N173&lt;$Z$3,0, '0.0%'!$R173/'0.0%'!$N173)</f>
        <v>1.9842296805499393</v>
      </c>
      <c r="Y173" s="13">
        <f>IF('0.0%'!$N173&lt;$Z$3,0, '0.0%'!$S173/'0.0%'!$N173)</f>
        <v>2.1285887585928021</v>
      </c>
    </row>
    <row r="174" spans="1:25" x14ac:dyDescent="0.3">
      <c r="A174" s="17">
        <v>240.86</v>
      </c>
      <c r="B174" s="10">
        <v>244.8</v>
      </c>
      <c r="C174" s="9">
        <v>240.86</v>
      </c>
      <c r="D174" s="10">
        <v>259.7</v>
      </c>
      <c r="E174" s="11">
        <v>240.86</v>
      </c>
      <c r="F174" s="12">
        <v>314.5</v>
      </c>
      <c r="G174" s="11">
        <v>240.86</v>
      </c>
      <c r="H174" s="12">
        <v>339.7</v>
      </c>
      <c r="I174" s="11">
        <v>240.86</v>
      </c>
      <c r="J174" s="12">
        <v>485.8</v>
      </c>
      <c r="K174" s="11">
        <v>240.86</v>
      </c>
      <c r="L174" s="12">
        <v>521.20000000000005</v>
      </c>
      <c r="M174" s="11">
        <v>240.86</v>
      </c>
      <c r="N174" s="13">
        <v>244.8</v>
      </c>
      <c r="O174" s="13">
        <v>259.7</v>
      </c>
      <c r="P174" s="13">
        <v>314.5</v>
      </c>
      <c r="Q174" s="11">
        <v>339.7</v>
      </c>
      <c r="R174" s="11">
        <v>485.8</v>
      </c>
      <c r="S174" s="14">
        <v>521.20000000000005</v>
      </c>
      <c r="T174" s="11">
        <v>240.86</v>
      </c>
      <c r="U174" s="13">
        <f>IF('0.0%'!$N174&lt;$Z$3,0, '0.0%'!$O174/'0.0%'!$N174)</f>
        <v>1.0608660130718954</v>
      </c>
      <c r="V174" s="13">
        <f>IF('0.0%'!$N174&lt;$Z$3,0, '0.0%'!$P174/'0.0%'!$N174)</f>
        <v>1.2847222222222221</v>
      </c>
      <c r="W174" s="13">
        <f>IF('0.0%'!$N174&lt;$Z$3,0, '0.0%'!$Q174/'0.0%'!$N174)</f>
        <v>1.3876633986928104</v>
      </c>
      <c r="X174" s="13">
        <f>IF('0.0%'!$N174&lt;$Z$3,0, '0.0%'!$R174/'0.0%'!$N174)</f>
        <v>1.9844771241830066</v>
      </c>
      <c r="Y174" s="13">
        <f>IF('0.0%'!$N174&lt;$Z$3,0, '0.0%'!$S174/'0.0%'!$N174)</f>
        <v>2.1290849673202614</v>
      </c>
    </row>
    <row r="175" spans="1:25" x14ac:dyDescent="0.3">
      <c r="A175" s="17">
        <v>241.86</v>
      </c>
      <c r="B175" s="10">
        <v>243.5</v>
      </c>
      <c r="C175" s="9">
        <v>241.86</v>
      </c>
      <c r="D175" s="10">
        <v>258.2</v>
      </c>
      <c r="E175" s="11">
        <v>241.86</v>
      </c>
      <c r="F175" s="12">
        <v>312.2</v>
      </c>
      <c r="G175" s="11">
        <v>241.86</v>
      </c>
      <c r="H175" s="12">
        <v>337.3</v>
      </c>
      <c r="I175" s="11">
        <v>241.86</v>
      </c>
      <c r="J175" s="12">
        <v>482</v>
      </c>
      <c r="K175" s="11">
        <v>241.86</v>
      </c>
      <c r="L175" s="12">
        <v>517.1</v>
      </c>
      <c r="M175" s="11">
        <v>241.86</v>
      </c>
      <c r="N175" s="13">
        <v>243.5</v>
      </c>
      <c r="O175" s="13">
        <v>258.2</v>
      </c>
      <c r="P175" s="13">
        <v>312.2</v>
      </c>
      <c r="Q175" s="11">
        <v>337.3</v>
      </c>
      <c r="R175" s="11">
        <v>482</v>
      </c>
      <c r="S175" s="14">
        <v>517.1</v>
      </c>
      <c r="T175" s="11">
        <v>241.86</v>
      </c>
      <c r="U175" s="13">
        <f>IF('0.0%'!$N175&lt;$Z$3,0, '0.0%'!$O175/'0.0%'!$N175)</f>
        <v>1.0603696098562627</v>
      </c>
      <c r="V175" s="13">
        <f>IF('0.0%'!$N175&lt;$Z$3,0, '0.0%'!$P175/'0.0%'!$N175)</f>
        <v>1.2821355236139631</v>
      </c>
      <c r="W175" s="13">
        <f>IF('0.0%'!$N175&lt;$Z$3,0, '0.0%'!$Q175/'0.0%'!$N175)</f>
        <v>1.3852156057494867</v>
      </c>
      <c r="X175" s="13">
        <f>IF('0.0%'!$N175&lt;$Z$3,0, '0.0%'!$R175/'0.0%'!$N175)</f>
        <v>1.9794661190965093</v>
      </c>
      <c r="Y175" s="13">
        <f>IF('0.0%'!$N175&lt;$Z$3,0, '0.0%'!$S175/'0.0%'!$N175)</f>
        <v>2.1236139630390145</v>
      </c>
    </row>
    <row r="176" spans="1:25" x14ac:dyDescent="0.3">
      <c r="A176" s="17">
        <v>242.85</v>
      </c>
      <c r="B176" s="10">
        <v>241.4</v>
      </c>
      <c r="C176" s="9">
        <v>242.85</v>
      </c>
      <c r="D176" s="10">
        <v>255.9</v>
      </c>
      <c r="E176" s="11">
        <v>242.85</v>
      </c>
      <c r="F176" s="12">
        <v>309.2</v>
      </c>
      <c r="G176" s="11">
        <v>242.85</v>
      </c>
      <c r="H176" s="12">
        <v>334</v>
      </c>
      <c r="I176" s="11">
        <v>242.85</v>
      </c>
      <c r="J176" s="12">
        <v>477.7</v>
      </c>
      <c r="K176" s="11">
        <v>242.85</v>
      </c>
      <c r="L176" s="12">
        <v>512.4</v>
      </c>
      <c r="M176" s="11">
        <v>242.85</v>
      </c>
      <c r="N176" s="13">
        <v>241.4</v>
      </c>
      <c r="O176" s="13">
        <v>255.9</v>
      </c>
      <c r="P176" s="13">
        <v>309.2</v>
      </c>
      <c r="Q176" s="11">
        <v>334</v>
      </c>
      <c r="R176" s="11">
        <v>477.7</v>
      </c>
      <c r="S176" s="14">
        <v>512.4</v>
      </c>
      <c r="T176" s="11">
        <v>242.85</v>
      </c>
      <c r="U176" s="13">
        <f>IF('0.0%'!$N176&lt;$Z$3,0, '0.0%'!$O176/'0.0%'!$N176)</f>
        <v>1.06006628003314</v>
      </c>
      <c r="V176" s="13">
        <f>IF('0.0%'!$N176&lt;$Z$3,0, '0.0%'!$P176/'0.0%'!$N176)</f>
        <v>1.2808616404308202</v>
      </c>
      <c r="W176" s="13">
        <f>IF('0.0%'!$N176&lt;$Z$3,0, '0.0%'!$Q176/'0.0%'!$N176)</f>
        <v>1.3835956917978458</v>
      </c>
      <c r="X176" s="13">
        <f>IF('0.0%'!$N176&lt;$Z$3,0, '0.0%'!$R176/'0.0%'!$N176)</f>
        <v>1.9788732394366195</v>
      </c>
      <c r="Y176" s="13">
        <f>IF('0.0%'!$N176&lt;$Z$3,0, '0.0%'!$S176/'0.0%'!$N176)</f>
        <v>2.1226180613090304</v>
      </c>
    </row>
    <row r="177" spans="1:25" x14ac:dyDescent="0.3">
      <c r="A177" s="17">
        <v>243.84</v>
      </c>
      <c r="B177" s="10">
        <v>240.6</v>
      </c>
      <c r="C177" s="9">
        <v>243.84</v>
      </c>
      <c r="D177" s="10">
        <v>254.9</v>
      </c>
      <c r="E177" s="11">
        <v>243.84</v>
      </c>
      <c r="F177" s="12">
        <v>307.3</v>
      </c>
      <c r="G177" s="11">
        <v>243.84</v>
      </c>
      <c r="H177" s="12">
        <v>332.1</v>
      </c>
      <c r="I177" s="11">
        <v>243.84</v>
      </c>
      <c r="J177" s="12">
        <v>474.6</v>
      </c>
      <c r="K177" s="11">
        <v>243.84</v>
      </c>
      <c r="L177" s="12">
        <v>509</v>
      </c>
      <c r="M177" s="11">
        <v>243.84</v>
      </c>
      <c r="N177" s="13">
        <v>240.6</v>
      </c>
      <c r="O177" s="13">
        <v>254.9</v>
      </c>
      <c r="P177" s="13">
        <v>307.3</v>
      </c>
      <c r="Q177" s="11">
        <v>332.1</v>
      </c>
      <c r="R177" s="11">
        <v>474.6</v>
      </c>
      <c r="S177" s="14">
        <v>509</v>
      </c>
      <c r="T177" s="11">
        <v>243.84</v>
      </c>
      <c r="U177" s="13">
        <f>IF('0.0%'!$N177&lt;$Z$3,0, '0.0%'!$O177/'0.0%'!$N177)</f>
        <v>1.0594347464671654</v>
      </c>
      <c r="V177" s="13">
        <f>IF('0.0%'!$N177&lt;$Z$3,0, '0.0%'!$P177/'0.0%'!$N177)</f>
        <v>1.2772236076475478</v>
      </c>
      <c r="W177" s="13">
        <f>IF('0.0%'!$N177&lt;$Z$3,0, '0.0%'!$Q177/'0.0%'!$N177)</f>
        <v>1.3802992518703243</v>
      </c>
      <c r="X177" s="13">
        <f>IF('0.0%'!$N177&lt;$Z$3,0, '0.0%'!$R177/'0.0%'!$N177)</f>
        <v>1.972568578553616</v>
      </c>
      <c r="Y177" s="13">
        <f>IF('0.0%'!$N177&lt;$Z$3,0, '0.0%'!$S177/'0.0%'!$N177)</f>
        <v>2.1155444721529508</v>
      </c>
    </row>
    <row r="178" spans="1:25" x14ac:dyDescent="0.3">
      <c r="A178" s="17">
        <v>244.83</v>
      </c>
      <c r="B178" s="10">
        <v>238.6</v>
      </c>
      <c r="C178" s="9">
        <v>244.83</v>
      </c>
      <c r="D178" s="10">
        <v>252.9</v>
      </c>
      <c r="E178" s="11">
        <v>244.83</v>
      </c>
      <c r="F178" s="12">
        <v>304.5</v>
      </c>
      <c r="G178" s="11">
        <v>244.83</v>
      </c>
      <c r="H178" s="12">
        <v>329.2</v>
      </c>
      <c r="I178" s="11">
        <v>244.83</v>
      </c>
      <c r="J178" s="12">
        <v>470.8</v>
      </c>
      <c r="K178" s="11">
        <v>244.83</v>
      </c>
      <c r="L178" s="12">
        <v>504.8</v>
      </c>
      <c r="M178" s="11">
        <v>244.83</v>
      </c>
      <c r="N178" s="13">
        <v>238.6</v>
      </c>
      <c r="O178" s="13">
        <v>252.9</v>
      </c>
      <c r="P178" s="13">
        <v>304.5</v>
      </c>
      <c r="Q178" s="11">
        <v>329.2</v>
      </c>
      <c r="R178" s="11">
        <v>470.8</v>
      </c>
      <c r="S178" s="14">
        <v>504.8</v>
      </c>
      <c r="T178" s="11">
        <v>244.83</v>
      </c>
      <c r="U178" s="13">
        <f>IF('0.0%'!$N178&lt;$Z$3,0, '0.0%'!$O178/'0.0%'!$N178)</f>
        <v>1.0599329421626154</v>
      </c>
      <c r="V178" s="13">
        <f>IF('0.0%'!$N178&lt;$Z$3,0, '0.0%'!$P178/'0.0%'!$N178)</f>
        <v>1.2761944677284158</v>
      </c>
      <c r="W178" s="13">
        <f>IF('0.0%'!$N178&lt;$Z$3,0, '0.0%'!$Q178/'0.0%'!$N178)</f>
        <v>1.3797150041911148</v>
      </c>
      <c r="X178" s="13">
        <f>IF('0.0%'!$N178&lt;$Z$3,0, '0.0%'!$R178/'0.0%'!$N178)</f>
        <v>1.9731768650461023</v>
      </c>
      <c r="Y178" s="13">
        <f>IF('0.0%'!$N178&lt;$Z$3,0, '0.0%'!$S178/'0.0%'!$N178)</f>
        <v>2.1156747694886842</v>
      </c>
    </row>
    <row r="179" spans="1:25" x14ac:dyDescent="0.3">
      <c r="A179" s="17">
        <v>245.82</v>
      </c>
      <c r="B179" s="10">
        <v>238</v>
      </c>
      <c r="C179" s="9">
        <v>245.82</v>
      </c>
      <c r="D179" s="10">
        <v>252.1</v>
      </c>
      <c r="E179" s="11">
        <v>245.82</v>
      </c>
      <c r="F179" s="12">
        <v>302.89999999999998</v>
      </c>
      <c r="G179" s="11">
        <v>245.82</v>
      </c>
      <c r="H179" s="12">
        <v>327.60000000000002</v>
      </c>
      <c r="I179" s="11">
        <v>245.82</v>
      </c>
      <c r="J179" s="12">
        <v>468.1</v>
      </c>
      <c r="K179" s="11">
        <v>245.82</v>
      </c>
      <c r="L179" s="12">
        <v>502</v>
      </c>
      <c r="M179" s="11">
        <v>245.82</v>
      </c>
      <c r="N179" s="13">
        <v>238</v>
      </c>
      <c r="O179" s="13">
        <v>252.1</v>
      </c>
      <c r="P179" s="13">
        <v>302.89999999999998</v>
      </c>
      <c r="Q179" s="11">
        <v>327.60000000000002</v>
      </c>
      <c r="R179" s="11">
        <v>468.1</v>
      </c>
      <c r="S179" s="14">
        <v>502</v>
      </c>
      <c r="T179" s="11">
        <v>245.82</v>
      </c>
      <c r="U179" s="13">
        <f>IF('0.0%'!$N179&lt;$Z$3,0, '0.0%'!$O179/'0.0%'!$N179)</f>
        <v>1.0592436974789916</v>
      </c>
      <c r="V179" s="13">
        <f>IF('0.0%'!$N179&lt;$Z$3,0, '0.0%'!$P179/'0.0%'!$N179)</f>
        <v>1.272689075630252</v>
      </c>
      <c r="W179" s="13">
        <f>IF('0.0%'!$N179&lt;$Z$3,0, '0.0%'!$Q179/'0.0%'!$N179)</f>
        <v>1.3764705882352941</v>
      </c>
      <c r="X179" s="13">
        <f>IF('0.0%'!$N179&lt;$Z$3,0, '0.0%'!$R179/'0.0%'!$N179)</f>
        <v>1.9668067226890757</v>
      </c>
      <c r="Y179" s="13">
        <f>IF('0.0%'!$N179&lt;$Z$3,0, '0.0%'!$S179/'0.0%'!$N179)</f>
        <v>2.1092436974789917</v>
      </c>
    </row>
    <row r="180" spans="1:25" x14ac:dyDescent="0.3">
      <c r="A180" s="17">
        <v>246.82</v>
      </c>
      <c r="B180" s="10">
        <v>236.5</v>
      </c>
      <c r="C180" s="9">
        <v>246.82</v>
      </c>
      <c r="D180" s="10">
        <v>250.5</v>
      </c>
      <c r="E180" s="11">
        <v>246.82</v>
      </c>
      <c r="F180" s="12">
        <v>300.60000000000002</v>
      </c>
      <c r="G180" s="11">
        <v>246.82</v>
      </c>
      <c r="H180" s="12">
        <v>325.3</v>
      </c>
      <c r="I180" s="11">
        <v>246.82</v>
      </c>
      <c r="J180" s="12">
        <v>465.1</v>
      </c>
      <c r="K180" s="11">
        <v>246.82</v>
      </c>
      <c r="L180" s="12">
        <v>498.8</v>
      </c>
      <c r="M180" s="11">
        <v>246.82</v>
      </c>
      <c r="N180" s="13">
        <v>236.5</v>
      </c>
      <c r="O180" s="13">
        <v>250.5</v>
      </c>
      <c r="P180" s="13">
        <v>300.60000000000002</v>
      </c>
      <c r="Q180" s="11">
        <v>325.3</v>
      </c>
      <c r="R180" s="11">
        <v>465.1</v>
      </c>
      <c r="S180" s="14">
        <v>498.8</v>
      </c>
      <c r="T180" s="11">
        <v>246.82</v>
      </c>
      <c r="U180" s="13">
        <f>IF('0.0%'!$N180&lt;$Z$3,0, '0.0%'!$O180/'0.0%'!$N180)</f>
        <v>1.0591966173361522</v>
      </c>
      <c r="V180" s="13">
        <f>IF('0.0%'!$N180&lt;$Z$3,0, '0.0%'!$P180/'0.0%'!$N180)</f>
        <v>1.2710359408033827</v>
      </c>
      <c r="W180" s="13">
        <f>IF('0.0%'!$N180&lt;$Z$3,0, '0.0%'!$Q180/'0.0%'!$N180)</f>
        <v>1.375475687103594</v>
      </c>
      <c r="X180" s="13">
        <f>IF('0.0%'!$N180&lt;$Z$3,0, '0.0%'!$R180/'0.0%'!$N180)</f>
        <v>1.9665961945031714</v>
      </c>
      <c r="Y180" s="13">
        <f>IF('0.0%'!$N180&lt;$Z$3,0, '0.0%'!$S180/'0.0%'!$N180)</f>
        <v>2.1090909090909093</v>
      </c>
    </row>
    <row r="181" spans="1:25" x14ac:dyDescent="0.3">
      <c r="A181" s="17">
        <v>247.81</v>
      </c>
      <c r="B181" s="10">
        <v>236.4</v>
      </c>
      <c r="C181" s="9">
        <v>247.81</v>
      </c>
      <c r="D181" s="10">
        <v>250.3</v>
      </c>
      <c r="E181" s="11">
        <v>247.81</v>
      </c>
      <c r="F181" s="12">
        <v>299.7</v>
      </c>
      <c r="G181" s="11">
        <v>247.81</v>
      </c>
      <c r="H181" s="12">
        <v>324.39999999999998</v>
      </c>
      <c r="I181" s="11">
        <v>247.81</v>
      </c>
      <c r="J181" s="12">
        <v>463.5</v>
      </c>
      <c r="K181" s="11">
        <v>247.81</v>
      </c>
      <c r="L181" s="12">
        <v>497</v>
      </c>
      <c r="M181" s="11">
        <v>247.81</v>
      </c>
      <c r="N181" s="13">
        <v>236.4</v>
      </c>
      <c r="O181" s="13">
        <v>250.3</v>
      </c>
      <c r="P181" s="13">
        <v>299.7</v>
      </c>
      <c r="Q181" s="11">
        <v>324.39999999999998</v>
      </c>
      <c r="R181" s="11">
        <v>463.5</v>
      </c>
      <c r="S181" s="14">
        <v>497</v>
      </c>
      <c r="T181" s="11">
        <v>247.81</v>
      </c>
      <c r="U181" s="13">
        <f>IF('0.0%'!$N181&lt;$Z$3,0, '0.0%'!$O181/'0.0%'!$N181)</f>
        <v>1.0587986463620982</v>
      </c>
      <c r="V181" s="13">
        <f>IF('0.0%'!$N181&lt;$Z$3,0, '0.0%'!$P181/'0.0%'!$N181)</f>
        <v>1.2677664974619289</v>
      </c>
      <c r="W181" s="13">
        <f>IF('0.0%'!$N181&lt;$Z$3,0, '0.0%'!$Q181/'0.0%'!$N181)</f>
        <v>1.3722504230118442</v>
      </c>
      <c r="X181" s="13">
        <f>IF('0.0%'!$N181&lt;$Z$3,0, '0.0%'!$R181/'0.0%'!$N181)</f>
        <v>1.9606598984771573</v>
      </c>
      <c r="Y181" s="13">
        <f>IF('0.0%'!$N181&lt;$Z$3,0, '0.0%'!$S181/'0.0%'!$N181)</f>
        <v>2.1023688663282569</v>
      </c>
    </row>
    <row r="182" spans="1:25" x14ac:dyDescent="0.3">
      <c r="A182" s="17">
        <v>248.8</v>
      </c>
      <c r="B182" s="10">
        <v>235.2</v>
      </c>
      <c r="C182" s="9">
        <v>248.8</v>
      </c>
      <c r="D182" s="10">
        <v>249.1</v>
      </c>
      <c r="E182" s="11">
        <v>248.8</v>
      </c>
      <c r="F182" s="12">
        <v>297.7</v>
      </c>
      <c r="G182" s="11">
        <v>248.8</v>
      </c>
      <c r="H182" s="12">
        <v>322.60000000000002</v>
      </c>
      <c r="I182" s="11">
        <v>248.8</v>
      </c>
      <c r="J182" s="12">
        <v>461.2</v>
      </c>
      <c r="K182" s="11">
        <v>248.8</v>
      </c>
      <c r="L182" s="12">
        <v>494.5</v>
      </c>
      <c r="M182" s="11">
        <v>248.8</v>
      </c>
      <c r="N182" s="13">
        <v>235.2</v>
      </c>
      <c r="O182" s="13">
        <v>249.1</v>
      </c>
      <c r="P182" s="13">
        <v>297.7</v>
      </c>
      <c r="Q182" s="11">
        <v>322.60000000000002</v>
      </c>
      <c r="R182" s="11">
        <v>461.2</v>
      </c>
      <c r="S182" s="14">
        <v>494.5</v>
      </c>
      <c r="T182" s="11">
        <v>248.8</v>
      </c>
      <c r="U182" s="13">
        <f>IF('0.0%'!$N182&lt;$Z$3,0, '0.0%'!$O182/'0.0%'!$N182)</f>
        <v>1.0590986394557824</v>
      </c>
      <c r="V182" s="13">
        <f>IF('0.0%'!$N182&lt;$Z$3,0, '0.0%'!$P182/'0.0%'!$N182)</f>
        <v>1.2657312925170068</v>
      </c>
      <c r="W182" s="13">
        <f>IF('0.0%'!$N182&lt;$Z$3,0, '0.0%'!$Q182/'0.0%'!$N182)</f>
        <v>1.3715986394557824</v>
      </c>
      <c r="X182" s="13">
        <f>IF('0.0%'!$N182&lt;$Z$3,0, '0.0%'!$R182/'0.0%'!$N182)</f>
        <v>1.9608843537414966</v>
      </c>
      <c r="Y182" s="13">
        <f>IF('0.0%'!$N182&lt;$Z$3,0, '0.0%'!$S182/'0.0%'!$N182)</f>
        <v>2.1024659863945581</v>
      </c>
    </row>
    <row r="183" spans="1:25" x14ac:dyDescent="0.3">
      <c r="A183" s="17">
        <v>249.79</v>
      </c>
      <c r="B183" s="10">
        <v>235.2</v>
      </c>
      <c r="C183" s="9">
        <v>249.79</v>
      </c>
      <c r="D183" s="10">
        <v>249</v>
      </c>
      <c r="E183" s="11">
        <v>249.79</v>
      </c>
      <c r="F183" s="12">
        <v>296.89999999999998</v>
      </c>
      <c r="G183" s="11">
        <v>249.79</v>
      </c>
      <c r="H183" s="12">
        <v>321.89999999999998</v>
      </c>
      <c r="I183" s="11">
        <v>249.79</v>
      </c>
      <c r="J183" s="12">
        <v>460</v>
      </c>
      <c r="K183" s="11">
        <v>249.79</v>
      </c>
      <c r="L183" s="12">
        <v>493.1</v>
      </c>
      <c r="M183" s="11">
        <v>249.79</v>
      </c>
      <c r="N183" s="13">
        <v>235.2</v>
      </c>
      <c r="O183" s="13">
        <v>249</v>
      </c>
      <c r="P183" s="13">
        <v>296.89999999999998</v>
      </c>
      <c r="Q183" s="11">
        <v>321.89999999999998</v>
      </c>
      <c r="R183" s="11">
        <v>460</v>
      </c>
      <c r="S183" s="14">
        <v>493.1</v>
      </c>
      <c r="T183" s="11">
        <v>249.79</v>
      </c>
      <c r="U183" s="13">
        <f>IF('0.0%'!$N183&lt;$Z$3,0, '0.0%'!$O183/'0.0%'!$N183)</f>
        <v>1.0586734693877551</v>
      </c>
      <c r="V183" s="13">
        <f>IF('0.0%'!$N183&lt;$Z$3,0, '0.0%'!$P183/'0.0%'!$N183)</f>
        <v>1.262329931972789</v>
      </c>
      <c r="W183" s="13">
        <f>IF('0.0%'!$N183&lt;$Z$3,0, '0.0%'!$Q183/'0.0%'!$N183)</f>
        <v>1.3686224489795917</v>
      </c>
      <c r="X183" s="13">
        <f>IF('0.0%'!$N183&lt;$Z$3,0, '0.0%'!$R183/'0.0%'!$N183)</f>
        <v>1.9557823129251701</v>
      </c>
      <c r="Y183" s="13">
        <f>IF('0.0%'!$N183&lt;$Z$3,0, '0.0%'!$S183/'0.0%'!$N183)</f>
        <v>2.0965136054421771</v>
      </c>
    </row>
    <row r="184" spans="1:25" x14ac:dyDescent="0.3">
      <c r="A184" s="17">
        <v>250.78</v>
      </c>
      <c r="B184" s="10">
        <v>234.1</v>
      </c>
      <c r="C184" s="9">
        <v>250.78</v>
      </c>
      <c r="D184" s="10">
        <v>247.8</v>
      </c>
      <c r="E184" s="11">
        <v>250.78</v>
      </c>
      <c r="F184" s="12">
        <v>295.10000000000002</v>
      </c>
      <c r="G184" s="11">
        <v>250.78</v>
      </c>
      <c r="H184" s="12">
        <v>320.10000000000002</v>
      </c>
      <c r="I184" s="11">
        <v>250.78</v>
      </c>
      <c r="J184" s="12">
        <v>458.1</v>
      </c>
      <c r="K184" s="11">
        <v>250.78</v>
      </c>
      <c r="L184" s="12">
        <v>490.8</v>
      </c>
      <c r="M184" s="11">
        <v>250.78</v>
      </c>
      <c r="N184" s="13">
        <v>234.1</v>
      </c>
      <c r="O184" s="13">
        <v>247.8</v>
      </c>
      <c r="P184" s="13">
        <v>295.10000000000002</v>
      </c>
      <c r="Q184" s="11">
        <v>320.10000000000002</v>
      </c>
      <c r="R184" s="11">
        <v>458.1</v>
      </c>
      <c r="S184" s="14">
        <v>490.8</v>
      </c>
      <c r="T184" s="11">
        <v>250.78</v>
      </c>
      <c r="U184" s="13">
        <f>IF('0.0%'!$N184&lt;$Z$3,0, '0.0%'!$O184/'0.0%'!$N184)</f>
        <v>1.0585219991456642</v>
      </c>
      <c r="V184" s="13">
        <f>IF('0.0%'!$N184&lt;$Z$3,0, '0.0%'!$P184/'0.0%'!$N184)</f>
        <v>1.2605724049551474</v>
      </c>
      <c r="W184" s="13">
        <f>IF('0.0%'!$N184&lt;$Z$3,0, '0.0%'!$Q184/'0.0%'!$N184)</f>
        <v>1.3673643741990604</v>
      </c>
      <c r="X184" s="13">
        <f>IF('0.0%'!$N184&lt;$Z$3,0, '0.0%'!$R184/'0.0%'!$N184)</f>
        <v>1.9568560444254592</v>
      </c>
      <c r="Y184" s="13">
        <f>IF('0.0%'!$N184&lt;$Z$3,0, '0.0%'!$S184/'0.0%'!$N184)</f>
        <v>2.0965399401964975</v>
      </c>
    </row>
    <row r="185" spans="1:25" x14ac:dyDescent="0.3">
      <c r="A185" s="17">
        <v>251.77</v>
      </c>
      <c r="B185" s="10">
        <v>234</v>
      </c>
      <c r="C185" s="9">
        <v>251.77</v>
      </c>
      <c r="D185" s="10">
        <v>247.6</v>
      </c>
      <c r="E185" s="11">
        <v>251.77</v>
      </c>
      <c r="F185" s="12">
        <v>294.39999999999998</v>
      </c>
      <c r="G185" s="11">
        <v>251.77</v>
      </c>
      <c r="H185" s="12">
        <v>319.5</v>
      </c>
      <c r="I185" s="11">
        <v>251.77</v>
      </c>
      <c r="J185" s="12">
        <v>457.2</v>
      </c>
      <c r="K185" s="11">
        <v>251.77</v>
      </c>
      <c r="L185" s="12">
        <v>489.4</v>
      </c>
      <c r="M185" s="11">
        <v>251.77</v>
      </c>
      <c r="N185" s="13">
        <v>234</v>
      </c>
      <c r="O185" s="13">
        <v>247.6</v>
      </c>
      <c r="P185" s="13">
        <v>294.39999999999998</v>
      </c>
      <c r="Q185" s="11">
        <v>319.5</v>
      </c>
      <c r="R185" s="11">
        <v>457.2</v>
      </c>
      <c r="S185" s="14">
        <v>489.4</v>
      </c>
      <c r="T185" s="11">
        <v>251.77</v>
      </c>
      <c r="U185" s="13">
        <f>IF('0.0%'!$N185&lt;$Z$3,0, '0.0%'!$O185/'0.0%'!$N185)</f>
        <v>1.0581196581196581</v>
      </c>
      <c r="V185" s="13">
        <f>IF('0.0%'!$N185&lt;$Z$3,0, '0.0%'!$P185/'0.0%'!$N185)</f>
        <v>1.2581196581196581</v>
      </c>
      <c r="W185" s="13">
        <f>IF('0.0%'!$N185&lt;$Z$3,0, '0.0%'!$Q185/'0.0%'!$N185)</f>
        <v>1.3653846153846154</v>
      </c>
      <c r="X185" s="13">
        <f>IF('0.0%'!$N185&lt;$Z$3,0, '0.0%'!$R185/'0.0%'!$N185)</f>
        <v>1.9538461538461538</v>
      </c>
      <c r="Y185" s="13">
        <f>IF('0.0%'!$N185&lt;$Z$3,0, '0.0%'!$S185/'0.0%'!$N185)</f>
        <v>2.0914529914529916</v>
      </c>
    </row>
    <row r="186" spans="1:25" x14ac:dyDescent="0.3">
      <c r="A186" s="17">
        <v>252.77</v>
      </c>
      <c r="B186" s="10">
        <v>232.9</v>
      </c>
      <c r="C186" s="9">
        <v>252.77</v>
      </c>
      <c r="D186" s="10">
        <v>246.4</v>
      </c>
      <c r="E186" s="11">
        <v>252.77</v>
      </c>
      <c r="F186" s="12">
        <v>292.60000000000002</v>
      </c>
      <c r="G186" s="11">
        <v>252.77</v>
      </c>
      <c r="H186" s="12">
        <v>317.8</v>
      </c>
      <c r="I186" s="11">
        <v>252.77</v>
      </c>
      <c r="J186" s="12">
        <v>455.3</v>
      </c>
      <c r="K186" s="11">
        <v>252.77</v>
      </c>
      <c r="L186" s="12">
        <v>487.1</v>
      </c>
      <c r="M186" s="11">
        <v>252.77</v>
      </c>
      <c r="N186" s="13">
        <v>232.9</v>
      </c>
      <c r="O186" s="13">
        <v>246.4</v>
      </c>
      <c r="P186" s="13">
        <v>292.60000000000002</v>
      </c>
      <c r="Q186" s="11">
        <v>317.8</v>
      </c>
      <c r="R186" s="11">
        <v>455.3</v>
      </c>
      <c r="S186" s="14">
        <v>487.1</v>
      </c>
      <c r="T186" s="11">
        <v>252.77</v>
      </c>
      <c r="U186" s="13">
        <f>IF('0.0%'!$N186&lt;$Z$3,0, '0.0%'!$O186/'0.0%'!$N186)</f>
        <v>1.0579647917561186</v>
      </c>
      <c r="V186" s="13">
        <f>IF('0.0%'!$N186&lt;$Z$3,0, '0.0%'!$P186/'0.0%'!$N186)</f>
        <v>1.2563331902103907</v>
      </c>
      <c r="W186" s="13">
        <f>IF('0.0%'!$N186&lt;$Z$3,0, '0.0%'!$Q186/'0.0%'!$N186)</f>
        <v>1.3645341348218119</v>
      </c>
      <c r="X186" s="13">
        <f>IF('0.0%'!$N186&lt;$Z$3,0, '0.0%'!$R186/'0.0%'!$N186)</f>
        <v>1.9549162730785745</v>
      </c>
      <c r="Y186" s="13">
        <f>IF('0.0%'!$N186&lt;$Z$3,0, '0.0%'!$S186/'0.0%'!$N186)</f>
        <v>2.0914555603263203</v>
      </c>
    </row>
    <row r="187" spans="1:25" x14ac:dyDescent="0.3">
      <c r="A187" s="17">
        <v>253.76</v>
      </c>
      <c r="B187" s="10">
        <v>232.8</v>
      </c>
      <c r="C187" s="9">
        <v>253.76</v>
      </c>
      <c r="D187" s="10">
        <v>246.2</v>
      </c>
      <c r="E187" s="11">
        <v>253.76</v>
      </c>
      <c r="F187" s="12">
        <v>292</v>
      </c>
      <c r="G187" s="11">
        <v>253.76</v>
      </c>
      <c r="H187" s="12">
        <v>317</v>
      </c>
      <c r="I187" s="11">
        <v>253.76</v>
      </c>
      <c r="J187" s="12">
        <v>454.6</v>
      </c>
      <c r="K187" s="11">
        <v>253.76</v>
      </c>
      <c r="L187" s="12">
        <v>485.7</v>
      </c>
      <c r="M187" s="11">
        <v>253.76</v>
      </c>
      <c r="N187" s="13">
        <v>232.8</v>
      </c>
      <c r="O187" s="13">
        <v>246.2</v>
      </c>
      <c r="P187" s="13">
        <v>292</v>
      </c>
      <c r="Q187" s="11">
        <v>317</v>
      </c>
      <c r="R187" s="11">
        <v>454.6</v>
      </c>
      <c r="S187" s="14">
        <v>485.7</v>
      </c>
      <c r="T187" s="11">
        <v>253.76</v>
      </c>
      <c r="U187" s="13">
        <f>IF('0.0%'!$N187&lt;$Z$3,0, '0.0%'!$O187/'0.0%'!$N187)</f>
        <v>1.0575601374570445</v>
      </c>
      <c r="V187" s="13">
        <f>IF('0.0%'!$N187&lt;$Z$3,0, '0.0%'!$P187/'0.0%'!$N187)</f>
        <v>1.2542955326460481</v>
      </c>
      <c r="W187" s="13">
        <f>IF('0.0%'!$N187&lt;$Z$3,0, '0.0%'!$Q187/'0.0%'!$N187)</f>
        <v>1.3616838487972507</v>
      </c>
      <c r="X187" s="13">
        <f>IF('0.0%'!$N187&lt;$Z$3,0, '0.0%'!$R187/'0.0%'!$N187)</f>
        <v>1.9527491408934707</v>
      </c>
      <c r="Y187" s="13">
        <f>IF('0.0%'!$N187&lt;$Z$3,0, '0.0%'!$S187/'0.0%'!$N187)</f>
        <v>2.0863402061855667</v>
      </c>
    </row>
    <row r="188" spans="1:25" x14ac:dyDescent="0.3">
      <c r="A188" s="17">
        <v>254.75</v>
      </c>
      <c r="B188" s="10">
        <v>231.8</v>
      </c>
      <c r="C188" s="9">
        <v>254.75</v>
      </c>
      <c r="D188" s="10">
        <v>245.1</v>
      </c>
      <c r="E188" s="11">
        <v>254.75</v>
      </c>
      <c r="F188" s="12">
        <v>290.3</v>
      </c>
      <c r="G188" s="11">
        <v>254.75</v>
      </c>
      <c r="H188" s="12">
        <v>315.5</v>
      </c>
      <c r="I188" s="11">
        <v>254.75</v>
      </c>
      <c r="J188" s="12">
        <v>453.1</v>
      </c>
      <c r="K188" s="11">
        <v>254.75</v>
      </c>
      <c r="L188" s="12">
        <v>483.5</v>
      </c>
      <c r="M188" s="11">
        <v>254.75</v>
      </c>
      <c r="N188" s="13">
        <v>231.8</v>
      </c>
      <c r="O188" s="13">
        <v>245.1</v>
      </c>
      <c r="P188" s="13">
        <v>290.3</v>
      </c>
      <c r="Q188" s="11">
        <v>315.5</v>
      </c>
      <c r="R188" s="11">
        <v>453.1</v>
      </c>
      <c r="S188" s="14">
        <v>483.5</v>
      </c>
      <c r="T188" s="11">
        <v>254.75</v>
      </c>
      <c r="U188" s="13">
        <f>IF('0.0%'!$N188&lt;$Z$3,0, '0.0%'!$O188/'0.0%'!$N188)</f>
        <v>1.0573770491803278</v>
      </c>
      <c r="V188" s="13">
        <f>IF('0.0%'!$N188&lt;$Z$3,0, '0.0%'!$P188/'0.0%'!$N188)</f>
        <v>1.2523727351164797</v>
      </c>
      <c r="W188" s="13">
        <f>IF('0.0%'!$N188&lt;$Z$3,0, '0.0%'!$Q188/'0.0%'!$N188)</f>
        <v>1.3610871440897325</v>
      </c>
      <c r="X188" s="13">
        <f>IF('0.0%'!$N188&lt;$Z$3,0, '0.0%'!$R188/'0.0%'!$N188)</f>
        <v>1.9547023295944781</v>
      </c>
      <c r="Y188" s="13">
        <f>IF('0.0%'!$N188&lt;$Z$3,0, '0.0%'!$S188/'0.0%'!$N188)</f>
        <v>2.0858498705780844</v>
      </c>
    </row>
    <row r="189" spans="1:25" x14ac:dyDescent="0.3">
      <c r="A189" s="17">
        <v>255.74</v>
      </c>
      <c r="B189" s="10">
        <v>231.8</v>
      </c>
      <c r="C189" s="9">
        <v>255.74</v>
      </c>
      <c r="D189" s="10">
        <v>245.1</v>
      </c>
      <c r="E189" s="11">
        <v>255.74</v>
      </c>
      <c r="F189" s="12">
        <v>289.60000000000002</v>
      </c>
      <c r="G189" s="11">
        <v>255.74</v>
      </c>
      <c r="H189" s="12">
        <v>315</v>
      </c>
      <c r="I189" s="11">
        <v>255.74</v>
      </c>
      <c r="J189" s="12">
        <v>452.6</v>
      </c>
      <c r="K189" s="11">
        <v>255.74</v>
      </c>
      <c r="L189" s="12">
        <v>482.4</v>
      </c>
      <c r="M189" s="11">
        <v>255.74</v>
      </c>
      <c r="N189" s="13">
        <v>231.8</v>
      </c>
      <c r="O189" s="13">
        <v>245.1</v>
      </c>
      <c r="P189" s="13">
        <v>289.60000000000002</v>
      </c>
      <c r="Q189" s="11">
        <v>315</v>
      </c>
      <c r="R189" s="11">
        <v>452.6</v>
      </c>
      <c r="S189" s="14">
        <v>482.4</v>
      </c>
      <c r="T189" s="11">
        <v>255.74</v>
      </c>
      <c r="U189" s="13">
        <f>IF('0.0%'!$N189&lt;$Z$3,0, '0.0%'!$O189/'0.0%'!$N189)</f>
        <v>1.0573770491803278</v>
      </c>
      <c r="V189" s="13">
        <f>IF('0.0%'!$N189&lt;$Z$3,0, '0.0%'!$P189/'0.0%'!$N189)</f>
        <v>1.2493528904227782</v>
      </c>
      <c r="W189" s="13">
        <f>IF('0.0%'!$N189&lt;$Z$3,0, '0.0%'!$Q189/'0.0%'!$N189)</f>
        <v>1.3589301121656601</v>
      </c>
      <c r="X189" s="13">
        <f>IF('0.0%'!$N189&lt;$Z$3,0, '0.0%'!$R189/'0.0%'!$N189)</f>
        <v>1.9525452976704056</v>
      </c>
      <c r="Y189" s="13">
        <f>IF('0.0%'!$N189&lt;$Z$3,0, '0.0%'!$S189/'0.0%'!$N189)</f>
        <v>2.0811044003451249</v>
      </c>
    </row>
    <row r="190" spans="1:25" x14ac:dyDescent="0.3">
      <c r="A190" s="17">
        <v>256.73</v>
      </c>
      <c r="B190" s="10">
        <v>231</v>
      </c>
      <c r="C190" s="9">
        <v>256.73</v>
      </c>
      <c r="D190" s="10">
        <v>244.2</v>
      </c>
      <c r="E190" s="11">
        <v>256.73</v>
      </c>
      <c r="F190" s="12">
        <v>288</v>
      </c>
      <c r="G190" s="11">
        <v>256.73</v>
      </c>
      <c r="H190" s="12">
        <v>313.60000000000002</v>
      </c>
      <c r="I190" s="11">
        <v>256.73</v>
      </c>
      <c r="J190" s="12">
        <v>451.2</v>
      </c>
      <c r="K190" s="11">
        <v>256.73</v>
      </c>
      <c r="L190" s="12">
        <v>480.1</v>
      </c>
      <c r="M190" s="11">
        <v>256.73</v>
      </c>
      <c r="N190" s="13">
        <v>231</v>
      </c>
      <c r="O190" s="13">
        <v>244.2</v>
      </c>
      <c r="P190" s="13">
        <v>288</v>
      </c>
      <c r="Q190" s="11">
        <v>313.60000000000002</v>
      </c>
      <c r="R190" s="11">
        <v>451.2</v>
      </c>
      <c r="S190" s="14">
        <v>480.1</v>
      </c>
      <c r="T190" s="11">
        <v>256.73</v>
      </c>
      <c r="U190" s="13">
        <f>IF('0.0%'!$N190&lt;$Z$3,0, '0.0%'!$O190/'0.0%'!$N190)</f>
        <v>1.0571428571428572</v>
      </c>
      <c r="V190" s="13">
        <f>IF('0.0%'!$N190&lt;$Z$3,0, '0.0%'!$P190/'0.0%'!$N190)</f>
        <v>1.2467532467532467</v>
      </c>
      <c r="W190" s="13">
        <f>IF('0.0%'!$N190&lt;$Z$3,0, '0.0%'!$Q190/'0.0%'!$N190)</f>
        <v>1.3575757575757577</v>
      </c>
      <c r="X190" s="13">
        <f>IF('0.0%'!$N190&lt;$Z$3,0, '0.0%'!$R190/'0.0%'!$N190)</f>
        <v>1.9532467532467532</v>
      </c>
      <c r="Y190" s="13">
        <f>IF('0.0%'!$N190&lt;$Z$3,0, '0.0%'!$S190/'0.0%'!$N190)</f>
        <v>2.0783549783549784</v>
      </c>
    </row>
    <row r="191" spans="1:25" x14ac:dyDescent="0.3">
      <c r="A191" s="17">
        <v>257.72000000000003</v>
      </c>
      <c r="B191" s="10">
        <v>229.7</v>
      </c>
      <c r="C191" s="9">
        <v>257.72000000000003</v>
      </c>
      <c r="D191" s="10">
        <v>242.8</v>
      </c>
      <c r="E191" s="11">
        <v>257.72000000000003</v>
      </c>
      <c r="F191" s="12">
        <v>286</v>
      </c>
      <c r="G191" s="11">
        <v>257.72000000000003</v>
      </c>
      <c r="H191" s="12">
        <v>311.7</v>
      </c>
      <c r="I191" s="11">
        <v>257.72000000000003</v>
      </c>
      <c r="J191" s="12">
        <v>449.5</v>
      </c>
      <c r="K191" s="11">
        <v>257.72000000000003</v>
      </c>
      <c r="L191" s="12">
        <v>477.6</v>
      </c>
      <c r="M191" s="11">
        <v>257.72000000000003</v>
      </c>
      <c r="N191" s="13">
        <v>229.7</v>
      </c>
      <c r="O191" s="13">
        <v>242.8</v>
      </c>
      <c r="P191" s="13">
        <v>286</v>
      </c>
      <c r="Q191" s="11">
        <v>311.7</v>
      </c>
      <c r="R191" s="11">
        <v>449.5</v>
      </c>
      <c r="S191" s="14">
        <v>477.6</v>
      </c>
      <c r="T191" s="11">
        <v>257.72000000000003</v>
      </c>
      <c r="U191" s="13">
        <f>IF('0.0%'!$N191&lt;$Z$3,0, '0.0%'!$O191/'0.0%'!$N191)</f>
        <v>1.0570309098824555</v>
      </c>
      <c r="V191" s="13">
        <f>IF('0.0%'!$N191&lt;$Z$3,0, '0.0%'!$P191/'0.0%'!$N191)</f>
        <v>1.2451023073574228</v>
      </c>
      <c r="W191" s="13">
        <f>IF('0.0%'!$N191&lt;$Z$3,0, '0.0%'!$Q191/'0.0%'!$N191)</f>
        <v>1.3569873748367436</v>
      </c>
      <c r="X191" s="13">
        <f>IF('0.0%'!$N191&lt;$Z$3,0, '0.0%'!$R191/'0.0%'!$N191)</f>
        <v>1.9569003047453202</v>
      </c>
      <c r="Y191" s="13">
        <f>IF('0.0%'!$N191&lt;$Z$3,0, '0.0%'!$S191/'0.0%'!$N191)</f>
        <v>2.0792337831954724</v>
      </c>
    </row>
    <row r="192" spans="1:25" x14ac:dyDescent="0.3">
      <c r="A192" s="17">
        <v>258.72000000000003</v>
      </c>
      <c r="B192" s="10">
        <v>229.5</v>
      </c>
      <c r="C192" s="9">
        <v>258.72000000000003</v>
      </c>
      <c r="D192" s="10">
        <v>242.5</v>
      </c>
      <c r="E192" s="11">
        <v>258.72000000000003</v>
      </c>
      <c r="F192" s="12">
        <v>285</v>
      </c>
      <c r="G192" s="11">
        <v>258.72000000000003</v>
      </c>
      <c r="H192" s="12">
        <v>311</v>
      </c>
      <c r="I192" s="11">
        <v>258.72000000000003</v>
      </c>
      <c r="J192" s="12">
        <v>448.9</v>
      </c>
      <c r="K192" s="11">
        <v>258.72000000000003</v>
      </c>
      <c r="L192" s="12">
        <v>476.3</v>
      </c>
      <c r="M192" s="11">
        <v>258.72000000000003</v>
      </c>
      <c r="N192" s="13">
        <v>229.5</v>
      </c>
      <c r="O192" s="13">
        <v>242.5</v>
      </c>
      <c r="P192" s="13">
        <v>285</v>
      </c>
      <c r="Q192" s="11">
        <v>311</v>
      </c>
      <c r="R192" s="11">
        <v>448.9</v>
      </c>
      <c r="S192" s="14">
        <v>476.3</v>
      </c>
      <c r="T192" s="11">
        <v>258.72000000000003</v>
      </c>
      <c r="U192" s="13">
        <f>IF('0.0%'!$N192&lt;$Z$3,0, '0.0%'!$O192/'0.0%'!$N192)</f>
        <v>1.056644880174292</v>
      </c>
      <c r="V192" s="13">
        <f>IF('0.0%'!$N192&lt;$Z$3,0, '0.0%'!$P192/'0.0%'!$N192)</f>
        <v>1.2418300653594772</v>
      </c>
      <c r="W192" s="13">
        <f>IF('0.0%'!$N192&lt;$Z$3,0, '0.0%'!$Q192/'0.0%'!$N192)</f>
        <v>1.355119825708061</v>
      </c>
      <c r="X192" s="13">
        <f>IF('0.0%'!$N192&lt;$Z$3,0, '0.0%'!$R192/'0.0%'!$N192)</f>
        <v>1.9559912854030501</v>
      </c>
      <c r="Y192" s="13">
        <f>IF('0.0%'!$N192&lt;$Z$3,0, '0.0%'!$S192/'0.0%'!$N192)</f>
        <v>2.0753812636165576</v>
      </c>
    </row>
    <row r="193" spans="1:25" x14ac:dyDescent="0.3">
      <c r="A193" s="17">
        <v>259.70999999999998</v>
      </c>
      <c r="B193" s="10">
        <v>228.1</v>
      </c>
      <c r="C193" s="9">
        <v>259.70999999999998</v>
      </c>
      <c r="D193" s="10">
        <v>241.2</v>
      </c>
      <c r="E193" s="11">
        <v>259.70999999999998</v>
      </c>
      <c r="F193" s="12">
        <v>282.89999999999998</v>
      </c>
      <c r="G193" s="11">
        <v>259.70999999999998</v>
      </c>
      <c r="H193" s="12">
        <v>309.2</v>
      </c>
      <c r="I193" s="11">
        <v>259.70999999999998</v>
      </c>
      <c r="J193" s="12">
        <v>447.4</v>
      </c>
      <c r="K193" s="11">
        <v>259.70999999999998</v>
      </c>
      <c r="L193" s="12">
        <v>474.1</v>
      </c>
      <c r="M193" s="11">
        <v>259.70999999999998</v>
      </c>
      <c r="N193" s="13">
        <v>228.1</v>
      </c>
      <c r="O193" s="13">
        <v>241.2</v>
      </c>
      <c r="P193" s="13">
        <v>282.89999999999998</v>
      </c>
      <c r="Q193" s="11">
        <v>309.2</v>
      </c>
      <c r="R193" s="11">
        <v>447.4</v>
      </c>
      <c r="S193" s="14">
        <v>474.1</v>
      </c>
      <c r="T193" s="11">
        <v>259.70999999999998</v>
      </c>
      <c r="U193" s="13">
        <f>IF('0.0%'!$N193&lt;$Z$3,0, '0.0%'!$O193/'0.0%'!$N193)</f>
        <v>1.0574309513371327</v>
      </c>
      <c r="V193" s="13">
        <f>IF('0.0%'!$N193&lt;$Z$3,0, '0.0%'!$P193/'0.0%'!$N193)</f>
        <v>1.2402455063568609</v>
      </c>
      <c r="W193" s="13">
        <f>IF('0.0%'!$N193&lt;$Z$3,0, '0.0%'!$Q193/'0.0%'!$N193)</f>
        <v>1.3555458132398071</v>
      </c>
      <c r="X193" s="13">
        <f>IF('0.0%'!$N193&lt;$Z$3,0, '0.0%'!$R193/'0.0%'!$N193)</f>
        <v>1.9614204296361244</v>
      </c>
      <c r="Y193" s="13">
        <f>IF('0.0%'!$N193&lt;$Z$3,0, '0.0%'!$S193/'0.0%'!$N193)</f>
        <v>2.0784743533537924</v>
      </c>
    </row>
    <row r="194" spans="1:25" x14ac:dyDescent="0.3">
      <c r="A194" s="17">
        <v>260.7</v>
      </c>
      <c r="B194" s="10">
        <v>227.8</v>
      </c>
      <c r="C194" s="9">
        <v>260.7</v>
      </c>
      <c r="D194" s="10">
        <v>240.9</v>
      </c>
      <c r="E194" s="11">
        <v>260.7</v>
      </c>
      <c r="F194" s="12">
        <v>281.89999999999998</v>
      </c>
      <c r="G194" s="11">
        <v>260.7</v>
      </c>
      <c r="H194" s="12">
        <v>308.5</v>
      </c>
      <c r="I194" s="11">
        <v>260.7</v>
      </c>
      <c r="J194" s="12">
        <v>446.9</v>
      </c>
      <c r="K194" s="11">
        <v>260.7</v>
      </c>
      <c r="L194" s="12">
        <v>472.9</v>
      </c>
      <c r="M194" s="11">
        <v>260.7</v>
      </c>
      <c r="N194" s="13">
        <v>227.8</v>
      </c>
      <c r="O194" s="13">
        <v>240.9</v>
      </c>
      <c r="P194" s="13">
        <v>281.89999999999998</v>
      </c>
      <c r="Q194" s="11">
        <v>308.5</v>
      </c>
      <c r="R194" s="11">
        <v>446.9</v>
      </c>
      <c r="S194" s="14">
        <v>472.9</v>
      </c>
      <c r="T194" s="11">
        <v>260.7</v>
      </c>
      <c r="U194" s="13">
        <f>IF('0.0%'!$N194&lt;$Z$3,0, '0.0%'!$O194/'0.0%'!$N194)</f>
        <v>1.0575065847234415</v>
      </c>
      <c r="V194" s="13">
        <f>IF('0.0%'!$N194&lt;$Z$3,0, '0.0%'!$P194/'0.0%'!$N194)</f>
        <v>1.2374890254609305</v>
      </c>
      <c r="W194" s="13">
        <f>IF('0.0%'!$N194&lt;$Z$3,0, '0.0%'!$Q194/'0.0%'!$N194)</f>
        <v>1.3542581211589113</v>
      </c>
      <c r="X194" s="13">
        <f>IF('0.0%'!$N194&lt;$Z$3,0, '0.0%'!$R194/'0.0%'!$N194)</f>
        <v>1.9618086040386302</v>
      </c>
      <c r="Y194" s="13">
        <f>IF('0.0%'!$N194&lt;$Z$3,0, '0.0%'!$S194/'0.0%'!$N194)</f>
        <v>2.0759438103599646</v>
      </c>
    </row>
    <row r="195" spans="1:25" x14ac:dyDescent="0.3">
      <c r="A195" s="17">
        <v>261.69</v>
      </c>
      <c r="B195" s="10">
        <v>226.4</v>
      </c>
      <c r="C195" s="9">
        <v>261.69</v>
      </c>
      <c r="D195" s="10">
        <v>239.5</v>
      </c>
      <c r="E195" s="11">
        <v>261.69</v>
      </c>
      <c r="F195" s="12">
        <v>279.89999999999998</v>
      </c>
      <c r="G195" s="11">
        <v>261.69</v>
      </c>
      <c r="H195" s="12">
        <v>306.8</v>
      </c>
      <c r="I195" s="11">
        <v>261.69</v>
      </c>
      <c r="J195" s="12">
        <v>445.5</v>
      </c>
      <c r="K195" s="11">
        <v>261.69</v>
      </c>
      <c r="L195" s="12">
        <v>470.9</v>
      </c>
      <c r="M195" s="11">
        <v>261.69</v>
      </c>
      <c r="N195" s="13">
        <v>226.4</v>
      </c>
      <c r="O195" s="13">
        <v>239.5</v>
      </c>
      <c r="P195" s="13">
        <v>279.89999999999998</v>
      </c>
      <c r="Q195" s="11">
        <v>306.8</v>
      </c>
      <c r="R195" s="11">
        <v>445.5</v>
      </c>
      <c r="S195" s="14">
        <v>470.9</v>
      </c>
      <c r="T195" s="11">
        <v>261.69</v>
      </c>
      <c r="U195" s="13">
        <f>IF('0.0%'!$N195&lt;$Z$3,0, '0.0%'!$O195/'0.0%'!$N195)</f>
        <v>1.0578621908127208</v>
      </c>
      <c r="V195" s="13">
        <f>IF('0.0%'!$N195&lt;$Z$3,0, '0.0%'!$P195/'0.0%'!$N195)</f>
        <v>1.2363074204946995</v>
      </c>
      <c r="W195" s="13">
        <f>IF('0.0%'!$N195&lt;$Z$3,0, '0.0%'!$Q195/'0.0%'!$N195)</f>
        <v>1.3551236749116609</v>
      </c>
      <c r="X195" s="13">
        <f>IF('0.0%'!$N195&lt;$Z$3,0, '0.0%'!$R195/'0.0%'!$N195)</f>
        <v>1.967756183745583</v>
      </c>
      <c r="Y195" s="13">
        <f>IF('0.0%'!$N195&lt;$Z$3,0, '0.0%'!$S195/'0.0%'!$N195)</f>
        <v>2.0799469964664308</v>
      </c>
    </row>
    <row r="196" spans="1:25" x14ac:dyDescent="0.3">
      <c r="A196" s="17">
        <v>262.68</v>
      </c>
      <c r="B196" s="10">
        <v>226.1</v>
      </c>
      <c r="C196" s="9">
        <v>262.68</v>
      </c>
      <c r="D196" s="10">
        <v>239.2</v>
      </c>
      <c r="E196" s="11">
        <v>262.68</v>
      </c>
      <c r="F196" s="12">
        <v>278.89999999999998</v>
      </c>
      <c r="G196" s="11">
        <v>262.68</v>
      </c>
      <c r="H196" s="12">
        <v>306.10000000000002</v>
      </c>
      <c r="I196" s="11">
        <v>262.68</v>
      </c>
      <c r="J196" s="12">
        <v>445.2</v>
      </c>
      <c r="K196" s="11">
        <v>262.68</v>
      </c>
      <c r="L196" s="12">
        <v>469.7</v>
      </c>
      <c r="M196" s="11">
        <v>262.68</v>
      </c>
      <c r="N196" s="13">
        <v>226.1</v>
      </c>
      <c r="O196" s="13">
        <v>239.2</v>
      </c>
      <c r="P196" s="13">
        <v>278.89999999999998</v>
      </c>
      <c r="Q196" s="11">
        <v>306.10000000000002</v>
      </c>
      <c r="R196" s="11">
        <v>445.2</v>
      </c>
      <c r="S196" s="14">
        <v>469.7</v>
      </c>
      <c r="T196" s="11">
        <v>262.68</v>
      </c>
      <c r="U196" s="13">
        <f>IF('0.0%'!$N196&lt;$Z$3,0, '0.0%'!$O196/'0.0%'!$N196)</f>
        <v>1.057938965059708</v>
      </c>
      <c r="V196" s="13">
        <f>IF('0.0%'!$N196&lt;$Z$3,0, '0.0%'!$P196/'0.0%'!$N196)</f>
        <v>1.2335249889429456</v>
      </c>
      <c r="W196" s="13">
        <f>IF('0.0%'!$N196&lt;$Z$3,0, '0.0%'!$Q196/'0.0%'!$N196)</f>
        <v>1.3538257408226451</v>
      </c>
      <c r="X196" s="13">
        <f>IF('0.0%'!$N196&lt;$Z$3,0, '0.0%'!$R196/'0.0%'!$N196)</f>
        <v>1.9690402476780187</v>
      </c>
      <c r="Y196" s="13">
        <f>IF('0.0%'!$N196&lt;$Z$3,0, '0.0%'!$S196/'0.0%'!$N196)</f>
        <v>2.0773993808049536</v>
      </c>
    </row>
    <row r="197" spans="1:25" x14ac:dyDescent="0.3">
      <c r="A197" s="17">
        <v>263.68</v>
      </c>
      <c r="B197" s="10">
        <v>224.8</v>
      </c>
      <c r="C197" s="9">
        <v>263.68</v>
      </c>
      <c r="D197" s="10">
        <v>237.9</v>
      </c>
      <c r="E197" s="11">
        <v>263.68</v>
      </c>
      <c r="F197" s="12">
        <v>277</v>
      </c>
      <c r="G197" s="11">
        <v>263.68</v>
      </c>
      <c r="H197" s="12">
        <v>304.5</v>
      </c>
      <c r="I197" s="11">
        <v>263.68</v>
      </c>
      <c r="J197" s="12">
        <v>443.9</v>
      </c>
      <c r="K197" s="11">
        <v>263.68</v>
      </c>
      <c r="L197" s="12">
        <v>467.6</v>
      </c>
      <c r="M197" s="11">
        <v>263.68</v>
      </c>
      <c r="N197" s="13">
        <v>224.8</v>
      </c>
      <c r="O197" s="13">
        <v>237.9</v>
      </c>
      <c r="P197" s="13">
        <v>277</v>
      </c>
      <c r="Q197" s="11">
        <v>304.5</v>
      </c>
      <c r="R197" s="11">
        <v>443.9</v>
      </c>
      <c r="S197" s="14">
        <v>467.6</v>
      </c>
      <c r="T197" s="11">
        <v>263.68</v>
      </c>
      <c r="U197" s="13">
        <f>IF('0.0%'!$N197&lt;$Z$3,0, '0.0%'!$O197/'0.0%'!$N197)</f>
        <v>1.0582740213523132</v>
      </c>
      <c r="V197" s="13">
        <f>IF('0.0%'!$N197&lt;$Z$3,0, '0.0%'!$P197/'0.0%'!$N197)</f>
        <v>1.2322064056939501</v>
      </c>
      <c r="W197" s="13">
        <f>IF('0.0%'!$N197&lt;$Z$3,0, '0.0%'!$Q197/'0.0%'!$N197)</f>
        <v>1.3545373665480427</v>
      </c>
      <c r="X197" s="13">
        <f>IF('0.0%'!$N197&lt;$Z$3,0, '0.0%'!$R197/'0.0%'!$N197)</f>
        <v>1.9746441281138789</v>
      </c>
      <c r="Y197" s="13">
        <f>IF('0.0%'!$N197&lt;$Z$3,0, '0.0%'!$S197/'0.0%'!$N197)</f>
        <v>2.080071174377224</v>
      </c>
    </row>
    <row r="198" spans="1:25" x14ac:dyDescent="0.3">
      <c r="A198" s="17">
        <v>264.67</v>
      </c>
      <c r="B198" s="10">
        <v>224.6</v>
      </c>
      <c r="C198" s="9">
        <v>264.67</v>
      </c>
      <c r="D198" s="10">
        <v>237.7</v>
      </c>
      <c r="E198" s="11">
        <v>264.67</v>
      </c>
      <c r="F198" s="12">
        <v>276.10000000000002</v>
      </c>
      <c r="G198" s="11">
        <v>264.67</v>
      </c>
      <c r="H198" s="12">
        <v>304</v>
      </c>
      <c r="I198" s="11">
        <v>264.67</v>
      </c>
      <c r="J198" s="12">
        <v>443.7</v>
      </c>
      <c r="K198" s="11">
        <v>264.67</v>
      </c>
      <c r="L198" s="12">
        <v>466.6</v>
      </c>
      <c r="M198" s="11">
        <v>264.67</v>
      </c>
      <c r="N198" s="13">
        <v>224.6</v>
      </c>
      <c r="O198" s="13">
        <v>237.7</v>
      </c>
      <c r="P198" s="13">
        <v>276.10000000000002</v>
      </c>
      <c r="Q198" s="11">
        <v>304</v>
      </c>
      <c r="R198" s="11">
        <v>443.7</v>
      </c>
      <c r="S198" s="14">
        <v>466.6</v>
      </c>
      <c r="T198" s="11">
        <v>264.67</v>
      </c>
      <c r="U198" s="13">
        <f>IF('0.0%'!$N198&lt;$Z$3,0, '0.0%'!$O198/'0.0%'!$N198)</f>
        <v>1.0583259127337488</v>
      </c>
      <c r="V198" s="13">
        <f>IF('0.0%'!$N198&lt;$Z$3,0, '0.0%'!$P198/'0.0%'!$N198)</f>
        <v>1.2292965271593945</v>
      </c>
      <c r="W198" s="13">
        <f>IF('0.0%'!$N198&lt;$Z$3,0, '0.0%'!$Q198/'0.0%'!$N198)</f>
        <v>1.3535173642030276</v>
      </c>
      <c r="X198" s="13">
        <f>IF('0.0%'!$N198&lt;$Z$3,0, '0.0%'!$R198/'0.0%'!$N198)</f>
        <v>1.9755120213713269</v>
      </c>
      <c r="Y198" s="13">
        <f>IF('0.0%'!$N198&lt;$Z$3,0, '0.0%'!$S198/'0.0%'!$N198)</f>
        <v>2.0774710596616206</v>
      </c>
    </row>
    <row r="199" spans="1:25" x14ac:dyDescent="0.3">
      <c r="A199" s="17">
        <v>265.66000000000003</v>
      </c>
      <c r="B199" s="10">
        <v>223.5</v>
      </c>
      <c r="C199" s="9">
        <v>265.66000000000003</v>
      </c>
      <c r="D199" s="10">
        <v>236.7</v>
      </c>
      <c r="E199" s="11">
        <v>265.66000000000003</v>
      </c>
      <c r="F199" s="12">
        <v>274.39999999999998</v>
      </c>
      <c r="G199" s="11">
        <v>265.66000000000003</v>
      </c>
      <c r="H199" s="12">
        <v>302.60000000000002</v>
      </c>
      <c r="I199" s="11">
        <v>265.66000000000003</v>
      </c>
      <c r="J199" s="12">
        <v>442.7</v>
      </c>
      <c r="K199" s="11">
        <v>265.66000000000003</v>
      </c>
      <c r="L199" s="12">
        <v>464.9</v>
      </c>
      <c r="M199" s="11">
        <v>265.66000000000003</v>
      </c>
      <c r="N199" s="13">
        <v>223.5</v>
      </c>
      <c r="O199" s="13">
        <v>236.7</v>
      </c>
      <c r="P199" s="13">
        <v>274.39999999999998</v>
      </c>
      <c r="Q199" s="11">
        <v>302.60000000000002</v>
      </c>
      <c r="R199" s="11">
        <v>442.7</v>
      </c>
      <c r="S199" s="14">
        <v>464.9</v>
      </c>
      <c r="T199" s="11">
        <v>265.66000000000003</v>
      </c>
      <c r="U199" s="13">
        <f>IF('0.0%'!$N199&lt;$Z$3,0, '0.0%'!$O199/'0.0%'!$N199)</f>
        <v>1.0590604026845638</v>
      </c>
      <c r="V199" s="13">
        <f>IF('0.0%'!$N199&lt;$Z$3,0, '0.0%'!$P199/'0.0%'!$N199)</f>
        <v>1.2277404921700223</v>
      </c>
      <c r="W199" s="13">
        <f>IF('0.0%'!$N199&lt;$Z$3,0, '0.0%'!$Q199/'0.0%'!$N199)</f>
        <v>1.3539149888143178</v>
      </c>
      <c r="X199" s="13">
        <f>IF('0.0%'!$N199&lt;$Z$3,0, '0.0%'!$R199/'0.0%'!$N199)</f>
        <v>1.9807606263982103</v>
      </c>
      <c r="Y199" s="13">
        <f>IF('0.0%'!$N199&lt;$Z$3,0, '0.0%'!$S199/'0.0%'!$N199)</f>
        <v>2.0800894854586129</v>
      </c>
    </row>
    <row r="200" spans="1:25" x14ac:dyDescent="0.3">
      <c r="A200" s="17">
        <v>266.64999999999998</v>
      </c>
      <c r="B200" s="10">
        <v>223.5</v>
      </c>
      <c r="C200" s="9">
        <v>266.64999999999998</v>
      </c>
      <c r="D200" s="10">
        <v>236.9</v>
      </c>
      <c r="E200" s="11">
        <v>266.64999999999998</v>
      </c>
      <c r="F200" s="12">
        <v>273.8</v>
      </c>
      <c r="G200" s="11">
        <v>266.64999999999998</v>
      </c>
      <c r="H200" s="12">
        <v>302.39999999999998</v>
      </c>
      <c r="I200" s="11">
        <v>266.64999999999998</v>
      </c>
      <c r="J200" s="12">
        <v>443</v>
      </c>
      <c r="K200" s="11">
        <v>266.64999999999998</v>
      </c>
      <c r="L200" s="12">
        <v>464.3</v>
      </c>
      <c r="M200" s="11">
        <v>266.64999999999998</v>
      </c>
      <c r="N200" s="13">
        <v>223.5</v>
      </c>
      <c r="O200" s="13">
        <v>236.9</v>
      </c>
      <c r="P200" s="13">
        <v>273.8</v>
      </c>
      <c r="Q200" s="11">
        <v>302.39999999999998</v>
      </c>
      <c r="R200" s="11">
        <v>443</v>
      </c>
      <c r="S200" s="14">
        <v>464.3</v>
      </c>
      <c r="T200" s="11">
        <v>266.64999999999998</v>
      </c>
      <c r="U200" s="13">
        <f>IF('0.0%'!$N200&lt;$Z$3,0, '0.0%'!$O200/'0.0%'!$N200)</f>
        <v>1.0599552572706936</v>
      </c>
      <c r="V200" s="13">
        <f>IF('0.0%'!$N200&lt;$Z$3,0, '0.0%'!$P200/'0.0%'!$N200)</f>
        <v>1.2250559284116331</v>
      </c>
      <c r="W200" s="13">
        <f>IF('0.0%'!$N200&lt;$Z$3,0, '0.0%'!$Q200/'0.0%'!$N200)</f>
        <v>1.3530201342281878</v>
      </c>
      <c r="X200" s="13">
        <f>IF('0.0%'!$N200&lt;$Z$3,0, '0.0%'!$R200/'0.0%'!$N200)</f>
        <v>1.9821029082774049</v>
      </c>
      <c r="Y200" s="13">
        <f>IF('0.0%'!$N200&lt;$Z$3,0, '0.0%'!$S200/'0.0%'!$N200)</f>
        <v>2.0774049217002237</v>
      </c>
    </row>
    <row r="201" spans="1:25" x14ac:dyDescent="0.3">
      <c r="A201" s="17">
        <v>267.64</v>
      </c>
      <c r="B201" s="10">
        <v>222.7</v>
      </c>
      <c r="C201" s="9">
        <v>267.64</v>
      </c>
      <c r="D201" s="10">
        <v>236.1</v>
      </c>
      <c r="E201" s="11">
        <v>267.64</v>
      </c>
      <c r="F201" s="12">
        <v>272.2</v>
      </c>
      <c r="G201" s="11">
        <v>267.64</v>
      </c>
      <c r="H201" s="12">
        <v>301.3</v>
      </c>
      <c r="I201" s="11">
        <v>267.64</v>
      </c>
      <c r="J201" s="12">
        <v>442.5</v>
      </c>
      <c r="K201" s="11">
        <v>267.64</v>
      </c>
      <c r="L201" s="12">
        <v>463</v>
      </c>
      <c r="M201" s="11">
        <v>267.64</v>
      </c>
      <c r="N201" s="13">
        <v>222.7</v>
      </c>
      <c r="O201" s="13">
        <v>236.1</v>
      </c>
      <c r="P201" s="13">
        <v>272.2</v>
      </c>
      <c r="Q201" s="11">
        <v>301.3</v>
      </c>
      <c r="R201" s="11">
        <v>442.5</v>
      </c>
      <c r="S201" s="14">
        <v>463</v>
      </c>
      <c r="T201" s="11">
        <v>267.64</v>
      </c>
      <c r="U201" s="13">
        <f>IF('0.0%'!$N201&lt;$Z$3,0, '0.0%'!$O201/'0.0%'!$N201)</f>
        <v>1.0601706331387517</v>
      </c>
      <c r="V201" s="13">
        <f>IF('0.0%'!$N201&lt;$Z$3,0, '0.0%'!$P201/'0.0%'!$N201)</f>
        <v>1.2222721149528515</v>
      </c>
      <c r="W201" s="13">
        <f>IF('0.0%'!$N201&lt;$Z$3,0, '0.0%'!$Q201/'0.0%'!$N201)</f>
        <v>1.3529411764705883</v>
      </c>
      <c r="X201" s="13">
        <f>IF('0.0%'!$N201&lt;$Z$3,0, '0.0%'!$R201/'0.0%'!$N201)</f>
        <v>1.9869779973057926</v>
      </c>
      <c r="Y201" s="13">
        <f>IF('0.0%'!$N201&lt;$Z$3,0, '0.0%'!$S201/'0.0%'!$N201)</f>
        <v>2.0790300853165693</v>
      </c>
    </row>
    <row r="202" spans="1:25" x14ac:dyDescent="0.3">
      <c r="A202" s="17">
        <v>268.63</v>
      </c>
      <c r="B202" s="10">
        <v>223</v>
      </c>
      <c r="C202" s="9">
        <v>268.63</v>
      </c>
      <c r="D202" s="10">
        <v>236.5</v>
      </c>
      <c r="E202" s="11">
        <v>268.63</v>
      </c>
      <c r="F202" s="12">
        <v>271.8</v>
      </c>
      <c r="G202" s="11">
        <v>268.63</v>
      </c>
      <c r="H202" s="12">
        <v>301.39999999999998</v>
      </c>
      <c r="I202" s="11">
        <v>268.63</v>
      </c>
      <c r="J202" s="12">
        <v>443.4</v>
      </c>
      <c r="K202" s="11">
        <v>268.63</v>
      </c>
      <c r="L202" s="12">
        <v>463</v>
      </c>
      <c r="M202" s="11">
        <v>268.63</v>
      </c>
      <c r="N202" s="13">
        <v>223</v>
      </c>
      <c r="O202" s="13">
        <v>236.5</v>
      </c>
      <c r="P202" s="13">
        <v>271.8</v>
      </c>
      <c r="Q202" s="11">
        <v>301.39999999999998</v>
      </c>
      <c r="R202" s="11">
        <v>443.4</v>
      </c>
      <c r="S202" s="14">
        <v>463</v>
      </c>
      <c r="T202" s="11">
        <v>268.63</v>
      </c>
      <c r="U202" s="13">
        <f>IF('0.0%'!$N202&lt;$Z$3,0, '0.0%'!$O202/'0.0%'!$N202)</f>
        <v>1.0605381165919283</v>
      </c>
      <c r="V202" s="13">
        <f>IF('0.0%'!$N202&lt;$Z$3,0, '0.0%'!$P202/'0.0%'!$N202)</f>
        <v>1.2188340807174889</v>
      </c>
      <c r="W202" s="13">
        <f>IF('0.0%'!$N202&lt;$Z$3,0, '0.0%'!$Q202/'0.0%'!$N202)</f>
        <v>1.3515695067264573</v>
      </c>
      <c r="X202" s="13">
        <f>IF('0.0%'!$N202&lt;$Z$3,0, '0.0%'!$R202/'0.0%'!$N202)</f>
        <v>1.9883408071748878</v>
      </c>
      <c r="Y202" s="13">
        <f>IF('0.0%'!$N202&lt;$Z$3,0, '0.0%'!$S202/'0.0%'!$N202)</f>
        <v>2.0762331838565022</v>
      </c>
    </row>
    <row r="203" spans="1:25" x14ac:dyDescent="0.3">
      <c r="A203" s="17">
        <v>269.63</v>
      </c>
      <c r="B203" s="10">
        <v>222.6</v>
      </c>
      <c r="C203" s="9">
        <v>269.63</v>
      </c>
      <c r="D203" s="10">
        <v>236.1</v>
      </c>
      <c r="E203" s="11">
        <v>269.63</v>
      </c>
      <c r="F203" s="12">
        <v>270.60000000000002</v>
      </c>
      <c r="G203" s="11">
        <v>269.63</v>
      </c>
      <c r="H203" s="12">
        <v>300.8</v>
      </c>
      <c r="I203" s="11">
        <v>269.63</v>
      </c>
      <c r="J203" s="12">
        <v>443.6</v>
      </c>
      <c r="K203" s="11">
        <v>269.63</v>
      </c>
      <c r="L203" s="12">
        <v>462.3</v>
      </c>
      <c r="M203" s="11">
        <v>269.63</v>
      </c>
      <c r="N203" s="13">
        <v>222.6</v>
      </c>
      <c r="O203" s="13">
        <v>236.1</v>
      </c>
      <c r="P203" s="13">
        <v>270.60000000000002</v>
      </c>
      <c r="Q203" s="11">
        <v>300.8</v>
      </c>
      <c r="R203" s="11">
        <v>443.6</v>
      </c>
      <c r="S203" s="14">
        <v>462.3</v>
      </c>
      <c r="T203" s="11">
        <v>269.63</v>
      </c>
      <c r="U203" s="13">
        <f>IF('0.0%'!$N203&lt;$Z$3,0, '0.0%'!$O203/'0.0%'!$N203)</f>
        <v>1.0606469002695418</v>
      </c>
      <c r="V203" s="13">
        <f>IF('0.0%'!$N203&lt;$Z$3,0, '0.0%'!$P203/'0.0%'!$N203)</f>
        <v>1.2156334231805932</v>
      </c>
      <c r="W203" s="13">
        <f>IF('0.0%'!$N203&lt;$Z$3,0, '0.0%'!$Q203/'0.0%'!$N203)</f>
        <v>1.3513027852650494</v>
      </c>
      <c r="X203" s="13">
        <f>IF('0.0%'!$N203&lt;$Z$3,0, '0.0%'!$R203/'0.0%'!$N203)</f>
        <v>1.9928122192273137</v>
      </c>
      <c r="Y203" s="13">
        <f>IF('0.0%'!$N203&lt;$Z$3,0, '0.0%'!$S203/'0.0%'!$N203)</f>
        <v>2.0768194070080863</v>
      </c>
    </row>
    <row r="204" spans="1:25" x14ac:dyDescent="0.3">
      <c r="A204" s="17">
        <v>270.62</v>
      </c>
      <c r="B204" s="10">
        <v>223.3</v>
      </c>
      <c r="C204" s="9">
        <v>270.62</v>
      </c>
      <c r="D204" s="10">
        <v>236.8</v>
      </c>
      <c r="E204" s="11">
        <v>270.62</v>
      </c>
      <c r="F204" s="12">
        <v>270.5</v>
      </c>
      <c r="G204" s="11">
        <v>270.62</v>
      </c>
      <c r="H204" s="12">
        <v>301.3</v>
      </c>
      <c r="I204" s="11">
        <v>270.62</v>
      </c>
      <c r="J204" s="12">
        <v>445.2</v>
      </c>
      <c r="K204" s="11">
        <v>270.62</v>
      </c>
      <c r="L204" s="12">
        <v>463</v>
      </c>
      <c r="M204" s="11">
        <v>270.62</v>
      </c>
      <c r="N204" s="13">
        <v>223.3</v>
      </c>
      <c r="O204" s="13">
        <v>236.8</v>
      </c>
      <c r="P204" s="13">
        <v>270.5</v>
      </c>
      <c r="Q204" s="11">
        <v>301.3</v>
      </c>
      <c r="R204" s="11">
        <v>445.2</v>
      </c>
      <c r="S204" s="14">
        <v>463</v>
      </c>
      <c r="T204" s="11">
        <v>270.62</v>
      </c>
      <c r="U204" s="13">
        <f>IF('0.0%'!$N204&lt;$Z$3,0, '0.0%'!$O204/'0.0%'!$N204)</f>
        <v>1.0604567845947157</v>
      </c>
      <c r="V204" s="13">
        <f>IF('0.0%'!$N204&lt;$Z$3,0, '0.0%'!$P204/'0.0%'!$N204)</f>
        <v>1.2113748320644873</v>
      </c>
      <c r="W204" s="13">
        <f>IF('0.0%'!$N204&lt;$Z$3,0, '0.0%'!$Q204/'0.0%'!$N204)</f>
        <v>1.3493058665472459</v>
      </c>
      <c r="X204" s="13">
        <f>IF('0.0%'!$N204&lt;$Z$3,0, '0.0%'!$R204/'0.0%'!$N204)</f>
        <v>1.9937304075235107</v>
      </c>
      <c r="Y204" s="13">
        <f>IF('0.0%'!$N204&lt;$Z$3,0, '0.0%'!$S204/'0.0%'!$N204)</f>
        <v>2.0734437975817284</v>
      </c>
    </row>
    <row r="205" spans="1:25" x14ac:dyDescent="0.3">
      <c r="A205" s="17">
        <v>271.61</v>
      </c>
      <c r="B205" s="10">
        <v>223</v>
      </c>
      <c r="C205" s="9">
        <v>271.61</v>
      </c>
      <c r="D205" s="10">
        <v>236.6</v>
      </c>
      <c r="E205" s="11">
        <v>271.61</v>
      </c>
      <c r="F205" s="12">
        <v>269.5</v>
      </c>
      <c r="G205" s="11">
        <v>271.61</v>
      </c>
      <c r="H205" s="12">
        <v>300.89999999999998</v>
      </c>
      <c r="I205" s="11">
        <v>271.61</v>
      </c>
      <c r="J205" s="12">
        <v>445.9</v>
      </c>
      <c r="K205" s="11">
        <v>271.61</v>
      </c>
      <c r="L205" s="12">
        <v>462.8</v>
      </c>
      <c r="M205" s="11">
        <v>271.61</v>
      </c>
      <c r="N205" s="13">
        <v>223</v>
      </c>
      <c r="O205" s="13">
        <v>236.6</v>
      </c>
      <c r="P205" s="13">
        <v>269.5</v>
      </c>
      <c r="Q205" s="11">
        <v>300.89999999999998</v>
      </c>
      <c r="R205" s="11">
        <v>445.9</v>
      </c>
      <c r="S205" s="14">
        <v>462.8</v>
      </c>
      <c r="T205" s="11">
        <v>271.61</v>
      </c>
      <c r="U205" s="13">
        <f>IF('0.0%'!$N205&lt;$Z$3,0, '0.0%'!$O205/'0.0%'!$N205)</f>
        <v>1.0609865470852018</v>
      </c>
      <c r="V205" s="13">
        <f>IF('0.0%'!$N205&lt;$Z$3,0, '0.0%'!$P205/'0.0%'!$N205)</f>
        <v>1.2085201793721974</v>
      </c>
      <c r="W205" s="13">
        <f>IF('0.0%'!$N205&lt;$Z$3,0, '0.0%'!$Q205/'0.0%'!$N205)</f>
        <v>1.3493273542600897</v>
      </c>
      <c r="X205" s="13">
        <f>IF('0.0%'!$N205&lt;$Z$3,0, '0.0%'!$R205/'0.0%'!$N205)</f>
        <v>1.9995515695067263</v>
      </c>
      <c r="Y205" s="13">
        <f>IF('0.0%'!$N205&lt;$Z$3,0, '0.0%'!$S205/'0.0%'!$N205)</f>
        <v>2.0753363228699553</v>
      </c>
    </row>
    <row r="206" spans="1:25" x14ac:dyDescent="0.3">
      <c r="A206" s="17">
        <v>272.60000000000002</v>
      </c>
      <c r="B206" s="10">
        <v>223.7</v>
      </c>
      <c r="C206" s="9">
        <v>272.60000000000002</v>
      </c>
      <c r="D206" s="10">
        <v>237.5</v>
      </c>
      <c r="E206" s="11">
        <v>272.60000000000002</v>
      </c>
      <c r="F206" s="12">
        <v>269.60000000000002</v>
      </c>
      <c r="G206" s="11">
        <v>272.60000000000002</v>
      </c>
      <c r="H206" s="12">
        <v>301.7</v>
      </c>
      <c r="I206" s="11">
        <v>272.60000000000002</v>
      </c>
      <c r="J206" s="12">
        <v>448.1</v>
      </c>
      <c r="K206" s="11">
        <v>272.60000000000002</v>
      </c>
      <c r="L206" s="12">
        <v>463.9</v>
      </c>
      <c r="M206" s="11">
        <v>272.60000000000002</v>
      </c>
      <c r="N206" s="13">
        <v>223.7</v>
      </c>
      <c r="O206" s="13">
        <v>237.5</v>
      </c>
      <c r="P206" s="13">
        <v>269.60000000000002</v>
      </c>
      <c r="Q206" s="11">
        <v>301.7</v>
      </c>
      <c r="R206" s="11">
        <v>448.1</v>
      </c>
      <c r="S206" s="14">
        <v>463.9</v>
      </c>
      <c r="T206" s="11">
        <v>272.60000000000002</v>
      </c>
      <c r="U206" s="13">
        <f>IF('0.0%'!$N206&lt;$Z$3,0, '0.0%'!$O206/'0.0%'!$N206)</f>
        <v>1.0616897630755477</v>
      </c>
      <c r="V206" s="13">
        <f>IF('0.0%'!$N206&lt;$Z$3,0, '0.0%'!$P206/'0.0%'!$N206)</f>
        <v>1.2051855163164955</v>
      </c>
      <c r="W206" s="13">
        <f>IF('0.0%'!$N206&lt;$Z$3,0, '0.0%'!$Q206/'0.0%'!$N206)</f>
        <v>1.3486812695574431</v>
      </c>
      <c r="X206" s="13">
        <f>IF('0.0%'!$N206&lt;$Z$3,0, '0.0%'!$R206/'0.0%'!$N206)</f>
        <v>2.0031291908806441</v>
      </c>
      <c r="Y206" s="13">
        <f>IF('0.0%'!$N206&lt;$Z$3,0, '0.0%'!$S206/'0.0%'!$N206)</f>
        <v>2.073759499329459</v>
      </c>
    </row>
    <row r="207" spans="1:25" x14ac:dyDescent="0.3">
      <c r="A207" s="17">
        <v>273.58999999999997</v>
      </c>
      <c r="B207" s="10">
        <v>223.6</v>
      </c>
      <c r="C207" s="9">
        <v>273.58999999999997</v>
      </c>
      <c r="D207" s="10">
        <v>237.6</v>
      </c>
      <c r="E207" s="11">
        <v>273.58999999999997</v>
      </c>
      <c r="F207" s="12">
        <v>268.7</v>
      </c>
      <c r="G207" s="11">
        <v>273.58999999999997</v>
      </c>
      <c r="H207" s="12">
        <v>301.60000000000002</v>
      </c>
      <c r="I207" s="11">
        <v>273.58999999999997</v>
      </c>
      <c r="J207" s="12">
        <v>449.6</v>
      </c>
      <c r="K207" s="11">
        <v>273.58999999999997</v>
      </c>
      <c r="L207" s="12">
        <v>464.1</v>
      </c>
      <c r="M207" s="11">
        <v>273.58999999999997</v>
      </c>
      <c r="N207" s="13">
        <v>223.6</v>
      </c>
      <c r="O207" s="13">
        <v>237.6</v>
      </c>
      <c r="P207" s="13">
        <v>268.7</v>
      </c>
      <c r="Q207" s="11">
        <v>301.60000000000002</v>
      </c>
      <c r="R207" s="11">
        <v>449.6</v>
      </c>
      <c r="S207" s="14">
        <v>464.1</v>
      </c>
      <c r="T207" s="11">
        <v>273.58999999999997</v>
      </c>
      <c r="U207" s="13">
        <f>IF('0.0%'!$N207&lt;$Z$3,0, '0.0%'!$O207/'0.0%'!$N207)</f>
        <v>1.0626118067978534</v>
      </c>
      <c r="V207" s="13">
        <f>IF('0.0%'!$N207&lt;$Z$3,0, '0.0%'!$P207/'0.0%'!$N207)</f>
        <v>1.2016994633273703</v>
      </c>
      <c r="W207" s="13">
        <f>IF('0.0%'!$N207&lt;$Z$3,0, '0.0%'!$Q207/'0.0%'!$N207)</f>
        <v>1.3488372093023258</v>
      </c>
      <c r="X207" s="13">
        <f>IF('0.0%'!$N207&lt;$Z$3,0, '0.0%'!$R207/'0.0%'!$N207)</f>
        <v>2.010733452593918</v>
      </c>
      <c r="Y207" s="13">
        <f>IF('0.0%'!$N207&lt;$Z$3,0, '0.0%'!$S207/'0.0%'!$N207)</f>
        <v>2.0755813953488373</v>
      </c>
    </row>
    <row r="208" spans="1:25" x14ac:dyDescent="0.3">
      <c r="A208" s="17">
        <v>274.58</v>
      </c>
      <c r="B208" s="10">
        <v>224.6</v>
      </c>
      <c r="C208" s="9">
        <v>274.58</v>
      </c>
      <c r="D208" s="10">
        <v>238.7</v>
      </c>
      <c r="E208" s="11">
        <v>274.58</v>
      </c>
      <c r="F208" s="12">
        <v>269</v>
      </c>
      <c r="G208" s="11">
        <v>274.58</v>
      </c>
      <c r="H208" s="12">
        <v>302.60000000000002</v>
      </c>
      <c r="I208" s="11">
        <v>274.58</v>
      </c>
      <c r="J208" s="12">
        <v>452.6</v>
      </c>
      <c r="K208" s="11">
        <v>274.58</v>
      </c>
      <c r="L208" s="12">
        <v>465.8</v>
      </c>
      <c r="M208" s="11">
        <v>274.58</v>
      </c>
      <c r="N208" s="13">
        <v>224.6</v>
      </c>
      <c r="O208" s="13">
        <v>238.7</v>
      </c>
      <c r="P208" s="13">
        <v>269</v>
      </c>
      <c r="Q208" s="11">
        <v>302.60000000000002</v>
      </c>
      <c r="R208" s="11">
        <v>452.6</v>
      </c>
      <c r="S208" s="14">
        <v>465.8</v>
      </c>
      <c r="T208" s="11">
        <v>274.58</v>
      </c>
      <c r="U208" s="13">
        <f>IF('0.0%'!$N208&lt;$Z$3,0, '0.0%'!$O208/'0.0%'!$N208)</f>
        <v>1.0627782724844168</v>
      </c>
      <c r="V208" s="13">
        <f>IF('0.0%'!$N208&lt;$Z$3,0, '0.0%'!$P208/'0.0%'!$N208)</f>
        <v>1.1976847729296527</v>
      </c>
      <c r="W208" s="13">
        <f>IF('0.0%'!$N208&lt;$Z$3,0, '0.0%'!$Q208/'0.0%'!$N208)</f>
        <v>1.3472840605520928</v>
      </c>
      <c r="X208" s="13">
        <f>IF('0.0%'!$N208&lt;$Z$3,0, '0.0%'!$R208/'0.0%'!$N208)</f>
        <v>2.0151380231522706</v>
      </c>
      <c r="Y208" s="13">
        <f>IF('0.0%'!$N208&lt;$Z$3,0, '0.0%'!$S208/'0.0%'!$N208)</f>
        <v>2.0739091718610867</v>
      </c>
    </row>
    <row r="209" spans="1:25" x14ac:dyDescent="0.3">
      <c r="A209" s="17">
        <v>275.58</v>
      </c>
      <c r="B209" s="10">
        <v>224.6</v>
      </c>
      <c r="C209" s="9">
        <v>275.58</v>
      </c>
      <c r="D209" s="10">
        <v>238.8</v>
      </c>
      <c r="E209" s="11">
        <v>275.58</v>
      </c>
      <c r="F209" s="12">
        <v>268.3</v>
      </c>
      <c r="G209" s="11">
        <v>275.58</v>
      </c>
      <c r="H209" s="12">
        <v>302.60000000000002</v>
      </c>
      <c r="I209" s="11">
        <v>275.58</v>
      </c>
      <c r="J209" s="12">
        <v>454.9</v>
      </c>
      <c r="K209" s="11">
        <v>275.58</v>
      </c>
      <c r="L209" s="12">
        <v>466.5</v>
      </c>
      <c r="M209" s="11">
        <v>275.58</v>
      </c>
      <c r="N209" s="13">
        <v>224.6</v>
      </c>
      <c r="O209" s="13">
        <v>238.8</v>
      </c>
      <c r="P209" s="13">
        <v>268.3</v>
      </c>
      <c r="Q209" s="11">
        <v>302.60000000000002</v>
      </c>
      <c r="R209" s="11">
        <v>454.9</v>
      </c>
      <c r="S209" s="14">
        <v>466.5</v>
      </c>
      <c r="T209" s="11">
        <v>275.58</v>
      </c>
      <c r="U209" s="13">
        <f>IF('0.0%'!$N209&lt;$Z$3,0, '0.0%'!$O209/'0.0%'!$N209)</f>
        <v>1.0632235084594837</v>
      </c>
      <c r="V209" s="13">
        <f>IF('0.0%'!$N209&lt;$Z$3,0, '0.0%'!$P209/'0.0%'!$N209)</f>
        <v>1.1945681211041852</v>
      </c>
      <c r="W209" s="13">
        <f>IF('0.0%'!$N209&lt;$Z$3,0, '0.0%'!$Q209/'0.0%'!$N209)</f>
        <v>1.3472840605520928</v>
      </c>
      <c r="X209" s="13">
        <f>IF('0.0%'!$N209&lt;$Z$3,0, '0.0%'!$R209/'0.0%'!$N209)</f>
        <v>2.0253784505788066</v>
      </c>
      <c r="Y209" s="13">
        <f>IF('0.0%'!$N209&lt;$Z$3,0, '0.0%'!$S209/'0.0%'!$N209)</f>
        <v>2.077025823686554</v>
      </c>
    </row>
    <row r="210" spans="1:25" x14ac:dyDescent="0.3">
      <c r="A210" s="17">
        <v>276.57</v>
      </c>
      <c r="B210" s="10">
        <v>225.2</v>
      </c>
      <c r="C210" s="9">
        <v>276.57</v>
      </c>
      <c r="D210" s="10">
        <v>239.7</v>
      </c>
      <c r="E210" s="11">
        <v>276.57</v>
      </c>
      <c r="F210" s="12">
        <v>268.2</v>
      </c>
      <c r="G210" s="11">
        <v>276.57</v>
      </c>
      <c r="H210" s="12">
        <v>303.60000000000002</v>
      </c>
      <c r="I210" s="11">
        <v>276.57</v>
      </c>
      <c r="J210" s="12">
        <v>458.4</v>
      </c>
      <c r="K210" s="11">
        <v>276.57</v>
      </c>
      <c r="L210" s="12">
        <v>468.5</v>
      </c>
      <c r="M210" s="11">
        <v>276.57</v>
      </c>
      <c r="N210" s="13">
        <v>225.2</v>
      </c>
      <c r="O210" s="13">
        <v>239.7</v>
      </c>
      <c r="P210" s="13">
        <v>268.2</v>
      </c>
      <c r="Q210" s="11">
        <v>303.60000000000002</v>
      </c>
      <c r="R210" s="11">
        <v>458.4</v>
      </c>
      <c r="S210" s="14">
        <v>468.5</v>
      </c>
      <c r="T210" s="11">
        <v>276.57</v>
      </c>
      <c r="U210" s="13">
        <f>IF('0.0%'!$N210&lt;$Z$3,0, '0.0%'!$O210/'0.0%'!$N210)</f>
        <v>1.0643872113676731</v>
      </c>
      <c r="V210" s="13">
        <f>IF('0.0%'!$N210&lt;$Z$3,0, '0.0%'!$P210/'0.0%'!$N210)</f>
        <v>1.1909413854351687</v>
      </c>
      <c r="W210" s="13">
        <f>IF('0.0%'!$N210&lt;$Z$3,0, '0.0%'!$Q210/'0.0%'!$N210)</f>
        <v>1.3481349911190055</v>
      </c>
      <c r="X210" s="13">
        <f>IF('0.0%'!$N210&lt;$Z$3,0, '0.0%'!$R210/'0.0%'!$N210)</f>
        <v>2.035523978685613</v>
      </c>
      <c r="Y210" s="13">
        <f>IF('0.0%'!$N210&lt;$Z$3,0, '0.0%'!$S210/'0.0%'!$N210)</f>
        <v>2.080373001776199</v>
      </c>
    </row>
    <row r="211" spans="1:25" x14ac:dyDescent="0.3">
      <c r="A211" s="17">
        <v>277.56</v>
      </c>
      <c r="B211" s="10">
        <v>226.6</v>
      </c>
      <c r="C211" s="9">
        <v>277.56</v>
      </c>
      <c r="D211" s="10">
        <v>241.3</v>
      </c>
      <c r="E211" s="11">
        <v>277.56</v>
      </c>
      <c r="F211" s="12">
        <v>268.7</v>
      </c>
      <c r="G211" s="11">
        <v>277.56</v>
      </c>
      <c r="H211" s="12">
        <v>305.10000000000002</v>
      </c>
      <c r="I211" s="11">
        <v>277.56</v>
      </c>
      <c r="J211" s="12">
        <v>462.5</v>
      </c>
      <c r="K211" s="11">
        <v>277.56</v>
      </c>
      <c r="L211" s="12">
        <v>471</v>
      </c>
      <c r="M211" s="11">
        <v>277.56</v>
      </c>
      <c r="N211" s="13">
        <v>226.6</v>
      </c>
      <c r="O211" s="13">
        <v>241.3</v>
      </c>
      <c r="P211" s="13">
        <v>268.7</v>
      </c>
      <c r="Q211" s="11">
        <v>305.10000000000002</v>
      </c>
      <c r="R211" s="11">
        <v>462.5</v>
      </c>
      <c r="S211" s="14">
        <v>471</v>
      </c>
      <c r="T211" s="11">
        <v>277.56</v>
      </c>
      <c r="U211" s="13">
        <f>IF('0.0%'!$N211&lt;$Z$3,0, '0.0%'!$O211/'0.0%'!$N211)</f>
        <v>1.064872021182701</v>
      </c>
      <c r="V211" s="13">
        <f>IF('0.0%'!$N211&lt;$Z$3,0, '0.0%'!$P211/'0.0%'!$N211)</f>
        <v>1.1857899382171226</v>
      </c>
      <c r="W211" s="13">
        <f>IF('0.0%'!$N211&lt;$Z$3,0, '0.0%'!$Q211/'0.0%'!$N211)</f>
        <v>1.3464254192409533</v>
      </c>
      <c r="X211" s="13">
        <f>IF('0.0%'!$N211&lt;$Z$3,0, '0.0%'!$R211/'0.0%'!$N211)</f>
        <v>2.0410414827890557</v>
      </c>
      <c r="Y211" s="13">
        <f>IF('0.0%'!$N211&lt;$Z$3,0, '0.0%'!$S211/'0.0%'!$N211)</f>
        <v>2.0785525154457192</v>
      </c>
    </row>
    <row r="212" spans="1:25" x14ac:dyDescent="0.3">
      <c r="A212" s="17">
        <v>278.55</v>
      </c>
      <c r="B212" s="10">
        <v>226.8</v>
      </c>
      <c r="C212" s="9">
        <v>278.55</v>
      </c>
      <c r="D212" s="10">
        <v>241.8</v>
      </c>
      <c r="E212" s="11">
        <v>278.55</v>
      </c>
      <c r="F212" s="12">
        <v>268.2</v>
      </c>
      <c r="G212" s="11">
        <v>278.55</v>
      </c>
      <c r="H212" s="12">
        <v>305.60000000000002</v>
      </c>
      <c r="I212" s="11">
        <v>278.55</v>
      </c>
      <c r="J212" s="12">
        <v>466</v>
      </c>
      <c r="K212" s="11">
        <v>278.55</v>
      </c>
      <c r="L212" s="12">
        <v>472.7</v>
      </c>
      <c r="M212" s="11">
        <v>278.55</v>
      </c>
      <c r="N212" s="13">
        <v>226.8</v>
      </c>
      <c r="O212" s="13">
        <v>241.8</v>
      </c>
      <c r="P212" s="13">
        <v>268.2</v>
      </c>
      <c r="Q212" s="11">
        <v>305.60000000000002</v>
      </c>
      <c r="R212" s="11">
        <v>466</v>
      </c>
      <c r="S212" s="14">
        <v>472.7</v>
      </c>
      <c r="T212" s="11">
        <v>278.55</v>
      </c>
      <c r="U212" s="13">
        <f>IF('0.0%'!$N212&lt;$Z$3,0, '0.0%'!$O212/'0.0%'!$N212)</f>
        <v>1.0661375661375661</v>
      </c>
      <c r="V212" s="13">
        <f>IF('0.0%'!$N212&lt;$Z$3,0, '0.0%'!$P212/'0.0%'!$N212)</f>
        <v>1.1825396825396823</v>
      </c>
      <c r="W212" s="13">
        <f>IF('0.0%'!$N212&lt;$Z$3,0, '0.0%'!$Q212/'0.0%'!$N212)</f>
        <v>1.347442680776014</v>
      </c>
      <c r="X212" s="13">
        <f>IF('0.0%'!$N212&lt;$Z$3,0, '0.0%'!$R212/'0.0%'!$N212)</f>
        <v>2.0546737213403881</v>
      </c>
      <c r="Y212" s="13">
        <f>IF('0.0%'!$N212&lt;$Z$3,0, '0.0%'!$S212/'0.0%'!$N212)</f>
        <v>2.0842151675485008</v>
      </c>
    </row>
    <row r="213" spans="1:25" x14ac:dyDescent="0.3">
      <c r="A213" s="17">
        <v>279.54000000000002</v>
      </c>
      <c r="B213" s="10">
        <v>228.2</v>
      </c>
      <c r="C213" s="9">
        <v>279.54000000000002</v>
      </c>
      <c r="D213" s="10">
        <v>243.4</v>
      </c>
      <c r="E213" s="11">
        <v>279.54000000000002</v>
      </c>
      <c r="F213" s="12">
        <v>268.7</v>
      </c>
      <c r="G213" s="11">
        <v>279.54000000000002</v>
      </c>
      <c r="H213" s="12">
        <v>307.2</v>
      </c>
      <c r="I213" s="11">
        <v>279.54000000000002</v>
      </c>
      <c r="J213" s="12">
        <v>470.7</v>
      </c>
      <c r="K213" s="11">
        <v>279.54000000000002</v>
      </c>
      <c r="L213" s="12">
        <v>475.6</v>
      </c>
      <c r="M213" s="11">
        <v>279.54000000000002</v>
      </c>
      <c r="N213" s="13">
        <v>228.2</v>
      </c>
      <c r="O213" s="13">
        <v>243.4</v>
      </c>
      <c r="P213" s="13">
        <v>268.7</v>
      </c>
      <c r="Q213" s="11">
        <v>307.2</v>
      </c>
      <c r="R213" s="11">
        <v>470.7</v>
      </c>
      <c r="S213" s="14">
        <v>475.6</v>
      </c>
      <c r="T213" s="11">
        <v>279.54000000000002</v>
      </c>
      <c r="U213" s="13">
        <f>IF('0.0%'!$N213&lt;$Z$3,0, '0.0%'!$O213/'0.0%'!$N213)</f>
        <v>1.0666082383873796</v>
      </c>
      <c r="V213" s="13">
        <f>IF('0.0%'!$N213&lt;$Z$3,0, '0.0%'!$P213/'0.0%'!$N213)</f>
        <v>1.1774758983347942</v>
      </c>
      <c r="W213" s="13">
        <f>IF('0.0%'!$N213&lt;$Z$3,0, '0.0%'!$Q213/'0.0%'!$N213)</f>
        <v>1.3461875547765119</v>
      </c>
      <c r="X213" s="13">
        <f>IF('0.0%'!$N213&lt;$Z$3,0, '0.0%'!$R213/'0.0%'!$N213)</f>
        <v>2.0626643295354952</v>
      </c>
      <c r="Y213" s="13">
        <f>IF('0.0%'!$N213&lt;$Z$3,0, '0.0%'!$S213/'0.0%'!$N213)</f>
        <v>2.0841367221735321</v>
      </c>
    </row>
    <row r="214" spans="1:25" x14ac:dyDescent="0.3">
      <c r="A214" s="17">
        <v>280.54000000000002</v>
      </c>
      <c r="B214" s="10">
        <v>228.6</v>
      </c>
      <c r="C214" s="9">
        <v>280.54000000000002</v>
      </c>
      <c r="D214" s="10">
        <v>244</v>
      </c>
      <c r="E214" s="11">
        <v>280.54000000000002</v>
      </c>
      <c r="F214" s="12">
        <v>268.3</v>
      </c>
      <c r="G214" s="11">
        <v>280.54000000000002</v>
      </c>
      <c r="H214" s="12">
        <v>307.89999999999998</v>
      </c>
      <c r="I214" s="11">
        <v>280.54000000000002</v>
      </c>
      <c r="J214" s="12">
        <v>474.9</v>
      </c>
      <c r="K214" s="11">
        <v>280.54000000000002</v>
      </c>
      <c r="L214" s="12">
        <v>478</v>
      </c>
      <c r="M214" s="11">
        <v>280.54000000000002</v>
      </c>
      <c r="N214" s="13">
        <v>228.6</v>
      </c>
      <c r="O214" s="13">
        <v>244</v>
      </c>
      <c r="P214" s="13">
        <v>268.3</v>
      </c>
      <c r="Q214" s="11">
        <v>307.89999999999998</v>
      </c>
      <c r="R214" s="11">
        <v>474.9</v>
      </c>
      <c r="S214" s="14">
        <v>478</v>
      </c>
      <c r="T214" s="11">
        <v>280.54000000000002</v>
      </c>
      <c r="U214" s="13">
        <f>IF('0.0%'!$N214&lt;$Z$3,0, '0.0%'!$O214/'0.0%'!$N214)</f>
        <v>1.0673665791776028</v>
      </c>
      <c r="V214" s="13">
        <f>IF('0.0%'!$N214&lt;$Z$3,0, '0.0%'!$P214/'0.0%'!$N214)</f>
        <v>1.173665791776028</v>
      </c>
      <c r="W214" s="13">
        <f>IF('0.0%'!$N214&lt;$Z$3,0, '0.0%'!$Q214/'0.0%'!$N214)</f>
        <v>1.3468941382327209</v>
      </c>
      <c r="X214" s="13">
        <f>IF('0.0%'!$N214&lt;$Z$3,0, '0.0%'!$R214/'0.0%'!$N214)</f>
        <v>2.0774278215223099</v>
      </c>
      <c r="Y214" s="13">
        <f>IF('0.0%'!$N214&lt;$Z$3,0, '0.0%'!$S214/'0.0%'!$N214)</f>
        <v>2.0909886264216975</v>
      </c>
    </row>
    <row r="215" spans="1:25" x14ac:dyDescent="0.3">
      <c r="A215" s="17">
        <v>281.52999999999997</v>
      </c>
      <c r="B215" s="10">
        <v>230.1</v>
      </c>
      <c r="C215" s="9">
        <v>281.52999999999997</v>
      </c>
      <c r="D215" s="10">
        <v>245.7</v>
      </c>
      <c r="E215" s="11">
        <v>281.52999999999997</v>
      </c>
      <c r="F215" s="12">
        <v>268.89999999999998</v>
      </c>
      <c r="G215" s="11">
        <v>281.52999999999997</v>
      </c>
      <c r="H215" s="12">
        <v>309.60000000000002</v>
      </c>
      <c r="I215" s="11">
        <v>281.52999999999997</v>
      </c>
      <c r="J215" s="12">
        <v>480.3</v>
      </c>
      <c r="K215" s="11">
        <v>281.52999999999997</v>
      </c>
      <c r="L215" s="12">
        <v>481.4</v>
      </c>
      <c r="M215" s="11">
        <v>281.52999999999997</v>
      </c>
      <c r="N215" s="13">
        <v>230.1</v>
      </c>
      <c r="O215" s="13">
        <v>245.7</v>
      </c>
      <c r="P215" s="13">
        <v>268.89999999999998</v>
      </c>
      <c r="Q215" s="11">
        <v>309.60000000000002</v>
      </c>
      <c r="R215" s="11">
        <v>480.3</v>
      </c>
      <c r="S215" s="14">
        <v>481.4</v>
      </c>
      <c r="T215" s="11">
        <v>281.52999999999997</v>
      </c>
      <c r="U215" s="13">
        <f>IF('0.0%'!$N215&lt;$Z$3,0, '0.0%'!$O215/'0.0%'!$N215)</f>
        <v>1.0677966101694916</v>
      </c>
      <c r="V215" s="13">
        <f>IF('0.0%'!$N215&lt;$Z$3,0, '0.0%'!$P215/'0.0%'!$N215)</f>
        <v>1.1686223381138634</v>
      </c>
      <c r="W215" s="13">
        <f>IF('0.0%'!$N215&lt;$Z$3,0, '0.0%'!$Q215/'0.0%'!$N215)</f>
        <v>1.3455019556714474</v>
      </c>
      <c r="X215" s="13">
        <f>IF('0.0%'!$N215&lt;$Z$3,0, '0.0%'!$R215/'0.0%'!$N215)</f>
        <v>2.0873533246414602</v>
      </c>
      <c r="Y215" s="13">
        <f>IF('0.0%'!$N215&lt;$Z$3,0, '0.0%'!$S215/'0.0%'!$N215)</f>
        <v>2.0921338548457191</v>
      </c>
    </row>
    <row r="216" spans="1:25" x14ac:dyDescent="0.3">
      <c r="A216" s="17">
        <v>282.52</v>
      </c>
      <c r="B216" s="10">
        <v>230.4</v>
      </c>
      <c r="C216" s="9">
        <v>282.52</v>
      </c>
      <c r="D216" s="10">
        <v>246</v>
      </c>
      <c r="E216" s="11">
        <v>282.52</v>
      </c>
      <c r="F216" s="12">
        <v>268.2</v>
      </c>
      <c r="G216" s="11">
        <v>282.52</v>
      </c>
      <c r="H216" s="12">
        <v>310.10000000000002</v>
      </c>
      <c r="I216" s="11">
        <v>282.52</v>
      </c>
      <c r="J216" s="12">
        <v>484.5</v>
      </c>
      <c r="K216" s="11">
        <v>282.52</v>
      </c>
      <c r="L216" s="12">
        <v>483.8</v>
      </c>
      <c r="M216" s="11">
        <v>282.52</v>
      </c>
      <c r="N216" s="13">
        <v>230.4</v>
      </c>
      <c r="O216" s="13">
        <v>246</v>
      </c>
      <c r="P216" s="13">
        <v>268.2</v>
      </c>
      <c r="Q216" s="11">
        <v>310.10000000000002</v>
      </c>
      <c r="R216" s="11">
        <v>484.5</v>
      </c>
      <c r="S216" s="14">
        <v>483.8</v>
      </c>
      <c r="T216" s="11">
        <v>282.52</v>
      </c>
      <c r="U216" s="13">
        <f>IF('0.0%'!$N216&lt;$Z$3,0, '0.0%'!$O216/'0.0%'!$N216)</f>
        <v>1.0677083333333333</v>
      </c>
      <c r="V216" s="13">
        <f>IF('0.0%'!$N216&lt;$Z$3,0, '0.0%'!$P216/'0.0%'!$N216)</f>
        <v>1.1640625</v>
      </c>
      <c r="W216" s="13">
        <f>IF('0.0%'!$N216&lt;$Z$3,0, '0.0%'!$Q216/'0.0%'!$N216)</f>
        <v>1.3459201388888891</v>
      </c>
      <c r="X216" s="13">
        <f>IF('0.0%'!$N216&lt;$Z$3,0, '0.0%'!$R216/'0.0%'!$N216)</f>
        <v>2.1028645833333335</v>
      </c>
      <c r="Y216" s="13">
        <f>IF('0.0%'!$N216&lt;$Z$3,0, '0.0%'!$S216/'0.0%'!$N216)</f>
        <v>2.0998263888888888</v>
      </c>
    </row>
    <row r="217" spans="1:25" x14ac:dyDescent="0.3">
      <c r="A217" s="17">
        <v>283.51</v>
      </c>
      <c r="B217" s="10">
        <v>231.7</v>
      </c>
      <c r="C217" s="9">
        <v>283.51</v>
      </c>
      <c r="D217" s="10">
        <v>247.4</v>
      </c>
      <c r="E217" s="11">
        <v>283.51</v>
      </c>
      <c r="F217" s="12">
        <v>268.39999999999998</v>
      </c>
      <c r="G217" s="11">
        <v>283.51</v>
      </c>
      <c r="H217" s="12">
        <v>311.5</v>
      </c>
      <c r="I217" s="11">
        <v>283.51</v>
      </c>
      <c r="J217" s="12">
        <v>489.5</v>
      </c>
      <c r="K217" s="11">
        <v>283.51</v>
      </c>
      <c r="L217" s="12">
        <v>486.9</v>
      </c>
      <c r="M217" s="11">
        <v>283.51</v>
      </c>
      <c r="N217" s="13">
        <v>231.7</v>
      </c>
      <c r="O217" s="13">
        <v>247.4</v>
      </c>
      <c r="P217" s="13">
        <v>268.39999999999998</v>
      </c>
      <c r="Q217" s="11">
        <v>311.5</v>
      </c>
      <c r="R217" s="11">
        <v>489.5</v>
      </c>
      <c r="S217" s="14">
        <v>486.9</v>
      </c>
      <c r="T217" s="11">
        <v>283.51</v>
      </c>
      <c r="U217" s="13">
        <f>IF('0.0%'!$N217&lt;$Z$3,0, '0.0%'!$O217/'0.0%'!$N217)</f>
        <v>1.0677600345274063</v>
      </c>
      <c r="V217" s="13">
        <f>IF('0.0%'!$N217&lt;$Z$3,0, '0.0%'!$P217/'0.0%'!$N217)</f>
        <v>1.1583944756150193</v>
      </c>
      <c r="W217" s="13">
        <f>IF('0.0%'!$N217&lt;$Z$3,0, '0.0%'!$Q217/'0.0%'!$N217)</f>
        <v>1.3444108761329305</v>
      </c>
      <c r="X217" s="13">
        <f>IF('0.0%'!$N217&lt;$Z$3,0, '0.0%'!$R217/'0.0%'!$N217)</f>
        <v>2.1126456624946051</v>
      </c>
      <c r="Y217" s="13">
        <f>IF('0.0%'!$N217&lt;$Z$3,0, '0.0%'!$S217/'0.0%'!$N217)</f>
        <v>2.1014242555028053</v>
      </c>
    </row>
    <row r="218" spans="1:25" x14ac:dyDescent="0.3">
      <c r="A218" s="17">
        <v>284.5</v>
      </c>
      <c r="B218" s="10">
        <v>231.8</v>
      </c>
      <c r="C218" s="9">
        <v>284.5</v>
      </c>
      <c r="D218" s="10">
        <v>247.7</v>
      </c>
      <c r="E218" s="11">
        <v>284.5</v>
      </c>
      <c r="F218" s="12">
        <v>267.7</v>
      </c>
      <c r="G218" s="11">
        <v>284.5</v>
      </c>
      <c r="H218" s="12">
        <v>311.89999999999998</v>
      </c>
      <c r="I218" s="11">
        <v>284.5</v>
      </c>
      <c r="J218" s="12">
        <v>493.6</v>
      </c>
      <c r="K218" s="11">
        <v>284.5</v>
      </c>
      <c r="L218" s="12">
        <v>489.2</v>
      </c>
      <c r="M218" s="11">
        <v>284.5</v>
      </c>
      <c r="N218" s="13">
        <v>231.8</v>
      </c>
      <c r="O218" s="13">
        <v>247.7</v>
      </c>
      <c r="P218" s="13">
        <v>267.7</v>
      </c>
      <c r="Q218" s="11">
        <v>311.89999999999998</v>
      </c>
      <c r="R218" s="11">
        <v>493.6</v>
      </c>
      <c r="S218" s="14">
        <v>489.2</v>
      </c>
      <c r="T218" s="11">
        <v>284.5</v>
      </c>
      <c r="U218" s="13">
        <f>IF('0.0%'!$N218&lt;$Z$3,0, '0.0%'!$O218/'0.0%'!$N218)</f>
        <v>1.0685936151855047</v>
      </c>
      <c r="V218" s="13">
        <f>IF('0.0%'!$N218&lt;$Z$3,0, '0.0%'!$P218/'0.0%'!$N218)</f>
        <v>1.1548748921484038</v>
      </c>
      <c r="W218" s="13">
        <f>IF('0.0%'!$N218&lt;$Z$3,0, '0.0%'!$Q218/'0.0%'!$N218)</f>
        <v>1.3455565142364105</v>
      </c>
      <c r="X218" s="13">
        <f>IF('0.0%'!$N218&lt;$Z$3,0, '0.0%'!$R218/'0.0%'!$N218)</f>
        <v>2.1294219154443486</v>
      </c>
      <c r="Y218" s="13">
        <f>IF('0.0%'!$N218&lt;$Z$3,0, '0.0%'!$S218/'0.0%'!$N218)</f>
        <v>2.1104400345125107</v>
      </c>
    </row>
    <row r="219" spans="1:25" x14ac:dyDescent="0.3">
      <c r="A219" s="17">
        <v>285.49</v>
      </c>
      <c r="B219" s="10">
        <v>233.1</v>
      </c>
      <c r="C219" s="9">
        <v>285.49</v>
      </c>
      <c r="D219" s="10">
        <v>249.1</v>
      </c>
      <c r="E219" s="11">
        <v>285.49</v>
      </c>
      <c r="F219" s="12">
        <v>268</v>
      </c>
      <c r="G219" s="11">
        <v>285.49</v>
      </c>
      <c r="H219" s="12">
        <v>313.39999999999998</v>
      </c>
      <c r="I219" s="11">
        <v>285.49</v>
      </c>
      <c r="J219" s="12">
        <v>498.6</v>
      </c>
      <c r="K219" s="11">
        <v>285.49</v>
      </c>
      <c r="L219" s="12">
        <v>492.6</v>
      </c>
      <c r="M219" s="11">
        <v>285.49</v>
      </c>
      <c r="N219" s="13">
        <v>233.1</v>
      </c>
      <c r="O219" s="13">
        <v>249.1</v>
      </c>
      <c r="P219" s="13">
        <v>268</v>
      </c>
      <c r="Q219" s="11">
        <v>313.39999999999998</v>
      </c>
      <c r="R219" s="11">
        <v>498.6</v>
      </c>
      <c r="S219" s="14">
        <v>492.6</v>
      </c>
      <c r="T219" s="11">
        <v>285.49</v>
      </c>
      <c r="U219" s="13">
        <f>IF('0.0%'!$N219&lt;$Z$3,0, '0.0%'!$O219/'0.0%'!$N219)</f>
        <v>1.0686400686400686</v>
      </c>
      <c r="V219" s="13">
        <f>IF('0.0%'!$N219&lt;$Z$3,0, '0.0%'!$P219/'0.0%'!$N219)</f>
        <v>1.1497211497211497</v>
      </c>
      <c r="W219" s="13">
        <f>IF('0.0%'!$N219&lt;$Z$3,0, '0.0%'!$Q219/'0.0%'!$N219)</f>
        <v>1.3444873444873444</v>
      </c>
      <c r="X219" s="13">
        <f>IF('0.0%'!$N219&lt;$Z$3,0, '0.0%'!$R219/'0.0%'!$N219)</f>
        <v>2.1389961389961392</v>
      </c>
      <c r="Y219" s="13">
        <f>IF('0.0%'!$N219&lt;$Z$3,0, '0.0%'!$S219/'0.0%'!$N219)</f>
        <v>2.1132561132561136</v>
      </c>
    </row>
    <row r="220" spans="1:25" x14ac:dyDescent="0.3">
      <c r="A220" s="17">
        <v>286.49</v>
      </c>
      <c r="B220" s="10">
        <v>233.2</v>
      </c>
      <c r="C220" s="9">
        <v>286.49</v>
      </c>
      <c r="D220" s="10">
        <v>249.4</v>
      </c>
      <c r="E220" s="11">
        <v>286.49</v>
      </c>
      <c r="F220" s="12">
        <v>267.5</v>
      </c>
      <c r="G220" s="11">
        <v>286.49</v>
      </c>
      <c r="H220" s="12">
        <v>313.89999999999998</v>
      </c>
      <c r="I220" s="11">
        <v>286.49</v>
      </c>
      <c r="J220" s="12">
        <v>502.5</v>
      </c>
      <c r="K220" s="11">
        <v>286.49</v>
      </c>
      <c r="L220" s="12">
        <v>495.1</v>
      </c>
      <c r="M220" s="11">
        <v>286.49</v>
      </c>
      <c r="N220" s="13">
        <v>233.2</v>
      </c>
      <c r="O220" s="13">
        <v>249.4</v>
      </c>
      <c r="P220" s="13">
        <v>267.5</v>
      </c>
      <c r="Q220" s="11">
        <v>313.89999999999998</v>
      </c>
      <c r="R220" s="11">
        <v>502.5</v>
      </c>
      <c r="S220" s="14">
        <v>495.1</v>
      </c>
      <c r="T220" s="11">
        <v>286.49</v>
      </c>
      <c r="U220" s="13">
        <f>IF('0.0%'!$N220&lt;$Z$3,0, '0.0%'!$O220/'0.0%'!$N220)</f>
        <v>1.0694682675814753</v>
      </c>
      <c r="V220" s="13">
        <f>IF('0.0%'!$N220&lt;$Z$3,0, '0.0%'!$P220/'0.0%'!$N220)</f>
        <v>1.1470840480274442</v>
      </c>
      <c r="W220" s="13">
        <f>IF('0.0%'!$N220&lt;$Z$3,0, '0.0%'!$Q220/'0.0%'!$N220)</f>
        <v>1.3460548885077186</v>
      </c>
      <c r="X220" s="13">
        <f>IF('0.0%'!$N220&lt;$Z$3,0, '0.0%'!$R220/'0.0%'!$N220)</f>
        <v>2.1548027444253859</v>
      </c>
      <c r="Y220" s="13">
        <f>IF('0.0%'!$N220&lt;$Z$3,0, '0.0%'!$S220/'0.0%'!$N220)</f>
        <v>2.1230703259005148</v>
      </c>
    </row>
    <row r="221" spans="1:25" x14ac:dyDescent="0.3">
      <c r="A221" s="17">
        <v>287.48</v>
      </c>
      <c r="B221" s="10">
        <v>234.4</v>
      </c>
      <c r="C221" s="9">
        <v>287.48</v>
      </c>
      <c r="D221" s="10">
        <v>250.8</v>
      </c>
      <c r="E221" s="11">
        <v>287.48</v>
      </c>
      <c r="F221" s="12">
        <v>267.89999999999998</v>
      </c>
      <c r="G221" s="11">
        <v>287.48</v>
      </c>
      <c r="H221" s="12">
        <v>315.3</v>
      </c>
      <c r="I221" s="11">
        <v>287.48</v>
      </c>
      <c r="J221" s="12">
        <v>507.1</v>
      </c>
      <c r="K221" s="11">
        <v>287.48</v>
      </c>
      <c r="L221" s="12">
        <v>498.3</v>
      </c>
      <c r="M221" s="11">
        <v>287.48</v>
      </c>
      <c r="N221" s="13">
        <v>234.4</v>
      </c>
      <c r="O221" s="13">
        <v>250.8</v>
      </c>
      <c r="P221" s="13">
        <v>267.89999999999998</v>
      </c>
      <c r="Q221" s="11">
        <v>315.3</v>
      </c>
      <c r="R221" s="11">
        <v>507.1</v>
      </c>
      <c r="S221" s="14">
        <v>498.3</v>
      </c>
      <c r="T221" s="11">
        <v>287.48</v>
      </c>
      <c r="U221" s="13">
        <f>IF('0.0%'!$N221&lt;$Z$3,0, '0.0%'!$O221/'0.0%'!$N221)</f>
        <v>1.0699658703071673</v>
      </c>
      <c r="V221" s="13">
        <f>IF('0.0%'!$N221&lt;$Z$3,0, '0.0%'!$P221/'0.0%'!$N221)</f>
        <v>1.1429180887372012</v>
      </c>
      <c r="W221" s="13">
        <f>IF('0.0%'!$N221&lt;$Z$3,0, '0.0%'!$Q221/'0.0%'!$N221)</f>
        <v>1.3451365187713311</v>
      </c>
      <c r="X221" s="13">
        <f>IF('0.0%'!$N221&lt;$Z$3,0, '0.0%'!$R221/'0.0%'!$N221)</f>
        <v>2.16339590443686</v>
      </c>
      <c r="Y221" s="13">
        <f>IF('0.0%'!$N221&lt;$Z$3,0, '0.0%'!$S221/'0.0%'!$N221)</f>
        <v>2.1258532423208192</v>
      </c>
    </row>
    <row r="222" spans="1:25" x14ac:dyDescent="0.3">
      <c r="A222" s="17">
        <v>288.47000000000003</v>
      </c>
      <c r="B222" s="10">
        <v>234.4</v>
      </c>
      <c r="C222" s="9">
        <v>288.47000000000003</v>
      </c>
      <c r="D222" s="10">
        <v>251.1</v>
      </c>
      <c r="E222" s="11">
        <v>288.47000000000003</v>
      </c>
      <c r="F222" s="12">
        <v>267.2</v>
      </c>
      <c r="G222" s="11">
        <v>288.47000000000003</v>
      </c>
      <c r="H222" s="12">
        <v>315.7</v>
      </c>
      <c r="I222" s="11">
        <v>288.47000000000003</v>
      </c>
      <c r="J222" s="12">
        <v>510.4</v>
      </c>
      <c r="K222" s="11">
        <v>288.47000000000003</v>
      </c>
      <c r="L222" s="12">
        <v>500.3</v>
      </c>
      <c r="M222" s="11">
        <v>288.47000000000003</v>
      </c>
      <c r="N222" s="13">
        <v>234.4</v>
      </c>
      <c r="O222" s="13">
        <v>251.1</v>
      </c>
      <c r="P222" s="13">
        <v>267.2</v>
      </c>
      <c r="Q222" s="11">
        <v>315.7</v>
      </c>
      <c r="R222" s="11">
        <v>510.4</v>
      </c>
      <c r="S222" s="14">
        <v>500.3</v>
      </c>
      <c r="T222" s="11">
        <v>288.47000000000003</v>
      </c>
      <c r="U222" s="13">
        <f>IF('0.0%'!$N222&lt;$Z$3,0, '0.0%'!$O222/'0.0%'!$N222)</f>
        <v>1.0712457337883958</v>
      </c>
      <c r="V222" s="13">
        <f>IF('0.0%'!$N222&lt;$Z$3,0, '0.0%'!$P222/'0.0%'!$N222)</f>
        <v>1.1399317406143343</v>
      </c>
      <c r="W222" s="13">
        <f>IF('0.0%'!$N222&lt;$Z$3,0, '0.0%'!$Q222/'0.0%'!$N222)</f>
        <v>1.3468430034129693</v>
      </c>
      <c r="X222" s="13">
        <f>IF('0.0%'!$N222&lt;$Z$3,0, '0.0%'!$R222/'0.0%'!$N222)</f>
        <v>2.1774744027303754</v>
      </c>
      <c r="Y222" s="13">
        <f>IF('0.0%'!$N222&lt;$Z$3,0, '0.0%'!$S222/'0.0%'!$N222)</f>
        <v>2.1343856655290101</v>
      </c>
    </row>
    <row r="223" spans="1:25" x14ac:dyDescent="0.3">
      <c r="A223" s="17">
        <v>289.45999999999998</v>
      </c>
      <c r="B223" s="10">
        <v>235.4</v>
      </c>
      <c r="C223" s="9">
        <v>289.45999999999998</v>
      </c>
      <c r="D223" s="10">
        <v>252.3</v>
      </c>
      <c r="E223" s="11">
        <v>289.45999999999998</v>
      </c>
      <c r="F223" s="12">
        <v>267.60000000000002</v>
      </c>
      <c r="G223" s="11">
        <v>289.45999999999998</v>
      </c>
      <c r="H223" s="12">
        <v>316.89999999999998</v>
      </c>
      <c r="I223" s="11">
        <v>289.45999999999998</v>
      </c>
      <c r="J223" s="12">
        <v>514.20000000000005</v>
      </c>
      <c r="K223" s="11">
        <v>289.45999999999998</v>
      </c>
      <c r="L223" s="12">
        <v>502.9</v>
      </c>
      <c r="M223" s="11">
        <v>289.45999999999998</v>
      </c>
      <c r="N223" s="13">
        <v>235.4</v>
      </c>
      <c r="O223" s="13">
        <v>252.3</v>
      </c>
      <c r="P223" s="13">
        <v>267.60000000000002</v>
      </c>
      <c r="Q223" s="11">
        <v>316.89999999999998</v>
      </c>
      <c r="R223" s="11">
        <v>514.20000000000005</v>
      </c>
      <c r="S223" s="14">
        <v>502.9</v>
      </c>
      <c r="T223" s="11">
        <v>289.45999999999998</v>
      </c>
      <c r="U223" s="13">
        <f>IF('0.0%'!$N223&lt;$Z$3,0, '0.0%'!$O223/'0.0%'!$N223)</f>
        <v>1.0717926932880204</v>
      </c>
      <c r="V223" s="13">
        <f>IF('0.0%'!$N223&lt;$Z$3,0, '0.0%'!$P223/'0.0%'!$N223)</f>
        <v>1.1367884451996602</v>
      </c>
      <c r="W223" s="13">
        <f>IF('0.0%'!$N223&lt;$Z$3,0, '0.0%'!$Q223/'0.0%'!$N223)</f>
        <v>1.3462192013593881</v>
      </c>
      <c r="X223" s="13">
        <f>IF('0.0%'!$N223&lt;$Z$3,0, '0.0%'!$R223/'0.0%'!$N223)</f>
        <v>2.1843670348343247</v>
      </c>
      <c r="Y223" s="13">
        <f>IF('0.0%'!$N223&lt;$Z$3,0, '0.0%'!$S223/'0.0%'!$N223)</f>
        <v>2.1363636363636362</v>
      </c>
    </row>
    <row r="224" spans="1:25" x14ac:dyDescent="0.3">
      <c r="A224" s="17">
        <v>290.45</v>
      </c>
      <c r="B224" s="10">
        <v>235.4</v>
      </c>
      <c r="C224" s="9">
        <v>290.45</v>
      </c>
      <c r="D224" s="10">
        <v>252.5</v>
      </c>
      <c r="E224" s="11">
        <v>290.45</v>
      </c>
      <c r="F224" s="12">
        <v>266.89999999999998</v>
      </c>
      <c r="G224" s="11">
        <v>290.45</v>
      </c>
      <c r="H224" s="12">
        <v>317</v>
      </c>
      <c r="I224" s="11">
        <v>290.45</v>
      </c>
      <c r="J224" s="12">
        <v>517</v>
      </c>
      <c r="K224" s="11">
        <v>290.45</v>
      </c>
      <c r="L224" s="12">
        <v>504.5</v>
      </c>
      <c r="M224" s="11">
        <v>290.45</v>
      </c>
      <c r="N224" s="13">
        <v>235.4</v>
      </c>
      <c r="O224" s="13">
        <v>252.5</v>
      </c>
      <c r="P224" s="13">
        <v>266.89999999999998</v>
      </c>
      <c r="Q224" s="11">
        <v>317</v>
      </c>
      <c r="R224" s="11">
        <v>517</v>
      </c>
      <c r="S224" s="14">
        <v>504.5</v>
      </c>
      <c r="T224" s="11">
        <v>290.45</v>
      </c>
      <c r="U224" s="13">
        <f>IF('0.0%'!$N224&lt;$Z$3,0, '0.0%'!$O224/'0.0%'!$N224)</f>
        <v>1.072642310960068</v>
      </c>
      <c r="V224" s="13">
        <f>IF('0.0%'!$N224&lt;$Z$3,0, '0.0%'!$P224/'0.0%'!$N224)</f>
        <v>1.1338147833474934</v>
      </c>
      <c r="W224" s="13">
        <f>IF('0.0%'!$N224&lt;$Z$3,0, '0.0%'!$Q224/'0.0%'!$N224)</f>
        <v>1.346644010195412</v>
      </c>
      <c r="X224" s="13">
        <f>IF('0.0%'!$N224&lt;$Z$3,0, '0.0%'!$R224/'0.0%'!$N224)</f>
        <v>2.1962616822429908</v>
      </c>
      <c r="Y224" s="13">
        <f>IF('0.0%'!$N224&lt;$Z$3,0, '0.0%'!$S224/'0.0%'!$N224)</f>
        <v>2.1431605777400171</v>
      </c>
    </row>
    <row r="225" spans="1:25" x14ac:dyDescent="0.3">
      <c r="A225" s="17">
        <v>291.44</v>
      </c>
      <c r="B225" s="10">
        <v>236.5</v>
      </c>
      <c r="C225" s="9">
        <v>291.44</v>
      </c>
      <c r="D225" s="10">
        <v>253.7</v>
      </c>
      <c r="E225" s="11">
        <v>291.44</v>
      </c>
      <c r="F225" s="12">
        <v>267.3</v>
      </c>
      <c r="G225" s="11">
        <v>291.44</v>
      </c>
      <c r="H225" s="12">
        <v>318.10000000000002</v>
      </c>
      <c r="I225" s="11">
        <v>291.44</v>
      </c>
      <c r="J225" s="12">
        <v>520.5</v>
      </c>
      <c r="K225" s="11">
        <v>291.44</v>
      </c>
      <c r="L225" s="12">
        <v>506.9</v>
      </c>
      <c r="M225" s="11">
        <v>291.44</v>
      </c>
      <c r="N225" s="13">
        <v>236.5</v>
      </c>
      <c r="O225" s="13">
        <v>253.7</v>
      </c>
      <c r="P225" s="13">
        <v>267.3</v>
      </c>
      <c r="Q225" s="11">
        <v>318.10000000000002</v>
      </c>
      <c r="R225" s="11">
        <v>520.5</v>
      </c>
      <c r="S225" s="14">
        <v>506.9</v>
      </c>
      <c r="T225" s="11">
        <v>291.44</v>
      </c>
      <c r="U225" s="13">
        <f>IF('0.0%'!$N225&lt;$Z$3,0, '0.0%'!$O225/'0.0%'!$N225)</f>
        <v>1.0727272727272728</v>
      </c>
      <c r="V225" s="13">
        <f>IF('0.0%'!$N225&lt;$Z$3,0, '0.0%'!$P225/'0.0%'!$N225)</f>
        <v>1.1302325581395349</v>
      </c>
      <c r="W225" s="13">
        <f>IF('0.0%'!$N225&lt;$Z$3,0, '0.0%'!$Q225/'0.0%'!$N225)</f>
        <v>1.3450317124735731</v>
      </c>
      <c r="X225" s="13">
        <f>IF('0.0%'!$N225&lt;$Z$3,0, '0.0%'!$R225/'0.0%'!$N225)</f>
        <v>2.2008456659619449</v>
      </c>
      <c r="Y225" s="13">
        <f>IF('0.0%'!$N225&lt;$Z$3,0, '0.0%'!$S225/'0.0%'!$N225)</f>
        <v>2.1433403805496827</v>
      </c>
    </row>
    <row r="226" spans="1:25" x14ac:dyDescent="0.3">
      <c r="A226" s="17">
        <v>292.44</v>
      </c>
      <c r="B226" s="10">
        <v>236.6</v>
      </c>
      <c r="C226" s="9">
        <v>292.44</v>
      </c>
      <c r="D226" s="10">
        <v>253.9</v>
      </c>
      <c r="E226" s="11">
        <v>292.44</v>
      </c>
      <c r="F226" s="12">
        <v>266.7</v>
      </c>
      <c r="G226" s="11">
        <v>292.44</v>
      </c>
      <c r="H226" s="12">
        <v>318.3</v>
      </c>
      <c r="I226" s="11">
        <v>292.44</v>
      </c>
      <c r="J226" s="12">
        <v>523</v>
      </c>
      <c r="K226" s="11">
        <v>292.44</v>
      </c>
      <c r="L226" s="12">
        <v>508.5</v>
      </c>
      <c r="M226" s="11">
        <v>292.44</v>
      </c>
      <c r="N226" s="13">
        <v>236.6</v>
      </c>
      <c r="O226" s="13">
        <v>253.9</v>
      </c>
      <c r="P226" s="13">
        <v>266.7</v>
      </c>
      <c r="Q226" s="11">
        <v>318.3</v>
      </c>
      <c r="R226" s="11">
        <v>523</v>
      </c>
      <c r="S226" s="14">
        <v>508.5</v>
      </c>
      <c r="T226" s="11">
        <v>292.44</v>
      </c>
      <c r="U226" s="13">
        <f>IF('0.0%'!$N226&lt;$Z$3,0, '0.0%'!$O226/'0.0%'!$N226)</f>
        <v>1.0731191885038038</v>
      </c>
      <c r="V226" s="13">
        <f>IF('0.0%'!$N226&lt;$Z$3,0, '0.0%'!$P226/'0.0%'!$N226)</f>
        <v>1.1272189349112425</v>
      </c>
      <c r="W226" s="13">
        <f>IF('0.0%'!$N226&lt;$Z$3,0, '0.0%'!$Q226/'0.0%'!$N226)</f>
        <v>1.3453085376162299</v>
      </c>
      <c r="X226" s="13">
        <f>IF('0.0%'!$N226&lt;$Z$3,0, '0.0%'!$R226/'0.0%'!$N226)</f>
        <v>2.2104818258664412</v>
      </c>
      <c r="Y226" s="13">
        <f>IF('0.0%'!$N226&lt;$Z$3,0, '0.0%'!$S226/'0.0%'!$N226)</f>
        <v>2.1491969568892646</v>
      </c>
    </row>
    <row r="227" spans="1:25" x14ac:dyDescent="0.3">
      <c r="A227" s="17">
        <v>293.43</v>
      </c>
      <c r="B227" s="10">
        <v>237.7</v>
      </c>
      <c r="C227" s="9">
        <v>293.43</v>
      </c>
      <c r="D227" s="10">
        <v>255.2</v>
      </c>
      <c r="E227" s="11">
        <v>293.43</v>
      </c>
      <c r="F227" s="12">
        <v>267.2</v>
      </c>
      <c r="G227" s="11">
        <v>293.43</v>
      </c>
      <c r="H227" s="12">
        <v>319.5</v>
      </c>
      <c r="I227" s="11">
        <v>293.43</v>
      </c>
      <c r="J227" s="12">
        <v>526.29999999999995</v>
      </c>
      <c r="K227" s="11">
        <v>293.43</v>
      </c>
      <c r="L227" s="12">
        <v>511</v>
      </c>
      <c r="M227" s="11">
        <v>293.43</v>
      </c>
      <c r="N227" s="13">
        <v>237.7</v>
      </c>
      <c r="O227" s="13">
        <v>255.2</v>
      </c>
      <c r="P227" s="13">
        <v>267.2</v>
      </c>
      <c r="Q227" s="11">
        <v>319.5</v>
      </c>
      <c r="R227" s="11">
        <v>526.29999999999995</v>
      </c>
      <c r="S227" s="14">
        <v>511</v>
      </c>
      <c r="T227" s="11">
        <v>293.43</v>
      </c>
      <c r="U227" s="13">
        <f>IF('0.0%'!$N227&lt;$Z$3,0, '0.0%'!$O227/'0.0%'!$N227)</f>
        <v>1.0736222128733699</v>
      </c>
      <c r="V227" s="13">
        <f>IF('0.0%'!$N227&lt;$Z$3,0, '0.0%'!$P227/'0.0%'!$N227)</f>
        <v>1.1241060159865377</v>
      </c>
      <c r="W227" s="13">
        <f>IF('0.0%'!$N227&lt;$Z$3,0, '0.0%'!$Q227/'0.0%'!$N227)</f>
        <v>1.3441312578880944</v>
      </c>
      <c r="X227" s="13">
        <f>IF('0.0%'!$N227&lt;$Z$3,0, '0.0%'!$R227/'0.0%'!$N227)</f>
        <v>2.2141354648716871</v>
      </c>
      <c r="Y227" s="13">
        <f>IF('0.0%'!$N227&lt;$Z$3,0, '0.0%'!$S227/'0.0%'!$N227)</f>
        <v>2.1497686159023979</v>
      </c>
    </row>
    <row r="228" spans="1:25" x14ac:dyDescent="0.3">
      <c r="A228" s="17">
        <v>294.42</v>
      </c>
      <c r="B228" s="10">
        <v>237.6</v>
      </c>
      <c r="C228" s="9">
        <v>294.42</v>
      </c>
      <c r="D228" s="10">
        <v>255.3</v>
      </c>
      <c r="E228" s="11">
        <v>294.42</v>
      </c>
      <c r="F228" s="12">
        <v>266.7</v>
      </c>
      <c r="G228" s="11">
        <v>294.42</v>
      </c>
      <c r="H228" s="12">
        <v>319.5</v>
      </c>
      <c r="I228" s="11">
        <v>294.42</v>
      </c>
      <c r="J228" s="12">
        <v>528.5</v>
      </c>
      <c r="K228" s="11">
        <v>294.42</v>
      </c>
      <c r="L228" s="12">
        <v>512.29999999999995</v>
      </c>
      <c r="M228" s="11">
        <v>294.42</v>
      </c>
      <c r="N228" s="13">
        <v>237.6</v>
      </c>
      <c r="O228" s="13">
        <v>255.3</v>
      </c>
      <c r="P228" s="13">
        <v>266.7</v>
      </c>
      <c r="Q228" s="11">
        <v>319.5</v>
      </c>
      <c r="R228" s="11">
        <v>528.5</v>
      </c>
      <c r="S228" s="14">
        <v>512.29999999999995</v>
      </c>
      <c r="T228" s="11">
        <v>294.42</v>
      </c>
      <c r="U228" s="13">
        <f>IF('0.0%'!$N228&lt;$Z$3,0, '0.0%'!$O228/'0.0%'!$N228)</f>
        <v>1.0744949494949496</v>
      </c>
      <c r="V228" s="13">
        <f>IF('0.0%'!$N228&lt;$Z$3,0, '0.0%'!$P228/'0.0%'!$N228)</f>
        <v>1.1224747474747474</v>
      </c>
      <c r="W228" s="13">
        <f>IF('0.0%'!$N228&lt;$Z$3,0, '0.0%'!$Q228/'0.0%'!$N228)</f>
        <v>1.3446969696969697</v>
      </c>
      <c r="X228" s="13">
        <f>IF('0.0%'!$N228&lt;$Z$3,0, '0.0%'!$R228/'0.0%'!$N228)</f>
        <v>2.2243265993265995</v>
      </c>
      <c r="Y228" s="13">
        <f>IF('0.0%'!$N228&lt;$Z$3,0, '0.0%'!$S228/'0.0%'!$N228)</f>
        <v>2.1561447811447811</v>
      </c>
    </row>
    <row r="229" spans="1:25" x14ac:dyDescent="0.3">
      <c r="A229" s="17">
        <v>295.41000000000003</v>
      </c>
      <c r="B229" s="10">
        <v>238.5</v>
      </c>
      <c r="C229" s="9">
        <v>295.41000000000003</v>
      </c>
      <c r="D229" s="10">
        <v>256.3</v>
      </c>
      <c r="E229" s="11">
        <v>295.41000000000003</v>
      </c>
      <c r="F229" s="12">
        <v>267</v>
      </c>
      <c r="G229" s="11">
        <v>295.41000000000003</v>
      </c>
      <c r="H229" s="12">
        <v>320.39999999999998</v>
      </c>
      <c r="I229" s="11">
        <v>295.41000000000003</v>
      </c>
      <c r="J229" s="12">
        <v>531.20000000000005</v>
      </c>
      <c r="K229" s="11">
        <v>295.41000000000003</v>
      </c>
      <c r="L229" s="12">
        <v>514.1</v>
      </c>
      <c r="M229" s="11">
        <v>295.41000000000003</v>
      </c>
      <c r="N229" s="13">
        <v>238.5</v>
      </c>
      <c r="O229" s="13">
        <v>256.3</v>
      </c>
      <c r="P229" s="13">
        <v>267</v>
      </c>
      <c r="Q229" s="11">
        <v>320.39999999999998</v>
      </c>
      <c r="R229" s="11">
        <v>531.20000000000005</v>
      </c>
      <c r="S229" s="14">
        <v>514.1</v>
      </c>
      <c r="T229" s="11">
        <v>295.41000000000003</v>
      </c>
      <c r="U229" s="13">
        <f>IF('0.0%'!$N229&lt;$Z$3,0, '0.0%'!$O229/'0.0%'!$N229)</f>
        <v>1.0746331236897275</v>
      </c>
      <c r="V229" s="13">
        <f>IF('0.0%'!$N229&lt;$Z$3,0, '0.0%'!$P229/'0.0%'!$N229)</f>
        <v>1.1194968553459119</v>
      </c>
      <c r="W229" s="13">
        <f>IF('0.0%'!$N229&lt;$Z$3,0, '0.0%'!$Q229/'0.0%'!$N229)</f>
        <v>1.3433962264150943</v>
      </c>
      <c r="X229" s="13">
        <f>IF('0.0%'!$N229&lt;$Z$3,0, '0.0%'!$R229/'0.0%'!$N229)</f>
        <v>2.2272536687631028</v>
      </c>
      <c r="Y229" s="13">
        <f>IF('0.0%'!$N229&lt;$Z$3,0, '0.0%'!$S229/'0.0%'!$N229)</f>
        <v>2.1555555555555554</v>
      </c>
    </row>
    <row r="230" spans="1:25" x14ac:dyDescent="0.3">
      <c r="A230" s="17">
        <v>296.39999999999998</v>
      </c>
      <c r="B230" s="10">
        <v>238.7</v>
      </c>
      <c r="C230" s="9">
        <v>296.39999999999998</v>
      </c>
      <c r="D230" s="10">
        <v>256.7</v>
      </c>
      <c r="E230" s="11">
        <v>296.39999999999998</v>
      </c>
      <c r="F230" s="12">
        <v>266.8</v>
      </c>
      <c r="G230" s="11">
        <v>296.39999999999998</v>
      </c>
      <c r="H230" s="12">
        <v>320.60000000000002</v>
      </c>
      <c r="I230" s="11">
        <v>296.39999999999998</v>
      </c>
      <c r="J230" s="12">
        <v>533.29999999999995</v>
      </c>
      <c r="K230" s="11">
        <v>296.39999999999998</v>
      </c>
      <c r="L230" s="12">
        <v>515.20000000000005</v>
      </c>
      <c r="M230" s="11">
        <v>296.39999999999998</v>
      </c>
      <c r="N230" s="13">
        <v>238.7</v>
      </c>
      <c r="O230" s="13">
        <v>256.7</v>
      </c>
      <c r="P230" s="13">
        <v>266.8</v>
      </c>
      <c r="Q230" s="11">
        <v>320.60000000000002</v>
      </c>
      <c r="R230" s="11">
        <v>533.29999999999995</v>
      </c>
      <c r="S230" s="14">
        <v>515.20000000000005</v>
      </c>
      <c r="T230" s="11">
        <v>296.39999999999998</v>
      </c>
      <c r="U230" s="13">
        <f>IF('0.0%'!$N230&lt;$Z$3,0, '0.0%'!$O230/'0.0%'!$N230)</f>
        <v>1.0754084625052367</v>
      </c>
      <c r="V230" s="13">
        <f>IF('0.0%'!$N230&lt;$Z$3,0, '0.0%'!$P230/'0.0%'!$N230)</f>
        <v>1.1177209886887307</v>
      </c>
      <c r="W230" s="13">
        <f>IF('0.0%'!$N230&lt;$Z$3,0, '0.0%'!$Q230/'0.0%'!$N230)</f>
        <v>1.3431085043988271</v>
      </c>
      <c r="X230" s="13">
        <f>IF('0.0%'!$N230&lt;$Z$3,0, '0.0%'!$R230/'0.0%'!$N230)</f>
        <v>2.2341851696690407</v>
      </c>
      <c r="Y230" s="13">
        <f>IF('0.0%'!$N230&lt;$Z$3,0, '0.0%'!$S230/'0.0%'!$N230)</f>
        <v>2.1583577712609974</v>
      </c>
    </row>
    <row r="231" spans="1:25" x14ac:dyDescent="0.3">
      <c r="A231" s="17">
        <v>297.39999999999998</v>
      </c>
      <c r="B231" s="10">
        <v>238.2</v>
      </c>
      <c r="C231" s="9">
        <v>297.39999999999998</v>
      </c>
      <c r="D231" s="10">
        <v>256.3</v>
      </c>
      <c r="E231" s="11">
        <v>297.39999999999998</v>
      </c>
      <c r="F231" s="12">
        <v>265.89999999999998</v>
      </c>
      <c r="G231" s="11">
        <v>297.39999999999998</v>
      </c>
      <c r="H231" s="12">
        <v>320.2</v>
      </c>
      <c r="I231" s="11">
        <v>297.39999999999998</v>
      </c>
      <c r="J231" s="12">
        <v>534.4</v>
      </c>
      <c r="K231" s="11">
        <v>297.39999999999998</v>
      </c>
      <c r="L231" s="12">
        <v>515.5</v>
      </c>
      <c r="M231" s="11">
        <v>297.39999999999998</v>
      </c>
      <c r="N231" s="13">
        <v>238.2</v>
      </c>
      <c r="O231" s="13">
        <v>256.3</v>
      </c>
      <c r="P231" s="13">
        <v>265.89999999999998</v>
      </c>
      <c r="Q231" s="11">
        <v>320.2</v>
      </c>
      <c r="R231" s="11">
        <v>534.4</v>
      </c>
      <c r="S231" s="14">
        <v>515.5</v>
      </c>
      <c r="T231" s="11">
        <v>297.39999999999998</v>
      </c>
      <c r="U231" s="13">
        <f>IF('0.0%'!$N231&lt;$Z$3,0, '0.0%'!$O231/'0.0%'!$N231)</f>
        <v>1.0759865659109993</v>
      </c>
      <c r="V231" s="13">
        <f>IF('0.0%'!$N231&lt;$Z$3,0, '0.0%'!$P231/'0.0%'!$N231)</f>
        <v>1.1162888329135181</v>
      </c>
      <c r="W231" s="13">
        <f>IF('0.0%'!$N231&lt;$Z$3,0, '0.0%'!$Q231/'0.0%'!$N231)</f>
        <v>1.3442485306465155</v>
      </c>
      <c r="X231" s="13">
        <f>IF('0.0%'!$N231&lt;$Z$3,0, '0.0%'!$R231/'0.0%'!$N231)</f>
        <v>2.2434928631402182</v>
      </c>
      <c r="Y231" s="13">
        <f>IF('0.0%'!$N231&lt;$Z$3,0, '0.0%'!$S231/'0.0%'!$N231)</f>
        <v>2.1641477749790092</v>
      </c>
    </row>
    <row r="232" spans="1:25" x14ac:dyDescent="0.3">
      <c r="A232" s="17">
        <v>298.39</v>
      </c>
      <c r="B232" s="10">
        <v>238.7</v>
      </c>
      <c r="C232" s="9">
        <v>298.39</v>
      </c>
      <c r="D232" s="10">
        <v>256.89999999999998</v>
      </c>
      <c r="E232" s="11">
        <v>298.39</v>
      </c>
      <c r="F232" s="12">
        <v>266</v>
      </c>
      <c r="G232" s="11">
        <v>298.39</v>
      </c>
      <c r="H232" s="12">
        <v>320.8</v>
      </c>
      <c r="I232" s="11">
        <v>298.39</v>
      </c>
      <c r="J232" s="12">
        <v>536</v>
      </c>
      <c r="K232" s="11">
        <v>298.39</v>
      </c>
      <c r="L232" s="12">
        <v>516.6</v>
      </c>
      <c r="M232" s="11">
        <v>298.39</v>
      </c>
      <c r="N232" s="13">
        <v>238.7</v>
      </c>
      <c r="O232" s="13">
        <v>256.89999999999998</v>
      </c>
      <c r="P232" s="13">
        <v>266</v>
      </c>
      <c r="Q232" s="11">
        <v>320.8</v>
      </c>
      <c r="R232" s="11">
        <v>536</v>
      </c>
      <c r="S232" s="14">
        <v>516.6</v>
      </c>
      <c r="T232" s="11">
        <v>298.39</v>
      </c>
      <c r="U232" s="13">
        <f>IF('0.0%'!$N232&lt;$Z$3,0, '0.0%'!$O232/'0.0%'!$N232)</f>
        <v>1.0762463343108504</v>
      </c>
      <c r="V232" s="13">
        <f>IF('0.0%'!$N232&lt;$Z$3,0, '0.0%'!$P232/'0.0%'!$N232)</f>
        <v>1.1143695014662758</v>
      </c>
      <c r="W232" s="13">
        <f>IF('0.0%'!$N232&lt;$Z$3,0, '0.0%'!$Q232/'0.0%'!$N232)</f>
        <v>1.3439463762044408</v>
      </c>
      <c r="X232" s="13">
        <f>IF('0.0%'!$N232&lt;$Z$3,0, '0.0%'!$R232/'0.0%'!$N232)</f>
        <v>2.2454964390448264</v>
      </c>
      <c r="Y232" s="13">
        <f>IF('0.0%'!$N232&lt;$Z$3,0, '0.0%'!$S232/'0.0%'!$N232)</f>
        <v>2.1642228739002936</v>
      </c>
    </row>
    <row r="233" spans="1:25" x14ac:dyDescent="0.3">
      <c r="A233" s="17">
        <v>299.38</v>
      </c>
      <c r="B233" s="10">
        <v>238.1</v>
      </c>
      <c r="C233" s="9">
        <v>299.38</v>
      </c>
      <c r="D233" s="10">
        <v>256.39999999999998</v>
      </c>
      <c r="E233" s="11">
        <v>299.38</v>
      </c>
      <c r="F233" s="12">
        <v>265.10000000000002</v>
      </c>
      <c r="G233" s="11">
        <v>299.38</v>
      </c>
      <c r="H233" s="12">
        <v>320.2</v>
      </c>
      <c r="I233" s="11">
        <v>299.38</v>
      </c>
      <c r="J233" s="12">
        <v>536.70000000000005</v>
      </c>
      <c r="K233" s="11">
        <v>299.38</v>
      </c>
      <c r="L233" s="12">
        <v>516.79999999999995</v>
      </c>
      <c r="M233" s="11">
        <v>299.38</v>
      </c>
      <c r="N233" s="13">
        <v>238.1</v>
      </c>
      <c r="O233" s="13">
        <v>256.39999999999998</v>
      </c>
      <c r="P233" s="13">
        <v>265.10000000000002</v>
      </c>
      <c r="Q233" s="11">
        <v>320.2</v>
      </c>
      <c r="R233" s="11">
        <v>536.70000000000005</v>
      </c>
      <c r="S233" s="14">
        <v>516.79999999999995</v>
      </c>
      <c r="T233" s="11">
        <v>299.38</v>
      </c>
      <c r="U233" s="13">
        <f>IF('0.0%'!$N233&lt;$Z$3,0, '0.0%'!$O233/'0.0%'!$N233)</f>
        <v>1.0768584628307434</v>
      </c>
      <c r="V233" s="13">
        <f>IF('0.0%'!$N233&lt;$Z$3,0, '0.0%'!$P233/'0.0%'!$N233)</f>
        <v>1.1133977320453592</v>
      </c>
      <c r="W233" s="13">
        <f>IF('0.0%'!$N233&lt;$Z$3,0, '0.0%'!$Q233/'0.0%'!$N233)</f>
        <v>1.3448131037379252</v>
      </c>
      <c r="X233" s="13">
        <f>IF('0.0%'!$N233&lt;$Z$3,0, '0.0%'!$R233/'0.0%'!$N233)</f>
        <v>2.2540949181016381</v>
      </c>
      <c r="Y233" s="13">
        <f>IF('0.0%'!$N233&lt;$Z$3,0, '0.0%'!$S233/'0.0%'!$N233)</f>
        <v>2.1705165896682064</v>
      </c>
    </row>
    <row r="234" spans="1:25" x14ac:dyDescent="0.3">
      <c r="A234" s="17">
        <v>300.37</v>
      </c>
      <c r="B234" s="10">
        <v>238.4</v>
      </c>
      <c r="C234" s="9">
        <v>300.37</v>
      </c>
      <c r="D234" s="10">
        <v>256.89999999999998</v>
      </c>
      <c r="E234" s="11">
        <v>300.37</v>
      </c>
      <c r="F234" s="12">
        <v>265.2</v>
      </c>
      <c r="G234" s="11">
        <v>300.37</v>
      </c>
      <c r="H234" s="12">
        <v>320.5</v>
      </c>
      <c r="I234" s="11">
        <v>300.37</v>
      </c>
      <c r="J234" s="12">
        <v>538.1</v>
      </c>
      <c r="K234" s="11">
        <v>300.37</v>
      </c>
      <c r="L234" s="12">
        <v>517.79999999999995</v>
      </c>
      <c r="M234" s="11">
        <v>300.37</v>
      </c>
      <c r="N234" s="13">
        <v>238.4</v>
      </c>
      <c r="O234" s="13">
        <v>256.89999999999998</v>
      </c>
      <c r="P234" s="13">
        <v>265.2</v>
      </c>
      <c r="Q234" s="11">
        <v>320.5</v>
      </c>
      <c r="R234" s="11">
        <v>538.1</v>
      </c>
      <c r="S234" s="14">
        <v>517.79999999999995</v>
      </c>
      <c r="T234" s="11">
        <v>300.37</v>
      </c>
      <c r="U234" s="13">
        <f>IF('0.0%'!$N234&lt;$Z$3,0, '0.0%'!$O234/'0.0%'!$N234)</f>
        <v>1.0776006711409394</v>
      </c>
      <c r="V234" s="13">
        <f>IF('0.0%'!$N234&lt;$Z$3,0, '0.0%'!$P234/'0.0%'!$N234)</f>
        <v>1.1124161073825503</v>
      </c>
      <c r="W234" s="13">
        <f>IF('0.0%'!$N234&lt;$Z$3,0, '0.0%'!$Q234/'0.0%'!$N234)</f>
        <v>1.3443791946308725</v>
      </c>
      <c r="X234" s="13">
        <f>IF('0.0%'!$N234&lt;$Z$3,0, '0.0%'!$R234/'0.0%'!$N234)</f>
        <v>2.2571308724832213</v>
      </c>
      <c r="Y234" s="13">
        <f>IF('0.0%'!$N234&lt;$Z$3,0, '0.0%'!$S234/'0.0%'!$N234)</f>
        <v>2.1719798657718119</v>
      </c>
    </row>
    <row r="235" spans="1:25" x14ac:dyDescent="0.3">
      <c r="A235" s="17">
        <v>301.36</v>
      </c>
      <c r="B235" s="10">
        <v>237.6</v>
      </c>
      <c r="C235" s="9">
        <v>301.36</v>
      </c>
      <c r="D235" s="10">
        <v>256.2</v>
      </c>
      <c r="E235" s="11">
        <v>301.36</v>
      </c>
      <c r="F235" s="12">
        <v>264.2</v>
      </c>
      <c r="G235" s="11">
        <v>301.36</v>
      </c>
      <c r="H235" s="12">
        <v>319.7</v>
      </c>
      <c r="I235" s="11">
        <v>301.36</v>
      </c>
      <c r="J235" s="12">
        <v>538.4</v>
      </c>
      <c r="K235" s="11">
        <v>301.36</v>
      </c>
      <c r="L235" s="12">
        <v>517.70000000000005</v>
      </c>
      <c r="M235" s="11">
        <v>301.36</v>
      </c>
      <c r="N235" s="13">
        <v>237.6</v>
      </c>
      <c r="O235" s="13">
        <v>256.2</v>
      </c>
      <c r="P235" s="13">
        <v>264.2</v>
      </c>
      <c r="Q235" s="11">
        <v>319.7</v>
      </c>
      <c r="R235" s="11">
        <v>538.4</v>
      </c>
      <c r="S235" s="14">
        <v>517.70000000000005</v>
      </c>
      <c r="T235" s="11">
        <v>301.36</v>
      </c>
      <c r="U235" s="13">
        <f>IF('0.0%'!$N235&lt;$Z$3,0, '0.0%'!$O235/'0.0%'!$N235)</f>
        <v>1.0782828282828283</v>
      </c>
      <c r="V235" s="13">
        <f>IF('0.0%'!$N235&lt;$Z$3,0, '0.0%'!$P235/'0.0%'!$N235)</f>
        <v>1.111952861952862</v>
      </c>
      <c r="W235" s="13">
        <f>IF('0.0%'!$N235&lt;$Z$3,0, '0.0%'!$Q235/'0.0%'!$N235)</f>
        <v>1.3455387205387206</v>
      </c>
      <c r="X235" s="13">
        <f>IF('0.0%'!$N235&lt;$Z$3,0, '0.0%'!$R235/'0.0%'!$N235)</f>
        <v>2.265993265993266</v>
      </c>
      <c r="Y235" s="13">
        <f>IF('0.0%'!$N235&lt;$Z$3,0, '0.0%'!$S235/'0.0%'!$N235)</f>
        <v>2.1788720538720541</v>
      </c>
    </row>
    <row r="236" spans="1:25" x14ac:dyDescent="0.3">
      <c r="A236" s="17">
        <v>302.35000000000002</v>
      </c>
      <c r="B236" s="10">
        <v>237.6</v>
      </c>
      <c r="C236" s="9">
        <v>302.35000000000002</v>
      </c>
      <c r="D236" s="10">
        <v>256.39999999999998</v>
      </c>
      <c r="E236" s="11">
        <v>302.35000000000002</v>
      </c>
      <c r="F236" s="12">
        <v>264.10000000000002</v>
      </c>
      <c r="G236" s="11">
        <v>302.35000000000002</v>
      </c>
      <c r="H236" s="12">
        <v>319.7</v>
      </c>
      <c r="I236" s="11">
        <v>302.35000000000002</v>
      </c>
      <c r="J236" s="12">
        <v>539.20000000000005</v>
      </c>
      <c r="K236" s="11">
        <v>302.35000000000002</v>
      </c>
      <c r="L236" s="12">
        <v>518.29999999999995</v>
      </c>
      <c r="M236" s="11">
        <v>302.35000000000002</v>
      </c>
      <c r="N236" s="13">
        <v>237.6</v>
      </c>
      <c r="O236" s="13">
        <v>256.39999999999998</v>
      </c>
      <c r="P236" s="13">
        <v>264.10000000000002</v>
      </c>
      <c r="Q236" s="11">
        <v>319.7</v>
      </c>
      <c r="R236" s="11">
        <v>539.20000000000005</v>
      </c>
      <c r="S236" s="14">
        <v>518.29999999999995</v>
      </c>
      <c r="T236" s="11">
        <v>302.35000000000002</v>
      </c>
      <c r="U236" s="13">
        <f>IF('0.0%'!$N236&lt;$Z$3,0, '0.0%'!$O236/'0.0%'!$N236)</f>
        <v>1.0791245791245792</v>
      </c>
      <c r="V236" s="13">
        <f>IF('0.0%'!$N236&lt;$Z$3,0, '0.0%'!$P236/'0.0%'!$N236)</f>
        <v>1.1115319865319866</v>
      </c>
      <c r="W236" s="13">
        <f>IF('0.0%'!$N236&lt;$Z$3,0, '0.0%'!$Q236/'0.0%'!$N236)</f>
        <v>1.3455387205387206</v>
      </c>
      <c r="X236" s="13">
        <f>IF('0.0%'!$N236&lt;$Z$3,0, '0.0%'!$R236/'0.0%'!$N236)</f>
        <v>2.2693602693602695</v>
      </c>
      <c r="Y236" s="13">
        <f>IF('0.0%'!$N236&lt;$Z$3,0, '0.0%'!$S236/'0.0%'!$N236)</f>
        <v>2.1813973063973062</v>
      </c>
    </row>
    <row r="237" spans="1:25" x14ac:dyDescent="0.3">
      <c r="A237" s="17">
        <v>303.35000000000002</v>
      </c>
      <c r="B237" s="10">
        <v>236.5</v>
      </c>
      <c r="C237" s="9">
        <v>303.35000000000002</v>
      </c>
      <c r="D237" s="10">
        <v>255.5</v>
      </c>
      <c r="E237" s="11">
        <v>303.35000000000002</v>
      </c>
      <c r="F237" s="12">
        <v>262.89999999999998</v>
      </c>
      <c r="G237" s="11">
        <v>303.35000000000002</v>
      </c>
      <c r="H237" s="12">
        <v>318.60000000000002</v>
      </c>
      <c r="I237" s="11">
        <v>303.35000000000002</v>
      </c>
      <c r="J237" s="12">
        <v>538.9</v>
      </c>
      <c r="K237" s="11">
        <v>303.35000000000002</v>
      </c>
      <c r="L237" s="12">
        <v>517.9</v>
      </c>
      <c r="M237" s="11">
        <v>303.35000000000002</v>
      </c>
      <c r="N237" s="13">
        <v>236.5</v>
      </c>
      <c r="O237" s="13">
        <v>255.5</v>
      </c>
      <c r="P237" s="13">
        <v>262.89999999999998</v>
      </c>
      <c r="Q237" s="11">
        <v>318.60000000000002</v>
      </c>
      <c r="R237" s="11">
        <v>538.9</v>
      </c>
      <c r="S237" s="14">
        <v>517.9</v>
      </c>
      <c r="T237" s="11">
        <v>303.35000000000002</v>
      </c>
      <c r="U237" s="13">
        <f>IF('0.0%'!$N237&lt;$Z$3,0, '0.0%'!$O237/'0.0%'!$N237)</f>
        <v>1.080338266384778</v>
      </c>
      <c r="V237" s="13">
        <f>IF('0.0%'!$N237&lt;$Z$3,0, '0.0%'!$P237/'0.0%'!$N237)</f>
        <v>1.1116279069767441</v>
      </c>
      <c r="W237" s="13">
        <f>IF('0.0%'!$N237&lt;$Z$3,0, '0.0%'!$Q237/'0.0%'!$N237)</f>
        <v>1.3471458773784357</v>
      </c>
      <c r="X237" s="13">
        <f>IF('0.0%'!$N237&lt;$Z$3,0, '0.0%'!$R237/'0.0%'!$N237)</f>
        <v>2.278646934460888</v>
      </c>
      <c r="Y237" s="13">
        <f>IF('0.0%'!$N237&lt;$Z$3,0, '0.0%'!$S237/'0.0%'!$N237)</f>
        <v>2.1898520084566595</v>
      </c>
    </row>
    <row r="238" spans="1:25" x14ac:dyDescent="0.3">
      <c r="A238" s="17">
        <v>304.33999999999997</v>
      </c>
      <c r="B238" s="10">
        <v>236.5</v>
      </c>
      <c r="C238" s="9">
        <v>304.33999999999997</v>
      </c>
      <c r="D238" s="10">
        <v>255.5</v>
      </c>
      <c r="E238" s="11">
        <v>304.33999999999997</v>
      </c>
      <c r="F238" s="12">
        <v>262.8</v>
      </c>
      <c r="G238" s="11">
        <v>304.33999999999997</v>
      </c>
      <c r="H238" s="12">
        <v>318.60000000000002</v>
      </c>
      <c r="I238" s="11">
        <v>304.33999999999997</v>
      </c>
      <c r="J238" s="12">
        <v>539.29999999999995</v>
      </c>
      <c r="K238" s="11">
        <v>304.33999999999997</v>
      </c>
      <c r="L238" s="12">
        <v>518.5</v>
      </c>
      <c r="M238" s="11">
        <v>304.33999999999997</v>
      </c>
      <c r="N238" s="13">
        <v>236.5</v>
      </c>
      <c r="O238" s="13">
        <v>255.5</v>
      </c>
      <c r="P238" s="13">
        <v>262.8</v>
      </c>
      <c r="Q238" s="11">
        <v>318.60000000000002</v>
      </c>
      <c r="R238" s="11">
        <v>539.29999999999995</v>
      </c>
      <c r="S238" s="14">
        <v>518.5</v>
      </c>
      <c r="T238" s="11">
        <v>304.33999999999997</v>
      </c>
      <c r="U238" s="13">
        <f>IF('0.0%'!$N238&lt;$Z$3,0, '0.0%'!$O238/'0.0%'!$N238)</f>
        <v>1.080338266384778</v>
      </c>
      <c r="V238" s="13">
        <f>IF('0.0%'!$N238&lt;$Z$3,0, '0.0%'!$P238/'0.0%'!$N238)</f>
        <v>1.1112050739957717</v>
      </c>
      <c r="W238" s="13">
        <f>IF('0.0%'!$N238&lt;$Z$3,0, '0.0%'!$Q238/'0.0%'!$N238)</f>
        <v>1.3471458773784357</v>
      </c>
      <c r="X238" s="13">
        <f>IF('0.0%'!$N238&lt;$Z$3,0, '0.0%'!$R238/'0.0%'!$N238)</f>
        <v>2.2803382663847778</v>
      </c>
      <c r="Y238" s="13">
        <f>IF('0.0%'!$N238&lt;$Z$3,0, '0.0%'!$S238/'0.0%'!$N238)</f>
        <v>2.1923890063424949</v>
      </c>
    </row>
    <row r="239" spans="1:25" x14ac:dyDescent="0.3">
      <c r="A239" s="17">
        <v>305.33</v>
      </c>
      <c r="B239" s="10">
        <v>235.3</v>
      </c>
      <c r="C239" s="9">
        <v>305.33</v>
      </c>
      <c r="D239" s="10">
        <v>254.4</v>
      </c>
      <c r="E239" s="11">
        <v>305.33</v>
      </c>
      <c r="F239" s="12">
        <v>261.60000000000002</v>
      </c>
      <c r="G239" s="11">
        <v>305.33</v>
      </c>
      <c r="H239" s="12">
        <v>317.3</v>
      </c>
      <c r="I239" s="11">
        <v>305.33</v>
      </c>
      <c r="J239" s="12">
        <v>538.79999999999995</v>
      </c>
      <c r="K239" s="11">
        <v>305.33</v>
      </c>
      <c r="L239" s="12">
        <v>518</v>
      </c>
      <c r="M239" s="11">
        <v>305.33</v>
      </c>
      <c r="N239" s="13">
        <v>235.3</v>
      </c>
      <c r="O239" s="13">
        <v>254.4</v>
      </c>
      <c r="P239" s="13">
        <v>261.60000000000002</v>
      </c>
      <c r="Q239" s="11">
        <v>317.3</v>
      </c>
      <c r="R239" s="11">
        <v>538.79999999999995</v>
      </c>
      <c r="S239" s="14">
        <v>518</v>
      </c>
      <c r="T239" s="11">
        <v>305.33</v>
      </c>
      <c r="U239" s="13">
        <f>IF('0.0%'!$N239&lt;$Z$3,0, '0.0%'!$O239/'0.0%'!$N239)</f>
        <v>1.0811729706757331</v>
      </c>
      <c r="V239" s="13">
        <f>IF('0.0%'!$N239&lt;$Z$3,0, '0.0%'!$P239/'0.0%'!$N239)</f>
        <v>1.1117722056948576</v>
      </c>
      <c r="W239" s="13">
        <f>IF('0.0%'!$N239&lt;$Z$3,0, '0.0%'!$Q239/'0.0%'!$N239)</f>
        <v>1.348491287717807</v>
      </c>
      <c r="X239" s="13">
        <f>IF('0.0%'!$N239&lt;$Z$3,0, '0.0%'!$R239/'0.0%'!$N239)</f>
        <v>2.2898427539311514</v>
      </c>
      <c r="Y239" s="13">
        <f>IF('0.0%'!$N239&lt;$Z$3,0, '0.0%'!$S239/'0.0%'!$N239)</f>
        <v>2.201444963875903</v>
      </c>
    </row>
    <row r="240" spans="1:25" x14ac:dyDescent="0.3">
      <c r="A240" s="17">
        <v>306.32</v>
      </c>
      <c r="B240" s="10">
        <v>235.2</v>
      </c>
      <c r="C240" s="9">
        <v>306.32</v>
      </c>
      <c r="D240" s="10">
        <v>254.3</v>
      </c>
      <c r="E240" s="11">
        <v>306.32</v>
      </c>
      <c r="F240" s="12">
        <v>261.3</v>
      </c>
      <c r="G240" s="11">
        <v>306.32</v>
      </c>
      <c r="H240" s="12">
        <v>316.89999999999998</v>
      </c>
      <c r="I240" s="11">
        <v>306.32</v>
      </c>
      <c r="J240" s="12">
        <v>538.9</v>
      </c>
      <c r="K240" s="11">
        <v>306.32</v>
      </c>
      <c r="L240" s="12">
        <v>518.20000000000005</v>
      </c>
      <c r="M240" s="11">
        <v>306.32</v>
      </c>
      <c r="N240" s="13">
        <v>235.2</v>
      </c>
      <c r="O240" s="13">
        <v>254.3</v>
      </c>
      <c r="P240" s="13">
        <v>261.3</v>
      </c>
      <c r="Q240" s="11">
        <v>316.89999999999998</v>
      </c>
      <c r="R240" s="11">
        <v>538.9</v>
      </c>
      <c r="S240" s="14">
        <v>518.20000000000005</v>
      </c>
      <c r="T240" s="11">
        <v>306.32</v>
      </c>
      <c r="U240" s="13">
        <f>IF('0.0%'!$N240&lt;$Z$3,0, '0.0%'!$O240/'0.0%'!$N240)</f>
        <v>1.0812074829931975</v>
      </c>
      <c r="V240" s="13">
        <f>IF('0.0%'!$N240&lt;$Z$3,0, '0.0%'!$P240/'0.0%'!$N240)</f>
        <v>1.1109693877551021</v>
      </c>
      <c r="W240" s="13">
        <f>IF('0.0%'!$N240&lt;$Z$3,0, '0.0%'!$Q240/'0.0%'!$N240)</f>
        <v>1.3473639455782314</v>
      </c>
      <c r="X240" s="13">
        <f>IF('0.0%'!$N240&lt;$Z$3,0, '0.0%'!$R240/'0.0%'!$N240)</f>
        <v>2.2912414965986394</v>
      </c>
      <c r="Y240" s="13">
        <f>IF('0.0%'!$N240&lt;$Z$3,0, '0.0%'!$S240/'0.0%'!$N240)</f>
        <v>2.2032312925170072</v>
      </c>
    </row>
    <row r="241" spans="1:25" x14ac:dyDescent="0.3">
      <c r="A241" s="17">
        <v>307.31</v>
      </c>
      <c r="B241" s="10">
        <v>234</v>
      </c>
      <c r="C241" s="9">
        <v>307.31</v>
      </c>
      <c r="D241" s="10">
        <v>253</v>
      </c>
      <c r="E241" s="11">
        <v>307.31</v>
      </c>
      <c r="F241" s="12">
        <v>259.89999999999998</v>
      </c>
      <c r="G241" s="11">
        <v>307.31</v>
      </c>
      <c r="H241" s="12">
        <v>315.39999999999998</v>
      </c>
      <c r="I241" s="11">
        <v>307.31</v>
      </c>
      <c r="J241" s="12">
        <v>537.9</v>
      </c>
      <c r="K241" s="11">
        <v>307.31</v>
      </c>
      <c r="L241" s="12">
        <v>517.29999999999995</v>
      </c>
      <c r="M241" s="11">
        <v>307.31</v>
      </c>
      <c r="N241" s="13">
        <v>234</v>
      </c>
      <c r="O241" s="13">
        <v>253</v>
      </c>
      <c r="P241" s="13">
        <v>259.89999999999998</v>
      </c>
      <c r="Q241" s="11">
        <v>315.39999999999998</v>
      </c>
      <c r="R241" s="11">
        <v>537.9</v>
      </c>
      <c r="S241" s="14">
        <v>517.29999999999995</v>
      </c>
      <c r="T241" s="11">
        <v>307.31</v>
      </c>
      <c r="U241" s="13">
        <f>IF('0.0%'!$N241&lt;$Z$3,0, '0.0%'!$O241/'0.0%'!$N241)</f>
        <v>1.0811965811965811</v>
      </c>
      <c r="V241" s="13">
        <f>IF('0.0%'!$N241&lt;$Z$3,0, '0.0%'!$P241/'0.0%'!$N241)</f>
        <v>1.1106837606837605</v>
      </c>
      <c r="W241" s="13">
        <f>IF('0.0%'!$N241&lt;$Z$3,0, '0.0%'!$Q241/'0.0%'!$N241)</f>
        <v>1.3478632478632477</v>
      </c>
      <c r="X241" s="13">
        <f>IF('0.0%'!$N241&lt;$Z$3,0, '0.0%'!$R241/'0.0%'!$N241)</f>
        <v>2.2987179487179485</v>
      </c>
      <c r="Y241" s="13">
        <f>IF('0.0%'!$N241&lt;$Z$3,0, '0.0%'!$S241/'0.0%'!$N241)</f>
        <v>2.2106837606837604</v>
      </c>
    </row>
    <row r="242" spans="1:25" x14ac:dyDescent="0.3">
      <c r="A242" s="17">
        <v>308.3</v>
      </c>
      <c r="B242" s="10">
        <v>233.7</v>
      </c>
      <c r="C242" s="9">
        <v>308.3</v>
      </c>
      <c r="D242" s="10">
        <v>252.8</v>
      </c>
      <c r="E242" s="11">
        <v>308.3</v>
      </c>
      <c r="F242" s="12">
        <v>259.5</v>
      </c>
      <c r="G242" s="11">
        <v>308.3</v>
      </c>
      <c r="H242" s="12">
        <v>314.8</v>
      </c>
      <c r="I242" s="11">
        <v>308.3</v>
      </c>
      <c r="J242" s="12">
        <v>537.4</v>
      </c>
      <c r="K242" s="11">
        <v>308.3</v>
      </c>
      <c r="L242" s="12">
        <v>517</v>
      </c>
      <c r="M242" s="11">
        <v>308.3</v>
      </c>
      <c r="N242" s="13">
        <v>233.7</v>
      </c>
      <c r="O242" s="13">
        <v>252.8</v>
      </c>
      <c r="P242" s="13">
        <v>259.5</v>
      </c>
      <c r="Q242" s="11">
        <v>314.8</v>
      </c>
      <c r="R242" s="11">
        <v>537.4</v>
      </c>
      <c r="S242" s="14">
        <v>517</v>
      </c>
      <c r="T242" s="11">
        <v>308.3</v>
      </c>
      <c r="U242" s="13">
        <f>IF('0.0%'!$N242&lt;$Z$3,0, '0.0%'!$O242/'0.0%'!$N242)</f>
        <v>1.0817287120239625</v>
      </c>
      <c r="V242" s="13">
        <f>IF('0.0%'!$N242&lt;$Z$3,0, '0.0%'!$P242/'0.0%'!$N242)</f>
        <v>1.110397946084724</v>
      </c>
      <c r="W242" s="13">
        <f>IF('0.0%'!$N242&lt;$Z$3,0, '0.0%'!$Q242/'0.0%'!$N242)</f>
        <v>1.3470261018399659</v>
      </c>
      <c r="X242" s="13">
        <f>IF('0.0%'!$N242&lt;$Z$3,0, '0.0%'!$R242/'0.0%'!$N242)</f>
        <v>2.2995293110825847</v>
      </c>
      <c r="Y242" s="13">
        <f>IF('0.0%'!$N242&lt;$Z$3,0, '0.0%'!$S242/'0.0%'!$N242)</f>
        <v>2.2122379118528031</v>
      </c>
    </row>
    <row r="243" spans="1:25" x14ac:dyDescent="0.3">
      <c r="A243" s="17">
        <v>309.3</v>
      </c>
      <c r="B243" s="10">
        <v>232.3</v>
      </c>
      <c r="C243" s="9">
        <v>309.3</v>
      </c>
      <c r="D243" s="10">
        <v>251.3</v>
      </c>
      <c r="E243" s="11">
        <v>309.3</v>
      </c>
      <c r="F243" s="12">
        <v>257.8</v>
      </c>
      <c r="G243" s="11">
        <v>309.3</v>
      </c>
      <c r="H243" s="12">
        <v>313</v>
      </c>
      <c r="I243" s="11">
        <v>309.3</v>
      </c>
      <c r="J243" s="12">
        <v>535.6</v>
      </c>
      <c r="K243" s="11">
        <v>309.3</v>
      </c>
      <c r="L243" s="12">
        <v>515.29999999999995</v>
      </c>
      <c r="M243" s="11">
        <v>309.3</v>
      </c>
      <c r="N243" s="13">
        <v>232.3</v>
      </c>
      <c r="O243" s="13">
        <v>251.3</v>
      </c>
      <c r="P243" s="13">
        <v>257.8</v>
      </c>
      <c r="Q243" s="11">
        <v>313</v>
      </c>
      <c r="R243" s="11">
        <v>535.6</v>
      </c>
      <c r="S243" s="14">
        <v>515.29999999999995</v>
      </c>
      <c r="T243" s="11">
        <v>309.3</v>
      </c>
      <c r="U243" s="13">
        <f>IF('0.0%'!$N243&lt;$Z$3,0, '0.0%'!$O243/'0.0%'!$N243)</f>
        <v>1.0817907877744297</v>
      </c>
      <c r="V243" s="13">
        <f>IF('0.0%'!$N243&lt;$Z$3,0, '0.0%'!$P243/'0.0%'!$N243)</f>
        <v>1.1097718467498923</v>
      </c>
      <c r="W243" s="13">
        <f>IF('0.0%'!$N243&lt;$Z$3,0, '0.0%'!$Q243/'0.0%'!$N243)</f>
        <v>1.3473956091261299</v>
      </c>
      <c r="X243" s="13">
        <f>IF('0.0%'!$N243&lt;$Z$3,0, '0.0%'!$R243/'0.0%'!$N243)</f>
        <v>2.3056392595781317</v>
      </c>
      <c r="Y243" s="13">
        <f>IF('0.0%'!$N243&lt;$Z$3,0, '0.0%'!$S243/'0.0%'!$N243)</f>
        <v>2.2182522600086094</v>
      </c>
    </row>
    <row r="244" spans="1:25" x14ac:dyDescent="0.3">
      <c r="A244" s="17">
        <v>310.29000000000002</v>
      </c>
      <c r="B244" s="10">
        <v>231.7</v>
      </c>
      <c r="C244" s="9">
        <v>310.29000000000002</v>
      </c>
      <c r="D244" s="10">
        <v>250.7</v>
      </c>
      <c r="E244" s="11">
        <v>310.29000000000002</v>
      </c>
      <c r="F244" s="12">
        <v>257.10000000000002</v>
      </c>
      <c r="G244" s="11">
        <v>310.29000000000002</v>
      </c>
      <c r="H244" s="12">
        <v>312.10000000000002</v>
      </c>
      <c r="I244" s="11">
        <v>310.29000000000002</v>
      </c>
      <c r="J244" s="12">
        <v>534.29999999999995</v>
      </c>
      <c r="K244" s="11">
        <v>310.29000000000002</v>
      </c>
      <c r="L244" s="12">
        <v>514.20000000000005</v>
      </c>
      <c r="M244" s="11">
        <v>310.29000000000002</v>
      </c>
      <c r="N244" s="13">
        <v>231.7</v>
      </c>
      <c r="O244" s="13">
        <v>250.7</v>
      </c>
      <c r="P244" s="13">
        <v>257.10000000000002</v>
      </c>
      <c r="Q244" s="11">
        <v>312.10000000000002</v>
      </c>
      <c r="R244" s="11">
        <v>534.29999999999995</v>
      </c>
      <c r="S244" s="14">
        <v>514.20000000000005</v>
      </c>
      <c r="T244" s="11">
        <v>310.29000000000002</v>
      </c>
      <c r="U244" s="13">
        <f>IF('0.0%'!$N244&lt;$Z$3,0, '0.0%'!$O244/'0.0%'!$N244)</f>
        <v>1.0820025895554597</v>
      </c>
      <c r="V244" s="13">
        <f>IF('0.0%'!$N244&lt;$Z$3,0, '0.0%'!$P244/'0.0%'!$N244)</f>
        <v>1.1096245144583514</v>
      </c>
      <c r="W244" s="13">
        <f>IF('0.0%'!$N244&lt;$Z$3,0, '0.0%'!$Q244/'0.0%'!$N244)</f>
        <v>1.3470004315925768</v>
      </c>
      <c r="X244" s="13">
        <f>IF('0.0%'!$N244&lt;$Z$3,0, '0.0%'!$R244/'0.0%'!$N244)</f>
        <v>2.3059991368148469</v>
      </c>
      <c r="Y244" s="13">
        <f>IF('0.0%'!$N244&lt;$Z$3,0, '0.0%'!$S244/'0.0%'!$N244)</f>
        <v>2.2192490289167028</v>
      </c>
    </row>
    <row r="245" spans="1:25" x14ac:dyDescent="0.3">
      <c r="A245" s="17">
        <v>311.27999999999997</v>
      </c>
      <c r="B245" s="10">
        <v>230.1</v>
      </c>
      <c r="C245" s="9">
        <v>311.27999999999997</v>
      </c>
      <c r="D245" s="10">
        <v>249</v>
      </c>
      <c r="E245" s="11">
        <v>311.27999999999997</v>
      </c>
      <c r="F245" s="12">
        <v>255.3</v>
      </c>
      <c r="G245" s="11">
        <v>311.27999999999997</v>
      </c>
      <c r="H245" s="12">
        <v>309.89999999999998</v>
      </c>
      <c r="I245" s="11">
        <v>311.27999999999997</v>
      </c>
      <c r="J245" s="12">
        <v>531.9</v>
      </c>
      <c r="K245" s="11">
        <v>311.27999999999997</v>
      </c>
      <c r="L245" s="12">
        <v>511.9</v>
      </c>
      <c r="M245" s="11">
        <v>311.27999999999997</v>
      </c>
      <c r="N245" s="13">
        <v>230.1</v>
      </c>
      <c r="O245" s="13">
        <v>249</v>
      </c>
      <c r="P245" s="13">
        <v>255.3</v>
      </c>
      <c r="Q245" s="11">
        <v>309.89999999999998</v>
      </c>
      <c r="R245" s="11">
        <v>531.9</v>
      </c>
      <c r="S245" s="14">
        <v>511.9</v>
      </c>
      <c r="T245" s="11">
        <v>311.27999999999997</v>
      </c>
      <c r="U245" s="13">
        <f>IF('0.0%'!$N245&lt;$Z$3,0, '0.0%'!$O245/'0.0%'!$N245)</f>
        <v>1.0821382007822686</v>
      </c>
      <c r="V245" s="13">
        <f>IF('0.0%'!$N245&lt;$Z$3,0, '0.0%'!$P245/'0.0%'!$N245)</f>
        <v>1.1095176010430248</v>
      </c>
      <c r="W245" s="13">
        <f>IF('0.0%'!$N245&lt;$Z$3,0, '0.0%'!$Q245/'0.0%'!$N245)</f>
        <v>1.3468057366362451</v>
      </c>
      <c r="X245" s="13">
        <f>IF('0.0%'!$N245&lt;$Z$3,0, '0.0%'!$R245/'0.0%'!$N245)</f>
        <v>2.3116036505867013</v>
      </c>
      <c r="Y245" s="13">
        <f>IF('0.0%'!$N245&lt;$Z$3,0, '0.0%'!$S245/'0.0%'!$N245)</f>
        <v>2.2246849196001737</v>
      </c>
    </row>
    <row r="246" spans="1:25" x14ac:dyDescent="0.3">
      <c r="A246" s="17">
        <v>312.27</v>
      </c>
      <c r="B246" s="10">
        <v>229.3</v>
      </c>
      <c r="C246" s="9">
        <v>312.27</v>
      </c>
      <c r="D246" s="10">
        <v>248.2</v>
      </c>
      <c r="E246" s="11">
        <v>312.27</v>
      </c>
      <c r="F246" s="12">
        <v>254.3</v>
      </c>
      <c r="G246" s="11">
        <v>312.27</v>
      </c>
      <c r="H246" s="12">
        <v>308.60000000000002</v>
      </c>
      <c r="I246" s="11">
        <v>312.27</v>
      </c>
      <c r="J246" s="12">
        <v>529.9</v>
      </c>
      <c r="K246" s="11">
        <v>312.27</v>
      </c>
      <c r="L246" s="12">
        <v>510.2</v>
      </c>
      <c r="M246" s="11">
        <v>312.27</v>
      </c>
      <c r="N246" s="13">
        <v>229.3</v>
      </c>
      <c r="O246" s="13">
        <v>248.2</v>
      </c>
      <c r="P246" s="13">
        <v>254.3</v>
      </c>
      <c r="Q246" s="11">
        <v>308.60000000000002</v>
      </c>
      <c r="R246" s="11">
        <v>529.9</v>
      </c>
      <c r="S246" s="14">
        <v>510.2</v>
      </c>
      <c r="T246" s="11">
        <v>312.27</v>
      </c>
      <c r="U246" s="13">
        <f>IF('0.0%'!$N246&lt;$Z$3,0, '0.0%'!$O246/'0.0%'!$N246)</f>
        <v>1.0824247710423025</v>
      </c>
      <c r="V246" s="13">
        <f>IF('0.0%'!$N246&lt;$Z$3,0, '0.0%'!$P246/'0.0%'!$N246)</f>
        <v>1.1090274749236808</v>
      </c>
      <c r="W246" s="13">
        <f>IF('0.0%'!$N246&lt;$Z$3,0, '0.0%'!$Q246/'0.0%'!$N246)</f>
        <v>1.3458351504579154</v>
      </c>
      <c r="X246" s="13">
        <f>IF('0.0%'!$N246&lt;$Z$3,0, '0.0%'!$R246/'0.0%'!$N246)</f>
        <v>2.3109463584823375</v>
      </c>
      <c r="Y246" s="13">
        <f>IF('0.0%'!$N246&lt;$Z$3,0, '0.0%'!$S246/'0.0%'!$N246)</f>
        <v>2.2250327082424768</v>
      </c>
    </row>
    <row r="247" spans="1:25" x14ac:dyDescent="0.3">
      <c r="A247" s="17">
        <v>313.26</v>
      </c>
      <c r="B247" s="10">
        <v>227.3</v>
      </c>
      <c r="C247" s="9">
        <v>313.26</v>
      </c>
      <c r="D247" s="10">
        <v>246.1</v>
      </c>
      <c r="E247" s="11">
        <v>313.26</v>
      </c>
      <c r="F247" s="12">
        <v>252.1</v>
      </c>
      <c r="G247" s="11">
        <v>313.26</v>
      </c>
      <c r="H247" s="12">
        <v>306</v>
      </c>
      <c r="I247" s="11">
        <v>313.26</v>
      </c>
      <c r="J247" s="12">
        <v>526.5</v>
      </c>
      <c r="K247" s="11">
        <v>313.26</v>
      </c>
      <c r="L247" s="12">
        <v>507.1</v>
      </c>
      <c r="M247" s="11">
        <v>313.26</v>
      </c>
      <c r="N247" s="13">
        <v>227.3</v>
      </c>
      <c r="O247" s="13">
        <v>246.1</v>
      </c>
      <c r="P247" s="13">
        <v>252.1</v>
      </c>
      <c r="Q247" s="11">
        <v>306</v>
      </c>
      <c r="R247" s="11">
        <v>526.5</v>
      </c>
      <c r="S247" s="14">
        <v>507.1</v>
      </c>
      <c r="T247" s="11">
        <v>313.26</v>
      </c>
      <c r="U247" s="13">
        <f>IF('0.0%'!$N247&lt;$Z$3,0, '0.0%'!$O247/'0.0%'!$N247)</f>
        <v>1.082710074791025</v>
      </c>
      <c r="V247" s="13">
        <f>IF('0.0%'!$N247&lt;$Z$3,0, '0.0%'!$P247/'0.0%'!$N247)</f>
        <v>1.1091069071711395</v>
      </c>
      <c r="W247" s="13">
        <f>IF('0.0%'!$N247&lt;$Z$3,0, '0.0%'!$Q247/'0.0%'!$N247)</f>
        <v>1.3462384513858336</v>
      </c>
      <c r="X247" s="13">
        <f>IF('0.0%'!$N247&lt;$Z$3,0, '0.0%'!$R247/'0.0%'!$N247)</f>
        <v>2.3163220413550372</v>
      </c>
      <c r="Y247" s="13">
        <f>IF('0.0%'!$N247&lt;$Z$3,0, '0.0%'!$S247/'0.0%'!$N247)</f>
        <v>2.2309722833260008</v>
      </c>
    </row>
    <row r="248" spans="1:25" x14ac:dyDescent="0.3">
      <c r="A248" s="17">
        <v>314.26</v>
      </c>
      <c r="B248" s="10">
        <v>226.2</v>
      </c>
      <c r="C248" s="9">
        <v>314.26</v>
      </c>
      <c r="D248" s="10">
        <v>245</v>
      </c>
      <c r="E248" s="11">
        <v>314.26</v>
      </c>
      <c r="F248" s="12">
        <v>250.9</v>
      </c>
      <c r="G248" s="11">
        <v>314.26</v>
      </c>
      <c r="H248" s="12">
        <v>304.3</v>
      </c>
      <c r="I248" s="11">
        <v>314.26</v>
      </c>
      <c r="J248" s="12">
        <v>523.79999999999995</v>
      </c>
      <c r="K248" s="11">
        <v>314.26</v>
      </c>
      <c r="L248" s="12">
        <v>504.6</v>
      </c>
      <c r="M248" s="11">
        <v>314.26</v>
      </c>
      <c r="N248" s="13">
        <v>226.2</v>
      </c>
      <c r="O248" s="13">
        <v>245</v>
      </c>
      <c r="P248" s="13">
        <v>250.9</v>
      </c>
      <c r="Q248" s="11">
        <v>304.3</v>
      </c>
      <c r="R248" s="11">
        <v>523.79999999999995</v>
      </c>
      <c r="S248" s="14">
        <v>504.6</v>
      </c>
      <c r="T248" s="11">
        <v>314.26</v>
      </c>
      <c r="U248" s="13">
        <f>IF('0.0%'!$N248&lt;$Z$3,0, '0.0%'!$O248/'0.0%'!$N248)</f>
        <v>1.0831122900088417</v>
      </c>
      <c r="V248" s="13">
        <f>IF('0.0%'!$N248&lt;$Z$3,0, '0.0%'!$P248/'0.0%'!$N248)</f>
        <v>1.1091954022988506</v>
      </c>
      <c r="W248" s="13">
        <f>IF('0.0%'!$N248&lt;$Z$3,0, '0.0%'!$Q248/'0.0%'!$N248)</f>
        <v>1.3452696728558799</v>
      </c>
      <c r="X248" s="13">
        <f>IF('0.0%'!$N248&lt;$Z$3,0, '0.0%'!$R248/'0.0%'!$N248)</f>
        <v>2.3156498673740051</v>
      </c>
      <c r="Y248" s="13">
        <f>IF('0.0%'!$N248&lt;$Z$3,0, '0.0%'!$S248/'0.0%'!$N248)</f>
        <v>2.2307692307692308</v>
      </c>
    </row>
    <row r="249" spans="1:25" x14ac:dyDescent="0.3">
      <c r="A249" s="17">
        <v>315.25</v>
      </c>
      <c r="B249" s="10">
        <v>224</v>
      </c>
      <c r="C249" s="9">
        <v>315.25</v>
      </c>
      <c r="D249" s="10">
        <v>242.9</v>
      </c>
      <c r="E249" s="11">
        <v>315.25</v>
      </c>
      <c r="F249" s="12">
        <v>248.7</v>
      </c>
      <c r="G249" s="11">
        <v>315.25</v>
      </c>
      <c r="H249" s="12">
        <v>301.5</v>
      </c>
      <c r="I249" s="11">
        <v>315.25</v>
      </c>
      <c r="J249" s="12">
        <v>520.1</v>
      </c>
      <c r="K249" s="11">
        <v>315.25</v>
      </c>
      <c r="L249" s="12">
        <v>501</v>
      </c>
      <c r="M249" s="11">
        <v>315.25</v>
      </c>
      <c r="N249" s="13">
        <v>224</v>
      </c>
      <c r="O249" s="13">
        <v>242.9</v>
      </c>
      <c r="P249" s="13">
        <v>248.7</v>
      </c>
      <c r="Q249" s="11">
        <v>301.5</v>
      </c>
      <c r="R249" s="11">
        <v>520.1</v>
      </c>
      <c r="S249" s="14">
        <v>501</v>
      </c>
      <c r="T249" s="11">
        <v>315.25</v>
      </c>
      <c r="U249" s="13">
        <f>IF('0.0%'!$N249&lt;$Z$3,0, '0.0%'!$O249/'0.0%'!$N249)</f>
        <v>1.0843750000000001</v>
      </c>
      <c r="V249" s="13">
        <f>IF('0.0%'!$N249&lt;$Z$3,0, '0.0%'!$P249/'0.0%'!$N249)</f>
        <v>1.110267857142857</v>
      </c>
      <c r="W249" s="13">
        <f>IF('0.0%'!$N249&lt;$Z$3,0, '0.0%'!$Q249/'0.0%'!$N249)</f>
        <v>1.3459821428571428</v>
      </c>
      <c r="X249" s="13">
        <f>IF('0.0%'!$N249&lt;$Z$3,0, '0.0%'!$R249/'0.0%'!$N249)</f>
        <v>2.3218749999999999</v>
      </c>
      <c r="Y249" s="13">
        <f>IF('0.0%'!$N249&lt;$Z$3,0, '0.0%'!$S249/'0.0%'!$N249)</f>
        <v>2.2366071428571428</v>
      </c>
    </row>
    <row r="250" spans="1:25" x14ac:dyDescent="0.3">
      <c r="A250" s="17">
        <v>316.24</v>
      </c>
      <c r="B250" s="10">
        <v>222.2</v>
      </c>
      <c r="C250" s="9">
        <v>316.24</v>
      </c>
      <c r="D250" s="10">
        <v>241.1</v>
      </c>
      <c r="E250" s="11">
        <v>316.24</v>
      </c>
      <c r="F250" s="12">
        <v>246.8</v>
      </c>
      <c r="G250" s="11">
        <v>316.24</v>
      </c>
      <c r="H250" s="12">
        <v>299.10000000000002</v>
      </c>
      <c r="I250" s="11">
        <v>316.24</v>
      </c>
      <c r="J250" s="12">
        <v>516.1</v>
      </c>
      <c r="K250" s="11">
        <v>316.24</v>
      </c>
      <c r="L250" s="12">
        <v>497.3</v>
      </c>
      <c r="M250" s="11">
        <v>316.24</v>
      </c>
      <c r="N250" s="13">
        <v>222.2</v>
      </c>
      <c r="O250" s="13">
        <v>241.1</v>
      </c>
      <c r="P250" s="13">
        <v>246.8</v>
      </c>
      <c r="Q250" s="11">
        <v>299.10000000000002</v>
      </c>
      <c r="R250" s="11">
        <v>516.1</v>
      </c>
      <c r="S250" s="14">
        <v>497.3</v>
      </c>
      <c r="T250" s="11">
        <v>316.24</v>
      </c>
      <c r="U250" s="13">
        <f>IF('0.0%'!$N250&lt;$Z$3,0, '0.0%'!$O250/'0.0%'!$N250)</f>
        <v>1.0850585058505851</v>
      </c>
      <c r="V250" s="13">
        <f>IF('0.0%'!$N250&lt;$Z$3,0, '0.0%'!$P250/'0.0%'!$N250)</f>
        <v>1.1107110711071109</v>
      </c>
      <c r="W250" s="13">
        <f>IF('0.0%'!$N250&lt;$Z$3,0, '0.0%'!$Q250/'0.0%'!$N250)</f>
        <v>1.3460846084608462</v>
      </c>
      <c r="X250" s="13">
        <f>IF('0.0%'!$N250&lt;$Z$3,0, '0.0%'!$R250/'0.0%'!$N250)</f>
        <v>2.3226822682268229</v>
      </c>
      <c r="Y250" s="13">
        <f>IF('0.0%'!$N250&lt;$Z$3,0, '0.0%'!$S250/'0.0%'!$N250)</f>
        <v>2.2380738073807382</v>
      </c>
    </row>
    <row r="251" spans="1:25" x14ac:dyDescent="0.3">
      <c r="A251" s="17">
        <v>317.23</v>
      </c>
      <c r="B251" s="10">
        <v>221.1</v>
      </c>
      <c r="C251" s="9">
        <v>317.23</v>
      </c>
      <c r="D251" s="10">
        <v>240</v>
      </c>
      <c r="E251" s="11">
        <v>317.23</v>
      </c>
      <c r="F251" s="12">
        <v>245.6</v>
      </c>
      <c r="G251" s="11">
        <v>317.23</v>
      </c>
      <c r="H251" s="12">
        <v>297.39999999999998</v>
      </c>
      <c r="I251" s="11">
        <v>317.23</v>
      </c>
      <c r="J251" s="12">
        <v>512.79999999999995</v>
      </c>
      <c r="K251" s="11">
        <v>317.23</v>
      </c>
      <c r="L251" s="12">
        <v>494.4</v>
      </c>
      <c r="M251" s="11">
        <v>317.23</v>
      </c>
      <c r="N251" s="13">
        <v>221.1</v>
      </c>
      <c r="O251" s="13">
        <v>240</v>
      </c>
      <c r="P251" s="13">
        <v>245.6</v>
      </c>
      <c r="Q251" s="11">
        <v>297.39999999999998</v>
      </c>
      <c r="R251" s="11">
        <v>512.79999999999995</v>
      </c>
      <c r="S251" s="14">
        <v>494.4</v>
      </c>
      <c r="T251" s="11">
        <v>317.23</v>
      </c>
      <c r="U251" s="13">
        <f>IF('0.0%'!$N251&lt;$Z$3,0, '0.0%'!$O251/'0.0%'!$N251)</f>
        <v>1.0854816824966078</v>
      </c>
      <c r="V251" s="13">
        <f>IF('0.0%'!$N251&lt;$Z$3,0, '0.0%'!$P251/'0.0%'!$N251)</f>
        <v>1.1108095884215288</v>
      </c>
      <c r="W251" s="13">
        <f>IF('0.0%'!$N251&lt;$Z$3,0, '0.0%'!$Q251/'0.0%'!$N251)</f>
        <v>1.3450927182270465</v>
      </c>
      <c r="X251" s="13">
        <f>IF('0.0%'!$N251&lt;$Z$3,0, '0.0%'!$R251/'0.0%'!$N251)</f>
        <v>2.3193125282677518</v>
      </c>
      <c r="Y251" s="13">
        <f>IF('0.0%'!$N251&lt;$Z$3,0, '0.0%'!$S251/'0.0%'!$N251)</f>
        <v>2.2360922659430122</v>
      </c>
    </row>
    <row r="252" spans="1:25" x14ac:dyDescent="0.3">
      <c r="A252" s="17">
        <v>318.22000000000003</v>
      </c>
      <c r="B252" s="10">
        <v>219</v>
      </c>
      <c r="C252" s="9">
        <v>318.22000000000003</v>
      </c>
      <c r="D252" s="10">
        <v>237.8</v>
      </c>
      <c r="E252" s="11">
        <v>318.22000000000003</v>
      </c>
      <c r="F252" s="12">
        <v>243.5</v>
      </c>
      <c r="G252" s="11">
        <v>318.22000000000003</v>
      </c>
      <c r="H252" s="12">
        <v>294.8</v>
      </c>
      <c r="I252" s="11">
        <v>318.22000000000003</v>
      </c>
      <c r="J252" s="12">
        <v>508.6</v>
      </c>
      <c r="K252" s="11">
        <v>318.22000000000003</v>
      </c>
      <c r="L252" s="12">
        <v>490.6</v>
      </c>
      <c r="M252" s="11">
        <v>318.22000000000003</v>
      </c>
      <c r="N252" s="13">
        <v>219</v>
      </c>
      <c r="O252" s="13">
        <v>237.8</v>
      </c>
      <c r="P252" s="13">
        <v>243.5</v>
      </c>
      <c r="Q252" s="11">
        <v>294.8</v>
      </c>
      <c r="R252" s="11">
        <v>508.6</v>
      </c>
      <c r="S252" s="14">
        <v>490.6</v>
      </c>
      <c r="T252" s="11">
        <v>318.22000000000003</v>
      </c>
      <c r="U252" s="13">
        <f>IF('0.0%'!$N252&lt;$Z$3,0, '0.0%'!$O252/'0.0%'!$N252)</f>
        <v>1.0858447488584475</v>
      </c>
      <c r="V252" s="13">
        <f>IF('0.0%'!$N252&lt;$Z$3,0, '0.0%'!$P252/'0.0%'!$N252)</f>
        <v>1.1118721461187215</v>
      </c>
      <c r="W252" s="13">
        <f>IF('0.0%'!$N252&lt;$Z$3,0, '0.0%'!$Q252/'0.0%'!$N252)</f>
        <v>1.3461187214611872</v>
      </c>
      <c r="X252" s="13">
        <f>IF('0.0%'!$N252&lt;$Z$3,0, '0.0%'!$R252/'0.0%'!$N252)</f>
        <v>2.3223744292237445</v>
      </c>
      <c r="Y252" s="13">
        <f>IF('0.0%'!$N252&lt;$Z$3,0, '0.0%'!$S252/'0.0%'!$N252)</f>
        <v>2.2401826484018268</v>
      </c>
    </row>
    <row r="253" spans="1:25" x14ac:dyDescent="0.3">
      <c r="A253" s="17">
        <v>319.20999999999998</v>
      </c>
      <c r="B253" s="10">
        <v>217.9</v>
      </c>
      <c r="C253" s="9">
        <v>319.20999999999998</v>
      </c>
      <c r="D253" s="10">
        <v>236.6</v>
      </c>
      <c r="E253" s="11">
        <v>319.20999999999998</v>
      </c>
      <c r="F253" s="12">
        <v>242.3</v>
      </c>
      <c r="G253" s="11">
        <v>319.20999999999998</v>
      </c>
      <c r="H253" s="12">
        <v>293.10000000000002</v>
      </c>
      <c r="I253" s="11">
        <v>319.20999999999998</v>
      </c>
      <c r="J253" s="12">
        <v>505.4</v>
      </c>
      <c r="K253" s="11">
        <v>319.20999999999998</v>
      </c>
      <c r="L253" s="12">
        <v>487.7</v>
      </c>
      <c r="M253" s="11">
        <v>319.20999999999998</v>
      </c>
      <c r="N253" s="13">
        <v>217.9</v>
      </c>
      <c r="O253" s="13">
        <v>236.6</v>
      </c>
      <c r="P253" s="13">
        <v>242.3</v>
      </c>
      <c r="Q253" s="11">
        <v>293.10000000000002</v>
      </c>
      <c r="R253" s="11">
        <v>505.4</v>
      </c>
      <c r="S253" s="14">
        <v>487.7</v>
      </c>
      <c r="T253" s="11">
        <v>319.20999999999998</v>
      </c>
      <c r="U253" s="13">
        <f>IF('0.0%'!$N253&lt;$Z$3,0, '0.0%'!$O253/'0.0%'!$N253)</f>
        <v>1.0858191831115189</v>
      </c>
      <c r="V253" s="13">
        <f>IF('0.0%'!$N253&lt;$Z$3,0, '0.0%'!$P253/'0.0%'!$N253)</f>
        <v>1.111977971546581</v>
      </c>
      <c r="W253" s="13">
        <f>IF('0.0%'!$N253&lt;$Z$3,0, '0.0%'!$Q253/'0.0%'!$N253)</f>
        <v>1.3451124368976595</v>
      </c>
      <c r="X253" s="13">
        <f>IF('0.0%'!$N253&lt;$Z$3,0, '0.0%'!$R253/'0.0%'!$N253)</f>
        <v>2.3194125745754932</v>
      </c>
      <c r="Y253" s="13">
        <f>IF('0.0%'!$N253&lt;$Z$3,0, '0.0%'!$S253/'0.0%'!$N253)</f>
        <v>2.2381826525929323</v>
      </c>
    </row>
    <row r="254" spans="1:25" x14ac:dyDescent="0.3">
      <c r="A254" s="17">
        <v>320.20999999999998</v>
      </c>
      <c r="B254" s="10">
        <v>215.7</v>
      </c>
      <c r="C254" s="9">
        <v>320.20999999999998</v>
      </c>
      <c r="D254" s="10">
        <v>234.4</v>
      </c>
      <c r="E254" s="11">
        <v>320.20999999999998</v>
      </c>
      <c r="F254" s="12">
        <v>240</v>
      </c>
      <c r="G254" s="11">
        <v>320.20999999999998</v>
      </c>
      <c r="H254" s="12">
        <v>290.3</v>
      </c>
      <c r="I254" s="11">
        <v>320.20999999999998</v>
      </c>
      <c r="J254" s="12">
        <v>501.2</v>
      </c>
      <c r="K254" s="11">
        <v>320.20999999999998</v>
      </c>
      <c r="L254" s="12">
        <v>483.8</v>
      </c>
      <c r="M254" s="11">
        <v>320.20999999999998</v>
      </c>
      <c r="N254" s="13">
        <v>215.7</v>
      </c>
      <c r="O254" s="13">
        <v>234.4</v>
      </c>
      <c r="P254" s="13">
        <v>240</v>
      </c>
      <c r="Q254" s="11">
        <v>290.3</v>
      </c>
      <c r="R254" s="11">
        <v>501.2</v>
      </c>
      <c r="S254" s="14">
        <v>483.8</v>
      </c>
      <c r="T254" s="11">
        <v>320.20999999999998</v>
      </c>
      <c r="U254" s="13">
        <f>IF('0.0%'!$N254&lt;$Z$3,0, '0.0%'!$O254/'0.0%'!$N254)</f>
        <v>1.0866944830783496</v>
      </c>
      <c r="V254" s="13">
        <f>IF('0.0%'!$N254&lt;$Z$3,0, '0.0%'!$P254/'0.0%'!$N254)</f>
        <v>1.1126564673157164</v>
      </c>
      <c r="W254" s="13">
        <f>IF('0.0%'!$N254&lt;$Z$3,0, '0.0%'!$Q254/'0.0%'!$N254)</f>
        <v>1.3458507185906352</v>
      </c>
      <c r="X254" s="13">
        <f>IF('0.0%'!$N254&lt;$Z$3,0, '0.0%'!$R254/'0.0%'!$N254)</f>
        <v>2.3235975892443208</v>
      </c>
      <c r="Y254" s="13">
        <f>IF('0.0%'!$N254&lt;$Z$3,0, '0.0%'!$S254/'0.0%'!$N254)</f>
        <v>2.2429299953639315</v>
      </c>
    </row>
    <row r="255" spans="1:25" x14ac:dyDescent="0.3">
      <c r="A255" s="17">
        <v>321.2</v>
      </c>
      <c r="B255" s="10">
        <v>214.4</v>
      </c>
      <c r="C255" s="9">
        <v>321.2</v>
      </c>
      <c r="D255" s="10">
        <v>233.1</v>
      </c>
      <c r="E255" s="11">
        <v>321.2</v>
      </c>
      <c r="F255" s="12">
        <v>238.8</v>
      </c>
      <c r="G255" s="11">
        <v>321.2</v>
      </c>
      <c r="H255" s="12">
        <v>288.5</v>
      </c>
      <c r="I255" s="11">
        <v>321.2</v>
      </c>
      <c r="J255" s="12">
        <v>497.8</v>
      </c>
      <c r="K255" s="11">
        <v>321.2</v>
      </c>
      <c r="L255" s="12">
        <v>480.8</v>
      </c>
      <c r="M255" s="11">
        <v>321.2</v>
      </c>
      <c r="N255" s="13">
        <v>214.4</v>
      </c>
      <c r="O255" s="13">
        <v>233.1</v>
      </c>
      <c r="P255" s="13">
        <v>238.8</v>
      </c>
      <c r="Q255" s="11">
        <v>288.5</v>
      </c>
      <c r="R255" s="11">
        <v>497.8</v>
      </c>
      <c r="S255" s="14">
        <v>480.8</v>
      </c>
      <c r="T255" s="11">
        <v>321.2</v>
      </c>
      <c r="U255" s="13">
        <f>IF('0.0%'!$N255&lt;$Z$3,0, '0.0%'!$O255/'0.0%'!$N255)</f>
        <v>1.0872201492537312</v>
      </c>
      <c r="V255" s="13">
        <f>IF('0.0%'!$N255&lt;$Z$3,0, '0.0%'!$P255/'0.0%'!$N255)</f>
        <v>1.1138059701492538</v>
      </c>
      <c r="W255" s="13">
        <f>IF('0.0%'!$N255&lt;$Z$3,0, '0.0%'!$Q255/'0.0%'!$N255)</f>
        <v>1.3456156716417911</v>
      </c>
      <c r="X255" s="13">
        <f>IF('0.0%'!$N255&lt;$Z$3,0, '0.0%'!$R255/'0.0%'!$N255)</f>
        <v>2.3218283582089554</v>
      </c>
      <c r="Y255" s="13">
        <f>IF('0.0%'!$N255&lt;$Z$3,0, '0.0%'!$S255/'0.0%'!$N255)</f>
        <v>2.2425373134328357</v>
      </c>
    </row>
    <row r="256" spans="1:25" x14ac:dyDescent="0.3">
      <c r="A256" s="17">
        <v>322.19</v>
      </c>
      <c r="B256" s="10">
        <v>212.1</v>
      </c>
      <c r="C256" s="9">
        <v>322.19</v>
      </c>
      <c r="D256" s="10">
        <v>230.9</v>
      </c>
      <c r="E256" s="11">
        <v>322.19</v>
      </c>
      <c r="F256" s="12">
        <v>236.7</v>
      </c>
      <c r="G256" s="11">
        <v>322.19</v>
      </c>
      <c r="H256" s="12">
        <v>285.8</v>
      </c>
      <c r="I256" s="11">
        <v>322.19</v>
      </c>
      <c r="J256" s="12">
        <v>493.5</v>
      </c>
      <c r="K256" s="11">
        <v>322.19</v>
      </c>
      <c r="L256" s="12">
        <v>477.1</v>
      </c>
      <c r="M256" s="11">
        <v>322.19</v>
      </c>
      <c r="N256" s="13">
        <v>212.1</v>
      </c>
      <c r="O256" s="13">
        <v>230.9</v>
      </c>
      <c r="P256" s="13">
        <v>236.7</v>
      </c>
      <c r="Q256" s="11">
        <v>285.8</v>
      </c>
      <c r="R256" s="11">
        <v>493.5</v>
      </c>
      <c r="S256" s="14">
        <v>477.1</v>
      </c>
      <c r="T256" s="11">
        <v>322.19</v>
      </c>
      <c r="U256" s="13">
        <f>IF('0.0%'!$N256&lt;$Z$3,0, '0.0%'!$O256/'0.0%'!$N256)</f>
        <v>1.0886374351720887</v>
      </c>
      <c r="V256" s="13">
        <f>IF('0.0%'!$N256&lt;$Z$3,0, '0.0%'!$P256/'0.0%'!$N256)</f>
        <v>1.115983026874116</v>
      </c>
      <c r="W256" s="13">
        <f>IF('0.0%'!$N256&lt;$Z$3,0, '0.0%'!$Q256/'0.0%'!$N256)</f>
        <v>1.3474776049033477</v>
      </c>
      <c r="X256" s="13">
        <f>IF('0.0%'!$N256&lt;$Z$3,0, '0.0%'!$R256/'0.0%'!$N256)</f>
        <v>2.3267326732673266</v>
      </c>
      <c r="Y256" s="13">
        <f>IF('0.0%'!$N256&lt;$Z$3,0, '0.0%'!$S256/'0.0%'!$N256)</f>
        <v>2.2494106553512494</v>
      </c>
    </row>
    <row r="257" spans="1:25" x14ac:dyDescent="0.3">
      <c r="A257" s="17">
        <v>323.18</v>
      </c>
      <c r="B257" s="10">
        <v>211</v>
      </c>
      <c r="C257" s="9">
        <v>323.18</v>
      </c>
      <c r="D257" s="10">
        <v>229.8</v>
      </c>
      <c r="E257" s="11">
        <v>323.18</v>
      </c>
      <c r="F257" s="12">
        <v>235.6</v>
      </c>
      <c r="G257" s="11">
        <v>323.18</v>
      </c>
      <c r="H257" s="12">
        <v>284.2</v>
      </c>
      <c r="I257" s="11">
        <v>323.18</v>
      </c>
      <c r="J257" s="12">
        <v>490.1</v>
      </c>
      <c r="K257" s="11">
        <v>323.18</v>
      </c>
      <c r="L257" s="12">
        <v>474.2</v>
      </c>
      <c r="M257" s="11">
        <v>323.18</v>
      </c>
      <c r="N257" s="13">
        <v>211</v>
      </c>
      <c r="O257" s="13">
        <v>229.8</v>
      </c>
      <c r="P257" s="13">
        <v>235.6</v>
      </c>
      <c r="Q257" s="11">
        <v>284.2</v>
      </c>
      <c r="R257" s="11">
        <v>490.1</v>
      </c>
      <c r="S257" s="14">
        <v>474.2</v>
      </c>
      <c r="T257" s="11">
        <v>323.18</v>
      </c>
      <c r="U257" s="13">
        <f>IF('0.0%'!$N257&lt;$Z$3,0, '0.0%'!$O257/'0.0%'!$N257)</f>
        <v>1.0890995260663507</v>
      </c>
      <c r="V257" s="13">
        <f>IF('0.0%'!$N257&lt;$Z$3,0, '0.0%'!$P257/'0.0%'!$N257)</f>
        <v>1.1165876777251185</v>
      </c>
      <c r="W257" s="13">
        <f>IF('0.0%'!$N257&lt;$Z$3,0, '0.0%'!$Q257/'0.0%'!$N257)</f>
        <v>1.3469194312796209</v>
      </c>
      <c r="X257" s="13">
        <f>IF('0.0%'!$N257&lt;$Z$3,0, '0.0%'!$R257/'0.0%'!$N257)</f>
        <v>2.3227488151658768</v>
      </c>
      <c r="Y257" s="13">
        <f>IF('0.0%'!$N257&lt;$Z$3,0, '0.0%'!$S257/'0.0%'!$N257)</f>
        <v>2.24739336492891</v>
      </c>
    </row>
    <row r="258" spans="1:25" x14ac:dyDescent="0.3">
      <c r="A258" s="17">
        <v>324.17</v>
      </c>
      <c r="B258" s="10">
        <v>208.8</v>
      </c>
      <c r="C258" s="9">
        <v>324.17</v>
      </c>
      <c r="D258" s="10">
        <v>227.7</v>
      </c>
      <c r="E258" s="11">
        <v>324.17</v>
      </c>
      <c r="F258" s="12">
        <v>233.6</v>
      </c>
      <c r="G258" s="11">
        <v>324.17</v>
      </c>
      <c r="H258" s="12">
        <v>281.5</v>
      </c>
      <c r="I258" s="11">
        <v>324.17</v>
      </c>
      <c r="J258" s="12">
        <v>485.8</v>
      </c>
      <c r="K258" s="11">
        <v>324.17</v>
      </c>
      <c r="L258" s="12">
        <v>470.4</v>
      </c>
      <c r="M258" s="11">
        <v>324.17</v>
      </c>
      <c r="N258" s="13">
        <v>208.8</v>
      </c>
      <c r="O258" s="13">
        <v>227.7</v>
      </c>
      <c r="P258" s="13">
        <v>233.6</v>
      </c>
      <c r="Q258" s="11">
        <v>281.5</v>
      </c>
      <c r="R258" s="11">
        <v>485.8</v>
      </c>
      <c r="S258" s="14">
        <v>470.4</v>
      </c>
      <c r="T258" s="11">
        <v>324.17</v>
      </c>
      <c r="U258" s="13">
        <f>IF('0.0%'!$N258&lt;$Z$3,0, '0.0%'!$O258/'0.0%'!$N258)</f>
        <v>1.0905172413793103</v>
      </c>
      <c r="V258" s="13">
        <f>IF('0.0%'!$N258&lt;$Z$3,0, '0.0%'!$P258/'0.0%'!$N258)</f>
        <v>1.1187739463601531</v>
      </c>
      <c r="W258" s="13">
        <f>IF('0.0%'!$N258&lt;$Z$3,0, '0.0%'!$Q258/'0.0%'!$N258)</f>
        <v>1.3481800766283525</v>
      </c>
      <c r="X258" s="13">
        <f>IF('0.0%'!$N258&lt;$Z$3,0, '0.0%'!$R258/'0.0%'!$N258)</f>
        <v>2.3266283524904212</v>
      </c>
      <c r="Y258" s="13">
        <f>IF('0.0%'!$N258&lt;$Z$3,0, '0.0%'!$S258/'0.0%'!$N258)</f>
        <v>2.2528735632183907</v>
      </c>
    </row>
    <row r="259" spans="1:25" x14ac:dyDescent="0.3">
      <c r="A259" s="17">
        <v>325.16000000000003</v>
      </c>
      <c r="B259" s="10">
        <v>207.8</v>
      </c>
      <c r="C259" s="9">
        <v>325.16000000000003</v>
      </c>
      <c r="D259" s="10">
        <v>226.7</v>
      </c>
      <c r="E259" s="11">
        <v>325.16000000000003</v>
      </c>
      <c r="F259" s="12">
        <v>232.6</v>
      </c>
      <c r="G259" s="11">
        <v>325.16000000000003</v>
      </c>
      <c r="H259" s="12">
        <v>280</v>
      </c>
      <c r="I259" s="11">
        <v>325.16000000000003</v>
      </c>
      <c r="J259" s="12">
        <v>482.5</v>
      </c>
      <c r="K259" s="11">
        <v>325.16000000000003</v>
      </c>
      <c r="L259" s="12">
        <v>467.7</v>
      </c>
      <c r="M259" s="11">
        <v>325.16000000000003</v>
      </c>
      <c r="N259" s="13">
        <v>207.8</v>
      </c>
      <c r="O259" s="13">
        <v>226.7</v>
      </c>
      <c r="P259" s="13">
        <v>232.6</v>
      </c>
      <c r="Q259" s="11">
        <v>280</v>
      </c>
      <c r="R259" s="11">
        <v>482.5</v>
      </c>
      <c r="S259" s="14">
        <v>467.7</v>
      </c>
      <c r="T259" s="11">
        <v>325.16000000000003</v>
      </c>
      <c r="U259" s="13">
        <f>IF('0.0%'!$N259&lt;$Z$3,0, '0.0%'!$O259/'0.0%'!$N259)</f>
        <v>1.0909528392685273</v>
      </c>
      <c r="V259" s="13">
        <f>IF('0.0%'!$N259&lt;$Z$3,0, '0.0%'!$P259/'0.0%'!$N259)</f>
        <v>1.1193455245428297</v>
      </c>
      <c r="W259" s="13">
        <f>IF('0.0%'!$N259&lt;$Z$3,0, '0.0%'!$Q259/'0.0%'!$N259)</f>
        <v>1.3474494706448508</v>
      </c>
      <c r="X259" s="13">
        <f>IF('0.0%'!$N259&lt;$Z$3,0, '0.0%'!$R259/'0.0%'!$N259)</f>
        <v>2.3219441770933589</v>
      </c>
      <c r="Y259" s="13">
        <f>IF('0.0%'!$N259&lt;$Z$3,0, '0.0%'!$S259/'0.0%'!$N259)</f>
        <v>2.2507218479307025</v>
      </c>
    </row>
    <row r="260" spans="1:25" x14ac:dyDescent="0.3">
      <c r="A260" s="17">
        <v>326.16000000000003</v>
      </c>
      <c r="B260" s="10">
        <v>206</v>
      </c>
      <c r="C260" s="9">
        <v>326.16000000000003</v>
      </c>
      <c r="D260" s="10">
        <v>224.8</v>
      </c>
      <c r="E260" s="11">
        <v>326.16000000000003</v>
      </c>
      <c r="F260" s="12">
        <v>230.8</v>
      </c>
      <c r="G260" s="11">
        <v>326.16000000000003</v>
      </c>
      <c r="H260" s="12">
        <v>277.7</v>
      </c>
      <c r="I260" s="11">
        <v>326.16000000000003</v>
      </c>
      <c r="J260" s="12">
        <v>478.6</v>
      </c>
      <c r="K260" s="11">
        <v>326.16000000000003</v>
      </c>
      <c r="L260" s="12">
        <v>464.2</v>
      </c>
      <c r="M260" s="11">
        <v>326.16000000000003</v>
      </c>
      <c r="N260" s="13">
        <v>206</v>
      </c>
      <c r="O260" s="13">
        <v>224.8</v>
      </c>
      <c r="P260" s="13">
        <v>230.8</v>
      </c>
      <c r="Q260" s="11">
        <v>277.7</v>
      </c>
      <c r="R260" s="11">
        <v>478.6</v>
      </c>
      <c r="S260" s="14">
        <v>464.2</v>
      </c>
      <c r="T260" s="11">
        <v>326.16000000000003</v>
      </c>
      <c r="U260" s="13">
        <f>IF('0.0%'!$N260&lt;$Z$3,0, '0.0%'!$O260/'0.0%'!$N260)</f>
        <v>1.0912621359223302</v>
      </c>
      <c r="V260" s="13">
        <f>IF('0.0%'!$N260&lt;$Z$3,0, '0.0%'!$P260/'0.0%'!$N260)</f>
        <v>1.1203883495145632</v>
      </c>
      <c r="W260" s="13">
        <f>IF('0.0%'!$N260&lt;$Z$3,0, '0.0%'!$Q260/'0.0%'!$N260)</f>
        <v>1.3480582524271845</v>
      </c>
      <c r="X260" s="13">
        <f>IF('0.0%'!$N260&lt;$Z$3,0, '0.0%'!$R260/'0.0%'!$N260)</f>
        <v>2.3233009708737864</v>
      </c>
      <c r="Y260" s="13">
        <f>IF('0.0%'!$N260&lt;$Z$3,0, '0.0%'!$S260/'0.0%'!$N260)</f>
        <v>2.2533980582524271</v>
      </c>
    </row>
    <row r="261" spans="1:25" x14ac:dyDescent="0.3">
      <c r="A261" s="17">
        <v>327.14999999999998</v>
      </c>
      <c r="B261" s="10">
        <v>205.3</v>
      </c>
      <c r="C261" s="9">
        <v>327.14999999999998</v>
      </c>
      <c r="D261" s="10">
        <v>224.1</v>
      </c>
      <c r="E261" s="11">
        <v>327.14999999999998</v>
      </c>
      <c r="F261" s="12">
        <v>230</v>
      </c>
      <c r="G261" s="11">
        <v>327.14999999999998</v>
      </c>
      <c r="H261" s="12">
        <v>276.5</v>
      </c>
      <c r="I261" s="11">
        <v>327.14999999999998</v>
      </c>
      <c r="J261" s="12">
        <v>475.7</v>
      </c>
      <c r="K261" s="11">
        <v>327.14999999999998</v>
      </c>
      <c r="L261" s="12">
        <v>461.6</v>
      </c>
      <c r="M261" s="11">
        <v>327.14999999999998</v>
      </c>
      <c r="N261" s="13">
        <v>205.3</v>
      </c>
      <c r="O261" s="13">
        <v>224.1</v>
      </c>
      <c r="P261" s="13">
        <v>230</v>
      </c>
      <c r="Q261" s="11">
        <v>276.5</v>
      </c>
      <c r="R261" s="11">
        <v>475.7</v>
      </c>
      <c r="S261" s="14">
        <v>461.6</v>
      </c>
      <c r="T261" s="11">
        <v>327.14999999999998</v>
      </c>
      <c r="U261" s="13">
        <f>IF('0.0%'!$N261&lt;$Z$3,0, '0.0%'!$O261/'0.0%'!$N261)</f>
        <v>1.09157330735509</v>
      </c>
      <c r="V261" s="13">
        <f>IF('0.0%'!$N261&lt;$Z$3,0, '0.0%'!$P261/'0.0%'!$N261)</f>
        <v>1.1203117389186557</v>
      </c>
      <c r="W261" s="13">
        <f>IF('0.0%'!$N261&lt;$Z$3,0, '0.0%'!$Q261/'0.0%'!$N261)</f>
        <v>1.3468095470043837</v>
      </c>
      <c r="X261" s="13">
        <f>IF('0.0%'!$N261&lt;$Z$3,0, '0.0%'!$R261/'0.0%'!$N261)</f>
        <v>2.3170969313200191</v>
      </c>
      <c r="Y261" s="13">
        <f>IF('0.0%'!$N261&lt;$Z$3,0, '0.0%'!$S261/'0.0%'!$N261)</f>
        <v>2.2484169508037017</v>
      </c>
    </row>
    <row r="262" spans="1:25" x14ac:dyDescent="0.3">
      <c r="A262" s="17">
        <v>328.14</v>
      </c>
      <c r="B262" s="10">
        <v>203.5</v>
      </c>
      <c r="C262" s="9">
        <v>328.14</v>
      </c>
      <c r="D262" s="10">
        <v>222.2</v>
      </c>
      <c r="E262" s="11">
        <v>328.14</v>
      </c>
      <c r="F262" s="12">
        <v>228.2</v>
      </c>
      <c r="G262" s="11">
        <v>328.14</v>
      </c>
      <c r="H262" s="12">
        <v>274.10000000000002</v>
      </c>
      <c r="I262" s="11">
        <v>328.14</v>
      </c>
      <c r="J262" s="12">
        <v>471.8</v>
      </c>
      <c r="K262" s="11">
        <v>328.14</v>
      </c>
      <c r="L262" s="12">
        <v>458.2</v>
      </c>
      <c r="M262" s="11">
        <v>328.14</v>
      </c>
      <c r="N262" s="13">
        <v>203.5</v>
      </c>
      <c r="O262" s="13">
        <v>222.2</v>
      </c>
      <c r="P262" s="13">
        <v>228.2</v>
      </c>
      <c r="Q262" s="11">
        <v>274.10000000000002</v>
      </c>
      <c r="R262" s="11">
        <v>471.8</v>
      </c>
      <c r="S262" s="14">
        <v>458.2</v>
      </c>
      <c r="T262" s="11">
        <v>328.14</v>
      </c>
      <c r="U262" s="13">
        <f>IF('0.0%'!$N262&lt;$Z$3,0, '0.0%'!$O262/'0.0%'!$N262)</f>
        <v>1.0918918918918918</v>
      </c>
      <c r="V262" s="13">
        <f>IF('0.0%'!$N262&lt;$Z$3,0, '0.0%'!$P262/'0.0%'!$N262)</f>
        <v>1.1213759213759213</v>
      </c>
      <c r="W262" s="13">
        <f>IF('0.0%'!$N262&lt;$Z$3,0, '0.0%'!$Q262/'0.0%'!$N262)</f>
        <v>1.346928746928747</v>
      </c>
      <c r="X262" s="13">
        <f>IF('0.0%'!$N262&lt;$Z$3,0, '0.0%'!$R262/'0.0%'!$N262)</f>
        <v>2.3184275184275185</v>
      </c>
      <c r="Y262" s="13">
        <f>IF('0.0%'!$N262&lt;$Z$3,0, '0.0%'!$S262/'0.0%'!$N262)</f>
        <v>2.2515970515970514</v>
      </c>
    </row>
    <row r="263" spans="1:25" x14ac:dyDescent="0.3">
      <c r="A263" s="17">
        <v>329.13</v>
      </c>
      <c r="B263" s="10">
        <v>202.7</v>
      </c>
      <c r="C263" s="9">
        <v>329.13</v>
      </c>
      <c r="D263" s="10">
        <v>221.3</v>
      </c>
      <c r="E263" s="11">
        <v>329.13</v>
      </c>
      <c r="F263" s="12">
        <v>227.2</v>
      </c>
      <c r="G263" s="11">
        <v>329.13</v>
      </c>
      <c r="H263" s="12">
        <v>272.8</v>
      </c>
      <c r="I263" s="11">
        <v>329.13</v>
      </c>
      <c r="J263" s="12">
        <v>468.8</v>
      </c>
      <c r="K263" s="11">
        <v>329.13</v>
      </c>
      <c r="L263" s="12">
        <v>455.4</v>
      </c>
      <c r="M263" s="11">
        <v>329.13</v>
      </c>
      <c r="N263" s="13">
        <v>202.7</v>
      </c>
      <c r="O263" s="13">
        <v>221.3</v>
      </c>
      <c r="P263" s="13">
        <v>227.2</v>
      </c>
      <c r="Q263" s="11">
        <v>272.8</v>
      </c>
      <c r="R263" s="11">
        <v>468.8</v>
      </c>
      <c r="S263" s="14">
        <v>455.4</v>
      </c>
      <c r="T263" s="11">
        <v>329.13</v>
      </c>
      <c r="U263" s="13">
        <f>IF('0.0%'!$N263&lt;$Z$3,0, '0.0%'!$O263/'0.0%'!$N263)</f>
        <v>1.0917612234829799</v>
      </c>
      <c r="V263" s="13">
        <f>IF('0.0%'!$N263&lt;$Z$3,0, '0.0%'!$P263/'0.0%'!$N263)</f>
        <v>1.1208682782437098</v>
      </c>
      <c r="W263" s="13">
        <f>IF('0.0%'!$N263&lt;$Z$3,0, '0.0%'!$Q263/'0.0%'!$N263)</f>
        <v>1.34583127775037</v>
      </c>
      <c r="X263" s="13">
        <f>IF('0.0%'!$N263&lt;$Z$3,0, '0.0%'!$R263/'0.0%'!$N263)</f>
        <v>2.3127775037000493</v>
      </c>
      <c r="Y263" s="13">
        <f>IF('0.0%'!$N263&lt;$Z$3,0, '0.0%'!$S263/'0.0%'!$N263)</f>
        <v>2.2466699555994079</v>
      </c>
    </row>
    <row r="264" spans="1:25" x14ac:dyDescent="0.3">
      <c r="A264" s="17">
        <v>330.12</v>
      </c>
      <c r="B264" s="10">
        <v>200.7</v>
      </c>
      <c r="C264" s="9">
        <v>330.12</v>
      </c>
      <c r="D264" s="10">
        <v>219.3</v>
      </c>
      <c r="E264" s="11">
        <v>330.12</v>
      </c>
      <c r="F264" s="12">
        <v>225.3</v>
      </c>
      <c r="G264" s="11">
        <v>330.12</v>
      </c>
      <c r="H264" s="12">
        <v>270.39999999999998</v>
      </c>
      <c r="I264" s="11">
        <v>330.12</v>
      </c>
      <c r="J264" s="12">
        <v>464.8</v>
      </c>
      <c r="K264" s="11">
        <v>330.12</v>
      </c>
      <c r="L264" s="12">
        <v>451.6</v>
      </c>
      <c r="M264" s="11">
        <v>330.12</v>
      </c>
      <c r="N264" s="13">
        <v>200.7</v>
      </c>
      <c r="O264" s="13">
        <v>219.3</v>
      </c>
      <c r="P264" s="13">
        <v>225.3</v>
      </c>
      <c r="Q264" s="11">
        <v>270.39999999999998</v>
      </c>
      <c r="R264" s="11">
        <v>464.8</v>
      </c>
      <c r="S264" s="14">
        <v>451.6</v>
      </c>
      <c r="T264" s="11">
        <v>330.12</v>
      </c>
      <c r="U264" s="13">
        <f>IF('0.0%'!$N264&lt;$Z$3,0, '0.0%'!$O264/'0.0%'!$N264)</f>
        <v>1.0926756352765323</v>
      </c>
      <c r="V264" s="13">
        <f>IF('0.0%'!$N264&lt;$Z$3,0, '0.0%'!$P264/'0.0%'!$N264)</f>
        <v>1.1225710014947685</v>
      </c>
      <c r="W264" s="13">
        <f>IF('0.0%'!$N264&lt;$Z$3,0, '0.0%'!$Q264/'0.0%'!$N264)</f>
        <v>1.3472845042351769</v>
      </c>
      <c r="X264" s="13">
        <f>IF('0.0%'!$N264&lt;$Z$3,0, '0.0%'!$R264/'0.0%'!$N264)</f>
        <v>2.315894369706029</v>
      </c>
      <c r="Y264" s="13">
        <f>IF('0.0%'!$N264&lt;$Z$3,0, '0.0%'!$S264/'0.0%'!$N264)</f>
        <v>2.2501245640259095</v>
      </c>
    </row>
    <row r="265" spans="1:25" x14ac:dyDescent="0.3">
      <c r="A265" s="17">
        <v>331.12</v>
      </c>
      <c r="B265" s="10">
        <v>199.7</v>
      </c>
      <c r="C265" s="9">
        <v>331.12</v>
      </c>
      <c r="D265" s="10">
        <v>218.2</v>
      </c>
      <c r="E265" s="11">
        <v>331.12</v>
      </c>
      <c r="F265" s="12">
        <v>224.2</v>
      </c>
      <c r="G265" s="11">
        <v>331.12</v>
      </c>
      <c r="H265" s="12">
        <v>268.89999999999998</v>
      </c>
      <c r="I265" s="11">
        <v>331.12</v>
      </c>
      <c r="J265" s="12">
        <v>461.5</v>
      </c>
      <c r="K265" s="11">
        <v>331.12</v>
      </c>
      <c r="L265" s="12">
        <v>448.6</v>
      </c>
      <c r="M265" s="11">
        <v>331.12</v>
      </c>
      <c r="N265" s="13">
        <v>199.7</v>
      </c>
      <c r="O265" s="13">
        <v>218.2</v>
      </c>
      <c r="P265" s="13">
        <v>224.2</v>
      </c>
      <c r="Q265" s="11">
        <v>268.89999999999998</v>
      </c>
      <c r="R265" s="11">
        <v>461.5</v>
      </c>
      <c r="S265" s="14">
        <v>448.6</v>
      </c>
      <c r="T265" s="11">
        <v>331.12</v>
      </c>
      <c r="U265" s="13">
        <f>IF('0.0%'!$N265&lt;$Z$3,0, '0.0%'!$O265/'0.0%'!$N265)</f>
        <v>1.0926389584376566</v>
      </c>
      <c r="V265" s="13">
        <f>IF('0.0%'!$N265&lt;$Z$3,0, '0.0%'!$P265/'0.0%'!$N265)</f>
        <v>1.1226840260390587</v>
      </c>
      <c r="W265" s="13">
        <f>IF('0.0%'!$N265&lt;$Z$3,0, '0.0%'!$Q265/'0.0%'!$N265)</f>
        <v>1.3465197796695043</v>
      </c>
      <c r="X265" s="13">
        <f>IF('0.0%'!$N265&lt;$Z$3,0, '0.0%'!$R265/'0.0%'!$N265)</f>
        <v>2.3109664496745119</v>
      </c>
      <c r="Y265" s="13">
        <f>IF('0.0%'!$N265&lt;$Z$3,0, '0.0%'!$S265/'0.0%'!$N265)</f>
        <v>2.2463695543314977</v>
      </c>
    </row>
    <row r="266" spans="1:25" x14ac:dyDescent="0.3">
      <c r="A266" s="17">
        <v>332.11</v>
      </c>
      <c r="B266" s="10">
        <v>197.5</v>
      </c>
      <c r="C266" s="9">
        <v>332.11</v>
      </c>
      <c r="D266" s="10">
        <v>215.9</v>
      </c>
      <c r="E266" s="11">
        <v>332.11</v>
      </c>
      <c r="F266" s="12">
        <v>221.9</v>
      </c>
      <c r="G266" s="11">
        <v>332.11</v>
      </c>
      <c r="H266" s="12">
        <v>266.3</v>
      </c>
      <c r="I266" s="11">
        <v>332.11</v>
      </c>
      <c r="J266" s="12">
        <v>457.3</v>
      </c>
      <c r="K266" s="11">
        <v>332.11</v>
      </c>
      <c r="L266" s="12">
        <v>444.5</v>
      </c>
      <c r="M266" s="11">
        <v>332.11</v>
      </c>
      <c r="N266" s="13">
        <v>197.5</v>
      </c>
      <c r="O266" s="13">
        <v>215.9</v>
      </c>
      <c r="P266" s="13">
        <v>221.9</v>
      </c>
      <c r="Q266" s="11">
        <v>266.3</v>
      </c>
      <c r="R266" s="11">
        <v>457.3</v>
      </c>
      <c r="S266" s="14">
        <v>444.5</v>
      </c>
      <c r="T266" s="11">
        <v>332.11</v>
      </c>
      <c r="U266" s="13">
        <f>IF('0.0%'!$N266&lt;$Z$3,0, '0.0%'!$O266/'0.0%'!$N266)</f>
        <v>1.0931645569620254</v>
      </c>
      <c r="V266" s="13">
        <f>IF('0.0%'!$N266&lt;$Z$3,0, '0.0%'!$P266/'0.0%'!$N266)</f>
        <v>1.1235443037974684</v>
      </c>
      <c r="W266" s="13">
        <f>IF('0.0%'!$N266&lt;$Z$3,0, '0.0%'!$Q266/'0.0%'!$N266)</f>
        <v>1.3483544303797468</v>
      </c>
      <c r="X266" s="13">
        <f>IF('0.0%'!$N266&lt;$Z$3,0, '0.0%'!$R266/'0.0%'!$N266)</f>
        <v>2.3154430379746835</v>
      </c>
      <c r="Y266" s="13">
        <f>IF('0.0%'!$N266&lt;$Z$3,0, '0.0%'!$S266/'0.0%'!$N266)</f>
        <v>2.2506329113924051</v>
      </c>
    </row>
    <row r="267" spans="1:25" x14ac:dyDescent="0.3">
      <c r="A267" s="17">
        <v>333.1</v>
      </c>
      <c r="B267" s="10">
        <v>196.1</v>
      </c>
      <c r="C267" s="9">
        <v>333.1</v>
      </c>
      <c r="D267" s="10">
        <v>214.6</v>
      </c>
      <c r="E267" s="11">
        <v>333.1</v>
      </c>
      <c r="F267" s="12">
        <v>220.5</v>
      </c>
      <c r="G267" s="11">
        <v>333.1</v>
      </c>
      <c r="H267" s="12">
        <v>264.5</v>
      </c>
      <c r="I267" s="11">
        <v>333.1</v>
      </c>
      <c r="J267" s="12">
        <v>453.9</v>
      </c>
      <c r="K267" s="11">
        <v>333.1</v>
      </c>
      <c r="L267" s="12">
        <v>441.4</v>
      </c>
      <c r="M267" s="11">
        <v>333.1</v>
      </c>
      <c r="N267" s="13">
        <v>196.1</v>
      </c>
      <c r="O267" s="13">
        <v>214.6</v>
      </c>
      <c r="P267" s="13">
        <v>220.5</v>
      </c>
      <c r="Q267" s="11">
        <v>264.5</v>
      </c>
      <c r="R267" s="11">
        <v>453.9</v>
      </c>
      <c r="S267" s="14">
        <v>441.4</v>
      </c>
      <c r="T267" s="11">
        <v>333.1</v>
      </c>
      <c r="U267" s="13">
        <f>IF('0.0%'!$N267&lt;$Z$3,0, '0.0%'!$O267/'0.0%'!$N267)</f>
        <v>1.0943396226415094</v>
      </c>
      <c r="V267" s="13">
        <f>IF('0.0%'!$N267&lt;$Z$3,0, '0.0%'!$P267/'0.0%'!$N267)</f>
        <v>1.1244263131055585</v>
      </c>
      <c r="W267" s="13">
        <f>IF('0.0%'!$N267&lt;$Z$3,0, '0.0%'!$Q267/'0.0%'!$N267)</f>
        <v>1.3488016318204998</v>
      </c>
      <c r="X267" s="13">
        <f>IF('0.0%'!$N267&lt;$Z$3,0, '0.0%'!$R267/'0.0%'!$N267)</f>
        <v>2.314635390107088</v>
      </c>
      <c r="Y267" s="13">
        <f>IF('0.0%'!$N267&lt;$Z$3,0, '0.0%'!$S267/'0.0%'!$N267)</f>
        <v>2.2508924018357979</v>
      </c>
    </row>
    <row r="268" spans="1:25" x14ac:dyDescent="0.3">
      <c r="A268" s="17">
        <v>334.09</v>
      </c>
      <c r="B268" s="10">
        <v>193.8</v>
      </c>
      <c r="C268" s="9">
        <v>334.09</v>
      </c>
      <c r="D268" s="10">
        <v>212.3</v>
      </c>
      <c r="E268" s="11">
        <v>334.09</v>
      </c>
      <c r="F268" s="12">
        <v>218.2</v>
      </c>
      <c r="G268" s="11">
        <v>334.09</v>
      </c>
      <c r="H268" s="12">
        <v>261.7</v>
      </c>
      <c r="I268" s="11">
        <v>334.09</v>
      </c>
      <c r="J268" s="12">
        <v>449.8</v>
      </c>
      <c r="K268" s="11">
        <v>334.09</v>
      </c>
      <c r="L268" s="12">
        <v>437.5</v>
      </c>
      <c r="M268" s="11">
        <v>334.09</v>
      </c>
      <c r="N268" s="13">
        <v>193.8</v>
      </c>
      <c r="O268" s="13">
        <v>212.3</v>
      </c>
      <c r="P268" s="13">
        <v>218.2</v>
      </c>
      <c r="Q268" s="11">
        <v>261.7</v>
      </c>
      <c r="R268" s="11">
        <v>449.8</v>
      </c>
      <c r="S268" s="14">
        <v>437.5</v>
      </c>
      <c r="T268" s="11">
        <v>334.09</v>
      </c>
      <c r="U268" s="13">
        <f>IF('0.0%'!$N268&lt;$Z$3,0, '0.0%'!$O268/'0.0%'!$N268)</f>
        <v>1.0954592363261093</v>
      </c>
      <c r="V268" s="13">
        <f>IF('0.0%'!$N268&lt;$Z$3,0, '0.0%'!$P268/'0.0%'!$N268)</f>
        <v>1.1259029927760578</v>
      </c>
      <c r="W268" s="13">
        <f>IF('0.0%'!$N268&lt;$Z$3,0, '0.0%'!$Q268/'0.0%'!$N268)</f>
        <v>1.350361197110423</v>
      </c>
      <c r="X268" s="13">
        <f>IF('0.0%'!$N268&lt;$Z$3,0, '0.0%'!$R268/'0.0%'!$N268)</f>
        <v>2.3209494324045408</v>
      </c>
      <c r="Y268" s="13">
        <f>IF('0.0%'!$N268&lt;$Z$3,0, '0.0%'!$S268/'0.0%'!$N268)</f>
        <v>2.2574819401444786</v>
      </c>
    </row>
    <row r="269" spans="1:25" x14ac:dyDescent="0.3">
      <c r="A269" s="17">
        <v>335.08</v>
      </c>
      <c r="B269" s="10">
        <v>192</v>
      </c>
      <c r="C269" s="9">
        <v>335.08</v>
      </c>
      <c r="D269" s="10">
        <v>210.4</v>
      </c>
      <c r="E269" s="11">
        <v>335.08</v>
      </c>
      <c r="F269" s="12">
        <v>216.3</v>
      </c>
      <c r="G269" s="11">
        <v>335.08</v>
      </c>
      <c r="H269" s="12">
        <v>259.3</v>
      </c>
      <c r="I269" s="11">
        <v>335.08</v>
      </c>
      <c r="J269" s="12">
        <v>446.1</v>
      </c>
      <c r="K269" s="11">
        <v>335.08</v>
      </c>
      <c r="L269" s="12">
        <v>434.1</v>
      </c>
      <c r="M269" s="11">
        <v>335.08</v>
      </c>
      <c r="N269" s="13">
        <v>192</v>
      </c>
      <c r="O269" s="13">
        <v>210.4</v>
      </c>
      <c r="P269" s="13">
        <v>216.3</v>
      </c>
      <c r="Q269" s="11">
        <v>259.3</v>
      </c>
      <c r="R269" s="11">
        <v>446.1</v>
      </c>
      <c r="S269" s="14">
        <v>434.1</v>
      </c>
      <c r="T269" s="11">
        <v>335.08</v>
      </c>
      <c r="U269" s="13">
        <f>IF('0.0%'!$N269&lt;$Z$3,0, '0.0%'!$O269/'0.0%'!$N269)</f>
        <v>1.0958333333333334</v>
      </c>
      <c r="V269" s="13">
        <f>IF('0.0%'!$N269&lt;$Z$3,0, '0.0%'!$P269/'0.0%'!$N269)</f>
        <v>1.1265625000000001</v>
      </c>
      <c r="W269" s="13">
        <f>IF('0.0%'!$N269&lt;$Z$3,0, '0.0%'!$Q269/'0.0%'!$N269)</f>
        <v>1.3505208333333334</v>
      </c>
      <c r="X269" s="13">
        <f>IF('0.0%'!$N269&lt;$Z$3,0, '0.0%'!$R269/'0.0%'!$N269)</f>
        <v>2.3234375000000003</v>
      </c>
      <c r="Y269" s="13">
        <f>IF('0.0%'!$N269&lt;$Z$3,0, '0.0%'!$S269/'0.0%'!$N269)</f>
        <v>2.2609375000000003</v>
      </c>
    </row>
    <row r="270" spans="1:25" x14ac:dyDescent="0.3">
      <c r="A270" s="17">
        <v>336.07</v>
      </c>
      <c r="B270" s="10">
        <v>191.1</v>
      </c>
      <c r="C270" s="9">
        <v>336.07</v>
      </c>
      <c r="D270" s="10">
        <v>209.6</v>
      </c>
      <c r="E270" s="11">
        <v>336.07</v>
      </c>
      <c r="F270" s="12">
        <v>215.4</v>
      </c>
      <c r="G270" s="11">
        <v>336.07</v>
      </c>
      <c r="H270" s="12">
        <v>257.89999999999998</v>
      </c>
      <c r="I270" s="11">
        <v>336.07</v>
      </c>
      <c r="J270" s="12">
        <v>443.7</v>
      </c>
      <c r="K270" s="11">
        <v>336.07</v>
      </c>
      <c r="L270" s="12">
        <v>432.1</v>
      </c>
      <c r="M270" s="11">
        <v>336.07</v>
      </c>
      <c r="N270" s="13">
        <v>191.1</v>
      </c>
      <c r="O270" s="13">
        <v>209.6</v>
      </c>
      <c r="P270" s="13">
        <v>215.4</v>
      </c>
      <c r="Q270" s="11">
        <v>257.89999999999998</v>
      </c>
      <c r="R270" s="11">
        <v>443.7</v>
      </c>
      <c r="S270" s="14">
        <v>432.1</v>
      </c>
      <c r="T270" s="11">
        <v>336.07</v>
      </c>
      <c r="U270" s="13">
        <f>IF('0.0%'!$N270&lt;$Z$3,0, '0.0%'!$O270/'0.0%'!$N270)</f>
        <v>1.0968079539508111</v>
      </c>
      <c r="V270" s="13">
        <f>IF('0.0%'!$N270&lt;$Z$3,0, '0.0%'!$P270/'0.0%'!$N270)</f>
        <v>1.1271585557299844</v>
      </c>
      <c r="W270" s="13">
        <f>IF('0.0%'!$N270&lt;$Z$3,0, '0.0%'!$Q270/'0.0%'!$N270)</f>
        <v>1.3495552066980638</v>
      </c>
      <c r="X270" s="13">
        <f>IF('0.0%'!$N270&lt;$Z$3,0, '0.0%'!$R270/'0.0%'!$N270)</f>
        <v>2.3218210361067504</v>
      </c>
      <c r="Y270" s="13">
        <f>IF('0.0%'!$N270&lt;$Z$3,0, '0.0%'!$S270/'0.0%'!$N270)</f>
        <v>2.2611198325484043</v>
      </c>
    </row>
    <row r="271" spans="1:25" x14ac:dyDescent="0.3">
      <c r="A271" s="17">
        <v>337.07</v>
      </c>
      <c r="B271" s="10">
        <v>189.4</v>
      </c>
      <c r="C271" s="9">
        <v>337.07</v>
      </c>
      <c r="D271" s="10">
        <v>207.9</v>
      </c>
      <c r="E271" s="11">
        <v>337.07</v>
      </c>
      <c r="F271" s="12">
        <v>213.7</v>
      </c>
      <c r="G271" s="11">
        <v>337.07</v>
      </c>
      <c r="H271" s="12">
        <v>255.9</v>
      </c>
      <c r="I271" s="11">
        <v>337.07</v>
      </c>
      <c r="J271" s="12">
        <v>440.9</v>
      </c>
      <c r="K271" s="11">
        <v>337.07</v>
      </c>
      <c r="L271" s="12">
        <v>429.8</v>
      </c>
      <c r="M271" s="11">
        <v>337.07</v>
      </c>
      <c r="N271" s="13">
        <v>189.4</v>
      </c>
      <c r="O271" s="13">
        <v>207.9</v>
      </c>
      <c r="P271" s="13">
        <v>213.7</v>
      </c>
      <c r="Q271" s="11">
        <v>255.9</v>
      </c>
      <c r="R271" s="11">
        <v>440.9</v>
      </c>
      <c r="S271" s="14">
        <v>429.8</v>
      </c>
      <c r="T271" s="11">
        <v>337.07</v>
      </c>
      <c r="U271" s="13">
        <f>IF('0.0%'!$N271&lt;$Z$3,0, '0.0%'!$O271/'0.0%'!$N271)</f>
        <v>1.0976768743400211</v>
      </c>
      <c r="V271" s="13">
        <f>IF('0.0%'!$N271&lt;$Z$3,0, '0.0%'!$P271/'0.0%'!$N271)</f>
        <v>1.1282998944033791</v>
      </c>
      <c r="W271" s="13">
        <f>IF('0.0%'!$N271&lt;$Z$3,0, '0.0%'!$Q271/'0.0%'!$N271)</f>
        <v>1.3511087645195354</v>
      </c>
      <c r="X271" s="13">
        <f>IF('0.0%'!$N271&lt;$Z$3,0, '0.0%'!$R271/'0.0%'!$N271)</f>
        <v>2.3278775079197462</v>
      </c>
      <c r="Y271" s="13">
        <f>IF('0.0%'!$N271&lt;$Z$3,0, '0.0%'!$S271/'0.0%'!$N271)</f>
        <v>2.2692713833157341</v>
      </c>
    </row>
    <row r="272" spans="1:25" x14ac:dyDescent="0.3">
      <c r="A272" s="17">
        <v>338.06</v>
      </c>
      <c r="B272" s="10">
        <v>188.9</v>
      </c>
      <c r="C272" s="9">
        <v>338.06</v>
      </c>
      <c r="D272" s="10">
        <v>207.6</v>
      </c>
      <c r="E272" s="11">
        <v>338.06</v>
      </c>
      <c r="F272" s="12">
        <v>213.3</v>
      </c>
      <c r="G272" s="11">
        <v>338.06</v>
      </c>
      <c r="H272" s="12">
        <v>255</v>
      </c>
      <c r="I272" s="11">
        <v>338.06</v>
      </c>
      <c r="J272" s="12">
        <v>439.4</v>
      </c>
      <c r="K272" s="11">
        <v>338.06</v>
      </c>
      <c r="L272" s="12">
        <v>428.8</v>
      </c>
      <c r="M272" s="11">
        <v>338.06</v>
      </c>
      <c r="N272" s="13">
        <v>188.9</v>
      </c>
      <c r="O272" s="13">
        <v>207.6</v>
      </c>
      <c r="P272" s="13">
        <v>213.3</v>
      </c>
      <c r="Q272" s="11">
        <v>255</v>
      </c>
      <c r="R272" s="11">
        <v>439.4</v>
      </c>
      <c r="S272" s="14">
        <v>428.8</v>
      </c>
      <c r="T272" s="11">
        <v>338.06</v>
      </c>
      <c r="U272" s="13">
        <f>IF('0.0%'!$N272&lt;$Z$3,0, '0.0%'!$O272/'0.0%'!$N272)</f>
        <v>1.0989941768131286</v>
      </c>
      <c r="V272" s="13">
        <f>IF('0.0%'!$N272&lt;$Z$3,0, '0.0%'!$P272/'0.0%'!$N272)</f>
        <v>1.1291688724192694</v>
      </c>
      <c r="W272" s="13">
        <f>IF('0.0%'!$N272&lt;$Z$3,0, '0.0%'!$Q272/'0.0%'!$N272)</f>
        <v>1.3499205929062996</v>
      </c>
      <c r="X272" s="13">
        <f>IF('0.0%'!$N272&lt;$Z$3,0, '0.0%'!$R272/'0.0%'!$N272)</f>
        <v>2.3260984647961882</v>
      </c>
      <c r="Y272" s="13">
        <f>IF('0.0%'!$N272&lt;$Z$3,0, '0.0%'!$S272/'0.0%'!$N272)</f>
        <v>2.2699841185812599</v>
      </c>
    </row>
    <row r="273" spans="1:25" x14ac:dyDescent="0.3">
      <c r="A273" s="17">
        <v>339.05</v>
      </c>
      <c r="B273" s="10">
        <v>187.6</v>
      </c>
      <c r="C273" s="9">
        <v>339.05</v>
      </c>
      <c r="D273" s="10">
        <v>206.3</v>
      </c>
      <c r="E273" s="11">
        <v>339.05</v>
      </c>
      <c r="F273" s="12">
        <v>212</v>
      </c>
      <c r="G273" s="11">
        <v>339.05</v>
      </c>
      <c r="H273" s="12">
        <v>253.3</v>
      </c>
      <c r="I273" s="11">
        <v>339.05</v>
      </c>
      <c r="J273" s="12">
        <v>437.2</v>
      </c>
      <c r="K273" s="11">
        <v>339.05</v>
      </c>
      <c r="L273" s="12">
        <v>427.2</v>
      </c>
      <c r="M273" s="11">
        <v>339.05</v>
      </c>
      <c r="N273" s="13">
        <v>187.6</v>
      </c>
      <c r="O273" s="13">
        <v>206.3</v>
      </c>
      <c r="P273" s="13">
        <v>212</v>
      </c>
      <c r="Q273" s="11">
        <v>253.3</v>
      </c>
      <c r="R273" s="11">
        <v>437.2</v>
      </c>
      <c r="S273" s="14">
        <v>427.2</v>
      </c>
      <c r="T273" s="11">
        <v>339.05</v>
      </c>
      <c r="U273" s="13">
        <f>IF('0.0%'!$N273&lt;$Z$3,0, '0.0%'!$O273/'0.0%'!$N273)</f>
        <v>1.0996801705756931</v>
      </c>
      <c r="V273" s="13">
        <f>IF('0.0%'!$N273&lt;$Z$3,0, '0.0%'!$P273/'0.0%'!$N273)</f>
        <v>1.1300639658848615</v>
      </c>
      <c r="W273" s="13">
        <f>IF('0.0%'!$N273&lt;$Z$3,0, '0.0%'!$Q273/'0.0%'!$N273)</f>
        <v>1.3502132196162049</v>
      </c>
      <c r="X273" s="13">
        <f>IF('0.0%'!$N273&lt;$Z$3,0, '0.0%'!$R273/'0.0%'!$N273)</f>
        <v>2.330490405117271</v>
      </c>
      <c r="Y273" s="13">
        <f>IF('0.0%'!$N273&lt;$Z$3,0, '0.0%'!$S273/'0.0%'!$N273)</f>
        <v>2.2771855010660982</v>
      </c>
    </row>
    <row r="274" spans="1:25" x14ac:dyDescent="0.3">
      <c r="A274" s="17">
        <v>340.04</v>
      </c>
      <c r="B274" s="10">
        <v>187.3</v>
      </c>
      <c r="C274" s="9">
        <v>340.04</v>
      </c>
      <c r="D274" s="10">
        <v>206.1</v>
      </c>
      <c r="E274" s="11">
        <v>340.04</v>
      </c>
      <c r="F274" s="12">
        <v>211.7</v>
      </c>
      <c r="G274" s="11">
        <v>340.04</v>
      </c>
      <c r="H274" s="12">
        <v>252.7</v>
      </c>
      <c r="I274" s="11">
        <v>340.04</v>
      </c>
      <c r="J274" s="12">
        <v>436</v>
      </c>
      <c r="K274" s="11">
        <v>340.04</v>
      </c>
      <c r="L274" s="12">
        <v>426.7</v>
      </c>
      <c r="M274" s="11">
        <v>340.04</v>
      </c>
      <c r="N274" s="13">
        <v>187.3</v>
      </c>
      <c r="O274" s="13">
        <v>206.1</v>
      </c>
      <c r="P274" s="13">
        <v>211.7</v>
      </c>
      <c r="Q274" s="11">
        <v>252.7</v>
      </c>
      <c r="R274" s="11">
        <v>436</v>
      </c>
      <c r="S274" s="14">
        <v>426.7</v>
      </c>
      <c r="T274" s="11">
        <v>340.04</v>
      </c>
      <c r="U274" s="13">
        <f>IF('0.0%'!$N274&lt;$Z$3,0, '0.0%'!$O274/'0.0%'!$N274)</f>
        <v>1.1003737319807794</v>
      </c>
      <c r="V274" s="13">
        <f>IF('0.0%'!$N274&lt;$Z$3,0, '0.0%'!$P274/'0.0%'!$N274)</f>
        <v>1.1302722904431393</v>
      </c>
      <c r="W274" s="13">
        <f>IF('0.0%'!$N274&lt;$Z$3,0, '0.0%'!$Q274/'0.0%'!$N274)</f>
        <v>1.3491724506139882</v>
      </c>
      <c r="X274" s="13">
        <f>IF('0.0%'!$N274&lt;$Z$3,0, '0.0%'!$R274/'0.0%'!$N274)</f>
        <v>2.3278163374265883</v>
      </c>
      <c r="Y274" s="13">
        <f>IF('0.0%'!$N274&lt;$Z$3,0, '0.0%'!$S274/'0.0%'!$N274)</f>
        <v>2.2781633742658833</v>
      </c>
    </row>
    <row r="275" spans="1:25" x14ac:dyDescent="0.3">
      <c r="A275" s="17">
        <v>341.03</v>
      </c>
      <c r="B275" s="10">
        <v>186.2</v>
      </c>
      <c r="C275" s="9">
        <v>341.03</v>
      </c>
      <c r="D275" s="10">
        <v>205</v>
      </c>
      <c r="E275" s="11">
        <v>341.03</v>
      </c>
      <c r="F275" s="12">
        <v>210.7</v>
      </c>
      <c r="G275" s="11">
        <v>341.03</v>
      </c>
      <c r="H275" s="12">
        <v>251.3</v>
      </c>
      <c r="I275" s="11">
        <v>341.03</v>
      </c>
      <c r="J275" s="12">
        <v>434.1</v>
      </c>
      <c r="K275" s="11">
        <v>341.03</v>
      </c>
      <c r="L275" s="12">
        <v>425.6</v>
      </c>
      <c r="M275" s="11">
        <v>341.03</v>
      </c>
      <c r="N275" s="13">
        <v>186.2</v>
      </c>
      <c r="O275" s="13">
        <v>205</v>
      </c>
      <c r="P275" s="13">
        <v>210.7</v>
      </c>
      <c r="Q275" s="11">
        <v>251.3</v>
      </c>
      <c r="R275" s="11">
        <v>434.1</v>
      </c>
      <c r="S275" s="14">
        <v>425.6</v>
      </c>
      <c r="T275" s="11">
        <v>341.03</v>
      </c>
      <c r="U275" s="13">
        <f>IF('0.0%'!$N275&lt;$Z$3,0, '0.0%'!$O275/'0.0%'!$N275)</f>
        <v>1.1009667024704619</v>
      </c>
      <c r="V275" s="13">
        <f>IF('0.0%'!$N275&lt;$Z$3,0, '0.0%'!$P275/'0.0%'!$N275)</f>
        <v>1.131578947368421</v>
      </c>
      <c r="W275" s="13">
        <f>IF('0.0%'!$N275&lt;$Z$3,0, '0.0%'!$Q275/'0.0%'!$N275)</f>
        <v>1.3496240601503762</v>
      </c>
      <c r="X275" s="13">
        <f>IF('0.0%'!$N275&lt;$Z$3,0, '0.0%'!$R275/'0.0%'!$N275)</f>
        <v>2.3313641245972074</v>
      </c>
      <c r="Y275" s="13">
        <f>IF('0.0%'!$N275&lt;$Z$3,0, '0.0%'!$S275/'0.0%'!$N275)</f>
        <v>2.285714285714286</v>
      </c>
    </row>
    <row r="276" spans="1:25" x14ac:dyDescent="0.3">
      <c r="A276" s="17">
        <v>342.02</v>
      </c>
      <c r="B276" s="10">
        <v>186.1</v>
      </c>
      <c r="C276" s="9">
        <v>342.02</v>
      </c>
      <c r="D276" s="10">
        <v>205</v>
      </c>
      <c r="E276" s="11">
        <v>342.02</v>
      </c>
      <c r="F276" s="12">
        <v>210.7</v>
      </c>
      <c r="G276" s="11">
        <v>342.02</v>
      </c>
      <c r="H276" s="12">
        <v>250.9</v>
      </c>
      <c r="I276" s="11">
        <v>342.02</v>
      </c>
      <c r="J276" s="12">
        <v>433.1</v>
      </c>
      <c r="K276" s="11">
        <v>342.02</v>
      </c>
      <c r="L276" s="12">
        <v>425.7</v>
      </c>
      <c r="M276" s="11">
        <v>342.02</v>
      </c>
      <c r="N276" s="13">
        <v>186.1</v>
      </c>
      <c r="O276" s="13">
        <v>205</v>
      </c>
      <c r="P276" s="13">
        <v>210.7</v>
      </c>
      <c r="Q276" s="11">
        <v>250.9</v>
      </c>
      <c r="R276" s="11">
        <v>433.1</v>
      </c>
      <c r="S276" s="14">
        <v>425.7</v>
      </c>
      <c r="T276" s="11">
        <v>342.02</v>
      </c>
      <c r="U276" s="13">
        <f>IF('0.0%'!$N276&lt;$Z$3,0, '0.0%'!$O276/'0.0%'!$N276)</f>
        <v>1.1015583019881785</v>
      </c>
      <c r="V276" s="13">
        <f>IF('0.0%'!$N276&lt;$Z$3,0, '0.0%'!$P276/'0.0%'!$N276)</f>
        <v>1.1321869962385813</v>
      </c>
      <c r="W276" s="13">
        <f>IF('0.0%'!$N276&lt;$Z$3,0, '0.0%'!$Q276/'0.0%'!$N276)</f>
        <v>1.3481998925308973</v>
      </c>
      <c r="X276" s="13">
        <f>IF('0.0%'!$N276&lt;$Z$3,0, '0.0%'!$R276/'0.0%'!$N276)</f>
        <v>2.3272434175174639</v>
      </c>
      <c r="Y276" s="13">
        <f>IF('0.0%'!$N276&lt;$Z$3,0, '0.0%'!$S276/'0.0%'!$N276)</f>
        <v>2.2874798495432564</v>
      </c>
    </row>
    <row r="277" spans="1:25" x14ac:dyDescent="0.3">
      <c r="A277" s="17">
        <v>343.02</v>
      </c>
      <c r="B277" s="10">
        <v>185.1</v>
      </c>
      <c r="C277" s="9">
        <v>343.02</v>
      </c>
      <c r="D277" s="10">
        <v>204.1</v>
      </c>
      <c r="E277" s="11">
        <v>343.02</v>
      </c>
      <c r="F277" s="12">
        <v>209.8</v>
      </c>
      <c r="G277" s="11">
        <v>343.02</v>
      </c>
      <c r="H277" s="12">
        <v>249.4</v>
      </c>
      <c r="I277" s="11">
        <v>343.02</v>
      </c>
      <c r="J277" s="12">
        <v>431.2</v>
      </c>
      <c r="K277" s="11">
        <v>343.02</v>
      </c>
      <c r="L277" s="12">
        <v>424.9</v>
      </c>
      <c r="M277" s="11">
        <v>343.02</v>
      </c>
      <c r="N277" s="13">
        <v>185.1</v>
      </c>
      <c r="O277" s="13">
        <v>204.1</v>
      </c>
      <c r="P277" s="13">
        <v>209.8</v>
      </c>
      <c r="Q277" s="11">
        <v>249.4</v>
      </c>
      <c r="R277" s="11">
        <v>431.2</v>
      </c>
      <c r="S277" s="14">
        <v>424.9</v>
      </c>
      <c r="T277" s="11">
        <v>343.02</v>
      </c>
      <c r="U277" s="13">
        <f>IF('0.0%'!$N277&lt;$Z$3,0, '0.0%'!$O277/'0.0%'!$N277)</f>
        <v>1.1026472177201512</v>
      </c>
      <c r="V277" s="13">
        <f>IF('0.0%'!$N277&lt;$Z$3,0, '0.0%'!$P277/'0.0%'!$N277)</f>
        <v>1.1334413830361967</v>
      </c>
      <c r="W277" s="13">
        <f>IF('0.0%'!$N277&lt;$Z$3,0, '0.0%'!$Q277/'0.0%'!$N277)</f>
        <v>1.3473797947055646</v>
      </c>
      <c r="X277" s="13">
        <f>IF('0.0%'!$N277&lt;$Z$3,0, '0.0%'!$R277/'0.0%'!$N277)</f>
        <v>2.3295515937331173</v>
      </c>
      <c r="Y277" s="13">
        <f>IF('0.0%'!$N277&lt;$Z$3,0, '0.0%'!$S277/'0.0%'!$N277)</f>
        <v>2.2955159373311722</v>
      </c>
    </row>
    <row r="278" spans="1:25" x14ac:dyDescent="0.3">
      <c r="A278" s="17">
        <v>344.01</v>
      </c>
      <c r="B278" s="10">
        <v>185.1</v>
      </c>
      <c r="C278" s="9">
        <v>344.01</v>
      </c>
      <c r="D278" s="10">
        <v>204.2</v>
      </c>
      <c r="E278" s="11">
        <v>344.01</v>
      </c>
      <c r="F278" s="12">
        <v>210.1</v>
      </c>
      <c r="G278" s="11">
        <v>344.01</v>
      </c>
      <c r="H278" s="12">
        <v>249.1</v>
      </c>
      <c r="I278" s="11">
        <v>344.01</v>
      </c>
      <c r="J278" s="12">
        <v>430.4</v>
      </c>
      <c r="K278" s="11">
        <v>344.01</v>
      </c>
      <c r="L278" s="12">
        <v>425.3</v>
      </c>
      <c r="M278" s="11">
        <v>344.01</v>
      </c>
      <c r="N278" s="13">
        <v>185.1</v>
      </c>
      <c r="O278" s="13">
        <v>204.2</v>
      </c>
      <c r="P278" s="13">
        <v>210.1</v>
      </c>
      <c r="Q278" s="11">
        <v>249.1</v>
      </c>
      <c r="R278" s="11">
        <v>430.4</v>
      </c>
      <c r="S278" s="14">
        <v>425.3</v>
      </c>
      <c r="T278" s="11">
        <v>344.01</v>
      </c>
      <c r="U278" s="13">
        <f>IF('0.0%'!$N278&lt;$Z$3,0, '0.0%'!$O278/'0.0%'!$N278)</f>
        <v>1.1031874662344678</v>
      </c>
      <c r="V278" s="13">
        <f>IF('0.0%'!$N278&lt;$Z$3,0, '0.0%'!$P278/'0.0%'!$N278)</f>
        <v>1.1350621285791465</v>
      </c>
      <c r="W278" s="13">
        <f>IF('0.0%'!$N278&lt;$Z$3,0, '0.0%'!$Q278/'0.0%'!$N278)</f>
        <v>1.3457590491626148</v>
      </c>
      <c r="X278" s="13">
        <f>IF('0.0%'!$N278&lt;$Z$3,0, '0.0%'!$R278/'0.0%'!$N278)</f>
        <v>2.3252296056185844</v>
      </c>
      <c r="Y278" s="13">
        <f>IF('0.0%'!$N278&lt;$Z$3,0, '0.0%'!$S278/'0.0%'!$N278)</f>
        <v>2.2976769313884389</v>
      </c>
    </row>
    <row r="279" spans="1:25" x14ac:dyDescent="0.3">
      <c r="A279" s="17">
        <v>345</v>
      </c>
      <c r="B279" s="10">
        <v>184.5</v>
      </c>
      <c r="C279" s="9">
        <v>345</v>
      </c>
      <c r="D279" s="10">
        <v>203.6</v>
      </c>
      <c r="E279" s="11">
        <v>345</v>
      </c>
      <c r="F279" s="12">
        <v>209.6</v>
      </c>
      <c r="G279" s="11">
        <v>345</v>
      </c>
      <c r="H279" s="12">
        <v>248.1</v>
      </c>
      <c r="I279" s="11">
        <v>345</v>
      </c>
      <c r="J279" s="12">
        <v>428.9</v>
      </c>
      <c r="K279" s="11">
        <v>345</v>
      </c>
      <c r="L279" s="12">
        <v>425.2</v>
      </c>
      <c r="M279" s="11">
        <v>345</v>
      </c>
      <c r="N279" s="13">
        <v>184.5</v>
      </c>
      <c r="O279" s="13">
        <v>203.6</v>
      </c>
      <c r="P279" s="13">
        <v>209.6</v>
      </c>
      <c r="Q279" s="11">
        <v>248.1</v>
      </c>
      <c r="R279" s="11">
        <v>428.9</v>
      </c>
      <c r="S279" s="14">
        <v>425.2</v>
      </c>
      <c r="T279" s="11">
        <v>345</v>
      </c>
      <c r="U279" s="13">
        <f>IF('0.0%'!$N279&lt;$Z$3,0, '0.0%'!$O279/'0.0%'!$N279)</f>
        <v>1.1035230352303522</v>
      </c>
      <c r="V279" s="13">
        <f>IF('0.0%'!$N279&lt;$Z$3,0, '0.0%'!$P279/'0.0%'!$N279)</f>
        <v>1.1360433604336042</v>
      </c>
      <c r="W279" s="13">
        <f>IF('0.0%'!$N279&lt;$Z$3,0, '0.0%'!$Q279/'0.0%'!$N279)</f>
        <v>1.3447154471544716</v>
      </c>
      <c r="X279" s="13">
        <f>IF('0.0%'!$N279&lt;$Z$3,0, '0.0%'!$R279/'0.0%'!$N279)</f>
        <v>2.3246612466124659</v>
      </c>
      <c r="Y279" s="13">
        <f>IF('0.0%'!$N279&lt;$Z$3,0, '0.0%'!$S279/'0.0%'!$N279)</f>
        <v>2.3046070460704606</v>
      </c>
    </row>
    <row r="280" spans="1:25" x14ac:dyDescent="0.3">
      <c r="A280" s="17">
        <v>345.99</v>
      </c>
      <c r="B280" s="10">
        <v>185</v>
      </c>
      <c r="C280" s="9">
        <v>345.99</v>
      </c>
      <c r="D280" s="10">
        <v>204.3</v>
      </c>
      <c r="E280" s="11">
        <v>345.99</v>
      </c>
      <c r="F280" s="12">
        <v>210.4</v>
      </c>
      <c r="G280" s="11">
        <v>345.99</v>
      </c>
      <c r="H280" s="12">
        <v>248.3</v>
      </c>
      <c r="I280" s="11">
        <v>345.99</v>
      </c>
      <c r="J280" s="12">
        <v>428.9</v>
      </c>
      <c r="K280" s="11">
        <v>345.99</v>
      </c>
      <c r="L280" s="12">
        <v>426.5</v>
      </c>
      <c r="M280" s="11">
        <v>345.99</v>
      </c>
      <c r="N280" s="13">
        <v>185</v>
      </c>
      <c r="O280" s="13">
        <v>204.3</v>
      </c>
      <c r="P280" s="13">
        <v>210.4</v>
      </c>
      <c r="Q280" s="11">
        <v>248.3</v>
      </c>
      <c r="R280" s="11">
        <v>428.9</v>
      </c>
      <c r="S280" s="14">
        <v>426.5</v>
      </c>
      <c r="T280" s="11">
        <v>345.99</v>
      </c>
      <c r="U280" s="13">
        <f>IF('0.0%'!$N280&lt;$Z$3,0, '0.0%'!$O280/'0.0%'!$N280)</f>
        <v>1.1043243243243244</v>
      </c>
      <c r="V280" s="13">
        <f>IF('0.0%'!$N280&lt;$Z$3,0, '0.0%'!$P280/'0.0%'!$N280)</f>
        <v>1.1372972972972972</v>
      </c>
      <c r="W280" s="13">
        <f>IF('0.0%'!$N280&lt;$Z$3,0, '0.0%'!$Q280/'0.0%'!$N280)</f>
        <v>1.3421621621621622</v>
      </c>
      <c r="X280" s="13">
        <f>IF('0.0%'!$N280&lt;$Z$3,0, '0.0%'!$R280/'0.0%'!$N280)</f>
        <v>2.3183783783783785</v>
      </c>
      <c r="Y280" s="13">
        <f>IF('0.0%'!$N280&lt;$Z$3,0, '0.0%'!$S280/'0.0%'!$N280)</f>
        <v>2.3054054054054056</v>
      </c>
    </row>
    <row r="281" spans="1:25" x14ac:dyDescent="0.3">
      <c r="A281" s="17">
        <v>346.98</v>
      </c>
      <c r="B281" s="10">
        <v>184.8</v>
      </c>
      <c r="C281" s="9">
        <v>346.98</v>
      </c>
      <c r="D281" s="10">
        <v>204.3</v>
      </c>
      <c r="E281" s="11">
        <v>346.98</v>
      </c>
      <c r="F281" s="12">
        <v>210.6</v>
      </c>
      <c r="G281" s="11">
        <v>346.98</v>
      </c>
      <c r="H281" s="12">
        <v>247.8</v>
      </c>
      <c r="I281" s="11">
        <v>346.98</v>
      </c>
      <c r="J281" s="12">
        <v>428.3</v>
      </c>
      <c r="K281" s="11">
        <v>346.98</v>
      </c>
      <c r="L281" s="12">
        <v>427.2</v>
      </c>
      <c r="M281" s="11">
        <v>346.98</v>
      </c>
      <c r="N281" s="13">
        <v>184.8</v>
      </c>
      <c r="O281" s="13">
        <v>204.3</v>
      </c>
      <c r="P281" s="13">
        <v>210.6</v>
      </c>
      <c r="Q281" s="11">
        <v>247.8</v>
      </c>
      <c r="R281" s="11">
        <v>428.3</v>
      </c>
      <c r="S281" s="14">
        <v>427.2</v>
      </c>
      <c r="T281" s="11">
        <v>346.98</v>
      </c>
      <c r="U281" s="13">
        <f>IF('0.0%'!$N281&lt;$Z$3,0, '0.0%'!$O281/'0.0%'!$N281)</f>
        <v>1.1055194805194806</v>
      </c>
      <c r="V281" s="13">
        <f>IF('0.0%'!$N281&lt;$Z$3,0, '0.0%'!$P281/'0.0%'!$N281)</f>
        <v>1.1396103896103895</v>
      </c>
      <c r="W281" s="13">
        <f>IF('0.0%'!$N281&lt;$Z$3,0, '0.0%'!$Q281/'0.0%'!$N281)</f>
        <v>1.3409090909090908</v>
      </c>
      <c r="X281" s="13">
        <f>IF('0.0%'!$N281&lt;$Z$3,0, '0.0%'!$R281/'0.0%'!$N281)</f>
        <v>2.3176406926406927</v>
      </c>
      <c r="Y281" s="13">
        <f>IF('0.0%'!$N281&lt;$Z$3,0, '0.0%'!$S281/'0.0%'!$N281)</f>
        <v>2.3116883116883113</v>
      </c>
    </row>
    <row r="282" spans="1:25" x14ac:dyDescent="0.3">
      <c r="A282" s="17">
        <v>347.98</v>
      </c>
      <c r="B282" s="10">
        <v>185.9</v>
      </c>
      <c r="C282" s="9">
        <v>347.98</v>
      </c>
      <c r="D282" s="10">
        <v>205.6</v>
      </c>
      <c r="E282" s="11">
        <v>347.98</v>
      </c>
      <c r="F282" s="12">
        <v>211.9</v>
      </c>
      <c r="G282" s="11">
        <v>347.98</v>
      </c>
      <c r="H282" s="12">
        <v>248.5</v>
      </c>
      <c r="I282" s="11">
        <v>347.98</v>
      </c>
      <c r="J282" s="12">
        <v>429.1</v>
      </c>
      <c r="K282" s="11">
        <v>347.98</v>
      </c>
      <c r="L282" s="12">
        <v>429.4</v>
      </c>
      <c r="M282" s="11">
        <v>347.98</v>
      </c>
      <c r="N282" s="13">
        <v>185.9</v>
      </c>
      <c r="O282" s="13">
        <v>205.6</v>
      </c>
      <c r="P282" s="13">
        <v>211.9</v>
      </c>
      <c r="Q282" s="11">
        <v>248.5</v>
      </c>
      <c r="R282" s="11">
        <v>429.1</v>
      </c>
      <c r="S282" s="14">
        <v>429.4</v>
      </c>
      <c r="T282" s="11">
        <v>347.98</v>
      </c>
      <c r="U282" s="13">
        <f>IF('0.0%'!$N282&lt;$Z$3,0, '0.0%'!$O282/'0.0%'!$N282)</f>
        <v>1.1059709521247982</v>
      </c>
      <c r="V282" s="13">
        <f>IF('0.0%'!$N282&lt;$Z$3,0, '0.0%'!$P282/'0.0%'!$N282)</f>
        <v>1.1398601398601398</v>
      </c>
      <c r="W282" s="13">
        <f>IF('0.0%'!$N282&lt;$Z$3,0, '0.0%'!$Q282/'0.0%'!$N282)</f>
        <v>1.3367401828940291</v>
      </c>
      <c r="X282" s="13">
        <f>IF('0.0%'!$N282&lt;$Z$3,0, '0.0%'!$R282/'0.0%'!$N282)</f>
        <v>2.3082302313071543</v>
      </c>
      <c r="Y282" s="13">
        <f>IF('0.0%'!$N282&lt;$Z$3,0, '0.0%'!$S282/'0.0%'!$N282)</f>
        <v>2.3098440021516944</v>
      </c>
    </row>
    <row r="283" spans="1:25" x14ac:dyDescent="0.3">
      <c r="A283" s="17">
        <v>348.97</v>
      </c>
      <c r="B283" s="10">
        <v>186.3</v>
      </c>
      <c r="C283" s="9">
        <v>348.97</v>
      </c>
      <c r="D283" s="10">
        <v>206.3</v>
      </c>
      <c r="E283" s="11">
        <v>348.97</v>
      </c>
      <c r="F283" s="12">
        <v>212.7</v>
      </c>
      <c r="G283" s="11">
        <v>348.97</v>
      </c>
      <c r="H283" s="12">
        <v>248.6</v>
      </c>
      <c r="I283" s="11">
        <v>348.97</v>
      </c>
      <c r="J283" s="12">
        <v>429.5</v>
      </c>
      <c r="K283" s="11">
        <v>348.97</v>
      </c>
      <c r="L283" s="12">
        <v>431.2</v>
      </c>
      <c r="M283" s="11">
        <v>348.97</v>
      </c>
      <c r="N283" s="13">
        <v>186.3</v>
      </c>
      <c r="O283" s="13">
        <v>206.3</v>
      </c>
      <c r="P283" s="13">
        <v>212.7</v>
      </c>
      <c r="Q283" s="11">
        <v>248.6</v>
      </c>
      <c r="R283" s="11">
        <v>429.5</v>
      </c>
      <c r="S283" s="14">
        <v>431.2</v>
      </c>
      <c r="T283" s="11">
        <v>348.97</v>
      </c>
      <c r="U283" s="13">
        <f>IF('0.0%'!$N283&lt;$Z$3,0, '0.0%'!$O283/'0.0%'!$N283)</f>
        <v>1.1073537305421364</v>
      </c>
      <c r="V283" s="13">
        <f>IF('0.0%'!$N283&lt;$Z$3,0, '0.0%'!$P283/'0.0%'!$N283)</f>
        <v>1.1417069243156199</v>
      </c>
      <c r="W283" s="13">
        <f>IF('0.0%'!$N283&lt;$Z$3,0, '0.0%'!$Q283/'0.0%'!$N283)</f>
        <v>1.3344068706387546</v>
      </c>
      <c r="X283" s="13">
        <f>IF('0.0%'!$N283&lt;$Z$3,0, '0.0%'!$R283/'0.0%'!$N283)</f>
        <v>2.3054213633923779</v>
      </c>
      <c r="Y283" s="13">
        <f>IF('0.0%'!$N283&lt;$Z$3,0, '0.0%'!$S283/'0.0%'!$N283)</f>
        <v>2.3145464304884591</v>
      </c>
    </row>
    <row r="284" spans="1:25" x14ac:dyDescent="0.3">
      <c r="A284" s="17">
        <v>349.96</v>
      </c>
      <c r="B284" s="10">
        <v>187.9</v>
      </c>
      <c r="C284" s="9">
        <v>349.96</v>
      </c>
      <c r="D284" s="10">
        <v>208.2</v>
      </c>
      <c r="E284" s="11">
        <v>349.96</v>
      </c>
      <c r="F284" s="12">
        <v>214.6</v>
      </c>
      <c r="G284" s="11">
        <v>349.96</v>
      </c>
      <c r="H284" s="12">
        <v>249.9</v>
      </c>
      <c r="I284" s="11">
        <v>349.96</v>
      </c>
      <c r="J284" s="12">
        <v>431.4</v>
      </c>
      <c r="K284" s="11">
        <v>349.96</v>
      </c>
      <c r="L284" s="12">
        <v>434.5</v>
      </c>
      <c r="M284" s="11">
        <v>349.96</v>
      </c>
      <c r="N284" s="13">
        <v>187.9</v>
      </c>
      <c r="O284" s="13">
        <v>208.2</v>
      </c>
      <c r="P284" s="13">
        <v>214.6</v>
      </c>
      <c r="Q284" s="11">
        <v>249.9</v>
      </c>
      <c r="R284" s="11">
        <v>431.4</v>
      </c>
      <c r="S284" s="14">
        <v>434.5</v>
      </c>
      <c r="T284" s="11">
        <v>349.96</v>
      </c>
      <c r="U284" s="13">
        <f>IF('0.0%'!$N284&lt;$Z$3,0, '0.0%'!$O284/'0.0%'!$N284)</f>
        <v>1.1080361894624799</v>
      </c>
      <c r="V284" s="13">
        <f>IF('0.0%'!$N284&lt;$Z$3,0, '0.0%'!$P284/'0.0%'!$N284)</f>
        <v>1.1420968600319319</v>
      </c>
      <c r="W284" s="13">
        <f>IF('0.0%'!$N284&lt;$Z$3,0, '0.0%'!$Q284/'0.0%'!$N284)</f>
        <v>1.3299627461415646</v>
      </c>
      <c r="X284" s="13">
        <f>IF('0.0%'!$N284&lt;$Z$3,0, '0.0%'!$R284/'0.0%'!$N284)</f>
        <v>2.2959020755721125</v>
      </c>
      <c r="Y284" s="13">
        <f>IF('0.0%'!$N284&lt;$Z$3,0, '0.0%'!$S284/'0.0%'!$N284)</f>
        <v>2.312400212879191</v>
      </c>
    </row>
    <row r="285" spans="1:25" x14ac:dyDescent="0.3">
      <c r="A285" s="17">
        <v>350.95</v>
      </c>
      <c r="B285" s="10">
        <v>188.7</v>
      </c>
      <c r="C285" s="9">
        <v>350.95</v>
      </c>
      <c r="D285" s="10">
        <v>209.3</v>
      </c>
      <c r="E285" s="11">
        <v>350.95</v>
      </c>
      <c r="F285" s="12">
        <v>215.9</v>
      </c>
      <c r="G285" s="11">
        <v>350.95</v>
      </c>
      <c r="H285" s="12">
        <v>250.4</v>
      </c>
      <c r="I285" s="11">
        <v>350.95</v>
      </c>
      <c r="J285" s="12">
        <v>432.4</v>
      </c>
      <c r="K285" s="11">
        <v>350.95</v>
      </c>
      <c r="L285" s="12">
        <v>437</v>
      </c>
      <c r="M285" s="11">
        <v>350.95</v>
      </c>
      <c r="N285" s="13">
        <v>188.7</v>
      </c>
      <c r="O285" s="13">
        <v>209.3</v>
      </c>
      <c r="P285" s="13">
        <v>215.9</v>
      </c>
      <c r="Q285" s="11">
        <v>250.4</v>
      </c>
      <c r="R285" s="11">
        <v>432.4</v>
      </c>
      <c r="S285" s="14">
        <v>437</v>
      </c>
      <c r="T285" s="11">
        <v>350.95</v>
      </c>
      <c r="U285" s="13">
        <f>IF('0.0%'!$N285&lt;$Z$3,0, '0.0%'!$O285/'0.0%'!$N285)</f>
        <v>1.1091679915209329</v>
      </c>
      <c r="V285" s="13">
        <f>IF('0.0%'!$N285&lt;$Z$3,0, '0.0%'!$P285/'0.0%'!$N285)</f>
        <v>1.1441441441441442</v>
      </c>
      <c r="W285" s="13">
        <f>IF('0.0%'!$N285&lt;$Z$3,0, '0.0%'!$Q285/'0.0%'!$N285)</f>
        <v>1.3269740328563859</v>
      </c>
      <c r="X285" s="13">
        <f>IF('0.0%'!$N285&lt;$Z$3,0, '0.0%'!$R285/'0.0%'!$N285)</f>
        <v>2.291467938526762</v>
      </c>
      <c r="Y285" s="13">
        <f>IF('0.0%'!$N285&lt;$Z$3,0, '0.0%'!$S285/'0.0%'!$N285)</f>
        <v>2.3158452570217278</v>
      </c>
    </row>
    <row r="286" spans="1:25" x14ac:dyDescent="0.3">
      <c r="A286" s="17">
        <v>351.94</v>
      </c>
      <c r="B286" s="10">
        <v>190.8</v>
      </c>
      <c r="C286" s="9">
        <v>351.94</v>
      </c>
      <c r="D286" s="10">
        <v>211.6</v>
      </c>
      <c r="E286" s="11">
        <v>351.94</v>
      </c>
      <c r="F286" s="12">
        <v>218.2</v>
      </c>
      <c r="G286" s="11">
        <v>351.94</v>
      </c>
      <c r="H286" s="12">
        <v>252</v>
      </c>
      <c r="I286" s="11">
        <v>351.94</v>
      </c>
      <c r="J286" s="12">
        <v>434.4</v>
      </c>
      <c r="K286" s="11">
        <v>351.94</v>
      </c>
      <c r="L286" s="12">
        <v>440.5</v>
      </c>
      <c r="M286" s="11">
        <v>351.94</v>
      </c>
      <c r="N286" s="13">
        <v>190.8</v>
      </c>
      <c r="O286" s="13">
        <v>211.6</v>
      </c>
      <c r="P286" s="13">
        <v>218.2</v>
      </c>
      <c r="Q286" s="11">
        <v>252</v>
      </c>
      <c r="R286" s="11">
        <v>434.4</v>
      </c>
      <c r="S286" s="14">
        <v>440.5</v>
      </c>
      <c r="T286" s="11">
        <v>351.94</v>
      </c>
      <c r="U286" s="13">
        <f>IF('0.0%'!$N286&lt;$Z$3,0, '0.0%'!$O286/'0.0%'!$N286)</f>
        <v>1.1090146750524108</v>
      </c>
      <c r="V286" s="13">
        <f>IF('0.0%'!$N286&lt;$Z$3,0, '0.0%'!$P286/'0.0%'!$N286)</f>
        <v>1.1436058700209641</v>
      </c>
      <c r="W286" s="13">
        <f>IF('0.0%'!$N286&lt;$Z$3,0, '0.0%'!$Q286/'0.0%'!$N286)</f>
        <v>1.320754716981132</v>
      </c>
      <c r="X286" s="13">
        <f>IF('0.0%'!$N286&lt;$Z$3,0, '0.0%'!$R286/'0.0%'!$N286)</f>
        <v>2.2767295597484276</v>
      </c>
      <c r="Y286" s="13">
        <f>IF('0.0%'!$N286&lt;$Z$3,0, '0.0%'!$S286/'0.0%'!$N286)</f>
        <v>2.3087002096436056</v>
      </c>
    </row>
    <row r="287" spans="1:25" x14ac:dyDescent="0.3">
      <c r="A287" s="17">
        <v>352.93</v>
      </c>
      <c r="B287" s="10">
        <v>191.9</v>
      </c>
      <c r="C287" s="9">
        <v>352.93</v>
      </c>
      <c r="D287" s="10">
        <v>212.9</v>
      </c>
      <c r="E287" s="11">
        <v>352.93</v>
      </c>
      <c r="F287" s="12">
        <v>219.8</v>
      </c>
      <c r="G287" s="11">
        <v>352.93</v>
      </c>
      <c r="H287" s="12">
        <v>252.7</v>
      </c>
      <c r="I287" s="11">
        <v>352.93</v>
      </c>
      <c r="J287" s="12">
        <v>435.4</v>
      </c>
      <c r="K287" s="11">
        <v>352.93</v>
      </c>
      <c r="L287" s="12">
        <v>442.9</v>
      </c>
      <c r="M287" s="11">
        <v>352.93</v>
      </c>
      <c r="N287" s="13">
        <v>191.9</v>
      </c>
      <c r="O287" s="13">
        <v>212.9</v>
      </c>
      <c r="P287" s="13">
        <v>219.8</v>
      </c>
      <c r="Q287" s="11">
        <v>252.7</v>
      </c>
      <c r="R287" s="11">
        <v>435.4</v>
      </c>
      <c r="S287" s="14">
        <v>442.9</v>
      </c>
      <c r="T287" s="11">
        <v>352.93</v>
      </c>
      <c r="U287" s="13">
        <f>IF('0.0%'!$N287&lt;$Z$3,0, '0.0%'!$O287/'0.0%'!$N287)</f>
        <v>1.109431995831162</v>
      </c>
      <c r="V287" s="13">
        <f>IF('0.0%'!$N287&lt;$Z$3,0, '0.0%'!$P287/'0.0%'!$N287)</f>
        <v>1.1453882230328296</v>
      </c>
      <c r="W287" s="13">
        <f>IF('0.0%'!$N287&lt;$Z$3,0, '0.0%'!$Q287/'0.0%'!$N287)</f>
        <v>1.3168316831683167</v>
      </c>
      <c r="X287" s="13">
        <f>IF('0.0%'!$N287&lt;$Z$3,0, '0.0%'!$R287/'0.0%'!$N287)</f>
        <v>2.2688900468994264</v>
      </c>
      <c r="Y287" s="13">
        <f>IF('0.0%'!$N287&lt;$Z$3,0, '0.0%'!$S287/'0.0%'!$N287)</f>
        <v>2.3079729025534133</v>
      </c>
    </row>
    <row r="288" spans="1:25" x14ac:dyDescent="0.3">
      <c r="A288" s="17">
        <v>353.93</v>
      </c>
      <c r="B288" s="10">
        <v>194</v>
      </c>
      <c r="C288" s="9">
        <v>353.93</v>
      </c>
      <c r="D288" s="10">
        <v>215.3</v>
      </c>
      <c r="E288" s="11">
        <v>353.93</v>
      </c>
      <c r="F288" s="12">
        <v>222.1</v>
      </c>
      <c r="G288" s="11">
        <v>353.93</v>
      </c>
      <c r="H288" s="12">
        <v>254.3</v>
      </c>
      <c r="I288" s="11">
        <v>353.93</v>
      </c>
      <c r="J288" s="12">
        <v>436.8</v>
      </c>
      <c r="K288" s="11">
        <v>353.93</v>
      </c>
      <c r="L288" s="12">
        <v>445.6</v>
      </c>
      <c r="M288" s="11">
        <v>353.93</v>
      </c>
      <c r="N288" s="13">
        <v>194</v>
      </c>
      <c r="O288" s="13">
        <v>215.3</v>
      </c>
      <c r="P288" s="13">
        <v>222.1</v>
      </c>
      <c r="Q288" s="11">
        <v>254.3</v>
      </c>
      <c r="R288" s="11">
        <v>436.8</v>
      </c>
      <c r="S288" s="14">
        <v>445.6</v>
      </c>
      <c r="T288" s="11">
        <v>353.93</v>
      </c>
      <c r="U288" s="13">
        <f>IF('0.0%'!$N288&lt;$Z$3,0, '0.0%'!$O288/'0.0%'!$N288)</f>
        <v>1.1097938144329897</v>
      </c>
      <c r="V288" s="13">
        <f>IF('0.0%'!$N288&lt;$Z$3,0, '0.0%'!$P288/'0.0%'!$N288)</f>
        <v>1.1448453608247422</v>
      </c>
      <c r="W288" s="13">
        <f>IF('0.0%'!$N288&lt;$Z$3,0, '0.0%'!$Q288/'0.0%'!$N288)</f>
        <v>1.3108247422680412</v>
      </c>
      <c r="X288" s="13">
        <f>IF('0.0%'!$N288&lt;$Z$3,0, '0.0%'!$R288/'0.0%'!$N288)</f>
        <v>2.2515463917525773</v>
      </c>
      <c r="Y288" s="13">
        <f>IF('0.0%'!$N288&lt;$Z$3,0, '0.0%'!$S288/'0.0%'!$N288)</f>
        <v>2.2969072164948456</v>
      </c>
    </row>
    <row r="289" spans="1:25" x14ac:dyDescent="0.3">
      <c r="A289" s="17">
        <v>354.92</v>
      </c>
      <c r="B289" s="10">
        <v>195.7</v>
      </c>
      <c r="C289" s="9">
        <v>354.92</v>
      </c>
      <c r="D289" s="10">
        <v>217.1</v>
      </c>
      <c r="E289" s="11">
        <v>354.92</v>
      </c>
      <c r="F289" s="12">
        <v>223.9</v>
      </c>
      <c r="G289" s="11">
        <v>354.92</v>
      </c>
      <c r="H289" s="12">
        <v>255.2</v>
      </c>
      <c r="I289" s="11">
        <v>354.92</v>
      </c>
      <c r="J289" s="12">
        <v>437.1</v>
      </c>
      <c r="K289" s="11">
        <v>354.92</v>
      </c>
      <c r="L289" s="12">
        <v>447.1</v>
      </c>
      <c r="M289" s="11">
        <v>354.92</v>
      </c>
      <c r="N289" s="13">
        <v>195.7</v>
      </c>
      <c r="O289" s="13">
        <v>217.1</v>
      </c>
      <c r="P289" s="13">
        <v>223.9</v>
      </c>
      <c r="Q289" s="11">
        <v>255.2</v>
      </c>
      <c r="R289" s="11">
        <v>437.1</v>
      </c>
      <c r="S289" s="14">
        <v>447.1</v>
      </c>
      <c r="T289" s="11">
        <v>354.92</v>
      </c>
      <c r="U289" s="13">
        <f>IF('0.0%'!$N289&lt;$Z$3,0, '0.0%'!$O289/'0.0%'!$N289)</f>
        <v>1.109351047521717</v>
      </c>
      <c r="V289" s="13">
        <f>IF('0.0%'!$N289&lt;$Z$3,0, '0.0%'!$P289/'0.0%'!$N289)</f>
        <v>1.1440981093510476</v>
      </c>
      <c r="W289" s="13">
        <f>IF('0.0%'!$N289&lt;$Z$3,0, '0.0%'!$Q289/'0.0%'!$N289)</f>
        <v>1.3040367910066428</v>
      </c>
      <c r="X289" s="13">
        <f>IF('0.0%'!$N289&lt;$Z$3,0, '0.0%'!$R289/'0.0%'!$N289)</f>
        <v>2.233520694941237</v>
      </c>
      <c r="Y289" s="13">
        <f>IF('0.0%'!$N289&lt;$Z$3,0, '0.0%'!$S289/'0.0%'!$N289)</f>
        <v>2.2846193152784879</v>
      </c>
    </row>
    <row r="290" spans="1:25" x14ac:dyDescent="0.3">
      <c r="A290" s="17">
        <v>355.91</v>
      </c>
      <c r="B290" s="10">
        <v>196.3</v>
      </c>
      <c r="C290" s="9">
        <v>355.91</v>
      </c>
      <c r="D290" s="10">
        <v>218</v>
      </c>
      <c r="E290" s="11">
        <v>355.91</v>
      </c>
      <c r="F290" s="12">
        <v>224.7</v>
      </c>
      <c r="G290" s="11">
        <v>355.91</v>
      </c>
      <c r="H290" s="12">
        <v>255.2</v>
      </c>
      <c r="I290" s="11">
        <v>355.91</v>
      </c>
      <c r="J290" s="12">
        <v>436.1</v>
      </c>
      <c r="K290" s="11">
        <v>355.91</v>
      </c>
      <c r="L290" s="12">
        <v>447.1</v>
      </c>
      <c r="M290" s="11">
        <v>355.91</v>
      </c>
      <c r="N290" s="13">
        <v>196.3</v>
      </c>
      <c r="O290" s="13">
        <v>218</v>
      </c>
      <c r="P290" s="13">
        <v>224.7</v>
      </c>
      <c r="Q290" s="11">
        <v>255.2</v>
      </c>
      <c r="R290" s="11">
        <v>436.1</v>
      </c>
      <c r="S290" s="14">
        <v>447.1</v>
      </c>
      <c r="T290" s="11">
        <v>355.91</v>
      </c>
      <c r="U290" s="13">
        <f>IF('0.0%'!$N290&lt;$Z$3,0, '0.0%'!$O290/'0.0%'!$N290)</f>
        <v>1.1105450840550177</v>
      </c>
      <c r="V290" s="13">
        <f>IF('0.0%'!$N290&lt;$Z$3,0, '0.0%'!$P290/'0.0%'!$N290)</f>
        <v>1.1446765155374425</v>
      </c>
      <c r="W290" s="13">
        <f>IF('0.0%'!$N290&lt;$Z$3,0, '0.0%'!$Q290/'0.0%'!$N290)</f>
        <v>1.3000509424350482</v>
      </c>
      <c r="X290" s="13">
        <f>IF('0.0%'!$N290&lt;$Z$3,0, '0.0%'!$R290/'0.0%'!$N290)</f>
        <v>2.2215995924605196</v>
      </c>
      <c r="Y290" s="13">
        <f>IF('0.0%'!$N290&lt;$Z$3,0, '0.0%'!$S290/'0.0%'!$N290)</f>
        <v>2.2776362710137543</v>
      </c>
    </row>
    <row r="291" spans="1:25" x14ac:dyDescent="0.3">
      <c r="A291" s="17">
        <v>356.9</v>
      </c>
      <c r="B291" s="10">
        <v>197.7</v>
      </c>
      <c r="C291" s="9">
        <v>356.9</v>
      </c>
      <c r="D291" s="10">
        <v>219.6</v>
      </c>
      <c r="E291" s="11">
        <v>356.9</v>
      </c>
      <c r="F291" s="12">
        <v>226.1</v>
      </c>
      <c r="G291" s="11">
        <v>356.9</v>
      </c>
      <c r="H291" s="12">
        <v>256</v>
      </c>
      <c r="I291" s="11">
        <v>356.9</v>
      </c>
      <c r="J291" s="12">
        <v>435.5</v>
      </c>
      <c r="K291" s="11">
        <v>356.9</v>
      </c>
      <c r="L291" s="12">
        <v>447.6</v>
      </c>
      <c r="M291" s="11">
        <v>356.9</v>
      </c>
      <c r="N291" s="13">
        <v>197.7</v>
      </c>
      <c r="O291" s="13">
        <v>219.6</v>
      </c>
      <c r="P291" s="13">
        <v>226.1</v>
      </c>
      <c r="Q291" s="11">
        <v>256</v>
      </c>
      <c r="R291" s="11">
        <v>435.5</v>
      </c>
      <c r="S291" s="14">
        <v>447.6</v>
      </c>
      <c r="T291" s="11">
        <v>356.9</v>
      </c>
      <c r="U291" s="13">
        <f>IF('0.0%'!$N291&lt;$Z$3,0, '0.0%'!$O291/'0.0%'!$N291)</f>
        <v>1.110773899848255</v>
      </c>
      <c r="V291" s="13">
        <f>IF('0.0%'!$N291&lt;$Z$3,0, '0.0%'!$P291/'0.0%'!$N291)</f>
        <v>1.1436519979767326</v>
      </c>
      <c r="W291" s="13">
        <f>IF('0.0%'!$N291&lt;$Z$3,0, '0.0%'!$Q291/'0.0%'!$N291)</f>
        <v>1.2948912493677289</v>
      </c>
      <c r="X291" s="13">
        <f>IF('0.0%'!$N291&lt;$Z$3,0, '0.0%'!$R291/'0.0%'!$N291)</f>
        <v>2.2028325746079922</v>
      </c>
      <c r="Y291" s="13">
        <f>IF('0.0%'!$N291&lt;$Z$3,0, '0.0%'!$S291/'0.0%'!$N291)</f>
        <v>2.2640364188163886</v>
      </c>
    </row>
    <row r="292" spans="1:25" x14ac:dyDescent="0.3">
      <c r="A292" s="17">
        <v>357.89</v>
      </c>
      <c r="B292" s="10">
        <v>198</v>
      </c>
      <c r="C292" s="9">
        <v>357.89</v>
      </c>
      <c r="D292" s="10">
        <v>219.9</v>
      </c>
      <c r="E292" s="11">
        <v>357.89</v>
      </c>
      <c r="F292" s="12">
        <v>226.4</v>
      </c>
      <c r="G292" s="11">
        <v>357.89</v>
      </c>
      <c r="H292" s="12">
        <v>255.5</v>
      </c>
      <c r="I292" s="11">
        <v>357.89</v>
      </c>
      <c r="J292" s="12">
        <v>433.6</v>
      </c>
      <c r="K292" s="11">
        <v>357.89</v>
      </c>
      <c r="L292" s="12">
        <v>446.9</v>
      </c>
      <c r="M292" s="11">
        <v>357.89</v>
      </c>
      <c r="N292" s="13">
        <v>198</v>
      </c>
      <c r="O292" s="13">
        <v>219.9</v>
      </c>
      <c r="P292" s="13">
        <v>226.4</v>
      </c>
      <c r="Q292" s="11">
        <v>255.5</v>
      </c>
      <c r="R292" s="11">
        <v>433.6</v>
      </c>
      <c r="S292" s="14">
        <v>446.9</v>
      </c>
      <c r="T292" s="11">
        <v>357.89</v>
      </c>
      <c r="U292" s="13">
        <f>IF('0.0%'!$N292&lt;$Z$3,0, '0.0%'!$O292/'0.0%'!$N292)</f>
        <v>1.1106060606060606</v>
      </c>
      <c r="V292" s="13">
        <f>IF('0.0%'!$N292&lt;$Z$3,0, '0.0%'!$P292/'0.0%'!$N292)</f>
        <v>1.1434343434343435</v>
      </c>
      <c r="W292" s="13">
        <f>IF('0.0%'!$N292&lt;$Z$3,0, '0.0%'!$Q292/'0.0%'!$N292)</f>
        <v>1.2904040404040404</v>
      </c>
      <c r="X292" s="13">
        <f>IF('0.0%'!$N292&lt;$Z$3,0, '0.0%'!$R292/'0.0%'!$N292)</f>
        <v>2.1898989898989902</v>
      </c>
      <c r="Y292" s="13">
        <f>IF('0.0%'!$N292&lt;$Z$3,0, '0.0%'!$S292/'0.0%'!$N292)</f>
        <v>2.257070707070707</v>
      </c>
    </row>
    <row r="293" spans="1:25" x14ac:dyDescent="0.3">
      <c r="A293" s="17">
        <v>358.88</v>
      </c>
      <c r="B293" s="10">
        <v>198.9</v>
      </c>
      <c r="C293" s="9">
        <v>358.88</v>
      </c>
      <c r="D293" s="10">
        <v>221</v>
      </c>
      <c r="E293" s="11">
        <v>358.88</v>
      </c>
      <c r="F293" s="12">
        <v>227.2</v>
      </c>
      <c r="G293" s="11">
        <v>358.88</v>
      </c>
      <c r="H293" s="12">
        <v>255.7</v>
      </c>
      <c r="I293" s="11">
        <v>358.88</v>
      </c>
      <c r="J293" s="12">
        <v>432.4</v>
      </c>
      <c r="K293" s="11">
        <v>358.88</v>
      </c>
      <c r="L293" s="12">
        <v>446.9</v>
      </c>
      <c r="M293" s="11">
        <v>358.88</v>
      </c>
      <c r="N293" s="13">
        <v>198.9</v>
      </c>
      <c r="O293" s="13">
        <v>221</v>
      </c>
      <c r="P293" s="13">
        <v>227.2</v>
      </c>
      <c r="Q293" s="11">
        <v>255.7</v>
      </c>
      <c r="R293" s="11">
        <v>432.4</v>
      </c>
      <c r="S293" s="14">
        <v>446.9</v>
      </c>
      <c r="T293" s="11">
        <v>358.88</v>
      </c>
      <c r="U293" s="13">
        <f>IF('0.0%'!$N293&lt;$Z$3,0, '0.0%'!$O293/'0.0%'!$N293)</f>
        <v>1.1111111111111112</v>
      </c>
      <c r="V293" s="13">
        <f>IF('0.0%'!$N293&lt;$Z$3,0, '0.0%'!$P293/'0.0%'!$N293)</f>
        <v>1.1422825540472599</v>
      </c>
      <c r="W293" s="13">
        <f>IF('0.0%'!$N293&lt;$Z$3,0, '0.0%'!$Q293/'0.0%'!$N293)</f>
        <v>1.2855706385118149</v>
      </c>
      <c r="X293" s="13">
        <f>IF('0.0%'!$N293&lt;$Z$3,0, '0.0%'!$R293/'0.0%'!$N293)</f>
        <v>2.1739567621920561</v>
      </c>
      <c r="Y293" s="13">
        <f>IF('0.0%'!$N293&lt;$Z$3,0, '0.0%'!$S293/'0.0%'!$N293)</f>
        <v>2.2468577174459528</v>
      </c>
    </row>
    <row r="294" spans="1:25" x14ac:dyDescent="0.3">
      <c r="A294" s="17">
        <v>359.88</v>
      </c>
      <c r="B294" s="10">
        <v>198.8</v>
      </c>
      <c r="C294" s="9">
        <v>359.88</v>
      </c>
      <c r="D294" s="10">
        <v>220.9</v>
      </c>
      <c r="E294" s="11">
        <v>359.88</v>
      </c>
      <c r="F294" s="12">
        <v>227.2</v>
      </c>
      <c r="G294" s="11">
        <v>359.88</v>
      </c>
      <c r="H294" s="12">
        <v>254.9</v>
      </c>
      <c r="I294" s="11">
        <v>359.88</v>
      </c>
      <c r="J294" s="12">
        <v>430.2</v>
      </c>
      <c r="K294" s="11">
        <v>359.88</v>
      </c>
      <c r="L294" s="12">
        <v>445.6</v>
      </c>
      <c r="M294" s="11">
        <v>359.88</v>
      </c>
      <c r="N294" s="13">
        <v>198.8</v>
      </c>
      <c r="O294" s="13">
        <v>220.9</v>
      </c>
      <c r="P294" s="13">
        <v>227.2</v>
      </c>
      <c r="Q294" s="11">
        <v>254.9</v>
      </c>
      <c r="R294" s="11">
        <v>430.2</v>
      </c>
      <c r="S294" s="14">
        <v>445.6</v>
      </c>
      <c r="T294" s="11">
        <v>359.88</v>
      </c>
      <c r="U294" s="13">
        <f>IF('0.0%'!$N294&lt;$Z$3,0, '0.0%'!$O294/'0.0%'!$N294)</f>
        <v>1.1111670020120723</v>
      </c>
      <c r="V294" s="13">
        <f>IF('0.0%'!$N294&lt;$Z$3,0, '0.0%'!$P294/'0.0%'!$N294)</f>
        <v>1.1428571428571428</v>
      </c>
      <c r="W294" s="13">
        <f>IF('0.0%'!$N294&lt;$Z$3,0, '0.0%'!$Q294/'0.0%'!$N294)</f>
        <v>1.2821931589537223</v>
      </c>
      <c r="X294" s="13">
        <f>IF('0.0%'!$N294&lt;$Z$3,0, '0.0%'!$R294/'0.0%'!$N294)</f>
        <v>2.1639839034205228</v>
      </c>
      <c r="Y294" s="13">
        <f>IF('0.0%'!$N294&lt;$Z$3,0, '0.0%'!$S294/'0.0%'!$N294)</f>
        <v>2.2414486921529173</v>
      </c>
    </row>
    <row r="295" spans="1:25" x14ac:dyDescent="0.3">
      <c r="A295" s="17">
        <v>360.87</v>
      </c>
      <c r="B295" s="10">
        <v>199.4</v>
      </c>
      <c r="C295" s="9">
        <v>360.87</v>
      </c>
      <c r="D295" s="10">
        <v>221.5</v>
      </c>
      <c r="E295" s="11">
        <v>360.87</v>
      </c>
      <c r="F295" s="12">
        <v>227.7</v>
      </c>
      <c r="G295" s="11">
        <v>360.87</v>
      </c>
      <c r="H295" s="12">
        <v>254.8</v>
      </c>
      <c r="I295" s="11">
        <v>360.87</v>
      </c>
      <c r="J295" s="12">
        <v>428.5</v>
      </c>
      <c r="K295" s="11">
        <v>360.87</v>
      </c>
      <c r="L295" s="12">
        <v>445.1</v>
      </c>
      <c r="M295" s="11">
        <v>360.87</v>
      </c>
      <c r="N295" s="13">
        <v>199.4</v>
      </c>
      <c r="O295" s="13">
        <v>221.5</v>
      </c>
      <c r="P295" s="13">
        <v>227.7</v>
      </c>
      <c r="Q295" s="11">
        <v>254.8</v>
      </c>
      <c r="R295" s="11">
        <v>428.5</v>
      </c>
      <c r="S295" s="14">
        <v>445.1</v>
      </c>
      <c r="T295" s="11">
        <v>360.87</v>
      </c>
      <c r="U295" s="13">
        <f>IF('0.0%'!$N295&lt;$Z$3,0, '0.0%'!$O295/'0.0%'!$N295)</f>
        <v>1.1108324974924775</v>
      </c>
      <c r="V295" s="13">
        <f>IF('0.0%'!$N295&lt;$Z$3,0, '0.0%'!$P295/'0.0%'!$N295)</f>
        <v>1.141925777331996</v>
      </c>
      <c r="W295" s="13">
        <f>IF('0.0%'!$N295&lt;$Z$3,0, '0.0%'!$Q295/'0.0%'!$N295)</f>
        <v>1.2778335005015045</v>
      </c>
      <c r="X295" s="13">
        <f>IF('0.0%'!$N295&lt;$Z$3,0, '0.0%'!$R295/'0.0%'!$N295)</f>
        <v>2.1489468405215648</v>
      </c>
      <c r="Y295" s="13">
        <f>IF('0.0%'!$N295&lt;$Z$3,0, '0.0%'!$S295/'0.0%'!$N295)</f>
        <v>2.2321965897693081</v>
      </c>
    </row>
    <row r="296" spans="1:25" x14ac:dyDescent="0.3">
      <c r="A296" s="17">
        <v>361.86</v>
      </c>
      <c r="B296" s="10">
        <v>198.7</v>
      </c>
      <c r="C296" s="9">
        <v>361.86</v>
      </c>
      <c r="D296" s="10">
        <v>220.9</v>
      </c>
      <c r="E296" s="11">
        <v>361.86</v>
      </c>
      <c r="F296" s="12">
        <v>227.3</v>
      </c>
      <c r="G296" s="11">
        <v>361.86</v>
      </c>
      <c r="H296" s="12">
        <v>253.6</v>
      </c>
      <c r="I296" s="11">
        <v>361.86</v>
      </c>
      <c r="J296" s="12">
        <v>425.8</v>
      </c>
      <c r="K296" s="11">
        <v>361.86</v>
      </c>
      <c r="L296" s="12">
        <v>443.3</v>
      </c>
      <c r="M296" s="11">
        <v>361.86</v>
      </c>
      <c r="N296" s="13">
        <v>198.7</v>
      </c>
      <c r="O296" s="13">
        <v>220.9</v>
      </c>
      <c r="P296" s="13">
        <v>227.3</v>
      </c>
      <c r="Q296" s="11">
        <v>253.6</v>
      </c>
      <c r="R296" s="11">
        <v>425.8</v>
      </c>
      <c r="S296" s="14">
        <v>443.3</v>
      </c>
      <c r="T296" s="11">
        <v>361.86</v>
      </c>
      <c r="U296" s="13">
        <f>IF('0.0%'!$N296&lt;$Z$3,0, '0.0%'!$O296/'0.0%'!$N296)</f>
        <v>1.1117262204328133</v>
      </c>
      <c r="V296" s="13">
        <f>IF('0.0%'!$N296&lt;$Z$3,0, '0.0%'!$P296/'0.0%'!$N296)</f>
        <v>1.1439355812783092</v>
      </c>
      <c r="W296" s="13">
        <f>IF('0.0%'!$N296&lt;$Z$3,0, '0.0%'!$Q296/'0.0%'!$N296)</f>
        <v>1.276295923502768</v>
      </c>
      <c r="X296" s="13">
        <f>IF('0.0%'!$N296&lt;$Z$3,0, '0.0%'!$R296/'0.0%'!$N296)</f>
        <v>2.1429290387518876</v>
      </c>
      <c r="Y296" s="13">
        <f>IF('0.0%'!$N296&lt;$Z$3,0, '0.0%'!$S296/'0.0%'!$N296)</f>
        <v>2.2310015098137899</v>
      </c>
    </row>
    <row r="297" spans="1:25" x14ac:dyDescent="0.3">
      <c r="A297" s="17">
        <v>362.85</v>
      </c>
      <c r="B297" s="10">
        <v>198.9</v>
      </c>
      <c r="C297" s="9">
        <v>362.85</v>
      </c>
      <c r="D297" s="10">
        <v>221</v>
      </c>
      <c r="E297" s="11">
        <v>362.85</v>
      </c>
      <c r="F297" s="12">
        <v>227.5</v>
      </c>
      <c r="G297" s="11">
        <v>362.85</v>
      </c>
      <c r="H297" s="12">
        <v>253</v>
      </c>
      <c r="I297" s="11">
        <v>362.85</v>
      </c>
      <c r="J297" s="12">
        <v>423.7</v>
      </c>
      <c r="K297" s="11">
        <v>362.85</v>
      </c>
      <c r="L297" s="12">
        <v>442.2</v>
      </c>
      <c r="M297" s="11">
        <v>362.85</v>
      </c>
      <c r="N297" s="13">
        <v>198.9</v>
      </c>
      <c r="O297" s="13">
        <v>221</v>
      </c>
      <c r="P297" s="13">
        <v>227.5</v>
      </c>
      <c r="Q297" s="11">
        <v>253</v>
      </c>
      <c r="R297" s="11">
        <v>423.7</v>
      </c>
      <c r="S297" s="14">
        <v>442.2</v>
      </c>
      <c r="T297" s="11">
        <v>362.85</v>
      </c>
      <c r="U297" s="13">
        <f>IF('0.0%'!$N297&lt;$Z$3,0, '0.0%'!$O297/'0.0%'!$N297)</f>
        <v>1.1111111111111112</v>
      </c>
      <c r="V297" s="13">
        <f>IF('0.0%'!$N297&lt;$Z$3,0, '0.0%'!$P297/'0.0%'!$N297)</f>
        <v>1.1437908496732025</v>
      </c>
      <c r="W297" s="13">
        <f>IF('0.0%'!$N297&lt;$Z$3,0, '0.0%'!$Q297/'0.0%'!$N297)</f>
        <v>1.2719959778783307</v>
      </c>
      <c r="X297" s="13">
        <f>IF('0.0%'!$N297&lt;$Z$3,0, '0.0%'!$R297/'0.0%'!$N297)</f>
        <v>2.1302161890397184</v>
      </c>
      <c r="Y297" s="13">
        <f>IF('0.0%'!$N297&lt;$Z$3,0, '0.0%'!$S297/'0.0%'!$N297)</f>
        <v>2.2232277526395174</v>
      </c>
    </row>
    <row r="298" spans="1:25" x14ac:dyDescent="0.3">
      <c r="A298" s="17">
        <v>363.84</v>
      </c>
      <c r="B298" s="10">
        <v>198</v>
      </c>
      <c r="C298" s="9">
        <v>363.84</v>
      </c>
      <c r="D298" s="10">
        <v>220.1</v>
      </c>
      <c r="E298" s="11">
        <v>363.84</v>
      </c>
      <c r="F298" s="12">
        <v>226.8</v>
      </c>
      <c r="G298" s="11">
        <v>363.84</v>
      </c>
      <c r="H298" s="12">
        <v>251.6</v>
      </c>
      <c r="I298" s="11">
        <v>363.84</v>
      </c>
      <c r="J298" s="12">
        <v>420.8</v>
      </c>
      <c r="K298" s="11">
        <v>363.84</v>
      </c>
      <c r="L298" s="12">
        <v>440.2</v>
      </c>
      <c r="M298" s="11">
        <v>363.84</v>
      </c>
      <c r="N298" s="13">
        <v>198</v>
      </c>
      <c r="O298" s="13">
        <v>220.1</v>
      </c>
      <c r="P298" s="13">
        <v>226.8</v>
      </c>
      <c r="Q298" s="11">
        <v>251.6</v>
      </c>
      <c r="R298" s="11">
        <v>420.8</v>
      </c>
      <c r="S298" s="14">
        <v>440.2</v>
      </c>
      <c r="T298" s="11">
        <v>363.84</v>
      </c>
      <c r="U298" s="13">
        <f>IF('0.0%'!$N298&lt;$Z$3,0, '0.0%'!$O298/'0.0%'!$N298)</f>
        <v>1.1116161616161615</v>
      </c>
      <c r="V298" s="13">
        <f>IF('0.0%'!$N298&lt;$Z$3,0, '0.0%'!$P298/'0.0%'!$N298)</f>
        <v>1.1454545454545455</v>
      </c>
      <c r="W298" s="13">
        <f>IF('0.0%'!$N298&lt;$Z$3,0, '0.0%'!$Q298/'0.0%'!$N298)</f>
        <v>1.2707070707070707</v>
      </c>
      <c r="X298" s="13">
        <f>IF('0.0%'!$N298&lt;$Z$3,0, '0.0%'!$R298/'0.0%'!$N298)</f>
        <v>2.1252525252525252</v>
      </c>
      <c r="Y298" s="13">
        <f>IF('0.0%'!$N298&lt;$Z$3,0, '0.0%'!$S298/'0.0%'!$N298)</f>
        <v>2.223232323232323</v>
      </c>
    </row>
    <row r="299" spans="1:25" x14ac:dyDescent="0.3">
      <c r="A299" s="17">
        <v>364.84</v>
      </c>
      <c r="B299" s="10">
        <v>198.1</v>
      </c>
      <c r="C299" s="9">
        <v>364.84</v>
      </c>
      <c r="D299" s="10">
        <v>220.2</v>
      </c>
      <c r="E299" s="11">
        <v>364.84</v>
      </c>
      <c r="F299" s="12">
        <v>227</v>
      </c>
      <c r="G299" s="11">
        <v>364.84</v>
      </c>
      <c r="H299" s="12">
        <v>251</v>
      </c>
      <c r="I299" s="11">
        <v>364.84</v>
      </c>
      <c r="J299" s="12">
        <v>418.8</v>
      </c>
      <c r="K299" s="11">
        <v>364.84</v>
      </c>
      <c r="L299" s="12">
        <v>439.1</v>
      </c>
      <c r="M299" s="11">
        <v>364.84</v>
      </c>
      <c r="N299" s="13">
        <v>198.1</v>
      </c>
      <c r="O299" s="13">
        <v>220.2</v>
      </c>
      <c r="P299" s="13">
        <v>227</v>
      </c>
      <c r="Q299" s="11">
        <v>251</v>
      </c>
      <c r="R299" s="11">
        <v>418.8</v>
      </c>
      <c r="S299" s="14">
        <v>439.1</v>
      </c>
      <c r="T299" s="11">
        <v>364.84</v>
      </c>
      <c r="U299" s="13">
        <f>IF('0.0%'!$N299&lt;$Z$3,0, '0.0%'!$O299/'0.0%'!$N299)</f>
        <v>1.1115598182735991</v>
      </c>
      <c r="V299" s="13">
        <f>IF('0.0%'!$N299&lt;$Z$3,0, '0.0%'!$P299/'0.0%'!$N299)</f>
        <v>1.1458859162039374</v>
      </c>
      <c r="W299" s="13">
        <f>IF('0.0%'!$N299&lt;$Z$3,0, '0.0%'!$Q299/'0.0%'!$N299)</f>
        <v>1.2670368500757194</v>
      </c>
      <c r="X299" s="13">
        <f>IF('0.0%'!$N299&lt;$Z$3,0, '0.0%'!$R299/'0.0%'!$N299)</f>
        <v>2.1140837960625949</v>
      </c>
      <c r="Y299" s="13">
        <f>IF('0.0%'!$N299&lt;$Z$3,0, '0.0%'!$S299/'0.0%'!$N299)</f>
        <v>2.2165572942958103</v>
      </c>
    </row>
    <row r="300" spans="1:25" x14ac:dyDescent="0.3">
      <c r="A300" s="17">
        <v>365.83</v>
      </c>
      <c r="B300" s="10">
        <v>197.2</v>
      </c>
      <c r="C300" s="9">
        <v>365.83</v>
      </c>
      <c r="D300" s="10">
        <v>219.4</v>
      </c>
      <c r="E300" s="11">
        <v>365.83</v>
      </c>
      <c r="F300" s="12">
        <v>226.3</v>
      </c>
      <c r="G300" s="11">
        <v>365.83</v>
      </c>
      <c r="H300" s="12">
        <v>249.6</v>
      </c>
      <c r="I300" s="11">
        <v>365.83</v>
      </c>
      <c r="J300" s="12">
        <v>416.1</v>
      </c>
      <c r="K300" s="11">
        <v>365.83</v>
      </c>
      <c r="L300" s="12">
        <v>437.3</v>
      </c>
      <c r="M300" s="11">
        <v>365.83</v>
      </c>
      <c r="N300" s="13">
        <v>197.2</v>
      </c>
      <c r="O300" s="13">
        <v>219.4</v>
      </c>
      <c r="P300" s="13">
        <v>226.3</v>
      </c>
      <c r="Q300" s="11">
        <v>249.6</v>
      </c>
      <c r="R300" s="11">
        <v>416.1</v>
      </c>
      <c r="S300" s="14">
        <v>437.3</v>
      </c>
      <c r="T300" s="11">
        <v>365.83</v>
      </c>
      <c r="U300" s="13">
        <f>IF('0.0%'!$N300&lt;$Z$3,0, '0.0%'!$O300/'0.0%'!$N300)</f>
        <v>1.1125760649087222</v>
      </c>
      <c r="V300" s="13">
        <f>IF('0.0%'!$N300&lt;$Z$3,0, '0.0%'!$P300/'0.0%'!$N300)</f>
        <v>1.1475659229208925</v>
      </c>
      <c r="W300" s="13">
        <f>IF('0.0%'!$N300&lt;$Z$3,0, '0.0%'!$Q300/'0.0%'!$N300)</f>
        <v>1.2657200811359026</v>
      </c>
      <c r="X300" s="13">
        <f>IF('0.0%'!$N300&lt;$Z$3,0, '0.0%'!$R300/'0.0%'!$N300)</f>
        <v>2.1100405679513186</v>
      </c>
      <c r="Y300" s="13">
        <f>IF('0.0%'!$N300&lt;$Z$3,0, '0.0%'!$S300/'0.0%'!$N300)</f>
        <v>2.2175456389452335</v>
      </c>
    </row>
    <row r="301" spans="1:25" x14ac:dyDescent="0.3">
      <c r="A301" s="17">
        <v>366.82</v>
      </c>
      <c r="B301" s="10">
        <v>197.3</v>
      </c>
      <c r="C301" s="9">
        <v>366.82</v>
      </c>
      <c r="D301" s="10">
        <v>219.5</v>
      </c>
      <c r="E301" s="11">
        <v>366.82</v>
      </c>
      <c r="F301" s="12">
        <v>226.5</v>
      </c>
      <c r="G301" s="11">
        <v>366.82</v>
      </c>
      <c r="H301" s="12">
        <v>249.1</v>
      </c>
      <c r="I301" s="11">
        <v>366.82</v>
      </c>
      <c r="J301" s="12">
        <v>414.4</v>
      </c>
      <c r="K301" s="11">
        <v>366.82</v>
      </c>
      <c r="L301" s="12">
        <v>436.5</v>
      </c>
      <c r="M301" s="11">
        <v>366.82</v>
      </c>
      <c r="N301" s="13">
        <v>197.3</v>
      </c>
      <c r="O301" s="13">
        <v>219.5</v>
      </c>
      <c r="P301" s="13">
        <v>226.5</v>
      </c>
      <c r="Q301" s="11">
        <v>249.1</v>
      </c>
      <c r="R301" s="11">
        <v>414.4</v>
      </c>
      <c r="S301" s="14">
        <v>436.5</v>
      </c>
      <c r="T301" s="11">
        <v>366.82</v>
      </c>
      <c r="U301" s="13">
        <f>IF('0.0%'!$N301&lt;$Z$3,0, '0.0%'!$O301/'0.0%'!$N301)</f>
        <v>1.1125190065889508</v>
      </c>
      <c r="V301" s="13">
        <f>IF('0.0%'!$N301&lt;$Z$3,0, '0.0%'!$P301/'0.0%'!$N301)</f>
        <v>1.1479979726305118</v>
      </c>
      <c r="W301" s="13">
        <f>IF('0.0%'!$N301&lt;$Z$3,0, '0.0%'!$Q301/'0.0%'!$N301)</f>
        <v>1.2625443487075518</v>
      </c>
      <c r="X301" s="13">
        <f>IF('0.0%'!$N301&lt;$Z$3,0, '0.0%'!$R301/'0.0%'!$N301)</f>
        <v>2.1003547896604156</v>
      </c>
      <c r="Y301" s="13">
        <f>IF('0.0%'!$N301&lt;$Z$3,0, '0.0%'!$S301/'0.0%'!$N301)</f>
        <v>2.2123669538773441</v>
      </c>
    </row>
    <row r="302" spans="1:25" x14ac:dyDescent="0.3">
      <c r="A302" s="17">
        <v>367.81</v>
      </c>
      <c r="B302" s="10">
        <v>196.5</v>
      </c>
      <c r="C302" s="9">
        <v>367.81</v>
      </c>
      <c r="D302" s="10">
        <v>218.9</v>
      </c>
      <c r="E302" s="11">
        <v>367.81</v>
      </c>
      <c r="F302" s="12">
        <v>226</v>
      </c>
      <c r="G302" s="11">
        <v>367.81</v>
      </c>
      <c r="H302" s="12">
        <v>247.9</v>
      </c>
      <c r="I302" s="11">
        <v>367.81</v>
      </c>
      <c r="J302" s="12">
        <v>412</v>
      </c>
      <c r="K302" s="11">
        <v>367.81</v>
      </c>
      <c r="L302" s="12">
        <v>435</v>
      </c>
      <c r="M302" s="11">
        <v>367.81</v>
      </c>
      <c r="N302" s="13">
        <v>196.5</v>
      </c>
      <c r="O302" s="13">
        <v>218.9</v>
      </c>
      <c r="P302" s="13">
        <v>226</v>
      </c>
      <c r="Q302" s="11">
        <v>247.9</v>
      </c>
      <c r="R302" s="11">
        <v>412</v>
      </c>
      <c r="S302" s="14">
        <v>435</v>
      </c>
      <c r="T302" s="11">
        <v>367.81</v>
      </c>
      <c r="U302" s="13">
        <f>IF('0.0%'!$N302&lt;$Z$3,0, '0.0%'!$O302/'0.0%'!$N302)</f>
        <v>1.113994910941476</v>
      </c>
      <c r="V302" s="13">
        <f>IF('0.0%'!$N302&lt;$Z$3,0, '0.0%'!$P302/'0.0%'!$N302)</f>
        <v>1.1501272264631044</v>
      </c>
      <c r="W302" s="13">
        <f>IF('0.0%'!$N302&lt;$Z$3,0, '0.0%'!$Q302/'0.0%'!$N302)</f>
        <v>1.2615776081424936</v>
      </c>
      <c r="X302" s="13">
        <f>IF('0.0%'!$N302&lt;$Z$3,0, '0.0%'!$R302/'0.0%'!$N302)</f>
        <v>2.0966921119592876</v>
      </c>
      <c r="Y302" s="13">
        <f>IF('0.0%'!$N302&lt;$Z$3,0, '0.0%'!$S302/'0.0%'!$N302)</f>
        <v>2.2137404580152671</v>
      </c>
    </row>
    <row r="303" spans="1:25" x14ac:dyDescent="0.3">
      <c r="A303" s="17">
        <v>368.8</v>
      </c>
      <c r="B303" s="10">
        <v>196.7</v>
      </c>
      <c r="C303" s="9">
        <v>368.8</v>
      </c>
      <c r="D303" s="10">
        <v>219.1</v>
      </c>
      <c r="E303" s="11">
        <v>368.8</v>
      </c>
      <c r="F303" s="12">
        <v>226.3</v>
      </c>
      <c r="G303" s="11">
        <v>368.8</v>
      </c>
      <c r="H303" s="12">
        <v>247.5</v>
      </c>
      <c r="I303" s="11">
        <v>368.8</v>
      </c>
      <c r="J303" s="12">
        <v>410.6</v>
      </c>
      <c r="K303" s="11">
        <v>368.8</v>
      </c>
      <c r="L303" s="12">
        <v>434.6</v>
      </c>
      <c r="M303" s="11">
        <v>368.8</v>
      </c>
      <c r="N303" s="13">
        <v>196.7</v>
      </c>
      <c r="O303" s="13">
        <v>219.1</v>
      </c>
      <c r="P303" s="13">
        <v>226.3</v>
      </c>
      <c r="Q303" s="11">
        <v>247.5</v>
      </c>
      <c r="R303" s="11">
        <v>410.6</v>
      </c>
      <c r="S303" s="14">
        <v>434.6</v>
      </c>
      <c r="T303" s="11">
        <v>368.8</v>
      </c>
      <c r="U303" s="13">
        <f>IF('0.0%'!$N303&lt;$Z$3,0, '0.0%'!$O303/'0.0%'!$N303)</f>
        <v>1.1138790035587189</v>
      </c>
      <c r="V303" s="13">
        <f>IF('0.0%'!$N303&lt;$Z$3,0, '0.0%'!$P303/'0.0%'!$N303)</f>
        <v>1.1504829689883072</v>
      </c>
      <c r="W303" s="13">
        <f>IF('0.0%'!$N303&lt;$Z$3,0, '0.0%'!$Q303/'0.0%'!$N303)</f>
        <v>1.2582613116420946</v>
      </c>
      <c r="X303" s="13">
        <f>IF('0.0%'!$N303&lt;$Z$3,0, '0.0%'!$R303/'0.0%'!$N303)</f>
        <v>2.0874428063040167</v>
      </c>
      <c r="Y303" s="13">
        <f>IF('0.0%'!$N303&lt;$Z$3,0, '0.0%'!$S303/'0.0%'!$N303)</f>
        <v>2.2094560244026438</v>
      </c>
    </row>
    <row r="304" spans="1:25" x14ac:dyDescent="0.3">
      <c r="A304" s="17">
        <v>369.79</v>
      </c>
      <c r="B304" s="10">
        <v>195.9</v>
      </c>
      <c r="C304" s="9">
        <v>369.79</v>
      </c>
      <c r="D304" s="10">
        <v>218.4</v>
      </c>
      <c r="E304" s="11">
        <v>369.79</v>
      </c>
      <c r="F304" s="12">
        <v>225.7</v>
      </c>
      <c r="G304" s="11">
        <v>369.79</v>
      </c>
      <c r="H304" s="12">
        <v>246.2</v>
      </c>
      <c r="I304" s="11">
        <v>369.79</v>
      </c>
      <c r="J304" s="12">
        <v>408.2</v>
      </c>
      <c r="K304" s="11">
        <v>369.79</v>
      </c>
      <c r="L304" s="12">
        <v>433.1</v>
      </c>
      <c r="M304" s="11">
        <v>369.79</v>
      </c>
      <c r="N304" s="13">
        <v>195.9</v>
      </c>
      <c r="O304" s="13">
        <v>218.4</v>
      </c>
      <c r="P304" s="13">
        <v>225.7</v>
      </c>
      <c r="Q304" s="11">
        <v>246.2</v>
      </c>
      <c r="R304" s="11">
        <v>408.2</v>
      </c>
      <c r="S304" s="14">
        <v>433.1</v>
      </c>
      <c r="T304" s="11">
        <v>369.79</v>
      </c>
      <c r="U304" s="13">
        <f>IF('0.0%'!$N304&lt;$Z$3,0, '0.0%'!$O304/'0.0%'!$N304)</f>
        <v>1.1148545176110261</v>
      </c>
      <c r="V304" s="13">
        <f>IF('0.0%'!$N304&lt;$Z$3,0, '0.0%'!$P304/'0.0%'!$N304)</f>
        <v>1.15211842776927</v>
      </c>
      <c r="W304" s="13">
        <f>IF('0.0%'!$N304&lt;$Z$3,0, '0.0%'!$Q304/'0.0%'!$N304)</f>
        <v>1.2567636549259826</v>
      </c>
      <c r="X304" s="13">
        <f>IF('0.0%'!$N304&lt;$Z$3,0, '0.0%'!$R304/'0.0%'!$N304)</f>
        <v>2.0837161817253698</v>
      </c>
      <c r="Y304" s="13">
        <f>IF('0.0%'!$N304&lt;$Z$3,0, '0.0%'!$S304/'0.0%'!$N304)</f>
        <v>2.2108218478815722</v>
      </c>
    </row>
    <row r="305" spans="1:25" x14ac:dyDescent="0.3">
      <c r="A305" s="17">
        <v>370.79</v>
      </c>
      <c r="B305" s="10">
        <v>195.9</v>
      </c>
      <c r="C305" s="9">
        <v>370.79</v>
      </c>
      <c r="D305" s="10">
        <v>218.4</v>
      </c>
      <c r="E305" s="11">
        <v>370.79</v>
      </c>
      <c r="F305" s="12">
        <v>225.8</v>
      </c>
      <c r="G305" s="11">
        <v>370.79</v>
      </c>
      <c r="H305" s="12">
        <v>245.7</v>
      </c>
      <c r="I305" s="11">
        <v>370.79</v>
      </c>
      <c r="J305" s="12">
        <v>406.7</v>
      </c>
      <c r="K305" s="11">
        <v>370.79</v>
      </c>
      <c r="L305" s="12">
        <v>432.3</v>
      </c>
      <c r="M305" s="11">
        <v>370.79</v>
      </c>
      <c r="N305" s="13">
        <v>195.9</v>
      </c>
      <c r="O305" s="13">
        <v>218.4</v>
      </c>
      <c r="P305" s="13">
        <v>225.8</v>
      </c>
      <c r="Q305" s="11">
        <v>245.7</v>
      </c>
      <c r="R305" s="11">
        <v>406.7</v>
      </c>
      <c r="S305" s="14">
        <v>432.3</v>
      </c>
      <c r="T305" s="11">
        <v>370.79</v>
      </c>
      <c r="U305" s="13">
        <f>IF('0.0%'!$N305&lt;$Z$3,0, '0.0%'!$O305/'0.0%'!$N305)</f>
        <v>1.1148545176110261</v>
      </c>
      <c r="V305" s="13">
        <f>IF('0.0%'!$N305&lt;$Z$3,0, '0.0%'!$P305/'0.0%'!$N305)</f>
        <v>1.1526288922919858</v>
      </c>
      <c r="W305" s="13">
        <f>IF('0.0%'!$N305&lt;$Z$3,0, '0.0%'!$Q305/'0.0%'!$N305)</f>
        <v>1.2542113323124042</v>
      </c>
      <c r="X305" s="13">
        <f>IF('0.0%'!$N305&lt;$Z$3,0, '0.0%'!$R305/'0.0%'!$N305)</f>
        <v>2.0760592138846348</v>
      </c>
      <c r="Y305" s="13">
        <f>IF('0.0%'!$N305&lt;$Z$3,0, '0.0%'!$S305/'0.0%'!$N305)</f>
        <v>2.2067381316998467</v>
      </c>
    </row>
    <row r="306" spans="1:25" x14ac:dyDescent="0.3">
      <c r="A306" s="17">
        <v>371.78</v>
      </c>
      <c r="B306" s="10">
        <v>194.9</v>
      </c>
      <c r="C306" s="9">
        <v>371.78</v>
      </c>
      <c r="D306" s="10">
        <v>217.4</v>
      </c>
      <c r="E306" s="11">
        <v>371.78</v>
      </c>
      <c r="F306" s="12">
        <v>225</v>
      </c>
      <c r="G306" s="11">
        <v>371.78</v>
      </c>
      <c r="H306" s="12">
        <v>244.2</v>
      </c>
      <c r="I306" s="11">
        <v>371.78</v>
      </c>
      <c r="J306" s="12">
        <v>403.9</v>
      </c>
      <c r="K306" s="11">
        <v>371.78</v>
      </c>
      <c r="L306" s="12">
        <v>430.4</v>
      </c>
      <c r="M306" s="11">
        <v>371.78</v>
      </c>
      <c r="N306" s="13">
        <v>194.9</v>
      </c>
      <c r="O306" s="13">
        <v>217.4</v>
      </c>
      <c r="P306" s="13">
        <v>225</v>
      </c>
      <c r="Q306" s="11">
        <v>244.2</v>
      </c>
      <c r="R306" s="11">
        <v>403.9</v>
      </c>
      <c r="S306" s="14">
        <v>430.4</v>
      </c>
      <c r="T306" s="11">
        <v>371.78</v>
      </c>
      <c r="U306" s="13">
        <f>IF('0.0%'!$N306&lt;$Z$3,0, '0.0%'!$O306/'0.0%'!$N306)</f>
        <v>1.1154438173422268</v>
      </c>
      <c r="V306" s="13">
        <f>IF('0.0%'!$N306&lt;$Z$3,0, '0.0%'!$P306/'0.0%'!$N306)</f>
        <v>1.1544381734222677</v>
      </c>
      <c r="W306" s="13">
        <f>IF('0.0%'!$N306&lt;$Z$3,0, '0.0%'!$Q306/'0.0%'!$N306)</f>
        <v>1.2529502308876346</v>
      </c>
      <c r="X306" s="13">
        <f>IF('0.0%'!$N306&lt;$Z$3,0, '0.0%'!$R306/'0.0%'!$N306)</f>
        <v>2.0723447922011284</v>
      </c>
      <c r="Y306" s="13">
        <f>IF('0.0%'!$N306&lt;$Z$3,0, '0.0%'!$S306/'0.0%'!$N306)</f>
        <v>2.2083119548486403</v>
      </c>
    </row>
    <row r="307" spans="1:25" x14ac:dyDescent="0.3">
      <c r="A307" s="17">
        <v>372.77</v>
      </c>
      <c r="B307" s="10">
        <v>194.5</v>
      </c>
      <c r="C307" s="9">
        <v>372.77</v>
      </c>
      <c r="D307" s="10">
        <v>217.1</v>
      </c>
      <c r="E307" s="11">
        <v>372.77</v>
      </c>
      <c r="F307" s="12">
        <v>224.8</v>
      </c>
      <c r="G307" s="11">
        <v>372.77</v>
      </c>
      <c r="H307" s="12">
        <v>243.2</v>
      </c>
      <c r="I307" s="11">
        <v>372.77</v>
      </c>
      <c r="J307" s="12">
        <v>401.7</v>
      </c>
      <c r="K307" s="11">
        <v>372.77</v>
      </c>
      <c r="L307" s="12">
        <v>429</v>
      </c>
      <c r="M307" s="11">
        <v>372.77</v>
      </c>
      <c r="N307" s="13">
        <v>194.5</v>
      </c>
      <c r="O307" s="13">
        <v>217.1</v>
      </c>
      <c r="P307" s="13">
        <v>224.8</v>
      </c>
      <c r="Q307" s="11">
        <v>243.2</v>
      </c>
      <c r="R307" s="11">
        <v>401.7</v>
      </c>
      <c r="S307" s="14">
        <v>429</v>
      </c>
      <c r="T307" s="11">
        <v>372.77</v>
      </c>
      <c r="U307" s="13">
        <f>IF('0.0%'!$N307&lt;$Z$3,0, '0.0%'!$O307/'0.0%'!$N307)</f>
        <v>1.1161953727506426</v>
      </c>
      <c r="V307" s="13">
        <f>IF('0.0%'!$N307&lt;$Z$3,0, '0.0%'!$P307/'0.0%'!$N307)</f>
        <v>1.1557840616966581</v>
      </c>
      <c r="W307" s="13">
        <f>IF('0.0%'!$N307&lt;$Z$3,0, '0.0%'!$Q307/'0.0%'!$N307)</f>
        <v>1.2503856041131105</v>
      </c>
      <c r="X307" s="13">
        <f>IF('0.0%'!$N307&lt;$Z$3,0, '0.0%'!$R307/'0.0%'!$N307)</f>
        <v>2.0652956298200515</v>
      </c>
      <c r="Y307" s="13">
        <f>IF('0.0%'!$N307&lt;$Z$3,0, '0.0%'!$S307/'0.0%'!$N307)</f>
        <v>2.2056555269922877</v>
      </c>
    </row>
    <row r="308" spans="1:25" x14ac:dyDescent="0.3">
      <c r="A308" s="17">
        <v>373.76</v>
      </c>
      <c r="B308" s="10">
        <v>192.9</v>
      </c>
      <c r="C308" s="9">
        <v>373.76</v>
      </c>
      <c r="D308" s="10">
        <v>215.5</v>
      </c>
      <c r="E308" s="11">
        <v>373.76</v>
      </c>
      <c r="F308" s="12">
        <v>223.4</v>
      </c>
      <c r="G308" s="11">
        <v>373.76</v>
      </c>
      <c r="H308" s="12">
        <v>241.1</v>
      </c>
      <c r="I308" s="11">
        <v>373.76</v>
      </c>
      <c r="J308" s="12">
        <v>398</v>
      </c>
      <c r="K308" s="11">
        <v>373.76</v>
      </c>
      <c r="L308" s="12">
        <v>425.8</v>
      </c>
      <c r="M308" s="11">
        <v>373.76</v>
      </c>
      <c r="N308" s="13">
        <v>192.9</v>
      </c>
      <c r="O308" s="13">
        <v>215.5</v>
      </c>
      <c r="P308" s="13">
        <v>223.4</v>
      </c>
      <c r="Q308" s="11">
        <v>241.1</v>
      </c>
      <c r="R308" s="11">
        <v>398</v>
      </c>
      <c r="S308" s="14">
        <v>425.8</v>
      </c>
      <c r="T308" s="11">
        <v>373.76</v>
      </c>
      <c r="U308" s="13">
        <f>IF('0.0%'!$N308&lt;$Z$3,0, '0.0%'!$O308/'0.0%'!$N308)</f>
        <v>1.1171591498185589</v>
      </c>
      <c r="V308" s="13">
        <f>IF('0.0%'!$N308&lt;$Z$3,0, '0.0%'!$P308/'0.0%'!$N308)</f>
        <v>1.1581130119232763</v>
      </c>
      <c r="W308" s="13">
        <f>IF('0.0%'!$N308&lt;$Z$3,0, '0.0%'!$Q308/'0.0%'!$N308)</f>
        <v>1.2498703991705546</v>
      </c>
      <c r="X308" s="13">
        <f>IF('0.0%'!$N308&lt;$Z$3,0, '0.0%'!$R308/'0.0%'!$N308)</f>
        <v>2.0632452047693106</v>
      </c>
      <c r="Y308" s="13">
        <f>IF('0.0%'!$N308&lt;$Z$3,0, '0.0%'!$S308/'0.0%'!$N308)</f>
        <v>2.2073613271124937</v>
      </c>
    </row>
    <row r="309" spans="1:25" x14ac:dyDescent="0.3">
      <c r="A309" s="17">
        <v>374.75</v>
      </c>
      <c r="B309" s="10">
        <v>191.3</v>
      </c>
      <c r="C309" s="9">
        <v>374.75</v>
      </c>
      <c r="D309" s="10">
        <v>213.9</v>
      </c>
      <c r="E309" s="11">
        <v>374.75</v>
      </c>
      <c r="F309" s="12">
        <v>221.9</v>
      </c>
      <c r="G309" s="11">
        <v>374.75</v>
      </c>
      <c r="H309" s="12">
        <v>238.8</v>
      </c>
      <c r="I309" s="11">
        <v>374.75</v>
      </c>
      <c r="J309" s="12">
        <v>393.7</v>
      </c>
      <c r="K309" s="11">
        <v>374.75</v>
      </c>
      <c r="L309" s="12">
        <v>421.7</v>
      </c>
      <c r="M309" s="11">
        <v>374.75</v>
      </c>
      <c r="N309" s="13">
        <v>191.3</v>
      </c>
      <c r="O309" s="13">
        <v>213.9</v>
      </c>
      <c r="P309" s="13">
        <v>221.9</v>
      </c>
      <c r="Q309" s="11">
        <v>238.8</v>
      </c>
      <c r="R309" s="11">
        <v>393.7</v>
      </c>
      <c r="S309" s="14">
        <v>421.7</v>
      </c>
      <c r="T309" s="11">
        <v>374.75</v>
      </c>
      <c r="U309" s="13">
        <f>IF('0.0%'!$N309&lt;$Z$3,0, '0.0%'!$O309/'0.0%'!$N309)</f>
        <v>1.1181390486147411</v>
      </c>
      <c r="V309" s="13">
        <f>IF('0.0%'!$N309&lt;$Z$3,0, '0.0%'!$P309/'0.0%'!$N309)</f>
        <v>1.159958180867747</v>
      </c>
      <c r="W309" s="13">
        <f>IF('0.0%'!$N309&lt;$Z$3,0, '0.0%'!$Q309/'0.0%'!$N309)</f>
        <v>1.2483010977522215</v>
      </c>
      <c r="X309" s="13">
        <f>IF('0.0%'!$N309&lt;$Z$3,0, '0.0%'!$R309/'0.0%'!$N309)</f>
        <v>2.0580240460010453</v>
      </c>
      <c r="Y309" s="13">
        <f>IF('0.0%'!$N309&lt;$Z$3,0, '0.0%'!$S309/'0.0%'!$N309)</f>
        <v>2.2043910088865655</v>
      </c>
    </row>
    <row r="310" spans="1:25" x14ac:dyDescent="0.3">
      <c r="A310" s="17">
        <v>375.74</v>
      </c>
      <c r="B310" s="10">
        <v>190.2</v>
      </c>
      <c r="C310" s="9">
        <v>375.74</v>
      </c>
      <c r="D310" s="10">
        <v>212.8</v>
      </c>
      <c r="E310" s="11">
        <v>375.74</v>
      </c>
      <c r="F310" s="12">
        <v>220.8</v>
      </c>
      <c r="G310" s="11">
        <v>375.74</v>
      </c>
      <c r="H310" s="12">
        <v>237.1</v>
      </c>
      <c r="I310" s="11">
        <v>375.74</v>
      </c>
      <c r="J310" s="12">
        <v>390.1</v>
      </c>
      <c r="K310" s="11">
        <v>375.74</v>
      </c>
      <c r="L310" s="12">
        <v>418.2</v>
      </c>
      <c r="M310" s="11">
        <v>375.74</v>
      </c>
      <c r="N310" s="13">
        <v>190.2</v>
      </c>
      <c r="O310" s="13">
        <v>212.8</v>
      </c>
      <c r="P310" s="13">
        <v>220.8</v>
      </c>
      <c r="Q310" s="11">
        <v>237.1</v>
      </c>
      <c r="R310" s="11">
        <v>390.1</v>
      </c>
      <c r="S310" s="14">
        <v>418.2</v>
      </c>
      <c r="T310" s="11">
        <v>375.74</v>
      </c>
      <c r="U310" s="13">
        <f>IF('0.0%'!$N310&lt;$Z$3,0, '0.0%'!$O310/'0.0%'!$N310)</f>
        <v>1.1188222923238698</v>
      </c>
      <c r="V310" s="13">
        <f>IF('0.0%'!$N310&lt;$Z$3,0, '0.0%'!$P310/'0.0%'!$N310)</f>
        <v>1.1608832807570979</v>
      </c>
      <c r="W310" s="13">
        <f>IF('0.0%'!$N310&lt;$Z$3,0, '0.0%'!$Q310/'0.0%'!$N310)</f>
        <v>1.2465825446898002</v>
      </c>
      <c r="X310" s="13">
        <f>IF('0.0%'!$N310&lt;$Z$3,0, '0.0%'!$R310/'0.0%'!$N310)</f>
        <v>2.0509989484752893</v>
      </c>
      <c r="Y310" s="13">
        <f>IF('0.0%'!$N310&lt;$Z$3,0, '0.0%'!$S310/'0.0%'!$N310)</f>
        <v>2.1987381703470033</v>
      </c>
    </row>
    <row r="311" spans="1:25" x14ac:dyDescent="0.3">
      <c r="A311" s="17">
        <v>376.74</v>
      </c>
      <c r="B311" s="10">
        <v>188.1</v>
      </c>
      <c r="C311" s="9">
        <v>376.74</v>
      </c>
      <c r="D311" s="10">
        <v>210.7</v>
      </c>
      <c r="E311" s="11">
        <v>376.74</v>
      </c>
      <c r="F311" s="12">
        <v>218.9</v>
      </c>
      <c r="G311" s="11">
        <v>376.74</v>
      </c>
      <c r="H311" s="12">
        <v>234.5</v>
      </c>
      <c r="I311" s="11">
        <v>376.74</v>
      </c>
      <c r="J311" s="12">
        <v>385.7</v>
      </c>
      <c r="K311" s="11">
        <v>376.74</v>
      </c>
      <c r="L311" s="12">
        <v>413.9</v>
      </c>
      <c r="M311" s="11">
        <v>376.74</v>
      </c>
      <c r="N311" s="13">
        <v>188.1</v>
      </c>
      <c r="O311" s="13">
        <v>210.7</v>
      </c>
      <c r="P311" s="13">
        <v>218.9</v>
      </c>
      <c r="Q311" s="11">
        <v>234.5</v>
      </c>
      <c r="R311" s="11">
        <v>385.7</v>
      </c>
      <c r="S311" s="14">
        <v>413.9</v>
      </c>
      <c r="T311" s="11">
        <v>376.74</v>
      </c>
      <c r="U311" s="13">
        <f>IF('0.0%'!$N311&lt;$Z$3,0, '0.0%'!$O311/'0.0%'!$N311)</f>
        <v>1.1201488569909623</v>
      </c>
      <c r="V311" s="13">
        <f>IF('0.0%'!$N311&lt;$Z$3,0, '0.0%'!$P311/'0.0%'!$N311)</f>
        <v>1.1637426900584795</v>
      </c>
      <c r="W311" s="13">
        <f>IF('0.0%'!$N311&lt;$Z$3,0, '0.0%'!$Q311/'0.0%'!$N311)</f>
        <v>1.2466772993088784</v>
      </c>
      <c r="X311" s="13">
        <f>IF('0.0%'!$N311&lt;$Z$3,0, '0.0%'!$R311/'0.0%'!$N311)</f>
        <v>2.0505050505050506</v>
      </c>
      <c r="Y311" s="13">
        <f>IF('0.0%'!$N311&lt;$Z$3,0, '0.0%'!$S311/'0.0%'!$N311)</f>
        <v>2.2004253056884635</v>
      </c>
    </row>
    <row r="312" spans="1:25" x14ac:dyDescent="0.3">
      <c r="A312" s="17">
        <v>377.73</v>
      </c>
      <c r="B312" s="10">
        <v>187</v>
      </c>
      <c r="C312" s="9">
        <v>377.73</v>
      </c>
      <c r="D312" s="10">
        <v>209.6</v>
      </c>
      <c r="E312" s="11">
        <v>377.73</v>
      </c>
      <c r="F312" s="12">
        <v>217.8</v>
      </c>
      <c r="G312" s="11">
        <v>377.73</v>
      </c>
      <c r="H312" s="12">
        <v>232.9</v>
      </c>
      <c r="I312" s="11">
        <v>377.73</v>
      </c>
      <c r="J312" s="12">
        <v>382.4</v>
      </c>
      <c r="K312" s="11">
        <v>377.73</v>
      </c>
      <c r="L312" s="12">
        <v>410.9</v>
      </c>
      <c r="M312" s="11">
        <v>377.73</v>
      </c>
      <c r="N312" s="13">
        <v>187</v>
      </c>
      <c r="O312" s="13">
        <v>209.6</v>
      </c>
      <c r="P312" s="13">
        <v>217.8</v>
      </c>
      <c r="Q312" s="11">
        <v>232.9</v>
      </c>
      <c r="R312" s="11">
        <v>382.4</v>
      </c>
      <c r="S312" s="14">
        <v>410.9</v>
      </c>
      <c r="T312" s="11">
        <v>377.73</v>
      </c>
      <c r="U312" s="13">
        <f>IF('0.0%'!$N312&lt;$Z$3,0, '0.0%'!$O312/'0.0%'!$N312)</f>
        <v>1.120855614973262</v>
      </c>
      <c r="V312" s="13">
        <f>IF('0.0%'!$N312&lt;$Z$3,0, '0.0%'!$P312/'0.0%'!$N312)</f>
        <v>1.1647058823529413</v>
      </c>
      <c r="W312" s="13">
        <f>IF('0.0%'!$N312&lt;$Z$3,0, '0.0%'!$Q312/'0.0%'!$N312)</f>
        <v>1.2454545454545456</v>
      </c>
      <c r="X312" s="13">
        <f>IF('0.0%'!$N312&lt;$Z$3,0, '0.0%'!$R312/'0.0%'!$N312)</f>
        <v>2.0449197860962567</v>
      </c>
      <c r="Y312" s="13">
        <f>IF('0.0%'!$N312&lt;$Z$3,0, '0.0%'!$S312/'0.0%'!$N312)</f>
        <v>2.1973262032085561</v>
      </c>
    </row>
    <row r="313" spans="1:25" x14ac:dyDescent="0.3">
      <c r="A313" s="17">
        <v>378.72</v>
      </c>
      <c r="B313" s="10">
        <v>185.3</v>
      </c>
      <c r="C313" s="9">
        <v>378.72</v>
      </c>
      <c r="D313" s="10">
        <v>207.9</v>
      </c>
      <c r="E313" s="11">
        <v>378.72</v>
      </c>
      <c r="F313" s="12">
        <v>216.1</v>
      </c>
      <c r="G313" s="11">
        <v>378.72</v>
      </c>
      <c r="H313" s="12">
        <v>230.7</v>
      </c>
      <c r="I313" s="11">
        <v>378.72</v>
      </c>
      <c r="J313" s="12">
        <v>378.5</v>
      </c>
      <c r="K313" s="11">
        <v>378.72</v>
      </c>
      <c r="L313" s="12">
        <v>407.3</v>
      </c>
      <c r="M313" s="11">
        <v>378.72</v>
      </c>
      <c r="N313" s="13">
        <v>185.3</v>
      </c>
      <c r="O313" s="13">
        <v>207.9</v>
      </c>
      <c r="P313" s="13">
        <v>216.1</v>
      </c>
      <c r="Q313" s="11">
        <v>230.7</v>
      </c>
      <c r="R313" s="11">
        <v>378.5</v>
      </c>
      <c r="S313" s="14">
        <v>407.3</v>
      </c>
      <c r="T313" s="11">
        <v>378.72</v>
      </c>
      <c r="U313" s="13">
        <f>IF('0.0%'!$N313&lt;$Z$3,0, '0.0%'!$O313/'0.0%'!$N313)</f>
        <v>1.1219643820831084</v>
      </c>
      <c r="V313" s="13">
        <f>IF('0.0%'!$N313&lt;$Z$3,0, '0.0%'!$P313/'0.0%'!$N313)</f>
        <v>1.1662169454937938</v>
      </c>
      <c r="W313" s="13">
        <f>IF('0.0%'!$N313&lt;$Z$3,0, '0.0%'!$Q313/'0.0%'!$N313)</f>
        <v>1.2450080949811115</v>
      </c>
      <c r="X313" s="13">
        <f>IF('0.0%'!$N313&lt;$Z$3,0, '0.0%'!$R313/'0.0%'!$N313)</f>
        <v>2.0426335671883429</v>
      </c>
      <c r="Y313" s="13">
        <f>IF('0.0%'!$N313&lt;$Z$3,0, '0.0%'!$S313/'0.0%'!$N313)</f>
        <v>2.1980572045331894</v>
      </c>
    </row>
    <row r="314" spans="1:25" x14ac:dyDescent="0.3">
      <c r="A314" s="17">
        <v>379.71</v>
      </c>
      <c r="B314" s="10">
        <v>184.6</v>
      </c>
      <c r="C314" s="9">
        <v>379.71</v>
      </c>
      <c r="D314" s="10">
        <v>207.3</v>
      </c>
      <c r="E314" s="11">
        <v>379.71</v>
      </c>
      <c r="F314" s="12">
        <v>215.4</v>
      </c>
      <c r="G314" s="11">
        <v>379.71</v>
      </c>
      <c r="H314" s="12">
        <v>229.6</v>
      </c>
      <c r="I314" s="11">
        <v>379.71</v>
      </c>
      <c r="J314" s="12">
        <v>376</v>
      </c>
      <c r="K314" s="11">
        <v>379.71</v>
      </c>
      <c r="L314" s="12">
        <v>405</v>
      </c>
      <c r="M314" s="11">
        <v>379.71</v>
      </c>
      <c r="N314" s="13">
        <v>184.6</v>
      </c>
      <c r="O314" s="13">
        <v>207.3</v>
      </c>
      <c r="P314" s="13">
        <v>215.4</v>
      </c>
      <c r="Q314" s="11">
        <v>229.6</v>
      </c>
      <c r="R314" s="11">
        <v>376</v>
      </c>
      <c r="S314" s="14">
        <v>405</v>
      </c>
      <c r="T314" s="11">
        <v>379.71</v>
      </c>
      <c r="U314" s="13">
        <f>IF('0.0%'!$N314&lt;$Z$3,0, '0.0%'!$O314/'0.0%'!$N314)</f>
        <v>1.1229685807150598</v>
      </c>
      <c r="V314" s="13">
        <f>IF('0.0%'!$N314&lt;$Z$3,0, '0.0%'!$P314/'0.0%'!$N314)</f>
        <v>1.1668472372697725</v>
      </c>
      <c r="W314" s="13">
        <f>IF('0.0%'!$N314&lt;$Z$3,0, '0.0%'!$Q314/'0.0%'!$N314)</f>
        <v>1.2437703141928493</v>
      </c>
      <c r="X314" s="13">
        <f>IF('0.0%'!$N314&lt;$Z$3,0, '0.0%'!$R314/'0.0%'!$N314)</f>
        <v>2.0368364030335862</v>
      </c>
      <c r="Y314" s="13">
        <f>IF('0.0%'!$N314&lt;$Z$3,0, '0.0%'!$S314/'0.0%'!$N314)</f>
        <v>2.1939328277356447</v>
      </c>
    </row>
    <row r="315" spans="1:25" x14ac:dyDescent="0.3">
      <c r="A315" s="17">
        <v>380.7</v>
      </c>
      <c r="B315" s="10">
        <v>183.3</v>
      </c>
      <c r="C315" s="9">
        <v>380.7</v>
      </c>
      <c r="D315" s="10">
        <v>206</v>
      </c>
      <c r="E315" s="11">
        <v>380.7</v>
      </c>
      <c r="F315" s="12">
        <v>214.1</v>
      </c>
      <c r="G315" s="11">
        <v>380.7</v>
      </c>
      <c r="H315" s="12">
        <v>227.8</v>
      </c>
      <c r="I315" s="11">
        <v>380.7</v>
      </c>
      <c r="J315" s="12">
        <v>373</v>
      </c>
      <c r="K315" s="11">
        <v>380.7</v>
      </c>
      <c r="L315" s="12">
        <v>402.4</v>
      </c>
      <c r="M315" s="11">
        <v>380.7</v>
      </c>
      <c r="N315" s="13">
        <v>183.3</v>
      </c>
      <c r="O315" s="13">
        <v>206</v>
      </c>
      <c r="P315" s="13">
        <v>214.1</v>
      </c>
      <c r="Q315" s="11">
        <v>227.8</v>
      </c>
      <c r="R315" s="11">
        <v>373</v>
      </c>
      <c r="S315" s="14">
        <v>402.4</v>
      </c>
      <c r="T315" s="11">
        <v>380.7</v>
      </c>
      <c r="U315" s="13">
        <f>IF('0.0%'!$N315&lt;$Z$3,0, '0.0%'!$O315/'0.0%'!$N315)</f>
        <v>1.1238406983087834</v>
      </c>
      <c r="V315" s="13">
        <f>IF('0.0%'!$N315&lt;$Z$3,0, '0.0%'!$P315/'0.0%'!$N315)</f>
        <v>1.1680305510092743</v>
      </c>
      <c r="W315" s="13">
        <f>IF('0.0%'!$N315&lt;$Z$3,0, '0.0%'!$Q315/'0.0%'!$N315)</f>
        <v>1.2427714129841789</v>
      </c>
      <c r="X315" s="13">
        <f>IF('0.0%'!$N315&lt;$Z$3,0, '0.0%'!$R315/'0.0%'!$N315)</f>
        <v>2.0349154391707582</v>
      </c>
      <c r="Y315" s="13">
        <f>IF('0.0%'!$N315&lt;$Z$3,0, '0.0%'!$S315/'0.0%'!$N315)</f>
        <v>2.195308237861429</v>
      </c>
    </row>
    <row r="316" spans="1:25" x14ac:dyDescent="0.3">
      <c r="A316" s="17">
        <v>381.7</v>
      </c>
      <c r="B316" s="10">
        <v>182.8</v>
      </c>
      <c r="C316" s="9">
        <v>381.7</v>
      </c>
      <c r="D316" s="10">
        <v>205.7</v>
      </c>
      <c r="E316" s="11">
        <v>381.7</v>
      </c>
      <c r="F316" s="12">
        <v>213.7</v>
      </c>
      <c r="G316" s="11">
        <v>381.7</v>
      </c>
      <c r="H316" s="12">
        <v>226.9</v>
      </c>
      <c r="I316" s="11">
        <v>381.7</v>
      </c>
      <c r="J316" s="12">
        <v>371.2</v>
      </c>
      <c r="K316" s="11">
        <v>381.7</v>
      </c>
      <c r="L316" s="12">
        <v>401</v>
      </c>
      <c r="M316" s="11">
        <v>381.7</v>
      </c>
      <c r="N316" s="13">
        <v>182.8</v>
      </c>
      <c r="O316" s="13">
        <v>205.7</v>
      </c>
      <c r="P316" s="13">
        <v>213.7</v>
      </c>
      <c r="Q316" s="11">
        <v>226.9</v>
      </c>
      <c r="R316" s="11">
        <v>371.2</v>
      </c>
      <c r="S316" s="14">
        <v>401</v>
      </c>
      <c r="T316" s="11">
        <v>381.7</v>
      </c>
      <c r="U316" s="13">
        <f>IF('0.0%'!$N316&lt;$Z$3,0, '0.0%'!$O316/'0.0%'!$N316)</f>
        <v>1.1252735229759299</v>
      </c>
      <c r="V316" s="13">
        <f>IF('0.0%'!$N316&lt;$Z$3,0, '0.0%'!$P316/'0.0%'!$N316)</f>
        <v>1.1690371991247264</v>
      </c>
      <c r="W316" s="13">
        <f>IF('0.0%'!$N316&lt;$Z$3,0, '0.0%'!$Q316/'0.0%'!$N316)</f>
        <v>1.2412472647702406</v>
      </c>
      <c r="X316" s="13">
        <f>IF('0.0%'!$N316&lt;$Z$3,0, '0.0%'!$R316/'0.0%'!$N316)</f>
        <v>2.0306345733041575</v>
      </c>
      <c r="Y316" s="13">
        <f>IF('0.0%'!$N316&lt;$Z$3,0, '0.0%'!$S316/'0.0%'!$N316)</f>
        <v>2.1936542669584242</v>
      </c>
    </row>
    <row r="317" spans="1:25" x14ac:dyDescent="0.3">
      <c r="A317" s="17">
        <v>382.69</v>
      </c>
      <c r="B317" s="10">
        <v>181.7</v>
      </c>
      <c r="C317" s="9">
        <v>382.69</v>
      </c>
      <c r="D317" s="10">
        <v>204.6</v>
      </c>
      <c r="E317" s="11">
        <v>382.69</v>
      </c>
      <c r="F317" s="12">
        <v>212.7</v>
      </c>
      <c r="G317" s="11">
        <v>382.69</v>
      </c>
      <c r="H317" s="12">
        <v>225.4</v>
      </c>
      <c r="I317" s="11">
        <v>382.69</v>
      </c>
      <c r="J317" s="12">
        <v>368.7</v>
      </c>
      <c r="K317" s="11">
        <v>382.69</v>
      </c>
      <c r="L317" s="12">
        <v>399</v>
      </c>
      <c r="M317" s="11">
        <v>382.69</v>
      </c>
      <c r="N317" s="13">
        <v>181.7</v>
      </c>
      <c r="O317" s="13">
        <v>204.6</v>
      </c>
      <c r="P317" s="13">
        <v>212.7</v>
      </c>
      <c r="Q317" s="11">
        <v>225.4</v>
      </c>
      <c r="R317" s="11">
        <v>368.7</v>
      </c>
      <c r="S317" s="14">
        <v>399</v>
      </c>
      <c r="T317" s="11">
        <v>382.69</v>
      </c>
      <c r="U317" s="13">
        <f>IF('0.0%'!$N317&lt;$Z$3,0, '0.0%'!$O317/'0.0%'!$N317)</f>
        <v>1.1260319207484866</v>
      </c>
      <c r="V317" s="13">
        <f>IF('0.0%'!$N317&lt;$Z$3,0, '0.0%'!$P317/'0.0%'!$N317)</f>
        <v>1.170610897083104</v>
      </c>
      <c r="W317" s="13">
        <f>IF('0.0%'!$N317&lt;$Z$3,0, '0.0%'!$Q317/'0.0%'!$N317)</f>
        <v>1.2405063291139242</v>
      </c>
      <c r="X317" s="13">
        <f>IF('0.0%'!$N317&lt;$Z$3,0, '0.0%'!$R317/'0.0%'!$N317)</f>
        <v>2.0291689598238856</v>
      </c>
      <c r="Y317" s="13">
        <f>IF('0.0%'!$N317&lt;$Z$3,0, '0.0%'!$S317/'0.0%'!$N317)</f>
        <v>2.1959273527793068</v>
      </c>
    </row>
    <row r="318" spans="1:25" x14ac:dyDescent="0.3">
      <c r="A318" s="17">
        <v>383.68</v>
      </c>
      <c r="B318" s="10">
        <v>181.5</v>
      </c>
      <c r="C318" s="9">
        <v>383.68</v>
      </c>
      <c r="D318" s="10">
        <v>204.6</v>
      </c>
      <c r="E318" s="11">
        <v>383.68</v>
      </c>
      <c r="F318" s="12">
        <v>212.4</v>
      </c>
      <c r="G318" s="11">
        <v>383.68</v>
      </c>
      <c r="H318" s="12">
        <v>224.7</v>
      </c>
      <c r="I318" s="11">
        <v>383.68</v>
      </c>
      <c r="J318" s="12">
        <v>367.2</v>
      </c>
      <c r="K318" s="11">
        <v>383.68</v>
      </c>
      <c r="L318" s="12">
        <v>398.2</v>
      </c>
      <c r="M318" s="11">
        <v>383.68</v>
      </c>
      <c r="N318" s="13">
        <v>181.5</v>
      </c>
      <c r="O318" s="13">
        <v>204.6</v>
      </c>
      <c r="P318" s="13">
        <v>212.4</v>
      </c>
      <c r="Q318" s="11">
        <v>224.7</v>
      </c>
      <c r="R318" s="11">
        <v>367.2</v>
      </c>
      <c r="S318" s="14">
        <v>398.2</v>
      </c>
      <c r="T318" s="11">
        <v>383.68</v>
      </c>
      <c r="U318" s="13">
        <f>IF('0.0%'!$N318&lt;$Z$3,0, '0.0%'!$O318/'0.0%'!$N318)</f>
        <v>1.1272727272727272</v>
      </c>
      <c r="V318" s="13">
        <f>IF('0.0%'!$N318&lt;$Z$3,0, '0.0%'!$P318/'0.0%'!$N318)</f>
        <v>1.1702479338842975</v>
      </c>
      <c r="W318" s="13">
        <f>IF('0.0%'!$N318&lt;$Z$3,0, '0.0%'!$Q318/'0.0%'!$N318)</f>
        <v>1.2380165289256198</v>
      </c>
      <c r="X318" s="13">
        <f>IF('0.0%'!$N318&lt;$Z$3,0, '0.0%'!$R318/'0.0%'!$N318)</f>
        <v>2.0231404958677683</v>
      </c>
      <c r="Y318" s="13">
        <f>IF('0.0%'!$N318&lt;$Z$3,0, '0.0%'!$S318/'0.0%'!$N318)</f>
        <v>2.1939393939393939</v>
      </c>
    </row>
    <row r="319" spans="1:25" x14ac:dyDescent="0.3">
      <c r="A319" s="17">
        <v>384.67</v>
      </c>
      <c r="B319" s="10">
        <v>180.6</v>
      </c>
      <c r="C319" s="9">
        <v>384.67</v>
      </c>
      <c r="D319" s="10">
        <v>203.8</v>
      </c>
      <c r="E319" s="11">
        <v>384.67</v>
      </c>
      <c r="F319" s="12">
        <v>211.7</v>
      </c>
      <c r="G319" s="11">
        <v>384.67</v>
      </c>
      <c r="H319" s="12">
        <v>223.5</v>
      </c>
      <c r="I319" s="11">
        <v>384.67</v>
      </c>
      <c r="J319" s="12">
        <v>365</v>
      </c>
      <c r="K319" s="11">
        <v>384.67</v>
      </c>
      <c r="L319" s="12">
        <v>396.8</v>
      </c>
      <c r="M319" s="11">
        <v>384.67</v>
      </c>
      <c r="N319" s="13">
        <v>180.6</v>
      </c>
      <c r="O319" s="13">
        <v>203.8</v>
      </c>
      <c r="P319" s="13">
        <v>211.7</v>
      </c>
      <c r="Q319" s="11">
        <v>223.5</v>
      </c>
      <c r="R319" s="11">
        <v>365</v>
      </c>
      <c r="S319" s="14">
        <v>396.8</v>
      </c>
      <c r="T319" s="11">
        <v>384.67</v>
      </c>
      <c r="U319" s="13">
        <f>IF('0.0%'!$N319&lt;$Z$3,0, '0.0%'!$O319/'0.0%'!$N319)</f>
        <v>1.1284606866002216</v>
      </c>
      <c r="V319" s="13">
        <f>IF('0.0%'!$N319&lt;$Z$3,0, '0.0%'!$P319/'0.0%'!$N319)</f>
        <v>1.172203765227021</v>
      </c>
      <c r="W319" s="13">
        <f>IF('0.0%'!$N319&lt;$Z$3,0, '0.0%'!$Q319/'0.0%'!$N319)</f>
        <v>1.2375415282392026</v>
      </c>
      <c r="X319" s="13">
        <f>IF('0.0%'!$N319&lt;$Z$3,0, '0.0%'!$R319/'0.0%'!$N319)</f>
        <v>2.0210409745293467</v>
      </c>
      <c r="Y319" s="13">
        <f>IF('0.0%'!$N319&lt;$Z$3,0, '0.0%'!$S319/'0.0%'!$N319)</f>
        <v>2.1971207087486158</v>
      </c>
    </row>
    <row r="320" spans="1:25" x14ac:dyDescent="0.3">
      <c r="A320" s="17">
        <v>385.66</v>
      </c>
      <c r="B320" s="10">
        <v>180.7</v>
      </c>
      <c r="C320" s="9">
        <v>385.66</v>
      </c>
      <c r="D320" s="10">
        <v>204.1</v>
      </c>
      <c r="E320" s="11">
        <v>385.66</v>
      </c>
      <c r="F320" s="12">
        <v>211.8</v>
      </c>
      <c r="G320" s="11">
        <v>385.66</v>
      </c>
      <c r="H320" s="12">
        <v>223.1</v>
      </c>
      <c r="I320" s="11">
        <v>385.66</v>
      </c>
      <c r="J320" s="12">
        <v>364.1</v>
      </c>
      <c r="K320" s="11">
        <v>385.66</v>
      </c>
      <c r="L320" s="12">
        <v>396.7</v>
      </c>
      <c r="M320" s="11">
        <v>385.66</v>
      </c>
      <c r="N320" s="13">
        <v>180.7</v>
      </c>
      <c r="O320" s="13">
        <v>204.1</v>
      </c>
      <c r="P320" s="13">
        <v>211.8</v>
      </c>
      <c r="Q320" s="11">
        <v>223.1</v>
      </c>
      <c r="R320" s="11">
        <v>364.1</v>
      </c>
      <c r="S320" s="14">
        <v>396.7</v>
      </c>
      <c r="T320" s="11">
        <v>385.66</v>
      </c>
      <c r="U320" s="13">
        <f>IF('0.0%'!$N320&lt;$Z$3,0, '0.0%'!$O320/'0.0%'!$N320)</f>
        <v>1.1294964028776979</v>
      </c>
      <c r="V320" s="13">
        <f>IF('0.0%'!$N320&lt;$Z$3,0, '0.0%'!$P320/'0.0%'!$N320)</f>
        <v>1.1721084670724959</v>
      </c>
      <c r="W320" s="13">
        <f>IF('0.0%'!$N320&lt;$Z$3,0, '0.0%'!$Q320/'0.0%'!$N320)</f>
        <v>1.2346430547869398</v>
      </c>
      <c r="X320" s="13">
        <f>IF('0.0%'!$N320&lt;$Z$3,0, '0.0%'!$R320/'0.0%'!$N320)</f>
        <v>2.0149418926397344</v>
      </c>
      <c r="Y320" s="13">
        <f>IF('0.0%'!$N320&lt;$Z$3,0, '0.0%'!$S320/'0.0%'!$N320)</f>
        <v>2.1953514111787493</v>
      </c>
    </row>
    <row r="321" spans="1:25" x14ac:dyDescent="0.3">
      <c r="A321" s="17">
        <v>386.65</v>
      </c>
      <c r="B321" s="10">
        <v>180.1</v>
      </c>
      <c r="C321" s="9">
        <v>386.65</v>
      </c>
      <c r="D321" s="10">
        <v>203.8</v>
      </c>
      <c r="E321" s="11">
        <v>386.65</v>
      </c>
      <c r="F321" s="12">
        <v>211.3</v>
      </c>
      <c r="G321" s="11">
        <v>386.65</v>
      </c>
      <c r="H321" s="12">
        <v>222.3</v>
      </c>
      <c r="I321" s="11">
        <v>386.65</v>
      </c>
      <c r="J321" s="12">
        <v>362.5</v>
      </c>
      <c r="K321" s="11">
        <v>386.65</v>
      </c>
      <c r="L321" s="12">
        <v>396</v>
      </c>
      <c r="M321" s="11">
        <v>386.65</v>
      </c>
      <c r="N321" s="13">
        <v>180.1</v>
      </c>
      <c r="O321" s="13">
        <v>203.8</v>
      </c>
      <c r="P321" s="13">
        <v>211.3</v>
      </c>
      <c r="Q321" s="11">
        <v>222.3</v>
      </c>
      <c r="R321" s="11">
        <v>362.5</v>
      </c>
      <c r="S321" s="14">
        <v>396</v>
      </c>
      <c r="T321" s="11">
        <v>386.65</v>
      </c>
      <c r="U321" s="13">
        <f>IF('0.0%'!$N321&lt;$Z$3,0, '0.0%'!$O321/'0.0%'!$N321)</f>
        <v>1.1315935591338147</v>
      </c>
      <c r="V321" s="13">
        <f>IF('0.0%'!$N321&lt;$Z$3,0, '0.0%'!$P321/'0.0%'!$N321)</f>
        <v>1.1732370905052749</v>
      </c>
      <c r="W321" s="13">
        <f>IF('0.0%'!$N321&lt;$Z$3,0, '0.0%'!$Q321/'0.0%'!$N321)</f>
        <v>1.2343142698500833</v>
      </c>
      <c r="X321" s="13">
        <f>IF('0.0%'!$N321&lt;$Z$3,0, '0.0%'!$R321/'0.0%'!$N321)</f>
        <v>2.0127706829539145</v>
      </c>
      <c r="Y321" s="13">
        <f>IF('0.0%'!$N321&lt;$Z$3,0, '0.0%'!$S321/'0.0%'!$N321)</f>
        <v>2.1987784564131041</v>
      </c>
    </row>
    <row r="322" spans="1:25" x14ac:dyDescent="0.3">
      <c r="A322" s="17">
        <v>387.65</v>
      </c>
      <c r="B322" s="10">
        <v>180.5</v>
      </c>
      <c r="C322" s="9">
        <v>387.65</v>
      </c>
      <c r="D322" s="10">
        <v>204.3</v>
      </c>
      <c r="E322" s="11">
        <v>387.65</v>
      </c>
      <c r="F322" s="12">
        <v>211.7</v>
      </c>
      <c r="G322" s="11">
        <v>387.65</v>
      </c>
      <c r="H322" s="12">
        <v>222.3</v>
      </c>
      <c r="I322" s="11">
        <v>387.65</v>
      </c>
      <c r="J322" s="12">
        <v>361.9</v>
      </c>
      <c r="K322" s="11">
        <v>387.65</v>
      </c>
      <c r="L322" s="12">
        <v>396.4</v>
      </c>
      <c r="M322" s="11">
        <v>387.65</v>
      </c>
      <c r="N322" s="13">
        <v>180.5</v>
      </c>
      <c r="O322" s="13">
        <v>204.3</v>
      </c>
      <c r="P322" s="13">
        <v>211.7</v>
      </c>
      <c r="Q322" s="11">
        <v>222.3</v>
      </c>
      <c r="R322" s="11">
        <v>361.9</v>
      </c>
      <c r="S322" s="14">
        <v>396.4</v>
      </c>
      <c r="T322" s="11">
        <v>387.65</v>
      </c>
      <c r="U322" s="13">
        <f>IF('0.0%'!$N322&lt;$Z$3,0, '0.0%'!$O322/'0.0%'!$N322)</f>
        <v>1.1318559556786705</v>
      </c>
      <c r="V322" s="13">
        <f>IF('0.0%'!$N322&lt;$Z$3,0, '0.0%'!$P322/'0.0%'!$N322)</f>
        <v>1.1728531855955677</v>
      </c>
      <c r="W322" s="13">
        <f>IF('0.0%'!$N322&lt;$Z$3,0, '0.0%'!$Q322/'0.0%'!$N322)</f>
        <v>1.2315789473684211</v>
      </c>
      <c r="X322" s="13">
        <f>IF('0.0%'!$N322&lt;$Z$3,0, '0.0%'!$R322/'0.0%'!$N322)</f>
        <v>2.0049861495844876</v>
      </c>
      <c r="Y322" s="13">
        <f>IF('0.0%'!$N322&lt;$Z$3,0, '0.0%'!$S322/'0.0%'!$N322)</f>
        <v>2.1961218836565095</v>
      </c>
    </row>
    <row r="323" spans="1:25" x14ac:dyDescent="0.3">
      <c r="A323" s="17">
        <v>388.64</v>
      </c>
      <c r="B323" s="10">
        <v>180.2</v>
      </c>
      <c r="C323" s="9">
        <v>388.64</v>
      </c>
      <c r="D323" s="10">
        <v>204.3</v>
      </c>
      <c r="E323" s="11">
        <v>388.64</v>
      </c>
      <c r="F323" s="12">
        <v>211.6</v>
      </c>
      <c r="G323" s="11">
        <v>388.64</v>
      </c>
      <c r="H323" s="12">
        <v>221.8</v>
      </c>
      <c r="I323" s="11">
        <v>388.64</v>
      </c>
      <c r="J323" s="12">
        <v>360.8</v>
      </c>
      <c r="K323" s="11">
        <v>388.64</v>
      </c>
      <c r="L323" s="12">
        <v>396.2</v>
      </c>
      <c r="M323" s="11">
        <v>388.64</v>
      </c>
      <c r="N323" s="13">
        <v>180.2</v>
      </c>
      <c r="O323" s="13">
        <v>204.3</v>
      </c>
      <c r="P323" s="13">
        <v>211.6</v>
      </c>
      <c r="Q323" s="11">
        <v>221.8</v>
      </c>
      <c r="R323" s="11">
        <v>360.8</v>
      </c>
      <c r="S323" s="14">
        <v>396.2</v>
      </c>
      <c r="T323" s="11">
        <v>388.64</v>
      </c>
      <c r="U323" s="13">
        <f>IF('0.0%'!$N323&lt;$Z$3,0, '0.0%'!$O323/'0.0%'!$N323)</f>
        <v>1.1337402885682577</v>
      </c>
      <c r="V323" s="13">
        <f>IF('0.0%'!$N323&lt;$Z$3,0, '0.0%'!$P323/'0.0%'!$N323)</f>
        <v>1.1742508324084351</v>
      </c>
      <c r="W323" s="13">
        <f>IF('0.0%'!$N323&lt;$Z$3,0, '0.0%'!$Q323/'0.0%'!$N323)</f>
        <v>1.230854605993341</v>
      </c>
      <c r="X323" s="13">
        <f>IF('0.0%'!$N323&lt;$Z$3,0, '0.0%'!$R323/'0.0%'!$N323)</f>
        <v>2.0022197558268591</v>
      </c>
      <c r="Y323" s="13">
        <f>IF('0.0%'!$N323&lt;$Z$3,0, '0.0%'!$S323/'0.0%'!$N323)</f>
        <v>2.1986681465038846</v>
      </c>
    </row>
    <row r="324" spans="1:25" x14ac:dyDescent="0.3">
      <c r="A324" s="17">
        <v>389.63</v>
      </c>
      <c r="B324" s="10">
        <v>180.9</v>
      </c>
      <c r="C324" s="9">
        <v>389.63</v>
      </c>
      <c r="D324" s="10">
        <v>205.4</v>
      </c>
      <c r="E324" s="11">
        <v>389.63</v>
      </c>
      <c r="F324" s="12">
        <v>212.4</v>
      </c>
      <c r="G324" s="11">
        <v>389.63</v>
      </c>
      <c r="H324" s="12">
        <v>222.2</v>
      </c>
      <c r="I324" s="11">
        <v>389.63</v>
      </c>
      <c r="J324" s="12">
        <v>360.7</v>
      </c>
      <c r="K324" s="11">
        <v>389.63</v>
      </c>
      <c r="L324" s="12">
        <v>397.3</v>
      </c>
      <c r="M324" s="11">
        <v>389.63</v>
      </c>
      <c r="N324" s="13">
        <v>180.9</v>
      </c>
      <c r="O324" s="13">
        <v>205.4</v>
      </c>
      <c r="P324" s="13">
        <v>212.4</v>
      </c>
      <c r="Q324" s="11">
        <v>222.2</v>
      </c>
      <c r="R324" s="11">
        <v>360.7</v>
      </c>
      <c r="S324" s="14">
        <v>397.3</v>
      </c>
      <c r="T324" s="11">
        <v>389.63</v>
      </c>
      <c r="U324" s="13">
        <f>IF('0.0%'!$N324&lt;$Z$3,0, '0.0%'!$O324/'0.0%'!$N324)</f>
        <v>1.1354339414040906</v>
      </c>
      <c r="V324" s="13">
        <f>IF('0.0%'!$N324&lt;$Z$3,0, '0.0%'!$P324/'0.0%'!$N324)</f>
        <v>1.1741293532338308</v>
      </c>
      <c r="W324" s="13">
        <f>IF('0.0%'!$N324&lt;$Z$3,0, '0.0%'!$Q324/'0.0%'!$N324)</f>
        <v>1.2283029297954671</v>
      </c>
      <c r="X324" s="13">
        <f>IF('0.0%'!$N324&lt;$Z$3,0, '0.0%'!$R324/'0.0%'!$N324)</f>
        <v>1.993919292426755</v>
      </c>
      <c r="Y324" s="13">
        <f>IF('0.0%'!$N324&lt;$Z$3,0, '0.0%'!$S324/'0.0%'!$N324)</f>
        <v>2.1962410171365394</v>
      </c>
    </row>
    <row r="325" spans="1:25" x14ac:dyDescent="0.3">
      <c r="A325" s="17">
        <v>390.62</v>
      </c>
      <c r="B325" s="10">
        <v>181.3</v>
      </c>
      <c r="C325" s="9">
        <v>390.62</v>
      </c>
      <c r="D325" s="10">
        <v>206.1</v>
      </c>
      <c r="E325" s="11">
        <v>390.62</v>
      </c>
      <c r="F325" s="12">
        <v>212.9</v>
      </c>
      <c r="G325" s="11">
        <v>390.62</v>
      </c>
      <c r="H325" s="12">
        <v>222.3</v>
      </c>
      <c r="I325" s="11">
        <v>390.62</v>
      </c>
      <c r="J325" s="12">
        <v>360.4</v>
      </c>
      <c r="K325" s="11">
        <v>390.62</v>
      </c>
      <c r="L325" s="12">
        <v>398.3</v>
      </c>
      <c r="M325" s="11">
        <v>390.62</v>
      </c>
      <c r="N325" s="13">
        <v>181.3</v>
      </c>
      <c r="O325" s="13">
        <v>206.1</v>
      </c>
      <c r="P325" s="13">
        <v>212.9</v>
      </c>
      <c r="Q325" s="11">
        <v>222.3</v>
      </c>
      <c r="R325" s="11">
        <v>360.4</v>
      </c>
      <c r="S325" s="14">
        <v>398.3</v>
      </c>
      <c r="T325" s="11">
        <v>390.62</v>
      </c>
      <c r="U325" s="13">
        <f>IF('0.0%'!$N325&lt;$Z$3,0, '0.0%'!$O325/'0.0%'!$N325)</f>
        <v>1.1367898510755652</v>
      </c>
      <c r="V325" s="13">
        <f>IF('0.0%'!$N325&lt;$Z$3,0, '0.0%'!$P325/'0.0%'!$N325)</f>
        <v>1.1742967457253171</v>
      </c>
      <c r="W325" s="13">
        <f>IF('0.0%'!$N325&lt;$Z$3,0, '0.0%'!$Q325/'0.0%'!$N325)</f>
        <v>1.2261445118587975</v>
      </c>
      <c r="X325" s="13">
        <f>IF('0.0%'!$N325&lt;$Z$3,0, '0.0%'!$R325/'0.0%'!$N325)</f>
        <v>1.9878654164368448</v>
      </c>
      <c r="Y325" s="13">
        <f>IF('0.0%'!$N325&lt;$Z$3,0, '0.0%'!$S325/'0.0%'!$N325)</f>
        <v>2.1969111969111967</v>
      </c>
    </row>
    <row r="326" spans="1:25" x14ac:dyDescent="0.3">
      <c r="A326" s="17">
        <v>391.61</v>
      </c>
      <c r="B326" s="10">
        <v>182.8</v>
      </c>
      <c r="C326" s="9">
        <v>391.61</v>
      </c>
      <c r="D326" s="10">
        <v>208.1</v>
      </c>
      <c r="E326" s="11">
        <v>391.61</v>
      </c>
      <c r="F326" s="12">
        <v>214.5</v>
      </c>
      <c r="G326" s="11">
        <v>391.61</v>
      </c>
      <c r="H326" s="12">
        <v>223.7</v>
      </c>
      <c r="I326" s="11">
        <v>391.61</v>
      </c>
      <c r="J326" s="12">
        <v>361.6</v>
      </c>
      <c r="K326" s="11">
        <v>391.61</v>
      </c>
      <c r="L326" s="12">
        <v>400.9</v>
      </c>
      <c r="M326" s="11">
        <v>391.61</v>
      </c>
      <c r="N326" s="13">
        <v>182.8</v>
      </c>
      <c r="O326" s="13">
        <v>208.1</v>
      </c>
      <c r="P326" s="13">
        <v>214.5</v>
      </c>
      <c r="Q326" s="11">
        <v>223.7</v>
      </c>
      <c r="R326" s="11">
        <v>361.6</v>
      </c>
      <c r="S326" s="14">
        <v>400.9</v>
      </c>
      <c r="T326" s="11">
        <v>391.61</v>
      </c>
      <c r="U326" s="13">
        <f>IF('0.0%'!$N326&lt;$Z$3,0, '0.0%'!$O326/'0.0%'!$N326)</f>
        <v>1.1384026258205688</v>
      </c>
      <c r="V326" s="13">
        <f>IF('0.0%'!$N326&lt;$Z$3,0, '0.0%'!$P326/'0.0%'!$N326)</f>
        <v>1.173413566739606</v>
      </c>
      <c r="W326" s="13">
        <f>IF('0.0%'!$N326&lt;$Z$3,0, '0.0%'!$Q326/'0.0%'!$N326)</f>
        <v>1.2237417943107221</v>
      </c>
      <c r="X326" s="13">
        <f>IF('0.0%'!$N326&lt;$Z$3,0, '0.0%'!$R326/'0.0%'!$N326)</f>
        <v>1.9781181619256019</v>
      </c>
      <c r="Y326" s="13">
        <f>IF('0.0%'!$N326&lt;$Z$3,0, '0.0%'!$S326/'0.0%'!$N326)</f>
        <v>2.1931072210065641</v>
      </c>
    </row>
    <row r="327" spans="1:25" x14ac:dyDescent="0.3">
      <c r="A327" s="17">
        <v>392.6</v>
      </c>
      <c r="B327" s="10">
        <v>184</v>
      </c>
      <c r="C327" s="9">
        <v>392.6</v>
      </c>
      <c r="D327" s="10">
        <v>209.9</v>
      </c>
      <c r="E327" s="11">
        <v>392.6</v>
      </c>
      <c r="F327" s="12">
        <v>216</v>
      </c>
      <c r="G327" s="11">
        <v>392.6</v>
      </c>
      <c r="H327" s="12">
        <v>224.8</v>
      </c>
      <c r="I327" s="11">
        <v>392.6</v>
      </c>
      <c r="J327" s="12">
        <v>362.6</v>
      </c>
      <c r="K327" s="11">
        <v>392.6</v>
      </c>
      <c r="L327" s="12">
        <v>403.6</v>
      </c>
      <c r="M327" s="11">
        <v>392.6</v>
      </c>
      <c r="N327" s="13">
        <v>184</v>
      </c>
      <c r="O327" s="13">
        <v>209.9</v>
      </c>
      <c r="P327" s="13">
        <v>216</v>
      </c>
      <c r="Q327" s="11">
        <v>224.8</v>
      </c>
      <c r="R327" s="11">
        <v>362.6</v>
      </c>
      <c r="S327" s="14">
        <v>403.6</v>
      </c>
      <c r="T327" s="11">
        <v>392.6</v>
      </c>
      <c r="U327" s="13">
        <f>IF('0.0%'!$N327&lt;$Z$3,0, '0.0%'!$O327/'0.0%'!$N327)</f>
        <v>1.1407608695652174</v>
      </c>
      <c r="V327" s="13">
        <f>IF('0.0%'!$N327&lt;$Z$3,0, '0.0%'!$P327/'0.0%'!$N327)</f>
        <v>1.173913043478261</v>
      </c>
      <c r="W327" s="13">
        <f>IF('0.0%'!$N327&lt;$Z$3,0, '0.0%'!$Q327/'0.0%'!$N327)</f>
        <v>1.2217391304347827</v>
      </c>
      <c r="X327" s="13">
        <f>IF('0.0%'!$N327&lt;$Z$3,0, '0.0%'!$R327/'0.0%'!$N327)</f>
        <v>1.9706521739130436</v>
      </c>
      <c r="Y327" s="13">
        <f>IF('0.0%'!$N327&lt;$Z$3,0, '0.0%'!$S327/'0.0%'!$N327)</f>
        <v>2.1934782608695653</v>
      </c>
    </row>
    <row r="328" spans="1:25" x14ac:dyDescent="0.3">
      <c r="A328" s="17">
        <v>393.6</v>
      </c>
      <c r="B328" s="10">
        <v>186.4</v>
      </c>
      <c r="C328" s="9">
        <v>393.6</v>
      </c>
      <c r="D328" s="10">
        <v>212.8</v>
      </c>
      <c r="E328" s="11">
        <v>393.6</v>
      </c>
      <c r="F328" s="12">
        <v>218.5</v>
      </c>
      <c r="G328" s="11">
        <v>393.6</v>
      </c>
      <c r="H328" s="12">
        <v>227</v>
      </c>
      <c r="I328" s="11">
        <v>393.6</v>
      </c>
      <c r="J328" s="12">
        <v>364.8</v>
      </c>
      <c r="K328" s="11">
        <v>393.6</v>
      </c>
      <c r="L328" s="12">
        <v>407.8</v>
      </c>
      <c r="M328" s="11">
        <v>393.6</v>
      </c>
      <c r="N328" s="13">
        <v>186.4</v>
      </c>
      <c r="O328" s="13">
        <v>212.8</v>
      </c>
      <c r="P328" s="13">
        <v>218.5</v>
      </c>
      <c r="Q328" s="11">
        <v>227</v>
      </c>
      <c r="R328" s="11">
        <v>364.8</v>
      </c>
      <c r="S328" s="14">
        <v>407.8</v>
      </c>
      <c r="T328" s="11">
        <v>393.6</v>
      </c>
      <c r="U328" s="13">
        <f>IF('0.0%'!$N328&lt;$Z$3,0, '0.0%'!$O328/'0.0%'!$N328)</f>
        <v>1.1416309012875536</v>
      </c>
      <c r="V328" s="13">
        <f>IF('0.0%'!$N328&lt;$Z$3,0, '0.0%'!$P328/'0.0%'!$N328)</f>
        <v>1.1722103004291846</v>
      </c>
      <c r="W328" s="13">
        <f>IF('0.0%'!$N328&lt;$Z$3,0, '0.0%'!$Q328/'0.0%'!$N328)</f>
        <v>1.2178111587982832</v>
      </c>
      <c r="X328" s="13">
        <f>IF('0.0%'!$N328&lt;$Z$3,0, '0.0%'!$R328/'0.0%'!$N328)</f>
        <v>1.9570815450643777</v>
      </c>
      <c r="Y328" s="13">
        <f>IF('0.0%'!$N328&lt;$Z$3,0, '0.0%'!$S328/'0.0%'!$N328)</f>
        <v>2.1877682403433476</v>
      </c>
    </row>
    <row r="329" spans="1:25" x14ac:dyDescent="0.3">
      <c r="A329" s="17">
        <v>394.59</v>
      </c>
      <c r="B329" s="10">
        <v>189.7</v>
      </c>
      <c r="C329" s="9">
        <v>394.59</v>
      </c>
      <c r="D329" s="10">
        <v>216.7</v>
      </c>
      <c r="E329" s="11">
        <v>394.59</v>
      </c>
      <c r="F329" s="12">
        <v>221.9</v>
      </c>
      <c r="G329" s="11">
        <v>394.59</v>
      </c>
      <c r="H329" s="12">
        <v>230.1</v>
      </c>
      <c r="I329" s="11">
        <v>394.59</v>
      </c>
      <c r="J329" s="12">
        <v>368.1</v>
      </c>
      <c r="K329" s="11">
        <v>394.59</v>
      </c>
      <c r="L329" s="12">
        <v>413.1</v>
      </c>
      <c r="M329" s="11">
        <v>394.59</v>
      </c>
      <c r="N329" s="13">
        <v>189.7</v>
      </c>
      <c r="O329" s="13">
        <v>216.7</v>
      </c>
      <c r="P329" s="13">
        <v>221.9</v>
      </c>
      <c r="Q329" s="11">
        <v>230.1</v>
      </c>
      <c r="R329" s="11">
        <v>368.1</v>
      </c>
      <c r="S329" s="14">
        <v>413.1</v>
      </c>
      <c r="T329" s="11">
        <v>394.59</v>
      </c>
      <c r="U329" s="13">
        <f>IF('0.0%'!$N329&lt;$Z$3,0, '0.0%'!$O329/'0.0%'!$N329)</f>
        <v>1.1423299947285188</v>
      </c>
      <c r="V329" s="13">
        <f>IF('0.0%'!$N329&lt;$Z$3,0, '0.0%'!$P329/'0.0%'!$N329)</f>
        <v>1.1697416974169743</v>
      </c>
      <c r="W329" s="13">
        <f>IF('0.0%'!$N329&lt;$Z$3,0, '0.0%'!$Q329/'0.0%'!$N329)</f>
        <v>1.212967843964154</v>
      </c>
      <c r="X329" s="13">
        <f>IF('0.0%'!$N329&lt;$Z$3,0, '0.0%'!$R329/'0.0%'!$N329)</f>
        <v>1.9404322614654721</v>
      </c>
      <c r="Y329" s="13">
        <f>IF('0.0%'!$N329&lt;$Z$3,0, '0.0%'!$S329/'0.0%'!$N329)</f>
        <v>2.1776489193463364</v>
      </c>
    </row>
    <row r="330" spans="1:25" x14ac:dyDescent="0.3">
      <c r="A330" s="17">
        <v>395.58</v>
      </c>
      <c r="B330" s="10">
        <v>192.9</v>
      </c>
      <c r="C330" s="9">
        <v>395.58</v>
      </c>
      <c r="D330" s="10">
        <v>220.4</v>
      </c>
      <c r="E330" s="11">
        <v>395.58</v>
      </c>
      <c r="F330" s="12">
        <v>225.2</v>
      </c>
      <c r="G330" s="11">
        <v>395.58</v>
      </c>
      <c r="H330" s="12">
        <v>233.2</v>
      </c>
      <c r="I330" s="11">
        <v>395.58</v>
      </c>
      <c r="J330" s="12">
        <v>371.4</v>
      </c>
      <c r="K330" s="11">
        <v>395.58</v>
      </c>
      <c r="L330" s="12">
        <v>418.7</v>
      </c>
      <c r="M330" s="11">
        <v>395.58</v>
      </c>
      <c r="N330" s="13">
        <v>192.9</v>
      </c>
      <c r="O330" s="13">
        <v>220.4</v>
      </c>
      <c r="P330" s="13">
        <v>225.2</v>
      </c>
      <c r="Q330" s="11">
        <v>233.2</v>
      </c>
      <c r="R330" s="11">
        <v>371.4</v>
      </c>
      <c r="S330" s="14">
        <v>418.7</v>
      </c>
      <c r="T330" s="11">
        <v>395.58</v>
      </c>
      <c r="U330" s="13">
        <f>IF('0.0%'!$N330&lt;$Z$3,0, '0.0%'!$O330/'0.0%'!$N330)</f>
        <v>1.1425609123898393</v>
      </c>
      <c r="V330" s="13">
        <f>IF('0.0%'!$N330&lt;$Z$3,0, '0.0%'!$P330/'0.0%'!$N330)</f>
        <v>1.1674442716433384</v>
      </c>
      <c r="W330" s="13">
        <f>IF('0.0%'!$N330&lt;$Z$3,0, '0.0%'!$Q330/'0.0%'!$N330)</f>
        <v>1.208916537065837</v>
      </c>
      <c r="X330" s="13">
        <f>IF('0.0%'!$N330&lt;$Z$3,0, '0.0%'!$R330/'0.0%'!$N330)</f>
        <v>1.9253499222395021</v>
      </c>
      <c r="Y330" s="13">
        <f>IF('0.0%'!$N330&lt;$Z$3,0, '0.0%'!$S330/'0.0%'!$N330)</f>
        <v>2.1705546915500258</v>
      </c>
    </row>
    <row r="331" spans="1:25" x14ac:dyDescent="0.3">
      <c r="A331" s="17">
        <v>396.57</v>
      </c>
      <c r="B331" s="10">
        <v>197.4</v>
      </c>
      <c r="C331" s="9">
        <v>396.57</v>
      </c>
      <c r="D331" s="10">
        <v>225.5</v>
      </c>
      <c r="E331" s="11">
        <v>396.57</v>
      </c>
      <c r="F331" s="12">
        <v>229.9</v>
      </c>
      <c r="G331" s="11">
        <v>396.57</v>
      </c>
      <c r="H331" s="12">
        <v>237.6</v>
      </c>
      <c r="I331" s="11">
        <v>396.57</v>
      </c>
      <c r="J331" s="12">
        <v>376.1</v>
      </c>
      <c r="K331" s="11">
        <v>396.57</v>
      </c>
      <c r="L331" s="12">
        <v>425.5</v>
      </c>
      <c r="M331" s="11">
        <v>396.57</v>
      </c>
      <c r="N331" s="13">
        <v>197.4</v>
      </c>
      <c r="O331" s="13">
        <v>225.5</v>
      </c>
      <c r="P331" s="13">
        <v>229.9</v>
      </c>
      <c r="Q331" s="11">
        <v>237.6</v>
      </c>
      <c r="R331" s="11">
        <v>376.1</v>
      </c>
      <c r="S331" s="14">
        <v>425.5</v>
      </c>
      <c r="T331" s="11">
        <v>396.57</v>
      </c>
      <c r="U331" s="13">
        <f>IF('0.0%'!$N331&lt;$Z$3,0, '0.0%'!$O331/'0.0%'!$N331)</f>
        <v>1.1423505572441743</v>
      </c>
      <c r="V331" s="13">
        <f>IF('0.0%'!$N331&lt;$Z$3,0, '0.0%'!$P331/'0.0%'!$N331)</f>
        <v>1.1646403242147922</v>
      </c>
      <c r="W331" s="13">
        <f>IF('0.0%'!$N331&lt;$Z$3,0, '0.0%'!$Q331/'0.0%'!$N331)</f>
        <v>1.2036474164133737</v>
      </c>
      <c r="X331" s="13">
        <f>IF('0.0%'!$N331&lt;$Z$3,0, '0.0%'!$R331/'0.0%'!$N331)</f>
        <v>1.9052684903748733</v>
      </c>
      <c r="Y331" s="13">
        <f>IF('0.0%'!$N331&lt;$Z$3,0, '0.0%'!$S331/'0.0%'!$N331)</f>
        <v>2.1555217831813578</v>
      </c>
    </row>
    <row r="332" spans="1:25" x14ac:dyDescent="0.3">
      <c r="A332" s="17">
        <v>397.56</v>
      </c>
      <c r="B332" s="10">
        <v>201.9</v>
      </c>
      <c r="C332" s="9">
        <v>397.56</v>
      </c>
      <c r="D332" s="10">
        <v>230.6</v>
      </c>
      <c r="E332" s="11">
        <v>397.56</v>
      </c>
      <c r="F332" s="12">
        <v>234.7</v>
      </c>
      <c r="G332" s="11">
        <v>397.56</v>
      </c>
      <c r="H332" s="12">
        <v>242.1</v>
      </c>
      <c r="I332" s="11">
        <v>397.56</v>
      </c>
      <c r="J332" s="12">
        <v>380.8</v>
      </c>
      <c r="K332" s="11">
        <v>397.56</v>
      </c>
      <c r="L332" s="12">
        <v>432.5</v>
      </c>
      <c r="M332" s="11">
        <v>397.56</v>
      </c>
      <c r="N332" s="13">
        <v>201.9</v>
      </c>
      <c r="O332" s="13">
        <v>230.6</v>
      </c>
      <c r="P332" s="13">
        <v>234.7</v>
      </c>
      <c r="Q332" s="11">
        <v>242.1</v>
      </c>
      <c r="R332" s="11">
        <v>380.8</v>
      </c>
      <c r="S332" s="14">
        <v>432.5</v>
      </c>
      <c r="T332" s="11">
        <v>397.56</v>
      </c>
      <c r="U332" s="13">
        <f>IF('0.0%'!$N332&lt;$Z$3,0, '0.0%'!$O332/'0.0%'!$N332)</f>
        <v>1.1421495789995046</v>
      </c>
      <c r="V332" s="13">
        <f>IF('0.0%'!$N332&lt;$Z$3,0, '0.0%'!$P332/'0.0%'!$N332)</f>
        <v>1.1624566617137195</v>
      </c>
      <c r="W332" s="13">
        <f>IF('0.0%'!$N332&lt;$Z$3,0, '0.0%'!$Q332/'0.0%'!$N332)</f>
        <v>1.1991084695393759</v>
      </c>
      <c r="X332" s="13">
        <f>IF('0.0%'!$N332&lt;$Z$3,0, '0.0%'!$R332/'0.0%'!$N332)</f>
        <v>1.8860822189202575</v>
      </c>
      <c r="Y332" s="13">
        <f>IF('0.0%'!$N332&lt;$Z$3,0, '0.0%'!$S332/'0.0%'!$N332)</f>
        <v>2.1421495789995046</v>
      </c>
    </row>
    <row r="333" spans="1:25" x14ac:dyDescent="0.3">
      <c r="A333" s="17">
        <v>398.55</v>
      </c>
      <c r="B333" s="10">
        <v>207.8</v>
      </c>
      <c r="C333" s="9">
        <v>398.55</v>
      </c>
      <c r="D333" s="10">
        <v>237.2</v>
      </c>
      <c r="E333" s="11">
        <v>398.55</v>
      </c>
      <c r="F333" s="12">
        <v>240.9</v>
      </c>
      <c r="G333" s="11">
        <v>398.55</v>
      </c>
      <c r="H333" s="12">
        <v>248</v>
      </c>
      <c r="I333" s="11">
        <v>398.55</v>
      </c>
      <c r="J333" s="12">
        <v>387</v>
      </c>
      <c r="K333" s="11">
        <v>398.55</v>
      </c>
      <c r="L333" s="12">
        <v>440.7</v>
      </c>
      <c r="M333" s="11">
        <v>398.55</v>
      </c>
      <c r="N333" s="13">
        <v>207.8</v>
      </c>
      <c r="O333" s="13">
        <v>237.2</v>
      </c>
      <c r="P333" s="13">
        <v>240.9</v>
      </c>
      <c r="Q333" s="11">
        <v>248</v>
      </c>
      <c r="R333" s="11">
        <v>387</v>
      </c>
      <c r="S333" s="14">
        <v>440.7</v>
      </c>
      <c r="T333" s="11">
        <v>398.55</v>
      </c>
      <c r="U333" s="13">
        <f>IF('0.0%'!$N333&lt;$Z$3,0, '0.0%'!$O333/'0.0%'!$N333)</f>
        <v>1.1414821944177092</v>
      </c>
      <c r="V333" s="13">
        <f>IF('0.0%'!$N333&lt;$Z$3,0, '0.0%'!$P333/'0.0%'!$N333)</f>
        <v>1.1592877767083734</v>
      </c>
      <c r="W333" s="13">
        <f>IF('0.0%'!$N333&lt;$Z$3,0, '0.0%'!$Q333/'0.0%'!$N333)</f>
        <v>1.1934552454282963</v>
      </c>
      <c r="X333" s="13">
        <f>IF('0.0%'!$N333&lt;$Z$3,0, '0.0%'!$R333/'0.0%'!$N333)</f>
        <v>1.8623676612127045</v>
      </c>
      <c r="Y333" s="13">
        <f>IF('0.0%'!$N333&lt;$Z$3,0, '0.0%'!$S333/'0.0%'!$N333)</f>
        <v>2.1207892204042347</v>
      </c>
    </row>
    <row r="334" spans="1:25" x14ac:dyDescent="0.3">
      <c r="A334" s="17">
        <v>399.55</v>
      </c>
      <c r="B334" s="10">
        <v>213.9</v>
      </c>
      <c r="C334" s="9">
        <v>399.55</v>
      </c>
      <c r="D334" s="10">
        <v>243.9</v>
      </c>
      <c r="E334" s="11">
        <v>399.55</v>
      </c>
      <c r="F334" s="12">
        <v>247.4</v>
      </c>
      <c r="G334" s="11">
        <v>399.55</v>
      </c>
      <c r="H334" s="12">
        <v>254</v>
      </c>
      <c r="I334" s="11">
        <v>399.55</v>
      </c>
      <c r="J334" s="12">
        <v>393.3</v>
      </c>
      <c r="K334" s="11">
        <v>399.55</v>
      </c>
      <c r="L334" s="12">
        <v>449</v>
      </c>
      <c r="M334" s="11">
        <v>399.55</v>
      </c>
      <c r="N334" s="13">
        <v>213.9</v>
      </c>
      <c r="O334" s="13">
        <v>243.9</v>
      </c>
      <c r="P334" s="13">
        <v>247.4</v>
      </c>
      <c r="Q334" s="11">
        <v>254</v>
      </c>
      <c r="R334" s="11">
        <v>393.3</v>
      </c>
      <c r="S334" s="14">
        <v>449</v>
      </c>
      <c r="T334" s="11">
        <v>399.55</v>
      </c>
      <c r="U334" s="13">
        <f>IF('0.0%'!$N334&lt;$Z$3,0, '0.0%'!$O334/'0.0%'!$N334)</f>
        <v>1.1402524544179524</v>
      </c>
      <c r="V334" s="13">
        <f>IF('0.0%'!$N334&lt;$Z$3,0, '0.0%'!$P334/'0.0%'!$N334)</f>
        <v>1.1566152407667134</v>
      </c>
      <c r="W334" s="13">
        <f>IF('0.0%'!$N334&lt;$Z$3,0, '0.0%'!$Q334/'0.0%'!$N334)</f>
        <v>1.1874707807386629</v>
      </c>
      <c r="X334" s="13">
        <f>IF('0.0%'!$N334&lt;$Z$3,0, '0.0%'!$R334/'0.0%'!$N334)</f>
        <v>1.8387096774193548</v>
      </c>
      <c r="Y334" s="13">
        <f>IF('0.0%'!$N334&lt;$Z$3,0, '0.0%'!$S334/'0.0%'!$N334)</f>
        <v>2.0991117344553527</v>
      </c>
    </row>
    <row r="335" spans="1:25" x14ac:dyDescent="0.3">
      <c r="A335" s="17">
        <v>400.54</v>
      </c>
      <c r="B335" s="10">
        <v>221.4</v>
      </c>
      <c r="C335" s="9">
        <v>400.54</v>
      </c>
      <c r="D335" s="10">
        <v>252</v>
      </c>
      <c r="E335" s="11">
        <v>400.54</v>
      </c>
      <c r="F335" s="12">
        <v>255.3</v>
      </c>
      <c r="G335" s="11">
        <v>400.54</v>
      </c>
      <c r="H335" s="12">
        <v>261.39999999999998</v>
      </c>
      <c r="I335" s="11">
        <v>400.54</v>
      </c>
      <c r="J335" s="12">
        <v>400.9</v>
      </c>
      <c r="K335" s="11">
        <v>400.54</v>
      </c>
      <c r="L335" s="12">
        <v>458.3</v>
      </c>
      <c r="M335" s="11">
        <v>400.54</v>
      </c>
      <c r="N335" s="13">
        <v>221.4</v>
      </c>
      <c r="O335" s="13">
        <v>252</v>
      </c>
      <c r="P335" s="13">
        <v>255.3</v>
      </c>
      <c r="Q335" s="11">
        <v>261.39999999999998</v>
      </c>
      <c r="R335" s="11">
        <v>400.9</v>
      </c>
      <c r="S335" s="14">
        <v>458.3</v>
      </c>
      <c r="T335" s="11">
        <v>400.54</v>
      </c>
      <c r="U335" s="13">
        <f>IF('0.0%'!$N335&lt;$Z$3,0, '0.0%'!$O335/'0.0%'!$N335)</f>
        <v>1.1382113821138211</v>
      </c>
      <c r="V335" s="13">
        <f>IF('0.0%'!$N335&lt;$Z$3,0, '0.0%'!$P335/'0.0%'!$N335)</f>
        <v>1.1531165311653118</v>
      </c>
      <c r="W335" s="13">
        <f>IF('0.0%'!$N335&lt;$Z$3,0, '0.0%'!$Q335/'0.0%'!$N335)</f>
        <v>1.1806684733514001</v>
      </c>
      <c r="X335" s="13">
        <f>IF('0.0%'!$N335&lt;$Z$3,0, '0.0%'!$R335/'0.0%'!$N335)</f>
        <v>1.8107497741644081</v>
      </c>
      <c r="Y335" s="13">
        <f>IF('0.0%'!$N335&lt;$Z$3,0, '0.0%'!$S335/'0.0%'!$N335)</f>
        <v>2.0700090334236676</v>
      </c>
    </row>
    <row r="336" spans="1:25" x14ac:dyDescent="0.3">
      <c r="A336" s="17">
        <v>401.53</v>
      </c>
      <c r="B336" s="10">
        <v>229.6</v>
      </c>
      <c r="C336" s="9">
        <v>401.53</v>
      </c>
      <c r="D336" s="10">
        <v>260.8</v>
      </c>
      <c r="E336" s="11">
        <v>401.53</v>
      </c>
      <c r="F336" s="12">
        <v>264</v>
      </c>
      <c r="G336" s="11">
        <v>401.53</v>
      </c>
      <c r="H336" s="12">
        <v>269.60000000000002</v>
      </c>
      <c r="I336" s="11">
        <v>401.53</v>
      </c>
      <c r="J336" s="12">
        <v>409.1</v>
      </c>
      <c r="K336" s="11">
        <v>401.53</v>
      </c>
      <c r="L336" s="12">
        <v>467.9</v>
      </c>
      <c r="M336" s="11">
        <v>401.53</v>
      </c>
      <c r="N336" s="13">
        <v>229.6</v>
      </c>
      <c r="O336" s="13">
        <v>260.8</v>
      </c>
      <c r="P336" s="13">
        <v>264</v>
      </c>
      <c r="Q336" s="11">
        <v>269.60000000000002</v>
      </c>
      <c r="R336" s="11">
        <v>409.1</v>
      </c>
      <c r="S336" s="14">
        <v>467.9</v>
      </c>
      <c r="T336" s="11">
        <v>401.53</v>
      </c>
      <c r="U336" s="13">
        <f>IF('0.0%'!$N336&lt;$Z$3,0, '0.0%'!$O336/'0.0%'!$N336)</f>
        <v>1.1358885017421603</v>
      </c>
      <c r="V336" s="13">
        <f>IF('0.0%'!$N336&lt;$Z$3,0, '0.0%'!$P336/'0.0%'!$N336)</f>
        <v>1.1498257839721255</v>
      </c>
      <c r="W336" s="13">
        <f>IF('0.0%'!$N336&lt;$Z$3,0, '0.0%'!$Q336/'0.0%'!$N336)</f>
        <v>1.1742160278745646</v>
      </c>
      <c r="X336" s="13">
        <f>IF('0.0%'!$N336&lt;$Z$3,0, '0.0%'!$R336/'0.0%'!$N336)</f>
        <v>1.7817944250871081</v>
      </c>
      <c r="Y336" s="13">
        <f>IF('0.0%'!$N336&lt;$Z$3,0, '0.0%'!$S336/'0.0%'!$N336)</f>
        <v>2.0378919860627178</v>
      </c>
    </row>
    <row r="337" spans="1:25" x14ac:dyDescent="0.3">
      <c r="A337" s="17">
        <v>402.52</v>
      </c>
      <c r="B337" s="10">
        <v>239.4</v>
      </c>
      <c r="C337" s="9">
        <v>402.52</v>
      </c>
      <c r="D337" s="10">
        <v>271.2</v>
      </c>
      <c r="E337" s="11">
        <v>402.52</v>
      </c>
      <c r="F337" s="12">
        <v>274.39999999999998</v>
      </c>
      <c r="G337" s="11">
        <v>402.52</v>
      </c>
      <c r="H337" s="12">
        <v>279.39999999999998</v>
      </c>
      <c r="I337" s="11">
        <v>402.52</v>
      </c>
      <c r="J337" s="12">
        <v>418.7</v>
      </c>
      <c r="K337" s="11">
        <v>402.52</v>
      </c>
      <c r="L337" s="12">
        <v>478.7</v>
      </c>
      <c r="M337" s="11">
        <v>402.52</v>
      </c>
      <c r="N337" s="13">
        <v>239.4</v>
      </c>
      <c r="O337" s="13">
        <v>271.2</v>
      </c>
      <c r="P337" s="13">
        <v>274.39999999999998</v>
      </c>
      <c r="Q337" s="11">
        <v>279.39999999999998</v>
      </c>
      <c r="R337" s="11">
        <v>418.7</v>
      </c>
      <c r="S337" s="14">
        <v>478.7</v>
      </c>
      <c r="T337" s="11">
        <v>402.52</v>
      </c>
      <c r="U337" s="13">
        <f>IF('0.0%'!$N337&lt;$Z$3,0, '0.0%'!$O337/'0.0%'!$N337)</f>
        <v>1.1328320802005012</v>
      </c>
      <c r="V337" s="13">
        <f>IF('0.0%'!$N337&lt;$Z$3,0, '0.0%'!$P337/'0.0%'!$N337)</f>
        <v>1.1461988304093567</v>
      </c>
      <c r="W337" s="13">
        <f>IF('0.0%'!$N337&lt;$Z$3,0, '0.0%'!$Q337/'0.0%'!$N337)</f>
        <v>1.1670843776106932</v>
      </c>
      <c r="X337" s="13">
        <f>IF('0.0%'!$N337&lt;$Z$3,0, '0.0%'!$R337/'0.0%'!$N337)</f>
        <v>1.748955722639933</v>
      </c>
      <c r="Y337" s="13">
        <f>IF('0.0%'!$N337&lt;$Z$3,0, '0.0%'!$S337/'0.0%'!$N337)</f>
        <v>1.9995822890559731</v>
      </c>
    </row>
    <row r="338" spans="1:25" x14ac:dyDescent="0.3">
      <c r="A338" s="17">
        <v>403.51</v>
      </c>
      <c r="B338" s="10">
        <v>251.2</v>
      </c>
      <c r="C338" s="9">
        <v>403.51</v>
      </c>
      <c r="D338" s="10">
        <v>283.5</v>
      </c>
      <c r="E338" s="11">
        <v>403.51</v>
      </c>
      <c r="F338" s="12">
        <v>286.8</v>
      </c>
      <c r="G338" s="11">
        <v>403.51</v>
      </c>
      <c r="H338" s="12">
        <v>291.10000000000002</v>
      </c>
      <c r="I338" s="11">
        <v>403.51</v>
      </c>
      <c r="J338" s="12">
        <v>429.8</v>
      </c>
      <c r="K338" s="11">
        <v>403.51</v>
      </c>
      <c r="L338" s="12">
        <v>491</v>
      </c>
      <c r="M338" s="11">
        <v>403.51</v>
      </c>
      <c r="N338" s="13">
        <v>251.2</v>
      </c>
      <c r="O338" s="13">
        <v>283.5</v>
      </c>
      <c r="P338" s="13">
        <v>286.8</v>
      </c>
      <c r="Q338" s="11">
        <v>291.10000000000002</v>
      </c>
      <c r="R338" s="11">
        <v>429.8</v>
      </c>
      <c r="S338" s="14">
        <v>491</v>
      </c>
      <c r="T338" s="11">
        <v>403.51</v>
      </c>
      <c r="U338" s="13">
        <f>IF('0.0%'!$N338&lt;$Z$3,0, '0.0%'!$O338/'0.0%'!$N338)</f>
        <v>1.1285828025477707</v>
      </c>
      <c r="V338" s="13">
        <f>IF('0.0%'!$N338&lt;$Z$3,0, '0.0%'!$P338/'0.0%'!$N338)</f>
        <v>1.14171974522293</v>
      </c>
      <c r="W338" s="13">
        <f>IF('0.0%'!$N338&lt;$Z$3,0, '0.0%'!$Q338/'0.0%'!$N338)</f>
        <v>1.1588375796178345</v>
      </c>
      <c r="X338" s="13">
        <f>IF('0.0%'!$N338&lt;$Z$3,0, '0.0%'!$R338/'0.0%'!$N338)</f>
        <v>1.7109872611464969</v>
      </c>
      <c r="Y338" s="13">
        <f>IF('0.0%'!$N338&lt;$Z$3,0, '0.0%'!$S338/'0.0%'!$N338)</f>
        <v>1.9546178343949046</v>
      </c>
    </row>
    <row r="339" spans="1:25" x14ac:dyDescent="0.3">
      <c r="A339" s="17">
        <v>404.51</v>
      </c>
      <c r="B339" s="10">
        <v>264.2</v>
      </c>
      <c r="C339" s="9">
        <v>404.51</v>
      </c>
      <c r="D339" s="10">
        <v>297.10000000000002</v>
      </c>
      <c r="E339" s="11">
        <v>404.51</v>
      </c>
      <c r="F339" s="12">
        <v>300.3</v>
      </c>
      <c r="G339" s="11">
        <v>404.51</v>
      </c>
      <c r="H339" s="12">
        <v>303.8</v>
      </c>
      <c r="I339" s="11">
        <v>404.51</v>
      </c>
      <c r="J339" s="12">
        <v>441.7</v>
      </c>
      <c r="K339" s="11">
        <v>404.51</v>
      </c>
      <c r="L339" s="12">
        <v>504</v>
      </c>
      <c r="M339" s="11">
        <v>404.51</v>
      </c>
      <c r="N339" s="13">
        <v>264.2</v>
      </c>
      <c r="O339" s="13">
        <v>297.10000000000002</v>
      </c>
      <c r="P339" s="13">
        <v>300.3</v>
      </c>
      <c r="Q339" s="11">
        <v>303.8</v>
      </c>
      <c r="R339" s="11">
        <v>441.7</v>
      </c>
      <c r="S339" s="14">
        <v>504</v>
      </c>
      <c r="T339" s="11">
        <v>404.51</v>
      </c>
      <c r="U339" s="13">
        <f>IF('0.0%'!$N339&lt;$Z$3,0, '0.0%'!$O339/'0.0%'!$N339)</f>
        <v>1.1245268735806209</v>
      </c>
      <c r="V339" s="13">
        <f>IF('0.0%'!$N339&lt;$Z$3,0, '0.0%'!$P339/'0.0%'!$N339)</f>
        <v>1.1366389099167298</v>
      </c>
      <c r="W339" s="13">
        <f>IF('0.0%'!$N339&lt;$Z$3,0, '0.0%'!$Q339/'0.0%'!$N339)</f>
        <v>1.1498864496593491</v>
      </c>
      <c r="X339" s="13">
        <f>IF('0.0%'!$N339&lt;$Z$3,0, '0.0%'!$R339/'0.0%'!$N339)</f>
        <v>1.6718395155185466</v>
      </c>
      <c r="Y339" s="13">
        <f>IF('0.0%'!$N339&lt;$Z$3,0, '0.0%'!$S339/'0.0%'!$N339)</f>
        <v>1.9076457229371688</v>
      </c>
    </row>
    <row r="340" spans="1:25" x14ac:dyDescent="0.3">
      <c r="A340" s="17">
        <v>405.5</v>
      </c>
      <c r="B340" s="10">
        <v>280.10000000000002</v>
      </c>
      <c r="C340" s="9">
        <v>405.5</v>
      </c>
      <c r="D340" s="10">
        <v>313.7</v>
      </c>
      <c r="E340" s="11">
        <v>405.5</v>
      </c>
      <c r="F340" s="12">
        <v>316.89999999999998</v>
      </c>
      <c r="G340" s="11">
        <v>405.5</v>
      </c>
      <c r="H340" s="12">
        <v>319.60000000000002</v>
      </c>
      <c r="I340" s="11">
        <v>405.5</v>
      </c>
      <c r="J340" s="12">
        <v>455.6</v>
      </c>
      <c r="K340" s="11">
        <v>405.5</v>
      </c>
      <c r="L340" s="12">
        <v>519.1</v>
      </c>
      <c r="M340" s="11">
        <v>405.5</v>
      </c>
      <c r="N340" s="13">
        <v>280.10000000000002</v>
      </c>
      <c r="O340" s="13">
        <v>313.7</v>
      </c>
      <c r="P340" s="13">
        <v>316.89999999999998</v>
      </c>
      <c r="Q340" s="11">
        <v>319.60000000000002</v>
      </c>
      <c r="R340" s="11">
        <v>455.6</v>
      </c>
      <c r="S340" s="14">
        <v>519.1</v>
      </c>
      <c r="T340" s="11">
        <v>405.5</v>
      </c>
      <c r="U340" s="13">
        <f>IF('0.0%'!$N340&lt;$Z$3,0, '0.0%'!$O340/'0.0%'!$N340)</f>
        <v>1.1199571581578007</v>
      </c>
      <c r="V340" s="13">
        <f>IF('0.0%'!$N340&lt;$Z$3,0, '0.0%'!$P340/'0.0%'!$N340)</f>
        <v>1.1313816494109246</v>
      </c>
      <c r="W340" s="13">
        <f>IF('0.0%'!$N340&lt;$Z$3,0, '0.0%'!$Q340/'0.0%'!$N340)</f>
        <v>1.1410210639057479</v>
      </c>
      <c r="X340" s="13">
        <f>IF('0.0%'!$N340&lt;$Z$3,0, '0.0%'!$R340/'0.0%'!$N340)</f>
        <v>1.6265619421635129</v>
      </c>
      <c r="Y340" s="13">
        <f>IF('0.0%'!$N340&lt;$Z$3,0, '0.0%'!$S340/'0.0%'!$N340)</f>
        <v>1.85326669046769</v>
      </c>
    </row>
    <row r="341" spans="1:25" x14ac:dyDescent="0.3">
      <c r="A341" s="17">
        <v>406.49</v>
      </c>
      <c r="B341" s="10">
        <v>297</v>
      </c>
      <c r="C341" s="9">
        <v>406.49</v>
      </c>
      <c r="D341" s="10">
        <v>331.3</v>
      </c>
      <c r="E341" s="11">
        <v>406.49</v>
      </c>
      <c r="F341" s="12">
        <v>334.4</v>
      </c>
      <c r="G341" s="11">
        <v>406.49</v>
      </c>
      <c r="H341" s="12">
        <v>336.3</v>
      </c>
      <c r="I341" s="11">
        <v>406.49</v>
      </c>
      <c r="J341" s="12">
        <v>470.4</v>
      </c>
      <c r="K341" s="11">
        <v>406.49</v>
      </c>
      <c r="L341" s="12">
        <v>534.9</v>
      </c>
      <c r="M341" s="11">
        <v>406.49</v>
      </c>
      <c r="N341" s="13">
        <v>297</v>
      </c>
      <c r="O341" s="13">
        <v>331.3</v>
      </c>
      <c r="P341" s="13">
        <v>334.4</v>
      </c>
      <c r="Q341" s="11">
        <v>336.3</v>
      </c>
      <c r="R341" s="11">
        <v>470.4</v>
      </c>
      <c r="S341" s="14">
        <v>534.9</v>
      </c>
      <c r="T341" s="11">
        <v>406.49</v>
      </c>
      <c r="U341" s="13">
        <f>IF('0.0%'!$N341&lt;$Z$3,0, '0.0%'!$O341/'0.0%'!$N341)</f>
        <v>1.1154882154882155</v>
      </c>
      <c r="V341" s="13">
        <f>IF('0.0%'!$N341&lt;$Z$3,0, '0.0%'!$P341/'0.0%'!$N341)</f>
        <v>1.1259259259259258</v>
      </c>
      <c r="W341" s="13">
        <f>IF('0.0%'!$N341&lt;$Z$3,0, '0.0%'!$Q341/'0.0%'!$N341)</f>
        <v>1.1323232323232324</v>
      </c>
      <c r="X341" s="13">
        <f>IF('0.0%'!$N341&lt;$Z$3,0, '0.0%'!$R341/'0.0%'!$N341)</f>
        <v>1.5838383838383838</v>
      </c>
      <c r="Y341" s="13">
        <f>IF('0.0%'!$N341&lt;$Z$3,0, '0.0%'!$S341/'0.0%'!$N341)</f>
        <v>1.8010101010101009</v>
      </c>
    </row>
    <row r="342" spans="1:25" x14ac:dyDescent="0.3">
      <c r="A342" s="17">
        <v>407.48</v>
      </c>
      <c r="B342" s="10">
        <v>320.60000000000002</v>
      </c>
      <c r="C342" s="9">
        <v>407.48</v>
      </c>
      <c r="D342" s="10">
        <v>355.9</v>
      </c>
      <c r="E342" s="11">
        <v>407.48</v>
      </c>
      <c r="F342" s="12">
        <v>358.6</v>
      </c>
      <c r="G342" s="11">
        <v>407.48</v>
      </c>
      <c r="H342" s="12">
        <v>359.3</v>
      </c>
      <c r="I342" s="11">
        <v>407.48</v>
      </c>
      <c r="J342" s="12">
        <v>489.9</v>
      </c>
      <c r="K342" s="11">
        <v>407.48</v>
      </c>
      <c r="L342" s="12">
        <v>555</v>
      </c>
      <c r="M342" s="11">
        <v>407.48</v>
      </c>
      <c r="N342" s="13">
        <v>320.60000000000002</v>
      </c>
      <c r="O342" s="13">
        <v>355.9</v>
      </c>
      <c r="P342" s="13">
        <v>358.6</v>
      </c>
      <c r="Q342" s="11">
        <v>359.3</v>
      </c>
      <c r="R342" s="11">
        <v>489.9</v>
      </c>
      <c r="S342" s="14">
        <v>555</v>
      </c>
      <c r="T342" s="11">
        <v>407.48</v>
      </c>
      <c r="U342" s="13">
        <f>IF('0.0%'!$N342&lt;$Z$3,0, '0.0%'!$O342/'0.0%'!$N342)</f>
        <v>1.1101060511540859</v>
      </c>
      <c r="V342" s="13">
        <f>IF('0.0%'!$N342&lt;$Z$3,0, '0.0%'!$P342/'0.0%'!$N342)</f>
        <v>1.1185277604491579</v>
      </c>
      <c r="W342" s="13">
        <f>IF('0.0%'!$N342&lt;$Z$3,0, '0.0%'!$Q342/'0.0%'!$N342)</f>
        <v>1.120711166562695</v>
      </c>
      <c r="X342" s="13">
        <f>IF('0.0%'!$N342&lt;$Z$3,0, '0.0%'!$R342/'0.0%'!$N342)</f>
        <v>1.5280723643169056</v>
      </c>
      <c r="Y342" s="13">
        <f>IF('0.0%'!$N342&lt;$Z$3,0, '0.0%'!$S342/'0.0%'!$N342)</f>
        <v>1.7311291328758576</v>
      </c>
    </row>
    <row r="343" spans="1:25" x14ac:dyDescent="0.3">
      <c r="A343" s="17">
        <v>408.47</v>
      </c>
      <c r="B343" s="10">
        <v>341.5</v>
      </c>
      <c r="C343" s="9">
        <v>408.47</v>
      </c>
      <c r="D343" s="10">
        <v>377.5</v>
      </c>
      <c r="E343" s="11">
        <v>408.47</v>
      </c>
      <c r="F343" s="12">
        <v>380.2</v>
      </c>
      <c r="G343" s="11">
        <v>408.47</v>
      </c>
      <c r="H343" s="12">
        <v>379.8</v>
      </c>
      <c r="I343" s="11">
        <v>408.47</v>
      </c>
      <c r="J343" s="12">
        <v>507.4</v>
      </c>
      <c r="K343" s="11">
        <v>408.47</v>
      </c>
      <c r="L343" s="12">
        <v>573.5</v>
      </c>
      <c r="M343" s="11">
        <v>408.47</v>
      </c>
      <c r="N343" s="13">
        <v>341.5</v>
      </c>
      <c r="O343" s="13">
        <v>377.5</v>
      </c>
      <c r="P343" s="13">
        <v>380.2</v>
      </c>
      <c r="Q343" s="11">
        <v>379.8</v>
      </c>
      <c r="R343" s="11">
        <v>507.4</v>
      </c>
      <c r="S343" s="14">
        <v>573.5</v>
      </c>
      <c r="T343" s="11">
        <v>408.47</v>
      </c>
      <c r="U343" s="13">
        <f>IF('0.0%'!$N343&lt;$Z$3,0, '0.0%'!$O343/'0.0%'!$N343)</f>
        <v>1.1054172767203514</v>
      </c>
      <c r="V343" s="13">
        <f>IF('0.0%'!$N343&lt;$Z$3,0, '0.0%'!$P343/'0.0%'!$N343)</f>
        <v>1.1133235724743777</v>
      </c>
      <c r="W343" s="13">
        <f>IF('0.0%'!$N343&lt;$Z$3,0, '0.0%'!$Q343/'0.0%'!$N343)</f>
        <v>1.1121522693997072</v>
      </c>
      <c r="X343" s="13">
        <f>IF('0.0%'!$N343&lt;$Z$3,0, '0.0%'!$R343/'0.0%'!$N343)</f>
        <v>1.4857979502196192</v>
      </c>
      <c r="Y343" s="13">
        <f>IF('0.0%'!$N343&lt;$Z$3,0, '0.0%'!$S343/'0.0%'!$N343)</f>
        <v>1.6793557833089312</v>
      </c>
    </row>
    <row r="344" spans="1:25" x14ac:dyDescent="0.3">
      <c r="A344" s="17">
        <v>409.46</v>
      </c>
      <c r="B344" s="10">
        <v>368.1</v>
      </c>
      <c r="C344" s="9">
        <v>409.46</v>
      </c>
      <c r="D344" s="10">
        <v>404.9</v>
      </c>
      <c r="E344" s="11">
        <v>409.46</v>
      </c>
      <c r="F344" s="12">
        <v>407.4</v>
      </c>
      <c r="G344" s="11">
        <v>409.46</v>
      </c>
      <c r="H344" s="12">
        <v>405.7</v>
      </c>
      <c r="I344" s="11">
        <v>409.46</v>
      </c>
      <c r="J344" s="12">
        <v>528.79999999999995</v>
      </c>
      <c r="K344" s="11">
        <v>409.46</v>
      </c>
      <c r="L344" s="12">
        <v>596.1</v>
      </c>
      <c r="M344" s="11">
        <v>409.46</v>
      </c>
      <c r="N344" s="13">
        <v>368.1</v>
      </c>
      <c r="O344" s="13">
        <v>404.9</v>
      </c>
      <c r="P344" s="13">
        <v>407.4</v>
      </c>
      <c r="Q344" s="11">
        <v>405.7</v>
      </c>
      <c r="R344" s="11">
        <v>528.79999999999995</v>
      </c>
      <c r="S344" s="14">
        <v>596.1</v>
      </c>
      <c r="T344" s="11">
        <v>409.46</v>
      </c>
      <c r="U344" s="13">
        <f>IF('0.0%'!$N344&lt;$Z$3,0, '0.0%'!$O344/'0.0%'!$N344)</f>
        <v>1.0999728334691659</v>
      </c>
      <c r="V344" s="13">
        <f>IF('0.0%'!$N344&lt;$Z$3,0, '0.0%'!$P344/'0.0%'!$N344)</f>
        <v>1.106764466177669</v>
      </c>
      <c r="W344" s="13">
        <f>IF('0.0%'!$N344&lt;$Z$3,0, '0.0%'!$Q344/'0.0%'!$N344)</f>
        <v>1.1021461559358869</v>
      </c>
      <c r="X344" s="13">
        <f>IF('0.0%'!$N344&lt;$Z$3,0, '0.0%'!$R344/'0.0%'!$N344)</f>
        <v>1.4365661505025806</v>
      </c>
      <c r="Y344" s="13">
        <f>IF('0.0%'!$N344&lt;$Z$3,0, '0.0%'!$S344/'0.0%'!$N344)</f>
        <v>1.6193969030154849</v>
      </c>
    </row>
    <row r="345" spans="1:25" x14ac:dyDescent="0.3">
      <c r="A345" s="17">
        <v>410.46</v>
      </c>
      <c r="B345" s="10">
        <v>393.1</v>
      </c>
      <c r="C345" s="9">
        <v>410.46</v>
      </c>
      <c r="D345" s="10">
        <v>430.6</v>
      </c>
      <c r="E345" s="11">
        <v>410.46</v>
      </c>
      <c r="F345" s="12">
        <v>432.8</v>
      </c>
      <c r="G345" s="11">
        <v>410.46</v>
      </c>
      <c r="H345" s="12">
        <v>430.1</v>
      </c>
      <c r="I345" s="11">
        <v>410.46</v>
      </c>
      <c r="J345" s="12">
        <v>549.20000000000005</v>
      </c>
      <c r="K345" s="11">
        <v>410.46</v>
      </c>
      <c r="L345" s="12">
        <v>617.5</v>
      </c>
      <c r="M345" s="11">
        <v>410.46</v>
      </c>
      <c r="N345" s="13">
        <v>393.1</v>
      </c>
      <c r="O345" s="13">
        <v>430.6</v>
      </c>
      <c r="P345" s="13">
        <v>432.8</v>
      </c>
      <c r="Q345" s="11">
        <v>430.1</v>
      </c>
      <c r="R345" s="11">
        <v>549.20000000000005</v>
      </c>
      <c r="S345" s="14">
        <v>617.5</v>
      </c>
      <c r="T345" s="11">
        <v>410.46</v>
      </c>
      <c r="U345" s="13">
        <f>IF('0.0%'!$N345&lt;$Z$3,0, '0.0%'!$O345/'0.0%'!$N345)</f>
        <v>1.0953955736453829</v>
      </c>
      <c r="V345" s="13">
        <f>IF('0.0%'!$N345&lt;$Z$3,0, '0.0%'!$P345/'0.0%'!$N345)</f>
        <v>1.100992113965912</v>
      </c>
      <c r="W345" s="13">
        <f>IF('0.0%'!$N345&lt;$Z$3,0, '0.0%'!$Q345/'0.0%'!$N345)</f>
        <v>1.0941236326634445</v>
      </c>
      <c r="X345" s="13">
        <f>IF('0.0%'!$N345&lt;$Z$3,0, '0.0%'!$R345/'0.0%'!$N345)</f>
        <v>1.3970999745611803</v>
      </c>
      <c r="Y345" s="13">
        <f>IF('0.0%'!$N345&lt;$Z$3,0, '0.0%'!$S345/'0.0%'!$N345)</f>
        <v>1.5708471126939709</v>
      </c>
    </row>
    <row r="346" spans="1:25" x14ac:dyDescent="0.3">
      <c r="A346" s="17">
        <v>411.45</v>
      </c>
      <c r="B346" s="10">
        <v>425.9</v>
      </c>
      <c r="C346" s="9">
        <v>411.45</v>
      </c>
      <c r="D346" s="10">
        <v>464.4</v>
      </c>
      <c r="E346" s="11">
        <v>411.45</v>
      </c>
      <c r="F346" s="12">
        <v>466.2</v>
      </c>
      <c r="G346" s="11">
        <v>411.45</v>
      </c>
      <c r="H346" s="12">
        <v>461.9</v>
      </c>
      <c r="I346" s="11">
        <v>411.45</v>
      </c>
      <c r="J346" s="12">
        <v>574.79999999999995</v>
      </c>
      <c r="K346" s="11">
        <v>411.45</v>
      </c>
      <c r="L346" s="12">
        <v>644</v>
      </c>
      <c r="M346" s="11">
        <v>411.45</v>
      </c>
      <c r="N346" s="13">
        <v>425.9</v>
      </c>
      <c r="O346" s="13">
        <v>464.4</v>
      </c>
      <c r="P346" s="13">
        <v>466.2</v>
      </c>
      <c r="Q346" s="11">
        <v>461.9</v>
      </c>
      <c r="R346" s="11">
        <v>574.79999999999995</v>
      </c>
      <c r="S346" s="14">
        <v>644</v>
      </c>
      <c r="T346" s="11">
        <v>411.45</v>
      </c>
      <c r="U346" s="13">
        <f>IF('0.0%'!$N346&lt;$Z$3,0, '0.0%'!$O346/'0.0%'!$N346)</f>
        <v>1.0903968067621508</v>
      </c>
      <c r="V346" s="13">
        <f>IF('0.0%'!$N346&lt;$Z$3,0, '0.0%'!$P346/'0.0%'!$N346)</f>
        <v>1.0946231509744071</v>
      </c>
      <c r="W346" s="13">
        <f>IF('0.0%'!$N346&lt;$Z$3,0, '0.0%'!$Q346/'0.0%'!$N346)</f>
        <v>1.0845268842451279</v>
      </c>
      <c r="X346" s="13">
        <f>IF('0.0%'!$N346&lt;$Z$3,0, '0.0%'!$R346/'0.0%'!$N346)</f>
        <v>1.3496125851138765</v>
      </c>
      <c r="Y346" s="13">
        <f>IF('0.0%'!$N346&lt;$Z$3,0, '0.0%'!$S346/'0.0%'!$N346)</f>
        <v>1.5120920403850671</v>
      </c>
    </row>
    <row r="347" spans="1:25" x14ac:dyDescent="0.3">
      <c r="A347" s="17">
        <v>412.44</v>
      </c>
      <c r="B347" s="10">
        <v>452.7</v>
      </c>
      <c r="C347" s="9">
        <v>412.44</v>
      </c>
      <c r="D347" s="10">
        <v>491.9</v>
      </c>
      <c r="E347" s="11">
        <v>412.44</v>
      </c>
      <c r="F347" s="12">
        <v>493.6</v>
      </c>
      <c r="G347" s="11">
        <v>412.44</v>
      </c>
      <c r="H347" s="12">
        <v>488.1</v>
      </c>
      <c r="I347" s="11">
        <v>412.44</v>
      </c>
      <c r="J347" s="12">
        <v>596.20000000000005</v>
      </c>
      <c r="K347" s="11">
        <v>412.44</v>
      </c>
      <c r="L347" s="12">
        <v>666.5</v>
      </c>
      <c r="M347" s="11">
        <v>412.44</v>
      </c>
      <c r="N347" s="13">
        <v>452.7</v>
      </c>
      <c r="O347" s="13">
        <v>491.9</v>
      </c>
      <c r="P347" s="13">
        <v>493.6</v>
      </c>
      <c r="Q347" s="11">
        <v>488.1</v>
      </c>
      <c r="R347" s="11">
        <v>596.20000000000005</v>
      </c>
      <c r="S347" s="14">
        <v>666.5</v>
      </c>
      <c r="T347" s="11">
        <v>412.44</v>
      </c>
      <c r="U347" s="13">
        <f>IF('0.0%'!$N347&lt;$Z$3,0, '0.0%'!$O347/'0.0%'!$N347)</f>
        <v>1.0865915617406672</v>
      </c>
      <c r="V347" s="13">
        <f>IF('0.0%'!$N347&lt;$Z$3,0, '0.0%'!$P347/'0.0%'!$N347)</f>
        <v>1.0903468080406451</v>
      </c>
      <c r="W347" s="13">
        <f>IF('0.0%'!$N347&lt;$Z$3,0, '0.0%'!$Q347/'0.0%'!$N347)</f>
        <v>1.0781974817760107</v>
      </c>
      <c r="X347" s="13">
        <f>IF('0.0%'!$N347&lt;$Z$3,0, '0.0%'!$R347/'0.0%'!$N347)</f>
        <v>1.3169869670863708</v>
      </c>
      <c r="Y347" s="13">
        <f>IF('0.0%'!$N347&lt;$Z$3,0, '0.0%'!$S347/'0.0%'!$N347)</f>
        <v>1.4722774464325161</v>
      </c>
    </row>
    <row r="348" spans="1:25" x14ac:dyDescent="0.3">
      <c r="A348" s="17">
        <v>413.43</v>
      </c>
      <c r="B348" s="10">
        <v>485</v>
      </c>
      <c r="C348" s="9">
        <v>413.43</v>
      </c>
      <c r="D348" s="10">
        <v>524.9</v>
      </c>
      <c r="E348" s="11">
        <v>413.43</v>
      </c>
      <c r="F348" s="12">
        <v>526.4</v>
      </c>
      <c r="G348" s="11">
        <v>413.43</v>
      </c>
      <c r="H348" s="12">
        <v>519.6</v>
      </c>
      <c r="I348" s="11">
        <v>413.43</v>
      </c>
      <c r="J348" s="12">
        <v>621.70000000000005</v>
      </c>
      <c r="K348" s="11">
        <v>413.43</v>
      </c>
      <c r="L348" s="12">
        <v>693.3</v>
      </c>
      <c r="M348" s="11">
        <v>413.43</v>
      </c>
      <c r="N348" s="13">
        <v>485</v>
      </c>
      <c r="O348" s="13">
        <v>524.9</v>
      </c>
      <c r="P348" s="13">
        <v>526.4</v>
      </c>
      <c r="Q348" s="11">
        <v>519.6</v>
      </c>
      <c r="R348" s="11">
        <v>621.70000000000005</v>
      </c>
      <c r="S348" s="14">
        <v>693.3</v>
      </c>
      <c r="T348" s="11">
        <v>413.43</v>
      </c>
      <c r="U348" s="13">
        <f>IF('0.0%'!$N348&lt;$Z$3,0, '0.0%'!$O348/'0.0%'!$N348)</f>
        <v>1.0822680412371133</v>
      </c>
      <c r="V348" s="13">
        <f>IF('0.0%'!$N348&lt;$Z$3,0, '0.0%'!$P348/'0.0%'!$N348)</f>
        <v>1.0853608247422679</v>
      </c>
      <c r="W348" s="13">
        <f>IF('0.0%'!$N348&lt;$Z$3,0, '0.0%'!$Q348/'0.0%'!$N348)</f>
        <v>1.071340206185567</v>
      </c>
      <c r="X348" s="13">
        <f>IF('0.0%'!$N348&lt;$Z$3,0, '0.0%'!$R348/'0.0%'!$N348)</f>
        <v>1.281855670103093</v>
      </c>
      <c r="Y348" s="13">
        <f>IF('0.0%'!$N348&lt;$Z$3,0, '0.0%'!$S348/'0.0%'!$N348)</f>
        <v>1.4294845360824742</v>
      </c>
    </row>
    <row r="349" spans="1:25" x14ac:dyDescent="0.3">
      <c r="A349" s="17">
        <v>414.42</v>
      </c>
      <c r="B349" s="10">
        <v>515.20000000000005</v>
      </c>
      <c r="C349" s="9">
        <v>414.42</v>
      </c>
      <c r="D349" s="10">
        <v>555.20000000000005</v>
      </c>
      <c r="E349" s="11">
        <v>414.42</v>
      </c>
      <c r="F349" s="12">
        <v>556.29999999999995</v>
      </c>
      <c r="G349" s="11">
        <v>414.42</v>
      </c>
      <c r="H349" s="12">
        <v>549</v>
      </c>
      <c r="I349" s="11">
        <v>414.42</v>
      </c>
      <c r="J349" s="12">
        <v>644.20000000000005</v>
      </c>
      <c r="K349" s="11">
        <v>414.42</v>
      </c>
      <c r="L349" s="12">
        <v>717.1</v>
      </c>
      <c r="M349" s="11">
        <v>414.42</v>
      </c>
      <c r="N349" s="13">
        <v>515.20000000000005</v>
      </c>
      <c r="O349" s="13">
        <v>555.20000000000005</v>
      </c>
      <c r="P349" s="13">
        <v>556.29999999999995</v>
      </c>
      <c r="Q349" s="11">
        <v>549</v>
      </c>
      <c r="R349" s="11">
        <v>644.20000000000005</v>
      </c>
      <c r="S349" s="14">
        <v>717.1</v>
      </c>
      <c r="T349" s="11">
        <v>414.42</v>
      </c>
      <c r="U349" s="13">
        <f>IF('0.0%'!$N349&lt;$Z$3,0, '0.0%'!$O349/'0.0%'!$N349)</f>
        <v>1.0776397515527951</v>
      </c>
      <c r="V349" s="13">
        <f>IF('0.0%'!$N349&lt;$Z$3,0, '0.0%'!$P349/'0.0%'!$N349)</f>
        <v>1.0797748447204967</v>
      </c>
      <c r="W349" s="13">
        <f>IF('0.0%'!$N349&lt;$Z$3,0, '0.0%'!$Q349/'0.0%'!$N349)</f>
        <v>1.0656055900621118</v>
      </c>
      <c r="X349" s="13">
        <f>IF('0.0%'!$N349&lt;$Z$3,0, '0.0%'!$R349/'0.0%'!$N349)</f>
        <v>1.2503881987577639</v>
      </c>
      <c r="Y349" s="13">
        <f>IF('0.0%'!$N349&lt;$Z$3,0, '0.0%'!$S349/'0.0%'!$N349)</f>
        <v>1.3918866459627328</v>
      </c>
    </row>
    <row r="350" spans="1:25" x14ac:dyDescent="0.3">
      <c r="A350" s="17">
        <v>415.41</v>
      </c>
      <c r="B350" s="10">
        <v>540.4</v>
      </c>
      <c r="C350" s="9">
        <v>415.41</v>
      </c>
      <c r="D350" s="10">
        <v>580.79999999999995</v>
      </c>
      <c r="E350" s="11">
        <v>415.41</v>
      </c>
      <c r="F350" s="12">
        <v>581.70000000000005</v>
      </c>
      <c r="G350" s="11">
        <v>415.41</v>
      </c>
      <c r="H350" s="12">
        <v>573.5</v>
      </c>
      <c r="I350" s="11">
        <v>415.41</v>
      </c>
      <c r="J350" s="12">
        <v>663.6</v>
      </c>
      <c r="K350" s="11">
        <v>415.41</v>
      </c>
      <c r="L350" s="12">
        <v>737.3</v>
      </c>
      <c r="M350" s="11">
        <v>415.41</v>
      </c>
      <c r="N350" s="13">
        <v>540.4</v>
      </c>
      <c r="O350" s="13">
        <v>580.79999999999995</v>
      </c>
      <c r="P350" s="13">
        <v>581.70000000000005</v>
      </c>
      <c r="Q350" s="11">
        <v>573.5</v>
      </c>
      <c r="R350" s="11">
        <v>663.6</v>
      </c>
      <c r="S350" s="14">
        <v>737.3</v>
      </c>
      <c r="T350" s="11">
        <v>415.41</v>
      </c>
      <c r="U350" s="13">
        <f>IF('0.0%'!$N350&lt;$Z$3,0, '0.0%'!$O350/'0.0%'!$N350)</f>
        <v>1.0747594374537379</v>
      </c>
      <c r="V350" s="13">
        <f>IF('0.0%'!$N350&lt;$Z$3,0, '0.0%'!$P350/'0.0%'!$N350)</f>
        <v>1.0764248704663213</v>
      </c>
      <c r="W350" s="13">
        <f>IF('0.0%'!$N350&lt;$Z$3,0, '0.0%'!$Q350/'0.0%'!$N350)</f>
        <v>1.0612509252405626</v>
      </c>
      <c r="X350" s="13">
        <f>IF('0.0%'!$N350&lt;$Z$3,0, '0.0%'!$R350/'0.0%'!$N350)</f>
        <v>1.2279792746113991</v>
      </c>
      <c r="Y350" s="13">
        <f>IF('0.0%'!$N350&lt;$Z$3,0, '0.0%'!$S350/'0.0%'!$N350)</f>
        <v>1.364359733530718</v>
      </c>
    </row>
    <row r="351" spans="1:25" x14ac:dyDescent="0.3">
      <c r="A351" s="17">
        <v>416.41</v>
      </c>
      <c r="B351" s="10">
        <v>567</v>
      </c>
      <c r="C351" s="9">
        <v>416.41</v>
      </c>
      <c r="D351" s="10">
        <v>607.20000000000005</v>
      </c>
      <c r="E351" s="11">
        <v>416.41</v>
      </c>
      <c r="F351" s="12">
        <v>608.20000000000005</v>
      </c>
      <c r="G351" s="11">
        <v>416.41</v>
      </c>
      <c r="H351" s="12">
        <v>599.20000000000005</v>
      </c>
      <c r="I351" s="11">
        <v>416.41</v>
      </c>
      <c r="J351" s="12">
        <v>683.8</v>
      </c>
      <c r="K351" s="11">
        <v>416.41</v>
      </c>
      <c r="L351" s="12">
        <v>758.1</v>
      </c>
      <c r="M351" s="11">
        <v>416.41</v>
      </c>
      <c r="N351" s="13">
        <v>567</v>
      </c>
      <c r="O351" s="13">
        <v>607.20000000000005</v>
      </c>
      <c r="P351" s="13">
        <v>608.20000000000005</v>
      </c>
      <c r="Q351" s="11">
        <v>599.20000000000005</v>
      </c>
      <c r="R351" s="11">
        <v>683.8</v>
      </c>
      <c r="S351" s="14">
        <v>758.1</v>
      </c>
      <c r="T351" s="11">
        <v>416.41</v>
      </c>
      <c r="U351" s="13">
        <f>IF('0.0%'!$N351&lt;$Z$3,0, '0.0%'!$O351/'0.0%'!$N351)</f>
        <v>1.070899470899471</v>
      </c>
      <c r="V351" s="13">
        <f>IF('0.0%'!$N351&lt;$Z$3,0, '0.0%'!$P351/'0.0%'!$N351)</f>
        <v>1.0726631393298061</v>
      </c>
      <c r="W351" s="13">
        <f>IF('0.0%'!$N351&lt;$Z$3,0, '0.0%'!$Q351/'0.0%'!$N351)</f>
        <v>1.0567901234567902</v>
      </c>
      <c r="X351" s="13">
        <f>IF('0.0%'!$N351&lt;$Z$3,0, '0.0%'!$R351/'0.0%'!$N351)</f>
        <v>1.2059964726631391</v>
      </c>
      <c r="Y351" s="13">
        <f>IF('0.0%'!$N351&lt;$Z$3,0, '0.0%'!$S351/'0.0%'!$N351)</f>
        <v>1.337037037037037</v>
      </c>
    </row>
    <row r="352" spans="1:25" x14ac:dyDescent="0.3">
      <c r="A352" s="17">
        <v>417.4</v>
      </c>
      <c r="B352" s="10">
        <v>590.20000000000005</v>
      </c>
      <c r="C352" s="9">
        <v>417.4</v>
      </c>
      <c r="D352" s="10">
        <v>630.29999999999995</v>
      </c>
      <c r="E352" s="11">
        <v>417.4</v>
      </c>
      <c r="F352" s="12">
        <v>631.79999999999995</v>
      </c>
      <c r="G352" s="11">
        <v>417.4</v>
      </c>
      <c r="H352" s="12">
        <v>621.9</v>
      </c>
      <c r="I352" s="11">
        <v>417.4</v>
      </c>
      <c r="J352" s="12">
        <v>701.9</v>
      </c>
      <c r="K352" s="11">
        <v>417.4</v>
      </c>
      <c r="L352" s="12">
        <v>776.6</v>
      </c>
      <c r="M352" s="11">
        <v>417.4</v>
      </c>
      <c r="N352" s="13">
        <v>590.20000000000005</v>
      </c>
      <c r="O352" s="13">
        <v>630.29999999999995</v>
      </c>
      <c r="P352" s="13">
        <v>631.79999999999995</v>
      </c>
      <c r="Q352" s="11">
        <v>621.9</v>
      </c>
      <c r="R352" s="11">
        <v>701.9</v>
      </c>
      <c r="S352" s="14">
        <v>776.6</v>
      </c>
      <c r="T352" s="11">
        <v>417.4</v>
      </c>
      <c r="U352" s="13">
        <f>IF('0.0%'!$N352&lt;$Z$3,0, '0.0%'!$O352/'0.0%'!$N352)</f>
        <v>1.0679430701457131</v>
      </c>
      <c r="V352" s="13">
        <f>IF('0.0%'!$N352&lt;$Z$3,0, '0.0%'!$P352/'0.0%'!$N352)</f>
        <v>1.0704845814977972</v>
      </c>
      <c r="W352" s="13">
        <f>IF('0.0%'!$N352&lt;$Z$3,0, '0.0%'!$Q352/'0.0%'!$N352)</f>
        <v>1.0537106065740425</v>
      </c>
      <c r="X352" s="13">
        <f>IF('0.0%'!$N352&lt;$Z$3,0, '0.0%'!$R352/'0.0%'!$N352)</f>
        <v>1.1892578786851913</v>
      </c>
      <c r="Y352" s="13">
        <f>IF('0.0%'!$N352&lt;$Z$3,0, '0.0%'!$S352/'0.0%'!$N352)</f>
        <v>1.3158251440189765</v>
      </c>
    </row>
    <row r="353" spans="1:25" x14ac:dyDescent="0.3">
      <c r="A353" s="17">
        <v>418.39</v>
      </c>
      <c r="B353" s="10">
        <v>614.70000000000005</v>
      </c>
      <c r="C353" s="9">
        <v>418.39</v>
      </c>
      <c r="D353" s="10">
        <v>654.9</v>
      </c>
      <c r="E353" s="11">
        <v>418.39</v>
      </c>
      <c r="F353" s="12">
        <v>657.1</v>
      </c>
      <c r="G353" s="11">
        <v>418.39</v>
      </c>
      <c r="H353" s="12">
        <v>645.9</v>
      </c>
      <c r="I353" s="11">
        <v>418.39</v>
      </c>
      <c r="J353" s="12">
        <v>721</v>
      </c>
      <c r="K353" s="11">
        <v>418.39</v>
      </c>
      <c r="L353" s="12">
        <v>795.6</v>
      </c>
      <c r="M353" s="11">
        <v>418.39</v>
      </c>
      <c r="N353" s="13">
        <v>614.70000000000005</v>
      </c>
      <c r="O353" s="13">
        <v>654.9</v>
      </c>
      <c r="P353" s="13">
        <v>657.1</v>
      </c>
      <c r="Q353" s="11">
        <v>645.9</v>
      </c>
      <c r="R353" s="11">
        <v>721</v>
      </c>
      <c r="S353" s="14">
        <v>795.6</v>
      </c>
      <c r="T353" s="11">
        <v>418.39</v>
      </c>
      <c r="U353" s="13">
        <f>IF('0.0%'!$N353&lt;$Z$3,0, '0.0%'!$O353/'0.0%'!$N353)</f>
        <v>1.0653977550024401</v>
      </c>
      <c r="V353" s="13">
        <f>IF('0.0%'!$N353&lt;$Z$3,0, '0.0%'!$P353/'0.0%'!$N353)</f>
        <v>1.0689767366194891</v>
      </c>
      <c r="W353" s="13">
        <f>IF('0.0%'!$N353&lt;$Z$3,0, '0.0%'!$Q353/'0.0%'!$N353)</f>
        <v>1.0507564665690579</v>
      </c>
      <c r="X353" s="13">
        <f>IF('0.0%'!$N353&lt;$Z$3,0, '0.0%'!$R353/'0.0%'!$N353)</f>
        <v>1.1729298844965024</v>
      </c>
      <c r="Y353" s="13">
        <f>IF('0.0%'!$N353&lt;$Z$3,0, '0.0%'!$S353/'0.0%'!$N353)</f>
        <v>1.2942898975109809</v>
      </c>
    </row>
    <row r="354" spans="1:25" x14ac:dyDescent="0.3">
      <c r="A354" s="17">
        <v>419.38</v>
      </c>
      <c r="B354" s="10">
        <v>636</v>
      </c>
      <c r="C354" s="9">
        <v>419.38</v>
      </c>
      <c r="D354" s="10">
        <v>676.3</v>
      </c>
      <c r="E354" s="11">
        <v>419.38</v>
      </c>
      <c r="F354" s="12">
        <v>679.2</v>
      </c>
      <c r="G354" s="11">
        <v>419.38</v>
      </c>
      <c r="H354" s="12">
        <v>666.7</v>
      </c>
      <c r="I354" s="11">
        <v>419.38</v>
      </c>
      <c r="J354" s="12">
        <v>738.3</v>
      </c>
      <c r="K354" s="11">
        <v>419.38</v>
      </c>
      <c r="L354" s="12">
        <v>812.5</v>
      </c>
      <c r="M354" s="11">
        <v>419.38</v>
      </c>
      <c r="N354" s="13">
        <v>636</v>
      </c>
      <c r="O354" s="13">
        <v>676.3</v>
      </c>
      <c r="P354" s="13">
        <v>679.2</v>
      </c>
      <c r="Q354" s="11">
        <v>666.7</v>
      </c>
      <c r="R354" s="11">
        <v>738.3</v>
      </c>
      <c r="S354" s="14">
        <v>812.5</v>
      </c>
      <c r="T354" s="11">
        <v>419.38</v>
      </c>
      <c r="U354" s="13">
        <f>IF('0.0%'!$N354&lt;$Z$3,0, '0.0%'!$O354/'0.0%'!$N354)</f>
        <v>1.0633647798742139</v>
      </c>
      <c r="V354" s="13">
        <f>IF('0.0%'!$N354&lt;$Z$3,0, '0.0%'!$P354/'0.0%'!$N354)</f>
        <v>1.0679245283018868</v>
      </c>
      <c r="W354" s="13">
        <f>IF('0.0%'!$N354&lt;$Z$3,0, '0.0%'!$Q354/'0.0%'!$N354)</f>
        <v>1.0482704402515723</v>
      </c>
      <c r="X354" s="13">
        <f>IF('0.0%'!$N354&lt;$Z$3,0, '0.0%'!$R354/'0.0%'!$N354)</f>
        <v>1.1608490566037735</v>
      </c>
      <c r="Y354" s="13">
        <f>IF('0.0%'!$N354&lt;$Z$3,0, '0.0%'!$S354/'0.0%'!$N354)</f>
        <v>1.2775157232704402</v>
      </c>
    </row>
    <row r="355" spans="1:25" x14ac:dyDescent="0.3">
      <c r="A355" s="17">
        <v>420.37</v>
      </c>
      <c r="B355" s="10">
        <v>658.3</v>
      </c>
      <c r="C355" s="9">
        <v>420.37</v>
      </c>
      <c r="D355" s="10">
        <v>698.7</v>
      </c>
      <c r="E355" s="11">
        <v>420.37</v>
      </c>
      <c r="F355" s="12">
        <v>702.7</v>
      </c>
      <c r="G355" s="11">
        <v>420.37</v>
      </c>
      <c r="H355" s="12">
        <v>688.6</v>
      </c>
      <c r="I355" s="11">
        <v>420.37</v>
      </c>
      <c r="J355" s="12">
        <v>756.6</v>
      </c>
      <c r="K355" s="11">
        <v>420.37</v>
      </c>
      <c r="L355" s="12">
        <v>830.1</v>
      </c>
      <c r="M355" s="11">
        <v>420.37</v>
      </c>
      <c r="N355" s="13">
        <v>658.3</v>
      </c>
      <c r="O355" s="13">
        <v>698.7</v>
      </c>
      <c r="P355" s="13">
        <v>702.7</v>
      </c>
      <c r="Q355" s="11">
        <v>688.6</v>
      </c>
      <c r="R355" s="11">
        <v>756.6</v>
      </c>
      <c r="S355" s="14">
        <v>830.1</v>
      </c>
      <c r="T355" s="11">
        <v>420.37</v>
      </c>
      <c r="U355" s="13">
        <f>IF('0.0%'!$N355&lt;$Z$3,0, '0.0%'!$O355/'0.0%'!$N355)</f>
        <v>1.0613701959592892</v>
      </c>
      <c r="V355" s="13">
        <f>IF('0.0%'!$N355&lt;$Z$3,0, '0.0%'!$P355/'0.0%'!$N355)</f>
        <v>1.0674464529849614</v>
      </c>
      <c r="W355" s="13">
        <f>IF('0.0%'!$N355&lt;$Z$3,0, '0.0%'!$Q355/'0.0%'!$N355)</f>
        <v>1.0460276469694669</v>
      </c>
      <c r="X355" s="13">
        <f>IF('0.0%'!$N355&lt;$Z$3,0, '0.0%'!$R355/'0.0%'!$N355)</f>
        <v>1.149324016405894</v>
      </c>
      <c r="Y355" s="13">
        <f>IF('0.0%'!$N355&lt;$Z$3,0, '0.0%'!$S355/'0.0%'!$N355)</f>
        <v>1.2609752392526206</v>
      </c>
    </row>
    <row r="356" spans="1:25" x14ac:dyDescent="0.3">
      <c r="A356" s="17">
        <v>421.37</v>
      </c>
      <c r="B356" s="10">
        <v>678.1</v>
      </c>
      <c r="C356" s="9">
        <v>421.37</v>
      </c>
      <c r="D356" s="10">
        <v>718.6</v>
      </c>
      <c r="E356" s="11">
        <v>421.37</v>
      </c>
      <c r="F356" s="12">
        <v>723.8</v>
      </c>
      <c r="G356" s="11">
        <v>421.37</v>
      </c>
      <c r="H356" s="12">
        <v>708.2</v>
      </c>
      <c r="I356" s="11">
        <v>421.37</v>
      </c>
      <c r="J356" s="12">
        <v>773.8</v>
      </c>
      <c r="K356" s="11">
        <v>421.37</v>
      </c>
      <c r="L356" s="12">
        <v>846.6</v>
      </c>
      <c r="M356" s="11">
        <v>421.37</v>
      </c>
      <c r="N356" s="13">
        <v>678.1</v>
      </c>
      <c r="O356" s="13">
        <v>718.6</v>
      </c>
      <c r="P356" s="13">
        <v>723.8</v>
      </c>
      <c r="Q356" s="11">
        <v>708.2</v>
      </c>
      <c r="R356" s="11">
        <v>773.8</v>
      </c>
      <c r="S356" s="14">
        <v>846.6</v>
      </c>
      <c r="T356" s="11">
        <v>421.37</v>
      </c>
      <c r="U356" s="13">
        <f>IF('0.0%'!$N356&lt;$Z$3,0, '0.0%'!$O356/'0.0%'!$N356)</f>
        <v>1.0597257041734258</v>
      </c>
      <c r="V356" s="13">
        <f>IF('0.0%'!$N356&lt;$Z$3,0, '0.0%'!$P356/'0.0%'!$N356)</f>
        <v>1.0673941896475445</v>
      </c>
      <c r="W356" s="13">
        <f>IF('0.0%'!$N356&lt;$Z$3,0, '0.0%'!$Q356/'0.0%'!$N356)</f>
        <v>1.044388733225188</v>
      </c>
      <c r="X356" s="13">
        <f>IF('0.0%'!$N356&lt;$Z$3,0, '0.0%'!$R356/'0.0%'!$N356)</f>
        <v>1.1411296268986875</v>
      </c>
      <c r="Y356" s="13">
        <f>IF('0.0%'!$N356&lt;$Z$3,0, '0.0%'!$S356/'0.0%'!$N356)</f>
        <v>1.2484884235363516</v>
      </c>
    </row>
    <row r="357" spans="1:25" x14ac:dyDescent="0.3">
      <c r="A357" s="17">
        <v>422.36</v>
      </c>
      <c r="B357" s="10">
        <v>699.2</v>
      </c>
      <c r="C357" s="9">
        <v>422.36</v>
      </c>
      <c r="D357" s="10">
        <v>739.9</v>
      </c>
      <c r="E357" s="11">
        <v>422.36</v>
      </c>
      <c r="F357" s="12">
        <v>746.4</v>
      </c>
      <c r="G357" s="11">
        <v>422.36</v>
      </c>
      <c r="H357" s="12">
        <v>729.2</v>
      </c>
      <c r="I357" s="11">
        <v>422.36</v>
      </c>
      <c r="J357" s="12">
        <v>791.7</v>
      </c>
      <c r="K357" s="11">
        <v>422.36</v>
      </c>
      <c r="L357" s="12">
        <v>863.9</v>
      </c>
      <c r="M357" s="11">
        <v>422.36</v>
      </c>
      <c r="N357" s="13">
        <v>699.2</v>
      </c>
      <c r="O357" s="13">
        <v>739.9</v>
      </c>
      <c r="P357" s="13">
        <v>746.4</v>
      </c>
      <c r="Q357" s="11">
        <v>729.2</v>
      </c>
      <c r="R357" s="11">
        <v>791.7</v>
      </c>
      <c r="S357" s="14">
        <v>863.9</v>
      </c>
      <c r="T357" s="11">
        <v>422.36</v>
      </c>
      <c r="U357" s="13">
        <f>IF('0.0%'!$N357&lt;$Z$3,0, '0.0%'!$O357/'0.0%'!$N357)</f>
        <v>1.0582093821510297</v>
      </c>
      <c r="V357" s="13">
        <f>IF('0.0%'!$N357&lt;$Z$3,0, '0.0%'!$P357/'0.0%'!$N357)</f>
        <v>1.0675057208237986</v>
      </c>
      <c r="W357" s="13">
        <f>IF('0.0%'!$N357&lt;$Z$3,0, '0.0%'!$Q357/'0.0%'!$N357)</f>
        <v>1.0429061784897025</v>
      </c>
      <c r="X357" s="13">
        <f>IF('0.0%'!$N357&lt;$Z$3,0, '0.0%'!$R357/'0.0%'!$N357)</f>
        <v>1.1322940503432495</v>
      </c>
      <c r="Y357" s="13">
        <f>IF('0.0%'!$N357&lt;$Z$3,0, '0.0%'!$S357/'0.0%'!$N357)</f>
        <v>1.2355549199084668</v>
      </c>
    </row>
    <row r="358" spans="1:25" x14ac:dyDescent="0.3">
      <c r="A358" s="17">
        <v>423.35</v>
      </c>
      <c r="B358" s="10">
        <v>717.6</v>
      </c>
      <c r="C358" s="9">
        <v>423.35</v>
      </c>
      <c r="D358" s="10">
        <v>758.5</v>
      </c>
      <c r="E358" s="11">
        <v>423.35</v>
      </c>
      <c r="F358" s="12">
        <v>766.9</v>
      </c>
      <c r="G358" s="11">
        <v>423.35</v>
      </c>
      <c r="H358" s="12">
        <v>747.7</v>
      </c>
      <c r="I358" s="11">
        <v>423.35</v>
      </c>
      <c r="J358" s="12">
        <v>809.6</v>
      </c>
      <c r="K358" s="11">
        <v>423.35</v>
      </c>
      <c r="L358" s="12">
        <v>881</v>
      </c>
      <c r="M358" s="11">
        <v>423.35</v>
      </c>
      <c r="N358" s="13">
        <v>717.6</v>
      </c>
      <c r="O358" s="13">
        <v>758.5</v>
      </c>
      <c r="P358" s="13">
        <v>766.9</v>
      </c>
      <c r="Q358" s="11">
        <v>747.7</v>
      </c>
      <c r="R358" s="11">
        <v>809.6</v>
      </c>
      <c r="S358" s="14">
        <v>881</v>
      </c>
      <c r="T358" s="11">
        <v>423.35</v>
      </c>
      <c r="U358" s="13">
        <f>IF('0.0%'!$N358&lt;$Z$3,0, '0.0%'!$O358/'0.0%'!$N358)</f>
        <v>1.0569955406911928</v>
      </c>
      <c r="V358" s="13">
        <f>IF('0.0%'!$N358&lt;$Z$3,0, '0.0%'!$P358/'0.0%'!$N358)</f>
        <v>1.0687012263099218</v>
      </c>
      <c r="W358" s="13">
        <f>IF('0.0%'!$N358&lt;$Z$3,0, '0.0%'!$Q358/'0.0%'!$N358)</f>
        <v>1.0419453734671127</v>
      </c>
      <c r="X358" s="13">
        <f>IF('0.0%'!$N358&lt;$Z$3,0, '0.0%'!$R358/'0.0%'!$N358)</f>
        <v>1.1282051282051282</v>
      </c>
      <c r="Y358" s="13">
        <f>IF('0.0%'!$N358&lt;$Z$3,0, '0.0%'!$S358/'0.0%'!$N358)</f>
        <v>1.2277034559643254</v>
      </c>
    </row>
    <row r="359" spans="1:25" x14ac:dyDescent="0.3">
      <c r="A359" s="17">
        <v>424.34</v>
      </c>
      <c r="B359" s="10">
        <v>737.4</v>
      </c>
      <c r="C359" s="9">
        <v>424.34</v>
      </c>
      <c r="D359" s="10">
        <v>778.2</v>
      </c>
      <c r="E359" s="11">
        <v>424.34</v>
      </c>
      <c r="F359" s="12">
        <v>788.5</v>
      </c>
      <c r="G359" s="11">
        <v>424.34</v>
      </c>
      <c r="H359" s="12">
        <v>767.5</v>
      </c>
      <c r="I359" s="11">
        <v>424.34</v>
      </c>
      <c r="J359" s="12">
        <v>828.7</v>
      </c>
      <c r="K359" s="11">
        <v>424.34</v>
      </c>
      <c r="L359" s="12">
        <v>899.3</v>
      </c>
      <c r="M359" s="11">
        <v>424.34</v>
      </c>
      <c r="N359" s="13">
        <v>737.4</v>
      </c>
      <c r="O359" s="13">
        <v>778.2</v>
      </c>
      <c r="P359" s="13">
        <v>788.5</v>
      </c>
      <c r="Q359" s="11">
        <v>767.5</v>
      </c>
      <c r="R359" s="11">
        <v>828.7</v>
      </c>
      <c r="S359" s="14">
        <v>899.3</v>
      </c>
      <c r="T359" s="11">
        <v>424.34</v>
      </c>
      <c r="U359" s="13">
        <f>IF('0.0%'!$N359&lt;$Z$3,0, '0.0%'!$O359/'0.0%'!$N359)</f>
        <v>1.0553295362082995</v>
      </c>
      <c r="V359" s="13">
        <f>IF('0.0%'!$N359&lt;$Z$3,0, '0.0%'!$P359/'0.0%'!$N359)</f>
        <v>1.0692975318687279</v>
      </c>
      <c r="W359" s="13">
        <f>IF('0.0%'!$N359&lt;$Z$3,0, '0.0%'!$Q359/'0.0%'!$N359)</f>
        <v>1.0408190941144562</v>
      </c>
      <c r="X359" s="13">
        <f>IF('0.0%'!$N359&lt;$Z$3,0, '0.0%'!$R359/'0.0%'!$N359)</f>
        <v>1.1238133984269054</v>
      </c>
      <c r="Y359" s="13">
        <f>IF('0.0%'!$N359&lt;$Z$3,0, '0.0%'!$S359/'0.0%'!$N359)</f>
        <v>1.2195551939245999</v>
      </c>
    </row>
    <row r="360" spans="1:25" x14ac:dyDescent="0.3">
      <c r="A360" s="17">
        <v>425.33</v>
      </c>
      <c r="B360" s="10">
        <v>755.3</v>
      </c>
      <c r="C360" s="9">
        <v>425.33</v>
      </c>
      <c r="D360" s="10">
        <v>796</v>
      </c>
      <c r="E360" s="11">
        <v>425.33</v>
      </c>
      <c r="F360" s="12">
        <v>809</v>
      </c>
      <c r="G360" s="11">
        <v>425.33</v>
      </c>
      <c r="H360" s="12">
        <v>785.6</v>
      </c>
      <c r="I360" s="11">
        <v>425.33</v>
      </c>
      <c r="J360" s="12">
        <v>847.7</v>
      </c>
      <c r="K360" s="11">
        <v>425.33</v>
      </c>
      <c r="L360" s="12">
        <v>917.8</v>
      </c>
      <c r="M360" s="11">
        <v>425.33</v>
      </c>
      <c r="N360" s="13">
        <v>755.3</v>
      </c>
      <c r="O360" s="13">
        <v>796</v>
      </c>
      <c r="P360" s="13">
        <v>809</v>
      </c>
      <c r="Q360" s="11">
        <v>785.6</v>
      </c>
      <c r="R360" s="11">
        <v>847.7</v>
      </c>
      <c r="S360" s="14">
        <v>917.8</v>
      </c>
      <c r="T360" s="11">
        <v>425.33</v>
      </c>
      <c r="U360" s="13">
        <f>IF('0.0%'!$N360&lt;$Z$3,0, '0.0%'!$O360/'0.0%'!$N360)</f>
        <v>1.0538858731629817</v>
      </c>
      <c r="V360" s="13">
        <f>IF('0.0%'!$N360&lt;$Z$3,0, '0.0%'!$P360/'0.0%'!$N360)</f>
        <v>1.0710975771216735</v>
      </c>
      <c r="W360" s="13">
        <f>IF('0.0%'!$N360&lt;$Z$3,0, '0.0%'!$Q360/'0.0%'!$N360)</f>
        <v>1.0401165099960281</v>
      </c>
      <c r="X360" s="13">
        <f>IF('0.0%'!$N360&lt;$Z$3,0, '0.0%'!$R360/'0.0%'!$N360)</f>
        <v>1.1223354958294718</v>
      </c>
      <c r="Y360" s="13">
        <f>IF('0.0%'!$N360&lt;$Z$3,0, '0.0%'!$S360/'0.0%'!$N360)</f>
        <v>1.2151462994836488</v>
      </c>
    </row>
    <row r="361" spans="1:25" x14ac:dyDescent="0.3">
      <c r="A361" s="17">
        <v>426.32</v>
      </c>
      <c r="B361" s="10">
        <v>774.8</v>
      </c>
      <c r="C361" s="9">
        <v>426.32</v>
      </c>
      <c r="D361" s="10">
        <v>814.5</v>
      </c>
      <c r="E361" s="11">
        <v>426.32</v>
      </c>
      <c r="F361" s="12">
        <v>831.1</v>
      </c>
      <c r="G361" s="11">
        <v>426.32</v>
      </c>
      <c r="H361" s="12">
        <v>805.4</v>
      </c>
      <c r="I361" s="11">
        <v>426.32</v>
      </c>
      <c r="J361" s="12">
        <v>868.5</v>
      </c>
      <c r="K361" s="11">
        <v>426.32</v>
      </c>
      <c r="L361" s="12">
        <v>937.8</v>
      </c>
      <c r="M361" s="11">
        <v>426.32</v>
      </c>
      <c r="N361" s="13">
        <v>774.8</v>
      </c>
      <c r="O361" s="13">
        <v>814.5</v>
      </c>
      <c r="P361" s="13">
        <v>831.1</v>
      </c>
      <c r="Q361" s="11">
        <v>805.4</v>
      </c>
      <c r="R361" s="11">
        <v>868.5</v>
      </c>
      <c r="S361" s="14">
        <v>937.8</v>
      </c>
      <c r="T361" s="11">
        <v>426.32</v>
      </c>
      <c r="U361" s="13">
        <f>IF('0.0%'!$N361&lt;$Z$3,0, '0.0%'!$O361/'0.0%'!$N361)</f>
        <v>1.0512390294269489</v>
      </c>
      <c r="V361" s="13">
        <f>IF('0.0%'!$N361&lt;$Z$3,0, '0.0%'!$P361/'0.0%'!$N361)</f>
        <v>1.0726639132679403</v>
      </c>
      <c r="W361" s="13">
        <f>IF('0.0%'!$N361&lt;$Z$3,0, '0.0%'!$Q361/'0.0%'!$N361)</f>
        <v>1.0394940629839959</v>
      </c>
      <c r="X361" s="13">
        <f>IF('0.0%'!$N361&lt;$Z$3,0, '0.0%'!$R361/'0.0%'!$N361)</f>
        <v>1.1209344346928241</v>
      </c>
      <c r="Y361" s="13">
        <f>IF('0.0%'!$N361&lt;$Z$3,0, '0.0%'!$S361/'0.0%'!$N361)</f>
        <v>1.2103768714506971</v>
      </c>
    </row>
    <row r="362" spans="1:25" x14ac:dyDescent="0.3">
      <c r="A362" s="17">
        <v>427.32</v>
      </c>
      <c r="B362" s="10">
        <v>792.2</v>
      </c>
      <c r="C362" s="9">
        <v>427.32</v>
      </c>
      <c r="D362" s="10">
        <v>831.6</v>
      </c>
      <c r="E362" s="11">
        <v>427.32</v>
      </c>
      <c r="F362" s="12">
        <v>851.5</v>
      </c>
      <c r="G362" s="11">
        <v>427.32</v>
      </c>
      <c r="H362" s="12">
        <v>823.3</v>
      </c>
      <c r="I362" s="11">
        <v>427.32</v>
      </c>
      <c r="J362" s="12">
        <v>888</v>
      </c>
      <c r="K362" s="11">
        <v>427.32</v>
      </c>
      <c r="L362" s="12">
        <v>956.9</v>
      </c>
      <c r="M362" s="11">
        <v>427.32</v>
      </c>
      <c r="N362" s="13">
        <v>792.2</v>
      </c>
      <c r="O362" s="13">
        <v>831.6</v>
      </c>
      <c r="P362" s="13">
        <v>851.5</v>
      </c>
      <c r="Q362" s="11">
        <v>823.3</v>
      </c>
      <c r="R362" s="11">
        <v>888</v>
      </c>
      <c r="S362" s="14">
        <v>956.9</v>
      </c>
      <c r="T362" s="11">
        <v>427.32</v>
      </c>
      <c r="U362" s="13">
        <f>IF('0.0%'!$N362&lt;$Z$3,0, '0.0%'!$O362/'0.0%'!$N362)</f>
        <v>1.0497349154253977</v>
      </c>
      <c r="V362" s="13">
        <f>IF('0.0%'!$N362&lt;$Z$3,0, '0.0%'!$P362/'0.0%'!$N362)</f>
        <v>1.0748548346377176</v>
      </c>
      <c r="W362" s="13">
        <f>IF('0.0%'!$N362&lt;$Z$3,0, '0.0%'!$Q362/'0.0%'!$N362)</f>
        <v>1.0392577631911133</v>
      </c>
      <c r="X362" s="13">
        <f>IF('0.0%'!$N362&lt;$Z$3,0, '0.0%'!$R362/'0.0%'!$N362)</f>
        <v>1.1209290583186065</v>
      </c>
      <c r="Y362" s="13">
        <f>IF('0.0%'!$N362&lt;$Z$3,0, '0.0%'!$S362/'0.0%'!$N362)</f>
        <v>1.2079020449381468</v>
      </c>
    </row>
    <row r="363" spans="1:25" x14ac:dyDescent="0.3">
      <c r="A363" s="17">
        <v>428.31</v>
      </c>
      <c r="B363" s="10">
        <v>811.1</v>
      </c>
      <c r="C363" s="9">
        <v>428.31</v>
      </c>
      <c r="D363" s="10">
        <v>849.7</v>
      </c>
      <c r="E363" s="11">
        <v>428.31</v>
      </c>
      <c r="F363" s="12">
        <v>873.5</v>
      </c>
      <c r="G363" s="11">
        <v>428.31</v>
      </c>
      <c r="H363" s="12">
        <v>842.9</v>
      </c>
      <c r="I363" s="11">
        <v>428.31</v>
      </c>
      <c r="J363" s="12">
        <v>909.7</v>
      </c>
      <c r="K363" s="11">
        <v>428.31</v>
      </c>
      <c r="L363" s="12">
        <v>977.5</v>
      </c>
      <c r="M363" s="11">
        <v>428.31</v>
      </c>
      <c r="N363" s="13">
        <v>811.1</v>
      </c>
      <c r="O363" s="13">
        <v>849.7</v>
      </c>
      <c r="P363" s="13">
        <v>873.5</v>
      </c>
      <c r="Q363" s="11">
        <v>842.9</v>
      </c>
      <c r="R363" s="11">
        <v>909.7</v>
      </c>
      <c r="S363" s="14">
        <v>977.5</v>
      </c>
      <c r="T363" s="11">
        <v>428.31</v>
      </c>
      <c r="U363" s="13">
        <f>IF('0.0%'!$N363&lt;$Z$3,0, '0.0%'!$O363/'0.0%'!$N363)</f>
        <v>1.0475896930094932</v>
      </c>
      <c r="V363" s="13">
        <f>IF('0.0%'!$N363&lt;$Z$3,0, '0.0%'!$P363/'0.0%'!$N363)</f>
        <v>1.0769325607200098</v>
      </c>
      <c r="W363" s="13">
        <f>IF('0.0%'!$N363&lt;$Z$3,0, '0.0%'!$Q363/'0.0%'!$N363)</f>
        <v>1.0392060165207742</v>
      </c>
      <c r="X363" s="13">
        <f>IF('0.0%'!$N363&lt;$Z$3,0, '0.0%'!$R363/'0.0%'!$N363)</f>
        <v>1.1215633090864259</v>
      </c>
      <c r="Y363" s="13">
        <f>IF('0.0%'!$N363&lt;$Z$3,0, '0.0%'!$S363/'0.0%'!$N363)</f>
        <v>1.2051534952533596</v>
      </c>
    </row>
    <row r="364" spans="1:25" x14ac:dyDescent="0.3">
      <c r="A364" s="17">
        <v>429.3</v>
      </c>
      <c r="B364" s="10">
        <v>828.9</v>
      </c>
      <c r="C364" s="9">
        <v>429.3</v>
      </c>
      <c r="D364" s="10">
        <v>867</v>
      </c>
      <c r="E364" s="11">
        <v>429.3</v>
      </c>
      <c r="F364" s="12">
        <v>893.6</v>
      </c>
      <c r="G364" s="11">
        <v>429.3</v>
      </c>
      <c r="H364" s="12">
        <v>861.7</v>
      </c>
      <c r="I364" s="11">
        <v>429.3</v>
      </c>
      <c r="J364" s="12">
        <v>929.5</v>
      </c>
      <c r="K364" s="11">
        <v>429.3</v>
      </c>
      <c r="L364" s="12">
        <v>997.1</v>
      </c>
      <c r="M364" s="11">
        <v>429.3</v>
      </c>
      <c r="N364" s="13">
        <v>828.9</v>
      </c>
      <c r="O364" s="13">
        <v>867</v>
      </c>
      <c r="P364" s="13">
        <v>893.6</v>
      </c>
      <c r="Q364" s="11">
        <v>861.7</v>
      </c>
      <c r="R364" s="11">
        <v>929.5</v>
      </c>
      <c r="S364" s="14">
        <v>997.1</v>
      </c>
      <c r="T364" s="11">
        <v>429.3</v>
      </c>
      <c r="U364" s="13">
        <f>IF('0.0%'!$N364&lt;$Z$3,0, '0.0%'!$O364/'0.0%'!$N364)</f>
        <v>1.0459645313065509</v>
      </c>
      <c r="V364" s="13">
        <f>IF('0.0%'!$N364&lt;$Z$3,0, '0.0%'!$P364/'0.0%'!$N364)</f>
        <v>1.0780552539510195</v>
      </c>
      <c r="W364" s="13">
        <f>IF('0.0%'!$N364&lt;$Z$3,0, '0.0%'!$Q364/'0.0%'!$N364)</f>
        <v>1.0395705151405479</v>
      </c>
      <c r="X364" s="13">
        <f>IF('0.0%'!$N364&lt;$Z$3,0, '0.0%'!$R364/'0.0%'!$N364)</f>
        <v>1.1213656653396067</v>
      </c>
      <c r="Y364" s="13">
        <f>IF('0.0%'!$N364&lt;$Z$3,0, '0.0%'!$S364/'0.0%'!$N364)</f>
        <v>1.2029195319097601</v>
      </c>
    </row>
    <row r="365" spans="1:25" x14ac:dyDescent="0.3">
      <c r="A365" s="17">
        <v>430.29</v>
      </c>
      <c r="B365" s="10">
        <v>848.1</v>
      </c>
      <c r="C365" s="9">
        <v>430.29</v>
      </c>
      <c r="D365" s="10">
        <v>885.8</v>
      </c>
      <c r="E365" s="11">
        <v>430.29</v>
      </c>
      <c r="F365" s="12">
        <v>915.9</v>
      </c>
      <c r="G365" s="11">
        <v>430.29</v>
      </c>
      <c r="H365" s="12">
        <v>882.2</v>
      </c>
      <c r="I365" s="11">
        <v>430.29</v>
      </c>
      <c r="J365" s="12">
        <v>951.7</v>
      </c>
      <c r="K365" s="11">
        <v>430.29</v>
      </c>
      <c r="L365" s="12">
        <v>1018.5</v>
      </c>
      <c r="M365" s="11">
        <v>430.29</v>
      </c>
      <c r="N365" s="13">
        <v>848.1</v>
      </c>
      <c r="O365" s="13">
        <v>885.8</v>
      </c>
      <c r="P365" s="13">
        <v>915.9</v>
      </c>
      <c r="Q365" s="11">
        <v>882.2</v>
      </c>
      <c r="R365" s="11">
        <v>951.7</v>
      </c>
      <c r="S365" s="14">
        <v>1018.5</v>
      </c>
      <c r="T365" s="11">
        <v>430.29</v>
      </c>
      <c r="U365" s="13">
        <f>IF('0.0%'!$N365&lt;$Z$3,0, '0.0%'!$O365/'0.0%'!$N365)</f>
        <v>1.0444523051526942</v>
      </c>
      <c r="V365" s="13">
        <f>IF('0.0%'!$N365&lt;$Z$3,0, '0.0%'!$P365/'0.0%'!$N365)</f>
        <v>1.0799434029006012</v>
      </c>
      <c r="W365" s="13">
        <f>IF('0.0%'!$N365&lt;$Z$3,0, '0.0%'!$Q365/'0.0%'!$N365)</f>
        <v>1.0402075226977952</v>
      </c>
      <c r="X365" s="13">
        <f>IF('0.0%'!$N365&lt;$Z$3,0, '0.0%'!$R365/'0.0%'!$N365)</f>
        <v>1.1221554062020989</v>
      </c>
      <c r="Y365" s="13">
        <f>IF('0.0%'!$N365&lt;$Z$3,0, '0.0%'!$S365/'0.0%'!$N365)</f>
        <v>1.2009197028652281</v>
      </c>
    </row>
    <row r="366" spans="1:25" x14ac:dyDescent="0.3">
      <c r="A366" s="17">
        <v>431.28</v>
      </c>
      <c r="B366" s="10">
        <v>865.9</v>
      </c>
      <c r="C366" s="9">
        <v>431.28</v>
      </c>
      <c r="D366" s="10">
        <v>903.1</v>
      </c>
      <c r="E366" s="11">
        <v>431.28</v>
      </c>
      <c r="F366" s="12">
        <v>935.1</v>
      </c>
      <c r="G366" s="11">
        <v>431.28</v>
      </c>
      <c r="H366" s="12">
        <v>901.3</v>
      </c>
      <c r="I366" s="11">
        <v>431.28</v>
      </c>
      <c r="J366" s="12">
        <v>971.3</v>
      </c>
      <c r="K366" s="11">
        <v>431.28</v>
      </c>
      <c r="L366" s="12">
        <v>1038.4000000000001</v>
      </c>
      <c r="M366" s="11">
        <v>431.28</v>
      </c>
      <c r="N366" s="13">
        <v>865.9</v>
      </c>
      <c r="O366" s="13">
        <v>903.1</v>
      </c>
      <c r="P366" s="13">
        <v>935.1</v>
      </c>
      <c r="Q366" s="11">
        <v>901.3</v>
      </c>
      <c r="R366" s="11">
        <v>971.3</v>
      </c>
      <c r="S366" s="14">
        <v>1038.4000000000001</v>
      </c>
      <c r="T366" s="11">
        <v>431.28</v>
      </c>
      <c r="U366" s="13">
        <f>IF('0.0%'!$N366&lt;$Z$3,0, '0.0%'!$O366/'0.0%'!$N366)</f>
        <v>1.0429610809562306</v>
      </c>
      <c r="V366" s="13">
        <f>IF('0.0%'!$N366&lt;$Z$3,0, '0.0%'!$P366/'0.0%'!$N366)</f>
        <v>1.0799168495207299</v>
      </c>
      <c r="W366" s="13">
        <f>IF('0.0%'!$N366&lt;$Z$3,0, '0.0%'!$Q366/'0.0%'!$N366)</f>
        <v>1.0408823189744774</v>
      </c>
      <c r="X366" s="13">
        <f>IF('0.0%'!$N366&lt;$Z$3,0, '0.0%'!$R366/'0.0%'!$N366)</f>
        <v>1.1217230627093198</v>
      </c>
      <c r="Y366" s="13">
        <f>IF('0.0%'!$N366&lt;$Z$3,0, '0.0%'!$S366/'0.0%'!$N366)</f>
        <v>1.1992146899180045</v>
      </c>
    </row>
    <row r="367" spans="1:25" x14ac:dyDescent="0.3">
      <c r="A367" s="17">
        <v>432.27</v>
      </c>
      <c r="B367" s="10">
        <v>885.1</v>
      </c>
      <c r="C367" s="9">
        <v>432.27</v>
      </c>
      <c r="D367" s="10">
        <v>921.9</v>
      </c>
      <c r="E367" s="11">
        <v>432.27</v>
      </c>
      <c r="F367" s="12">
        <v>956</v>
      </c>
      <c r="G367" s="11">
        <v>432.27</v>
      </c>
      <c r="H367" s="12">
        <v>922.1</v>
      </c>
      <c r="I367" s="11">
        <v>432.27</v>
      </c>
      <c r="J367" s="12">
        <v>992.9</v>
      </c>
      <c r="K367" s="11">
        <v>432.27</v>
      </c>
      <c r="L367" s="12">
        <v>1060.0999999999999</v>
      </c>
      <c r="M367" s="11">
        <v>432.27</v>
      </c>
      <c r="N367" s="13">
        <v>885.1</v>
      </c>
      <c r="O367" s="13">
        <v>921.9</v>
      </c>
      <c r="P367" s="13">
        <v>956</v>
      </c>
      <c r="Q367" s="11">
        <v>922.1</v>
      </c>
      <c r="R367" s="11">
        <v>992.9</v>
      </c>
      <c r="S367" s="14">
        <v>1060.0999999999999</v>
      </c>
      <c r="T367" s="11">
        <v>432.27</v>
      </c>
      <c r="U367" s="13">
        <f>IF('0.0%'!$N367&lt;$Z$3,0, '0.0%'!$O367/'0.0%'!$N367)</f>
        <v>1.0415772229126652</v>
      </c>
      <c r="V367" s="13">
        <f>IF('0.0%'!$N367&lt;$Z$3,0, '0.0%'!$P367/'0.0%'!$N367)</f>
        <v>1.0801039430572816</v>
      </c>
      <c r="W367" s="13">
        <f>IF('0.0%'!$N367&lt;$Z$3,0, '0.0%'!$Q367/'0.0%'!$N367)</f>
        <v>1.0418031860806689</v>
      </c>
      <c r="X367" s="13">
        <f>IF('0.0%'!$N367&lt;$Z$3,0, '0.0%'!$R367/'0.0%'!$N367)</f>
        <v>1.1217941475539486</v>
      </c>
      <c r="Y367" s="13">
        <f>IF('0.0%'!$N367&lt;$Z$3,0, '0.0%'!$S367/'0.0%'!$N367)</f>
        <v>1.1977177720031633</v>
      </c>
    </row>
    <row r="368" spans="1:25" x14ac:dyDescent="0.3">
      <c r="A368" s="17">
        <v>433.27</v>
      </c>
      <c r="B368" s="10">
        <v>905.9</v>
      </c>
      <c r="C368" s="9">
        <v>433.27</v>
      </c>
      <c r="D368" s="10">
        <v>942</v>
      </c>
      <c r="E368" s="11">
        <v>433.27</v>
      </c>
      <c r="F368" s="12">
        <v>977.3</v>
      </c>
      <c r="G368" s="11">
        <v>433.27</v>
      </c>
      <c r="H368" s="12">
        <v>945</v>
      </c>
      <c r="I368" s="11">
        <v>433.27</v>
      </c>
      <c r="J368" s="12">
        <v>1015.2</v>
      </c>
      <c r="K368" s="11">
        <v>433.27</v>
      </c>
      <c r="L368" s="12">
        <v>1083.5</v>
      </c>
      <c r="M368" s="11">
        <v>433.27</v>
      </c>
      <c r="N368" s="13">
        <v>905.9</v>
      </c>
      <c r="O368" s="13">
        <v>942</v>
      </c>
      <c r="P368" s="13">
        <v>977.3</v>
      </c>
      <c r="Q368" s="11">
        <v>945</v>
      </c>
      <c r="R368" s="11">
        <v>1015.2</v>
      </c>
      <c r="S368" s="14">
        <v>1083.5</v>
      </c>
      <c r="T368" s="11">
        <v>433.27</v>
      </c>
      <c r="U368" s="13">
        <f>IF('0.0%'!$N368&lt;$Z$3,0, '0.0%'!$O368/'0.0%'!$N368)</f>
        <v>1.039849873054421</v>
      </c>
      <c r="V368" s="13">
        <f>IF('0.0%'!$N368&lt;$Z$3,0, '0.0%'!$P368/'0.0%'!$N368)</f>
        <v>1.0788166464289657</v>
      </c>
      <c r="W368" s="13">
        <f>IF('0.0%'!$N368&lt;$Z$3,0, '0.0%'!$Q368/'0.0%'!$N368)</f>
        <v>1.0431614968539573</v>
      </c>
      <c r="X368" s="13">
        <f>IF('0.0%'!$N368&lt;$Z$3,0, '0.0%'!$R368/'0.0%'!$N368)</f>
        <v>1.1206534937631085</v>
      </c>
      <c r="Y368" s="13">
        <f>IF('0.0%'!$N368&lt;$Z$3,0, '0.0%'!$S368/'0.0%'!$N368)</f>
        <v>1.1960481289325533</v>
      </c>
    </row>
    <row r="369" spans="1:25" x14ac:dyDescent="0.3">
      <c r="A369" s="17">
        <v>434.26</v>
      </c>
      <c r="B369" s="10">
        <v>922.5</v>
      </c>
      <c r="C369" s="9">
        <v>434.26</v>
      </c>
      <c r="D369" s="10">
        <v>958.2</v>
      </c>
      <c r="E369" s="11">
        <v>434.26</v>
      </c>
      <c r="F369" s="12">
        <v>993.8</v>
      </c>
      <c r="G369" s="11">
        <v>434.26</v>
      </c>
      <c r="H369" s="12">
        <v>963.5</v>
      </c>
      <c r="I369" s="11">
        <v>434.26</v>
      </c>
      <c r="J369" s="12">
        <v>1032.9000000000001</v>
      </c>
      <c r="K369" s="11">
        <v>434.26</v>
      </c>
      <c r="L369" s="12">
        <v>1102</v>
      </c>
      <c r="M369" s="11">
        <v>434.26</v>
      </c>
      <c r="N369" s="13">
        <v>922.5</v>
      </c>
      <c r="O369" s="13">
        <v>958.2</v>
      </c>
      <c r="P369" s="13">
        <v>993.8</v>
      </c>
      <c r="Q369" s="11">
        <v>963.5</v>
      </c>
      <c r="R369" s="11">
        <v>1032.9000000000001</v>
      </c>
      <c r="S369" s="14">
        <v>1102</v>
      </c>
      <c r="T369" s="11">
        <v>434.26</v>
      </c>
      <c r="U369" s="13">
        <f>IF('0.0%'!$N369&lt;$Z$3,0, '0.0%'!$O369/'0.0%'!$N369)</f>
        <v>1.03869918699187</v>
      </c>
      <c r="V369" s="13">
        <f>IF('0.0%'!$N369&lt;$Z$3,0, '0.0%'!$P369/'0.0%'!$N369)</f>
        <v>1.0772899728997289</v>
      </c>
      <c r="W369" s="13">
        <f>IF('0.0%'!$N369&lt;$Z$3,0, '0.0%'!$Q369/'0.0%'!$N369)</f>
        <v>1.0444444444444445</v>
      </c>
      <c r="X369" s="13">
        <f>IF('0.0%'!$N369&lt;$Z$3,0, '0.0%'!$R369/'0.0%'!$N369)</f>
        <v>1.1196747967479677</v>
      </c>
      <c r="Y369" s="13">
        <f>IF('0.0%'!$N369&lt;$Z$3,0, '0.0%'!$S369/'0.0%'!$N369)</f>
        <v>1.1945799457994579</v>
      </c>
    </row>
    <row r="370" spans="1:25" x14ac:dyDescent="0.3">
      <c r="A370" s="17">
        <v>435.25</v>
      </c>
      <c r="B370" s="10">
        <v>939.5</v>
      </c>
      <c r="C370" s="9">
        <v>435.25</v>
      </c>
      <c r="D370" s="10">
        <v>974.8</v>
      </c>
      <c r="E370" s="11">
        <v>435.25</v>
      </c>
      <c r="F370" s="12">
        <v>1011</v>
      </c>
      <c r="G370" s="11">
        <v>435.25</v>
      </c>
      <c r="H370" s="12">
        <v>982.6</v>
      </c>
      <c r="I370" s="11">
        <v>435.25</v>
      </c>
      <c r="J370" s="12">
        <v>1051.4000000000001</v>
      </c>
      <c r="K370" s="11">
        <v>435.25</v>
      </c>
      <c r="L370" s="12">
        <v>1121.0999999999999</v>
      </c>
      <c r="M370" s="11">
        <v>435.25</v>
      </c>
      <c r="N370" s="13">
        <v>939.5</v>
      </c>
      <c r="O370" s="13">
        <v>974.8</v>
      </c>
      <c r="P370" s="13">
        <v>1011</v>
      </c>
      <c r="Q370" s="11">
        <v>982.6</v>
      </c>
      <c r="R370" s="11">
        <v>1051.4000000000001</v>
      </c>
      <c r="S370" s="14">
        <v>1121.0999999999999</v>
      </c>
      <c r="T370" s="11">
        <v>435.25</v>
      </c>
      <c r="U370" s="13">
        <f>IF('0.0%'!$N370&lt;$Z$3,0, '0.0%'!$O370/'0.0%'!$N370)</f>
        <v>1.0375731772219265</v>
      </c>
      <c r="V370" s="13">
        <f>IF('0.0%'!$N370&lt;$Z$3,0, '0.0%'!$P370/'0.0%'!$N370)</f>
        <v>1.076104310803619</v>
      </c>
      <c r="W370" s="13">
        <f>IF('0.0%'!$N370&lt;$Z$3,0, '0.0%'!$Q370/'0.0%'!$N370)</f>
        <v>1.0458754656732305</v>
      </c>
      <c r="X370" s="13">
        <f>IF('0.0%'!$N370&lt;$Z$3,0, '0.0%'!$R370/'0.0%'!$N370)</f>
        <v>1.119105907397552</v>
      </c>
      <c r="Y370" s="13">
        <f>IF('0.0%'!$N370&lt;$Z$3,0, '0.0%'!$S370/'0.0%'!$N370)</f>
        <v>1.1932943054816392</v>
      </c>
    </row>
    <row r="371" spans="1:25" x14ac:dyDescent="0.3">
      <c r="A371" s="17">
        <v>436.24</v>
      </c>
      <c r="B371" s="10">
        <v>953.9</v>
      </c>
      <c r="C371" s="9">
        <v>436.24</v>
      </c>
      <c r="D371" s="10">
        <v>988.8</v>
      </c>
      <c r="E371" s="11">
        <v>436.24</v>
      </c>
      <c r="F371" s="12">
        <v>1024.4000000000001</v>
      </c>
      <c r="G371" s="11">
        <v>436.24</v>
      </c>
      <c r="H371" s="12">
        <v>998.7</v>
      </c>
      <c r="I371" s="11">
        <v>436.24</v>
      </c>
      <c r="J371" s="12">
        <v>1066.3</v>
      </c>
      <c r="K371" s="11">
        <v>436.24</v>
      </c>
      <c r="L371" s="12">
        <v>1136.3</v>
      </c>
      <c r="M371" s="11">
        <v>436.24</v>
      </c>
      <c r="N371" s="13">
        <v>953.9</v>
      </c>
      <c r="O371" s="13">
        <v>988.8</v>
      </c>
      <c r="P371" s="13">
        <v>1024.4000000000001</v>
      </c>
      <c r="Q371" s="11">
        <v>998.7</v>
      </c>
      <c r="R371" s="11">
        <v>1066.3</v>
      </c>
      <c r="S371" s="14">
        <v>1136.3</v>
      </c>
      <c r="T371" s="11">
        <v>436.24</v>
      </c>
      <c r="U371" s="13">
        <f>IF('0.0%'!$N371&lt;$Z$3,0, '0.0%'!$O371/'0.0%'!$N371)</f>
        <v>1.0365866443023377</v>
      </c>
      <c r="V371" s="13">
        <f>IF('0.0%'!$N371&lt;$Z$3,0, '0.0%'!$P371/'0.0%'!$N371)</f>
        <v>1.0739071181465563</v>
      </c>
      <c r="W371" s="13">
        <f>IF('0.0%'!$N371&lt;$Z$3,0, '0.0%'!$Q371/'0.0%'!$N371)</f>
        <v>1.0469650906803649</v>
      </c>
      <c r="X371" s="13">
        <f>IF('0.0%'!$N371&lt;$Z$3,0, '0.0%'!$R371/'0.0%'!$N371)</f>
        <v>1.117832057867701</v>
      </c>
      <c r="Y371" s="13">
        <f>IF('0.0%'!$N371&lt;$Z$3,0, '0.0%'!$S371/'0.0%'!$N371)</f>
        <v>1.191215012055771</v>
      </c>
    </row>
    <row r="372" spans="1:25" x14ac:dyDescent="0.3">
      <c r="A372" s="17">
        <v>437.23</v>
      </c>
      <c r="B372" s="10">
        <v>968.2</v>
      </c>
      <c r="C372" s="9">
        <v>437.23</v>
      </c>
      <c r="D372" s="10">
        <v>1002.8</v>
      </c>
      <c r="E372" s="11">
        <v>437.23</v>
      </c>
      <c r="F372" s="12">
        <v>1038.0999999999999</v>
      </c>
      <c r="G372" s="11">
        <v>437.23</v>
      </c>
      <c r="H372" s="12">
        <v>1014.7</v>
      </c>
      <c r="I372" s="11">
        <v>437.23</v>
      </c>
      <c r="J372" s="12">
        <v>1081.5</v>
      </c>
      <c r="K372" s="11">
        <v>437.23</v>
      </c>
      <c r="L372" s="12">
        <v>1151.5</v>
      </c>
      <c r="M372" s="11">
        <v>437.23</v>
      </c>
      <c r="N372" s="13">
        <v>968.2</v>
      </c>
      <c r="O372" s="13">
        <v>1002.8</v>
      </c>
      <c r="P372" s="13">
        <v>1038.0999999999999</v>
      </c>
      <c r="Q372" s="11">
        <v>1014.7</v>
      </c>
      <c r="R372" s="11">
        <v>1081.5</v>
      </c>
      <c r="S372" s="14">
        <v>1151.5</v>
      </c>
      <c r="T372" s="11">
        <v>437.23</v>
      </c>
      <c r="U372" s="13">
        <f>IF('0.0%'!$N372&lt;$Z$3,0, '0.0%'!$O372/'0.0%'!$N372)</f>
        <v>1.0357364180954347</v>
      </c>
      <c r="V372" s="13">
        <f>IF('0.0%'!$N372&lt;$Z$3,0, '0.0%'!$P372/'0.0%'!$N372)</f>
        <v>1.0721958273084071</v>
      </c>
      <c r="W372" s="13">
        <f>IF('0.0%'!$N372&lt;$Z$3,0, '0.0%'!$Q372/'0.0%'!$N372)</f>
        <v>1.0480272670935757</v>
      </c>
      <c r="X372" s="13">
        <f>IF('0.0%'!$N372&lt;$Z$3,0, '0.0%'!$R372/'0.0%'!$N372)</f>
        <v>1.1170212765957446</v>
      </c>
      <c r="Y372" s="13">
        <f>IF('0.0%'!$N372&lt;$Z$3,0, '0.0%'!$S372/'0.0%'!$N372)</f>
        <v>1.1893203883495145</v>
      </c>
    </row>
    <row r="373" spans="1:25" x14ac:dyDescent="0.3">
      <c r="A373" s="17">
        <v>438.23</v>
      </c>
      <c r="B373" s="10">
        <v>978.9</v>
      </c>
      <c r="C373" s="9">
        <v>438.23</v>
      </c>
      <c r="D373" s="10">
        <v>1013.3</v>
      </c>
      <c r="E373" s="11">
        <v>438.23</v>
      </c>
      <c r="F373" s="12">
        <v>1047.8</v>
      </c>
      <c r="G373" s="11">
        <v>438.23</v>
      </c>
      <c r="H373" s="12">
        <v>1026.4000000000001</v>
      </c>
      <c r="I373" s="11">
        <v>438.23</v>
      </c>
      <c r="J373" s="12">
        <v>1092.5999999999999</v>
      </c>
      <c r="K373" s="11">
        <v>438.23</v>
      </c>
      <c r="L373" s="12">
        <v>1162.0999999999999</v>
      </c>
      <c r="M373" s="11">
        <v>438.23</v>
      </c>
      <c r="N373" s="13">
        <v>978.9</v>
      </c>
      <c r="O373" s="13">
        <v>1013.3</v>
      </c>
      <c r="P373" s="13">
        <v>1047.8</v>
      </c>
      <c r="Q373" s="11">
        <v>1026.4000000000001</v>
      </c>
      <c r="R373" s="11">
        <v>1092.5999999999999</v>
      </c>
      <c r="S373" s="14">
        <v>1162.0999999999999</v>
      </c>
      <c r="T373" s="11">
        <v>438.23</v>
      </c>
      <c r="U373" s="13">
        <f>IF('0.0%'!$N373&lt;$Z$3,0, '0.0%'!$O373/'0.0%'!$N373)</f>
        <v>1.0351414853406886</v>
      </c>
      <c r="V373" s="13">
        <f>IF('0.0%'!$N373&lt;$Z$3,0, '0.0%'!$P373/'0.0%'!$N373)</f>
        <v>1.0703851261620185</v>
      </c>
      <c r="W373" s="13">
        <f>IF('0.0%'!$N373&lt;$Z$3,0, '0.0%'!$Q373/'0.0%'!$N373)</f>
        <v>1.0485238533047299</v>
      </c>
      <c r="X373" s="13">
        <f>IF('0.0%'!$N373&lt;$Z$3,0, '0.0%'!$R373/'0.0%'!$N373)</f>
        <v>1.1161507814894269</v>
      </c>
      <c r="Y373" s="13">
        <f>IF('0.0%'!$N373&lt;$Z$3,0, '0.0%'!$S373/'0.0%'!$N373)</f>
        <v>1.1871488405352946</v>
      </c>
    </row>
    <row r="374" spans="1:25" x14ac:dyDescent="0.3">
      <c r="A374" s="17">
        <v>439.22</v>
      </c>
      <c r="B374" s="10">
        <v>988.7</v>
      </c>
      <c r="C374" s="9">
        <v>439.22</v>
      </c>
      <c r="D374" s="10">
        <v>1022.8</v>
      </c>
      <c r="E374" s="11">
        <v>439.22</v>
      </c>
      <c r="F374" s="12">
        <v>1056.4000000000001</v>
      </c>
      <c r="G374" s="11">
        <v>439.22</v>
      </c>
      <c r="H374" s="12">
        <v>1036.8</v>
      </c>
      <c r="I374" s="11">
        <v>439.22</v>
      </c>
      <c r="J374" s="12">
        <v>1102.8</v>
      </c>
      <c r="K374" s="11">
        <v>439.22</v>
      </c>
      <c r="L374" s="12">
        <v>1171</v>
      </c>
      <c r="M374" s="11">
        <v>439.22</v>
      </c>
      <c r="N374" s="13">
        <v>988.7</v>
      </c>
      <c r="O374" s="13">
        <v>1022.8</v>
      </c>
      <c r="P374" s="13">
        <v>1056.4000000000001</v>
      </c>
      <c r="Q374" s="11">
        <v>1036.8</v>
      </c>
      <c r="R374" s="11">
        <v>1102.8</v>
      </c>
      <c r="S374" s="14">
        <v>1171</v>
      </c>
      <c r="T374" s="11">
        <v>439.22</v>
      </c>
      <c r="U374" s="13">
        <f>IF('0.0%'!$N374&lt;$Z$3,0, '0.0%'!$O374/'0.0%'!$N374)</f>
        <v>1.0344897339941337</v>
      </c>
      <c r="V374" s="13">
        <f>IF('0.0%'!$N374&lt;$Z$3,0, '0.0%'!$P374/'0.0%'!$N374)</f>
        <v>1.0684737534135733</v>
      </c>
      <c r="W374" s="13">
        <f>IF('0.0%'!$N374&lt;$Z$3,0, '0.0%'!$Q374/'0.0%'!$N374)</f>
        <v>1.0486497420855667</v>
      </c>
      <c r="X374" s="13">
        <f>IF('0.0%'!$N374&lt;$Z$3,0, '0.0%'!$R374/'0.0%'!$N374)</f>
        <v>1.1154040659451805</v>
      </c>
      <c r="Y374" s="13">
        <f>IF('0.0%'!$N374&lt;$Z$3,0, '0.0%'!$S374/'0.0%'!$N374)</f>
        <v>1.1843835339334479</v>
      </c>
    </row>
    <row r="375" spans="1:25" x14ac:dyDescent="0.3">
      <c r="A375" s="17">
        <v>440.21</v>
      </c>
      <c r="B375" s="10">
        <v>995.1</v>
      </c>
      <c r="C375" s="9">
        <v>440.21</v>
      </c>
      <c r="D375" s="10">
        <v>1029</v>
      </c>
      <c r="E375" s="11">
        <v>440.21</v>
      </c>
      <c r="F375" s="12">
        <v>1062.0999999999999</v>
      </c>
      <c r="G375" s="11">
        <v>440.21</v>
      </c>
      <c r="H375" s="12">
        <v>1043.5999999999999</v>
      </c>
      <c r="I375" s="11">
        <v>440.21</v>
      </c>
      <c r="J375" s="12">
        <v>1109.8</v>
      </c>
      <c r="K375" s="11">
        <v>440.21</v>
      </c>
      <c r="L375" s="12">
        <v>1176.5</v>
      </c>
      <c r="M375" s="11">
        <v>440.21</v>
      </c>
      <c r="N375" s="13">
        <v>995.1</v>
      </c>
      <c r="O375" s="13">
        <v>1029</v>
      </c>
      <c r="P375" s="13">
        <v>1062.0999999999999</v>
      </c>
      <c r="Q375" s="11">
        <v>1043.5999999999999</v>
      </c>
      <c r="R375" s="11">
        <v>1109.8</v>
      </c>
      <c r="S375" s="14">
        <v>1176.5</v>
      </c>
      <c r="T375" s="11">
        <v>440.21</v>
      </c>
      <c r="U375" s="13">
        <f>IF('0.0%'!$N375&lt;$Z$3,0, '0.0%'!$O375/'0.0%'!$N375)</f>
        <v>1.0340669279469399</v>
      </c>
      <c r="V375" s="13">
        <f>IF('0.0%'!$N375&lt;$Z$3,0, '0.0%'!$P375/'0.0%'!$N375)</f>
        <v>1.0673299165912973</v>
      </c>
      <c r="W375" s="13">
        <f>IF('0.0%'!$N375&lt;$Z$3,0, '0.0%'!$Q375/'0.0%'!$N375)</f>
        <v>1.0487388202190733</v>
      </c>
      <c r="X375" s="13">
        <f>IF('0.0%'!$N375&lt;$Z$3,0, '0.0%'!$R375/'0.0%'!$N375)</f>
        <v>1.1152647975077881</v>
      </c>
      <c r="Y375" s="13">
        <f>IF('0.0%'!$N375&lt;$Z$3,0, '0.0%'!$S375/'0.0%'!$N375)</f>
        <v>1.1822932368606169</v>
      </c>
    </row>
    <row r="376" spans="1:25" x14ac:dyDescent="0.3">
      <c r="A376" s="17">
        <v>441.2</v>
      </c>
      <c r="B376" s="10">
        <v>1000</v>
      </c>
      <c r="C376" s="9">
        <v>441.2</v>
      </c>
      <c r="D376" s="10">
        <v>1033.5999999999999</v>
      </c>
      <c r="E376" s="11">
        <v>441.2</v>
      </c>
      <c r="F376" s="12">
        <v>1066</v>
      </c>
      <c r="G376" s="11">
        <v>441.2</v>
      </c>
      <c r="H376" s="12">
        <v>1048.5</v>
      </c>
      <c r="I376" s="11">
        <v>441.2</v>
      </c>
      <c r="J376" s="12">
        <v>1114.8</v>
      </c>
      <c r="K376" s="11">
        <v>441.2</v>
      </c>
      <c r="L376" s="12">
        <v>1179.0999999999999</v>
      </c>
      <c r="M376" s="11">
        <v>441.2</v>
      </c>
      <c r="N376" s="13">
        <v>1000</v>
      </c>
      <c r="O376" s="13">
        <v>1033.5999999999999</v>
      </c>
      <c r="P376" s="13">
        <v>1066</v>
      </c>
      <c r="Q376" s="11">
        <v>1048.5</v>
      </c>
      <c r="R376" s="11">
        <v>1114.8</v>
      </c>
      <c r="S376" s="14">
        <v>1179.0999999999999</v>
      </c>
      <c r="T376" s="11">
        <v>441.2</v>
      </c>
      <c r="U376" s="13">
        <f>IF('0.0%'!$N376&lt;$Z$3,0, '0.0%'!$O376/'0.0%'!$N376)</f>
        <v>1.0335999999999999</v>
      </c>
      <c r="V376" s="13">
        <f>IF('0.0%'!$N376&lt;$Z$3,0, '0.0%'!$P376/'0.0%'!$N376)</f>
        <v>1.0660000000000001</v>
      </c>
      <c r="W376" s="13">
        <f>IF('0.0%'!$N376&lt;$Z$3,0, '0.0%'!$Q376/'0.0%'!$N376)</f>
        <v>1.0485</v>
      </c>
      <c r="X376" s="13">
        <f>IF('0.0%'!$N376&lt;$Z$3,0, '0.0%'!$R376/'0.0%'!$N376)</f>
        <v>1.1148</v>
      </c>
      <c r="Y376" s="13">
        <f>IF('0.0%'!$N376&lt;$Z$3,0, '0.0%'!$S376/'0.0%'!$N376)</f>
        <v>1.1790999999999998</v>
      </c>
    </row>
    <row r="377" spans="1:25" x14ac:dyDescent="0.3">
      <c r="A377" s="17">
        <v>442.19</v>
      </c>
      <c r="B377" s="10">
        <v>1001.5</v>
      </c>
      <c r="C377" s="9">
        <v>442.19</v>
      </c>
      <c r="D377" s="10">
        <v>1035</v>
      </c>
      <c r="E377" s="11">
        <v>442.19</v>
      </c>
      <c r="F377" s="12">
        <v>1067.0999999999999</v>
      </c>
      <c r="G377" s="11">
        <v>442.19</v>
      </c>
      <c r="H377" s="12">
        <v>1049.8</v>
      </c>
      <c r="I377" s="11">
        <v>442.19</v>
      </c>
      <c r="J377" s="12">
        <v>1118.0999999999999</v>
      </c>
      <c r="K377" s="11">
        <v>442.19</v>
      </c>
      <c r="L377" s="12">
        <v>1179.0999999999999</v>
      </c>
      <c r="M377" s="11">
        <v>442.19</v>
      </c>
      <c r="N377" s="13">
        <v>1001.5</v>
      </c>
      <c r="O377" s="13">
        <v>1035</v>
      </c>
      <c r="P377" s="13">
        <v>1067.0999999999999</v>
      </c>
      <c r="Q377" s="11">
        <v>1049.8</v>
      </c>
      <c r="R377" s="11">
        <v>1118.0999999999999</v>
      </c>
      <c r="S377" s="14">
        <v>1179.0999999999999</v>
      </c>
      <c r="T377" s="11">
        <v>442.19</v>
      </c>
      <c r="U377" s="13">
        <f>IF('0.0%'!$N377&lt;$Z$3,0, '0.0%'!$O377/'0.0%'!$N377)</f>
        <v>1.0334498252621069</v>
      </c>
      <c r="V377" s="13">
        <f>IF('0.0%'!$N377&lt;$Z$3,0, '0.0%'!$P377/'0.0%'!$N377)</f>
        <v>1.0655017473789314</v>
      </c>
      <c r="W377" s="13">
        <f>IF('0.0%'!$N377&lt;$Z$3,0, '0.0%'!$Q377/'0.0%'!$N377)</f>
        <v>1.0482276585122317</v>
      </c>
      <c r="X377" s="13">
        <f>IF('0.0%'!$N377&lt;$Z$3,0, '0.0%'!$R377/'0.0%'!$N377)</f>
        <v>1.1164253619570643</v>
      </c>
      <c r="Y377" s="13">
        <f>IF('0.0%'!$N377&lt;$Z$3,0, '0.0%'!$S377/'0.0%'!$N377)</f>
        <v>1.1773339990014977</v>
      </c>
    </row>
    <row r="378" spans="1:25" x14ac:dyDescent="0.3">
      <c r="A378" s="17">
        <v>443.18</v>
      </c>
      <c r="B378" s="10">
        <v>1001.3</v>
      </c>
      <c r="C378" s="9">
        <v>443.18</v>
      </c>
      <c r="D378" s="10">
        <v>1034.5</v>
      </c>
      <c r="E378" s="11">
        <v>443.18</v>
      </c>
      <c r="F378" s="12">
        <v>1066</v>
      </c>
      <c r="G378" s="11">
        <v>443.18</v>
      </c>
      <c r="H378" s="12">
        <v>1048.8</v>
      </c>
      <c r="I378" s="11">
        <v>443.18</v>
      </c>
      <c r="J378" s="12">
        <v>1119.5</v>
      </c>
      <c r="K378" s="11">
        <v>443.18</v>
      </c>
      <c r="L378" s="12">
        <v>1176.2</v>
      </c>
      <c r="M378" s="11">
        <v>443.18</v>
      </c>
      <c r="N378" s="13">
        <v>1001.3</v>
      </c>
      <c r="O378" s="13">
        <v>1034.5</v>
      </c>
      <c r="P378" s="13">
        <v>1066</v>
      </c>
      <c r="Q378" s="11">
        <v>1048.8</v>
      </c>
      <c r="R378" s="11">
        <v>1119.5</v>
      </c>
      <c r="S378" s="14">
        <v>1176.2</v>
      </c>
      <c r="T378" s="11">
        <v>443.18</v>
      </c>
      <c r="U378" s="13">
        <f>IF('0.0%'!$N378&lt;$Z$3,0, '0.0%'!$O378/'0.0%'!$N378)</f>
        <v>1.0331568960351543</v>
      </c>
      <c r="V378" s="13">
        <f>IF('0.0%'!$N378&lt;$Z$3,0, '0.0%'!$P378/'0.0%'!$N378)</f>
        <v>1.0646159992010387</v>
      </c>
      <c r="W378" s="13">
        <f>IF('0.0%'!$N378&lt;$Z$3,0, '0.0%'!$Q378/'0.0%'!$N378)</f>
        <v>1.0474383301707779</v>
      </c>
      <c r="X378" s="13">
        <f>IF('0.0%'!$N378&lt;$Z$3,0, '0.0%'!$R378/'0.0%'!$N378)</f>
        <v>1.1180465394986518</v>
      </c>
      <c r="Y378" s="13">
        <f>IF('0.0%'!$N378&lt;$Z$3,0, '0.0%'!$S378/'0.0%'!$N378)</f>
        <v>1.1746729251972436</v>
      </c>
    </row>
    <row r="379" spans="1:25" x14ac:dyDescent="0.3">
      <c r="A379" s="17">
        <v>444.18</v>
      </c>
      <c r="B379" s="10">
        <v>997.7</v>
      </c>
      <c r="C379" s="9">
        <v>444.18</v>
      </c>
      <c r="D379" s="10">
        <v>1030.9000000000001</v>
      </c>
      <c r="E379" s="11">
        <v>444.18</v>
      </c>
      <c r="F379" s="12">
        <v>1062.5</v>
      </c>
      <c r="G379" s="11">
        <v>444.18</v>
      </c>
      <c r="H379" s="12">
        <v>1044.3</v>
      </c>
      <c r="I379" s="11">
        <v>444.18</v>
      </c>
      <c r="J379" s="12">
        <v>1117.2</v>
      </c>
      <c r="K379" s="11">
        <v>444.18</v>
      </c>
      <c r="L379" s="12">
        <v>1169.5</v>
      </c>
      <c r="M379" s="11">
        <v>444.18</v>
      </c>
      <c r="N379" s="13">
        <v>997.7</v>
      </c>
      <c r="O379" s="13">
        <v>1030.9000000000001</v>
      </c>
      <c r="P379" s="13">
        <v>1062.5</v>
      </c>
      <c r="Q379" s="11">
        <v>1044.3</v>
      </c>
      <c r="R379" s="11">
        <v>1117.2</v>
      </c>
      <c r="S379" s="14">
        <v>1169.5</v>
      </c>
      <c r="T379" s="11">
        <v>444.18</v>
      </c>
      <c r="U379" s="13">
        <f>IF('0.0%'!$N379&lt;$Z$3,0, '0.0%'!$O379/'0.0%'!$N379)</f>
        <v>1.0332765360328757</v>
      </c>
      <c r="V379" s="13">
        <f>IF('0.0%'!$N379&lt;$Z$3,0, '0.0%'!$P379/'0.0%'!$N379)</f>
        <v>1.064949383582239</v>
      </c>
      <c r="W379" s="13">
        <f>IF('0.0%'!$N379&lt;$Z$3,0, '0.0%'!$Q379/'0.0%'!$N379)</f>
        <v>1.0467074270822891</v>
      </c>
      <c r="X379" s="13">
        <f>IF('0.0%'!$N379&lt;$Z$3,0, '0.0%'!$R379/'0.0%'!$N379)</f>
        <v>1.1197754836123084</v>
      </c>
      <c r="Y379" s="13">
        <f>IF('0.0%'!$N379&lt;$Z$3,0, '0.0%'!$S379/'0.0%'!$N379)</f>
        <v>1.1721960509171092</v>
      </c>
    </row>
    <row r="380" spans="1:25" x14ac:dyDescent="0.3">
      <c r="A380" s="17">
        <v>445.17</v>
      </c>
      <c r="B380" s="10">
        <v>992.4</v>
      </c>
      <c r="C380" s="9">
        <v>445.17</v>
      </c>
      <c r="D380" s="10">
        <v>1025.2</v>
      </c>
      <c r="E380" s="11">
        <v>445.17</v>
      </c>
      <c r="F380" s="12">
        <v>1055.4000000000001</v>
      </c>
      <c r="G380" s="11">
        <v>445.17</v>
      </c>
      <c r="H380" s="12">
        <v>1037.7</v>
      </c>
      <c r="I380" s="11">
        <v>445.17</v>
      </c>
      <c r="J380" s="12">
        <v>1109.7</v>
      </c>
      <c r="K380" s="11">
        <v>445.17</v>
      </c>
      <c r="L380" s="12">
        <v>1157.5999999999999</v>
      </c>
      <c r="M380" s="11">
        <v>445.17</v>
      </c>
      <c r="N380" s="13">
        <v>992.4</v>
      </c>
      <c r="O380" s="13">
        <v>1025.2</v>
      </c>
      <c r="P380" s="13">
        <v>1055.4000000000001</v>
      </c>
      <c r="Q380" s="11">
        <v>1037.7</v>
      </c>
      <c r="R380" s="11">
        <v>1109.7</v>
      </c>
      <c r="S380" s="14">
        <v>1157.5999999999999</v>
      </c>
      <c r="T380" s="11">
        <v>445.17</v>
      </c>
      <c r="U380" s="13">
        <f>IF('0.0%'!$N380&lt;$Z$3,0, '0.0%'!$O380/'0.0%'!$N380)</f>
        <v>1.0330511890366789</v>
      </c>
      <c r="V380" s="13">
        <f>IF('0.0%'!$N380&lt;$Z$3,0, '0.0%'!$P380/'0.0%'!$N380)</f>
        <v>1.0634824667472795</v>
      </c>
      <c r="W380" s="13">
        <f>IF('0.0%'!$N380&lt;$Z$3,0, '0.0%'!$Q380/'0.0%'!$N380)</f>
        <v>1.0456469165659008</v>
      </c>
      <c r="X380" s="13">
        <f>IF('0.0%'!$N380&lt;$Z$3,0, '0.0%'!$R380/'0.0%'!$N380)</f>
        <v>1.1181983071342201</v>
      </c>
      <c r="Y380" s="13">
        <f>IF('0.0%'!$N380&lt;$Z$3,0, '0.0%'!$S380/'0.0%'!$N380)</f>
        <v>1.166465135026199</v>
      </c>
    </row>
    <row r="381" spans="1:25" x14ac:dyDescent="0.3">
      <c r="A381" s="17">
        <v>446.16</v>
      </c>
      <c r="B381" s="10">
        <v>984.4</v>
      </c>
      <c r="C381" s="9">
        <v>446.16</v>
      </c>
      <c r="D381" s="10">
        <v>1016.8</v>
      </c>
      <c r="E381" s="11">
        <v>446.16</v>
      </c>
      <c r="F381" s="12">
        <v>1045.5</v>
      </c>
      <c r="G381" s="11">
        <v>446.16</v>
      </c>
      <c r="H381" s="12">
        <v>1028.2</v>
      </c>
      <c r="I381" s="11">
        <v>446.16</v>
      </c>
      <c r="J381" s="12">
        <v>1098.2</v>
      </c>
      <c r="K381" s="11">
        <v>446.16</v>
      </c>
      <c r="L381" s="12">
        <v>1141.2</v>
      </c>
      <c r="M381" s="11">
        <v>446.16</v>
      </c>
      <c r="N381" s="13">
        <v>984.4</v>
      </c>
      <c r="O381" s="13">
        <v>1016.8</v>
      </c>
      <c r="P381" s="13">
        <v>1045.5</v>
      </c>
      <c r="Q381" s="11">
        <v>1028.2</v>
      </c>
      <c r="R381" s="11">
        <v>1098.2</v>
      </c>
      <c r="S381" s="14">
        <v>1141.2</v>
      </c>
      <c r="T381" s="11">
        <v>446.16</v>
      </c>
      <c r="U381" s="13">
        <f>IF('0.0%'!$N381&lt;$Z$3,0, '0.0%'!$O381/'0.0%'!$N381)</f>
        <v>1.0329134498171475</v>
      </c>
      <c r="V381" s="13">
        <f>IF('0.0%'!$N381&lt;$Z$3,0, '0.0%'!$P381/'0.0%'!$N381)</f>
        <v>1.062068264932954</v>
      </c>
      <c r="W381" s="13">
        <f>IF('0.0%'!$N381&lt;$Z$3,0, '0.0%'!$Q381/'0.0%'!$N381)</f>
        <v>1.0444941080861438</v>
      </c>
      <c r="X381" s="13">
        <f>IF('0.0%'!$N381&lt;$Z$3,0, '0.0%'!$R381/'0.0%'!$N381)</f>
        <v>1.1156034132466477</v>
      </c>
      <c r="Y381" s="13">
        <f>IF('0.0%'!$N381&lt;$Z$3,0, '0.0%'!$S381/'0.0%'!$N381)</f>
        <v>1.1592848435595287</v>
      </c>
    </row>
    <row r="382" spans="1:25" x14ac:dyDescent="0.3">
      <c r="A382" s="17">
        <v>447.15</v>
      </c>
      <c r="B382" s="10">
        <v>974.7</v>
      </c>
      <c r="C382" s="9">
        <v>447.15</v>
      </c>
      <c r="D382" s="10">
        <v>1006.4</v>
      </c>
      <c r="E382" s="11">
        <v>447.15</v>
      </c>
      <c r="F382" s="12">
        <v>1032.4000000000001</v>
      </c>
      <c r="G382" s="11">
        <v>447.15</v>
      </c>
      <c r="H382" s="12">
        <v>1016.9</v>
      </c>
      <c r="I382" s="11">
        <v>447.15</v>
      </c>
      <c r="J382" s="12">
        <v>1080.3</v>
      </c>
      <c r="K382" s="11">
        <v>447.15</v>
      </c>
      <c r="L382" s="12">
        <v>1121.0999999999999</v>
      </c>
      <c r="M382" s="11">
        <v>447.15</v>
      </c>
      <c r="N382" s="13">
        <v>974.7</v>
      </c>
      <c r="O382" s="13">
        <v>1006.4</v>
      </c>
      <c r="P382" s="13">
        <v>1032.4000000000001</v>
      </c>
      <c r="Q382" s="11">
        <v>1016.9</v>
      </c>
      <c r="R382" s="11">
        <v>1080.3</v>
      </c>
      <c r="S382" s="14">
        <v>1121.0999999999999</v>
      </c>
      <c r="T382" s="11">
        <v>447.15</v>
      </c>
      <c r="U382" s="13">
        <f>IF('0.0%'!$N382&lt;$Z$3,0, '0.0%'!$O382/'0.0%'!$N382)</f>
        <v>1.0325228275366778</v>
      </c>
      <c r="V382" s="13">
        <f>IF('0.0%'!$N382&lt;$Z$3,0, '0.0%'!$P382/'0.0%'!$N382)</f>
        <v>1.0591977018569816</v>
      </c>
      <c r="W382" s="13">
        <f>IF('0.0%'!$N382&lt;$Z$3,0, '0.0%'!$Q382/'0.0%'!$N382)</f>
        <v>1.0432953729352621</v>
      </c>
      <c r="X382" s="13">
        <f>IF('0.0%'!$N382&lt;$Z$3,0, '0.0%'!$R382/'0.0%'!$N382)</f>
        <v>1.1083410280086179</v>
      </c>
      <c r="Y382" s="13">
        <f>IF('0.0%'!$N382&lt;$Z$3,0, '0.0%'!$S382/'0.0%'!$N382)</f>
        <v>1.1502000615574022</v>
      </c>
    </row>
    <row r="383" spans="1:25" x14ac:dyDescent="0.3">
      <c r="A383" s="17">
        <v>448.14</v>
      </c>
      <c r="B383" s="10">
        <v>964.1</v>
      </c>
      <c r="C383" s="9">
        <v>448.14</v>
      </c>
      <c r="D383" s="10">
        <v>995</v>
      </c>
      <c r="E383" s="11">
        <v>448.14</v>
      </c>
      <c r="F383" s="12">
        <v>1018.4</v>
      </c>
      <c r="G383" s="11">
        <v>448.14</v>
      </c>
      <c r="H383" s="12">
        <v>1004.1</v>
      </c>
      <c r="I383" s="11">
        <v>448.14</v>
      </c>
      <c r="J383" s="12">
        <v>1059.5999999999999</v>
      </c>
      <c r="K383" s="11">
        <v>448.14</v>
      </c>
      <c r="L383" s="12">
        <v>1099.5999999999999</v>
      </c>
      <c r="M383" s="11">
        <v>448.14</v>
      </c>
      <c r="N383" s="13">
        <v>964.1</v>
      </c>
      <c r="O383" s="13">
        <v>995</v>
      </c>
      <c r="P383" s="13">
        <v>1018.4</v>
      </c>
      <c r="Q383" s="11">
        <v>1004.1</v>
      </c>
      <c r="R383" s="11">
        <v>1059.5999999999999</v>
      </c>
      <c r="S383" s="14">
        <v>1099.5999999999999</v>
      </c>
      <c r="T383" s="11">
        <v>448.14</v>
      </c>
      <c r="U383" s="13">
        <f>IF('0.0%'!$N383&lt;$Z$3,0, '0.0%'!$O383/'0.0%'!$N383)</f>
        <v>1.0320506171558967</v>
      </c>
      <c r="V383" s="13">
        <f>IF('0.0%'!$N383&lt;$Z$3,0, '0.0%'!$P383/'0.0%'!$N383)</f>
        <v>1.0563219583030805</v>
      </c>
      <c r="W383" s="13">
        <f>IF('0.0%'!$N383&lt;$Z$3,0, '0.0%'!$Q383/'0.0%'!$N383)</f>
        <v>1.0414894720464682</v>
      </c>
      <c r="X383" s="13">
        <f>IF('0.0%'!$N383&lt;$Z$3,0, '0.0%'!$R383/'0.0%'!$N383)</f>
        <v>1.0990561145109428</v>
      </c>
      <c r="Y383" s="13">
        <f>IF('0.0%'!$N383&lt;$Z$3,0, '0.0%'!$S383/'0.0%'!$N383)</f>
        <v>1.140545586557411</v>
      </c>
    </row>
    <row r="384" spans="1:25" x14ac:dyDescent="0.3">
      <c r="A384" s="17">
        <v>449.13</v>
      </c>
      <c r="B384" s="10">
        <v>951.1</v>
      </c>
      <c r="C384" s="9">
        <v>449.13</v>
      </c>
      <c r="D384" s="10">
        <v>981.8</v>
      </c>
      <c r="E384" s="11">
        <v>449.13</v>
      </c>
      <c r="F384" s="12">
        <v>1002.5</v>
      </c>
      <c r="G384" s="11">
        <v>449.13</v>
      </c>
      <c r="H384" s="12">
        <v>989.5</v>
      </c>
      <c r="I384" s="11">
        <v>449.13</v>
      </c>
      <c r="J384" s="12">
        <v>1035.9000000000001</v>
      </c>
      <c r="K384" s="11">
        <v>449.13</v>
      </c>
      <c r="L384" s="12">
        <v>1077.4000000000001</v>
      </c>
      <c r="M384" s="11">
        <v>449.13</v>
      </c>
      <c r="N384" s="13">
        <v>951.1</v>
      </c>
      <c r="O384" s="13">
        <v>981.8</v>
      </c>
      <c r="P384" s="13">
        <v>1002.5</v>
      </c>
      <c r="Q384" s="11">
        <v>989.5</v>
      </c>
      <c r="R384" s="11">
        <v>1035.9000000000001</v>
      </c>
      <c r="S384" s="14">
        <v>1077.4000000000001</v>
      </c>
      <c r="T384" s="11">
        <v>449.13</v>
      </c>
      <c r="U384" s="13">
        <f>IF('0.0%'!$N384&lt;$Z$3,0, '0.0%'!$O384/'0.0%'!$N384)</f>
        <v>1.0322784144674586</v>
      </c>
      <c r="V384" s="13">
        <f>IF('0.0%'!$N384&lt;$Z$3,0, '0.0%'!$P384/'0.0%'!$N384)</f>
        <v>1.0540426874145725</v>
      </c>
      <c r="W384" s="13">
        <f>IF('0.0%'!$N384&lt;$Z$3,0, '0.0%'!$Q384/'0.0%'!$N384)</f>
        <v>1.0403743034381243</v>
      </c>
      <c r="X384" s="13">
        <f>IF('0.0%'!$N384&lt;$Z$3,0, '0.0%'!$R384/'0.0%'!$N384)</f>
        <v>1.0891599200925246</v>
      </c>
      <c r="Y384" s="13">
        <f>IF('0.0%'!$N384&lt;$Z$3,0, '0.0%'!$S384/'0.0%'!$N384)</f>
        <v>1.1327936074019558</v>
      </c>
    </row>
    <row r="385" spans="1:25" x14ac:dyDescent="0.3">
      <c r="A385" s="17">
        <v>450.13</v>
      </c>
      <c r="B385" s="10">
        <v>938.6</v>
      </c>
      <c r="C385" s="9">
        <v>450.13</v>
      </c>
      <c r="D385" s="10">
        <v>969</v>
      </c>
      <c r="E385" s="11">
        <v>450.13</v>
      </c>
      <c r="F385" s="12">
        <v>986.8</v>
      </c>
      <c r="G385" s="11">
        <v>450.13</v>
      </c>
      <c r="H385" s="12">
        <v>975.1</v>
      </c>
      <c r="I385" s="11">
        <v>450.13</v>
      </c>
      <c r="J385" s="12">
        <v>1013.8</v>
      </c>
      <c r="K385" s="11">
        <v>450.13</v>
      </c>
      <c r="L385" s="12">
        <v>1055.5999999999999</v>
      </c>
      <c r="M385" s="11">
        <v>450.13</v>
      </c>
      <c r="N385" s="13">
        <v>938.6</v>
      </c>
      <c r="O385" s="13">
        <v>969</v>
      </c>
      <c r="P385" s="13">
        <v>986.8</v>
      </c>
      <c r="Q385" s="11">
        <v>975.1</v>
      </c>
      <c r="R385" s="11">
        <v>1013.8</v>
      </c>
      <c r="S385" s="14">
        <v>1055.5999999999999</v>
      </c>
      <c r="T385" s="11">
        <v>450.13</v>
      </c>
      <c r="U385" s="13">
        <f>IF('0.0%'!$N385&lt;$Z$3,0, '0.0%'!$O385/'0.0%'!$N385)</f>
        <v>1.0323886639676114</v>
      </c>
      <c r="V385" s="13">
        <f>IF('0.0%'!$N385&lt;$Z$3,0, '0.0%'!$P385/'0.0%'!$N385)</f>
        <v>1.0513530790539101</v>
      </c>
      <c r="W385" s="13">
        <f>IF('0.0%'!$N385&lt;$Z$3,0, '0.0%'!$Q385/'0.0%'!$N385)</f>
        <v>1.0388877050926912</v>
      </c>
      <c r="X385" s="13">
        <f>IF('0.0%'!$N385&lt;$Z$3,0, '0.0%'!$R385/'0.0%'!$N385)</f>
        <v>1.0801193266567226</v>
      </c>
      <c r="Y385" s="13">
        <f>IF('0.0%'!$N385&lt;$Z$3,0, '0.0%'!$S385/'0.0%'!$N385)</f>
        <v>1.1246537396121883</v>
      </c>
    </row>
    <row r="386" spans="1:25" x14ac:dyDescent="0.3">
      <c r="A386" s="17">
        <v>451.12</v>
      </c>
      <c r="B386" s="10">
        <v>922.8</v>
      </c>
      <c r="C386" s="9">
        <v>451.12</v>
      </c>
      <c r="D386" s="10">
        <v>953.2</v>
      </c>
      <c r="E386" s="11">
        <v>451.12</v>
      </c>
      <c r="F386" s="12">
        <v>968.6</v>
      </c>
      <c r="G386" s="11">
        <v>451.12</v>
      </c>
      <c r="H386" s="12">
        <v>957.7</v>
      </c>
      <c r="I386" s="11">
        <v>451.12</v>
      </c>
      <c r="J386" s="12">
        <v>990.4</v>
      </c>
      <c r="K386" s="11">
        <v>451.12</v>
      </c>
      <c r="L386" s="12">
        <v>1032.9000000000001</v>
      </c>
      <c r="M386" s="11">
        <v>451.12</v>
      </c>
      <c r="N386" s="13">
        <v>922.8</v>
      </c>
      <c r="O386" s="13">
        <v>953.2</v>
      </c>
      <c r="P386" s="13">
        <v>968.6</v>
      </c>
      <c r="Q386" s="11">
        <v>957.7</v>
      </c>
      <c r="R386" s="11">
        <v>990.4</v>
      </c>
      <c r="S386" s="14">
        <v>1032.9000000000001</v>
      </c>
      <c r="T386" s="11">
        <v>451.12</v>
      </c>
      <c r="U386" s="13">
        <f>IF('0.0%'!$N386&lt;$Z$3,0, '0.0%'!$O386/'0.0%'!$N386)</f>
        <v>1.0329432162982228</v>
      </c>
      <c r="V386" s="13">
        <f>IF('0.0%'!$N386&lt;$Z$3,0, '0.0%'!$P386/'0.0%'!$N386)</f>
        <v>1.0496315561335068</v>
      </c>
      <c r="W386" s="13">
        <f>IF('0.0%'!$N386&lt;$Z$3,0, '0.0%'!$Q386/'0.0%'!$N386)</f>
        <v>1.0378196792371046</v>
      </c>
      <c r="X386" s="13">
        <f>IF('0.0%'!$N386&lt;$Z$3,0, '0.0%'!$R386/'0.0%'!$N386)</f>
        <v>1.0732553099263114</v>
      </c>
      <c r="Y386" s="13">
        <f>IF('0.0%'!$N386&lt;$Z$3,0, '0.0%'!$S386/'0.0%'!$N386)</f>
        <v>1.1193107932379716</v>
      </c>
    </row>
    <row r="387" spans="1:25" x14ac:dyDescent="0.3">
      <c r="A387" s="17">
        <v>452.11</v>
      </c>
      <c r="B387" s="10">
        <v>904.7</v>
      </c>
      <c r="C387" s="9">
        <v>452.11</v>
      </c>
      <c r="D387" s="10">
        <v>935.9</v>
      </c>
      <c r="E387" s="11">
        <v>452.11</v>
      </c>
      <c r="F387" s="12">
        <v>948.8</v>
      </c>
      <c r="G387" s="11">
        <v>452.11</v>
      </c>
      <c r="H387" s="12">
        <v>937.7</v>
      </c>
      <c r="I387" s="11">
        <v>452.11</v>
      </c>
      <c r="J387" s="12">
        <v>965.6</v>
      </c>
      <c r="K387" s="11">
        <v>452.11</v>
      </c>
      <c r="L387" s="12">
        <v>1009.2</v>
      </c>
      <c r="M387" s="11">
        <v>452.11</v>
      </c>
      <c r="N387" s="13">
        <v>904.7</v>
      </c>
      <c r="O387" s="13">
        <v>935.9</v>
      </c>
      <c r="P387" s="13">
        <v>948.8</v>
      </c>
      <c r="Q387" s="11">
        <v>937.7</v>
      </c>
      <c r="R387" s="11">
        <v>965.6</v>
      </c>
      <c r="S387" s="14">
        <v>1009.2</v>
      </c>
      <c r="T387" s="11">
        <v>452.11</v>
      </c>
      <c r="U387" s="13">
        <f>IF('0.0%'!$N387&lt;$Z$3,0, '0.0%'!$O387/'0.0%'!$N387)</f>
        <v>1.034486570133746</v>
      </c>
      <c r="V387" s="13">
        <f>IF('0.0%'!$N387&lt;$Z$3,0, '0.0%'!$P387/'0.0%'!$N387)</f>
        <v>1.0487454404775063</v>
      </c>
      <c r="W387" s="13">
        <f>IF('0.0%'!$N387&lt;$Z$3,0, '0.0%'!$Q387/'0.0%'!$N387)</f>
        <v>1.0364761799491544</v>
      </c>
      <c r="X387" s="13">
        <f>IF('0.0%'!$N387&lt;$Z$3,0, '0.0%'!$R387/'0.0%'!$N387)</f>
        <v>1.067315132087985</v>
      </c>
      <c r="Y387" s="13">
        <f>IF('0.0%'!$N387&lt;$Z$3,0, '0.0%'!$S387/'0.0%'!$N387)</f>
        <v>1.1155079031723223</v>
      </c>
    </row>
    <row r="388" spans="1:25" x14ac:dyDescent="0.3">
      <c r="A388" s="17">
        <v>453.1</v>
      </c>
      <c r="B388" s="10">
        <v>890.5</v>
      </c>
      <c r="C388" s="9">
        <v>453.1</v>
      </c>
      <c r="D388" s="10">
        <v>922.4</v>
      </c>
      <c r="E388" s="11">
        <v>453.1</v>
      </c>
      <c r="F388" s="12">
        <v>933.3</v>
      </c>
      <c r="G388" s="11">
        <v>453.1</v>
      </c>
      <c r="H388" s="12">
        <v>922.1</v>
      </c>
      <c r="I388" s="11">
        <v>453.1</v>
      </c>
      <c r="J388" s="12">
        <v>946.8</v>
      </c>
      <c r="K388" s="11">
        <v>453.1</v>
      </c>
      <c r="L388" s="12">
        <v>990.8</v>
      </c>
      <c r="M388" s="11">
        <v>453.1</v>
      </c>
      <c r="N388" s="13">
        <v>890.5</v>
      </c>
      <c r="O388" s="13">
        <v>922.4</v>
      </c>
      <c r="P388" s="13">
        <v>933.3</v>
      </c>
      <c r="Q388" s="11">
        <v>922.1</v>
      </c>
      <c r="R388" s="11">
        <v>946.8</v>
      </c>
      <c r="S388" s="14">
        <v>990.8</v>
      </c>
      <c r="T388" s="11">
        <v>453.1</v>
      </c>
      <c r="U388" s="13">
        <f>IF('0.0%'!$N388&lt;$Z$3,0, '0.0%'!$O388/'0.0%'!$N388)</f>
        <v>1.0358225715889948</v>
      </c>
      <c r="V388" s="13">
        <f>IF('0.0%'!$N388&lt;$Z$3,0, '0.0%'!$P388/'0.0%'!$N388)</f>
        <v>1.0480628860190904</v>
      </c>
      <c r="W388" s="13">
        <f>IF('0.0%'!$N388&lt;$Z$3,0, '0.0%'!$Q388/'0.0%'!$N388)</f>
        <v>1.0354856822010108</v>
      </c>
      <c r="X388" s="13">
        <f>IF('0.0%'!$N388&lt;$Z$3,0, '0.0%'!$R388/'0.0%'!$N388)</f>
        <v>1.0632229084783829</v>
      </c>
      <c r="Y388" s="13">
        <f>IF('0.0%'!$N388&lt;$Z$3,0, '0.0%'!$S388/'0.0%'!$N388)</f>
        <v>1.1126333520494105</v>
      </c>
    </row>
    <row r="389" spans="1:25" x14ac:dyDescent="0.3">
      <c r="A389" s="17">
        <v>454.09</v>
      </c>
      <c r="B389" s="10">
        <v>873.7</v>
      </c>
      <c r="C389" s="9">
        <v>454.09</v>
      </c>
      <c r="D389" s="10">
        <v>906.6</v>
      </c>
      <c r="E389" s="11">
        <v>454.09</v>
      </c>
      <c r="F389" s="12">
        <v>915.6</v>
      </c>
      <c r="G389" s="11">
        <v>454.09</v>
      </c>
      <c r="H389" s="12">
        <v>904.2</v>
      </c>
      <c r="I389" s="11">
        <v>454.09</v>
      </c>
      <c r="J389" s="12">
        <v>926.7</v>
      </c>
      <c r="K389" s="11">
        <v>454.09</v>
      </c>
      <c r="L389" s="12">
        <v>970.9</v>
      </c>
      <c r="M389" s="11">
        <v>454.09</v>
      </c>
      <c r="N389" s="13">
        <v>873.7</v>
      </c>
      <c r="O389" s="13">
        <v>906.6</v>
      </c>
      <c r="P389" s="13">
        <v>915.6</v>
      </c>
      <c r="Q389" s="11">
        <v>904.2</v>
      </c>
      <c r="R389" s="11">
        <v>926.7</v>
      </c>
      <c r="S389" s="14">
        <v>970.9</v>
      </c>
      <c r="T389" s="11">
        <v>454.09</v>
      </c>
      <c r="U389" s="13">
        <f>IF('0.0%'!$N389&lt;$Z$3,0, '0.0%'!$O389/'0.0%'!$N389)</f>
        <v>1.0376559459768799</v>
      </c>
      <c r="V389" s="13">
        <f>IF('0.0%'!$N389&lt;$Z$3,0, '0.0%'!$P389/'0.0%'!$N389)</f>
        <v>1.0479569646331692</v>
      </c>
      <c r="W389" s="13">
        <f>IF('0.0%'!$N389&lt;$Z$3,0, '0.0%'!$Q389/'0.0%'!$N389)</f>
        <v>1.0349090076685361</v>
      </c>
      <c r="X389" s="13">
        <f>IF('0.0%'!$N389&lt;$Z$3,0, '0.0%'!$R389/'0.0%'!$N389)</f>
        <v>1.0606615543092595</v>
      </c>
      <c r="Y389" s="13">
        <f>IF('0.0%'!$N389&lt;$Z$3,0, '0.0%'!$S389/'0.0%'!$N389)</f>
        <v>1.1112510014879249</v>
      </c>
    </row>
    <row r="390" spans="1:25" x14ac:dyDescent="0.3">
      <c r="A390" s="17">
        <v>455.09</v>
      </c>
      <c r="B390" s="10">
        <v>860.1</v>
      </c>
      <c r="C390" s="9">
        <v>455.09</v>
      </c>
      <c r="D390" s="10">
        <v>894.1</v>
      </c>
      <c r="E390" s="11">
        <v>455.09</v>
      </c>
      <c r="F390" s="12">
        <v>901.2</v>
      </c>
      <c r="G390" s="11">
        <v>455.09</v>
      </c>
      <c r="H390" s="12">
        <v>889.6</v>
      </c>
      <c r="I390" s="11">
        <v>455.09</v>
      </c>
      <c r="J390" s="12">
        <v>910.5</v>
      </c>
      <c r="K390" s="11">
        <v>455.09</v>
      </c>
      <c r="L390" s="12">
        <v>954.8</v>
      </c>
      <c r="M390" s="11">
        <v>455.09</v>
      </c>
      <c r="N390" s="13">
        <v>860.1</v>
      </c>
      <c r="O390" s="13">
        <v>894.1</v>
      </c>
      <c r="P390" s="13">
        <v>901.2</v>
      </c>
      <c r="Q390" s="11">
        <v>889.6</v>
      </c>
      <c r="R390" s="11">
        <v>910.5</v>
      </c>
      <c r="S390" s="14">
        <v>954.8</v>
      </c>
      <c r="T390" s="11">
        <v>455.09</v>
      </c>
      <c r="U390" s="13">
        <f>IF('0.0%'!$N390&lt;$Z$3,0, '0.0%'!$O390/'0.0%'!$N390)</f>
        <v>1.0395302871759098</v>
      </c>
      <c r="V390" s="13">
        <f>IF('0.0%'!$N390&lt;$Z$3,0, '0.0%'!$P390/'0.0%'!$N390)</f>
        <v>1.047785141262644</v>
      </c>
      <c r="W390" s="13">
        <f>IF('0.0%'!$N390&lt;$Z$3,0, '0.0%'!$Q390/'0.0%'!$N390)</f>
        <v>1.0342983374026276</v>
      </c>
      <c r="X390" s="13">
        <f>IF('0.0%'!$N390&lt;$Z$3,0, '0.0%'!$R390/'0.0%'!$N390)</f>
        <v>1.0585978374607603</v>
      </c>
      <c r="Y390" s="13">
        <f>IF('0.0%'!$N390&lt;$Z$3,0, '0.0%'!$S390/'0.0%'!$N390)</f>
        <v>1.1101034763399604</v>
      </c>
    </row>
    <row r="391" spans="1:25" x14ac:dyDescent="0.3">
      <c r="A391" s="17">
        <v>456.08</v>
      </c>
      <c r="B391" s="10">
        <v>844.3</v>
      </c>
      <c r="C391" s="9">
        <v>456.08</v>
      </c>
      <c r="D391" s="10">
        <v>879.5</v>
      </c>
      <c r="E391" s="11">
        <v>456.08</v>
      </c>
      <c r="F391" s="12">
        <v>884.7</v>
      </c>
      <c r="G391" s="11">
        <v>456.08</v>
      </c>
      <c r="H391" s="12">
        <v>872.7</v>
      </c>
      <c r="I391" s="11">
        <v>456.08</v>
      </c>
      <c r="J391" s="12">
        <v>892.8</v>
      </c>
      <c r="K391" s="11">
        <v>456.08</v>
      </c>
      <c r="L391" s="12">
        <v>937</v>
      </c>
      <c r="M391" s="11">
        <v>456.08</v>
      </c>
      <c r="N391" s="13">
        <v>844.3</v>
      </c>
      <c r="O391" s="13">
        <v>879.5</v>
      </c>
      <c r="P391" s="13">
        <v>884.7</v>
      </c>
      <c r="Q391" s="11">
        <v>872.7</v>
      </c>
      <c r="R391" s="11">
        <v>892.8</v>
      </c>
      <c r="S391" s="14">
        <v>937</v>
      </c>
      <c r="T391" s="11">
        <v>456.08</v>
      </c>
      <c r="U391" s="13">
        <f>IF('0.0%'!$N391&lt;$Z$3,0, '0.0%'!$O391/'0.0%'!$N391)</f>
        <v>1.0416913419400688</v>
      </c>
      <c r="V391" s="13">
        <f>IF('0.0%'!$N391&lt;$Z$3,0, '0.0%'!$P391/'0.0%'!$N391)</f>
        <v>1.0478502901812152</v>
      </c>
      <c r="W391" s="13">
        <f>IF('0.0%'!$N391&lt;$Z$3,0, '0.0%'!$Q391/'0.0%'!$N391)</f>
        <v>1.0336373327016464</v>
      </c>
      <c r="X391" s="13">
        <f>IF('0.0%'!$N391&lt;$Z$3,0, '0.0%'!$R391/'0.0%'!$N391)</f>
        <v>1.0574440364799242</v>
      </c>
      <c r="Y391" s="13">
        <f>IF('0.0%'!$N391&lt;$Z$3,0, '0.0%'!$S391/'0.0%'!$N391)</f>
        <v>1.1097950965296697</v>
      </c>
    </row>
    <row r="392" spans="1:25" x14ac:dyDescent="0.3">
      <c r="A392" s="17">
        <v>457.07</v>
      </c>
      <c r="B392" s="10">
        <v>831.8</v>
      </c>
      <c r="C392" s="9">
        <v>457.07</v>
      </c>
      <c r="D392" s="10">
        <v>868.2</v>
      </c>
      <c r="E392" s="11">
        <v>457.07</v>
      </c>
      <c r="F392" s="12">
        <v>871.6</v>
      </c>
      <c r="G392" s="11">
        <v>457.07</v>
      </c>
      <c r="H392" s="12">
        <v>859.4</v>
      </c>
      <c r="I392" s="11">
        <v>457.07</v>
      </c>
      <c r="J392" s="12">
        <v>878.9</v>
      </c>
      <c r="K392" s="11">
        <v>457.07</v>
      </c>
      <c r="L392" s="12">
        <v>923.1</v>
      </c>
      <c r="M392" s="11">
        <v>457.07</v>
      </c>
      <c r="N392" s="13">
        <v>831.8</v>
      </c>
      <c r="O392" s="13">
        <v>868.2</v>
      </c>
      <c r="P392" s="13">
        <v>871.6</v>
      </c>
      <c r="Q392" s="11">
        <v>859.4</v>
      </c>
      <c r="R392" s="11">
        <v>878.9</v>
      </c>
      <c r="S392" s="14">
        <v>923.1</v>
      </c>
      <c r="T392" s="11">
        <v>457.07</v>
      </c>
      <c r="U392" s="13">
        <f>IF('0.0%'!$N392&lt;$Z$3,0, '0.0%'!$O392/'0.0%'!$N392)</f>
        <v>1.0437605193556145</v>
      </c>
      <c r="V392" s="13">
        <f>IF('0.0%'!$N392&lt;$Z$3,0, '0.0%'!$P392/'0.0%'!$N392)</f>
        <v>1.0478480403943256</v>
      </c>
      <c r="W392" s="13">
        <f>IF('0.0%'!$N392&lt;$Z$3,0, '0.0%'!$Q392/'0.0%'!$N392)</f>
        <v>1.0331810531377736</v>
      </c>
      <c r="X392" s="13">
        <f>IF('0.0%'!$N392&lt;$Z$3,0, '0.0%'!$R392/'0.0%'!$N392)</f>
        <v>1.0566241885068526</v>
      </c>
      <c r="Y392" s="13">
        <f>IF('0.0%'!$N392&lt;$Z$3,0, '0.0%'!$S392/'0.0%'!$N392)</f>
        <v>1.1097619620100987</v>
      </c>
    </row>
    <row r="393" spans="1:25" x14ac:dyDescent="0.3">
      <c r="A393" s="17">
        <v>458.06</v>
      </c>
      <c r="B393" s="10">
        <v>817.9</v>
      </c>
      <c r="C393" s="9">
        <v>458.06</v>
      </c>
      <c r="D393" s="10">
        <v>855.6</v>
      </c>
      <c r="E393" s="11">
        <v>458.06</v>
      </c>
      <c r="F393" s="12">
        <v>857</v>
      </c>
      <c r="G393" s="11">
        <v>458.06</v>
      </c>
      <c r="H393" s="12">
        <v>844.6</v>
      </c>
      <c r="I393" s="11">
        <v>458.06</v>
      </c>
      <c r="J393" s="12">
        <v>864.1</v>
      </c>
      <c r="K393" s="11">
        <v>458.06</v>
      </c>
      <c r="L393" s="12">
        <v>908</v>
      </c>
      <c r="M393" s="11">
        <v>458.06</v>
      </c>
      <c r="N393" s="13">
        <v>817.9</v>
      </c>
      <c r="O393" s="13">
        <v>855.6</v>
      </c>
      <c r="P393" s="13">
        <v>857</v>
      </c>
      <c r="Q393" s="11">
        <v>844.6</v>
      </c>
      <c r="R393" s="11">
        <v>864.1</v>
      </c>
      <c r="S393" s="14">
        <v>908</v>
      </c>
      <c r="T393" s="11">
        <v>458.06</v>
      </c>
      <c r="U393" s="13">
        <f>IF('0.0%'!$N393&lt;$Z$3,0, '0.0%'!$O393/'0.0%'!$N393)</f>
        <v>1.046093654480988</v>
      </c>
      <c r="V393" s="13">
        <f>IF('0.0%'!$N393&lt;$Z$3,0, '0.0%'!$P393/'0.0%'!$N393)</f>
        <v>1.0478053551778945</v>
      </c>
      <c r="W393" s="13">
        <f>IF('0.0%'!$N393&lt;$Z$3,0, '0.0%'!$Q393/'0.0%'!$N393)</f>
        <v>1.032644577576721</v>
      </c>
      <c r="X393" s="13">
        <f>IF('0.0%'!$N393&lt;$Z$3,0, '0.0%'!$R393/'0.0%'!$N393)</f>
        <v>1.0564861229979217</v>
      </c>
      <c r="Y393" s="13">
        <f>IF('0.0%'!$N393&lt;$Z$3,0, '0.0%'!$S393/'0.0%'!$N393)</f>
        <v>1.1101601662794962</v>
      </c>
    </row>
    <row r="394" spans="1:25" x14ac:dyDescent="0.3">
      <c r="A394" s="17">
        <v>459.05</v>
      </c>
      <c r="B394" s="10">
        <v>806.9</v>
      </c>
      <c r="C394" s="9">
        <v>459.05</v>
      </c>
      <c r="D394" s="10">
        <v>845.9</v>
      </c>
      <c r="E394" s="11">
        <v>459.05</v>
      </c>
      <c r="F394" s="12">
        <v>845.3</v>
      </c>
      <c r="G394" s="11">
        <v>459.05</v>
      </c>
      <c r="H394" s="12">
        <v>833</v>
      </c>
      <c r="I394" s="11">
        <v>459.05</v>
      </c>
      <c r="J394" s="12">
        <v>852.5</v>
      </c>
      <c r="K394" s="11">
        <v>459.05</v>
      </c>
      <c r="L394" s="12">
        <v>896.3</v>
      </c>
      <c r="M394" s="11">
        <v>459.05</v>
      </c>
      <c r="N394" s="13">
        <v>806.9</v>
      </c>
      <c r="O394" s="13">
        <v>845.9</v>
      </c>
      <c r="P394" s="13">
        <v>845.3</v>
      </c>
      <c r="Q394" s="11">
        <v>833</v>
      </c>
      <c r="R394" s="11">
        <v>852.5</v>
      </c>
      <c r="S394" s="14">
        <v>896.3</v>
      </c>
      <c r="T394" s="11">
        <v>459.05</v>
      </c>
      <c r="U394" s="13">
        <f>IF('0.0%'!$N394&lt;$Z$3,0, '0.0%'!$O394/'0.0%'!$N394)</f>
        <v>1.0483331267815095</v>
      </c>
      <c r="V394" s="13">
        <f>IF('0.0%'!$N394&lt;$Z$3,0, '0.0%'!$P394/'0.0%'!$N394)</f>
        <v>1.0475895402156401</v>
      </c>
      <c r="W394" s="13">
        <f>IF('0.0%'!$N394&lt;$Z$3,0, '0.0%'!$Q394/'0.0%'!$N394)</f>
        <v>1.0323460156153179</v>
      </c>
      <c r="X394" s="13">
        <f>IF('0.0%'!$N394&lt;$Z$3,0, '0.0%'!$R394/'0.0%'!$N394)</f>
        <v>1.0565125790060728</v>
      </c>
      <c r="Y394" s="13">
        <f>IF('0.0%'!$N394&lt;$Z$3,0, '0.0%'!$S394/'0.0%'!$N394)</f>
        <v>1.1107943983145372</v>
      </c>
    </row>
    <row r="395" spans="1:25" x14ac:dyDescent="0.3">
      <c r="A395" s="17">
        <v>460.04</v>
      </c>
      <c r="B395" s="10">
        <v>794.5</v>
      </c>
      <c r="C395" s="9">
        <v>460.04</v>
      </c>
      <c r="D395" s="10">
        <v>835</v>
      </c>
      <c r="E395" s="11">
        <v>460.04</v>
      </c>
      <c r="F395" s="12">
        <v>832.3</v>
      </c>
      <c r="G395" s="11">
        <v>460.04</v>
      </c>
      <c r="H395" s="12">
        <v>820</v>
      </c>
      <c r="I395" s="11">
        <v>460.04</v>
      </c>
      <c r="J395" s="12">
        <v>840</v>
      </c>
      <c r="K395" s="11">
        <v>460.04</v>
      </c>
      <c r="L395" s="12">
        <v>883.4</v>
      </c>
      <c r="M395" s="11">
        <v>460.04</v>
      </c>
      <c r="N395" s="13">
        <v>794.5</v>
      </c>
      <c r="O395" s="13">
        <v>835</v>
      </c>
      <c r="P395" s="13">
        <v>832.3</v>
      </c>
      <c r="Q395" s="11">
        <v>820</v>
      </c>
      <c r="R395" s="11">
        <v>840</v>
      </c>
      <c r="S395" s="14">
        <v>883.4</v>
      </c>
      <c r="T395" s="11">
        <v>460.04</v>
      </c>
      <c r="U395" s="13">
        <f>IF('0.0%'!$N395&lt;$Z$3,0, '0.0%'!$O395/'0.0%'!$N395)</f>
        <v>1.0509754562617999</v>
      </c>
      <c r="V395" s="13">
        <f>IF('0.0%'!$N395&lt;$Z$3,0, '0.0%'!$P395/'0.0%'!$N395)</f>
        <v>1.0475770925110131</v>
      </c>
      <c r="W395" s="13">
        <f>IF('0.0%'!$N395&lt;$Z$3,0, '0.0%'!$Q395/'0.0%'!$N395)</f>
        <v>1.0320956576463185</v>
      </c>
      <c r="X395" s="13">
        <f>IF('0.0%'!$N395&lt;$Z$3,0, '0.0%'!$R395/'0.0%'!$N395)</f>
        <v>1.0572687224669604</v>
      </c>
      <c r="Y395" s="13">
        <f>IF('0.0%'!$N395&lt;$Z$3,0, '0.0%'!$S395/'0.0%'!$N395)</f>
        <v>1.1118942731277532</v>
      </c>
    </row>
    <row r="396" spans="1:25" x14ac:dyDescent="0.3">
      <c r="A396" s="17">
        <v>461.04</v>
      </c>
      <c r="B396" s="10">
        <v>784.9</v>
      </c>
      <c r="C396" s="9">
        <v>461.04</v>
      </c>
      <c r="D396" s="10">
        <v>826.7</v>
      </c>
      <c r="E396" s="11">
        <v>461.04</v>
      </c>
      <c r="F396" s="12">
        <v>822</v>
      </c>
      <c r="G396" s="11">
        <v>461.04</v>
      </c>
      <c r="H396" s="12">
        <v>809.9</v>
      </c>
      <c r="I396" s="11">
        <v>461.04</v>
      </c>
      <c r="J396" s="12">
        <v>830.3</v>
      </c>
      <c r="K396" s="11">
        <v>461.04</v>
      </c>
      <c r="L396" s="12">
        <v>873.8</v>
      </c>
      <c r="M396" s="11">
        <v>461.04</v>
      </c>
      <c r="N396" s="13">
        <v>784.9</v>
      </c>
      <c r="O396" s="13">
        <v>826.7</v>
      </c>
      <c r="P396" s="13">
        <v>822</v>
      </c>
      <c r="Q396" s="11">
        <v>809.9</v>
      </c>
      <c r="R396" s="11">
        <v>830.3</v>
      </c>
      <c r="S396" s="14">
        <v>873.8</v>
      </c>
      <c r="T396" s="11">
        <v>461.04</v>
      </c>
      <c r="U396" s="13">
        <f>IF('0.0%'!$N396&lt;$Z$3,0, '0.0%'!$O396/'0.0%'!$N396)</f>
        <v>1.0532551917441713</v>
      </c>
      <c r="V396" s="13">
        <f>IF('0.0%'!$N396&lt;$Z$3,0, '0.0%'!$P396/'0.0%'!$N396)</f>
        <v>1.0472671677920755</v>
      </c>
      <c r="W396" s="13">
        <f>IF('0.0%'!$N396&lt;$Z$3,0, '0.0%'!$Q396/'0.0%'!$N396)</f>
        <v>1.0318511912345523</v>
      </c>
      <c r="X396" s="13">
        <f>IF('0.0%'!$N396&lt;$Z$3,0, '0.0%'!$R396/'0.0%'!$N396)</f>
        <v>1.0578417632819468</v>
      </c>
      <c r="Y396" s="13">
        <f>IF('0.0%'!$N396&lt;$Z$3,0, '0.0%'!$S396/'0.0%'!$N396)</f>
        <v>1.1132628360300676</v>
      </c>
    </row>
    <row r="397" spans="1:25" x14ac:dyDescent="0.3">
      <c r="A397" s="17">
        <v>462.03</v>
      </c>
      <c r="B397" s="10">
        <v>773.8</v>
      </c>
      <c r="C397" s="9">
        <v>462.03</v>
      </c>
      <c r="D397" s="10">
        <v>817.1</v>
      </c>
      <c r="E397" s="11">
        <v>462.03</v>
      </c>
      <c r="F397" s="12">
        <v>810.2</v>
      </c>
      <c r="G397" s="11">
        <v>462.03</v>
      </c>
      <c r="H397" s="12">
        <v>798.5</v>
      </c>
      <c r="I397" s="11">
        <v>462.03</v>
      </c>
      <c r="J397" s="12">
        <v>819.4</v>
      </c>
      <c r="K397" s="11">
        <v>462.03</v>
      </c>
      <c r="L397" s="12">
        <v>862.9</v>
      </c>
      <c r="M397" s="11">
        <v>462.03</v>
      </c>
      <c r="N397" s="13">
        <v>773.8</v>
      </c>
      <c r="O397" s="13">
        <v>817.1</v>
      </c>
      <c r="P397" s="13">
        <v>810.2</v>
      </c>
      <c r="Q397" s="11">
        <v>798.5</v>
      </c>
      <c r="R397" s="11">
        <v>819.4</v>
      </c>
      <c r="S397" s="14">
        <v>862.9</v>
      </c>
      <c r="T397" s="11">
        <v>462.03</v>
      </c>
      <c r="U397" s="13">
        <f>IF('0.0%'!$N397&lt;$Z$3,0, '0.0%'!$O397/'0.0%'!$N397)</f>
        <v>1.0559576117859912</v>
      </c>
      <c r="V397" s="13">
        <f>IF('0.0%'!$N397&lt;$Z$3,0, '0.0%'!$P397/'0.0%'!$N397)</f>
        <v>1.047040578960972</v>
      </c>
      <c r="W397" s="13">
        <f>IF('0.0%'!$N397&lt;$Z$3,0, '0.0%'!$Q397/'0.0%'!$N397)</f>
        <v>1.0319203928663738</v>
      </c>
      <c r="X397" s="13">
        <f>IF('0.0%'!$N397&lt;$Z$3,0, '0.0%'!$R397/'0.0%'!$N397)</f>
        <v>1.0589299560609977</v>
      </c>
      <c r="Y397" s="13">
        <f>IF('0.0%'!$N397&lt;$Z$3,0, '0.0%'!$S397/'0.0%'!$N397)</f>
        <v>1.1151460325665548</v>
      </c>
    </row>
    <row r="398" spans="1:25" x14ac:dyDescent="0.3">
      <c r="A398" s="17">
        <v>463.02</v>
      </c>
      <c r="B398" s="10">
        <v>765.6</v>
      </c>
      <c r="C398" s="9">
        <v>463.02</v>
      </c>
      <c r="D398" s="10">
        <v>810.2</v>
      </c>
      <c r="E398" s="11">
        <v>463.02</v>
      </c>
      <c r="F398" s="12">
        <v>801.1</v>
      </c>
      <c r="G398" s="11">
        <v>463.02</v>
      </c>
      <c r="H398" s="12">
        <v>790.1</v>
      </c>
      <c r="I398" s="11">
        <v>463.02</v>
      </c>
      <c r="J398" s="12">
        <v>811.4</v>
      </c>
      <c r="K398" s="11">
        <v>463.02</v>
      </c>
      <c r="L398" s="12">
        <v>855.2</v>
      </c>
      <c r="M398" s="11">
        <v>463.02</v>
      </c>
      <c r="N398" s="13">
        <v>765.6</v>
      </c>
      <c r="O398" s="13">
        <v>810.2</v>
      </c>
      <c r="P398" s="13">
        <v>801.1</v>
      </c>
      <c r="Q398" s="11">
        <v>790.1</v>
      </c>
      <c r="R398" s="11">
        <v>811.4</v>
      </c>
      <c r="S398" s="14">
        <v>855.2</v>
      </c>
      <c r="T398" s="11">
        <v>463.02</v>
      </c>
      <c r="U398" s="13">
        <f>IF('0.0%'!$N398&lt;$Z$3,0, '0.0%'!$O398/'0.0%'!$N398)</f>
        <v>1.0582549634273772</v>
      </c>
      <c r="V398" s="13">
        <f>IF('0.0%'!$N398&lt;$Z$3,0, '0.0%'!$P398/'0.0%'!$N398)</f>
        <v>1.0463688610240334</v>
      </c>
      <c r="W398" s="13">
        <f>IF('0.0%'!$N398&lt;$Z$3,0, '0.0%'!$Q398/'0.0%'!$N398)</f>
        <v>1.0320010449320793</v>
      </c>
      <c r="X398" s="13">
        <f>IF('0.0%'!$N398&lt;$Z$3,0, '0.0%'!$R398/'0.0%'!$N398)</f>
        <v>1.0598223615464994</v>
      </c>
      <c r="Y398" s="13">
        <f>IF('0.0%'!$N398&lt;$Z$3,0, '0.0%'!$S398/'0.0%'!$N398)</f>
        <v>1.1170323928944619</v>
      </c>
    </row>
    <row r="399" spans="1:25" x14ac:dyDescent="0.3">
      <c r="A399" s="17">
        <v>464.01</v>
      </c>
      <c r="B399" s="10">
        <v>755.7</v>
      </c>
      <c r="C399" s="9">
        <v>464.01</v>
      </c>
      <c r="D399" s="10">
        <v>801.8</v>
      </c>
      <c r="E399" s="11">
        <v>464.01</v>
      </c>
      <c r="F399" s="12">
        <v>790.2</v>
      </c>
      <c r="G399" s="11">
        <v>464.01</v>
      </c>
      <c r="H399" s="12">
        <v>780</v>
      </c>
      <c r="I399" s="11">
        <v>464.01</v>
      </c>
      <c r="J399" s="12">
        <v>801.8</v>
      </c>
      <c r="K399" s="11">
        <v>464.01</v>
      </c>
      <c r="L399" s="12">
        <v>846.1</v>
      </c>
      <c r="M399" s="11">
        <v>464.01</v>
      </c>
      <c r="N399" s="13">
        <v>755.7</v>
      </c>
      <c r="O399" s="13">
        <v>801.8</v>
      </c>
      <c r="P399" s="13">
        <v>790.2</v>
      </c>
      <c r="Q399" s="11">
        <v>780</v>
      </c>
      <c r="R399" s="11">
        <v>801.8</v>
      </c>
      <c r="S399" s="14">
        <v>846.1</v>
      </c>
      <c r="T399" s="11">
        <v>464.01</v>
      </c>
      <c r="U399" s="13">
        <f>IF('0.0%'!$N399&lt;$Z$3,0, '0.0%'!$O399/'0.0%'!$N399)</f>
        <v>1.0610030435357944</v>
      </c>
      <c r="V399" s="13">
        <f>IF('0.0%'!$N399&lt;$Z$3,0, '0.0%'!$P399/'0.0%'!$N399)</f>
        <v>1.0456530369194124</v>
      </c>
      <c r="W399" s="13">
        <f>IF('0.0%'!$N399&lt;$Z$3,0, '0.0%'!$Q399/'0.0%'!$N399)</f>
        <v>1.0321556173084556</v>
      </c>
      <c r="X399" s="13">
        <f>IF('0.0%'!$N399&lt;$Z$3,0, '0.0%'!$R399/'0.0%'!$N399)</f>
        <v>1.0610030435357944</v>
      </c>
      <c r="Y399" s="13">
        <f>IF('0.0%'!$N399&lt;$Z$3,0, '0.0%'!$S399/'0.0%'!$N399)</f>
        <v>1.1196241894931851</v>
      </c>
    </row>
    <row r="400" spans="1:25" x14ac:dyDescent="0.3">
      <c r="A400" s="17">
        <v>465</v>
      </c>
      <c r="B400" s="10">
        <v>749.1</v>
      </c>
      <c r="C400" s="9">
        <v>465</v>
      </c>
      <c r="D400" s="10">
        <v>796.4</v>
      </c>
      <c r="E400" s="11">
        <v>465</v>
      </c>
      <c r="F400" s="12">
        <v>782.7</v>
      </c>
      <c r="G400" s="11">
        <v>465</v>
      </c>
      <c r="H400" s="12">
        <v>773.4</v>
      </c>
      <c r="I400" s="11">
        <v>465</v>
      </c>
      <c r="J400" s="12">
        <v>795.8</v>
      </c>
      <c r="K400" s="11">
        <v>465</v>
      </c>
      <c r="L400" s="12">
        <v>840.8</v>
      </c>
      <c r="M400" s="11">
        <v>465</v>
      </c>
      <c r="N400" s="13">
        <v>749.1</v>
      </c>
      <c r="O400" s="13">
        <v>796.4</v>
      </c>
      <c r="P400" s="13">
        <v>782.7</v>
      </c>
      <c r="Q400" s="11">
        <v>773.4</v>
      </c>
      <c r="R400" s="11">
        <v>795.8</v>
      </c>
      <c r="S400" s="14">
        <v>840.8</v>
      </c>
      <c r="T400" s="11">
        <v>465</v>
      </c>
      <c r="U400" s="13">
        <f>IF('0.0%'!$N400&lt;$Z$3,0, '0.0%'!$O400/'0.0%'!$N400)</f>
        <v>1.0631424375917768</v>
      </c>
      <c r="V400" s="13">
        <f>IF('0.0%'!$N400&lt;$Z$3,0, '0.0%'!$P400/'0.0%'!$N400)</f>
        <v>1.0448538245895074</v>
      </c>
      <c r="W400" s="13">
        <f>IF('0.0%'!$N400&lt;$Z$3,0, '0.0%'!$Q400/'0.0%'!$N400)</f>
        <v>1.0324389267120544</v>
      </c>
      <c r="X400" s="13">
        <f>IF('0.0%'!$N400&lt;$Z$3,0, '0.0%'!$R400/'0.0%'!$N400)</f>
        <v>1.0623414764383927</v>
      </c>
      <c r="Y400" s="13">
        <f>IF('0.0%'!$N400&lt;$Z$3,0, '0.0%'!$S400/'0.0%'!$N400)</f>
        <v>1.1224135629421972</v>
      </c>
    </row>
    <row r="401" spans="1:25" x14ac:dyDescent="0.3">
      <c r="A401" s="17">
        <v>465.99</v>
      </c>
      <c r="B401" s="10">
        <v>741.6</v>
      </c>
      <c r="C401" s="9">
        <v>465.99</v>
      </c>
      <c r="D401" s="10">
        <v>790.1</v>
      </c>
      <c r="E401" s="11">
        <v>465.99</v>
      </c>
      <c r="F401" s="12">
        <v>774.2</v>
      </c>
      <c r="G401" s="11">
        <v>465.99</v>
      </c>
      <c r="H401" s="12">
        <v>765.8</v>
      </c>
      <c r="I401" s="11">
        <v>465.99</v>
      </c>
      <c r="J401" s="12">
        <v>789.1</v>
      </c>
      <c r="K401" s="11">
        <v>465.99</v>
      </c>
      <c r="L401" s="12">
        <v>834.9</v>
      </c>
      <c r="M401" s="11">
        <v>465.99</v>
      </c>
      <c r="N401" s="13">
        <v>741.6</v>
      </c>
      <c r="O401" s="13">
        <v>790.1</v>
      </c>
      <c r="P401" s="13">
        <v>774.2</v>
      </c>
      <c r="Q401" s="11">
        <v>765.8</v>
      </c>
      <c r="R401" s="11">
        <v>789.1</v>
      </c>
      <c r="S401" s="14">
        <v>834.9</v>
      </c>
      <c r="T401" s="11">
        <v>465.99</v>
      </c>
      <c r="U401" s="13">
        <f>IF('0.0%'!$N401&lt;$Z$3,0, '0.0%'!$O401/'0.0%'!$N401)</f>
        <v>1.0653991370010787</v>
      </c>
      <c r="V401" s="13">
        <f>IF('0.0%'!$N401&lt;$Z$3,0, '0.0%'!$P401/'0.0%'!$N401)</f>
        <v>1.0439590075512406</v>
      </c>
      <c r="W401" s="13">
        <f>IF('0.0%'!$N401&lt;$Z$3,0, '0.0%'!$Q401/'0.0%'!$N401)</f>
        <v>1.0326321467098165</v>
      </c>
      <c r="X401" s="13">
        <f>IF('0.0%'!$N401&lt;$Z$3,0, '0.0%'!$R401/'0.0%'!$N401)</f>
        <v>1.0640507011866236</v>
      </c>
      <c r="Y401" s="13">
        <f>IF('0.0%'!$N401&lt;$Z$3,0, '0.0%'!$S401/'0.0%'!$N401)</f>
        <v>1.1258090614886731</v>
      </c>
    </row>
    <row r="402" spans="1:25" x14ac:dyDescent="0.3">
      <c r="A402" s="17">
        <v>466.99</v>
      </c>
      <c r="B402" s="10">
        <v>738</v>
      </c>
      <c r="C402" s="9">
        <v>466.99</v>
      </c>
      <c r="D402" s="10">
        <v>787.7</v>
      </c>
      <c r="E402" s="11">
        <v>466.99</v>
      </c>
      <c r="F402" s="12">
        <v>769.8</v>
      </c>
      <c r="G402" s="11">
        <v>466.99</v>
      </c>
      <c r="H402" s="12">
        <v>762.3</v>
      </c>
      <c r="I402" s="11">
        <v>466.99</v>
      </c>
      <c r="J402" s="12">
        <v>786.8</v>
      </c>
      <c r="K402" s="11">
        <v>466.99</v>
      </c>
      <c r="L402" s="12">
        <v>833.3</v>
      </c>
      <c r="M402" s="11">
        <v>466.99</v>
      </c>
      <c r="N402" s="13">
        <v>738</v>
      </c>
      <c r="O402" s="13">
        <v>787.7</v>
      </c>
      <c r="P402" s="13">
        <v>769.8</v>
      </c>
      <c r="Q402" s="11">
        <v>762.3</v>
      </c>
      <c r="R402" s="11">
        <v>786.8</v>
      </c>
      <c r="S402" s="14">
        <v>833.3</v>
      </c>
      <c r="T402" s="11">
        <v>466.99</v>
      </c>
      <c r="U402" s="13">
        <f>IF('0.0%'!$N402&lt;$Z$3,0, '0.0%'!$O402/'0.0%'!$N402)</f>
        <v>1.0673441734417344</v>
      </c>
      <c r="V402" s="13">
        <f>IF('0.0%'!$N402&lt;$Z$3,0, '0.0%'!$P402/'0.0%'!$N402)</f>
        <v>1.0430894308943088</v>
      </c>
      <c r="W402" s="13">
        <f>IF('0.0%'!$N402&lt;$Z$3,0, '0.0%'!$Q402/'0.0%'!$N402)</f>
        <v>1.0329268292682927</v>
      </c>
      <c r="X402" s="13">
        <f>IF('0.0%'!$N402&lt;$Z$3,0, '0.0%'!$R402/'0.0%'!$N402)</f>
        <v>1.0661246612466124</v>
      </c>
      <c r="Y402" s="13">
        <f>IF('0.0%'!$N402&lt;$Z$3,0, '0.0%'!$S402/'0.0%'!$N402)</f>
        <v>1.1291327913279132</v>
      </c>
    </row>
    <row r="403" spans="1:25" x14ac:dyDescent="0.3">
      <c r="A403" s="17">
        <v>467.98</v>
      </c>
      <c r="B403" s="10">
        <v>734.3</v>
      </c>
      <c r="C403" s="9">
        <v>467.98</v>
      </c>
      <c r="D403" s="10">
        <v>785.5</v>
      </c>
      <c r="E403" s="11">
        <v>467.98</v>
      </c>
      <c r="F403" s="12">
        <v>765.3</v>
      </c>
      <c r="G403" s="11">
        <v>467.98</v>
      </c>
      <c r="H403" s="12">
        <v>758.4</v>
      </c>
      <c r="I403" s="11">
        <v>467.98</v>
      </c>
      <c r="J403" s="12">
        <v>784.7</v>
      </c>
      <c r="K403" s="11">
        <v>467.98</v>
      </c>
      <c r="L403" s="12">
        <v>832.3</v>
      </c>
      <c r="M403" s="11">
        <v>467.98</v>
      </c>
      <c r="N403" s="13">
        <v>734.3</v>
      </c>
      <c r="O403" s="13">
        <v>785.5</v>
      </c>
      <c r="P403" s="13">
        <v>765.3</v>
      </c>
      <c r="Q403" s="11">
        <v>758.4</v>
      </c>
      <c r="R403" s="11">
        <v>784.7</v>
      </c>
      <c r="S403" s="14">
        <v>832.3</v>
      </c>
      <c r="T403" s="11">
        <v>467.98</v>
      </c>
      <c r="U403" s="13">
        <f>IF('0.0%'!$N403&lt;$Z$3,0, '0.0%'!$O403/'0.0%'!$N403)</f>
        <v>1.0697262699169277</v>
      </c>
      <c r="V403" s="13">
        <f>IF('0.0%'!$N403&lt;$Z$3,0, '0.0%'!$P403/'0.0%'!$N403)</f>
        <v>1.0422170774887649</v>
      </c>
      <c r="W403" s="13">
        <f>IF('0.0%'!$N403&lt;$Z$3,0, '0.0%'!$Q403/'0.0%'!$N403)</f>
        <v>1.0328203731444914</v>
      </c>
      <c r="X403" s="13">
        <f>IF('0.0%'!$N403&lt;$Z$3,0, '0.0%'!$R403/'0.0%'!$N403)</f>
        <v>1.0686367969494759</v>
      </c>
      <c r="Y403" s="13">
        <f>IF('0.0%'!$N403&lt;$Z$3,0, '0.0%'!$S403/'0.0%'!$N403)</f>
        <v>1.1334604385128695</v>
      </c>
    </row>
    <row r="404" spans="1:25" x14ac:dyDescent="0.3">
      <c r="A404" s="17">
        <v>468.97</v>
      </c>
      <c r="B404" s="10">
        <v>735.6</v>
      </c>
      <c r="C404" s="9">
        <v>468.97</v>
      </c>
      <c r="D404" s="10">
        <v>788.5</v>
      </c>
      <c r="E404" s="11">
        <v>468.97</v>
      </c>
      <c r="F404" s="12">
        <v>765.9</v>
      </c>
      <c r="G404" s="11">
        <v>468.97</v>
      </c>
      <c r="H404" s="12">
        <v>759.8</v>
      </c>
      <c r="I404" s="11">
        <v>468.97</v>
      </c>
      <c r="J404" s="12">
        <v>788.2</v>
      </c>
      <c r="K404" s="11">
        <v>468.97</v>
      </c>
      <c r="L404" s="12">
        <v>836.6</v>
      </c>
      <c r="M404" s="11">
        <v>468.97</v>
      </c>
      <c r="N404" s="13">
        <v>735.6</v>
      </c>
      <c r="O404" s="13">
        <v>788.5</v>
      </c>
      <c r="P404" s="13">
        <v>765.9</v>
      </c>
      <c r="Q404" s="11">
        <v>759.8</v>
      </c>
      <c r="R404" s="11">
        <v>788.2</v>
      </c>
      <c r="S404" s="14">
        <v>836.6</v>
      </c>
      <c r="T404" s="11">
        <v>468.97</v>
      </c>
      <c r="U404" s="13">
        <f>IF('0.0%'!$N404&lt;$Z$3,0, '0.0%'!$O404/'0.0%'!$N404)</f>
        <v>1.0719140837411636</v>
      </c>
      <c r="V404" s="13">
        <f>IF('0.0%'!$N404&lt;$Z$3,0, '0.0%'!$P404/'0.0%'!$N404)</f>
        <v>1.0411908646003263</v>
      </c>
      <c r="W404" s="13">
        <f>IF('0.0%'!$N404&lt;$Z$3,0, '0.0%'!$Q404/'0.0%'!$N404)</f>
        <v>1.0328983143012507</v>
      </c>
      <c r="X404" s="13">
        <f>IF('0.0%'!$N404&lt;$Z$3,0, '0.0%'!$R404/'0.0%'!$N404)</f>
        <v>1.0715062533985862</v>
      </c>
      <c r="Y404" s="13">
        <f>IF('0.0%'!$N404&lt;$Z$3,0, '0.0%'!$S404/'0.0%'!$N404)</f>
        <v>1.1373028820010875</v>
      </c>
    </row>
    <row r="405" spans="1:25" x14ac:dyDescent="0.3">
      <c r="A405" s="17">
        <v>469.96</v>
      </c>
      <c r="B405" s="10">
        <v>738.5</v>
      </c>
      <c r="C405" s="9">
        <v>469.96</v>
      </c>
      <c r="D405" s="10">
        <v>793.3</v>
      </c>
      <c r="E405" s="11">
        <v>469.96</v>
      </c>
      <c r="F405" s="12">
        <v>768.1</v>
      </c>
      <c r="G405" s="11">
        <v>469.96</v>
      </c>
      <c r="H405" s="12">
        <v>762.8</v>
      </c>
      <c r="I405" s="11">
        <v>469.96</v>
      </c>
      <c r="J405" s="12">
        <v>793.8</v>
      </c>
      <c r="K405" s="11">
        <v>469.96</v>
      </c>
      <c r="L405" s="12">
        <v>843.2</v>
      </c>
      <c r="M405" s="11">
        <v>469.96</v>
      </c>
      <c r="N405" s="13">
        <v>738.5</v>
      </c>
      <c r="O405" s="13">
        <v>793.3</v>
      </c>
      <c r="P405" s="13">
        <v>768.1</v>
      </c>
      <c r="Q405" s="11">
        <v>762.8</v>
      </c>
      <c r="R405" s="11">
        <v>793.8</v>
      </c>
      <c r="S405" s="14">
        <v>843.2</v>
      </c>
      <c r="T405" s="11">
        <v>469.96</v>
      </c>
      <c r="U405" s="13">
        <f>IF('0.0%'!$N405&lt;$Z$3,0, '0.0%'!$O405/'0.0%'!$N405)</f>
        <v>1.0742044685172647</v>
      </c>
      <c r="V405" s="13">
        <f>IF('0.0%'!$N405&lt;$Z$3,0, '0.0%'!$P405/'0.0%'!$N405)</f>
        <v>1.0400812457684496</v>
      </c>
      <c r="W405" s="13">
        <f>IF('0.0%'!$N405&lt;$Z$3,0, '0.0%'!$Q405/'0.0%'!$N405)</f>
        <v>1.0329045362220717</v>
      </c>
      <c r="X405" s="13">
        <f>IF('0.0%'!$N405&lt;$Z$3,0, '0.0%'!$R405/'0.0%'!$N405)</f>
        <v>1.0748815165876777</v>
      </c>
      <c r="Y405" s="13">
        <f>IF('0.0%'!$N405&lt;$Z$3,0, '0.0%'!$S405/'0.0%'!$N405)</f>
        <v>1.141773865944482</v>
      </c>
    </row>
    <row r="406" spans="1:25" x14ac:dyDescent="0.3">
      <c r="A406" s="17">
        <v>470.95</v>
      </c>
      <c r="B406" s="10">
        <v>747.3</v>
      </c>
      <c r="C406" s="9">
        <v>470.95</v>
      </c>
      <c r="D406" s="10">
        <v>804.6</v>
      </c>
      <c r="E406" s="11">
        <v>470.95</v>
      </c>
      <c r="F406" s="12">
        <v>776.4</v>
      </c>
      <c r="G406" s="11">
        <v>470.95</v>
      </c>
      <c r="H406" s="12">
        <v>771.9</v>
      </c>
      <c r="I406" s="11">
        <v>470.95</v>
      </c>
      <c r="J406" s="12">
        <v>806.3</v>
      </c>
      <c r="K406" s="11">
        <v>470.95</v>
      </c>
      <c r="L406" s="12">
        <v>856.4</v>
      </c>
      <c r="M406" s="11">
        <v>470.95</v>
      </c>
      <c r="N406" s="13">
        <v>747.3</v>
      </c>
      <c r="O406" s="13">
        <v>804.6</v>
      </c>
      <c r="P406" s="13">
        <v>776.4</v>
      </c>
      <c r="Q406" s="11">
        <v>771.9</v>
      </c>
      <c r="R406" s="11">
        <v>806.3</v>
      </c>
      <c r="S406" s="14">
        <v>856.4</v>
      </c>
      <c r="T406" s="11">
        <v>470.95</v>
      </c>
      <c r="U406" s="13">
        <f>IF('0.0%'!$N406&lt;$Z$3,0, '0.0%'!$O406/'0.0%'!$N406)</f>
        <v>1.0766760337213972</v>
      </c>
      <c r="V406" s="13">
        <f>IF('0.0%'!$N406&lt;$Z$3,0, '0.0%'!$P406/'0.0%'!$N406)</f>
        <v>1.0389401846647932</v>
      </c>
      <c r="W406" s="13">
        <f>IF('0.0%'!$N406&lt;$Z$3,0, '0.0%'!$Q406/'0.0%'!$N406)</f>
        <v>1.0329185066238458</v>
      </c>
      <c r="X406" s="13">
        <f>IF('0.0%'!$N406&lt;$Z$3,0, '0.0%'!$R406/'0.0%'!$N406)</f>
        <v>1.0789508898701994</v>
      </c>
      <c r="Y406" s="13">
        <f>IF('0.0%'!$N406&lt;$Z$3,0, '0.0%'!$S406/'0.0%'!$N406)</f>
        <v>1.1459922387260806</v>
      </c>
    </row>
    <row r="407" spans="1:25" x14ac:dyDescent="0.3">
      <c r="A407" s="17">
        <v>471.95</v>
      </c>
      <c r="B407" s="10">
        <v>759.4</v>
      </c>
      <c r="C407" s="9">
        <v>471.95</v>
      </c>
      <c r="D407" s="10">
        <v>819.5</v>
      </c>
      <c r="E407" s="11">
        <v>471.95</v>
      </c>
      <c r="F407" s="12">
        <v>787.9</v>
      </c>
      <c r="G407" s="11">
        <v>471.95</v>
      </c>
      <c r="H407" s="12">
        <v>784.4</v>
      </c>
      <c r="I407" s="11">
        <v>471.95</v>
      </c>
      <c r="J407" s="12">
        <v>823.2</v>
      </c>
      <c r="K407" s="11">
        <v>471.95</v>
      </c>
      <c r="L407" s="12">
        <v>874.2</v>
      </c>
      <c r="M407" s="11">
        <v>471.95</v>
      </c>
      <c r="N407" s="13">
        <v>759.4</v>
      </c>
      <c r="O407" s="13">
        <v>819.5</v>
      </c>
      <c r="P407" s="13">
        <v>787.9</v>
      </c>
      <c r="Q407" s="11">
        <v>784.4</v>
      </c>
      <c r="R407" s="11">
        <v>823.2</v>
      </c>
      <c r="S407" s="14">
        <v>874.2</v>
      </c>
      <c r="T407" s="11">
        <v>471.95</v>
      </c>
      <c r="U407" s="13">
        <f>IF('0.0%'!$N407&lt;$Z$3,0, '0.0%'!$O407/'0.0%'!$N407)</f>
        <v>1.079141427442718</v>
      </c>
      <c r="V407" s="13">
        <f>IF('0.0%'!$N407&lt;$Z$3,0, '0.0%'!$P407/'0.0%'!$N407)</f>
        <v>1.0375296286542006</v>
      </c>
      <c r="W407" s="13">
        <f>IF('0.0%'!$N407&lt;$Z$3,0, '0.0%'!$Q407/'0.0%'!$N407)</f>
        <v>1.0329207268896496</v>
      </c>
      <c r="X407" s="13">
        <f>IF('0.0%'!$N407&lt;$Z$3,0, '0.0%'!$R407/'0.0%'!$N407)</f>
        <v>1.0840136950223862</v>
      </c>
      <c r="Y407" s="13">
        <f>IF('0.0%'!$N407&lt;$Z$3,0, '0.0%'!$S407/'0.0%'!$N407)</f>
        <v>1.1511719778772715</v>
      </c>
    </row>
    <row r="408" spans="1:25" x14ac:dyDescent="0.3">
      <c r="A408" s="17">
        <v>472.94</v>
      </c>
      <c r="B408" s="10">
        <v>778.5</v>
      </c>
      <c r="C408" s="9">
        <v>472.94</v>
      </c>
      <c r="D408" s="10">
        <v>842</v>
      </c>
      <c r="E408" s="11">
        <v>472.94</v>
      </c>
      <c r="F408" s="12">
        <v>806.7</v>
      </c>
      <c r="G408" s="11">
        <v>472.94</v>
      </c>
      <c r="H408" s="12">
        <v>804.1</v>
      </c>
      <c r="I408" s="11">
        <v>472.94</v>
      </c>
      <c r="J408" s="12">
        <v>848.4</v>
      </c>
      <c r="K408" s="11">
        <v>472.94</v>
      </c>
      <c r="L408" s="12">
        <v>899.9</v>
      </c>
      <c r="M408" s="11">
        <v>472.94</v>
      </c>
      <c r="N408" s="13">
        <v>778.5</v>
      </c>
      <c r="O408" s="13">
        <v>842</v>
      </c>
      <c r="P408" s="13">
        <v>806.7</v>
      </c>
      <c r="Q408" s="11">
        <v>804.1</v>
      </c>
      <c r="R408" s="11">
        <v>848.4</v>
      </c>
      <c r="S408" s="14">
        <v>899.9</v>
      </c>
      <c r="T408" s="11">
        <v>472.94</v>
      </c>
      <c r="U408" s="13">
        <f>IF('0.0%'!$N408&lt;$Z$3,0, '0.0%'!$O408/'0.0%'!$N408)</f>
        <v>1.0815671162491971</v>
      </c>
      <c r="V408" s="13">
        <f>IF('0.0%'!$N408&lt;$Z$3,0, '0.0%'!$P408/'0.0%'!$N408)</f>
        <v>1.036223506743738</v>
      </c>
      <c r="W408" s="13">
        <f>IF('0.0%'!$N408&lt;$Z$3,0, '0.0%'!$Q408/'0.0%'!$N408)</f>
        <v>1.0328837508028259</v>
      </c>
      <c r="X408" s="13">
        <f>IF('0.0%'!$N408&lt;$Z$3,0, '0.0%'!$R408/'0.0%'!$N408)</f>
        <v>1.0897880539499036</v>
      </c>
      <c r="Y408" s="13">
        <f>IF('0.0%'!$N408&lt;$Z$3,0, '0.0%'!$S408/'0.0%'!$N408)</f>
        <v>1.1559409120102762</v>
      </c>
    </row>
    <row r="409" spans="1:25" x14ac:dyDescent="0.3">
      <c r="A409" s="17">
        <v>473.93</v>
      </c>
      <c r="B409" s="10">
        <v>806.2</v>
      </c>
      <c r="C409" s="9">
        <v>473.93</v>
      </c>
      <c r="D409" s="10">
        <v>873.6</v>
      </c>
      <c r="E409" s="11">
        <v>473.93</v>
      </c>
      <c r="F409" s="12">
        <v>834.1</v>
      </c>
      <c r="G409" s="11">
        <v>473.93</v>
      </c>
      <c r="H409" s="12">
        <v>832.5</v>
      </c>
      <c r="I409" s="11">
        <v>473.93</v>
      </c>
      <c r="J409" s="12">
        <v>883</v>
      </c>
      <c r="K409" s="11">
        <v>473.93</v>
      </c>
      <c r="L409" s="12">
        <v>935</v>
      </c>
      <c r="M409" s="11">
        <v>473.93</v>
      </c>
      <c r="N409" s="13">
        <v>806.2</v>
      </c>
      <c r="O409" s="13">
        <v>873.6</v>
      </c>
      <c r="P409" s="13">
        <v>834.1</v>
      </c>
      <c r="Q409" s="11">
        <v>832.5</v>
      </c>
      <c r="R409" s="11">
        <v>883</v>
      </c>
      <c r="S409" s="14">
        <v>935</v>
      </c>
      <c r="T409" s="11">
        <v>473.93</v>
      </c>
      <c r="U409" s="13">
        <f>IF('0.0%'!$N409&lt;$Z$3,0, '0.0%'!$O409/'0.0%'!$N409)</f>
        <v>1.0836020838501612</v>
      </c>
      <c r="V409" s="13">
        <f>IF('0.0%'!$N409&lt;$Z$3,0, '0.0%'!$P409/'0.0%'!$N409)</f>
        <v>1.034606797320764</v>
      </c>
      <c r="W409" s="13">
        <f>IF('0.0%'!$N409&lt;$Z$3,0, '0.0%'!$Q409/'0.0%'!$N409)</f>
        <v>1.0326221781195732</v>
      </c>
      <c r="X409" s="13">
        <f>IF('0.0%'!$N409&lt;$Z$3,0, '0.0%'!$R409/'0.0%'!$N409)</f>
        <v>1.095261721657157</v>
      </c>
      <c r="Y409" s="13">
        <f>IF('0.0%'!$N409&lt;$Z$3,0, '0.0%'!$S409/'0.0%'!$N409)</f>
        <v>1.1597618456958569</v>
      </c>
    </row>
    <row r="410" spans="1:25" x14ac:dyDescent="0.3">
      <c r="A410" s="17">
        <v>474.92</v>
      </c>
      <c r="B410" s="10">
        <v>843.6</v>
      </c>
      <c r="C410" s="9">
        <v>474.92</v>
      </c>
      <c r="D410" s="10">
        <v>915.8</v>
      </c>
      <c r="E410" s="11">
        <v>474.92</v>
      </c>
      <c r="F410" s="12">
        <v>871.6</v>
      </c>
      <c r="G410" s="11">
        <v>474.92</v>
      </c>
      <c r="H410" s="12">
        <v>870.7</v>
      </c>
      <c r="I410" s="11">
        <v>474.92</v>
      </c>
      <c r="J410" s="12">
        <v>931.9</v>
      </c>
      <c r="K410" s="11">
        <v>474.92</v>
      </c>
      <c r="L410" s="12">
        <v>983.5</v>
      </c>
      <c r="M410" s="11">
        <v>474.92</v>
      </c>
      <c r="N410" s="13">
        <v>843.6</v>
      </c>
      <c r="O410" s="13">
        <v>915.8</v>
      </c>
      <c r="P410" s="13">
        <v>871.6</v>
      </c>
      <c r="Q410" s="11">
        <v>870.7</v>
      </c>
      <c r="R410" s="11">
        <v>931.9</v>
      </c>
      <c r="S410" s="14">
        <v>983.5</v>
      </c>
      <c r="T410" s="11">
        <v>474.92</v>
      </c>
      <c r="U410" s="13">
        <f>IF('0.0%'!$N410&lt;$Z$3,0, '0.0%'!$O410/'0.0%'!$N410)</f>
        <v>1.0855855855855856</v>
      </c>
      <c r="V410" s="13">
        <f>IF('0.0%'!$N410&lt;$Z$3,0, '0.0%'!$P410/'0.0%'!$N410)</f>
        <v>1.0331910858226647</v>
      </c>
      <c r="W410" s="13">
        <f>IF('0.0%'!$N410&lt;$Z$3,0, '0.0%'!$Q410/'0.0%'!$N410)</f>
        <v>1.0321242294926505</v>
      </c>
      <c r="X410" s="13">
        <f>IF('0.0%'!$N410&lt;$Z$3,0, '0.0%'!$R410/'0.0%'!$N410)</f>
        <v>1.1046704599336177</v>
      </c>
      <c r="Y410" s="13">
        <f>IF('0.0%'!$N410&lt;$Z$3,0, '0.0%'!$S410/'0.0%'!$N410)</f>
        <v>1.1658368895211</v>
      </c>
    </row>
    <row r="411" spans="1:25" x14ac:dyDescent="0.3">
      <c r="A411" s="17">
        <v>475.91</v>
      </c>
      <c r="B411" s="10">
        <v>890.7</v>
      </c>
      <c r="C411" s="9">
        <v>475.91</v>
      </c>
      <c r="D411" s="10">
        <v>968.3</v>
      </c>
      <c r="E411" s="11">
        <v>475.91</v>
      </c>
      <c r="F411" s="12">
        <v>918.7</v>
      </c>
      <c r="G411" s="11">
        <v>475.91</v>
      </c>
      <c r="H411" s="12">
        <v>918.4</v>
      </c>
      <c r="I411" s="11">
        <v>475.91</v>
      </c>
      <c r="J411" s="12">
        <v>989.4</v>
      </c>
      <c r="K411" s="11">
        <v>475.91</v>
      </c>
      <c r="L411" s="12">
        <v>1041</v>
      </c>
      <c r="M411" s="11">
        <v>475.91</v>
      </c>
      <c r="N411" s="13">
        <v>890.7</v>
      </c>
      <c r="O411" s="13">
        <v>968.3</v>
      </c>
      <c r="P411" s="13">
        <v>918.7</v>
      </c>
      <c r="Q411" s="11">
        <v>918.4</v>
      </c>
      <c r="R411" s="11">
        <v>989.4</v>
      </c>
      <c r="S411" s="14">
        <v>1041</v>
      </c>
      <c r="T411" s="11">
        <v>475.91</v>
      </c>
      <c r="U411" s="13">
        <f>IF('0.0%'!$N411&lt;$Z$3,0, '0.0%'!$O411/'0.0%'!$N411)</f>
        <v>1.0871224879308408</v>
      </c>
      <c r="V411" s="13">
        <f>IF('0.0%'!$N411&lt;$Z$3,0, '0.0%'!$P411/'0.0%'!$N411)</f>
        <v>1.0314359492533962</v>
      </c>
      <c r="W411" s="13">
        <f>IF('0.0%'!$N411&lt;$Z$3,0, '0.0%'!$Q411/'0.0%'!$N411)</f>
        <v>1.0310991355113954</v>
      </c>
      <c r="X411" s="13">
        <f>IF('0.0%'!$N411&lt;$Z$3,0, '0.0%'!$R411/'0.0%'!$N411)</f>
        <v>1.1108117211182216</v>
      </c>
      <c r="Y411" s="13">
        <f>IF('0.0%'!$N411&lt;$Z$3,0, '0.0%'!$S411/'0.0%'!$N411)</f>
        <v>1.1687436847423374</v>
      </c>
    </row>
    <row r="412" spans="1:25" x14ac:dyDescent="0.3">
      <c r="A412" s="17">
        <v>476.9</v>
      </c>
      <c r="B412" s="10">
        <v>958</v>
      </c>
      <c r="C412" s="9">
        <v>476.9</v>
      </c>
      <c r="D412" s="10">
        <v>1043.3</v>
      </c>
      <c r="E412" s="11">
        <v>476.9</v>
      </c>
      <c r="F412" s="12">
        <v>986.1</v>
      </c>
      <c r="G412" s="11">
        <v>476.9</v>
      </c>
      <c r="H412" s="12">
        <v>986.8</v>
      </c>
      <c r="I412" s="11">
        <v>476.9</v>
      </c>
      <c r="J412" s="12">
        <v>1069.0999999999999</v>
      </c>
      <c r="K412" s="11">
        <v>476.9</v>
      </c>
      <c r="L412" s="12">
        <v>1122.5</v>
      </c>
      <c r="M412" s="11">
        <v>476.9</v>
      </c>
      <c r="N412" s="13">
        <v>958</v>
      </c>
      <c r="O412" s="13">
        <v>1043.3</v>
      </c>
      <c r="P412" s="13">
        <v>986.1</v>
      </c>
      <c r="Q412" s="11">
        <v>986.8</v>
      </c>
      <c r="R412" s="11">
        <v>1069.0999999999999</v>
      </c>
      <c r="S412" s="14">
        <v>1122.5</v>
      </c>
      <c r="T412" s="11">
        <v>476.9</v>
      </c>
      <c r="U412" s="13">
        <f>IF('0.0%'!$N412&lt;$Z$3,0, '0.0%'!$O412/'0.0%'!$N412)</f>
        <v>1.0890396659707724</v>
      </c>
      <c r="V412" s="13">
        <f>IF('0.0%'!$N412&lt;$Z$3,0, '0.0%'!$P412/'0.0%'!$N412)</f>
        <v>1.0293319415448852</v>
      </c>
      <c r="W412" s="13">
        <f>IF('0.0%'!$N412&lt;$Z$3,0, '0.0%'!$Q412/'0.0%'!$N412)</f>
        <v>1.030062630480167</v>
      </c>
      <c r="X412" s="13">
        <f>IF('0.0%'!$N412&lt;$Z$3,0, '0.0%'!$R412/'0.0%'!$N412)</f>
        <v>1.1159707724425887</v>
      </c>
      <c r="Y412" s="13">
        <f>IF('0.0%'!$N412&lt;$Z$3,0, '0.0%'!$S412/'0.0%'!$N412)</f>
        <v>1.1717118997912317</v>
      </c>
    </row>
    <row r="413" spans="1:25" x14ac:dyDescent="0.3">
      <c r="A413" s="17">
        <v>477.9</v>
      </c>
      <c r="B413" s="10">
        <v>1031.9000000000001</v>
      </c>
      <c r="C413" s="9">
        <v>477.9</v>
      </c>
      <c r="D413" s="10">
        <v>1125.9000000000001</v>
      </c>
      <c r="E413" s="11">
        <v>477.9</v>
      </c>
      <c r="F413" s="12">
        <v>1059.9000000000001</v>
      </c>
      <c r="G413" s="11">
        <v>477.9</v>
      </c>
      <c r="H413" s="12">
        <v>1061.5999999999999</v>
      </c>
      <c r="I413" s="11">
        <v>477.9</v>
      </c>
      <c r="J413" s="12">
        <v>1149.0999999999999</v>
      </c>
      <c r="K413" s="11">
        <v>477.9</v>
      </c>
      <c r="L413" s="12">
        <v>1205.7</v>
      </c>
      <c r="M413" s="11">
        <v>477.9</v>
      </c>
      <c r="N413" s="13">
        <v>1031.9000000000001</v>
      </c>
      <c r="O413" s="13">
        <v>1125.9000000000001</v>
      </c>
      <c r="P413" s="13">
        <v>1059.9000000000001</v>
      </c>
      <c r="Q413" s="11">
        <v>1061.5999999999999</v>
      </c>
      <c r="R413" s="11">
        <v>1149.0999999999999</v>
      </c>
      <c r="S413" s="14">
        <v>1205.7</v>
      </c>
      <c r="T413" s="11">
        <v>477.9</v>
      </c>
      <c r="U413" s="13">
        <f>IF('0.0%'!$N413&lt;$Z$3,0, '0.0%'!$O413/'0.0%'!$N413)</f>
        <v>1.0910940982653359</v>
      </c>
      <c r="V413" s="13">
        <f>IF('0.0%'!$N413&lt;$Z$3,0, '0.0%'!$P413/'0.0%'!$N413)</f>
        <v>1.027134412249249</v>
      </c>
      <c r="W413" s="13">
        <f>IF('0.0%'!$N413&lt;$Z$3,0, '0.0%'!$Q413/'0.0%'!$N413)</f>
        <v>1.0287818587072388</v>
      </c>
      <c r="X413" s="13">
        <f>IF('0.0%'!$N413&lt;$Z$3,0, '0.0%'!$R413/'0.0%'!$N413)</f>
        <v>1.1135768969861419</v>
      </c>
      <c r="Y413" s="13">
        <f>IF('0.0%'!$N413&lt;$Z$3,0, '0.0%'!$S413/'0.0%'!$N413)</f>
        <v>1.1684271731756952</v>
      </c>
    </row>
    <row r="414" spans="1:25" x14ac:dyDescent="0.3">
      <c r="A414" s="17">
        <v>478.89</v>
      </c>
      <c r="B414" s="10">
        <v>1127.3</v>
      </c>
      <c r="C414" s="9">
        <v>478.89</v>
      </c>
      <c r="D414" s="10">
        <v>1232.7</v>
      </c>
      <c r="E414" s="11">
        <v>478.89</v>
      </c>
      <c r="F414" s="12">
        <v>1153.5</v>
      </c>
      <c r="G414" s="11">
        <v>478.89</v>
      </c>
      <c r="H414" s="12">
        <v>1157.7</v>
      </c>
      <c r="I414" s="11">
        <v>478.89</v>
      </c>
      <c r="J414" s="12">
        <v>1244.0999999999999</v>
      </c>
      <c r="K414" s="11">
        <v>478.89</v>
      </c>
      <c r="L414" s="12">
        <v>1306.3</v>
      </c>
      <c r="M414" s="11">
        <v>478.89</v>
      </c>
      <c r="N414" s="13">
        <v>1127.3</v>
      </c>
      <c r="O414" s="13">
        <v>1232.7</v>
      </c>
      <c r="P414" s="13">
        <v>1153.5</v>
      </c>
      <c r="Q414" s="11">
        <v>1157.7</v>
      </c>
      <c r="R414" s="11">
        <v>1244.0999999999999</v>
      </c>
      <c r="S414" s="14">
        <v>1306.3</v>
      </c>
      <c r="T414" s="11">
        <v>478.89</v>
      </c>
      <c r="U414" s="13">
        <f>IF('0.0%'!$N414&lt;$Z$3,0, '0.0%'!$O414/'0.0%'!$N414)</f>
        <v>1.0934977379579527</v>
      </c>
      <c r="V414" s="13">
        <f>IF('0.0%'!$N414&lt;$Z$3,0, '0.0%'!$P414/'0.0%'!$N414)</f>
        <v>1.023241373192584</v>
      </c>
      <c r="W414" s="13">
        <f>IF('0.0%'!$N414&lt;$Z$3,0, '0.0%'!$Q414/'0.0%'!$N414)</f>
        <v>1.0269670895058991</v>
      </c>
      <c r="X414" s="13">
        <f>IF('0.0%'!$N414&lt;$Z$3,0, '0.0%'!$R414/'0.0%'!$N414)</f>
        <v>1.1036103965226647</v>
      </c>
      <c r="Y414" s="13">
        <f>IF('0.0%'!$N414&lt;$Z$3,0, '0.0%'!$S414/'0.0%'!$N414)</f>
        <v>1.1587864809722346</v>
      </c>
    </row>
    <row r="415" spans="1:25" x14ac:dyDescent="0.3">
      <c r="A415" s="17">
        <v>479.88</v>
      </c>
      <c r="B415" s="10">
        <v>1212</v>
      </c>
      <c r="C415" s="9">
        <v>479.88</v>
      </c>
      <c r="D415" s="10">
        <v>1327</v>
      </c>
      <c r="E415" s="11">
        <v>479.88</v>
      </c>
      <c r="F415" s="12">
        <v>1236.9000000000001</v>
      </c>
      <c r="G415" s="11">
        <v>479.88</v>
      </c>
      <c r="H415" s="12">
        <v>1242.3</v>
      </c>
      <c r="I415" s="11">
        <v>479.88</v>
      </c>
      <c r="J415" s="12">
        <v>1327.5</v>
      </c>
      <c r="K415" s="11">
        <v>479.88</v>
      </c>
      <c r="L415" s="12">
        <v>1392.7</v>
      </c>
      <c r="M415" s="11">
        <v>479.88</v>
      </c>
      <c r="N415" s="13">
        <v>1212</v>
      </c>
      <c r="O415" s="13">
        <v>1327</v>
      </c>
      <c r="P415" s="13">
        <v>1236.9000000000001</v>
      </c>
      <c r="Q415" s="11">
        <v>1242.3</v>
      </c>
      <c r="R415" s="11">
        <v>1327.5</v>
      </c>
      <c r="S415" s="14">
        <v>1392.7</v>
      </c>
      <c r="T415" s="11">
        <v>479.88</v>
      </c>
      <c r="U415" s="13">
        <f>IF('0.0%'!$N415&lt;$Z$3,0, '0.0%'!$O415/'0.0%'!$N415)</f>
        <v>1.0948844884488449</v>
      </c>
      <c r="V415" s="13">
        <f>IF('0.0%'!$N415&lt;$Z$3,0, '0.0%'!$P415/'0.0%'!$N415)</f>
        <v>1.0205445544554457</v>
      </c>
      <c r="W415" s="13">
        <f>IF('0.0%'!$N415&lt;$Z$3,0, '0.0%'!$Q415/'0.0%'!$N415)</f>
        <v>1.0249999999999999</v>
      </c>
      <c r="X415" s="13">
        <f>IF('0.0%'!$N415&lt;$Z$3,0, '0.0%'!$R415/'0.0%'!$N415)</f>
        <v>1.0952970297029703</v>
      </c>
      <c r="Y415" s="13">
        <f>IF('0.0%'!$N415&lt;$Z$3,0, '0.0%'!$S415/'0.0%'!$N415)</f>
        <v>1.149092409240924</v>
      </c>
    </row>
    <row r="416" spans="1:25" x14ac:dyDescent="0.3">
      <c r="A416" s="17">
        <v>480.87</v>
      </c>
      <c r="B416" s="10">
        <v>1304.5</v>
      </c>
      <c r="C416" s="9">
        <v>480.87</v>
      </c>
      <c r="D416" s="10">
        <v>1429</v>
      </c>
      <c r="E416" s="11">
        <v>480.87</v>
      </c>
      <c r="F416" s="12">
        <v>1328.2</v>
      </c>
      <c r="G416" s="11">
        <v>480.87</v>
      </c>
      <c r="H416" s="12">
        <v>1333.8</v>
      </c>
      <c r="I416" s="11">
        <v>480.87</v>
      </c>
      <c r="J416" s="12">
        <v>1416.5</v>
      </c>
      <c r="K416" s="11">
        <v>480.87</v>
      </c>
      <c r="L416" s="12">
        <v>1483.8</v>
      </c>
      <c r="M416" s="11">
        <v>480.87</v>
      </c>
      <c r="N416" s="13">
        <v>1304.5</v>
      </c>
      <c r="O416" s="13">
        <v>1429</v>
      </c>
      <c r="P416" s="13">
        <v>1328.2</v>
      </c>
      <c r="Q416" s="11">
        <v>1333.8</v>
      </c>
      <c r="R416" s="11">
        <v>1416.5</v>
      </c>
      <c r="S416" s="14">
        <v>1483.8</v>
      </c>
      <c r="T416" s="11">
        <v>480.87</v>
      </c>
      <c r="U416" s="13">
        <f>IF('0.0%'!$N416&lt;$Z$3,0, '0.0%'!$O416/'0.0%'!$N416)</f>
        <v>1.0954388654656957</v>
      </c>
      <c r="V416" s="13">
        <f>IF('0.0%'!$N416&lt;$Z$3,0, '0.0%'!$P416/'0.0%'!$N416)</f>
        <v>1.0181678804139518</v>
      </c>
      <c r="W416" s="13">
        <f>IF('0.0%'!$N416&lt;$Z$3,0, '0.0%'!$Q416/'0.0%'!$N416)</f>
        <v>1.0224607129168264</v>
      </c>
      <c r="X416" s="13">
        <f>IF('0.0%'!$N416&lt;$Z$3,0, '0.0%'!$R416/'0.0%'!$N416)</f>
        <v>1.0858566500574933</v>
      </c>
      <c r="Y416" s="13">
        <f>IF('0.0%'!$N416&lt;$Z$3,0, '0.0%'!$S416/'0.0%'!$N416)</f>
        <v>1.1374472978152548</v>
      </c>
    </row>
    <row r="417" spans="1:25" x14ac:dyDescent="0.3">
      <c r="A417" s="17">
        <v>481.86</v>
      </c>
      <c r="B417" s="10">
        <v>1387.5</v>
      </c>
      <c r="C417" s="9">
        <v>481.86</v>
      </c>
      <c r="D417" s="10">
        <v>1520.4</v>
      </c>
      <c r="E417" s="11">
        <v>481.86</v>
      </c>
      <c r="F417" s="12">
        <v>1410.7</v>
      </c>
      <c r="G417" s="11">
        <v>481.86</v>
      </c>
      <c r="H417" s="12">
        <v>1415.5</v>
      </c>
      <c r="I417" s="11">
        <v>481.86</v>
      </c>
      <c r="J417" s="12">
        <v>1496.7</v>
      </c>
      <c r="K417" s="11">
        <v>481.86</v>
      </c>
      <c r="L417" s="12">
        <v>1564.6</v>
      </c>
      <c r="M417" s="11">
        <v>481.86</v>
      </c>
      <c r="N417" s="13">
        <v>1387.5</v>
      </c>
      <c r="O417" s="13">
        <v>1520.4</v>
      </c>
      <c r="P417" s="13">
        <v>1410.7</v>
      </c>
      <c r="Q417" s="11">
        <v>1415.5</v>
      </c>
      <c r="R417" s="11">
        <v>1496.7</v>
      </c>
      <c r="S417" s="14">
        <v>1564.6</v>
      </c>
      <c r="T417" s="11">
        <v>481.86</v>
      </c>
      <c r="U417" s="13">
        <f>IF('0.0%'!$N417&lt;$Z$3,0, '0.0%'!$O417/'0.0%'!$N417)</f>
        <v>1.0957837837837838</v>
      </c>
      <c r="V417" s="13">
        <f>IF('0.0%'!$N417&lt;$Z$3,0, '0.0%'!$P417/'0.0%'!$N417)</f>
        <v>1.0167207207207207</v>
      </c>
      <c r="W417" s="13">
        <f>IF('0.0%'!$N417&lt;$Z$3,0, '0.0%'!$Q417/'0.0%'!$N417)</f>
        <v>1.0201801801801802</v>
      </c>
      <c r="X417" s="13">
        <f>IF('0.0%'!$N417&lt;$Z$3,0, '0.0%'!$R417/'0.0%'!$N417)</f>
        <v>1.0787027027027027</v>
      </c>
      <c r="Y417" s="13">
        <f>IF('0.0%'!$N417&lt;$Z$3,0, '0.0%'!$S417/'0.0%'!$N417)</f>
        <v>1.1276396396396395</v>
      </c>
    </row>
    <row r="418" spans="1:25" x14ac:dyDescent="0.3">
      <c r="A418" s="17">
        <v>482.85</v>
      </c>
      <c r="B418" s="10">
        <v>1476</v>
      </c>
      <c r="C418" s="9">
        <v>482.85</v>
      </c>
      <c r="D418" s="10">
        <v>1617.9</v>
      </c>
      <c r="E418" s="11">
        <v>482.85</v>
      </c>
      <c r="F418" s="12">
        <v>1498</v>
      </c>
      <c r="G418" s="11">
        <v>482.85</v>
      </c>
      <c r="H418" s="12">
        <v>1502.2</v>
      </c>
      <c r="I418" s="11">
        <v>482.85</v>
      </c>
      <c r="J418" s="12">
        <v>1580</v>
      </c>
      <c r="K418" s="11">
        <v>482.85</v>
      </c>
      <c r="L418" s="12">
        <v>1648.3</v>
      </c>
      <c r="M418" s="11">
        <v>482.85</v>
      </c>
      <c r="N418" s="13">
        <v>1476</v>
      </c>
      <c r="O418" s="13">
        <v>1617.9</v>
      </c>
      <c r="P418" s="13">
        <v>1498</v>
      </c>
      <c r="Q418" s="11">
        <v>1502.2</v>
      </c>
      <c r="R418" s="11">
        <v>1580</v>
      </c>
      <c r="S418" s="14">
        <v>1648.3</v>
      </c>
      <c r="T418" s="11">
        <v>482.85</v>
      </c>
      <c r="U418" s="13">
        <f>IF('0.0%'!$N418&lt;$Z$3,0, '0.0%'!$O418/'0.0%'!$N418)</f>
        <v>1.0961382113821139</v>
      </c>
      <c r="V418" s="13">
        <f>IF('0.0%'!$N418&lt;$Z$3,0, '0.0%'!$P418/'0.0%'!$N418)</f>
        <v>1.0149051490514904</v>
      </c>
      <c r="W418" s="13">
        <f>IF('0.0%'!$N418&lt;$Z$3,0, '0.0%'!$Q418/'0.0%'!$N418)</f>
        <v>1.0177506775067751</v>
      </c>
      <c r="X418" s="13">
        <f>IF('0.0%'!$N418&lt;$Z$3,0, '0.0%'!$R418/'0.0%'!$N418)</f>
        <v>1.070460704607046</v>
      </c>
      <c r="Y418" s="13">
        <f>IF('0.0%'!$N418&lt;$Z$3,0, '0.0%'!$S418/'0.0%'!$N418)</f>
        <v>1.1167344173441733</v>
      </c>
    </row>
    <row r="419" spans="1:25" x14ac:dyDescent="0.3">
      <c r="A419" s="17">
        <v>483.85</v>
      </c>
      <c r="B419" s="10">
        <v>1554.7</v>
      </c>
      <c r="C419" s="9">
        <v>483.85</v>
      </c>
      <c r="D419" s="10">
        <v>1703.6</v>
      </c>
      <c r="E419" s="11">
        <v>483.85</v>
      </c>
      <c r="F419" s="12">
        <v>1576.2</v>
      </c>
      <c r="G419" s="11">
        <v>483.85</v>
      </c>
      <c r="H419" s="12">
        <v>1579.3</v>
      </c>
      <c r="I419" s="11">
        <v>483.85</v>
      </c>
      <c r="J419" s="12">
        <v>1655.4</v>
      </c>
      <c r="K419" s="11">
        <v>483.85</v>
      </c>
      <c r="L419" s="12">
        <v>1723.1</v>
      </c>
      <c r="M419" s="11">
        <v>483.85</v>
      </c>
      <c r="N419" s="13">
        <v>1554.7</v>
      </c>
      <c r="O419" s="13">
        <v>1703.6</v>
      </c>
      <c r="P419" s="13">
        <v>1576.2</v>
      </c>
      <c r="Q419" s="11">
        <v>1579.3</v>
      </c>
      <c r="R419" s="11">
        <v>1655.4</v>
      </c>
      <c r="S419" s="14">
        <v>1723.1</v>
      </c>
      <c r="T419" s="11">
        <v>483.85</v>
      </c>
      <c r="U419" s="13">
        <f>IF('0.0%'!$N419&lt;$Z$3,0, '0.0%'!$O419/'0.0%'!$N419)</f>
        <v>1.0957741043288094</v>
      </c>
      <c r="V419" s="13">
        <f>IF('0.0%'!$N419&lt;$Z$3,0, '0.0%'!$P419/'0.0%'!$N419)</f>
        <v>1.0138290345404257</v>
      </c>
      <c r="W419" s="13">
        <f>IF('0.0%'!$N419&lt;$Z$3,0, '0.0%'!$Q419/'0.0%'!$N419)</f>
        <v>1.0158229883578824</v>
      </c>
      <c r="X419" s="13">
        <f>IF('0.0%'!$N419&lt;$Z$3,0, '0.0%'!$R419/'0.0%'!$N419)</f>
        <v>1.0647713385219013</v>
      </c>
      <c r="Y419" s="13">
        <f>IF('0.0%'!$N419&lt;$Z$3,0, '0.0%'!$S419/'0.0%'!$N419)</f>
        <v>1.1083167170515211</v>
      </c>
    </row>
    <row r="420" spans="1:25" x14ac:dyDescent="0.3">
      <c r="A420" s="17">
        <v>484.84</v>
      </c>
      <c r="B420" s="10">
        <v>1637.7</v>
      </c>
      <c r="C420" s="9">
        <v>484.84</v>
      </c>
      <c r="D420" s="10">
        <v>1792.9</v>
      </c>
      <c r="E420" s="11">
        <v>484.84</v>
      </c>
      <c r="F420" s="12">
        <v>1658.8</v>
      </c>
      <c r="G420" s="11">
        <v>484.84</v>
      </c>
      <c r="H420" s="12">
        <v>1660.4</v>
      </c>
      <c r="I420" s="11">
        <v>484.84</v>
      </c>
      <c r="J420" s="12">
        <v>1734.4</v>
      </c>
      <c r="K420" s="11">
        <v>484.84</v>
      </c>
      <c r="L420" s="12">
        <v>1800.6</v>
      </c>
      <c r="M420" s="11">
        <v>484.84</v>
      </c>
      <c r="N420" s="13">
        <v>1637.7</v>
      </c>
      <c r="O420" s="13">
        <v>1792.9</v>
      </c>
      <c r="P420" s="13">
        <v>1658.8</v>
      </c>
      <c r="Q420" s="11">
        <v>1660.4</v>
      </c>
      <c r="R420" s="11">
        <v>1734.4</v>
      </c>
      <c r="S420" s="14">
        <v>1800.6</v>
      </c>
      <c r="T420" s="11">
        <v>484.84</v>
      </c>
      <c r="U420" s="13">
        <f>IF('0.0%'!$N420&lt;$Z$3,0, '0.0%'!$O420/'0.0%'!$N420)</f>
        <v>1.0947670513525065</v>
      </c>
      <c r="V420" s="13">
        <f>IF('0.0%'!$N420&lt;$Z$3,0, '0.0%'!$P420/'0.0%'!$N420)</f>
        <v>1.012883922574342</v>
      </c>
      <c r="W420" s="13">
        <f>IF('0.0%'!$N420&lt;$Z$3,0, '0.0%'!$Q420/'0.0%'!$N420)</f>
        <v>1.0138609024851928</v>
      </c>
      <c r="X420" s="13">
        <f>IF('0.0%'!$N420&lt;$Z$3,0, '0.0%'!$R420/'0.0%'!$N420)</f>
        <v>1.0590462233620321</v>
      </c>
      <c r="Y420" s="13">
        <f>IF('0.0%'!$N420&lt;$Z$3,0, '0.0%'!$S420/'0.0%'!$N420)</f>
        <v>1.0994687671734749</v>
      </c>
    </row>
    <row r="421" spans="1:25" x14ac:dyDescent="0.3">
      <c r="A421" s="17">
        <v>485.83</v>
      </c>
      <c r="B421" s="10">
        <v>1712.9</v>
      </c>
      <c r="C421" s="9">
        <v>485.83</v>
      </c>
      <c r="D421" s="10">
        <v>1873.5</v>
      </c>
      <c r="E421" s="11">
        <v>485.83</v>
      </c>
      <c r="F421" s="12">
        <v>1734.1</v>
      </c>
      <c r="G421" s="11">
        <v>485.83</v>
      </c>
      <c r="H421" s="12">
        <v>1734</v>
      </c>
      <c r="I421" s="11">
        <v>485.83</v>
      </c>
      <c r="J421" s="12">
        <v>1806.9</v>
      </c>
      <c r="K421" s="11">
        <v>485.83</v>
      </c>
      <c r="L421" s="12">
        <v>1871.6</v>
      </c>
      <c r="M421" s="11">
        <v>485.83</v>
      </c>
      <c r="N421" s="13">
        <v>1712.9</v>
      </c>
      <c r="O421" s="13">
        <v>1873.5</v>
      </c>
      <c r="P421" s="13">
        <v>1734.1</v>
      </c>
      <c r="Q421" s="11">
        <v>1734</v>
      </c>
      <c r="R421" s="11">
        <v>1806.9</v>
      </c>
      <c r="S421" s="14">
        <v>1871.6</v>
      </c>
      <c r="T421" s="11">
        <v>485.83</v>
      </c>
      <c r="U421" s="13">
        <f>IF('0.0%'!$N421&lt;$Z$3,0, '0.0%'!$O421/'0.0%'!$N421)</f>
        <v>1.0937591219569152</v>
      </c>
      <c r="V421" s="13">
        <f>IF('0.0%'!$N421&lt;$Z$3,0, '0.0%'!$P421/'0.0%'!$N421)</f>
        <v>1.0123766711425068</v>
      </c>
      <c r="W421" s="13">
        <f>IF('0.0%'!$N421&lt;$Z$3,0, '0.0%'!$Q421/'0.0%'!$N421)</f>
        <v>1.0123182906182497</v>
      </c>
      <c r="X421" s="13">
        <f>IF('0.0%'!$N421&lt;$Z$3,0, '0.0%'!$R421/'0.0%'!$N421)</f>
        <v>1.0548776928016814</v>
      </c>
      <c r="Y421" s="13">
        <f>IF('0.0%'!$N421&lt;$Z$3,0, '0.0%'!$S421/'0.0%'!$N421)</f>
        <v>1.0926498919960299</v>
      </c>
    </row>
    <row r="422" spans="1:25" x14ac:dyDescent="0.3">
      <c r="A422" s="17">
        <v>486.82</v>
      </c>
      <c r="B422" s="10">
        <v>1791.5</v>
      </c>
      <c r="C422" s="9">
        <v>486.82</v>
      </c>
      <c r="D422" s="10">
        <v>1956.6</v>
      </c>
      <c r="E422" s="11">
        <v>486.82</v>
      </c>
      <c r="F422" s="12">
        <v>1813.5</v>
      </c>
      <c r="G422" s="11">
        <v>486.82</v>
      </c>
      <c r="H422" s="12">
        <v>1810.6</v>
      </c>
      <c r="I422" s="11">
        <v>486.82</v>
      </c>
      <c r="J422" s="12">
        <v>1883</v>
      </c>
      <c r="K422" s="11">
        <v>486.82</v>
      </c>
      <c r="L422" s="12">
        <v>1945.2</v>
      </c>
      <c r="M422" s="11">
        <v>486.82</v>
      </c>
      <c r="N422" s="13">
        <v>1791.5</v>
      </c>
      <c r="O422" s="13">
        <v>1956.6</v>
      </c>
      <c r="P422" s="13">
        <v>1813.5</v>
      </c>
      <c r="Q422" s="11">
        <v>1810.6</v>
      </c>
      <c r="R422" s="11">
        <v>1883</v>
      </c>
      <c r="S422" s="14">
        <v>1945.2</v>
      </c>
      <c r="T422" s="11">
        <v>486.82</v>
      </c>
      <c r="U422" s="13">
        <f>IF('0.0%'!$N422&lt;$Z$3,0, '0.0%'!$O422/'0.0%'!$N422)</f>
        <v>1.0921574099916271</v>
      </c>
      <c r="V422" s="13">
        <f>IF('0.0%'!$N422&lt;$Z$3,0, '0.0%'!$P422/'0.0%'!$N422)</f>
        <v>1.0122802121127548</v>
      </c>
      <c r="W422" s="13">
        <f>IF('0.0%'!$N422&lt;$Z$3,0, '0.0%'!$Q422/'0.0%'!$N422)</f>
        <v>1.0106614568797097</v>
      </c>
      <c r="X422" s="13">
        <f>IF('0.0%'!$N422&lt;$Z$3,0, '0.0%'!$R422/'0.0%'!$N422)</f>
        <v>1.051074518559866</v>
      </c>
      <c r="Y422" s="13">
        <f>IF('0.0%'!$N422&lt;$Z$3,0, '0.0%'!$S422/'0.0%'!$N422)</f>
        <v>1.0857940273513815</v>
      </c>
    </row>
    <row r="423" spans="1:25" x14ac:dyDescent="0.3">
      <c r="A423" s="17">
        <v>487.81</v>
      </c>
      <c r="B423" s="10">
        <v>1862.4</v>
      </c>
      <c r="C423" s="9">
        <v>487.81</v>
      </c>
      <c r="D423" s="10">
        <v>2030.9</v>
      </c>
      <c r="E423" s="11">
        <v>487.81</v>
      </c>
      <c r="F423" s="12">
        <v>1884.8</v>
      </c>
      <c r="G423" s="11">
        <v>487.81</v>
      </c>
      <c r="H423" s="12">
        <v>1879.9</v>
      </c>
      <c r="I423" s="11">
        <v>487.81</v>
      </c>
      <c r="J423" s="12">
        <v>1951.3</v>
      </c>
      <c r="K423" s="11">
        <v>487.81</v>
      </c>
      <c r="L423" s="12">
        <v>2011.9</v>
      </c>
      <c r="M423" s="11">
        <v>487.81</v>
      </c>
      <c r="N423" s="13">
        <v>1862.4</v>
      </c>
      <c r="O423" s="13">
        <v>2030.9</v>
      </c>
      <c r="P423" s="13">
        <v>1884.8</v>
      </c>
      <c r="Q423" s="11">
        <v>1879.9</v>
      </c>
      <c r="R423" s="11">
        <v>1951.3</v>
      </c>
      <c r="S423" s="14">
        <v>2011.9</v>
      </c>
      <c r="T423" s="11">
        <v>487.81</v>
      </c>
      <c r="U423" s="13">
        <f>IF('0.0%'!$N423&lt;$Z$3,0, '0.0%'!$O423/'0.0%'!$N423)</f>
        <v>1.0904746563573884</v>
      </c>
      <c r="V423" s="13">
        <f>IF('0.0%'!$N423&lt;$Z$3,0, '0.0%'!$P423/'0.0%'!$N423)</f>
        <v>1.0120274914089347</v>
      </c>
      <c r="W423" s="13">
        <f>IF('0.0%'!$N423&lt;$Z$3,0, '0.0%'!$Q423/'0.0%'!$N423)</f>
        <v>1.0093964776632303</v>
      </c>
      <c r="X423" s="13">
        <f>IF('0.0%'!$N423&lt;$Z$3,0, '0.0%'!$R423/'0.0%'!$N423)</f>
        <v>1.0477341065292096</v>
      </c>
      <c r="Y423" s="13">
        <f>IF('0.0%'!$N423&lt;$Z$3,0, '0.0%'!$S423/'0.0%'!$N423)</f>
        <v>1.080272766323024</v>
      </c>
    </row>
    <row r="424" spans="1:25" x14ac:dyDescent="0.3">
      <c r="A424" s="17">
        <v>488.81</v>
      </c>
      <c r="B424" s="10">
        <v>1936.2</v>
      </c>
      <c r="C424" s="9">
        <v>488.81</v>
      </c>
      <c r="D424" s="10">
        <v>2107.5</v>
      </c>
      <c r="E424" s="11">
        <v>488.81</v>
      </c>
      <c r="F424" s="12">
        <v>1959.2</v>
      </c>
      <c r="G424" s="11">
        <v>488.81</v>
      </c>
      <c r="H424" s="12">
        <v>1952.5</v>
      </c>
      <c r="I424" s="11">
        <v>488.81</v>
      </c>
      <c r="J424" s="12">
        <v>2022.3</v>
      </c>
      <c r="K424" s="11">
        <v>488.81</v>
      </c>
      <c r="L424" s="12">
        <v>2081.1</v>
      </c>
      <c r="M424" s="11">
        <v>488.81</v>
      </c>
      <c r="N424" s="13">
        <v>1936.2</v>
      </c>
      <c r="O424" s="13">
        <v>2107.5</v>
      </c>
      <c r="P424" s="13">
        <v>1959.2</v>
      </c>
      <c r="Q424" s="11">
        <v>1952.5</v>
      </c>
      <c r="R424" s="11">
        <v>2022.3</v>
      </c>
      <c r="S424" s="14">
        <v>2081.1</v>
      </c>
      <c r="T424" s="11">
        <v>488.81</v>
      </c>
      <c r="U424" s="13">
        <f>IF('0.0%'!$N424&lt;$Z$3,0, '0.0%'!$O424/'0.0%'!$N424)</f>
        <v>1.088472265261853</v>
      </c>
      <c r="V424" s="13">
        <f>IF('0.0%'!$N424&lt;$Z$3,0, '0.0%'!$P424/'0.0%'!$N424)</f>
        <v>1.0118789381262265</v>
      </c>
      <c r="W424" s="13">
        <f>IF('0.0%'!$N424&lt;$Z$3,0, '0.0%'!$Q424/'0.0%'!$N424)</f>
        <v>1.0084185518024997</v>
      </c>
      <c r="X424" s="13">
        <f>IF('0.0%'!$N424&lt;$Z$3,0, '0.0%'!$R424/'0.0%'!$N424)</f>
        <v>1.0444685466377439</v>
      </c>
      <c r="Y424" s="13">
        <f>IF('0.0%'!$N424&lt;$Z$3,0, '0.0%'!$S424/'0.0%'!$N424)</f>
        <v>1.0748373101952278</v>
      </c>
    </row>
    <row r="425" spans="1:25" x14ac:dyDescent="0.3">
      <c r="A425" s="17">
        <v>489.8</v>
      </c>
      <c r="B425" s="10">
        <v>2002.6</v>
      </c>
      <c r="C425" s="9">
        <v>489.8</v>
      </c>
      <c r="D425" s="10">
        <v>2176.1999999999998</v>
      </c>
      <c r="E425" s="11">
        <v>489.8</v>
      </c>
      <c r="F425" s="12">
        <v>2025.9</v>
      </c>
      <c r="G425" s="11">
        <v>489.8</v>
      </c>
      <c r="H425" s="12">
        <v>2017.8</v>
      </c>
      <c r="I425" s="11">
        <v>489.8</v>
      </c>
      <c r="J425" s="12">
        <v>2085.4</v>
      </c>
      <c r="K425" s="11">
        <v>489.8</v>
      </c>
      <c r="L425" s="12">
        <v>2143.8000000000002</v>
      </c>
      <c r="M425" s="11">
        <v>489.8</v>
      </c>
      <c r="N425" s="13">
        <v>2002.6</v>
      </c>
      <c r="O425" s="13">
        <v>2176.1999999999998</v>
      </c>
      <c r="P425" s="13">
        <v>2025.9</v>
      </c>
      <c r="Q425" s="11">
        <v>2017.8</v>
      </c>
      <c r="R425" s="11">
        <v>2085.4</v>
      </c>
      <c r="S425" s="14">
        <v>2143.8000000000002</v>
      </c>
      <c r="T425" s="11">
        <v>489.8</v>
      </c>
      <c r="U425" s="13">
        <f>IF('0.0%'!$N425&lt;$Z$3,0, '0.0%'!$O425/'0.0%'!$N425)</f>
        <v>1.0866873065015479</v>
      </c>
      <c r="V425" s="13">
        <f>IF('0.0%'!$N425&lt;$Z$3,0, '0.0%'!$P425/'0.0%'!$N425)</f>
        <v>1.0116348746629382</v>
      </c>
      <c r="W425" s="13">
        <f>IF('0.0%'!$N425&lt;$Z$3,0, '0.0%'!$Q425/'0.0%'!$N425)</f>
        <v>1.0075901328273245</v>
      </c>
      <c r="X425" s="13">
        <f>IF('0.0%'!$N425&lt;$Z$3,0, '0.0%'!$R425/'0.0%'!$N425)</f>
        <v>1.0413462498751624</v>
      </c>
      <c r="Y425" s="13">
        <f>IF('0.0%'!$N425&lt;$Z$3,0, '0.0%'!$S425/'0.0%'!$N425)</f>
        <v>1.0705083391590933</v>
      </c>
    </row>
    <row r="426" spans="1:25" x14ac:dyDescent="0.3">
      <c r="A426" s="17">
        <v>490.79</v>
      </c>
      <c r="B426" s="10">
        <v>2067.9</v>
      </c>
      <c r="C426" s="9">
        <v>490.79</v>
      </c>
      <c r="D426" s="10">
        <v>2243.1</v>
      </c>
      <c r="E426" s="11">
        <v>490.79</v>
      </c>
      <c r="F426" s="12">
        <v>2091.1</v>
      </c>
      <c r="G426" s="11">
        <v>490.79</v>
      </c>
      <c r="H426" s="12">
        <v>2082.1999999999998</v>
      </c>
      <c r="I426" s="11">
        <v>490.79</v>
      </c>
      <c r="J426" s="12">
        <v>2146</v>
      </c>
      <c r="K426" s="11">
        <v>490.79</v>
      </c>
      <c r="L426" s="12">
        <v>2205.1</v>
      </c>
      <c r="M426" s="11">
        <v>490.79</v>
      </c>
      <c r="N426" s="13">
        <v>2067.9</v>
      </c>
      <c r="O426" s="13">
        <v>2243.1</v>
      </c>
      <c r="P426" s="13">
        <v>2091.1</v>
      </c>
      <c r="Q426" s="11">
        <v>2082.1999999999998</v>
      </c>
      <c r="R426" s="11">
        <v>2146</v>
      </c>
      <c r="S426" s="14">
        <v>2205.1</v>
      </c>
      <c r="T426" s="11">
        <v>490.79</v>
      </c>
      <c r="U426" s="13">
        <f>IF('0.0%'!$N426&lt;$Z$3,0, '0.0%'!$O426/'0.0%'!$N426)</f>
        <v>1.0847236326708254</v>
      </c>
      <c r="V426" s="13">
        <f>IF('0.0%'!$N426&lt;$Z$3,0, '0.0%'!$P426/'0.0%'!$N426)</f>
        <v>1.0112191111755886</v>
      </c>
      <c r="W426" s="13">
        <f>IF('0.0%'!$N426&lt;$Z$3,0, '0.0%'!$Q426/'0.0%'!$N426)</f>
        <v>1.0069152280090912</v>
      </c>
      <c r="X426" s="13">
        <f>IF('0.0%'!$N426&lt;$Z$3,0, '0.0%'!$R426/'0.0%'!$N426)</f>
        <v>1.0377677837419603</v>
      </c>
      <c r="Y426" s="13">
        <f>IF('0.0%'!$N426&lt;$Z$3,0, '0.0%'!$S426/'0.0%'!$N426)</f>
        <v>1.0663475022970161</v>
      </c>
    </row>
    <row r="427" spans="1:25" x14ac:dyDescent="0.3">
      <c r="A427" s="17">
        <v>491.78</v>
      </c>
      <c r="B427" s="10">
        <v>2126.3000000000002</v>
      </c>
      <c r="C427" s="9">
        <v>491.78</v>
      </c>
      <c r="D427" s="10">
        <v>2302.6</v>
      </c>
      <c r="E427" s="11">
        <v>491.78</v>
      </c>
      <c r="F427" s="12">
        <v>2149.3000000000002</v>
      </c>
      <c r="G427" s="11">
        <v>491.78</v>
      </c>
      <c r="H427" s="12">
        <v>2140.1999999999998</v>
      </c>
      <c r="I427" s="11">
        <v>491.78</v>
      </c>
      <c r="J427" s="12">
        <v>2199.5</v>
      </c>
      <c r="K427" s="11">
        <v>491.78</v>
      </c>
      <c r="L427" s="12">
        <v>2260.1999999999998</v>
      </c>
      <c r="M427" s="11">
        <v>491.78</v>
      </c>
      <c r="N427" s="13">
        <v>2126.3000000000002</v>
      </c>
      <c r="O427" s="13">
        <v>2302.6</v>
      </c>
      <c r="P427" s="13">
        <v>2149.3000000000002</v>
      </c>
      <c r="Q427" s="11">
        <v>2140.1999999999998</v>
      </c>
      <c r="R427" s="11">
        <v>2199.5</v>
      </c>
      <c r="S427" s="14">
        <v>2260.1999999999998</v>
      </c>
      <c r="T427" s="11">
        <v>491.78</v>
      </c>
      <c r="U427" s="13">
        <f>IF('0.0%'!$N427&lt;$Z$3,0, '0.0%'!$O427/'0.0%'!$N427)</f>
        <v>1.0829139820345199</v>
      </c>
      <c r="V427" s="13">
        <f>IF('0.0%'!$N427&lt;$Z$3,0, '0.0%'!$P427/'0.0%'!$N427)</f>
        <v>1.0108169120067723</v>
      </c>
      <c r="W427" s="13">
        <f>IF('0.0%'!$N427&lt;$Z$3,0, '0.0%'!$Q427/'0.0%'!$N427)</f>
        <v>1.0065371772562666</v>
      </c>
      <c r="X427" s="13">
        <f>IF('0.0%'!$N427&lt;$Z$3,0, '0.0%'!$R427/'0.0%'!$N427)</f>
        <v>1.0344259982128579</v>
      </c>
      <c r="Y427" s="13">
        <f>IF('0.0%'!$N427&lt;$Z$3,0, '0.0%'!$S427/'0.0%'!$N427)</f>
        <v>1.062973239900296</v>
      </c>
    </row>
    <row r="428" spans="1:25" x14ac:dyDescent="0.3">
      <c r="A428" s="17">
        <v>492.77</v>
      </c>
      <c r="B428" s="10">
        <v>2173.5</v>
      </c>
      <c r="C428" s="9">
        <v>492.77</v>
      </c>
      <c r="D428" s="10">
        <v>2349.6999999999998</v>
      </c>
      <c r="E428" s="11">
        <v>492.77</v>
      </c>
      <c r="F428" s="12">
        <v>2196.1999999999998</v>
      </c>
      <c r="G428" s="11">
        <v>492.77</v>
      </c>
      <c r="H428" s="12">
        <v>2187</v>
      </c>
      <c r="I428" s="11">
        <v>492.77</v>
      </c>
      <c r="J428" s="12">
        <v>2242.8000000000002</v>
      </c>
      <c r="K428" s="11">
        <v>492.77</v>
      </c>
      <c r="L428" s="12">
        <v>2304.1999999999998</v>
      </c>
      <c r="M428" s="11">
        <v>492.77</v>
      </c>
      <c r="N428" s="13">
        <v>2173.5</v>
      </c>
      <c r="O428" s="13">
        <v>2349.6999999999998</v>
      </c>
      <c r="P428" s="13">
        <v>2196.1999999999998</v>
      </c>
      <c r="Q428" s="11">
        <v>2187</v>
      </c>
      <c r="R428" s="11">
        <v>2242.8000000000002</v>
      </c>
      <c r="S428" s="14">
        <v>2304.1999999999998</v>
      </c>
      <c r="T428" s="11">
        <v>492.77</v>
      </c>
      <c r="U428" s="13">
        <f>IF('0.0%'!$N428&lt;$Z$3,0, '0.0%'!$O428/'0.0%'!$N428)</f>
        <v>1.0810674028065332</v>
      </c>
      <c r="V428" s="13">
        <f>IF('0.0%'!$N428&lt;$Z$3,0, '0.0%'!$P428/'0.0%'!$N428)</f>
        <v>1.0104439843570276</v>
      </c>
      <c r="W428" s="13">
        <f>IF('0.0%'!$N428&lt;$Z$3,0, '0.0%'!$Q428/'0.0%'!$N428)</f>
        <v>1.0062111801242235</v>
      </c>
      <c r="X428" s="13">
        <f>IF('0.0%'!$N428&lt;$Z$3,0, '0.0%'!$R428/'0.0%'!$N428)</f>
        <v>1.0318840579710147</v>
      </c>
      <c r="Y428" s="13">
        <f>IF('0.0%'!$N428&lt;$Z$3,0, '0.0%'!$S428/'0.0%'!$N428)</f>
        <v>1.0601334253508166</v>
      </c>
    </row>
    <row r="429" spans="1:25" x14ac:dyDescent="0.3">
      <c r="A429" s="17">
        <v>493.76</v>
      </c>
      <c r="B429" s="10">
        <v>2222.3000000000002</v>
      </c>
      <c r="C429" s="9">
        <v>493.76</v>
      </c>
      <c r="D429" s="10">
        <v>2397.6999999999998</v>
      </c>
      <c r="E429" s="11">
        <v>493.76</v>
      </c>
      <c r="F429" s="12">
        <v>2245</v>
      </c>
      <c r="G429" s="11">
        <v>493.76</v>
      </c>
      <c r="H429" s="12">
        <v>2235.5</v>
      </c>
      <c r="I429" s="11">
        <v>493.76</v>
      </c>
      <c r="J429" s="12">
        <v>2287</v>
      </c>
      <c r="K429" s="11">
        <v>493.76</v>
      </c>
      <c r="L429" s="12">
        <v>2349.8000000000002</v>
      </c>
      <c r="M429" s="11">
        <v>493.76</v>
      </c>
      <c r="N429" s="13">
        <v>2222.3000000000002</v>
      </c>
      <c r="O429" s="13">
        <v>2397.6999999999998</v>
      </c>
      <c r="P429" s="13">
        <v>2245</v>
      </c>
      <c r="Q429" s="11">
        <v>2235.5</v>
      </c>
      <c r="R429" s="11">
        <v>2287</v>
      </c>
      <c r="S429" s="14">
        <v>2349.8000000000002</v>
      </c>
      <c r="T429" s="11">
        <v>493.76</v>
      </c>
      <c r="U429" s="13">
        <f>IF('0.0%'!$N429&lt;$Z$3,0, '0.0%'!$O429/'0.0%'!$N429)</f>
        <v>1.0789272375466856</v>
      </c>
      <c r="V429" s="13">
        <f>IF('0.0%'!$N429&lt;$Z$3,0, '0.0%'!$P429/'0.0%'!$N429)</f>
        <v>1.0102146424875129</v>
      </c>
      <c r="W429" s="13">
        <f>IF('0.0%'!$N429&lt;$Z$3,0, '0.0%'!$Q429/'0.0%'!$N429)</f>
        <v>1.0059397921072761</v>
      </c>
      <c r="X429" s="13">
        <f>IF('0.0%'!$N429&lt;$Z$3,0, '0.0%'!$R429/'0.0%'!$N429)</f>
        <v>1.0291139810106646</v>
      </c>
      <c r="Y429" s="13">
        <f>IF('0.0%'!$N429&lt;$Z$3,0, '0.0%'!$S429/'0.0%'!$N429)</f>
        <v>1.0573729919452819</v>
      </c>
    </row>
    <row r="430" spans="1:25" x14ac:dyDescent="0.3">
      <c r="A430" s="17">
        <v>494.76</v>
      </c>
      <c r="B430" s="10">
        <v>2274.1999999999998</v>
      </c>
      <c r="C430" s="9">
        <v>494.76</v>
      </c>
      <c r="D430" s="10">
        <v>2448.8000000000002</v>
      </c>
      <c r="E430" s="11">
        <v>494.76</v>
      </c>
      <c r="F430" s="12">
        <v>2297.1</v>
      </c>
      <c r="G430" s="11">
        <v>494.76</v>
      </c>
      <c r="H430" s="12">
        <v>2287.1</v>
      </c>
      <c r="I430" s="11">
        <v>494.76</v>
      </c>
      <c r="J430" s="12">
        <v>2334</v>
      </c>
      <c r="K430" s="11">
        <v>494.76</v>
      </c>
      <c r="L430" s="12">
        <v>2398.5</v>
      </c>
      <c r="M430" s="11">
        <v>494.76</v>
      </c>
      <c r="N430" s="13">
        <v>2274.1999999999998</v>
      </c>
      <c r="O430" s="13">
        <v>2448.8000000000002</v>
      </c>
      <c r="P430" s="13">
        <v>2297.1</v>
      </c>
      <c r="Q430" s="11">
        <v>2287.1</v>
      </c>
      <c r="R430" s="11">
        <v>2334</v>
      </c>
      <c r="S430" s="14">
        <v>2398.5</v>
      </c>
      <c r="T430" s="11">
        <v>494.76</v>
      </c>
      <c r="U430" s="13">
        <f>IF('0.0%'!$N430&lt;$Z$3,0, '0.0%'!$O430/'0.0%'!$N430)</f>
        <v>1.0767742502858149</v>
      </c>
      <c r="V430" s="13">
        <f>IF('0.0%'!$N430&lt;$Z$3,0, '0.0%'!$P430/'0.0%'!$N430)</f>
        <v>1.0100694749802128</v>
      </c>
      <c r="W430" s="13">
        <f>IF('0.0%'!$N430&lt;$Z$3,0, '0.0%'!$Q430/'0.0%'!$N430)</f>
        <v>1.0056723243338317</v>
      </c>
      <c r="X430" s="13">
        <f>IF('0.0%'!$N430&lt;$Z$3,0, '0.0%'!$R430/'0.0%'!$N430)</f>
        <v>1.0262949608653593</v>
      </c>
      <c r="Y430" s="13">
        <f>IF('0.0%'!$N430&lt;$Z$3,0, '0.0%'!$S430/'0.0%'!$N430)</f>
        <v>1.0546565825345178</v>
      </c>
    </row>
    <row r="431" spans="1:25" x14ac:dyDescent="0.3">
      <c r="A431" s="17">
        <v>495.75</v>
      </c>
      <c r="B431" s="10">
        <v>2336.1</v>
      </c>
      <c r="C431" s="9">
        <v>495.75</v>
      </c>
      <c r="D431" s="10">
        <v>2509.5</v>
      </c>
      <c r="E431" s="11">
        <v>495.75</v>
      </c>
      <c r="F431" s="12">
        <v>2358.9</v>
      </c>
      <c r="G431" s="11">
        <v>495.75</v>
      </c>
      <c r="H431" s="12">
        <v>2349.1</v>
      </c>
      <c r="I431" s="11">
        <v>495.75</v>
      </c>
      <c r="J431" s="12">
        <v>2389.4</v>
      </c>
      <c r="K431" s="11">
        <v>495.75</v>
      </c>
      <c r="L431" s="12">
        <v>2455.6999999999998</v>
      </c>
      <c r="M431" s="11">
        <v>495.75</v>
      </c>
      <c r="N431" s="13">
        <v>2336.1</v>
      </c>
      <c r="O431" s="13">
        <v>2509.5</v>
      </c>
      <c r="P431" s="13">
        <v>2358.9</v>
      </c>
      <c r="Q431" s="11">
        <v>2349.1</v>
      </c>
      <c r="R431" s="11">
        <v>2389.4</v>
      </c>
      <c r="S431" s="14">
        <v>2455.6999999999998</v>
      </c>
      <c r="T431" s="11">
        <v>495.75</v>
      </c>
      <c r="U431" s="13">
        <f>IF('0.0%'!$N431&lt;$Z$3,0, '0.0%'!$O431/'0.0%'!$N431)</f>
        <v>1.0742262745601645</v>
      </c>
      <c r="V431" s="13">
        <f>IF('0.0%'!$N431&lt;$Z$3,0, '0.0%'!$P431/'0.0%'!$N431)</f>
        <v>1.0097598561705408</v>
      </c>
      <c r="W431" s="13">
        <f>IF('0.0%'!$N431&lt;$Z$3,0, '0.0%'!$Q431/'0.0%'!$N431)</f>
        <v>1.0055648302726767</v>
      </c>
      <c r="X431" s="13">
        <f>IF('0.0%'!$N431&lt;$Z$3,0, '0.0%'!$R431/'0.0%'!$N431)</f>
        <v>1.0228158041179745</v>
      </c>
      <c r="Y431" s="13">
        <f>IF('0.0%'!$N431&lt;$Z$3,0, '0.0%'!$S431/'0.0%'!$N431)</f>
        <v>1.0511964385086254</v>
      </c>
    </row>
    <row r="432" spans="1:25" x14ac:dyDescent="0.3">
      <c r="A432" s="17">
        <v>496.74</v>
      </c>
      <c r="B432" s="10">
        <v>2395.6999999999998</v>
      </c>
      <c r="C432" s="9">
        <v>496.74</v>
      </c>
      <c r="D432" s="10">
        <v>2568.1</v>
      </c>
      <c r="E432" s="11">
        <v>496.74</v>
      </c>
      <c r="F432" s="12">
        <v>2418.1</v>
      </c>
      <c r="G432" s="11">
        <v>496.74</v>
      </c>
      <c r="H432" s="12">
        <v>2409</v>
      </c>
      <c r="I432" s="11">
        <v>496.74</v>
      </c>
      <c r="J432" s="12">
        <v>2443.1999999999998</v>
      </c>
      <c r="K432" s="11">
        <v>496.74</v>
      </c>
      <c r="L432" s="12">
        <v>2510.4</v>
      </c>
      <c r="M432" s="11">
        <v>496.74</v>
      </c>
      <c r="N432" s="13">
        <v>2395.6999999999998</v>
      </c>
      <c r="O432" s="13">
        <v>2568.1</v>
      </c>
      <c r="P432" s="13">
        <v>2418.1</v>
      </c>
      <c r="Q432" s="11">
        <v>2409</v>
      </c>
      <c r="R432" s="11">
        <v>2443.1999999999998</v>
      </c>
      <c r="S432" s="14">
        <v>2510.4</v>
      </c>
      <c r="T432" s="11">
        <v>496.74</v>
      </c>
      <c r="U432" s="13">
        <f>IF('0.0%'!$N432&lt;$Z$3,0, '0.0%'!$O432/'0.0%'!$N432)</f>
        <v>1.0719622657260925</v>
      </c>
      <c r="V432" s="13">
        <f>IF('0.0%'!$N432&lt;$Z$3,0, '0.0%'!$P432/'0.0%'!$N432)</f>
        <v>1.0093500855699795</v>
      </c>
      <c r="W432" s="13">
        <f>IF('0.0%'!$N432&lt;$Z$3,0, '0.0%'!$Q432/'0.0%'!$N432)</f>
        <v>1.0055516133071754</v>
      </c>
      <c r="X432" s="13">
        <f>IF('0.0%'!$N432&lt;$Z$3,0, '0.0%'!$R432/'0.0%'!$N432)</f>
        <v>1.0198271903827691</v>
      </c>
      <c r="Y432" s="13">
        <f>IF('0.0%'!$N432&lt;$Z$3,0, '0.0%'!$S432/'0.0%'!$N432)</f>
        <v>1.0478774470927079</v>
      </c>
    </row>
    <row r="433" spans="1:25" x14ac:dyDescent="0.3">
      <c r="A433" s="17">
        <v>497.73</v>
      </c>
      <c r="B433" s="10">
        <v>2459.8000000000002</v>
      </c>
      <c r="C433" s="9">
        <v>497.73</v>
      </c>
      <c r="D433" s="10">
        <v>2629.3</v>
      </c>
      <c r="E433" s="11">
        <v>497.73</v>
      </c>
      <c r="F433" s="12">
        <v>2481.1</v>
      </c>
      <c r="G433" s="11">
        <v>497.73</v>
      </c>
      <c r="H433" s="12">
        <v>2473.1</v>
      </c>
      <c r="I433" s="11">
        <v>497.73</v>
      </c>
      <c r="J433" s="12">
        <v>2500.5</v>
      </c>
      <c r="K433" s="11">
        <v>497.73</v>
      </c>
      <c r="L433" s="12">
        <v>2568.1999999999998</v>
      </c>
      <c r="M433" s="11">
        <v>497.73</v>
      </c>
      <c r="N433" s="13">
        <v>2459.8000000000002</v>
      </c>
      <c r="O433" s="13">
        <v>2629.3</v>
      </c>
      <c r="P433" s="13">
        <v>2481.1</v>
      </c>
      <c r="Q433" s="11">
        <v>2473.1</v>
      </c>
      <c r="R433" s="11">
        <v>2500.5</v>
      </c>
      <c r="S433" s="14">
        <v>2568.1999999999998</v>
      </c>
      <c r="T433" s="11">
        <v>497.73</v>
      </c>
      <c r="U433" s="13">
        <f>IF('0.0%'!$N433&lt;$Z$3,0, '0.0%'!$O433/'0.0%'!$N433)</f>
        <v>1.0689080413041712</v>
      </c>
      <c r="V433" s="13">
        <f>IF('0.0%'!$N433&lt;$Z$3,0, '0.0%'!$P433/'0.0%'!$N433)</f>
        <v>1.0086592405886656</v>
      </c>
      <c r="W433" s="13">
        <f>IF('0.0%'!$N433&lt;$Z$3,0, '0.0%'!$Q433/'0.0%'!$N433)</f>
        <v>1.0054069436539554</v>
      </c>
      <c r="X433" s="13">
        <f>IF('0.0%'!$N433&lt;$Z$3,0, '0.0%'!$R433/'0.0%'!$N433)</f>
        <v>1.0165460606553378</v>
      </c>
      <c r="Y433" s="13">
        <f>IF('0.0%'!$N433&lt;$Z$3,0, '0.0%'!$S433/'0.0%'!$N433)</f>
        <v>1.0440686234653223</v>
      </c>
    </row>
    <row r="434" spans="1:25" x14ac:dyDescent="0.3">
      <c r="A434" s="17">
        <v>498.72</v>
      </c>
      <c r="B434" s="10">
        <v>2517.1</v>
      </c>
      <c r="C434" s="9">
        <v>498.72</v>
      </c>
      <c r="D434" s="10">
        <v>2685.1</v>
      </c>
      <c r="E434" s="11">
        <v>498.72</v>
      </c>
      <c r="F434" s="12">
        <v>2538.6</v>
      </c>
      <c r="G434" s="11">
        <v>498.72</v>
      </c>
      <c r="H434" s="12">
        <v>2530.1999999999998</v>
      </c>
      <c r="I434" s="11">
        <v>498.72</v>
      </c>
      <c r="J434" s="12">
        <v>2553.6</v>
      </c>
      <c r="K434" s="11">
        <v>498.72</v>
      </c>
      <c r="L434" s="12">
        <v>2620.4</v>
      </c>
      <c r="M434" s="11">
        <v>498.72</v>
      </c>
      <c r="N434" s="13">
        <v>2517.1</v>
      </c>
      <c r="O434" s="13">
        <v>2685.1</v>
      </c>
      <c r="P434" s="13">
        <v>2538.6</v>
      </c>
      <c r="Q434" s="11">
        <v>2530.1999999999998</v>
      </c>
      <c r="R434" s="11">
        <v>2553.6</v>
      </c>
      <c r="S434" s="14">
        <v>2620.4</v>
      </c>
      <c r="T434" s="11">
        <v>498.72</v>
      </c>
      <c r="U434" s="13">
        <f>IF('0.0%'!$N434&lt;$Z$3,0, '0.0%'!$O434/'0.0%'!$N434)</f>
        <v>1.0667434746335067</v>
      </c>
      <c r="V434" s="13">
        <f>IF('0.0%'!$N434&lt;$Z$3,0, '0.0%'!$P434/'0.0%'!$N434)</f>
        <v>1.0085415756227405</v>
      </c>
      <c r="W434" s="13">
        <f>IF('0.0%'!$N434&lt;$Z$3,0, '0.0%'!$Q434/'0.0%'!$N434)</f>
        <v>1.0052044018910651</v>
      </c>
      <c r="X434" s="13">
        <f>IF('0.0%'!$N434&lt;$Z$3,0, '0.0%'!$R434/'0.0%'!$N434)</f>
        <v>1.0145008144293035</v>
      </c>
      <c r="Y434" s="13">
        <f>IF('0.0%'!$N434&lt;$Z$3,0, '0.0%'!$S434/'0.0%'!$N434)</f>
        <v>1.0410392912478648</v>
      </c>
    </row>
    <row r="435" spans="1:25" x14ac:dyDescent="0.3">
      <c r="A435" s="17">
        <v>499.71</v>
      </c>
      <c r="B435" s="10">
        <v>2575.4</v>
      </c>
      <c r="C435" s="9">
        <v>499.71</v>
      </c>
      <c r="D435" s="10">
        <v>2741.2</v>
      </c>
      <c r="E435" s="11">
        <v>499.71</v>
      </c>
      <c r="F435" s="12">
        <v>2597.4</v>
      </c>
      <c r="G435" s="11">
        <v>499.71</v>
      </c>
      <c r="H435" s="12">
        <v>2588.4</v>
      </c>
      <c r="I435" s="11">
        <v>499.71</v>
      </c>
      <c r="J435" s="12">
        <v>2608.8000000000002</v>
      </c>
      <c r="K435" s="11">
        <v>499.71</v>
      </c>
      <c r="L435" s="12">
        <v>2673.7</v>
      </c>
      <c r="M435" s="11">
        <v>499.71</v>
      </c>
      <c r="N435" s="13">
        <v>2575.4</v>
      </c>
      <c r="O435" s="13">
        <v>2741.2</v>
      </c>
      <c r="P435" s="13">
        <v>2597.4</v>
      </c>
      <c r="Q435" s="11">
        <v>2588.4</v>
      </c>
      <c r="R435" s="11">
        <v>2608.8000000000002</v>
      </c>
      <c r="S435" s="14">
        <v>2673.7</v>
      </c>
      <c r="T435" s="11">
        <v>499.71</v>
      </c>
      <c r="U435" s="13">
        <f>IF('0.0%'!$N435&lt;$Z$3,0, '0.0%'!$O435/'0.0%'!$N435)</f>
        <v>1.0643783489943308</v>
      </c>
      <c r="V435" s="13">
        <f>IF('0.0%'!$N435&lt;$Z$3,0, '0.0%'!$P435/'0.0%'!$N435)</f>
        <v>1.0085423623514793</v>
      </c>
      <c r="W435" s="13">
        <f>IF('0.0%'!$N435&lt;$Z$3,0, '0.0%'!$Q435/'0.0%'!$N435)</f>
        <v>1.0050477595713287</v>
      </c>
      <c r="X435" s="13">
        <f>IF('0.0%'!$N435&lt;$Z$3,0, '0.0%'!$R435/'0.0%'!$N435)</f>
        <v>1.0129688592063368</v>
      </c>
      <c r="Y435" s="13">
        <f>IF('0.0%'!$N435&lt;$Z$3,0, '0.0%'!$S435/'0.0%'!$N435)</f>
        <v>1.0381688281432009</v>
      </c>
    </row>
    <row r="436" spans="1:25" x14ac:dyDescent="0.3">
      <c r="A436" s="17">
        <v>500.71</v>
      </c>
      <c r="B436" s="10">
        <v>2628</v>
      </c>
      <c r="C436" s="9">
        <v>500.71</v>
      </c>
      <c r="D436" s="10">
        <v>2792.1</v>
      </c>
      <c r="E436" s="11">
        <v>500.71</v>
      </c>
      <c r="F436" s="12">
        <v>2650.8</v>
      </c>
      <c r="G436" s="11">
        <v>500.71</v>
      </c>
      <c r="H436" s="12">
        <v>2641</v>
      </c>
      <c r="I436" s="11">
        <v>500.71</v>
      </c>
      <c r="J436" s="12">
        <v>2660.1</v>
      </c>
      <c r="K436" s="11">
        <v>500.71</v>
      </c>
      <c r="L436" s="12">
        <v>2722.2</v>
      </c>
      <c r="M436" s="11">
        <v>500.71</v>
      </c>
      <c r="N436" s="13">
        <v>2628</v>
      </c>
      <c r="O436" s="13">
        <v>2792.1</v>
      </c>
      <c r="P436" s="13">
        <v>2650.8</v>
      </c>
      <c r="Q436" s="11">
        <v>2641</v>
      </c>
      <c r="R436" s="11">
        <v>2660.1</v>
      </c>
      <c r="S436" s="14">
        <v>2722.2</v>
      </c>
      <c r="T436" s="11">
        <v>500.71</v>
      </c>
      <c r="U436" s="13">
        <f>IF('0.0%'!$N436&lt;$Z$3,0, '0.0%'!$O436/'0.0%'!$N436)</f>
        <v>1.0624429223744292</v>
      </c>
      <c r="V436" s="13">
        <f>IF('0.0%'!$N436&lt;$Z$3,0, '0.0%'!$P436/'0.0%'!$N436)</f>
        <v>1.0086757990867581</v>
      </c>
      <c r="W436" s="13">
        <f>IF('0.0%'!$N436&lt;$Z$3,0, '0.0%'!$Q436/'0.0%'!$N436)</f>
        <v>1.0049467275494672</v>
      </c>
      <c r="X436" s="13">
        <f>IF('0.0%'!$N436&lt;$Z$3,0, '0.0%'!$R436/'0.0%'!$N436)</f>
        <v>1.012214611872146</v>
      </c>
      <c r="Y436" s="13">
        <f>IF('0.0%'!$N436&lt;$Z$3,0, '0.0%'!$S436/'0.0%'!$N436)</f>
        <v>1.0358447488584475</v>
      </c>
    </row>
    <row r="437" spans="1:25" x14ac:dyDescent="0.3">
      <c r="A437" s="17">
        <v>501.7</v>
      </c>
      <c r="B437" s="10">
        <v>2681.1</v>
      </c>
      <c r="C437" s="9">
        <v>501.7</v>
      </c>
      <c r="D437" s="10">
        <v>2842.6</v>
      </c>
      <c r="E437" s="11">
        <v>501.7</v>
      </c>
      <c r="F437" s="12">
        <v>2704.7</v>
      </c>
      <c r="G437" s="11">
        <v>501.7</v>
      </c>
      <c r="H437" s="12">
        <v>2694.2</v>
      </c>
      <c r="I437" s="11">
        <v>501.7</v>
      </c>
      <c r="J437" s="12">
        <v>2712.8</v>
      </c>
      <c r="K437" s="11">
        <v>501.7</v>
      </c>
      <c r="L437" s="12">
        <v>2770.9</v>
      </c>
      <c r="M437" s="11">
        <v>501.7</v>
      </c>
      <c r="N437" s="13">
        <v>2681.1</v>
      </c>
      <c r="O437" s="13">
        <v>2842.6</v>
      </c>
      <c r="P437" s="13">
        <v>2704.7</v>
      </c>
      <c r="Q437" s="11">
        <v>2694.2</v>
      </c>
      <c r="R437" s="11">
        <v>2712.8</v>
      </c>
      <c r="S437" s="14">
        <v>2770.9</v>
      </c>
      <c r="T437" s="11">
        <v>501.7</v>
      </c>
      <c r="U437" s="13">
        <f>IF('0.0%'!$N437&lt;$Z$3,0, '0.0%'!$O437/'0.0%'!$N437)</f>
        <v>1.0602364701055538</v>
      </c>
      <c r="V437" s="13">
        <f>IF('0.0%'!$N437&lt;$Z$3,0, '0.0%'!$P437/'0.0%'!$N437)</f>
        <v>1.0088023572414306</v>
      </c>
      <c r="W437" s="13">
        <f>IF('0.0%'!$N437&lt;$Z$3,0, '0.0%'!$Q437/'0.0%'!$N437)</f>
        <v>1.0048860542314721</v>
      </c>
      <c r="X437" s="13">
        <f>IF('0.0%'!$N437&lt;$Z$3,0, '0.0%'!$R437/'0.0%'!$N437)</f>
        <v>1.0118235052776847</v>
      </c>
      <c r="Y437" s="13">
        <f>IF('0.0%'!$N437&lt;$Z$3,0, '0.0%'!$S437/'0.0%'!$N437)</f>
        <v>1.0334937152661221</v>
      </c>
    </row>
    <row r="438" spans="1:25" x14ac:dyDescent="0.3">
      <c r="A438" s="17">
        <v>502.69</v>
      </c>
      <c r="B438" s="10">
        <v>2728.7</v>
      </c>
      <c r="C438" s="9">
        <v>502.69</v>
      </c>
      <c r="D438" s="10">
        <v>2888.4</v>
      </c>
      <c r="E438" s="11">
        <v>502.69</v>
      </c>
      <c r="F438" s="12">
        <v>2753.4</v>
      </c>
      <c r="G438" s="11">
        <v>502.69</v>
      </c>
      <c r="H438" s="12">
        <v>2742.3</v>
      </c>
      <c r="I438" s="11">
        <v>502.69</v>
      </c>
      <c r="J438" s="12">
        <v>2761.8</v>
      </c>
      <c r="K438" s="11">
        <v>502.69</v>
      </c>
      <c r="L438" s="12">
        <v>2815.5</v>
      </c>
      <c r="M438" s="11">
        <v>502.69</v>
      </c>
      <c r="N438" s="13">
        <v>2728.7</v>
      </c>
      <c r="O438" s="13">
        <v>2888.4</v>
      </c>
      <c r="P438" s="13">
        <v>2753.4</v>
      </c>
      <c r="Q438" s="11">
        <v>2742.3</v>
      </c>
      <c r="R438" s="11">
        <v>2761.8</v>
      </c>
      <c r="S438" s="14">
        <v>2815.5</v>
      </c>
      <c r="T438" s="11">
        <v>502.69</v>
      </c>
      <c r="U438" s="13">
        <f>IF('0.0%'!$N438&lt;$Z$3,0, '0.0%'!$O438/'0.0%'!$N438)</f>
        <v>1.0585260380400925</v>
      </c>
      <c r="V438" s="13">
        <f>IF('0.0%'!$N438&lt;$Z$3,0, '0.0%'!$P438/'0.0%'!$N438)</f>
        <v>1.0090519294902336</v>
      </c>
      <c r="W438" s="13">
        <f>IF('0.0%'!$N438&lt;$Z$3,0, '0.0%'!$Q438/'0.0%'!$N438)</f>
        <v>1.0049840583428007</v>
      </c>
      <c r="X438" s="13">
        <f>IF('0.0%'!$N438&lt;$Z$3,0, '0.0%'!$R438/'0.0%'!$N438)</f>
        <v>1.0121303184666692</v>
      </c>
      <c r="Y438" s="13">
        <f>IF('0.0%'!$N438&lt;$Z$3,0, '0.0%'!$S438/'0.0%'!$N438)</f>
        <v>1.0318100194231685</v>
      </c>
    </row>
    <row r="439" spans="1:25" x14ac:dyDescent="0.3">
      <c r="A439" s="17">
        <v>503.68</v>
      </c>
      <c r="B439" s="10">
        <v>2776.8</v>
      </c>
      <c r="C439" s="9">
        <v>503.68</v>
      </c>
      <c r="D439" s="10">
        <v>2934.3</v>
      </c>
      <c r="E439" s="11">
        <v>503.68</v>
      </c>
      <c r="F439" s="12">
        <v>2802.7</v>
      </c>
      <c r="G439" s="11">
        <v>503.68</v>
      </c>
      <c r="H439" s="12">
        <v>2791</v>
      </c>
      <c r="I439" s="11">
        <v>503.68</v>
      </c>
      <c r="J439" s="12">
        <v>2812.5</v>
      </c>
      <c r="K439" s="11">
        <v>503.68</v>
      </c>
      <c r="L439" s="12">
        <v>2861.1</v>
      </c>
      <c r="M439" s="11">
        <v>503.68</v>
      </c>
      <c r="N439" s="13">
        <v>2776.8</v>
      </c>
      <c r="O439" s="13">
        <v>2934.3</v>
      </c>
      <c r="P439" s="13">
        <v>2802.7</v>
      </c>
      <c r="Q439" s="11">
        <v>2791</v>
      </c>
      <c r="R439" s="11">
        <v>2812.5</v>
      </c>
      <c r="S439" s="14">
        <v>2861.1</v>
      </c>
      <c r="T439" s="11">
        <v>503.68</v>
      </c>
      <c r="U439" s="13">
        <f>IF('0.0%'!$N439&lt;$Z$3,0, '0.0%'!$O439/'0.0%'!$N439)</f>
        <v>1.0567199654278305</v>
      </c>
      <c r="V439" s="13">
        <f>IF('0.0%'!$N439&lt;$Z$3,0, '0.0%'!$P439/'0.0%'!$N439)</f>
        <v>1.0093272832036875</v>
      </c>
      <c r="W439" s="13">
        <f>IF('0.0%'!$N439&lt;$Z$3,0, '0.0%'!$Q439/'0.0%'!$N439)</f>
        <v>1.0051138000576203</v>
      </c>
      <c r="X439" s="13">
        <f>IF('0.0%'!$N439&lt;$Z$3,0, '0.0%'!$R439/'0.0%'!$N439)</f>
        <v>1.0128565254969748</v>
      </c>
      <c r="Y439" s="13">
        <f>IF('0.0%'!$N439&lt;$Z$3,0, '0.0%'!$S439/'0.0%'!$N439)</f>
        <v>1.0303586862575627</v>
      </c>
    </row>
    <row r="440" spans="1:25" x14ac:dyDescent="0.3">
      <c r="A440" s="17">
        <v>504.67</v>
      </c>
      <c r="B440" s="10">
        <v>2820.4</v>
      </c>
      <c r="C440" s="9">
        <v>504.67</v>
      </c>
      <c r="D440" s="10">
        <v>2976.2</v>
      </c>
      <c r="E440" s="11">
        <v>504.67</v>
      </c>
      <c r="F440" s="12">
        <v>2847.7</v>
      </c>
      <c r="G440" s="11">
        <v>504.67</v>
      </c>
      <c r="H440" s="12">
        <v>2835.6</v>
      </c>
      <c r="I440" s="11">
        <v>504.67</v>
      </c>
      <c r="J440" s="12">
        <v>2860.1</v>
      </c>
      <c r="K440" s="11">
        <v>504.67</v>
      </c>
      <c r="L440" s="12">
        <v>2903.1</v>
      </c>
      <c r="M440" s="11">
        <v>504.67</v>
      </c>
      <c r="N440" s="13">
        <v>2820.4</v>
      </c>
      <c r="O440" s="13">
        <v>2976.2</v>
      </c>
      <c r="P440" s="13">
        <v>2847.7</v>
      </c>
      <c r="Q440" s="11">
        <v>2835.6</v>
      </c>
      <c r="R440" s="11">
        <v>2860.1</v>
      </c>
      <c r="S440" s="14">
        <v>2903.1</v>
      </c>
      <c r="T440" s="11">
        <v>504.67</v>
      </c>
      <c r="U440" s="13">
        <f>IF('0.0%'!$N440&lt;$Z$3,0, '0.0%'!$O440/'0.0%'!$N440)</f>
        <v>1.0552403914338391</v>
      </c>
      <c r="V440" s="13">
        <f>IF('0.0%'!$N440&lt;$Z$3,0, '0.0%'!$P440/'0.0%'!$N440)</f>
        <v>1.0096794780882143</v>
      </c>
      <c r="W440" s="13">
        <f>IF('0.0%'!$N440&lt;$Z$3,0, '0.0%'!$Q440/'0.0%'!$N440)</f>
        <v>1.0053893064813502</v>
      </c>
      <c r="X440" s="13">
        <f>IF('0.0%'!$N440&lt;$Z$3,0, '0.0%'!$R440/'0.0%'!$N440)</f>
        <v>1.0140760175861578</v>
      </c>
      <c r="Y440" s="13">
        <f>IF('0.0%'!$N440&lt;$Z$3,0, '0.0%'!$S440/'0.0%'!$N440)</f>
        <v>1.029322081974188</v>
      </c>
    </row>
    <row r="441" spans="1:25" x14ac:dyDescent="0.3">
      <c r="A441" s="17">
        <v>505.67</v>
      </c>
      <c r="B441" s="10">
        <v>2864.3</v>
      </c>
      <c r="C441" s="9">
        <v>505.67</v>
      </c>
      <c r="D441" s="10">
        <v>3017.8</v>
      </c>
      <c r="E441" s="11">
        <v>505.67</v>
      </c>
      <c r="F441" s="12">
        <v>2892.8</v>
      </c>
      <c r="G441" s="11">
        <v>505.67</v>
      </c>
      <c r="H441" s="12">
        <v>2880.5</v>
      </c>
      <c r="I441" s="11">
        <v>505.67</v>
      </c>
      <c r="J441" s="12">
        <v>2909.7</v>
      </c>
      <c r="K441" s="11">
        <v>505.67</v>
      </c>
      <c r="L441" s="12">
        <v>2945.6</v>
      </c>
      <c r="M441" s="11">
        <v>505.67</v>
      </c>
      <c r="N441" s="13">
        <v>2864.3</v>
      </c>
      <c r="O441" s="13">
        <v>3017.8</v>
      </c>
      <c r="P441" s="13">
        <v>2892.8</v>
      </c>
      <c r="Q441" s="11">
        <v>2880.5</v>
      </c>
      <c r="R441" s="11">
        <v>2909.7</v>
      </c>
      <c r="S441" s="14">
        <v>2945.6</v>
      </c>
      <c r="T441" s="11">
        <v>505.67</v>
      </c>
      <c r="U441" s="13">
        <f>IF('0.0%'!$N441&lt;$Z$3,0, '0.0%'!$O441/'0.0%'!$N441)</f>
        <v>1.0535907551583283</v>
      </c>
      <c r="V441" s="13">
        <f>IF('0.0%'!$N441&lt;$Z$3,0, '0.0%'!$P441/'0.0%'!$N441)</f>
        <v>1.0099500750619697</v>
      </c>
      <c r="W441" s="13">
        <f>IF('0.0%'!$N441&lt;$Z$3,0, '0.0%'!$Q441/'0.0%'!$N441)</f>
        <v>1.005655832140488</v>
      </c>
      <c r="X441" s="13">
        <f>IF('0.0%'!$N441&lt;$Z$3,0, '0.0%'!$R441/'0.0%'!$N441)</f>
        <v>1.0158502950109973</v>
      </c>
      <c r="Y441" s="13">
        <f>IF('0.0%'!$N441&lt;$Z$3,0, '0.0%'!$S441/'0.0%'!$N441)</f>
        <v>1.0283838983346716</v>
      </c>
    </row>
    <row r="442" spans="1:25" x14ac:dyDescent="0.3">
      <c r="A442" s="17">
        <v>506.66</v>
      </c>
      <c r="B442" s="10">
        <v>2904.1</v>
      </c>
      <c r="C442" s="9">
        <v>506.66</v>
      </c>
      <c r="D442" s="10">
        <v>3056</v>
      </c>
      <c r="E442" s="11">
        <v>506.66</v>
      </c>
      <c r="F442" s="12">
        <v>2934.3</v>
      </c>
      <c r="G442" s="11">
        <v>506.66</v>
      </c>
      <c r="H442" s="12">
        <v>2921.6</v>
      </c>
      <c r="I442" s="11">
        <v>506.66</v>
      </c>
      <c r="J442" s="12">
        <v>2957.2</v>
      </c>
      <c r="K442" s="11">
        <v>506.66</v>
      </c>
      <c r="L442" s="12">
        <v>2985.4</v>
      </c>
      <c r="M442" s="11">
        <v>506.66</v>
      </c>
      <c r="N442" s="13">
        <v>2904.1</v>
      </c>
      <c r="O442" s="13">
        <v>3056</v>
      </c>
      <c r="P442" s="13">
        <v>2934.3</v>
      </c>
      <c r="Q442" s="11">
        <v>2921.6</v>
      </c>
      <c r="R442" s="11">
        <v>2957.2</v>
      </c>
      <c r="S442" s="14">
        <v>2985.4</v>
      </c>
      <c r="T442" s="11">
        <v>506.66</v>
      </c>
      <c r="U442" s="13">
        <f>IF('0.0%'!$N442&lt;$Z$3,0, '0.0%'!$O442/'0.0%'!$N442)</f>
        <v>1.0523053613856272</v>
      </c>
      <c r="V442" s="13">
        <f>IF('0.0%'!$N442&lt;$Z$3,0, '0.0%'!$P442/'0.0%'!$N442)</f>
        <v>1.0103990909403948</v>
      </c>
      <c r="W442" s="13">
        <f>IF('0.0%'!$N442&lt;$Z$3,0, '0.0%'!$Q442/'0.0%'!$N442)</f>
        <v>1.0060259632932751</v>
      </c>
      <c r="X442" s="13">
        <f>IF('0.0%'!$N442&lt;$Z$3,0, '0.0%'!$R442/'0.0%'!$N442)</f>
        <v>1.0182844943355944</v>
      </c>
      <c r="Y442" s="13">
        <f>IF('0.0%'!$N442&lt;$Z$3,0, '0.0%'!$S442/'0.0%'!$N442)</f>
        <v>1.0279949037567577</v>
      </c>
    </row>
    <row r="443" spans="1:25" x14ac:dyDescent="0.3">
      <c r="A443" s="17">
        <v>507.65</v>
      </c>
      <c r="B443" s="10">
        <v>2944.2</v>
      </c>
      <c r="C443" s="9">
        <v>507.65</v>
      </c>
      <c r="D443" s="10">
        <v>3094</v>
      </c>
      <c r="E443" s="11">
        <v>507.65</v>
      </c>
      <c r="F443" s="12">
        <v>2976.2</v>
      </c>
      <c r="G443" s="11">
        <v>507.65</v>
      </c>
      <c r="H443" s="12">
        <v>2963.3</v>
      </c>
      <c r="I443" s="11">
        <v>507.65</v>
      </c>
      <c r="J443" s="12">
        <v>3007.6</v>
      </c>
      <c r="K443" s="11">
        <v>507.65</v>
      </c>
      <c r="L443" s="12">
        <v>3026.4</v>
      </c>
      <c r="M443" s="11">
        <v>507.65</v>
      </c>
      <c r="N443" s="13">
        <v>2944.2</v>
      </c>
      <c r="O443" s="13">
        <v>3094</v>
      </c>
      <c r="P443" s="13">
        <v>2976.2</v>
      </c>
      <c r="Q443" s="11">
        <v>2963.3</v>
      </c>
      <c r="R443" s="11">
        <v>3007.6</v>
      </c>
      <c r="S443" s="14">
        <v>3026.4</v>
      </c>
      <c r="T443" s="11">
        <v>507.65</v>
      </c>
      <c r="U443" s="13">
        <f>IF('0.0%'!$N443&lt;$Z$3,0, '0.0%'!$O443/'0.0%'!$N443)</f>
        <v>1.0508796956728483</v>
      </c>
      <c r="V443" s="13">
        <f>IF('0.0%'!$N443&lt;$Z$3,0, '0.0%'!$P443/'0.0%'!$N443)</f>
        <v>1.0108688268460022</v>
      </c>
      <c r="W443" s="13">
        <f>IF('0.0%'!$N443&lt;$Z$3,0, '0.0%'!$Q443/'0.0%'!$N443)</f>
        <v>1.0064873310237077</v>
      </c>
      <c r="X443" s="13">
        <f>IF('0.0%'!$N443&lt;$Z$3,0, '0.0%'!$R443/'0.0%'!$N443)</f>
        <v>1.0215338631886421</v>
      </c>
      <c r="Y443" s="13">
        <f>IF('0.0%'!$N443&lt;$Z$3,0, '0.0%'!$S443/'0.0%'!$N443)</f>
        <v>1.0279192989606685</v>
      </c>
    </row>
    <row r="444" spans="1:25" x14ac:dyDescent="0.3">
      <c r="A444" s="17">
        <v>508.64</v>
      </c>
      <c r="B444" s="10">
        <v>2981.4</v>
      </c>
      <c r="C444" s="9">
        <v>508.64</v>
      </c>
      <c r="D444" s="10">
        <v>3129.5</v>
      </c>
      <c r="E444" s="11">
        <v>508.64</v>
      </c>
      <c r="F444" s="12">
        <v>3015.4</v>
      </c>
      <c r="G444" s="11">
        <v>508.64</v>
      </c>
      <c r="H444" s="12">
        <v>3002.2</v>
      </c>
      <c r="I444" s="11">
        <v>508.64</v>
      </c>
      <c r="J444" s="12">
        <v>3055.1</v>
      </c>
      <c r="K444" s="11">
        <v>508.64</v>
      </c>
      <c r="L444" s="12">
        <v>3065.9</v>
      </c>
      <c r="M444" s="11">
        <v>508.64</v>
      </c>
      <c r="N444" s="13">
        <v>2981.4</v>
      </c>
      <c r="O444" s="13">
        <v>3129.5</v>
      </c>
      <c r="P444" s="13">
        <v>3015.4</v>
      </c>
      <c r="Q444" s="11">
        <v>3002.2</v>
      </c>
      <c r="R444" s="11">
        <v>3055.1</v>
      </c>
      <c r="S444" s="14">
        <v>3065.9</v>
      </c>
      <c r="T444" s="11">
        <v>508.64</v>
      </c>
      <c r="U444" s="13">
        <f>IF('0.0%'!$N444&lt;$Z$3,0, '0.0%'!$O444/'0.0%'!$N444)</f>
        <v>1.0496746494935265</v>
      </c>
      <c r="V444" s="13">
        <f>IF('0.0%'!$N444&lt;$Z$3,0, '0.0%'!$P444/'0.0%'!$N444)</f>
        <v>1.011404038371235</v>
      </c>
      <c r="W444" s="13">
        <f>IF('0.0%'!$N444&lt;$Z$3,0, '0.0%'!$Q444/'0.0%'!$N444)</f>
        <v>1.0069765881800496</v>
      </c>
      <c r="X444" s="13">
        <f>IF('0.0%'!$N444&lt;$Z$3,0, '0.0%'!$R444/'0.0%'!$N444)</f>
        <v>1.0247199302341181</v>
      </c>
      <c r="Y444" s="13">
        <f>IF('0.0%'!$N444&lt;$Z$3,0, '0.0%'!$S444/'0.0%'!$N444)</f>
        <v>1.0283423894814516</v>
      </c>
    </row>
    <row r="445" spans="1:25" x14ac:dyDescent="0.3">
      <c r="A445" s="17">
        <v>509.63</v>
      </c>
      <c r="B445" s="10">
        <v>3019.3</v>
      </c>
      <c r="C445" s="9">
        <v>509.63</v>
      </c>
      <c r="D445" s="10">
        <v>3165.6</v>
      </c>
      <c r="E445" s="11">
        <v>509.63</v>
      </c>
      <c r="F445" s="12">
        <v>3055.5</v>
      </c>
      <c r="G445" s="11">
        <v>509.63</v>
      </c>
      <c r="H445" s="12">
        <v>3042.1</v>
      </c>
      <c r="I445" s="11">
        <v>509.63</v>
      </c>
      <c r="J445" s="12">
        <v>3103.6</v>
      </c>
      <c r="K445" s="11">
        <v>509.63</v>
      </c>
      <c r="L445" s="12">
        <v>3107.8</v>
      </c>
      <c r="M445" s="11">
        <v>509.63</v>
      </c>
      <c r="N445" s="13">
        <v>3019.3</v>
      </c>
      <c r="O445" s="13">
        <v>3165.6</v>
      </c>
      <c r="P445" s="13">
        <v>3055.5</v>
      </c>
      <c r="Q445" s="11">
        <v>3042.1</v>
      </c>
      <c r="R445" s="11">
        <v>3103.6</v>
      </c>
      <c r="S445" s="14">
        <v>3107.8</v>
      </c>
      <c r="T445" s="11">
        <v>509.63</v>
      </c>
      <c r="U445" s="13">
        <f>IF('0.0%'!$N445&lt;$Z$3,0, '0.0%'!$O445/'0.0%'!$N445)</f>
        <v>1.0484549398867287</v>
      </c>
      <c r="V445" s="13">
        <f>IF('0.0%'!$N445&lt;$Z$3,0, '0.0%'!$P445/'0.0%'!$N445)</f>
        <v>1.0119895339979466</v>
      </c>
      <c r="W445" s="13">
        <f>IF('0.0%'!$N445&lt;$Z$3,0, '0.0%'!$Q445/'0.0%'!$N445)</f>
        <v>1.0075514192031265</v>
      </c>
      <c r="X445" s="13">
        <f>IF('0.0%'!$N445&lt;$Z$3,0, '0.0%'!$R445/'0.0%'!$N445)</f>
        <v>1.0279203788957705</v>
      </c>
      <c r="Y445" s="13">
        <f>IF('0.0%'!$N445&lt;$Z$3,0, '0.0%'!$S445/'0.0%'!$N445)</f>
        <v>1.0293114298016097</v>
      </c>
    </row>
    <row r="446" spans="1:25" x14ac:dyDescent="0.3">
      <c r="A446" s="17">
        <v>510.62</v>
      </c>
      <c r="B446" s="10">
        <v>3058</v>
      </c>
      <c r="C446" s="9">
        <v>510.62</v>
      </c>
      <c r="D446" s="10">
        <v>3202.8</v>
      </c>
      <c r="E446" s="11">
        <v>510.62</v>
      </c>
      <c r="F446" s="12">
        <v>3097.4</v>
      </c>
      <c r="G446" s="11">
        <v>510.62</v>
      </c>
      <c r="H446" s="12">
        <v>3083.4</v>
      </c>
      <c r="I446" s="11">
        <v>510.62</v>
      </c>
      <c r="J446" s="12">
        <v>3154</v>
      </c>
      <c r="K446" s="11">
        <v>510.62</v>
      </c>
      <c r="L446" s="12">
        <v>3154</v>
      </c>
      <c r="M446" s="11">
        <v>510.62</v>
      </c>
      <c r="N446" s="13">
        <v>3058</v>
      </c>
      <c r="O446" s="13">
        <v>3202.8</v>
      </c>
      <c r="P446" s="13">
        <v>3097.4</v>
      </c>
      <c r="Q446" s="11">
        <v>3083.4</v>
      </c>
      <c r="R446" s="11">
        <v>3154</v>
      </c>
      <c r="S446" s="14">
        <v>3154</v>
      </c>
      <c r="T446" s="11">
        <v>510.62</v>
      </c>
      <c r="U446" s="13">
        <f>IF('0.0%'!$N446&lt;$Z$3,0, '0.0%'!$O446/'0.0%'!$N446)</f>
        <v>1.047351209941138</v>
      </c>
      <c r="V446" s="13">
        <f>IF('0.0%'!$N446&lt;$Z$3,0, '0.0%'!$P446/'0.0%'!$N446)</f>
        <v>1.0128842380640941</v>
      </c>
      <c r="W446" s="13">
        <f>IF('0.0%'!$N446&lt;$Z$3,0, '0.0%'!$Q446/'0.0%'!$N446)</f>
        <v>1.0083060824068018</v>
      </c>
      <c r="X446" s="13">
        <f>IF('0.0%'!$N446&lt;$Z$3,0, '0.0%'!$R446/'0.0%'!$N446)</f>
        <v>1.0313930673642904</v>
      </c>
      <c r="Y446" s="13">
        <f>IF('0.0%'!$N446&lt;$Z$3,0, '0.0%'!$S446/'0.0%'!$N446)</f>
        <v>1.0313930673642904</v>
      </c>
    </row>
    <row r="447" spans="1:25" x14ac:dyDescent="0.3">
      <c r="A447" s="17">
        <v>511.62</v>
      </c>
      <c r="B447" s="10">
        <v>3092.3</v>
      </c>
      <c r="C447" s="9">
        <v>511.62</v>
      </c>
      <c r="D447" s="10">
        <v>3236.8</v>
      </c>
      <c r="E447" s="11">
        <v>511.62</v>
      </c>
      <c r="F447" s="12">
        <v>3135.4</v>
      </c>
      <c r="G447" s="11">
        <v>511.62</v>
      </c>
      <c r="H447" s="12">
        <v>3120.4</v>
      </c>
      <c r="I447" s="11">
        <v>511.62</v>
      </c>
      <c r="J447" s="12">
        <v>3196.7</v>
      </c>
      <c r="K447" s="11">
        <v>511.62</v>
      </c>
      <c r="L447" s="12">
        <v>3197.2</v>
      </c>
      <c r="M447" s="11">
        <v>511.62</v>
      </c>
      <c r="N447" s="13">
        <v>3092.3</v>
      </c>
      <c r="O447" s="13">
        <v>3236.8</v>
      </c>
      <c r="P447" s="13">
        <v>3135.4</v>
      </c>
      <c r="Q447" s="11">
        <v>3120.4</v>
      </c>
      <c r="R447" s="11">
        <v>3196.7</v>
      </c>
      <c r="S447" s="14">
        <v>3197.2</v>
      </c>
      <c r="T447" s="11">
        <v>511.62</v>
      </c>
      <c r="U447" s="13">
        <f>IF('0.0%'!$N447&lt;$Z$3,0, '0.0%'!$O447/'0.0%'!$N447)</f>
        <v>1.0467289719626167</v>
      </c>
      <c r="V447" s="13">
        <f>IF('0.0%'!$N447&lt;$Z$3,0, '0.0%'!$P447/'0.0%'!$N447)</f>
        <v>1.0139378456165313</v>
      </c>
      <c r="W447" s="13">
        <f>IF('0.0%'!$N447&lt;$Z$3,0, '0.0%'!$Q447/'0.0%'!$N447)</f>
        <v>1.0090870872813116</v>
      </c>
      <c r="X447" s="13">
        <f>IF('0.0%'!$N447&lt;$Z$3,0, '0.0%'!$R447/'0.0%'!$N447)</f>
        <v>1.0337612780131293</v>
      </c>
      <c r="Y447" s="13">
        <f>IF('0.0%'!$N447&lt;$Z$3,0, '0.0%'!$S447/'0.0%'!$N447)</f>
        <v>1.0339229699576367</v>
      </c>
    </row>
    <row r="448" spans="1:25" x14ac:dyDescent="0.3">
      <c r="A448" s="17">
        <v>512.61</v>
      </c>
      <c r="B448" s="10">
        <v>3127.1</v>
      </c>
      <c r="C448" s="9">
        <v>512.61</v>
      </c>
      <c r="D448" s="10">
        <v>3272.2</v>
      </c>
      <c r="E448" s="11">
        <v>512.61</v>
      </c>
      <c r="F448" s="12">
        <v>3174.8</v>
      </c>
      <c r="G448" s="11">
        <v>512.61</v>
      </c>
      <c r="H448" s="12">
        <v>3158.9</v>
      </c>
      <c r="I448" s="11">
        <v>512.61</v>
      </c>
      <c r="J448" s="12">
        <v>3238.1</v>
      </c>
      <c r="K448" s="11">
        <v>512.61</v>
      </c>
      <c r="L448" s="12">
        <v>3243.5</v>
      </c>
      <c r="M448" s="11">
        <v>512.61</v>
      </c>
      <c r="N448" s="13">
        <v>3127.1</v>
      </c>
      <c r="O448" s="13">
        <v>3272.2</v>
      </c>
      <c r="P448" s="13">
        <v>3174.8</v>
      </c>
      <c r="Q448" s="11">
        <v>3158.9</v>
      </c>
      <c r="R448" s="11">
        <v>3238.1</v>
      </c>
      <c r="S448" s="14">
        <v>3243.5</v>
      </c>
      <c r="T448" s="11">
        <v>512.61</v>
      </c>
      <c r="U448" s="13">
        <f>IF('0.0%'!$N448&lt;$Z$3,0, '0.0%'!$O448/'0.0%'!$N448)</f>
        <v>1.0464008186498672</v>
      </c>
      <c r="V448" s="13">
        <f>IF('0.0%'!$N448&lt;$Z$3,0, '0.0%'!$P448/'0.0%'!$N448)</f>
        <v>1.0152537494803493</v>
      </c>
      <c r="W448" s="13">
        <f>IF('0.0%'!$N448&lt;$Z$3,0, '0.0%'!$Q448/'0.0%'!$N448)</f>
        <v>1.0101691663202328</v>
      </c>
      <c r="X448" s="13">
        <f>IF('0.0%'!$N448&lt;$Z$3,0, '0.0%'!$R448/'0.0%'!$N448)</f>
        <v>1.0354961465894919</v>
      </c>
      <c r="Y448" s="13">
        <f>IF('0.0%'!$N448&lt;$Z$3,0, '0.0%'!$S448/'0.0%'!$N448)</f>
        <v>1.0372229861533051</v>
      </c>
    </row>
    <row r="449" spans="1:25" x14ac:dyDescent="0.3">
      <c r="A449" s="17">
        <v>513.6</v>
      </c>
      <c r="B449" s="10">
        <v>3160.6</v>
      </c>
      <c r="C449" s="9">
        <v>513.6</v>
      </c>
      <c r="D449" s="10">
        <v>3307.4</v>
      </c>
      <c r="E449" s="11">
        <v>513.6</v>
      </c>
      <c r="F449" s="12">
        <v>3212.2</v>
      </c>
      <c r="G449" s="11">
        <v>513.6</v>
      </c>
      <c r="H449" s="12">
        <v>3196.6</v>
      </c>
      <c r="I449" s="11">
        <v>513.6</v>
      </c>
      <c r="J449" s="12">
        <v>3275.7</v>
      </c>
      <c r="K449" s="11">
        <v>513.6</v>
      </c>
      <c r="L449" s="12">
        <v>3288.3</v>
      </c>
      <c r="M449" s="11">
        <v>513.6</v>
      </c>
      <c r="N449" s="13">
        <v>3160.6</v>
      </c>
      <c r="O449" s="13">
        <v>3307.4</v>
      </c>
      <c r="P449" s="13">
        <v>3212.2</v>
      </c>
      <c r="Q449" s="11">
        <v>3196.6</v>
      </c>
      <c r="R449" s="11">
        <v>3275.7</v>
      </c>
      <c r="S449" s="14">
        <v>3288.3</v>
      </c>
      <c r="T449" s="11">
        <v>513.6</v>
      </c>
      <c r="U449" s="13">
        <f>IF('0.0%'!$N449&lt;$Z$3,0, '0.0%'!$O449/'0.0%'!$N449)</f>
        <v>1.04644687717522</v>
      </c>
      <c r="V449" s="13">
        <f>IF('0.0%'!$N449&lt;$Z$3,0, '0.0%'!$P449/'0.0%'!$N449)</f>
        <v>1.0163260140479655</v>
      </c>
      <c r="W449" s="13">
        <f>IF('0.0%'!$N449&lt;$Z$3,0, '0.0%'!$Q449/'0.0%'!$N449)</f>
        <v>1.0113902423590457</v>
      </c>
      <c r="X449" s="13">
        <f>IF('0.0%'!$N449&lt;$Z$3,0, '0.0%'!$R449/'0.0%'!$N449)</f>
        <v>1.0364171359868379</v>
      </c>
      <c r="Y449" s="13">
        <f>IF('0.0%'!$N449&lt;$Z$3,0, '0.0%'!$S449/'0.0%'!$N449)</f>
        <v>1.0404037208125041</v>
      </c>
    </row>
    <row r="450" spans="1:25" x14ac:dyDescent="0.3">
      <c r="A450" s="17">
        <v>514.59</v>
      </c>
      <c r="B450" s="10">
        <v>3196.5</v>
      </c>
      <c r="C450" s="9">
        <v>514.59</v>
      </c>
      <c r="D450" s="10">
        <v>3346.5</v>
      </c>
      <c r="E450" s="11">
        <v>514.59</v>
      </c>
      <c r="F450" s="12">
        <v>3250.9</v>
      </c>
      <c r="G450" s="11">
        <v>514.59</v>
      </c>
      <c r="H450" s="12">
        <v>3238.7</v>
      </c>
      <c r="I450" s="11">
        <v>514.59</v>
      </c>
      <c r="J450" s="12">
        <v>3312.3</v>
      </c>
      <c r="K450" s="11">
        <v>514.59</v>
      </c>
      <c r="L450" s="12">
        <v>3335.8</v>
      </c>
      <c r="M450" s="11">
        <v>514.59</v>
      </c>
      <c r="N450" s="13">
        <v>3196.5</v>
      </c>
      <c r="O450" s="13">
        <v>3346.5</v>
      </c>
      <c r="P450" s="13">
        <v>3250.9</v>
      </c>
      <c r="Q450" s="11">
        <v>3238.7</v>
      </c>
      <c r="R450" s="11">
        <v>3312.3</v>
      </c>
      <c r="S450" s="14">
        <v>3335.8</v>
      </c>
      <c r="T450" s="11">
        <v>514.59</v>
      </c>
      <c r="U450" s="13">
        <f>IF('0.0%'!$N450&lt;$Z$3,0, '0.0%'!$O450/'0.0%'!$N450)</f>
        <v>1.0469263256687</v>
      </c>
      <c r="V450" s="13">
        <f>IF('0.0%'!$N450&lt;$Z$3,0, '0.0%'!$P450/'0.0%'!$N450)</f>
        <v>1.0170186141091819</v>
      </c>
      <c r="W450" s="13">
        <f>IF('0.0%'!$N450&lt;$Z$3,0, '0.0%'!$Q450/'0.0%'!$N450)</f>
        <v>1.0132019396214609</v>
      </c>
      <c r="X450" s="13">
        <f>IF('0.0%'!$N450&lt;$Z$3,0, '0.0%'!$R450/'0.0%'!$N450)</f>
        <v>1.0362271234162366</v>
      </c>
      <c r="Y450" s="13">
        <f>IF('0.0%'!$N450&lt;$Z$3,0, '0.0%'!$S450/'0.0%'!$N450)</f>
        <v>1.0435789144376661</v>
      </c>
    </row>
    <row r="451" spans="1:25" x14ac:dyDescent="0.3">
      <c r="A451" s="17">
        <v>515.58000000000004</v>
      </c>
      <c r="B451" s="10">
        <v>3232.6</v>
      </c>
      <c r="C451" s="9">
        <v>515.58000000000004</v>
      </c>
      <c r="D451" s="10">
        <v>3386</v>
      </c>
      <c r="E451" s="11">
        <v>515.58000000000004</v>
      </c>
      <c r="F451" s="12">
        <v>3287</v>
      </c>
      <c r="G451" s="11">
        <v>515.58000000000004</v>
      </c>
      <c r="H451" s="12">
        <v>3280.3</v>
      </c>
      <c r="I451" s="11">
        <v>515.58000000000004</v>
      </c>
      <c r="J451" s="12">
        <v>3345.6</v>
      </c>
      <c r="K451" s="11">
        <v>515.58000000000004</v>
      </c>
      <c r="L451" s="12">
        <v>3380.8</v>
      </c>
      <c r="M451" s="11">
        <v>515.58000000000004</v>
      </c>
      <c r="N451" s="13">
        <v>3232.6</v>
      </c>
      <c r="O451" s="13">
        <v>3386</v>
      </c>
      <c r="P451" s="13">
        <v>3287</v>
      </c>
      <c r="Q451" s="11">
        <v>3280.3</v>
      </c>
      <c r="R451" s="11">
        <v>3345.6</v>
      </c>
      <c r="S451" s="14">
        <v>3380.8</v>
      </c>
      <c r="T451" s="11">
        <v>515.58000000000004</v>
      </c>
      <c r="U451" s="13">
        <f>IF('0.0%'!$N451&lt;$Z$3,0, '0.0%'!$O451/'0.0%'!$N451)</f>
        <v>1.0474540617459631</v>
      </c>
      <c r="V451" s="13">
        <f>IF('0.0%'!$N451&lt;$Z$3,0, '0.0%'!$P451/'0.0%'!$N451)</f>
        <v>1.0168285590546309</v>
      </c>
      <c r="W451" s="13">
        <f>IF('0.0%'!$N451&lt;$Z$3,0, '0.0%'!$Q451/'0.0%'!$N451)</f>
        <v>1.0147559240240056</v>
      </c>
      <c r="X451" s="13">
        <f>IF('0.0%'!$N451&lt;$Z$3,0, '0.0%'!$R451/'0.0%'!$N451)</f>
        <v>1.0349563818598033</v>
      </c>
      <c r="Y451" s="13">
        <f>IF('0.0%'!$N451&lt;$Z$3,0, '0.0%'!$S451/'0.0%'!$N451)</f>
        <v>1.045845449483388</v>
      </c>
    </row>
    <row r="452" spans="1:25" x14ac:dyDescent="0.3">
      <c r="A452" s="17">
        <v>516.57000000000005</v>
      </c>
      <c r="B452" s="10">
        <v>3273.1</v>
      </c>
      <c r="C452" s="9">
        <v>516.57000000000005</v>
      </c>
      <c r="D452" s="10">
        <v>3430.1</v>
      </c>
      <c r="E452" s="11">
        <v>516.57000000000005</v>
      </c>
      <c r="F452" s="12">
        <v>3323.8</v>
      </c>
      <c r="G452" s="11">
        <v>516.57000000000005</v>
      </c>
      <c r="H452" s="12">
        <v>3325.8</v>
      </c>
      <c r="I452" s="11">
        <v>516.57000000000005</v>
      </c>
      <c r="J452" s="12">
        <v>3378.1</v>
      </c>
      <c r="K452" s="11">
        <v>516.57000000000005</v>
      </c>
      <c r="L452" s="12">
        <v>3426.9</v>
      </c>
      <c r="M452" s="11">
        <v>516.57000000000005</v>
      </c>
      <c r="N452" s="13">
        <v>3273.1</v>
      </c>
      <c r="O452" s="13">
        <v>3430.1</v>
      </c>
      <c r="P452" s="13">
        <v>3323.8</v>
      </c>
      <c r="Q452" s="11">
        <v>3325.8</v>
      </c>
      <c r="R452" s="11">
        <v>3378.1</v>
      </c>
      <c r="S452" s="14">
        <v>3426.9</v>
      </c>
      <c r="T452" s="11">
        <v>516.57000000000005</v>
      </c>
      <c r="U452" s="13">
        <f>IF('0.0%'!$N452&lt;$Z$3,0, '0.0%'!$O452/'0.0%'!$N452)</f>
        <v>1.0479667593412973</v>
      </c>
      <c r="V452" s="13">
        <f>IF('0.0%'!$N452&lt;$Z$3,0, '0.0%'!$P452/'0.0%'!$N452)</f>
        <v>1.0154899025388775</v>
      </c>
      <c r="W452" s="13">
        <f>IF('0.0%'!$N452&lt;$Z$3,0, '0.0%'!$Q452/'0.0%'!$N452)</f>
        <v>1.0161009440591489</v>
      </c>
      <c r="X452" s="13">
        <f>IF('0.0%'!$N452&lt;$Z$3,0, '0.0%'!$R452/'0.0%'!$N452)</f>
        <v>1.0320796798142433</v>
      </c>
      <c r="Y452" s="13">
        <f>IF('0.0%'!$N452&lt;$Z$3,0, '0.0%'!$S452/'0.0%'!$N452)</f>
        <v>1.0469890929088632</v>
      </c>
    </row>
    <row r="453" spans="1:25" x14ac:dyDescent="0.3">
      <c r="A453" s="17">
        <v>517.57000000000005</v>
      </c>
      <c r="B453" s="10">
        <v>3313</v>
      </c>
      <c r="C453" s="9">
        <v>517.57000000000005</v>
      </c>
      <c r="D453" s="10">
        <v>3473.4</v>
      </c>
      <c r="E453" s="11">
        <v>517.57000000000005</v>
      </c>
      <c r="F453" s="12">
        <v>3358.5</v>
      </c>
      <c r="G453" s="11">
        <v>517.57000000000005</v>
      </c>
      <c r="H453" s="12">
        <v>3368.8</v>
      </c>
      <c r="I453" s="11">
        <v>517.57000000000005</v>
      </c>
      <c r="J453" s="12">
        <v>3407.7</v>
      </c>
      <c r="K453" s="11">
        <v>517.57000000000005</v>
      </c>
      <c r="L453" s="12">
        <v>3469.9</v>
      </c>
      <c r="M453" s="11">
        <v>517.57000000000005</v>
      </c>
      <c r="N453" s="13">
        <v>3313</v>
      </c>
      <c r="O453" s="13">
        <v>3473.4</v>
      </c>
      <c r="P453" s="13">
        <v>3358.5</v>
      </c>
      <c r="Q453" s="11">
        <v>3368.8</v>
      </c>
      <c r="R453" s="11">
        <v>3407.7</v>
      </c>
      <c r="S453" s="14">
        <v>3469.9</v>
      </c>
      <c r="T453" s="11">
        <v>517.57000000000005</v>
      </c>
      <c r="U453" s="13">
        <f>IF('0.0%'!$N453&lt;$Z$3,0, '0.0%'!$O453/'0.0%'!$N453)</f>
        <v>1.048415333534561</v>
      </c>
      <c r="V453" s="13">
        <f>IF('0.0%'!$N453&lt;$Z$3,0, '0.0%'!$P453/'0.0%'!$N453)</f>
        <v>1.0137337760338063</v>
      </c>
      <c r="W453" s="13">
        <f>IF('0.0%'!$N453&lt;$Z$3,0, '0.0%'!$Q453/'0.0%'!$N453)</f>
        <v>1.0168427407183822</v>
      </c>
      <c r="X453" s="13">
        <f>IF('0.0%'!$N453&lt;$Z$3,0, '0.0%'!$R453/'0.0%'!$N453)</f>
        <v>1.0285843646242077</v>
      </c>
      <c r="Y453" s="13">
        <f>IF('0.0%'!$N453&lt;$Z$3,0, '0.0%'!$S453/'0.0%'!$N453)</f>
        <v>1.047358889224268</v>
      </c>
    </row>
    <row r="454" spans="1:25" x14ac:dyDescent="0.3">
      <c r="A454" s="17">
        <v>518.55999999999995</v>
      </c>
      <c r="B454" s="10">
        <v>3355.6</v>
      </c>
      <c r="C454" s="9">
        <v>518.55999999999995</v>
      </c>
      <c r="D454" s="10">
        <v>3519.3</v>
      </c>
      <c r="E454" s="11">
        <v>518.55999999999995</v>
      </c>
      <c r="F454" s="12">
        <v>3393.8</v>
      </c>
      <c r="G454" s="11">
        <v>518.55999999999995</v>
      </c>
      <c r="H454" s="12">
        <v>3412.6</v>
      </c>
      <c r="I454" s="11">
        <v>518.55999999999995</v>
      </c>
      <c r="J454" s="12">
        <v>3436.8</v>
      </c>
      <c r="K454" s="11">
        <v>518.55999999999995</v>
      </c>
      <c r="L454" s="12">
        <v>3512.8</v>
      </c>
      <c r="M454" s="11">
        <v>518.55999999999995</v>
      </c>
      <c r="N454" s="13">
        <v>3355.6</v>
      </c>
      <c r="O454" s="13">
        <v>3519.3</v>
      </c>
      <c r="P454" s="13">
        <v>3393.8</v>
      </c>
      <c r="Q454" s="11">
        <v>3412.6</v>
      </c>
      <c r="R454" s="11">
        <v>3436.8</v>
      </c>
      <c r="S454" s="14">
        <v>3512.8</v>
      </c>
      <c r="T454" s="11">
        <v>518.55999999999995</v>
      </c>
      <c r="U454" s="13">
        <f>IF('0.0%'!$N454&lt;$Z$3,0, '0.0%'!$O454/'0.0%'!$N454)</f>
        <v>1.0487841220646086</v>
      </c>
      <c r="V454" s="13">
        <f>IF('0.0%'!$N454&lt;$Z$3,0, '0.0%'!$P454/'0.0%'!$N454)</f>
        <v>1.0113839551794017</v>
      </c>
      <c r="W454" s="13">
        <f>IF('0.0%'!$N454&lt;$Z$3,0, '0.0%'!$Q454/'0.0%'!$N454)</f>
        <v>1.0169865299797354</v>
      </c>
      <c r="X454" s="13">
        <f>IF('0.0%'!$N454&lt;$Z$3,0, '0.0%'!$R454/'0.0%'!$N454)</f>
        <v>1.0241983549886757</v>
      </c>
      <c r="Y454" s="13">
        <f>IF('0.0%'!$N454&lt;$Z$3,0, '0.0%'!$S454/'0.0%'!$N454)</f>
        <v>1.046847061628323</v>
      </c>
    </row>
    <row r="455" spans="1:25" x14ac:dyDescent="0.3">
      <c r="A455" s="17">
        <v>519.54999999999995</v>
      </c>
      <c r="B455" s="10">
        <v>3395.4</v>
      </c>
      <c r="C455" s="9">
        <v>519.54999999999995</v>
      </c>
      <c r="D455" s="10">
        <v>3562.6</v>
      </c>
      <c r="E455" s="11">
        <v>519.54999999999995</v>
      </c>
      <c r="F455" s="12">
        <v>3427.7</v>
      </c>
      <c r="G455" s="11">
        <v>519.54999999999995</v>
      </c>
      <c r="H455" s="12">
        <v>3452.8</v>
      </c>
      <c r="I455" s="11">
        <v>519.54999999999995</v>
      </c>
      <c r="J455" s="12">
        <v>3463.6</v>
      </c>
      <c r="K455" s="11">
        <v>519.54999999999995</v>
      </c>
      <c r="L455" s="12">
        <v>3552.4</v>
      </c>
      <c r="M455" s="11">
        <v>519.54999999999995</v>
      </c>
      <c r="N455" s="13">
        <v>3395.4</v>
      </c>
      <c r="O455" s="13">
        <v>3562.6</v>
      </c>
      <c r="P455" s="13">
        <v>3427.7</v>
      </c>
      <c r="Q455" s="11">
        <v>3452.8</v>
      </c>
      <c r="R455" s="11">
        <v>3463.6</v>
      </c>
      <c r="S455" s="14">
        <v>3552.4</v>
      </c>
      <c r="T455" s="11">
        <v>519.54999999999995</v>
      </c>
      <c r="U455" s="13">
        <f>IF('0.0%'!$N455&lt;$Z$3,0, '0.0%'!$O455/'0.0%'!$N455)</f>
        <v>1.0492430935972197</v>
      </c>
      <c r="V455" s="13">
        <f>IF('0.0%'!$N455&lt;$Z$3,0, '0.0%'!$P455/'0.0%'!$N455)</f>
        <v>1.0095128703540084</v>
      </c>
      <c r="W455" s="13">
        <f>IF('0.0%'!$N455&lt;$Z$3,0, '0.0%'!$Q455/'0.0%'!$N455)</f>
        <v>1.0169052247157919</v>
      </c>
      <c r="X455" s="13">
        <f>IF('0.0%'!$N455&lt;$Z$3,0, '0.0%'!$R455/'0.0%'!$N455)</f>
        <v>1.0200859987041291</v>
      </c>
      <c r="Y455" s="13">
        <f>IF('0.0%'!$N455&lt;$Z$3,0, '0.0%'!$S455/'0.0%'!$N455)</f>
        <v>1.0462390292749013</v>
      </c>
    </row>
    <row r="456" spans="1:25" x14ac:dyDescent="0.3">
      <c r="A456" s="17">
        <v>520.54</v>
      </c>
      <c r="B456" s="10">
        <v>3435.6</v>
      </c>
      <c r="C456" s="9">
        <v>520.54</v>
      </c>
      <c r="D456" s="10">
        <v>3606.9</v>
      </c>
      <c r="E456" s="11">
        <v>520.54</v>
      </c>
      <c r="F456" s="12">
        <v>3463</v>
      </c>
      <c r="G456" s="11">
        <v>520.54</v>
      </c>
      <c r="H456" s="12">
        <v>3492.7</v>
      </c>
      <c r="I456" s="11">
        <v>520.54</v>
      </c>
      <c r="J456" s="12">
        <v>3490.3</v>
      </c>
      <c r="K456" s="11">
        <v>520.54</v>
      </c>
      <c r="L456" s="12">
        <v>3591.2</v>
      </c>
      <c r="M456" s="11">
        <v>520.54</v>
      </c>
      <c r="N456" s="13">
        <v>3435.6</v>
      </c>
      <c r="O456" s="13">
        <v>3606.9</v>
      </c>
      <c r="P456" s="13">
        <v>3463</v>
      </c>
      <c r="Q456" s="11">
        <v>3492.7</v>
      </c>
      <c r="R456" s="11">
        <v>3490.3</v>
      </c>
      <c r="S456" s="14">
        <v>3591.2</v>
      </c>
      <c r="T456" s="11">
        <v>520.54</v>
      </c>
      <c r="U456" s="13">
        <f>IF('0.0%'!$N456&lt;$Z$3,0, '0.0%'!$O456/'0.0%'!$N456)</f>
        <v>1.0498602864128537</v>
      </c>
      <c r="V456" s="13">
        <f>IF('0.0%'!$N456&lt;$Z$3,0, '0.0%'!$P456/'0.0%'!$N456)</f>
        <v>1.0079753172662709</v>
      </c>
      <c r="W456" s="13">
        <f>IF('0.0%'!$N456&lt;$Z$3,0, '0.0%'!$Q456/'0.0%'!$N456)</f>
        <v>1.0166200954709512</v>
      </c>
      <c r="X456" s="13">
        <f>IF('0.0%'!$N456&lt;$Z$3,0, '0.0%'!$R456/'0.0%'!$N456)</f>
        <v>1.0159215275352196</v>
      </c>
      <c r="Y456" s="13">
        <f>IF('0.0%'!$N456&lt;$Z$3,0, '0.0%'!$S456/'0.0%'!$N456)</f>
        <v>1.0452904878332752</v>
      </c>
    </row>
    <row r="457" spans="1:25" x14ac:dyDescent="0.3">
      <c r="A457" s="17">
        <v>521.53</v>
      </c>
      <c r="B457" s="10">
        <v>3472.5</v>
      </c>
      <c r="C457" s="9">
        <v>521.53</v>
      </c>
      <c r="D457" s="10">
        <v>3648</v>
      </c>
      <c r="E457" s="11">
        <v>521.53</v>
      </c>
      <c r="F457" s="12">
        <v>3496.3</v>
      </c>
      <c r="G457" s="11">
        <v>521.53</v>
      </c>
      <c r="H457" s="12">
        <v>3529</v>
      </c>
      <c r="I457" s="11">
        <v>521.53</v>
      </c>
      <c r="J457" s="12">
        <v>3515.6</v>
      </c>
      <c r="K457" s="11">
        <v>521.53</v>
      </c>
      <c r="L457" s="12">
        <v>3626.4</v>
      </c>
      <c r="M457" s="11">
        <v>521.53</v>
      </c>
      <c r="N457" s="13">
        <v>3472.5</v>
      </c>
      <c r="O457" s="13">
        <v>3648</v>
      </c>
      <c r="P457" s="13">
        <v>3496.3</v>
      </c>
      <c r="Q457" s="11">
        <v>3529</v>
      </c>
      <c r="R457" s="11">
        <v>3515.6</v>
      </c>
      <c r="S457" s="14">
        <v>3626.4</v>
      </c>
      <c r="T457" s="11">
        <v>521.53</v>
      </c>
      <c r="U457" s="13">
        <f>IF('0.0%'!$N457&lt;$Z$3,0, '0.0%'!$O457/'0.0%'!$N457)</f>
        <v>1.0505399568034557</v>
      </c>
      <c r="V457" s="13">
        <f>IF('0.0%'!$N457&lt;$Z$3,0, '0.0%'!$P457/'0.0%'!$N457)</f>
        <v>1.0068538516918648</v>
      </c>
      <c r="W457" s="13">
        <f>IF('0.0%'!$N457&lt;$Z$3,0, '0.0%'!$Q457/'0.0%'!$N457)</f>
        <v>1.0162706983441325</v>
      </c>
      <c r="X457" s="13">
        <f>IF('0.0%'!$N457&lt;$Z$3,0, '0.0%'!$R457/'0.0%'!$N457)</f>
        <v>1.0124118070554355</v>
      </c>
      <c r="Y457" s="13">
        <f>IF('0.0%'!$N457&lt;$Z$3,0, '0.0%'!$S457/'0.0%'!$N457)</f>
        <v>1.0443196544276458</v>
      </c>
    </row>
    <row r="458" spans="1:25" x14ac:dyDescent="0.3">
      <c r="A458" s="17">
        <v>522.53</v>
      </c>
      <c r="B458" s="10">
        <v>3508.4</v>
      </c>
      <c r="C458" s="9">
        <v>522.53</v>
      </c>
      <c r="D458" s="10">
        <v>3688.3</v>
      </c>
      <c r="E458" s="11">
        <v>522.53</v>
      </c>
      <c r="F458" s="12">
        <v>3529.2</v>
      </c>
      <c r="G458" s="11">
        <v>522.53</v>
      </c>
      <c r="H458" s="12">
        <v>3563.7</v>
      </c>
      <c r="I458" s="11">
        <v>522.53</v>
      </c>
      <c r="J458" s="12">
        <v>3541.2</v>
      </c>
      <c r="K458" s="11">
        <v>522.53</v>
      </c>
      <c r="L458" s="12">
        <v>3659.5</v>
      </c>
      <c r="M458" s="11">
        <v>522.53</v>
      </c>
      <c r="N458" s="13">
        <v>3508.4</v>
      </c>
      <c r="O458" s="13">
        <v>3688.3</v>
      </c>
      <c r="P458" s="13">
        <v>3529.2</v>
      </c>
      <c r="Q458" s="11">
        <v>3563.7</v>
      </c>
      <c r="R458" s="11">
        <v>3541.2</v>
      </c>
      <c r="S458" s="14">
        <v>3659.5</v>
      </c>
      <c r="T458" s="11">
        <v>522.53</v>
      </c>
      <c r="U458" s="13">
        <f>IF('0.0%'!$N458&lt;$Z$3,0, '0.0%'!$O458/'0.0%'!$N458)</f>
        <v>1.0512769353551477</v>
      </c>
      <c r="V458" s="13">
        <f>IF('0.0%'!$N458&lt;$Z$3,0, '0.0%'!$P458/'0.0%'!$N458)</f>
        <v>1.0059286284346141</v>
      </c>
      <c r="W458" s="13">
        <f>IF('0.0%'!$N458&lt;$Z$3,0, '0.0%'!$Q458/'0.0%'!$N458)</f>
        <v>1.0157621707901037</v>
      </c>
      <c r="X458" s="13">
        <f>IF('0.0%'!$N458&lt;$Z$3,0, '0.0%'!$R458/'0.0%'!$N458)</f>
        <v>1.0093489909930451</v>
      </c>
      <c r="Y458" s="13">
        <f>IF('0.0%'!$N458&lt;$Z$3,0, '0.0%'!$S458/'0.0%'!$N458)</f>
        <v>1.0430680652149127</v>
      </c>
    </row>
    <row r="459" spans="1:25" x14ac:dyDescent="0.3">
      <c r="A459" s="17">
        <v>523.52</v>
      </c>
      <c r="B459" s="10">
        <v>3540.9</v>
      </c>
      <c r="C459" s="9">
        <v>523.52</v>
      </c>
      <c r="D459" s="10">
        <v>3725.3</v>
      </c>
      <c r="E459" s="11">
        <v>523.52</v>
      </c>
      <c r="F459" s="12">
        <v>3558.8</v>
      </c>
      <c r="G459" s="11">
        <v>523.52</v>
      </c>
      <c r="H459" s="12">
        <v>3595.1</v>
      </c>
      <c r="I459" s="11">
        <v>523.52</v>
      </c>
      <c r="J459" s="12">
        <v>3565.5</v>
      </c>
      <c r="K459" s="11">
        <v>523.52</v>
      </c>
      <c r="L459" s="12">
        <v>3688.6</v>
      </c>
      <c r="M459" s="11">
        <v>523.52</v>
      </c>
      <c r="N459" s="13">
        <v>3540.9</v>
      </c>
      <c r="O459" s="13">
        <v>3725.3</v>
      </c>
      <c r="P459" s="13">
        <v>3558.8</v>
      </c>
      <c r="Q459" s="11">
        <v>3595.1</v>
      </c>
      <c r="R459" s="11">
        <v>3565.5</v>
      </c>
      <c r="S459" s="14">
        <v>3688.6</v>
      </c>
      <c r="T459" s="11">
        <v>523.52</v>
      </c>
      <c r="U459" s="13">
        <f>IF('0.0%'!$N459&lt;$Z$3,0, '0.0%'!$O459/'0.0%'!$N459)</f>
        <v>1.0520771555254314</v>
      </c>
      <c r="V459" s="13">
        <f>IF('0.0%'!$N459&lt;$Z$3,0, '0.0%'!$P459/'0.0%'!$N459)</f>
        <v>1.0050552119517637</v>
      </c>
      <c r="W459" s="13">
        <f>IF('0.0%'!$N459&lt;$Z$3,0, '0.0%'!$Q459/'0.0%'!$N459)</f>
        <v>1.0153068428930498</v>
      </c>
      <c r="X459" s="13">
        <f>IF('0.0%'!$N459&lt;$Z$3,0, '0.0%'!$R459/'0.0%'!$N459)</f>
        <v>1.0069473862577312</v>
      </c>
      <c r="Y459" s="13">
        <f>IF('0.0%'!$N459&lt;$Z$3,0, '0.0%'!$S459/'0.0%'!$N459)</f>
        <v>1.0417125589539382</v>
      </c>
    </row>
    <row r="460" spans="1:25" x14ac:dyDescent="0.3">
      <c r="A460" s="17">
        <v>524.51</v>
      </c>
      <c r="B460" s="10">
        <v>3571.9</v>
      </c>
      <c r="C460" s="9">
        <v>524.51</v>
      </c>
      <c r="D460" s="10">
        <v>3760.9</v>
      </c>
      <c r="E460" s="11">
        <v>524.51</v>
      </c>
      <c r="F460" s="12">
        <v>3586.9</v>
      </c>
      <c r="G460" s="11">
        <v>524.51</v>
      </c>
      <c r="H460" s="12">
        <v>3624.5</v>
      </c>
      <c r="I460" s="11">
        <v>524.51</v>
      </c>
      <c r="J460" s="12">
        <v>3589.7</v>
      </c>
      <c r="K460" s="11">
        <v>524.51</v>
      </c>
      <c r="L460" s="12">
        <v>3715.3</v>
      </c>
      <c r="M460" s="11">
        <v>524.51</v>
      </c>
      <c r="N460" s="13">
        <v>3571.9</v>
      </c>
      <c r="O460" s="13">
        <v>3760.9</v>
      </c>
      <c r="P460" s="13">
        <v>3586.9</v>
      </c>
      <c r="Q460" s="11">
        <v>3624.5</v>
      </c>
      <c r="R460" s="11">
        <v>3589.7</v>
      </c>
      <c r="S460" s="14">
        <v>3715.3</v>
      </c>
      <c r="T460" s="11">
        <v>524.51</v>
      </c>
      <c r="U460" s="13">
        <f>IF('0.0%'!$N460&lt;$Z$3,0, '0.0%'!$O460/'0.0%'!$N460)</f>
        <v>1.0529130154819564</v>
      </c>
      <c r="V460" s="13">
        <f>IF('0.0%'!$N460&lt;$Z$3,0, '0.0%'!$P460/'0.0%'!$N460)</f>
        <v>1.0041994456731711</v>
      </c>
      <c r="W460" s="13">
        <f>IF('0.0%'!$N460&lt;$Z$3,0, '0.0%'!$Q460/'0.0%'!$N460)</f>
        <v>1.0147260561605869</v>
      </c>
      <c r="X460" s="13">
        <f>IF('0.0%'!$N460&lt;$Z$3,0, '0.0%'!$R460/'0.0%'!$N460)</f>
        <v>1.0049833421988297</v>
      </c>
      <c r="Y460" s="13">
        <f>IF('0.0%'!$N460&lt;$Z$3,0, '0.0%'!$S460/'0.0%'!$N460)</f>
        <v>1.0401467006355161</v>
      </c>
    </row>
    <row r="461" spans="1:25" x14ac:dyDescent="0.3">
      <c r="A461" s="17">
        <v>525.5</v>
      </c>
      <c r="B461" s="10">
        <v>3599.8</v>
      </c>
      <c r="C461" s="9">
        <v>525.5</v>
      </c>
      <c r="D461" s="10">
        <v>3793.5</v>
      </c>
      <c r="E461" s="11">
        <v>525.5</v>
      </c>
      <c r="F461" s="12">
        <v>3612.3</v>
      </c>
      <c r="G461" s="11">
        <v>525.5</v>
      </c>
      <c r="H461" s="12">
        <v>3651.3</v>
      </c>
      <c r="I461" s="11">
        <v>525.5</v>
      </c>
      <c r="J461" s="12">
        <v>3612.1</v>
      </c>
      <c r="K461" s="11">
        <v>525.5</v>
      </c>
      <c r="L461" s="12">
        <v>3738.3</v>
      </c>
      <c r="M461" s="11">
        <v>525.5</v>
      </c>
      <c r="N461" s="13">
        <v>3599.8</v>
      </c>
      <c r="O461" s="13">
        <v>3793.5</v>
      </c>
      <c r="P461" s="13">
        <v>3612.3</v>
      </c>
      <c r="Q461" s="11">
        <v>3651.3</v>
      </c>
      <c r="R461" s="11">
        <v>3612.1</v>
      </c>
      <c r="S461" s="14">
        <v>3738.3</v>
      </c>
      <c r="T461" s="11">
        <v>525.5</v>
      </c>
      <c r="U461" s="13">
        <f>IF('0.0%'!$N461&lt;$Z$3,0, '0.0%'!$O461/'0.0%'!$N461)</f>
        <v>1.0538085449191621</v>
      </c>
      <c r="V461" s="13">
        <f>IF('0.0%'!$N461&lt;$Z$3,0, '0.0%'!$P461/'0.0%'!$N461)</f>
        <v>1.0034724151341741</v>
      </c>
      <c r="W461" s="13">
        <f>IF('0.0%'!$N461&lt;$Z$3,0, '0.0%'!$Q461/'0.0%'!$N461)</f>
        <v>1.0143063503527974</v>
      </c>
      <c r="X461" s="13">
        <f>IF('0.0%'!$N461&lt;$Z$3,0, '0.0%'!$R461/'0.0%'!$N461)</f>
        <v>1.0034168564920272</v>
      </c>
      <c r="Y461" s="13">
        <f>IF('0.0%'!$N461&lt;$Z$3,0, '0.0%'!$S461/'0.0%'!$N461)</f>
        <v>1.0384743596866493</v>
      </c>
    </row>
    <row r="462" spans="1:25" x14ac:dyDescent="0.3">
      <c r="A462" s="17">
        <v>526.49</v>
      </c>
      <c r="B462" s="10">
        <v>3625.6</v>
      </c>
      <c r="C462" s="9">
        <v>526.49</v>
      </c>
      <c r="D462" s="10">
        <v>3824.2</v>
      </c>
      <c r="E462" s="11">
        <v>526.49</v>
      </c>
      <c r="F462" s="12">
        <v>3636</v>
      </c>
      <c r="G462" s="11">
        <v>526.49</v>
      </c>
      <c r="H462" s="12">
        <v>3675.9</v>
      </c>
      <c r="I462" s="11">
        <v>526.49</v>
      </c>
      <c r="J462" s="12">
        <v>3633.5</v>
      </c>
      <c r="K462" s="11">
        <v>526.49</v>
      </c>
      <c r="L462" s="12">
        <v>3758.3</v>
      </c>
      <c r="M462" s="11">
        <v>526.49</v>
      </c>
      <c r="N462" s="13">
        <v>3625.6</v>
      </c>
      <c r="O462" s="13">
        <v>3824.2</v>
      </c>
      <c r="P462" s="13">
        <v>3636</v>
      </c>
      <c r="Q462" s="11">
        <v>3675.9</v>
      </c>
      <c r="R462" s="11">
        <v>3633.5</v>
      </c>
      <c r="S462" s="14">
        <v>3758.3</v>
      </c>
      <c r="T462" s="11">
        <v>526.49</v>
      </c>
      <c r="U462" s="13">
        <f>IF('0.0%'!$N462&lt;$Z$3,0, '0.0%'!$O462/'0.0%'!$N462)</f>
        <v>1.0547771403353927</v>
      </c>
      <c r="V462" s="13">
        <f>IF('0.0%'!$N462&lt;$Z$3,0, '0.0%'!$P462/'0.0%'!$N462)</f>
        <v>1.0028684907325685</v>
      </c>
      <c r="W462" s="13">
        <f>IF('0.0%'!$N462&lt;$Z$3,0, '0.0%'!$Q462/'0.0%'!$N462)</f>
        <v>1.0138735657546338</v>
      </c>
      <c r="X462" s="13">
        <f>IF('0.0%'!$N462&lt;$Z$3,0, '0.0%'!$R462/'0.0%'!$N462)</f>
        <v>1.0021789496910856</v>
      </c>
      <c r="Y462" s="13">
        <f>IF('0.0%'!$N462&lt;$Z$3,0, '0.0%'!$S462/'0.0%'!$N462)</f>
        <v>1.0366008384819065</v>
      </c>
    </row>
    <row r="463" spans="1:25" x14ac:dyDescent="0.3">
      <c r="A463" s="17">
        <v>527.48</v>
      </c>
      <c r="B463" s="10">
        <v>3648.5</v>
      </c>
      <c r="C463" s="9">
        <v>527.48</v>
      </c>
      <c r="D463" s="10">
        <v>3851.7</v>
      </c>
      <c r="E463" s="11">
        <v>527.48</v>
      </c>
      <c r="F463" s="12">
        <v>3656.8</v>
      </c>
      <c r="G463" s="11">
        <v>527.48</v>
      </c>
      <c r="H463" s="12">
        <v>3697.7</v>
      </c>
      <c r="I463" s="11">
        <v>527.48</v>
      </c>
      <c r="J463" s="12">
        <v>3652.7</v>
      </c>
      <c r="K463" s="11">
        <v>527.48</v>
      </c>
      <c r="L463" s="12">
        <v>3775.6</v>
      </c>
      <c r="M463" s="11">
        <v>527.48</v>
      </c>
      <c r="N463" s="13">
        <v>3648.5</v>
      </c>
      <c r="O463" s="13">
        <v>3851.7</v>
      </c>
      <c r="P463" s="13">
        <v>3656.8</v>
      </c>
      <c r="Q463" s="11">
        <v>3697.7</v>
      </c>
      <c r="R463" s="11">
        <v>3652.7</v>
      </c>
      <c r="S463" s="14">
        <v>3775.6</v>
      </c>
      <c r="T463" s="11">
        <v>527.48</v>
      </c>
      <c r="U463" s="13">
        <f>IF('0.0%'!$N463&lt;$Z$3,0, '0.0%'!$O463/'0.0%'!$N463)</f>
        <v>1.0556941208715911</v>
      </c>
      <c r="V463" s="13">
        <f>IF('0.0%'!$N463&lt;$Z$3,0, '0.0%'!$P463/'0.0%'!$N463)</f>
        <v>1.0022749074962314</v>
      </c>
      <c r="W463" s="13">
        <f>IF('0.0%'!$N463&lt;$Z$3,0, '0.0%'!$Q463/'0.0%'!$N463)</f>
        <v>1.0134849938330821</v>
      </c>
      <c r="X463" s="13">
        <f>IF('0.0%'!$N463&lt;$Z$3,0, '0.0%'!$R463/'0.0%'!$N463)</f>
        <v>1.0011511580101411</v>
      </c>
      <c r="Y463" s="13">
        <f>IF('0.0%'!$N463&lt;$Z$3,0, '0.0%'!$S463/'0.0%'!$N463)</f>
        <v>1.0348362340687953</v>
      </c>
    </row>
    <row r="464" spans="1:25" x14ac:dyDescent="0.3">
      <c r="A464" s="17">
        <v>528.48</v>
      </c>
      <c r="B464" s="10">
        <v>3669.9</v>
      </c>
      <c r="C464" s="9">
        <v>528.48</v>
      </c>
      <c r="D464" s="10">
        <v>3877.7</v>
      </c>
      <c r="E464" s="11">
        <v>528.48</v>
      </c>
      <c r="F464" s="12">
        <v>3676.4</v>
      </c>
      <c r="G464" s="11">
        <v>528.48</v>
      </c>
      <c r="H464" s="12">
        <v>3717.8</v>
      </c>
      <c r="I464" s="11">
        <v>528.48</v>
      </c>
      <c r="J464" s="12">
        <v>3671</v>
      </c>
      <c r="K464" s="11">
        <v>528.48</v>
      </c>
      <c r="L464" s="12">
        <v>3791</v>
      </c>
      <c r="M464" s="11">
        <v>528.48</v>
      </c>
      <c r="N464" s="13">
        <v>3669.9</v>
      </c>
      <c r="O464" s="13">
        <v>3877.7</v>
      </c>
      <c r="P464" s="13">
        <v>3676.4</v>
      </c>
      <c r="Q464" s="11">
        <v>3717.8</v>
      </c>
      <c r="R464" s="11">
        <v>3671</v>
      </c>
      <c r="S464" s="14">
        <v>3791</v>
      </c>
      <c r="T464" s="11">
        <v>528.48</v>
      </c>
      <c r="U464" s="13">
        <f>IF('0.0%'!$N464&lt;$Z$3,0, '0.0%'!$O464/'0.0%'!$N464)</f>
        <v>1.0566227962614785</v>
      </c>
      <c r="V464" s="13">
        <f>IF('0.0%'!$N464&lt;$Z$3,0, '0.0%'!$P464/'0.0%'!$N464)</f>
        <v>1.0017711654268509</v>
      </c>
      <c r="W464" s="13">
        <f>IF('0.0%'!$N464&lt;$Z$3,0, '0.0%'!$Q464/'0.0%'!$N464)</f>
        <v>1.0130521267609471</v>
      </c>
      <c r="X464" s="13">
        <f>IF('0.0%'!$N464&lt;$Z$3,0, '0.0%'!$R464/'0.0%'!$N464)</f>
        <v>1.0002997356876209</v>
      </c>
      <c r="Y464" s="13">
        <f>IF('0.0%'!$N464&lt;$Z$3,0, '0.0%'!$S464/'0.0%'!$N464)</f>
        <v>1.0329981743371754</v>
      </c>
    </row>
    <row r="465" spans="1:25" x14ac:dyDescent="0.3">
      <c r="A465" s="17">
        <v>529.47</v>
      </c>
      <c r="B465" s="10">
        <v>3688.4</v>
      </c>
      <c r="C465" s="9">
        <v>529.47</v>
      </c>
      <c r="D465" s="10">
        <v>3900.5</v>
      </c>
      <c r="E465" s="11">
        <v>529.47</v>
      </c>
      <c r="F465" s="12">
        <v>3693.3</v>
      </c>
      <c r="G465" s="11">
        <v>529.47</v>
      </c>
      <c r="H465" s="12">
        <v>3735.4</v>
      </c>
      <c r="I465" s="11">
        <v>529.47</v>
      </c>
      <c r="J465" s="12">
        <v>3687</v>
      </c>
      <c r="K465" s="11">
        <v>529.47</v>
      </c>
      <c r="L465" s="12">
        <v>3803.9</v>
      </c>
      <c r="M465" s="11">
        <v>529.47</v>
      </c>
      <c r="N465" s="13">
        <v>3688.4</v>
      </c>
      <c r="O465" s="13">
        <v>3900.5</v>
      </c>
      <c r="P465" s="13">
        <v>3693.3</v>
      </c>
      <c r="Q465" s="11">
        <v>3735.4</v>
      </c>
      <c r="R465" s="11">
        <v>3687</v>
      </c>
      <c r="S465" s="14">
        <v>3803.9</v>
      </c>
      <c r="T465" s="11">
        <v>529.47</v>
      </c>
      <c r="U465" s="13">
        <f>IF('0.0%'!$N465&lt;$Z$3,0, '0.0%'!$O465/'0.0%'!$N465)</f>
        <v>1.0575046090445721</v>
      </c>
      <c r="V465" s="13">
        <f>IF('0.0%'!$N465&lt;$Z$3,0, '0.0%'!$P465/'0.0%'!$N465)</f>
        <v>1.0013284893178613</v>
      </c>
      <c r="W465" s="13">
        <f>IF('0.0%'!$N465&lt;$Z$3,0, '0.0%'!$Q465/'0.0%'!$N465)</f>
        <v>1.0127426526407115</v>
      </c>
      <c r="X465" s="13">
        <f>IF('0.0%'!$N465&lt;$Z$3,0, '0.0%'!$R465/'0.0%'!$N465)</f>
        <v>0.99962043162346814</v>
      </c>
      <c r="Y465" s="13">
        <f>IF('0.0%'!$N465&lt;$Z$3,0, '0.0%'!$S465/'0.0%'!$N465)</f>
        <v>1.031314391063876</v>
      </c>
    </row>
    <row r="466" spans="1:25" x14ac:dyDescent="0.3">
      <c r="A466" s="17">
        <v>530.46</v>
      </c>
      <c r="B466" s="10">
        <v>3705.1</v>
      </c>
      <c r="C466" s="9">
        <v>530.46</v>
      </c>
      <c r="D466" s="10">
        <v>3921.1</v>
      </c>
      <c r="E466" s="11">
        <v>530.46</v>
      </c>
      <c r="F466" s="12">
        <v>3708.8</v>
      </c>
      <c r="G466" s="11">
        <v>530.46</v>
      </c>
      <c r="H466" s="12">
        <v>3751.2</v>
      </c>
      <c r="I466" s="11">
        <v>530.46</v>
      </c>
      <c r="J466" s="12">
        <v>3702</v>
      </c>
      <c r="K466" s="11">
        <v>530.46</v>
      </c>
      <c r="L466" s="12">
        <v>3815.4</v>
      </c>
      <c r="M466" s="11">
        <v>530.46</v>
      </c>
      <c r="N466" s="13">
        <v>3705.1</v>
      </c>
      <c r="O466" s="13">
        <v>3921.1</v>
      </c>
      <c r="P466" s="13">
        <v>3708.8</v>
      </c>
      <c r="Q466" s="11">
        <v>3751.2</v>
      </c>
      <c r="R466" s="11">
        <v>3702</v>
      </c>
      <c r="S466" s="14">
        <v>3815.4</v>
      </c>
      <c r="T466" s="11">
        <v>530.46</v>
      </c>
      <c r="U466" s="13">
        <f>IF('0.0%'!$N466&lt;$Z$3,0, '0.0%'!$O466/'0.0%'!$N466)</f>
        <v>1.0582980216458395</v>
      </c>
      <c r="V466" s="13">
        <f>IF('0.0%'!$N466&lt;$Z$3,0, '0.0%'!$P466/'0.0%'!$N466)</f>
        <v>1.0009986235189334</v>
      </c>
      <c r="W466" s="13">
        <f>IF('0.0%'!$N466&lt;$Z$3,0, '0.0%'!$Q466/'0.0%'!$N466)</f>
        <v>1.012442309249413</v>
      </c>
      <c r="X466" s="13">
        <f>IF('0.0%'!$N466&lt;$Z$3,0, '0.0%'!$R466/'0.0%'!$N466)</f>
        <v>0.99916331543008285</v>
      </c>
      <c r="Y466" s="13">
        <f>IF('0.0%'!$N466&lt;$Z$3,0, '0.0%'!$S466/'0.0%'!$N466)</f>
        <v>1.0297697767941487</v>
      </c>
    </row>
    <row r="467" spans="1:25" x14ac:dyDescent="0.3">
      <c r="A467" s="17">
        <v>531.45000000000005</v>
      </c>
      <c r="B467" s="10">
        <v>3719.4</v>
      </c>
      <c r="C467" s="9">
        <v>531.45000000000005</v>
      </c>
      <c r="D467" s="10">
        <v>3938.8</v>
      </c>
      <c r="E467" s="11">
        <v>531.45000000000005</v>
      </c>
      <c r="F467" s="12">
        <v>3722.1</v>
      </c>
      <c r="G467" s="11">
        <v>531.45000000000005</v>
      </c>
      <c r="H467" s="12">
        <v>3764.7</v>
      </c>
      <c r="I467" s="11">
        <v>531.45000000000005</v>
      </c>
      <c r="J467" s="12">
        <v>3715.2</v>
      </c>
      <c r="K467" s="11">
        <v>531.45000000000005</v>
      </c>
      <c r="L467" s="12">
        <v>3825.2</v>
      </c>
      <c r="M467" s="11">
        <v>531.45000000000005</v>
      </c>
      <c r="N467" s="13">
        <v>3719.4</v>
      </c>
      <c r="O467" s="13">
        <v>3938.8</v>
      </c>
      <c r="P467" s="13">
        <v>3722.1</v>
      </c>
      <c r="Q467" s="11">
        <v>3764.7</v>
      </c>
      <c r="R467" s="11">
        <v>3715.2</v>
      </c>
      <c r="S467" s="14">
        <v>3825.2</v>
      </c>
      <c r="T467" s="11">
        <v>531.45000000000005</v>
      </c>
      <c r="U467" s="13">
        <f>IF('0.0%'!$N467&lt;$Z$3,0, '0.0%'!$O467/'0.0%'!$N467)</f>
        <v>1.0589880088186268</v>
      </c>
      <c r="V467" s="13">
        <f>IF('0.0%'!$N467&lt;$Z$3,0, '0.0%'!$P467/'0.0%'!$N467)</f>
        <v>1.0007259235360542</v>
      </c>
      <c r="W467" s="13">
        <f>IF('0.0%'!$N467&lt;$Z$3,0, '0.0%'!$Q467/'0.0%'!$N467)</f>
        <v>1.012179383771576</v>
      </c>
      <c r="X467" s="13">
        <f>IF('0.0%'!$N467&lt;$Z$3,0, '0.0%'!$R467/'0.0%'!$N467)</f>
        <v>0.99887078561058229</v>
      </c>
      <c r="Y467" s="13">
        <f>IF('0.0%'!$N467&lt;$Z$3,0, '0.0%'!$S467/'0.0%'!$N467)</f>
        <v>1.0284454481905683</v>
      </c>
    </row>
    <row r="468" spans="1:25" x14ac:dyDescent="0.3">
      <c r="A468" s="17">
        <v>532.44000000000005</v>
      </c>
      <c r="B468" s="10">
        <v>3732.5</v>
      </c>
      <c r="C468" s="9">
        <v>532.44000000000005</v>
      </c>
      <c r="D468" s="10">
        <v>3954.7</v>
      </c>
      <c r="E468" s="11">
        <v>532.44000000000005</v>
      </c>
      <c r="F468" s="12">
        <v>3734.3</v>
      </c>
      <c r="G468" s="11">
        <v>532.44000000000005</v>
      </c>
      <c r="H468" s="12">
        <v>3777.1</v>
      </c>
      <c r="I468" s="11">
        <v>532.44000000000005</v>
      </c>
      <c r="J468" s="12">
        <v>3727.4</v>
      </c>
      <c r="K468" s="11">
        <v>532.44000000000005</v>
      </c>
      <c r="L468" s="12">
        <v>3833.6</v>
      </c>
      <c r="M468" s="11">
        <v>532.44000000000005</v>
      </c>
      <c r="N468" s="13">
        <v>3732.5</v>
      </c>
      <c r="O468" s="13">
        <v>3954.7</v>
      </c>
      <c r="P468" s="13">
        <v>3734.3</v>
      </c>
      <c r="Q468" s="11">
        <v>3777.1</v>
      </c>
      <c r="R468" s="11">
        <v>3727.4</v>
      </c>
      <c r="S468" s="14">
        <v>3833.6</v>
      </c>
      <c r="T468" s="11">
        <v>532.44000000000005</v>
      </c>
      <c r="U468" s="13">
        <f>IF('0.0%'!$N468&lt;$Z$3,0, '0.0%'!$O468/'0.0%'!$N468)</f>
        <v>1.059531145344943</v>
      </c>
      <c r="V468" s="13">
        <f>IF('0.0%'!$N468&lt;$Z$3,0, '0.0%'!$P468/'0.0%'!$N468)</f>
        <v>1.0004822505023443</v>
      </c>
      <c r="W468" s="13">
        <f>IF('0.0%'!$N468&lt;$Z$3,0, '0.0%'!$Q468/'0.0%'!$N468)</f>
        <v>1.0119490957803081</v>
      </c>
      <c r="X468" s="13">
        <f>IF('0.0%'!$N468&lt;$Z$3,0, '0.0%'!$R468/'0.0%'!$N468)</f>
        <v>0.99863362357669128</v>
      </c>
      <c r="Y468" s="13">
        <f>IF('0.0%'!$N468&lt;$Z$3,0, '0.0%'!$S468/'0.0%'!$N468)</f>
        <v>1.0270864032150033</v>
      </c>
    </row>
    <row r="469" spans="1:25" x14ac:dyDescent="0.3">
      <c r="A469" s="17">
        <v>533.42999999999995</v>
      </c>
      <c r="B469" s="10">
        <v>3743</v>
      </c>
      <c r="C469" s="9">
        <v>533.42999999999995</v>
      </c>
      <c r="D469" s="10">
        <v>3967.9</v>
      </c>
      <c r="E469" s="11">
        <v>533.42999999999995</v>
      </c>
      <c r="F469" s="12">
        <v>3744.3</v>
      </c>
      <c r="G469" s="11">
        <v>533.42999999999995</v>
      </c>
      <c r="H469" s="12">
        <v>3787.2</v>
      </c>
      <c r="I469" s="11">
        <v>533.42999999999995</v>
      </c>
      <c r="J469" s="12">
        <v>3737.4</v>
      </c>
      <c r="K469" s="11">
        <v>533.42999999999995</v>
      </c>
      <c r="L469" s="12">
        <v>3840.3</v>
      </c>
      <c r="M469" s="11">
        <v>533.42999999999995</v>
      </c>
      <c r="N469" s="13">
        <v>3743</v>
      </c>
      <c r="O469" s="13">
        <v>3967.9</v>
      </c>
      <c r="P469" s="13">
        <v>3744.3</v>
      </c>
      <c r="Q469" s="11">
        <v>3787.2</v>
      </c>
      <c r="R469" s="11">
        <v>3737.4</v>
      </c>
      <c r="S469" s="14">
        <v>3840.3</v>
      </c>
      <c r="T469" s="11">
        <v>533.42999999999995</v>
      </c>
      <c r="U469" s="13">
        <f>IF('0.0%'!$N469&lt;$Z$3,0, '0.0%'!$O469/'0.0%'!$N469)</f>
        <v>1.0600854929201176</v>
      </c>
      <c r="V469" s="13">
        <f>IF('0.0%'!$N469&lt;$Z$3,0, '0.0%'!$P469/'0.0%'!$N469)</f>
        <v>1.0003473149879776</v>
      </c>
      <c r="W469" s="13">
        <f>IF('0.0%'!$N469&lt;$Z$3,0, '0.0%'!$Q469/'0.0%'!$N469)</f>
        <v>1.0118087095912369</v>
      </c>
      <c r="X469" s="13">
        <f>IF('0.0%'!$N469&lt;$Z$3,0, '0.0%'!$R469/'0.0%'!$N469)</f>
        <v>0.99850387389794282</v>
      </c>
      <c r="Y469" s="13">
        <f>IF('0.0%'!$N469&lt;$Z$3,0, '0.0%'!$S469/'0.0%'!$N469)</f>
        <v>1.0259951910232434</v>
      </c>
    </row>
    <row r="470" spans="1:25" x14ac:dyDescent="0.3">
      <c r="A470" s="17">
        <v>534.42999999999995</v>
      </c>
      <c r="B470" s="10">
        <v>3752.3</v>
      </c>
      <c r="C470" s="9">
        <v>534.42999999999995</v>
      </c>
      <c r="D470" s="10">
        <v>3979.5</v>
      </c>
      <c r="E470" s="11">
        <v>534.42999999999995</v>
      </c>
      <c r="F470" s="12">
        <v>3753</v>
      </c>
      <c r="G470" s="11">
        <v>534.42999999999995</v>
      </c>
      <c r="H470" s="12">
        <v>3796.1</v>
      </c>
      <c r="I470" s="11">
        <v>534.42999999999995</v>
      </c>
      <c r="J470" s="12">
        <v>3746.4</v>
      </c>
      <c r="K470" s="11">
        <v>534.42999999999995</v>
      </c>
      <c r="L470" s="12">
        <v>3846.2</v>
      </c>
      <c r="M470" s="11">
        <v>534.42999999999995</v>
      </c>
      <c r="N470" s="13">
        <v>3752.3</v>
      </c>
      <c r="O470" s="13">
        <v>3979.5</v>
      </c>
      <c r="P470" s="13">
        <v>3753</v>
      </c>
      <c r="Q470" s="11">
        <v>3796.1</v>
      </c>
      <c r="R470" s="11">
        <v>3746.4</v>
      </c>
      <c r="S470" s="14">
        <v>3846.2</v>
      </c>
      <c r="T470" s="11">
        <v>534.42999999999995</v>
      </c>
      <c r="U470" s="13">
        <f>IF('0.0%'!$N470&lt;$Z$3,0, '0.0%'!$O470/'0.0%'!$N470)</f>
        <v>1.0605495296218319</v>
      </c>
      <c r="V470" s="13">
        <f>IF('0.0%'!$N470&lt;$Z$3,0, '0.0%'!$P470/'0.0%'!$N470)</f>
        <v>1.0001865522479545</v>
      </c>
      <c r="W470" s="13">
        <f>IF('0.0%'!$N470&lt;$Z$3,0, '0.0%'!$Q470/'0.0%'!$N470)</f>
        <v>1.0116728406577298</v>
      </c>
      <c r="X470" s="13">
        <f>IF('0.0%'!$N470&lt;$Z$3,0, '0.0%'!$R470/'0.0%'!$N470)</f>
        <v>0.99842763105295418</v>
      </c>
      <c r="Y470" s="13">
        <f>IF('0.0%'!$N470&lt;$Z$3,0, '0.0%'!$S470/'0.0%'!$N470)</f>
        <v>1.0250246515470511</v>
      </c>
    </row>
    <row r="471" spans="1:25" x14ac:dyDescent="0.3">
      <c r="A471" s="17">
        <v>535.41999999999996</v>
      </c>
      <c r="B471" s="10">
        <v>3759.5</v>
      </c>
      <c r="C471" s="9">
        <v>535.41999999999996</v>
      </c>
      <c r="D471" s="10">
        <v>3988.8</v>
      </c>
      <c r="E471" s="11">
        <v>535.41999999999996</v>
      </c>
      <c r="F471" s="12">
        <v>3759.6</v>
      </c>
      <c r="G471" s="11">
        <v>535.41999999999996</v>
      </c>
      <c r="H471" s="12">
        <v>3803</v>
      </c>
      <c r="I471" s="11">
        <v>535.41999999999996</v>
      </c>
      <c r="J471" s="12">
        <v>3753.7</v>
      </c>
      <c r="K471" s="11">
        <v>535.41999999999996</v>
      </c>
      <c r="L471" s="12">
        <v>3850.6</v>
      </c>
      <c r="M471" s="11">
        <v>535.41999999999996</v>
      </c>
      <c r="N471" s="13">
        <v>3759.5</v>
      </c>
      <c r="O471" s="13">
        <v>3988.8</v>
      </c>
      <c r="P471" s="13">
        <v>3759.6</v>
      </c>
      <c r="Q471" s="11">
        <v>3803</v>
      </c>
      <c r="R471" s="11">
        <v>3753.7</v>
      </c>
      <c r="S471" s="14">
        <v>3850.6</v>
      </c>
      <c r="T471" s="11">
        <v>535.41999999999996</v>
      </c>
      <c r="U471" s="13">
        <f>IF('0.0%'!$N471&lt;$Z$3,0, '0.0%'!$O471/'0.0%'!$N471)</f>
        <v>1.0609921532118634</v>
      </c>
      <c r="V471" s="13">
        <f>IF('0.0%'!$N471&lt;$Z$3,0, '0.0%'!$P471/'0.0%'!$N471)</f>
        <v>1.0000265992818194</v>
      </c>
      <c r="W471" s="13">
        <f>IF('0.0%'!$N471&lt;$Z$3,0, '0.0%'!$Q471/'0.0%'!$N471)</f>
        <v>1.011570687591435</v>
      </c>
      <c r="X471" s="13">
        <f>IF('0.0%'!$N471&lt;$Z$3,0, '0.0%'!$R471/'0.0%'!$N471)</f>
        <v>0.99845724165447525</v>
      </c>
      <c r="Y471" s="13">
        <f>IF('0.0%'!$N471&lt;$Z$3,0, '0.0%'!$S471/'0.0%'!$N471)</f>
        <v>1.0242319457374651</v>
      </c>
    </row>
    <row r="472" spans="1:25" x14ac:dyDescent="0.3">
      <c r="A472" s="17">
        <v>536.41</v>
      </c>
      <c r="B472" s="10">
        <v>3765.6</v>
      </c>
      <c r="C472" s="9">
        <v>536.41</v>
      </c>
      <c r="D472" s="10">
        <v>3997.1</v>
      </c>
      <c r="E472" s="11">
        <v>536.41</v>
      </c>
      <c r="F472" s="12">
        <v>3765.3</v>
      </c>
      <c r="G472" s="11">
        <v>536.41</v>
      </c>
      <c r="H472" s="12">
        <v>3808.9</v>
      </c>
      <c r="I472" s="11">
        <v>536.41</v>
      </c>
      <c r="J472" s="12">
        <v>3760</v>
      </c>
      <c r="K472" s="11">
        <v>536.41</v>
      </c>
      <c r="L472" s="12">
        <v>3854.4</v>
      </c>
      <c r="M472" s="11">
        <v>536.41</v>
      </c>
      <c r="N472" s="13">
        <v>3765.6</v>
      </c>
      <c r="O472" s="13">
        <v>3997.1</v>
      </c>
      <c r="P472" s="13">
        <v>3765.3</v>
      </c>
      <c r="Q472" s="11">
        <v>3808.9</v>
      </c>
      <c r="R472" s="11">
        <v>3760</v>
      </c>
      <c r="S472" s="14">
        <v>3854.4</v>
      </c>
      <c r="T472" s="11">
        <v>536.41</v>
      </c>
      <c r="U472" s="13">
        <f>IF('0.0%'!$N472&lt;$Z$3,0, '0.0%'!$O472/'0.0%'!$N472)</f>
        <v>1.0614775865731889</v>
      </c>
      <c r="V472" s="13">
        <f>IF('0.0%'!$N472&lt;$Z$3,0, '0.0%'!$P472/'0.0%'!$N472)</f>
        <v>0.99992033142128756</v>
      </c>
      <c r="W472" s="13">
        <f>IF('0.0%'!$N472&lt;$Z$3,0, '0.0%'!$Q472/'0.0%'!$N472)</f>
        <v>1.0114988315275122</v>
      </c>
      <c r="X472" s="13">
        <f>IF('0.0%'!$N472&lt;$Z$3,0, '0.0%'!$R472/'0.0%'!$N472)</f>
        <v>0.9985128531973656</v>
      </c>
      <c r="Y472" s="13">
        <f>IF('0.0%'!$N472&lt;$Z$3,0, '0.0%'!$S472/'0.0%'!$N472)</f>
        <v>1.0235818992989165</v>
      </c>
    </row>
    <row r="473" spans="1:25" x14ac:dyDescent="0.3">
      <c r="A473" s="17">
        <v>537.4</v>
      </c>
      <c r="B473" s="10">
        <v>3769.9</v>
      </c>
      <c r="C473" s="9">
        <v>537.4</v>
      </c>
      <c r="D473" s="10">
        <v>4003.3</v>
      </c>
      <c r="E473" s="11">
        <v>537.4</v>
      </c>
      <c r="F473" s="12">
        <v>3769.5</v>
      </c>
      <c r="G473" s="11">
        <v>537.4</v>
      </c>
      <c r="H473" s="12">
        <v>3813.2</v>
      </c>
      <c r="I473" s="11">
        <v>537.4</v>
      </c>
      <c r="J473" s="12">
        <v>3764.9</v>
      </c>
      <c r="K473" s="11">
        <v>537.4</v>
      </c>
      <c r="L473" s="12">
        <v>3856.8</v>
      </c>
      <c r="M473" s="11">
        <v>537.4</v>
      </c>
      <c r="N473" s="13">
        <v>3769.9</v>
      </c>
      <c r="O473" s="13">
        <v>4003.3</v>
      </c>
      <c r="P473" s="13">
        <v>3769.5</v>
      </c>
      <c r="Q473" s="11">
        <v>3813.2</v>
      </c>
      <c r="R473" s="11">
        <v>3764.9</v>
      </c>
      <c r="S473" s="14">
        <v>3856.8</v>
      </c>
      <c r="T473" s="11">
        <v>537.4</v>
      </c>
      <c r="U473" s="13">
        <f>IF('0.0%'!$N473&lt;$Z$3,0, '0.0%'!$O473/'0.0%'!$N473)</f>
        <v>1.0619114565373087</v>
      </c>
      <c r="V473" s="13">
        <f>IF('0.0%'!$N473&lt;$Z$3,0, '0.0%'!$P473/'0.0%'!$N473)</f>
        <v>0.99989389638982462</v>
      </c>
      <c r="W473" s="13">
        <f>IF('0.0%'!$N473&lt;$Z$3,0, '0.0%'!$Q473/'0.0%'!$N473)</f>
        <v>1.0114857158014801</v>
      </c>
      <c r="X473" s="13">
        <f>IF('0.0%'!$N473&lt;$Z$3,0, '0.0%'!$R473/'0.0%'!$N473)</f>
        <v>0.99867370487280827</v>
      </c>
      <c r="Y473" s="13">
        <f>IF('0.0%'!$N473&lt;$Z$3,0, '0.0%'!$S473/'0.0%'!$N473)</f>
        <v>1.0230510093105918</v>
      </c>
    </row>
    <row r="474" spans="1:25" x14ac:dyDescent="0.3">
      <c r="A474" s="17">
        <v>538.39</v>
      </c>
      <c r="B474" s="10">
        <v>3773</v>
      </c>
      <c r="C474" s="9">
        <v>538.39</v>
      </c>
      <c r="D474" s="10">
        <v>4008.2</v>
      </c>
      <c r="E474" s="11">
        <v>538.39</v>
      </c>
      <c r="F474" s="12">
        <v>3772.3</v>
      </c>
      <c r="G474" s="11">
        <v>538.39</v>
      </c>
      <c r="H474" s="12">
        <v>3816.1</v>
      </c>
      <c r="I474" s="11">
        <v>538.39</v>
      </c>
      <c r="J474" s="12">
        <v>3768.4</v>
      </c>
      <c r="K474" s="11">
        <v>538.39</v>
      </c>
      <c r="L474" s="12">
        <v>3858.2</v>
      </c>
      <c r="M474" s="11">
        <v>538.39</v>
      </c>
      <c r="N474" s="13">
        <v>3773</v>
      </c>
      <c r="O474" s="13">
        <v>4008.2</v>
      </c>
      <c r="P474" s="13">
        <v>3772.3</v>
      </c>
      <c r="Q474" s="11">
        <v>3816.1</v>
      </c>
      <c r="R474" s="11">
        <v>3768.4</v>
      </c>
      <c r="S474" s="14">
        <v>3858.2</v>
      </c>
      <c r="T474" s="11">
        <v>538.39</v>
      </c>
      <c r="U474" s="13">
        <f>IF('0.0%'!$N474&lt;$Z$3,0, '0.0%'!$O474/'0.0%'!$N474)</f>
        <v>1.0623376623376624</v>
      </c>
      <c r="V474" s="13">
        <f>IF('0.0%'!$N474&lt;$Z$3,0, '0.0%'!$P474/'0.0%'!$N474)</f>
        <v>0.99981447124304268</v>
      </c>
      <c r="W474" s="13">
        <f>IF('0.0%'!$N474&lt;$Z$3,0, '0.0%'!$Q474/'0.0%'!$N474)</f>
        <v>1.0114232706069441</v>
      </c>
      <c r="X474" s="13">
        <f>IF('0.0%'!$N474&lt;$Z$3,0, '0.0%'!$R474/'0.0%'!$N474)</f>
        <v>0.99878081102570904</v>
      </c>
      <c r="Y474" s="13">
        <f>IF('0.0%'!$N474&lt;$Z$3,0, '0.0%'!$S474/'0.0%'!$N474)</f>
        <v>1.0225815001325205</v>
      </c>
    </row>
    <row r="475" spans="1:25" x14ac:dyDescent="0.3">
      <c r="A475" s="17">
        <v>539.39</v>
      </c>
      <c r="B475" s="10">
        <v>3774.5</v>
      </c>
      <c r="C475" s="9">
        <v>539.39</v>
      </c>
      <c r="D475" s="10">
        <v>4011.4</v>
      </c>
      <c r="E475" s="11">
        <v>539.39</v>
      </c>
      <c r="F475" s="12">
        <v>3773.7</v>
      </c>
      <c r="G475" s="11">
        <v>539.39</v>
      </c>
      <c r="H475" s="12">
        <v>3817.7</v>
      </c>
      <c r="I475" s="11">
        <v>539.39</v>
      </c>
      <c r="J475" s="12">
        <v>3770.7</v>
      </c>
      <c r="K475" s="11">
        <v>539.39</v>
      </c>
      <c r="L475" s="12">
        <v>3858.5</v>
      </c>
      <c r="M475" s="11">
        <v>539.39</v>
      </c>
      <c r="N475" s="13">
        <v>3774.5</v>
      </c>
      <c r="O475" s="13">
        <v>4011.4</v>
      </c>
      <c r="P475" s="13">
        <v>3773.7</v>
      </c>
      <c r="Q475" s="11">
        <v>3817.7</v>
      </c>
      <c r="R475" s="11">
        <v>3770.7</v>
      </c>
      <c r="S475" s="14">
        <v>3858.5</v>
      </c>
      <c r="T475" s="11">
        <v>539.39</v>
      </c>
      <c r="U475" s="13">
        <f>IF('0.0%'!$N475&lt;$Z$3,0, '0.0%'!$O475/'0.0%'!$N475)</f>
        <v>1.0627632799046232</v>
      </c>
      <c r="V475" s="13">
        <f>IF('0.0%'!$N475&lt;$Z$3,0, '0.0%'!$P475/'0.0%'!$N475)</f>
        <v>0.99978805139753602</v>
      </c>
      <c r="W475" s="13">
        <f>IF('0.0%'!$N475&lt;$Z$3,0, '0.0%'!$Q475/'0.0%'!$N475)</f>
        <v>1.0114452245330507</v>
      </c>
      <c r="X475" s="13">
        <f>IF('0.0%'!$N475&lt;$Z$3,0, '0.0%'!$R475/'0.0%'!$N475)</f>
        <v>0.99899324413829638</v>
      </c>
      <c r="Y475" s="13">
        <f>IF('0.0%'!$N475&lt;$Z$3,0, '0.0%'!$S475/'0.0%'!$N475)</f>
        <v>1.0222546032587099</v>
      </c>
    </row>
    <row r="476" spans="1:25" x14ac:dyDescent="0.3">
      <c r="A476" s="17">
        <v>540.38</v>
      </c>
      <c r="B476" s="10">
        <v>3775.4</v>
      </c>
      <c r="C476" s="9">
        <v>540.38</v>
      </c>
      <c r="D476" s="10">
        <v>4014.1</v>
      </c>
      <c r="E476" s="11">
        <v>540.38</v>
      </c>
      <c r="F476" s="12">
        <v>3774.6</v>
      </c>
      <c r="G476" s="11">
        <v>540.38</v>
      </c>
      <c r="H476" s="12">
        <v>3818.6</v>
      </c>
      <c r="I476" s="11">
        <v>540.38</v>
      </c>
      <c r="J476" s="12">
        <v>3772.7</v>
      </c>
      <c r="K476" s="11">
        <v>540.38</v>
      </c>
      <c r="L476" s="12">
        <v>3857.9</v>
      </c>
      <c r="M476" s="11">
        <v>540.38</v>
      </c>
      <c r="N476" s="13">
        <v>3775.4</v>
      </c>
      <c r="O476" s="13">
        <v>4014.1</v>
      </c>
      <c r="P476" s="13">
        <v>3774.6</v>
      </c>
      <c r="Q476" s="11">
        <v>3818.6</v>
      </c>
      <c r="R476" s="11">
        <v>3772.7</v>
      </c>
      <c r="S476" s="14">
        <v>3857.9</v>
      </c>
      <c r="T476" s="11">
        <v>540.38</v>
      </c>
      <c r="U476" s="13">
        <f>IF('0.0%'!$N476&lt;$Z$3,0, '0.0%'!$O476/'0.0%'!$N476)</f>
        <v>1.0632250887323198</v>
      </c>
      <c r="V476" s="13">
        <f>IF('0.0%'!$N476&lt;$Z$3,0, '0.0%'!$P476/'0.0%'!$N476)</f>
        <v>0.99978810192297496</v>
      </c>
      <c r="W476" s="13">
        <f>IF('0.0%'!$N476&lt;$Z$3,0, '0.0%'!$Q476/'0.0%'!$N476)</f>
        <v>1.0114424961593473</v>
      </c>
      <c r="X476" s="13">
        <f>IF('0.0%'!$N476&lt;$Z$3,0, '0.0%'!$R476/'0.0%'!$N476)</f>
        <v>0.99928484399004069</v>
      </c>
      <c r="Y476" s="13">
        <f>IF('0.0%'!$N476&lt;$Z$3,0, '0.0%'!$S476/'0.0%'!$N476)</f>
        <v>1.0218519891931981</v>
      </c>
    </row>
    <row r="477" spans="1:25" x14ac:dyDescent="0.3">
      <c r="A477" s="17">
        <v>541.37</v>
      </c>
      <c r="B477" s="10">
        <v>3775.4</v>
      </c>
      <c r="C477" s="9">
        <v>541.37</v>
      </c>
      <c r="D477" s="10">
        <v>4015.9</v>
      </c>
      <c r="E477" s="11">
        <v>541.37</v>
      </c>
      <c r="F477" s="12">
        <v>3774.7</v>
      </c>
      <c r="G477" s="11">
        <v>541.37</v>
      </c>
      <c r="H477" s="12">
        <v>3818.8</v>
      </c>
      <c r="I477" s="11">
        <v>541.37</v>
      </c>
      <c r="J477" s="12">
        <v>3773.8</v>
      </c>
      <c r="K477" s="11">
        <v>541.37</v>
      </c>
      <c r="L477" s="12">
        <v>3857</v>
      </c>
      <c r="M477" s="11">
        <v>541.37</v>
      </c>
      <c r="N477" s="13">
        <v>3775.4</v>
      </c>
      <c r="O477" s="13">
        <v>4015.9</v>
      </c>
      <c r="P477" s="13">
        <v>3774.7</v>
      </c>
      <c r="Q477" s="11">
        <v>3818.8</v>
      </c>
      <c r="R477" s="11">
        <v>3773.8</v>
      </c>
      <c r="S477" s="14">
        <v>3857</v>
      </c>
      <c r="T477" s="11">
        <v>541.37</v>
      </c>
      <c r="U477" s="13">
        <f>IF('0.0%'!$N477&lt;$Z$3,0, '0.0%'!$O477/'0.0%'!$N477)</f>
        <v>1.0637018594056258</v>
      </c>
      <c r="V477" s="13">
        <f>IF('0.0%'!$N477&lt;$Z$3,0, '0.0%'!$P477/'0.0%'!$N477)</f>
        <v>0.99981458918260313</v>
      </c>
      <c r="W477" s="13">
        <f>IF('0.0%'!$N477&lt;$Z$3,0, '0.0%'!$Q477/'0.0%'!$N477)</f>
        <v>1.0114954706786037</v>
      </c>
      <c r="X477" s="13">
        <f>IF('0.0%'!$N477&lt;$Z$3,0, '0.0%'!$R477/'0.0%'!$N477)</f>
        <v>0.99957620384595014</v>
      </c>
      <c r="Y477" s="13">
        <f>IF('0.0%'!$N477&lt;$Z$3,0, '0.0%'!$S477/'0.0%'!$N477)</f>
        <v>1.0216136038565449</v>
      </c>
    </row>
    <row r="478" spans="1:25" x14ac:dyDescent="0.3">
      <c r="A478" s="17">
        <v>542.36</v>
      </c>
      <c r="B478" s="10">
        <v>3775</v>
      </c>
      <c r="C478" s="9">
        <v>542.36</v>
      </c>
      <c r="D478" s="10">
        <v>4017.2</v>
      </c>
      <c r="E478" s="11">
        <v>542.36</v>
      </c>
      <c r="F478" s="12">
        <v>3774.3</v>
      </c>
      <c r="G478" s="11">
        <v>542.36</v>
      </c>
      <c r="H478" s="12">
        <v>3818.3</v>
      </c>
      <c r="I478" s="11">
        <v>542.36</v>
      </c>
      <c r="J478" s="12">
        <v>3774.5</v>
      </c>
      <c r="K478" s="11">
        <v>542.36</v>
      </c>
      <c r="L478" s="12">
        <v>3855.6</v>
      </c>
      <c r="M478" s="11">
        <v>542.36</v>
      </c>
      <c r="N478" s="13">
        <v>3775</v>
      </c>
      <c r="O478" s="13">
        <v>4017.2</v>
      </c>
      <c r="P478" s="13">
        <v>3774.3</v>
      </c>
      <c r="Q478" s="11">
        <v>3818.3</v>
      </c>
      <c r="R478" s="11">
        <v>3774.5</v>
      </c>
      <c r="S478" s="14">
        <v>3855.6</v>
      </c>
      <c r="T478" s="11">
        <v>542.36</v>
      </c>
      <c r="U478" s="13">
        <f>IF('0.0%'!$N478&lt;$Z$3,0, '0.0%'!$O478/'0.0%'!$N478)</f>
        <v>1.064158940397351</v>
      </c>
      <c r="V478" s="13">
        <f>IF('0.0%'!$N478&lt;$Z$3,0, '0.0%'!$P478/'0.0%'!$N478)</f>
        <v>0.99981456953642389</v>
      </c>
      <c r="W478" s="13">
        <f>IF('0.0%'!$N478&lt;$Z$3,0, '0.0%'!$Q478/'0.0%'!$N478)</f>
        <v>1.0114701986754968</v>
      </c>
      <c r="X478" s="13">
        <f>IF('0.0%'!$N478&lt;$Z$3,0, '0.0%'!$R478/'0.0%'!$N478)</f>
        <v>0.99986754966887414</v>
      </c>
      <c r="Y478" s="13">
        <f>IF('0.0%'!$N478&lt;$Z$3,0, '0.0%'!$S478/'0.0%'!$N478)</f>
        <v>1.0213509933774834</v>
      </c>
    </row>
    <row r="479" spans="1:25" x14ac:dyDescent="0.3">
      <c r="A479" s="17">
        <v>543.35</v>
      </c>
      <c r="B479" s="10">
        <v>3774.3</v>
      </c>
      <c r="C479" s="9">
        <v>543.35</v>
      </c>
      <c r="D479" s="10">
        <v>4018.3</v>
      </c>
      <c r="E479" s="11">
        <v>543.35</v>
      </c>
      <c r="F479" s="12">
        <v>3773.7</v>
      </c>
      <c r="G479" s="11">
        <v>543.35</v>
      </c>
      <c r="H479" s="12">
        <v>3817.8</v>
      </c>
      <c r="I479" s="11">
        <v>543.35</v>
      </c>
      <c r="J479" s="12">
        <v>3775</v>
      </c>
      <c r="K479" s="11">
        <v>543.35</v>
      </c>
      <c r="L479" s="12">
        <v>3854.1</v>
      </c>
      <c r="M479" s="11">
        <v>543.35</v>
      </c>
      <c r="N479" s="13">
        <v>3774.3</v>
      </c>
      <c r="O479" s="13">
        <v>4018.3</v>
      </c>
      <c r="P479" s="13">
        <v>3773.7</v>
      </c>
      <c r="Q479" s="11">
        <v>3817.8</v>
      </c>
      <c r="R479" s="11">
        <v>3775</v>
      </c>
      <c r="S479" s="14">
        <v>3854.1</v>
      </c>
      <c r="T479" s="11">
        <v>543.35</v>
      </c>
      <c r="U479" s="13">
        <f>IF('0.0%'!$N479&lt;$Z$3,0, '0.0%'!$O479/'0.0%'!$N479)</f>
        <v>1.0646477492515167</v>
      </c>
      <c r="V479" s="13">
        <f>IF('0.0%'!$N479&lt;$Z$3,0, '0.0%'!$P479/'0.0%'!$N479)</f>
        <v>0.99984103012479131</v>
      </c>
      <c r="W479" s="13">
        <f>IF('0.0%'!$N479&lt;$Z$3,0, '0.0%'!$Q479/'0.0%'!$N479)</f>
        <v>1.011525315952627</v>
      </c>
      <c r="X479" s="13">
        <f>IF('0.0%'!$N479&lt;$Z$3,0, '0.0%'!$R479/'0.0%'!$N479)</f>
        <v>1.00018546485441</v>
      </c>
      <c r="Y479" s="13">
        <f>IF('0.0%'!$N479&lt;$Z$3,0, '0.0%'!$S479/'0.0%'!$N479)</f>
        <v>1.0211429934027501</v>
      </c>
    </row>
    <row r="480" spans="1:25" x14ac:dyDescent="0.3">
      <c r="A480" s="17">
        <v>544.34</v>
      </c>
      <c r="B480" s="10">
        <v>3774.5</v>
      </c>
      <c r="C480" s="9">
        <v>544.34</v>
      </c>
      <c r="D480" s="10">
        <v>4020.4</v>
      </c>
      <c r="E480" s="11">
        <v>544.34</v>
      </c>
      <c r="F480" s="12">
        <v>3774.1</v>
      </c>
      <c r="G480" s="11">
        <v>544.34</v>
      </c>
      <c r="H480" s="12">
        <v>3818.1</v>
      </c>
      <c r="I480" s="11">
        <v>544.34</v>
      </c>
      <c r="J480" s="12">
        <v>3776.5</v>
      </c>
      <c r="K480" s="11">
        <v>544.34</v>
      </c>
      <c r="L480" s="12">
        <v>3853.3</v>
      </c>
      <c r="M480" s="11">
        <v>544.34</v>
      </c>
      <c r="N480" s="13">
        <v>3774.5</v>
      </c>
      <c r="O480" s="13">
        <v>4020.4</v>
      </c>
      <c r="P480" s="13">
        <v>3774.1</v>
      </c>
      <c r="Q480" s="11">
        <v>3818.1</v>
      </c>
      <c r="R480" s="11">
        <v>3776.5</v>
      </c>
      <c r="S480" s="14">
        <v>3853.3</v>
      </c>
      <c r="T480" s="11">
        <v>544.34</v>
      </c>
      <c r="U480" s="13">
        <f>IF('0.0%'!$N480&lt;$Z$3,0, '0.0%'!$O480/'0.0%'!$N480)</f>
        <v>1.0651477016823421</v>
      </c>
      <c r="V480" s="13">
        <f>IF('0.0%'!$N480&lt;$Z$3,0, '0.0%'!$P480/'0.0%'!$N480)</f>
        <v>0.99989402569876806</v>
      </c>
      <c r="W480" s="13">
        <f>IF('0.0%'!$N480&lt;$Z$3,0, '0.0%'!$Q480/'0.0%'!$N480)</f>
        <v>1.0115511988342827</v>
      </c>
      <c r="X480" s="13">
        <f>IF('0.0%'!$N480&lt;$Z$3,0, '0.0%'!$R480/'0.0%'!$N480)</f>
        <v>1.0005298715061597</v>
      </c>
      <c r="Y480" s="13">
        <f>IF('0.0%'!$N480&lt;$Z$3,0, '0.0%'!$S480/'0.0%'!$N480)</f>
        <v>1.0208769373426945</v>
      </c>
    </row>
    <row r="481" spans="1:25" x14ac:dyDescent="0.3">
      <c r="A481" s="17">
        <v>545.34</v>
      </c>
      <c r="B481" s="10">
        <v>3775.4</v>
      </c>
      <c r="C481" s="9">
        <v>545.34</v>
      </c>
      <c r="D481" s="10">
        <v>4023</v>
      </c>
      <c r="E481" s="11">
        <v>545.34</v>
      </c>
      <c r="F481" s="12">
        <v>3775.4</v>
      </c>
      <c r="G481" s="11">
        <v>545.34</v>
      </c>
      <c r="H481" s="12">
        <v>3819.2</v>
      </c>
      <c r="I481" s="11">
        <v>545.34</v>
      </c>
      <c r="J481" s="12">
        <v>3778.8</v>
      </c>
      <c r="K481" s="11">
        <v>545.34</v>
      </c>
      <c r="L481" s="12">
        <v>3853.3</v>
      </c>
      <c r="M481" s="11">
        <v>545.34</v>
      </c>
      <c r="N481" s="13">
        <v>3775.4</v>
      </c>
      <c r="O481" s="13">
        <v>4023</v>
      </c>
      <c r="P481" s="13">
        <v>3775.4</v>
      </c>
      <c r="Q481" s="11">
        <v>3819.2</v>
      </c>
      <c r="R481" s="11">
        <v>3778.8</v>
      </c>
      <c r="S481" s="14">
        <v>3853.3</v>
      </c>
      <c r="T481" s="11">
        <v>545.34</v>
      </c>
      <c r="U481" s="13">
        <f>IF('0.0%'!$N481&lt;$Z$3,0, '0.0%'!$O481/'0.0%'!$N481)</f>
        <v>1.0655824548392223</v>
      </c>
      <c r="V481" s="13">
        <f>IF('0.0%'!$N481&lt;$Z$3,0, '0.0%'!$P481/'0.0%'!$N481)</f>
        <v>1</v>
      </c>
      <c r="W481" s="13">
        <f>IF('0.0%'!$N481&lt;$Z$3,0, '0.0%'!$Q481/'0.0%'!$N481)</f>
        <v>1.0116014197171159</v>
      </c>
      <c r="X481" s="13">
        <f>IF('0.0%'!$N481&lt;$Z$3,0, '0.0%'!$R481/'0.0%'!$N481)</f>
        <v>1.0009005668273561</v>
      </c>
      <c r="Y481" s="13">
        <f>IF('0.0%'!$N481&lt;$Z$3,0, '0.0%'!$S481/'0.0%'!$N481)</f>
        <v>1.0206335752503046</v>
      </c>
    </row>
    <row r="482" spans="1:25" x14ac:dyDescent="0.3">
      <c r="A482" s="17">
        <v>546.33000000000004</v>
      </c>
      <c r="B482" s="10">
        <v>3777.4</v>
      </c>
      <c r="C482" s="9">
        <v>546.33000000000004</v>
      </c>
      <c r="D482" s="10">
        <v>4026.5</v>
      </c>
      <c r="E482" s="11">
        <v>546.33000000000004</v>
      </c>
      <c r="F482" s="12">
        <v>3777.8</v>
      </c>
      <c r="G482" s="11">
        <v>546.33000000000004</v>
      </c>
      <c r="H482" s="12">
        <v>3821.2</v>
      </c>
      <c r="I482" s="11">
        <v>546.33000000000004</v>
      </c>
      <c r="J482" s="12">
        <v>3782.1</v>
      </c>
      <c r="K482" s="11">
        <v>546.33000000000004</v>
      </c>
      <c r="L482" s="12">
        <v>3854.3</v>
      </c>
      <c r="M482" s="11">
        <v>546.33000000000004</v>
      </c>
      <c r="N482" s="13">
        <v>3777.4</v>
      </c>
      <c r="O482" s="13">
        <v>4026.5</v>
      </c>
      <c r="P482" s="13">
        <v>3777.8</v>
      </c>
      <c r="Q482" s="11">
        <v>3821.2</v>
      </c>
      <c r="R482" s="11">
        <v>3782.1</v>
      </c>
      <c r="S482" s="14">
        <v>3854.3</v>
      </c>
      <c r="T482" s="11">
        <v>546.33000000000004</v>
      </c>
      <c r="U482" s="13">
        <f>IF('0.0%'!$N482&lt;$Z$3,0, '0.0%'!$O482/'0.0%'!$N482)</f>
        <v>1.0659448297770953</v>
      </c>
      <c r="V482" s="13">
        <f>IF('0.0%'!$N482&lt;$Z$3,0, '0.0%'!$P482/'0.0%'!$N482)</f>
        <v>1.0001058929422355</v>
      </c>
      <c r="W482" s="13">
        <f>IF('0.0%'!$N482&lt;$Z$3,0, '0.0%'!$Q482/'0.0%'!$N482)</f>
        <v>1.0115952771747763</v>
      </c>
      <c r="X482" s="13">
        <f>IF('0.0%'!$N482&lt;$Z$3,0, '0.0%'!$R482/'0.0%'!$N482)</f>
        <v>1.0012442420712659</v>
      </c>
      <c r="Y482" s="13">
        <f>IF('0.0%'!$N482&lt;$Z$3,0, '0.0%'!$S482/'0.0%'!$N482)</f>
        <v>1.0203579181447557</v>
      </c>
    </row>
    <row r="483" spans="1:25" x14ac:dyDescent="0.3">
      <c r="A483" s="17">
        <v>547.32000000000005</v>
      </c>
      <c r="B483" s="10">
        <v>3780.2</v>
      </c>
      <c r="C483" s="9">
        <v>547.32000000000005</v>
      </c>
      <c r="D483" s="10">
        <v>4031.1</v>
      </c>
      <c r="E483" s="11">
        <v>547.32000000000005</v>
      </c>
      <c r="F483" s="12">
        <v>3781.3</v>
      </c>
      <c r="G483" s="11">
        <v>547.32000000000005</v>
      </c>
      <c r="H483" s="12">
        <v>3824.1</v>
      </c>
      <c r="I483" s="11">
        <v>547.32000000000005</v>
      </c>
      <c r="J483" s="12">
        <v>3786.5</v>
      </c>
      <c r="K483" s="11">
        <v>547.32000000000005</v>
      </c>
      <c r="L483" s="12">
        <v>3855.9</v>
      </c>
      <c r="M483" s="11">
        <v>547.32000000000005</v>
      </c>
      <c r="N483" s="13">
        <v>3780.2</v>
      </c>
      <c r="O483" s="13">
        <v>4031.1</v>
      </c>
      <c r="P483" s="13">
        <v>3781.3</v>
      </c>
      <c r="Q483" s="11">
        <v>3824.1</v>
      </c>
      <c r="R483" s="11">
        <v>3786.5</v>
      </c>
      <c r="S483" s="14">
        <v>3855.9</v>
      </c>
      <c r="T483" s="11">
        <v>547.32000000000005</v>
      </c>
      <c r="U483" s="13">
        <f>IF('0.0%'!$N483&lt;$Z$3,0, '0.0%'!$O483/'0.0%'!$N483)</f>
        <v>1.0663721496217131</v>
      </c>
      <c r="V483" s="13">
        <f>IF('0.0%'!$N483&lt;$Z$3,0, '0.0%'!$P483/'0.0%'!$N483)</f>
        <v>1.0002909898947148</v>
      </c>
      <c r="W483" s="13">
        <f>IF('0.0%'!$N483&lt;$Z$3,0, '0.0%'!$Q483/'0.0%'!$N483)</f>
        <v>1.0116131421617904</v>
      </c>
      <c r="X483" s="13">
        <f>IF('0.0%'!$N483&lt;$Z$3,0, '0.0%'!$R483/'0.0%'!$N483)</f>
        <v>1.0016665784879106</v>
      </c>
      <c r="Y483" s="13">
        <f>IF('0.0%'!$N483&lt;$Z$3,0, '0.0%'!$S483/'0.0%'!$N483)</f>
        <v>1.0200253954817207</v>
      </c>
    </row>
    <row r="484" spans="1:25" x14ac:dyDescent="0.3">
      <c r="A484" s="17">
        <v>548.30999999999995</v>
      </c>
      <c r="B484" s="10">
        <v>3784.2</v>
      </c>
      <c r="C484" s="9">
        <v>548.30999999999995</v>
      </c>
      <c r="D484" s="10">
        <v>4036.9</v>
      </c>
      <c r="E484" s="11">
        <v>548.30999999999995</v>
      </c>
      <c r="F484" s="12">
        <v>3786</v>
      </c>
      <c r="G484" s="11">
        <v>548.30999999999995</v>
      </c>
      <c r="H484" s="12">
        <v>3828</v>
      </c>
      <c r="I484" s="11">
        <v>548.30999999999995</v>
      </c>
      <c r="J484" s="12">
        <v>3792.3</v>
      </c>
      <c r="K484" s="11">
        <v>548.30999999999995</v>
      </c>
      <c r="L484" s="12">
        <v>3858.3</v>
      </c>
      <c r="M484" s="11">
        <v>548.30999999999995</v>
      </c>
      <c r="N484" s="13">
        <v>3784.2</v>
      </c>
      <c r="O484" s="13">
        <v>4036.9</v>
      </c>
      <c r="P484" s="13">
        <v>3786</v>
      </c>
      <c r="Q484" s="11">
        <v>3828</v>
      </c>
      <c r="R484" s="11">
        <v>3792.3</v>
      </c>
      <c r="S484" s="14">
        <v>3858.3</v>
      </c>
      <c r="T484" s="11">
        <v>548.30999999999995</v>
      </c>
      <c r="U484" s="13">
        <f>IF('0.0%'!$N484&lt;$Z$3,0, '0.0%'!$O484/'0.0%'!$N484)</f>
        <v>1.0667776544580096</v>
      </c>
      <c r="V484" s="13">
        <f>IF('0.0%'!$N484&lt;$Z$3,0, '0.0%'!$P484/'0.0%'!$N484)</f>
        <v>1.0004756619628985</v>
      </c>
      <c r="W484" s="13">
        <f>IF('0.0%'!$N484&lt;$Z$3,0, '0.0%'!$Q484/'0.0%'!$N484)</f>
        <v>1.0115744410971936</v>
      </c>
      <c r="X484" s="13">
        <f>IF('0.0%'!$N484&lt;$Z$3,0, '0.0%'!$R484/'0.0%'!$N484)</f>
        <v>1.0021404788330428</v>
      </c>
      <c r="Y484" s="13">
        <f>IF('0.0%'!$N484&lt;$Z$3,0, '0.0%'!$S484/'0.0%'!$N484)</f>
        <v>1.0195814174726496</v>
      </c>
    </row>
    <row r="485" spans="1:25" x14ac:dyDescent="0.3">
      <c r="A485" s="17">
        <v>549.29999999999995</v>
      </c>
      <c r="B485" s="10">
        <v>3789.9</v>
      </c>
      <c r="C485" s="9">
        <v>549.29999999999995</v>
      </c>
      <c r="D485" s="10">
        <v>4044.4</v>
      </c>
      <c r="E485" s="11">
        <v>549.29999999999995</v>
      </c>
      <c r="F485" s="12">
        <v>3792.6</v>
      </c>
      <c r="G485" s="11">
        <v>549.29999999999995</v>
      </c>
      <c r="H485" s="12">
        <v>3833.6</v>
      </c>
      <c r="I485" s="11">
        <v>549.29999999999995</v>
      </c>
      <c r="J485" s="12">
        <v>3800</v>
      </c>
      <c r="K485" s="11">
        <v>549.29999999999995</v>
      </c>
      <c r="L485" s="12">
        <v>3862.2</v>
      </c>
      <c r="M485" s="11">
        <v>549.29999999999995</v>
      </c>
      <c r="N485" s="13">
        <v>3789.9</v>
      </c>
      <c r="O485" s="13">
        <v>4044.4</v>
      </c>
      <c r="P485" s="13">
        <v>3792.6</v>
      </c>
      <c r="Q485" s="11">
        <v>3833.6</v>
      </c>
      <c r="R485" s="11">
        <v>3800</v>
      </c>
      <c r="S485" s="14">
        <v>3862.2</v>
      </c>
      <c r="T485" s="11">
        <v>549.29999999999995</v>
      </c>
      <c r="U485" s="13">
        <f>IF('0.0%'!$N485&lt;$Z$3,0, '0.0%'!$O485/'0.0%'!$N485)</f>
        <v>1.0671521676033668</v>
      </c>
      <c r="V485" s="13">
        <f>IF('0.0%'!$N485&lt;$Z$3,0, '0.0%'!$P485/'0.0%'!$N485)</f>
        <v>1.0007124198527666</v>
      </c>
      <c r="W485" s="13">
        <f>IF('0.0%'!$N485&lt;$Z$3,0, '0.0%'!$Q485/'0.0%'!$N485)</f>
        <v>1.0115306472466292</v>
      </c>
      <c r="X485" s="13">
        <f>IF('0.0%'!$N485&lt;$Z$3,0, '0.0%'!$R485/'0.0%'!$N485)</f>
        <v>1.0026649779677563</v>
      </c>
      <c r="Y485" s="13">
        <f>IF('0.0%'!$N485&lt;$Z$3,0, '0.0%'!$S485/'0.0%'!$N485)</f>
        <v>1.0190770205018602</v>
      </c>
    </row>
    <row r="486" spans="1:25" x14ac:dyDescent="0.3">
      <c r="A486" s="17">
        <v>550.29</v>
      </c>
      <c r="B486" s="10">
        <v>3796.6</v>
      </c>
      <c r="C486" s="9">
        <v>550.29</v>
      </c>
      <c r="D486" s="10">
        <v>4052.9</v>
      </c>
      <c r="E486" s="11">
        <v>550.29</v>
      </c>
      <c r="F486" s="12">
        <v>3800.4</v>
      </c>
      <c r="G486" s="11">
        <v>550.29</v>
      </c>
      <c r="H486" s="12">
        <v>3840.4</v>
      </c>
      <c r="I486" s="11">
        <v>550.29</v>
      </c>
      <c r="J486" s="12">
        <v>3808.6</v>
      </c>
      <c r="K486" s="11">
        <v>550.29</v>
      </c>
      <c r="L486" s="12">
        <v>3867.2</v>
      </c>
      <c r="M486" s="11">
        <v>550.29</v>
      </c>
      <c r="N486" s="13">
        <v>3796.6</v>
      </c>
      <c r="O486" s="13">
        <v>4052.9</v>
      </c>
      <c r="P486" s="13">
        <v>3800.4</v>
      </c>
      <c r="Q486" s="11">
        <v>3840.4</v>
      </c>
      <c r="R486" s="11">
        <v>3808.6</v>
      </c>
      <c r="S486" s="14">
        <v>3867.2</v>
      </c>
      <c r="T486" s="11">
        <v>550.29</v>
      </c>
      <c r="U486" s="13">
        <f>IF('0.0%'!$N486&lt;$Z$3,0, '0.0%'!$O486/'0.0%'!$N486)</f>
        <v>1.0675077701100986</v>
      </c>
      <c r="V486" s="13">
        <f>IF('0.0%'!$N486&lt;$Z$3,0, '0.0%'!$P486/'0.0%'!$N486)</f>
        <v>1.0010008955381131</v>
      </c>
      <c r="W486" s="13">
        <f>IF('0.0%'!$N486&lt;$Z$3,0, '0.0%'!$Q486/'0.0%'!$N486)</f>
        <v>1.0115366380445663</v>
      </c>
      <c r="X486" s="13">
        <f>IF('0.0%'!$N486&lt;$Z$3,0, '0.0%'!$R486/'0.0%'!$N486)</f>
        <v>1.0031607227519359</v>
      </c>
      <c r="Y486" s="13">
        <f>IF('0.0%'!$N486&lt;$Z$3,0, '0.0%'!$S486/'0.0%'!$N486)</f>
        <v>1.0185955855238897</v>
      </c>
    </row>
    <row r="487" spans="1:25" x14ac:dyDescent="0.3">
      <c r="A487" s="17">
        <v>551.29</v>
      </c>
      <c r="B487" s="10">
        <v>3806</v>
      </c>
      <c r="C487" s="9">
        <v>551.29</v>
      </c>
      <c r="D487" s="10">
        <v>4064</v>
      </c>
      <c r="E487" s="11">
        <v>551.29</v>
      </c>
      <c r="F487" s="12">
        <v>3811.2</v>
      </c>
      <c r="G487" s="11">
        <v>551.29</v>
      </c>
      <c r="H487" s="12">
        <v>3849.9</v>
      </c>
      <c r="I487" s="11">
        <v>551.29</v>
      </c>
      <c r="J487" s="12">
        <v>3820.1</v>
      </c>
      <c r="K487" s="11">
        <v>551.29</v>
      </c>
      <c r="L487" s="12">
        <v>3874.5</v>
      </c>
      <c r="M487" s="11">
        <v>551.29</v>
      </c>
      <c r="N487" s="13">
        <v>3806</v>
      </c>
      <c r="O487" s="13">
        <v>4064</v>
      </c>
      <c r="P487" s="13">
        <v>3811.2</v>
      </c>
      <c r="Q487" s="11">
        <v>3849.9</v>
      </c>
      <c r="R487" s="11">
        <v>3820.1</v>
      </c>
      <c r="S487" s="14">
        <v>3874.5</v>
      </c>
      <c r="T487" s="11">
        <v>551.29</v>
      </c>
      <c r="U487" s="13">
        <f>IF('0.0%'!$N487&lt;$Z$3,0, '0.0%'!$O487/'0.0%'!$N487)</f>
        <v>1.0677877036258538</v>
      </c>
      <c r="V487" s="13">
        <f>IF('0.0%'!$N487&lt;$Z$3,0, '0.0%'!$P487/'0.0%'!$N487)</f>
        <v>1.0013662637940095</v>
      </c>
      <c r="W487" s="13">
        <f>IF('0.0%'!$N487&lt;$Z$3,0, '0.0%'!$Q487/'0.0%'!$N487)</f>
        <v>1.0115344193378877</v>
      </c>
      <c r="X487" s="13">
        <f>IF('0.0%'!$N487&lt;$Z$3,0, '0.0%'!$R487/'0.0%'!$N487)</f>
        <v>1.003704676826064</v>
      </c>
      <c r="Y487" s="13">
        <f>IF('0.0%'!$N487&lt;$Z$3,0, '0.0%'!$S487/'0.0%'!$N487)</f>
        <v>1.0179978980557016</v>
      </c>
    </row>
    <row r="488" spans="1:25" x14ac:dyDescent="0.3">
      <c r="A488" s="17">
        <v>552.28</v>
      </c>
      <c r="B488" s="10">
        <v>3816.1</v>
      </c>
      <c r="C488" s="9">
        <v>552.28</v>
      </c>
      <c r="D488" s="10">
        <v>4075.9</v>
      </c>
      <c r="E488" s="11">
        <v>552.28</v>
      </c>
      <c r="F488" s="12">
        <v>3822.7</v>
      </c>
      <c r="G488" s="11">
        <v>552.28</v>
      </c>
      <c r="H488" s="12">
        <v>3859.7</v>
      </c>
      <c r="I488" s="11">
        <v>552.28</v>
      </c>
      <c r="J488" s="12">
        <v>3832.3</v>
      </c>
      <c r="K488" s="11">
        <v>552.28</v>
      </c>
      <c r="L488" s="12">
        <v>3882.4</v>
      </c>
      <c r="M488" s="11">
        <v>552.28</v>
      </c>
      <c r="N488" s="13">
        <v>3816.1</v>
      </c>
      <c r="O488" s="13">
        <v>4075.9</v>
      </c>
      <c r="P488" s="13">
        <v>3822.7</v>
      </c>
      <c r="Q488" s="11">
        <v>3859.7</v>
      </c>
      <c r="R488" s="11">
        <v>3832.3</v>
      </c>
      <c r="S488" s="14">
        <v>3882.4</v>
      </c>
      <c r="T488" s="11">
        <v>552.28</v>
      </c>
      <c r="U488" s="13">
        <f>IF('0.0%'!$N488&lt;$Z$3,0, '0.0%'!$O488/'0.0%'!$N488)</f>
        <v>1.0680799769398077</v>
      </c>
      <c r="V488" s="13">
        <f>IF('0.0%'!$N488&lt;$Z$3,0, '0.0%'!$P488/'0.0%'!$N488)</f>
        <v>1.0017295144257226</v>
      </c>
      <c r="W488" s="13">
        <f>IF('0.0%'!$N488&lt;$Z$3,0, '0.0%'!$Q488/'0.0%'!$N488)</f>
        <v>1.0114252771153796</v>
      </c>
      <c r="X488" s="13">
        <f>IF('0.0%'!$N488&lt;$Z$3,0, '0.0%'!$R488/'0.0%'!$N488)</f>
        <v>1.0042451717722283</v>
      </c>
      <c r="Y488" s="13">
        <f>IF('0.0%'!$N488&lt;$Z$3,0, '0.0%'!$S488/'0.0%'!$N488)</f>
        <v>1.0173737585493043</v>
      </c>
    </row>
    <row r="489" spans="1:25" x14ac:dyDescent="0.3">
      <c r="A489" s="17">
        <v>553.27</v>
      </c>
      <c r="B489" s="10">
        <v>3830.6</v>
      </c>
      <c r="C489" s="9">
        <v>553.27</v>
      </c>
      <c r="D489" s="10">
        <v>4091.9</v>
      </c>
      <c r="E489" s="11">
        <v>553.27</v>
      </c>
      <c r="F489" s="12">
        <v>3839.1</v>
      </c>
      <c r="G489" s="11">
        <v>553.27</v>
      </c>
      <c r="H489" s="12">
        <v>3874</v>
      </c>
      <c r="I489" s="11">
        <v>553.27</v>
      </c>
      <c r="J489" s="12">
        <v>3849.2</v>
      </c>
      <c r="K489" s="11">
        <v>553.27</v>
      </c>
      <c r="L489" s="12">
        <v>3894.1</v>
      </c>
      <c r="M489" s="11">
        <v>553.27</v>
      </c>
      <c r="N489" s="13">
        <v>3830.6</v>
      </c>
      <c r="O489" s="13">
        <v>4091.9</v>
      </c>
      <c r="P489" s="13">
        <v>3839.1</v>
      </c>
      <c r="Q489" s="11">
        <v>3874</v>
      </c>
      <c r="R489" s="11">
        <v>3849.2</v>
      </c>
      <c r="S489" s="14">
        <v>3894.1</v>
      </c>
      <c r="T489" s="11">
        <v>553.27</v>
      </c>
      <c r="U489" s="13">
        <f>IF('0.0%'!$N489&lt;$Z$3,0, '0.0%'!$O489/'0.0%'!$N489)</f>
        <v>1.0682138568370492</v>
      </c>
      <c r="V489" s="13">
        <f>IF('0.0%'!$N489&lt;$Z$3,0, '0.0%'!$P489/'0.0%'!$N489)</f>
        <v>1.0022189735289511</v>
      </c>
      <c r="W489" s="13">
        <f>IF('0.0%'!$N489&lt;$Z$3,0, '0.0%'!$Q489/'0.0%'!$N489)</f>
        <v>1.0113298177831149</v>
      </c>
      <c r="X489" s="13">
        <f>IF('0.0%'!$N489&lt;$Z$3,0, '0.0%'!$R489/'0.0%'!$N489)</f>
        <v>1.0048556361927634</v>
      </c>
      <c r="Y489" s="13">
        <f>IF('0.0%'!$N489&lt;$Z$3,0, '0.0%'!$S489/'0.0%'!$N489)</f>
        <v>1.0165770375398111</v>
      </c>
    </row>
    <row r="490" spans="1:25" x14ac:dyDescent="0.3">
      <c r="A490" s="17">
        <v>554.26</v>
      </c>
      <c r="B490" s="10">
        <v>3844</v>
      </c>
      <c r="C490" s="9">
        <v>554.26</v>
      </c>
      <c r="D490" s="10">
        <v>4107.3</v>
      </c>
      <c r="E490" s="11">
        <v>554.26</v>
      </c>
      <c r="F490" s="12">
        <v>3854.3</v>
      </c>
      <c r="G490" s="11">
        <v>554.26</v>
      </c>
      <c r="H490" s="12">
        <v>3887</v>
      </c>
      <c r="I490" s="11">
        <v>554.26</v>
      </c>
      <c r="J490" s="12">
        <v>3864.8</v>
      </c>
      <c r="K490" s="11">
        <v>554.26</v>
      </c>
      <c r="L490" s="12">
        <v>3904.9</v>
      </c>
      <c r="M490" s="11">
        <v>554.26</v>
      </c>
      <c r="N490" s="13">
        <v>3844</v>
      </c>
      <c r="O490" s="13">
        <v>4107.3</v>
      </c>
      <c r="P490" s="13">
        <v>3854.3</v>
      </c>
      <c r="Q490" s="11">
        <v>3887</v>
      </c>
      <c r="R490" s="11">
        <v>3864.8</v>
      </c>
      <c r="S490" s="14">
        <v>3904.9</v>
      </c>
      <c r="T490" s="11">
        <v>554.26</v>
      </c>
      <c r="U490" s="13">
        <f>IF('0.0%'!$N490&lt;$Z$3,0, '0.0%'!$O490/'0.0%'!$N490)</f>
        <v>1.0684963579604578</v>
      </c>
      <c r="V490" s="13">
        <f>IF('0.0%'!$N490&lt;$Z$3,0, '0.0%'!$P490/'0.0%'!$N490)</f>
        <v>1.0026795005202913</v>
      </c>
      <c r="W490" s="13">
        <f>IF('0.0%'!$N490&lt;$Z$3,0, '0.0%'!$Q490/'0.0%'!$N490)</f>
        <v>1.0111862643080125</v>
      </c>
      <c r="X490" s="13">
        <f>IF('0.0%'!$N490&lt;$Z$3,0, '0.0%'!$R490/'0.0%'!$N490)</f>
        <v>1.005411030176899</v>
      </c>
      <c r="Y490" s="13">
        <f>IF('0.0%'!$N490&lt;$Z$3,0, '0.0%'!$S490/'0.0%'!$N490)</f>
        <v>1.0158428720083248</v>
      </c>
    </row>
    <row r="491" spans="1:25" x14ac:dyDescent="0.3">
      <c r="A491" s="17">
        <v>555.25</v>
      </c>
      <c r="B491" s="10">
        <v>3857.4</v>
      </c>
      <c r="C491" s="9">
        <v>555.25</v>
      </c>
      <c r="D491" s="10">
        <v>4121.8</v>
      </c>
      <c r="E491" s="11">
        <v>555.25</v>
      </c>
      <c r="F491" s="12">
        <v>3868.8</v>
      </c>
      <c r="G491" s="11">
        <v>555.25</v>
      </c>
      <c r="H491" s="12">
        <v>3900</v>
      </c>
      <c r="I491" s="11">
        <v>555.25</v>
      </c>
      <c r="J491" s="12">
        <v>3879.8</v>
      </c>
      <c r="K491" s="11">
        <v>555.25</v>
      </c>
      <c r="L491" s="12">
        <v>3915.8</v>
      </c>
      <c r="M491" s="11">
        <v>555.25</v>
      </c>
      <c r="N491" s="13">
        <v>3857.4</v>
      </c>
      <c r="O491" s="13">
        <v>4121.8</v>
      </c>
      <c r="P491" s="13">
        <v>3868.8</v>
      </c>
      <c r="Q491" s="11">
        <v>3900</v>
      </c>
      <c r="R491" s="11">
        <v>3879.8</v>
      </c>
      <c r="S491" s="14">
        <v>3915.8</v>
      </c>
      <c r="T491" s="11">
        <v>555.25</v>
      </c>
      <c r="U491" s="13">
        <f>IF('0.0%'!$N491&lt;$Z$3,0, '0.0%'!$O491/'0.0%'!$N491)</f>
        <v>1.0685435785762432</v>
      </c>
      <c r="V491" s="13">
        <f>IF('0.0%'!$N491&lt;$Z$3,0, '0.0%'!$P491/'0.0%'!$N491)</f>
        <v>1.0029553585316535</v>
      </c>
      <c r="W491" s="13">
        <f>IF('0.0%'!$N491&lt;$Z$3,0, '0.0%'!$Q491/'0.0%'!$N491)</f>
        <v>1.0110437081972312</v>
      </c>
      <c r="X491" s="13">
        <f>IF('0.0%'!$N491&lt;$Z$3,0, '0.0%'!$R491/'0.0%'!$N491)</f>
        <v>1.0058070202727225</v>
      </c>
      <c r="Y491" s="13">
        <f>IF('0.0%'!$N491&lt;$Z$3,0, '0.0%'!$S491/'0.0%'!$N491)</f>
        <v>1.0151397314253123</v>
      </c>
    </row>
    <row r="492" spans="1:25" x14ac:dyDescent="0.3">
      <c r="A492" s="17">
        <v>556.25</v>
      </c>
      <c r="B492" s="10">
        <v>3862</v>
      </c>
      <c r="C492" s="9">
        <v>556.25</v>
      </c>
      <c r="D492" s="10">
        <v>4127.7</v>
      </c>
      <c r="E492" s="11">
        <v>556.25</v>
      </c>
      <c r="F492" s="12">
        <v>3874</v>
      </c>
      <c r="G492" s="11">
        <v>556.25</v>
      </c>
      <c r="H492" s="12">
        <v>3904.6</v>
      </c>
      <c r="I492" s="11">
        <v>556.25</v>
      </c>
      <c r="J492" s="12">
        <v>3885.4</v>
      </c>
      <c r="K492" s="11">
        <v>556.25</v>
      </c>
      <c r="L492" s="12">
        <v>3919.7</v>
      </c>
      <c r="M492" s="11">
        <v>556.25</v>
      </c>
      <c r="N492" s="13">
        <v>3862</v>
      </c>
      <c r="O492" s="13">
        <v>4127.7</v>
      </c>
      <c r="P492" s="13">
        <v>3874</v>
      </c>
      <c r="Q492" s="11">
        <v>3904.6</v>
      </c>
      <c r="R492" s="11">
        <v>3885.4</v>
      </c>
      <c r="S492" s="14">
        <v>3919.7</v>
      </c>
      <c r="T492" s="11">
        <v>556.25</v>
      </c>
      <c r="U492" s="13">
        <f>IF('0.0%'!$N492&lt;$Z$3,0, '0.0%'!$O492/'0.0%'!$N492)</f>
        <v>1.0687985499741066</v>
      </c>
      <c r="V492" s="13">
        <f>IF('0.0%'!$N492&lt;$Z$3,0, '0.0%'!$P492/'0.0%'!$N492)</f>
        <v>1.0031071983428275</v>
      </c>
      <c r="W492" s="13">
        <f>IF('0.0%'!$N492&lt;$Z$3,0, '0.0%'!$Q492/'0.0%'!$N492)</f>
        <v>1.0110305541170377</v>
      </c>
      <c r="X492" s="13">
        <f>IF('0.0%'!$N492&lt;$Z$3,0, '0.0%'!$R492/'0.0%'!$N492)</f>
        <v>1.0060590367685138</v>
      </c>
      <c r="Y492" s="13">
        <f>IF('0.0%'!$N492&lt;$Z$3,0, '0.0%'!$S492/'0.0%'!$N492)</f>
        <v>1.0149404453650959</v>
      </c>
    </row>
    <row r="493" spans="1:25" x14ac:dyDescent="0.3">
      <c r="A493" s="17">
        <v>557.24</v>
      </c>
      <c r="B493" s="10">
        <v>3846</v>
      </c>
      <c r="C493" s="9">
        <v>557.24</v>
      </c>
      <c r="D493" s="10">
        <v>4114.3</v>
      </c>
      <c r="E493" s="11">
        <v>557.24</v>
      </c>
      <c r="F493" s="12">
        <v>3857.6</v>
      </c>
      <c r="G493" s="11">
        <v>557.24</v>
      </c>
      <c r="H493" s="12">
        <v>3888.8</v>
      </c>
      <c r="I493" s="11">
        <v>557.24</v>
      </c>
      <c r="J493" s="12">
        <v>3870.8</v>
      </c>
      <c r="K493" s="11">
        <v>557.24</v>
      </c>
      <c r="L493" s="12">
        <v>3904.5</v>
      </c>
      <c r="M493" s="11">
        <v>557.24</v>
      </c>
      <c r="N493" s="13">
        <v>3846</v>
      </c>
      <c r="O493" s="13">
        <v>4114.3</v>
      </c>
      <c r="P493" s="13">
        <v>3857.6</v>
      </c>
      <c r="Q493" s="11">
        <v>3888.8</v>
      </c>
      <c r="R493" s="11">
        <v>3870.8</v>
      </c>
      <c r="S493" s="14">
        <v>3904.5</v>
      </c>
      <c r="T493" s="11">
        <v>557.24</v>
      </c>
      <c r="U493" s="13">
        <f>IF('0.0%'!$N493&lt;$Z$3,0, '0.0%'!$O493/'0.0%'!$N493)</f>
        <v>1.0697607904316173</v>
      </c>
      <c r="V493" s="13">
        <f>IF('0.0%'!$N493&lt;$Z$3,0, '0.0%'!$P493/'0.0%'!$N493)</f>
        <v>1.0030161206448258</v>
      </c>
      <c r="W493" s="13">
        <f>IF('0.0%'!$N493&lt;$Z$3,0, '0.0%'!$Q493/'0.0%'!$N493)</f>
        <v>1.0111284451378055</v>
      </c>
      <c r="X493" s="13">
        <f>IF('0.0%'!$N493&lt;$Z$3,0, '0.0%'!$R493/'0.0%'!$N493)</f>
        <v>1.0064482579303173</v>
      </c>
      <c r="Y493" s="13">
        <f>IF('0.0%'!$N493&lt;$Z$3,0, '0.0%'!$S493/'0.0%'!$N493)</f>
        <v>1.0152106084243371</v>
      </c>
    </row>
    <row r="494" spans="1:25" x14ac:dyDescent="0.3">
      <c r="A494" s="17">
        <v>558.23</v>
      </c>
      <c r="B494" s="10">
        <v>3821</v>
      </c>
      <c r="C494" s="9">
        <v>558.23</v>
      </c>
      <c r="D494" s="10">
        <v>4092.5</v>
      </c>
      <c r="E494" s="11">
        <v>558.23</v>
      </c>
      <c r="F494" s="12">
        <v>3832.1</v>
      </c>
      <c r="G494" s="11">
        <v>558.23</v>
      </c>
      <c r="H494" s="12">
        <v>3864.3</v>
      </c>
      <c r="I494" s="11">
        <v>558.23</v>
      </c>
      <c r="J494" s="12">
        <v>3846.3</v>
      </c>
      <c r="K494" s="11">
        <v>558.23</v>
      </c>
      <c r="L494" s="12">
        <v>3881.7</v>
      </c>
      <c r="M494" s="11">
        <v>558.23</v>
      </c>
      <c r="N494" s="13">
        <v>3821</v>
      </c>
      <c r="O494" s="13">
        <v>4092.5</v>
      </c>
      <c r="P494" s="13">
        <v>3832.1</v>
      </c>
      <c r="Q494" s="11">
        <v>3864.3</v>
      </c>
      <c r="R494" s="11">
        <v>3846.3</v>
      </c>
      <c r="S494" s="14">
        <v>3881.7</v>
      </c>
      <c r="T494" s="11">
        <v>558.23</v>
      </c>
      <c r="U494" s="13">
        <f>IF('0.0%'!$N494&lt;$Z$3,0, '0.0%'!$O494/'0.0%'!$N494)</f>
        <v>1.0710546977231092</v>
      </c>
      <c r="V494" s="13">
        <f>IF('0.0%'!$N494&lt;$Z$3,0, '0.0%'!$P494/'0.0%'!$N494)</f>
        <v>1.002904998691442</v>
      </c>
      <c r="W494" s="13">
        <f>IF('0.0%'!$N494&lt;$Z$3,0, '0.0%'!$Q494/'0.0%'!$N494)</f>
        <v>1.0113321120125622</v>
      </c>
      <c r="X494" s="13">
        <f>IF('0.0%'!$N494&lt;$Z$3,0, '0.0%'!$R494/'0.0%'!$N494)</f>
        <v>1.0066213033237372</v>
      </c>
      <c r="Y494" s="13">
        <f>IF('0.0%'!$N494&lt;$Z$3,0, '0.0%'!$S494/'0.0%'!$N494)</f>
        <v>1.0158858937450927</v>
      </c>
    </row>
    <row r="495" spans="1:25" x14ac:dyDescent="0.3">
      <c r="A495" s="17">
        <v>559.22</v>
      </c>
      <c r="B495" s="10">
        <v>3795.2</v>
      </c>
      <c r="C495" s="9">
        <v>559.22</v>
      </c>
      <c r="D495" s="10">
        <v>4069.1</v>
      </c>
      <c r="E495" s="11">
        <v>559.22</v>
      </c>
      <c r="F495" s="12">
        <v>3805.1</v>
      </c>
      <c r="G495" s="11">
        <v>559.22</v>
      </c>
      <c r="H495" s="12">
        <v>3839</v>
      </c>
      <c r="I495" s="11">
        <v>559.22</v>
      </c>
      <c r="J495" s="12">
        <v>3821.6</v>
      </c>
      <c r="K495" s="11">
        <v>559.22</v>
      </c>
      <c r="L495" s="12">
        <v>3858.1</v>
      </c>
      <c r="M495" s="11">
        <v>559.22</v>
      </c>
      <c r="N495" s="13">
        <v>3795.2</v>
      </c>
      <c r="O495" s="13">
        <v>4069.1</v>
      </c>
      <c r="P495" s="13">
        <v>3805.1</v>
      </c>
      <c r="Q495" s="11">
        <v>3839</v>
      </c>
      <c r="R495" s="11">
        <v>3821.6</v>
      </c>
      <c r="S495" s="14">
        <v>3858.1</v>
      </c>
      <c r="T495" s="11">
        <v>559.22</v>
      </c>
      <c r="U495" s="13">
        <f>IF('0.0%'!$N495&lt;$Z$3,0, '0.0%'!$O495/'0.0%'!$N495)</f>
        <v>1.0721701096121417</v>
      </c>
      <c r="V495" s="13">
        <f>IF('0.0%'!$N495&lt;$Z$3,0, '0.0%'!$P495/'0.0%'!$N495)</f>
        <v>1.0026085581787521</v>
      </c>
      <c r="W495" s="13">
        <f>IF('0.0%'!$N495&lt;$Z$3,0, '0.0%'!$Q495/'0.0%'!$N495)</f>
        <v>1.0115408937605397</v>
      </c>
      <c r="X495" s="13">
        <f>IF('0.0%'!$N495&lt;$Z$3,0, '0.0%'!$R495/'0.0%'!$N495)</f>
        <v>1.006956155143339</v>
      </c>
      <c r="Y495" s="13">
        <f>IF('0.0%'!$N495&lt;$Z$3,0, '0.0%'!$S495/'0.0%'!$N495)</f>
        <v>1.0165735666104554</v>
      </c>
    </row>
    <row r="496" spans="1:25" x14ac:dyDescent="0.3">
      <c r="A496" s="17">
        <v>560.21</v>
      </c>
      <c r="B496" s="10">
        <v>3773.4</v>
      </c>
      <c r="C496" s="9">
        <v>560.21</v>
      </c>
      <c r="D496" s="10">
        <v>4049.2</v>
      </c>
      <c r="E496" s="11">
        <v>560.21</v>
      </c>
      <c r="F496" s="12">
        <v>3782.4</v>
      </c>
      <c r="G496" s="11">
        <v>560.21</v>
      </c>
      <c r="H496" s="12">
        <v>3817.6</v>
      </c>
      <c r="I496" s="11">
        <v>560.21</v>
      </c>
      <c r="J496" s="12">
        <v>3800.9</v>
      </c>
      <c r="K496" s="11">
        <v>560.21</v>
      </c>
      <c r="L496" s="12">
        <v>3838.2</v>
      </c>
      <c r="M496" s="11">
        <v>560.21</v>
      </c>
      <c r="N496" s="13">
        <v>3773.4</v>
      </c>
      <c r="O496" s="13">
        <v>4049.2</v>
      </c>
      <c r="P496" s="13">
        <v>3782.4</v>
      </c>
      <c r="Q496" s="11">
        <v>3817.6</v>
      </c>
      <c r="R496" s="11">
        <v>3800.9</v>
      </c>
      <c r="S496" s="14">
        <v>3838.2</v>
      </c>
      <c r="T496" s="11">
        <v>560.21</v>
      </c>
      <c r="U496" s="13">
        <f>IF('0.0%'!$N496&lt;$Z$3,0, '0.0%'!$O496/'0.0%'!$N496)</f>
        <v>1.0730905814384903</v>
      </c>
      <c r="V496" s="13">
        <f>IF('0.0%'!$N496&lt;$Z$3,0, '0.0%'!$P496/'0.0%'!$N496)</f>
        <v>1.0023851168707267</v>
      </c>
      <c r="W496" s="13">
        <f>IF('0.0%'!$N496&lt;$Z$3,0, '0.0%'!$Q496/'0.0%'!$N496)</f>
        <v>1.0117135739651242</v>
      </c>
      <c r="X496" s="13">
        <f>IF('0.0%'!$N496&lt;$Z$3,0, '0.0%'!$R496/'0.0%'!$N496)</f>
        <v>1.0072878571049981</v>
      </c>
      <c r="Y496" s="13">
        <f>IF('0.0%'!$N496&lt;$Z$3,0, '0.0%'!$S496/'0.0%'!$N496)</f>
        <v>1.0171728414692318</v>
      </c>
    </row>
    <row r="497" spans="1:25" x14ac:dyDescent="0.3">
      <c r="A497" s="17">
        <v>561.20000000000005</v>
      </c>
      <c r="B497" s="10">
        <v>3754.9</v>
      </c>
      <c r="C497" s="9">
        <v>561.20000000000005</v>
      </c>
      <c r="D497" s="10">
        <v>4032.3</v>
      </c>
      <c r="E497" s="11">
        <v>561.20000000000005</v>
      </c>
      <c r="F497" s="12">
        <v>3763.2</v>
      </c>
      <c r="G497" s="11">
        <v>561.20000000000005</v>
      </c>
      <c r="H497" s="12">
        <v>3799.4</v>
      </c>
      <c r="I497" s="11">
        <v>561.20000000000005</v>
      </c>
      <c r="J497" s="12">
        <v>3783.7</v>
      </c>
      <c r="K497" s="11">
        <v>561.20000000000005</v>
      </c>
      <c r="L497" s="12">
        <v>3820.7</v>
      </c>
      <c r="M497" s="11">
        <v>561.20000000000005</v>
      </c>
      <c r="N497" s="13">
        <v>3754.9</v>
      </c>
      <c r="O497" s="13">
        <v>4032.3</v>
      </c>
      <c r="P497" s="13">
        <v>3763.2</v>
      </c>
      <c r="Q497" s="11">
        <v>3799.4</v>
      </c>
      <c r="R497" s="11">
        <v>3783.7</v>
      </c>
      <c r="S497" s="14">
        <v>3820.7</v>
      </c>
      <c r="T497" s="11">
        <v>561.20000000000005</v>
      </c>
      <c r="U497" s="13">
        <f>IF('0.0%'!$N497&lt;$Z$3,0, '0.0%'!$O497/'0.0%'!$N497)</f>
        <v>1.0738768009800528</v>
      </c>
      <c r="V497" s="13">
        <f>IF('0.0%'!$N497&lt;$Z$3,0, '0.0%'!$P497/'0.0%'!$N497)</f>
        <v>1.002210445018509</v>
      </c>
      <c r="W497" s="13">
        <f>IF('0.0%'!$N497&lt;$Z$3,0, '0.0%'!$Q497/'0.0%'!$N497)</f>
        <v>1.0118511811233322</v>
      </c>
      <c r="X497" s="13">
        <f>IF('0.0%'!$N497&lt;$Z$3,0, '0.0%'!$R497/'0.0%'!$N497)</f>
        <v>1.0076699778955498</v>
      </c>
      <c r="Y497" s="13">
        <f>IF('0.0%'!$N497&lt;$Z$3,0, '0.0%'!$S497/'0.0%'!$N497)</f>
        <v>1.0175237689419159</v>
      </c>
    </row>
    <row r="498" spans="1:25" x14ac:dyDescent="0.3">
      <c r="A498" s="17">
        <v>562.20000000000005</v>
      </c>
      <c r="B498" s="10">
        <v>3739.9</v>
      </c>
      <c r="C498" s="9">
        <v>562.20000000000005</v>
      </c>
      <c r="D498" s="10">
        <v>4018.8</v>
      </c>
      <c r="E498" s="11">
        <v>562.20000000000005</v>
      </c>
      <c r="F498" s="12">
        <v>3747.7</v>
      </c>
      <c r="G498" s="11">
        <v>562.20000000000005</v>
      </c>
      <c r="H498" s="12">
        <v>3784.6</v>
      </c>
      <c r="I498" s="11">
        <v>562.20000000000005</v>
      </c>
      <c r="J498" s="12">
        <v>3770.2</v>
      </c>
      <c r="K498" s="11">
        <v>562.20000000000005</v>
      </c>
      <c r="L498" s="12">
        <v>3806.5</v>
      </c>
      <c r="M498" s="11">
        <v>562.20000000000005</v>
      </c>
      <c r="N498" s="13">
        <v>3739.9</v>
      </c>
      <c r="O498" s="13">
        <v>4018.8</v>
      </c>
      <c r="P498" s="13">
        <v>3747.7</v>
      </c>
      <c r="Q498" s="11">
        <v>3784.6</v>
      </c>
      <c r="R498" s="11">
        <v>3770.2</v>
      </c>
      <c r="S498" s="14">
        <v>3806.5</v>
      </c>
      <c r="T498" s="11">
        <v>562.20000000000005</v>
      </c>
      <c r="U498" s="13">
        <f>IF('0.0%'!$N498&lt;$Z$3,0, '0.0%'!$O498/'0.0%'!$N498)</f>
        <v>1.0745741864755742</v>
      </c>
      <c r="V498" s="13">
        <f>IF('0.0%'!$N498&lt;$Z$3,0, '0.0%'!$P498/'0.0%'!$N498)</f>
        <v>1.0020856172624937</v>
      </c>
      <c r="W498" s="13">
        <f>IF('0.0%'!$N498&lt;$Z$3,0, '0.0%'!$Q498/'0.0%'!$N498)</f>
        <v>1.0119521912350598</v>
      </c>
      <c r="X498" s="13">
        <f>IF('0.0%'!$N498&lt;$Z$3,0, '0.0%'!$R498/'0.0%'!$N498)</f>
        <v>1.0081018209043022</v>
      </c>
      <c r="Y498" s="13">
        <f>IF('0.0%'!$N498&lt;$Z$3,0, '0.0%'!$S498/'0.0%'!$N498)</f>
        <v>1.0178079627797534</v>
      </c>
    </row>
    <row r="499" spans="1:25" x14ac:dyDescent="0.3">
      <c r="A499" s="17">
        <v>563.19000000000005</v>
      </c>
      <c r="B499" s="10">
        <v>3727.4</v>
      </c>
      <c r="C499" s="9">
        <v>563.19000000000005</v>
      </c>
      <c r="D499" s="10">
        <v>4007.7</v>
      </c>
      <c r="E499" s="11">
        <v>563.19000000000005</v>
      </c>
      <c r="F499" s="12">
        <v>3734.7</v>
      </c>
      <c r="G499" s="11">
        <v>563.19000000000005</v>
      </c>
      <c r="H499" s="12">
        <v>3772.1</v>
      </c>
      <c r="I499" s="11">
        <v>563.19000000000005</v>
      </c>
      <c r="J499" s="12">
        <v>3758.9</v>
      </c>
      <c r="K499" s="11">
        <v>563.19000000000005</v>
      </c>
      <c r="L499" s="12">
        <v>3794.2</v>
      </c>
      <c r="M499" s="11">
        <v>563.19000000000005</v>
      </c>
      <c r="N499" s="13">
        <v>3727.4</v>
      </c>
      <c r="O499" s="13">
        <v>4007.7</v>
      </c>
      <c r="P499" s="13">
        <v>3734.7</v>
      </c>
      <c r="Q499" s="11">
        <v>3772.1</v>
      </c>
      <c r="R499" s="11">
        <v>3758.9</v>
      </c>
      <c r="S499" s="14">
        <v>3794.2</v>
      </c>
      <c r="T499" s="11">
        <v>563.19000000000005</v>
      </c>
      <c r="U499" s="13">
        <f>IF('0.0%'!$N499&lt;$Z$3,0, '0.0%'!$O499/'0.0%'!$N499)</f>
        <v>1.0751998712239093</v>
      </c>
      <c r="V499" s="13">
        <f>IF('0.0%'!$N499&lt;$Z$3,0, '0.0%'!$P499/'0.0%'!$N499)</f>
        <v>1.0019584697107904</v>
      </c>
      <c r="W499" s="13">
        <f>IF('0.0%'!$N499&lt;$Z$3,0, '0.0%'!$Q499/'0.0%'!$N499)</f>
        <v>1.0119922734345657</v>
      </c>
      <c r="X499" s="13">
        <f>IF('0.0%'!$N499&lt;$Z$3,0, '0.0%'!$R499/'0.0%'!$N499)</f>
        <v>1.0084509309438214</v>
      </c>
      <c r="Y499" s="13">
        <f>IF('0.0%'!$N499&lt;$Z$3,0, '0.0%'!$S499/'0.0%'!$N499)</f>
        <v>1.017921339271342</v>
      </c>
    </row>
    <row r="500" spans="1:25" x14ac:dyDescent="0.3">
      <c r="A500" s="17">
        <v>564.17999999999995</v>
      </c>
      <c r="B500" s="10">
        <v>3718</v>
      </c>
      <c r="C500" s="9">
        <v>564.17999999999995</v>
      </c>
      <c r="D500" s="10">
        <v>3999.7</v>
      </c>
      <c r="E500" s="11">
        <v>564.17999999999995</v>
      </c>
      <c r="F500" s="12">
        <v>3725.2</v>
      </c>
      <c r="G500" s="11">
        <v>564.17999999999995</v>
      </c>
      <c r="H500" s="12">
        <v>3762.7</v>
      </c>
      <c r="I500" s="11">
        <v>564.17999999999995</v>
      </c>
      <c r="J500" s="12">
        <v>3751.1</v>
      </c>
      <c r="K500" s="11">
        <v>564.17999999999995</v>
      </c>
      <c r="L500" s="12">
        <v>3785</v>
      </c>
      <c r="M500" s="11">
        <v>564.17999999999995</v>
      </c>
      <c r="N500" s="13">
        <v>3718</v>
      </c>
      <c r="O500" s="13">
        <v>3999.7</v>
      </c>
      <c r="P500" s="13">
        <v>3725.2</v>
      </c>
      <c r="Q500" s="11">
        <v>3762.7</v>
      </c>
      <c r="R500" s="11">
        <v>3751.1</v>
      </c>
      <c r="S500" s="14">
        <v>3785</v>
      </c>
      <c r="T500" s="11">
        <v>564.17999999999995</v>
      </c>
      <c r="U500" s="13">
        <f>IF('0.0%'!$N500&lt;$Z$3,0, '0.0%'!$O500/'0.0%'!$N500)</f>
        <v>1.0757665411511566</v>
      </c>
      <c r="V500" s="13">
        <f>IF('0.0%'!$N500&lt;$Z$3,0, '0.0%'!$P500/'0.0%'!$N500)</f>
        <v>1.001936525013448</v>
      </c>
      <c r="W500" s="13">
        <f>IF('0.0%'!$N500&lt;$Z$3,0, '0.0%'!$Q500/'0.0%'!$N500)</f>
        <v>1.0120225927918236</v>
      </c>
      <c r="X500" s="13">
        <f>IF('0.0%'!$N500&lt;$Z$3,0, '0.0%'!$R500/'0.0%'!$N500)</f>
        <v>1.0089026358257127</v>
      </c>
      <c r="Y500" s="13">
        <f>IF('0.0%'!$N500&lt;$Z$3,0, '0.0%'!$S500/'0.0%'!$N500)</f>
        <v>1.0180204410973641</v>
      </c>
    </row>
    <row r="501" spans="1:25" x14ac:dyDescent="0.3">
      <c r="A501" s="17">
        <v>565.16999999999996</v>
      </c>
      <c r="B501" s="10">
        <v>3710.8</v>
      </c>
      <c r="C501" s="9">
        <v>565.16999999999996</v>
      </c>
      <c r="D501" s="10">
        <v>3994.1</v>
      </c>
      <c r="E501" s="11">
        <v>565.16999999999996</v>
      </c>
      <c r="F501" s="12">
        <v>3718.2</v>
      </c>
      <c r="G501" s="11">
        <v>565.16999999999996</v>
      </c>
      <c r="H501" s="12">
        <v>3755.3</v>
      </c>
      <c r="I501" s="11">
        <v>565.16999999999996</v>
      </c>
      <c r="J501" s="12">
        <v>3745.3</v>
      </c>
      <c r="K501" s="11">
        <v>565.16999999999996</v>
      </c>
      <c r="L501" s="12">
        <v>3777.5</v>
      </c>
      <c r="M501" s="11">
        <v>565.16999999999996</v>
      </c>
      <c r="N501" s="13">
        <v>3710.8</v>
      </c>
      <c r="O501" s="13">
        <v>3994.1</v>
      </c>
      <c r="P501" s="13">
        <v>3718.2</v>
      </c>
      <c r="Q501" s="11">
        <v>3755.3</v>
      </c>
      <c r="R501" s="11">
        <v>3745.3</v>
      </c>
      <c r="S501" s="14">
        <v>3777.5</v>
      </c>
      <c r="T501" s="11">
        <v>565.16999999999996</v>
      </c>
      <c r="U501" s="13">
        <f>IF('0.0%'!$N501&lt;$Z$3,0, '0.0%'!$O501/'0.0%'!$N501)</f>
        <v>1.0763447235097552</v>
      </c>
      <c r="V501" s="13">
        <f>IF('0.0%'!$N501&lt;$Z$3,0, '0.0%'!$P501/'0.0%'!$N501)</f>
        <v>1.0019941791527431</v>
      </c>
      <c r="W501" s="13">
        <f>IF('0.0%'!$N501&lt;$Z$3,0, '0.0%'!$Q501/'0.0%'!$N501)</f>
        <v>1.011992023283389</v>
      </c>
      <c r="X501" s="13">
        <f>IF('0.0%'!$N501&lt;$Z$3,0, '0.0%'!$R501/'0.0%'!$N501)</f>
        <v>1.0092971865904927</v>
      </c>
      <c r="Y501" s="13">
        <f>IF('0.0%'!$N501&lt;$Z$3,0, '0.0%'!$S501/'0.0%'!$N501)</f>
        <v>1.0179745607416191</v>
      </c>
    </row>
    <row r="502" spans="1:25" x14ac:dyDescent="0.3">
      <c r="A502" s="17">
        <v>566.16</v>
      </c>
      <c r="B502" s="10">
        <v>3706.1</v>
      </c>
      <c r="C502" s="9">
        <v>566.16</v>
      </c>
      <c r="D502" s="10">
        <v>3990.8</v>
      </c>
      <c r="E502" s="11">
        <v>566.16</v>
      </c>
      <c r="F502" s="12">
        <v>3713.7</v>
      </c>
      <c r="G502" s="11">
        <v>566.16</v>
      </c>
      <c r="H502" s="12">
        <v>3750.3</v>
      </c>
      <c r="I502" s="11">
        <v>566.16</v>
      </c>
      <c r="J502" s="12">
        <v>3742</v>
      </c>
      <c r="K502" s="11">
        <v>566.16</v>
      </c>
      <c r="L502" s="12">
        <v>3772.3</v>
      </c>
      <c r="M502" s="11">
        <v>566.16</v>
      </c>
      <c r="N502" s="13">
        <v>3706.1</v>
      </c>
      <c r="O502" s="13">
        <v>3990.8</v>
      </c>
      <c r="P502" s="13">
        <v>3713.7</v>
      </c>
      <c r="Q502" s="11">
        <v>3750.3</v>
      </c>
      <c r="R502" s="11">
        <v>3742</v>
      </c>
      <c r="S502" s="14">
        <v>3772.3</v>
      </c>
      <c r="T502" s="11">
        <v>566.16</v>
      </c>
      <c r="U502" s="13">
        <f>IF('0.0%'!$N502&lt;$Z$3,0, '0.0%'!$O502/'0.0%'!$N502)</f>
        <v>1.0768192979142495</v>
      </c>
      <c r="V502" s="13">
        <f>IF('0.0%'!$N502&lt;$Z$3,0, '0.0%'!$P502/'0.0%'!$N502)</f>
        <v>1.0020506732144303</v>
      </c>
      <c r="W502" s="13">
        <f>IF('0.0%'!$N502&lt;$Z$3,0, '0.0%'!$Q502/'0.0%'!$N502)</f>
        <v>1.0119262836944498</v>
      </c>
      <c r="X502" s="13">
        <f>IF('0.0%'!$N502&lt;$Z$3,0, '0.0%'!$R502/'0.0%'!$N502)</f>
        <v>1.0096867326839536</v>
      </c>
      <c r="Y502" s="13">
        <f>IF('0.0%'!$N502&lt;$Z$3,0, '0.0%'!$S502/'0.0%'!$N502)</f>
        <v>1.0178624429993794</v>
      </c>
    </row>
    <row r="503" spans="1:25" x14ac:dyDescent="0.3">
      <c r="A503" s="17">
        <v>567.15</v>
      </c>
      <c r="B503" s="10">
        <v>3703.1</v>
      </c>
      <c r="C503" s="9">
        <v>567.15</v>
      </c>
      <c r="D503" s="10">
        <v>3989.3</v>
      </c>
      <c r="E503" s="11">
        <v>567.15</v>
      </c>
      <c r="F503" s="12">
        <v>3710.8</v>
      </c>
      <c r="G503" s="11">
        <v>567.15</v>
      </c>
      <c r="H503" s="12">
        <v>3746.8</v>
      </c>
      <c r="I503" s="11">
        <v>567.15</v>
      </c>
      <c r="J503" s="12">
        <v>3740.5</v>
      </c>
      <c r="K503" s="11">
        <v>567.15</v>
      </c>
      <c r="L503" s="12">
        <v>3768.5</v>
      </c>
      <c r="M503" s="11">
        <v>567.15</v>
      </c>
      <c r="N503" s="13">
        <v>3703.1</v>
      </c>
      <c r="O503" s="13">
        <v>3989.3</v>
      </c>
      <c r="P503" s="13">
        <v>3710.8</v>
      </c>
      <c r="Q503" s="11">
        <v>3746.8</v>
      </c>
      <c r="R503" s="11">
        <v>3740.5</v>
      </c>
      <c r="S503" s="14">
        <v>3768.5</v>
      </c>
      <c r="T503" s="11">
        <v>567.15</v>
      </c>
      <c r="U503" s="13">
        <f>IF('0.0%'!$N503&lt;$Z$3,0, '0.0%'!$O503/'0.0%'!$N503)</f>
        <v>1.0772865977154278</v>
      </c>
      <c r="V503" s="13">
        <f>IF('0.0%'!$N503&lt;$Z$3,0, '0.0%'!$P503/'0.0%'!$N503)</f>
        <v>1.002079338932246</v>
      </c>
      <c r="W503" s="13">
        <f>IF('0.0%'!$N503&lt;$Z$3,0, '0.0%'!$Q503/'0.0%'!$N503)</f>
        <v>1.0118009235505387</v>
      </c>
      <c r="X503" s="13">
        <f>IF('0.0%'!$N503&lt;$Z$3,0, '0.0%'!$R503/'0.0%'!$N503)</f>
        <v>1.0100996462423375</v>
      </c>
      <c r="Y503" s="13">
        <f>IF('0.0%'!$N503&lt;$Z$3,0, '0.0%'!$S503/'0.0%'!$N503)</f>
        <v>1.017660878723232</v>
      </c>
    </row>
    <row r="504" spans="1:25" x14ac:dyDescent="0.3">
      <c r="A504" s="17">
        <v>568.15</v>
      </c>
      <c r="B504" s="10">
        <v>3702.4</v>
      </c>
      <c r="C504" s="9">
        <v>568.15</v>
      </c>
      <c r="D504" s="10">
        <v>3989.6</v>
      </c>
      <c r="E504" s="11">
        <v>568.15</v>
      </c>
      <c r="F504" s="12">
        <v>3710.5</v>
      </c>
      <c r="G504" s="11">
        <v>568.15</v>
      </c>
      <c r="H504" s="12">
        <v>3745.6</v>
      </c>
      <c r="I504" s="11">
        <v>568.15</v>
      </c>
      <c r="J504" s="12">
        <v>3741.3</v>
      </c>
      <c r="K504" s="11">
        <v>568.15</v>
      </c>
      <c r="L504" s="12">
        <v>3767</v>
      </c>
      <c r="M504" s="11">
        <v>568.15</v>
      </c>
      <c r="N504" s="13">
        <v>3702.4</v>
      </c>
      <c r="O504" s="13">
        <v>3989.6</v>
      </c>
      <c r="P504" s="13">
        <v>3710.5</v>
      </c>
      <c r="Q504" s="11">
        <v>3745.6</v>
      </c>
      <c r="R504" s="11">
        <v>3741.3</v>
      </c>
      <c r="S504" s="14">
        <v>3767</v>
      </c>
      <c r="T504" s="11">
        <v>568.15</v>
      </c>
      <c r="U504" s="13">
        <f>IF('0.0%'!$N504&lt;$Z$3,0, '0.0%'!$O504/'0.0%'!$N504)</f>
        <v>1.0775713050993949</v>
      </c>
      <c r="V504" s="13">
        <f>IF('0.0%'!$N504&lt;$Z$3,0, '0.0%'!$P504/'0.0%'!$N504)</f>
        <v>1.0021877700950734</v>
      </c>
      <c r="W504" s="13">
        <f>IF('0.0%'!$N504&lt;$Z$3,0, '0.0%'!$Q504/'0.0%'!$N504)</f>
        <v>1.011668107173725</v>
      </c>
      <c r="X504" s="13">
        <f>IF('0.0%'!$N504&lt;$Z$3,0, '0.0%'!$R504/'0.0%'!$N504)</f>
        <v>1.0105066983578219</v>
      </c>
      <c r="Y504" s="13">
        <f>IF('0.0%'!$N504&lt;$Z$3,0, '0.0%'!$S504/'0.0%'!$N504)</f>
        <v>1.0174481417458945</v>
      </c>
    </row>
    <row r="505" spans="1:25" x14ac:dyDescent="0.3">
      <c r="A505" s="17">
        <v>569.14</v>
      </c>
      <c r="B505" s="10">
        <v>3703.4</v>
      </c>
      <c r="C505" s="9">
        <v>569.14</v>
      </c>
      <c r="D505" s="10">
        <v>3991.8</v>
      </c>
      <c r="E505" s="11">
        <v>569.14</v>
      </c>
      <c r="F505" s="12">
        <v>3712</v>
      </c>
      <c r="G505" s="11">
        <v>569.14</v>
      </c>
      <c r="H505" s="12">
        <v>3745.9</v>
      </c>
      <c r="I505" s="11">
        <v>569.14</v>
      </c>
      <c r="J505" s="12">
        <v>3744.1</v>
      </c>
      <c r="K505" s="11">
        <v>569.14</v>
      </c>
      <c r="L505" s="12">
        <v>3767.1</v>
      </c>
      <c r="M505" s="11">
        <v>569.14</v>
      </c>
      <c r="N505" s="13">
        <v>3703.4</v>
      </c>
      <c r="O505" s="13">
        <v>3991.8</v>
      </c>
      <c r="P505" s="13">
        <v>3712</v>
      </c>
      <c r="Q505" s="11">
        <v>3745.9</v>
      </c>
      <c r="R505" s="11">
        <v>3744.1</v>
      </c>
      <c r="S505" s="14">
        <v>3767.1</v>
      </c>
      <c r="T505" s="11">
        <v>569.14</v>
      </c>
      <c r="U505" s="13">
        <f>IF('0.0%'!$N505&lt;$Z$3,0, '0.0%'!$O505/'0.0%'!$N505)</f>
        <v>1.0778743856996273</v>
      </c>
      <c r="V505" s="13">
        <f>IF('0.0%'!$N505&lt;$Z$3,0, '0.0%'!$P505/'0.0%'!$N505)</f>
        <v>1.0023221904196145</v>
      </c>
      <c r="W505" s="13">
        <f>IF('0.0%'!$N505&lt;$Z$3,0, '0.0%'!$Q505/'0.0%'!$N505)</f>
        <v>1.0114759410271643</v>
      </c>
      <c r="X505" s="13">
        <f>IF('0.0%'!$N505&lt;$Z$3,0, '0.0%'!$R505/'0.0%'!$N505)</f>
        <v>1.0109899011718961</v>
      </c>
      <c r="Y505" s="13">
        <f>IF('0.0%'!$N505&lt;$Z$3,0, '0.0%'!$S505/'0.0%'!$N505)</f>
        <v>1.0172004104336556</v>
      </c>
    </row>
    <row r="506" spans="1:25" x14ac:dyDescent="0.3">
      <c r="A506" s="17">
        <v>570.13</v>
      </c>
      <c r="B506" s="10">
        <v>3707</v>
      </c>
      <c r="C506" s="9">
        <v>570.13</v>
      </c>
      <c r="D506" s="10">
        <v>3996.1</v>
      </c>
      <c r="E506" s="11">
        <v>570.13</v>
      </c>
      <c r="F506" s="12">
        <v>3716.2</v>
      </c>
      <c r="G506" s="11">
        <v>570.13</v>
      </c>
      <c r="H506" s="12">
        <v>3748.7</v>
      </c>
      <c r="I506" s="11">
        <v>570.13</v>
      </c>
      <c r="J506" s="12">
        <v>3749.4</v>
      </c>
      <c r="K506" s="11">
        <v>570.13</v>
      </c>
      <c r="L506" s="12">
        <v>3769.6</v>
      </c>
      <c r="M506" s="11">
        <v>570.13</v>
      </c>
      <c r="N506" s="13">
        <v>3707</v>
      </c>
      <c r="O506" s="13">
        <v>3996.1</v>
      </c>
      <c r="P506" s="13">
        <v>3716.2</v>
      </c>
      <c r="Q506" s="11">
        <v>3748.7</v>
      </c>
      <c r="R506" s="11">
        <v>3749.4</v>
      </c>
      <c r="S506" s="14">
        <v>3769.6</v>
      </c>
      <c r="T506" s="11">
        <v>570.13</v>
      </c>
      <c r="U506" s="13">
        <f>IF('0.0%'!$N506&lt;$Z$3,0, '0.0%'!$O506/'0.0%'!$N506)</f>
        <v>1.0779875910439709</v>
      </c>
      <c r="V506" s="13">
        <f>IF('0.0%'!$N506&lt;$Z$3,0, '0.0%'!$P506/'0.0%'!$N506)</f>
        <v>1.0024817912058268</v>
      </c>
      <c r="W506" s="13">
        <f>IF('0.0%'!$N506&lt;$Z$3,0, '0.0%'!$Q506/'0.0%'!$N506)</f>
        <v>1.0112489884003237</v>
      </c>
      <c r="X506" s="13">
        <f>IF('0.0%'!$N506&lt;$Z$3,0, '0.0%'!$R506/'0.0%'!$N506)</f>
        <v>1.0114378203398975</v>
      </c>
      <c r="Y506" s="13">
        <f>IF('0.0%'!$N506&lt;$Z$3,0, '0.0%'!$S506/'0.0%'!$N506)</f>
        <v>1.0168869705961694</v>
      </c>
    </row>
    <row r="507" spans="1:25" x14ac:dyDescent="0.3">
      <c r="A507" s="17">
        <v>571.12</v>
      </c>
      <c r="B507" s="10">
        <v>3711.9</v>
      </c>
      <c r="C507" s="9">
        <v>571.12</v>
      </c>
      <c r="D507" s="10">
        <v>4001.6</v>
      </c>
      <c r="E507" s="11">
        <v>571.12</v>
      </c>
      <c r="F507" s="12">
        <v>3721.5</v>
      </c>
      <c r="G507" s="11">
        <v>571.12</v>
      </c>
      <c r="H507" s="12">
        <v>3752.7</v>
      </c>
      <c r="I507" s="11">
        <v>571.12</v>
      </c>
      <c r="J507" s="12">
        <v>3756.3</v>
      </c>
      <c r="K507" s="11">
        <v>571.12</v>
      </c>
      <c r="L507" s="12">
        <v>3773.1</v>
      </c>
      <c r="M507" s="11">
        <v>571.12</v>
      </c>
      <c r="N507" s="13">
        <v>3711.9</v>
      </c>
      <c r="O507" s="13">
        <v>4001.6</v>
      </c>
      <c r="P507" s="13">
        <v>3721.5</v>
      </c>
      <c r="Q507" s="11">
        <v>3752.7</v>
      </c>
      <c r="R507" s="11">
        <v>3756.3</v>
      </c>
      <c r="S507" s="14">
        <v>3773.1</v>
      </c>
      <c r="T507" s="11">
        <v>571.12</v>
      </c>
      <c r="U507" s="13">
        <f>IF('0.0%'!$N507&lt;$Z$3,0, '0.0%'!$O507/'0.0%'!$N507)</f>
        <v>1.0780462835744498</v>
      </c>
      <c r="V507" s="13">
        <f>IF('0.0%'!$N507&lt;$Z$3,0, '0.0%'!$P507/'0.0%'!$N507)</f>
        <v>1.0025862765699507</v>
      </c>
      <c r="W507" s="13">
        <f>IF('0.0%'!$N507&lt;$Z$3,0, '0.0%'!$Q507/'0.0%'!$N507)</f>
        <v>1.0109916754222903</v>
      </c>
      <c r="X507" s="13">
        <f>IF('0.0%'!$N507&lt;$Z$3,0, '0.0%'!$R507/'0.0%'!$N507)</f>
        <v>1.011961529136022</v>
      </c>
      <c r="Y507" s="13">
        <f>IF('0.0%'!$N507&lt;$Z$3,0, '0.0%'!$S507/'0.0%'!$N507)</f>
        <v>1.0164875131334357</v>
      </c>
    </row>
    <row r="508" spans="1:25" x14ac:dyDescent="0.3">
      <c r="A508" s="17">
        <v>572.11</v>
      </c>
      <c r="B508" s="10">
        <v>3719.9</v>
      </c>
      <c r="C508" s="9">
        <v>572.11</v>
      </c>
      <c r="D508" s="10">
        <v>4008.7</v>
      </c>
      <c r="E508" s="11">
        <v>572.11</v>
      </c>
      <c r="F508" s="12">
        <v>3730.1</v>
      </c>
      <c r="G508" s="11">
        <v>572.11</v>
      </c>
      <c r="H508" s="12">
        <v>3759.6</v>
      </c>
      <c r="I508" s="11">
        <v>572.11</v>
      </c>
      <c r="J508" s="12">
        <v>3765.4</v>
      </c>
      <c r="K508" s="11">
        <v>572.11</v>
      </c>
      <c r="L508" s="12">
        <v>3779.6</v>
      </c>
      <c r="M508" s="11">
        <v>572.11</v>
      </c>
      <c r="N508" s="13">
        <v>3719.9</v>
      </c>
      <c r="O508" s="13">
        <v>4008.7</v>
      </c>
      <c r="P508" s="13">
        <v>3730.1</v>
      </c>
      <c r="Q508" s="11">
        <v>3759.6</v>
      </c>
      <c r="R508" s="11">
        <v>3765.4</v>
      </c>
      <c r="S508" s="14">
        <v>3779.6</v>
      </c>
      <c r="T508" s="11">
        <v>572.11</v>
      </c>
      <c r="U508" s="13">
        <f>IF('0.0%'!$N508&lt;$Z$3,0, '0.0%'!$O508/'0.0%'!$N508)</f>
        <v>1.0776364956047204</v>
      </c>
      <c r="V508" s="13">
        <f>IF('0.0%'!$N508&lt;$Z$3,0, '0.0%'!$P508/'0.0%'!$N508)</f>
        <v>1.0027420091937955</v>
      </c>
      <c r="W508" s="13">
        <f>IF('0.0%'!$N508&lt;$Z$3,0, '0.0%'!$Q508/'0.0%'!$N508)</f>
        <v>1.0106723299013414</v>
      </c>
      <c r="X508" s="13">
        <f>IF('0.0%'!$N508&lt;$Z$3,0, '0.0%'!$R508/'0.0%'!$N508)</f>
        <v>1.0122315115997742</v>
      </c>
      <c r="Y508" s="13">
        <f>IF('0.0%'!$N508&lt;$Z$3,0, '0.0%'!$S508/'0.0%'!$N508)</f>
        <v>1.0160488185166268</v>
      </c>
    </row>
    <row r="509" spans="1:25" x14ac:dyDescent="0.3">
      <c r="A509" s="17">
        <v>573.11</v>
      </c>
      <c r="B509" s="10">
        <v>3730.3</v>
      </c>
      <c r="C509" s="9">
        <v>573.11</v>
      </c>
      <c r="D509" s="10">
        <v>4018.4</v>
      </c>
      <c r="E509" s="11">
        <v>573.11</v>
      </c>
      <c r="F509" s="12">
        <v>3741.1</v>
      </c>
      <c r="G509" s="11">
        <v>573.11</v>
      </c>
      <c r="H509" s="12">
        <v>3768.6</v>
      </c>
      <c r="I509" s="11">
        <v>573.11</v>
      </c>
      <c r="J509" s="12">
        <v>3777.3</v>
      </c>
      <c r="K509" s="11">
        <v>573.11</v>
      </c>
      <c r="L509" s="12">
        <v>3788.3</v>
      </c>
      <c r="M509" s="11">
        <v>573.11</v>
      </c>
      <c r="N509" s="13">
        <v>3730.3</v>
      </c>
      <c r="O509" s="13">
        <v>4018.4</v>
      </c>
      <c r="P509" s="13">
        <v>3741.1</v>
      </c>
      <c r="Q509" s="11">
        <v>3768.6</v>
      </c>
      <c r="R509" s="11">
        <v>3777.3</v>
      </c>
      <c r="S509" s="14">
        <v>3788.3</v>
      </c>
      <c r="T509" s="11">
        <v>573.11</v>
      </c>
      <c r="U509" s="13">
        <f>IF('0.0%'!$N509&lt;$Z$3,0, '0.0%'!$O509/'0.0%'!$N509)</f>
        <v>1.077232394177412</v>
      </c>
      <c r="V509" s="13">
        <f>IF('0.0%'!$N509&lt;$Z$3,0, '0.0%'!$P509/'0.0%'!$N509)</f>
        <v>1.0028952095005763</v>
      </c>
      <c r="W509" s="13">
        <f>IF('0.0%'!$N509&lt;$Z$3,0, '0.0%'!$Q509/'0.0%'!$N509)</f>
        <v>1.0102672707288958</v>
      </c>
      <c r="X509" s="13">
        <f>IF('0.0%'!$N509&lt;$Z$3,0, '0.0%'!$R509/'0.0%'!$N509)</f>
        <v>1.0125995228265823</v>
      </c>
      <c r="Y509" s="13">
        <f>IF('0.0%'!$N509&lt;$Z$3,0, '0.0%'!$S509/'0.0%'!$N509)</f>
        <v>1.0155483473179101</v>
      </c>
    </row>
    <row r="510" spans="1:25" x14ac:dyDescent="0.3">
      <c r="A510" s="17">
        <v>574.1</v>
      </c>
      <c r="B510" s="10">
        <v>3743.5</v>
      </c>
      <c r="C510" s="9">
        <v>574.1</v>
      </c>
      <c r="D510" s="10">
        <v>4029.5</v>
      </c>
      <c r="E510" s="11">
        <v>574.1</v>
      </c>
      <c r="F510" s="12">
        <v>3755.2</v>
      </c>
      <c r="G510" s="11">
        <v>574.1</v>
      </c>
      <c r="H510" s="12">
        <v>3780.2</v>
      </c>
      <c r="I510" s="11">
        <v>574.1</v>
      </c>
      <c r="J510" s="12">
        <v>3790.9</v>
      </c>
      <c r="K510" s="11">
        <v>574.1</v>
      </c>
      <c r="L510" s="12">
        <v>3799.1</v>
      </c>
      <c r="M510" s="11">
        <v>574.1</v>
      </c>
      <c r="N510" s="13">
        <v>3743.5</v>
      </c>
      <c r="O510" s="13">
        <v>4029.5</v>
      </c>
      <c r="P510" s="13">
        <v>3755.2</v>
      </c>
      <c r="Q510" s="11">
        <v>3780.2</v>
      </c>
      <c r="R510" s="11">
        <v>3790.9</v>
      </c>
      <c r="S510" s="14">
        <v>3799.1</v>
      </c>
      <c r="T510" s="11">
        <v>574.1</v>
      </c>
      <c r="U510" s="13">
        <f>IF('0.0%'!$N510&lt;$Z$3,0, '0.0%'!$O510/'0.0%'!$N510)</f>
        <v>1.0763990917590489</v>
      </c>
      <c r="V510" s="13">
        <f>IF('0.0%'!$N510&lt;$Z$3,0, '0.0%'!$P510/'0.0%'!$N510)</f>
        <v>1.0031254173901429</v>
      </c>
      <c r="W510" s="13">
        <f>IF('0.0%'!$N510&lt;$Z$3,0, '0.0%'!$Q510/'0.0%'!$N510)</f>
        <v>1.009803659676773</v>
      </c>
      <c r="X510" s="13">
        <f>IF('0.0%'!$N510&lt;$Z$3,0, '0.0%'!$R510/'0.0%'!$N510)</f>
        <v>1.0126619473754508</v>
      </c>
      <c r="Y510" s="13">
        <f>IF('0.0%'!$N510&lt;$Z$3,0, '0.0%'!$S510/'0.0%'!$N510)</f>
        <v>1.0148524108454655</v>
      </c>
    </row>
    <row r="511" spans="1:25" x14ac:dyDescent="0.3">
      <c r="A511" s="17">
        <v>575.09</v>
      </c>
      <c r="B511" s="10">
        <v>3759.7</v>
      </c>
      <c r="C511" s="9">
        <v>575.09</v>
      </c>
      <c r="D511" s="10">
        <v>4042.3</v>
      </c>
      <c r="E511" s="11">
        <v>575.09</v>
      </c>
      <c r="F511" s="12">
        <v>3772.2</v>
      </c>
      <c r="G511" s="11">
        <v>575.09</v>
      </c>
      <c r="H511" s="12">
        <v>3794.6</v>
      </c>
      <c r="I511" s="11">
        <v>575.09</v>
      </c>
      <c r="J511" s="12">
        <v>3806.9</v>
      </c>
      <c r="K511" s="11">
        <v>575.09</v>
      </c>
      <c r="L511" s="12">
        <v>3812.4</v>
      </c>
      <c r="M511" s="11">
        <v>575.09</v>
      </c>
      <c r="N511" s="13">
        <v>3759.7</v>
      </c>
      <c r="O511" s="13">
        <v>4042.3</v>
      </c>
      <c r="P511" s="13">
        <v>3772.2</v>
      </c>
      <c r="Q511" s="11">
        <v>3794.6</v>
      </c>
      <c r="R511" s="11">
        <v>3806.9</v>
      </c>
      <c r="S511" s="14">
        <v>3812.4</v>
      </c>
      <c r="T511" s="11">
        <v>575.09</v>
      </c>
      <c r="U511" s="13">
        <f>IF('0.0%'!$N511&lt;$Z$3,0, '0.0%'!$O511/'0.0%'!$N511)</f>
        <v>1.0751655717211481</v>
      </c>
      <c r="V511" s="13">
        <f>IF('0.0%'!$N511&lt;$Z$3,0, '0.0%'!$P511/'0.0%'!$N511)</f>
        <v>1.0033247333563848</v>
      </c>
      <c r="W511" s="13">
        <f>IF('0.0%'!$N511&lt;$Z$3,0, '0.0%'!$Q511/'0.0%'!$N511)</f>
        <v>1.0092826555310264</v>
      </c>
      <c r="X511" s="13">
        <f>IF('0.0%'!$N511&lt;$Z$3,0, '0.0%'!$R511/'0.0%'!$N511)</f>
        <v>1.0125541931537092</v>
      </c>
      <c r="Y511" s="13">
        <f>IF('0.0%'!$N511&lt;$Z$3,0, '0.0%'!$S511/'0.0%'!$N511)</f>
        <v>1.0140170758305185</v>
      </c>
    </row>
    <row r="512" spans="1:25" x14ac:dyDescent="0.3">
      <c r="A512" s="17">
        <v>576.08000000000004</v>
      </c>
      <c r="B512" s="10">
        <v>3777.6</v>
      </c>
      <c r="C512" s="9">
        <v>576.08000000000004</v>
      </c>
      <c r="D512" s="10">
        <v>4056.5</v>
      </c>
      <c r="E512" s="11">
        <v>576.08000000000004</v>
      </c>
      <c r="F512" s="12">
        <v>3791.3</v>
      </c>
      <c r="G512" s="11">
        <v>576.08000000000004</v>
      </c>
      <c r="H512" s="12">
        <v>3811.1</v>
      </c>
      <c r="I512" s="11">
        <v>576.08000000000004</v>
      </c>
      <c r="J512" s="12">
        <v>3824.1</v>
      </c>
      <c r="K512" s="11">
        <v>576.08000000000004</v>
      </c>
      <c r="L512" s="12">
        <v>3827</v>
      </c>
      <c r="M512" s="11">
        <v>576.08000000000004</v>
      </c>
      <c r="N512" s="13">
        <v>3777.6</v>
      </c>
      <c r="O512" s="13">
        <v>4056.5</v>
      </c>
      <c r="P512" s="13">
        <v>3791.3</v>
      </c>
      <c r="Q512" s="11">
        <v>3811.1</v>
      </c>
      <c r="R512" s="11">
        <v>3824.1</v>
      </c>
      <c r="S512" s="14">
        <v>3827</v>
      </c>
      <c r="T512" s="11">
        <v>576.08000000000004</v>
      </c>
      <c r="U512" s="13">
        <f>IF('0.0%'!$N512&lt;$Z$3,0, '0.0%'!$O512/'0.0%'!$N512)</f>
        <v>1.0738299449385853</v>
      </c>
      <c r="V512" s="13">
        <f>IF('0.0%'!$N512&lt;$Z$3,0, '0.0%'!$P512/'0.0%'!$N512)</f>
        <v>1.003626641253706</v>
      </c>
      <c r="W512" s="13">
        <f>IF('0.0%'!$N512&lt;$Z$3,0, '0.0%'!$Q512/'0.0%'!$N512)</f>
        <v>1.0088680643795003</v>
      </c>
      <c r="X512" s="13">
        <f>IF('0.0%'!$N512&lt;$Z$3,0, '0.0%'!$R512/'0.0%'!$N512)</f>
        <v>1.0123094027954256</v>
      </c>
      <c r="Y512" s="13">
        <f>IF('0.0%'!$N512&lt;$Z$3,0, '0.0%'!$S512/'0.0%'!$N512)</f>
        <v>1.0130770859805167</v>
      </c>
    </row>
    <row r="513" spans="1:25" x14ac:dyDescent="0.3">
      <c r="A513" s="17">
        <v>577.07000000000005</v>
      </c>
      <c r="B513" s="10">
        <v>3799.1</v>
      </c>
      <c r="C513" s="9">
        <v>577.07000000000005</v>
      </c>
      <c r="D513" s="10">
        <v>4072.9</v>
      </c>
      <c r="E513" s="11">
        <v>577.07000000000005</v>
      </c>
      <c r="F513" s="12">
        <v>3814.2</v>
      </c>
      <c r="G513" s="11">
        <v>577.07000000000005</v>
      </c>
      <c r="H513" s="12">
        <v>3831.2</v>
      </c>
      <c r="I513" s="11">
        <v>577.07000000000005</v>
      </c>
      <c r="J513" s="12">
        <v>3844.3</v>
      </c>
      <c r="K513" s="11">
        <v>577.07000000000005</v>
      </c>
      <c r="L513" s="12">
        <v>3845</v>
      </c>
      <c r="M513" s="11">
        <v>577.07000000000005</v>
      </c>
      <c r="N513" s="13">
        <v>3799.1</v>
      </c>
      <c r="O513" s="13">
        <v>4072.9</v>
      </c>
      <c r="P513" s="13">
        <v>3814.2</v>
      </c>
      <c r="Q513" s="11">
        <v>3831.2</v>
      </c>
      <c r="R513" s="11">
        <v>3844.3</v>
      </c>
      <c r="S513" s="14">
        <v>3845</v>
      </c>
      <c r="T513" s="11">
        <v>577.07000000000005</v>
      </c>
      <c r="U513" s="13">
        <f>IF('0.0%'!$N513&lt;$Z$3,0, '0.0%'!$O513/'0.0%'!$N513)</f>
        <v>1.0720697007185913</v>
      </c>
      <c r="V513" s="13">
        <f>IF('0.0%'!$N513&lt;$Z$3,0, '0.0%'!$P513/'0.0%'!$N513)</f>
        <v>1.0039746255692137</v>
      </c>
      <c r="W513" s="13">
        <f>IF('0.0%'!$N513&lt;$Z$3,0, '0.0%'!$Q513/'0.0%'!$N513)</f>
        <v>1.0084493695875338</v>
      </c>
      <c r="X513" s="13">
        <f>IF('0.0%'!$N513&lt;$Z$3,0, '0.0%'!$R513/'0.0%'!$N513)</f>
        <v>1.0118975546840041</v>
      </c>
      <c r="Y513" s="13">
        <f>IF('0.0%'!$N513&lt;$Z$3,0, '0.0%'!$S513/'0.0%'!$N513)</f>
        <v>1.0120818088494643</v>
      </c>
    </row>
    <row r="514" spans="1:25" x14ac:dyDescent="0.3">
      <c r="A514" s="17">
        <v>578.05999999999995</v>
      </c>
      <c r="B514" s="10">
        <v>3820.8</v>
      </c>
      <c r="C514" s="9">
        <v>578.05999999999995</v>
      </c>
      <c r="D514" s="10">
        <v>4089.6</v>
      </c>
      <c r="E514" s="11">
        <v>578.05999999999995</v>
      </c>
      <c r="F514" s="12">
        <v>3837</v>
      </c>
      <c r="G514" s="11">
        <v>578.05999999999995</v>
      </c>
      <c r="H514" s="12">
        <v>3851.6</v>
      </c>
      <c r="I514" s="11">
        <v>578.05999999999995</v>
      </c>
      <c r="J514" s="12">
        <v>3864.3</v>
      </c>
      <c r="K514" s="11">
        <v>578.05999999999995</v>
      </c>
      <c r="L514" s="12">
        <v>3862.8</v>
      </c>
      <c r="M514" s="11">
        <v>578.05999999999995</v>
      </c>
      <c r="N514" s="13">
        <v>3820.8</v>
      </c>
      <c r="O514" s="13">
        <v>4089.6</v>
      </c>
      <c r="P514" s="13">
        <v>3837</v>
      </c>
      <c r="Q514" s="11">
        <v>3851.6</v>
      </c>
      <c r="R514" s="11">
        <v>3864.3</v>
      </c>
      <c r="S514" s="14">
        <v>3862.8</v>
      </c>
      <c r="T514" s="11">
        <v>578.05999999999995</v>
      </c>
      <c r="U514" s="13">
        <f>IF('0.0%'!$N514&lt;$Z$3,0, '0.0%'!$O514/'0.0%'!$N514)</f>
        <v>1.0703517587939697</v>
      </c>
      <c r="V514" s="13">
        <f>IF('0.0%'!$N514&lt;$Z$3,0, '0.0%'!$P514/'0.0%'!$N514)</f>
        <v>1.0042399497487438</v>
      </c>
      <c r="W514" s="13">
        <f>IF('0.0%'!$N514&lt;$Z$3,0, '0.0%'!$Q514/'0.0%'!$N514)</f>
        <v>1.0080611390284757</v>
      </c>
      <c r="X514" s="13">
        <f>IF('0.0%'!$N514&lt;$Z$3,0, '0.0%'!$R514/'0.0%'!$N514)</f>
        <v>1.0113850502512562</v>
      </c>
      <c r="Y514" s="13">
        <f>IF('0.0%'!$N514&lt;$Z$3,0, '0.0%'!$S514/'0.0%'!$N514)</f>
        <v>1.0109924623115578</v>
      </c>
    </row>
    <row r="515" spans="1:25" x14ac:dyDescent="0.3">
      <c r="A515" s="17">
        <v>579.05999999999995</v>
      </c>
      <c r="B515" s="10">
        <v>3844</v>
      </c>
      <c r="C515" s="9">
        <v>579.05999999999995</v>
      </c>
      <c r="D515" s="10">
        <v>4107.7</v>
      </c>
      <c r="E515" s="11">
        <v>579.05999999999995</v>
      </c>
      <c r="F515" s="12">
        <v>3861.3</v>
      </c>
      <c r="G515" s="11">
        <v>579.05999999999995</v>
      </c>
      <c r="H515" s="12">
        <v>3873.7</v>
      </c>
      <c r="I515" s="11">
        <v>579.05999999999995</v>
      </c>
      <c r="J515" s="12">
        <v>3886</v>
      </c>
      <c r="K515" s="11">
        <v>579.05999999999995</v>
      </c>
      <c r="L515" s="12">
        <v>3882.3</v>
      </c>
      <c r="M515" s="11">
        <v>579.05999999999995</v>
      </c>
      <c r="N515" s="13">
        <v>3844</v>
      </c>
      <c r="O515" s="13">
        <v>4107.7</v>
      </c>
      <c r="P515" s="13">
        <v>3861.3</v>
      </c>
      <c r="Q515" s="11">
        <v>3873.7</v>
      </c>
      <c r="R515" s="11">
        <v>3886</v>
      </c>
      <c r="S515" s="14">
        <v>3882.3</v>
      </c>
      <c r="T515" s="11">
        <v>579.05999999999995</v>
      </c>
      <c r="U515" s="13">
        <f>IF('0.0%'!$N515&lt;$Z$3,0, '0.0%'!$O515/'0.0%'!$N515)</f>
        <v>1.0686004162330904</v>
      </c>
      <c r="V515" s="13">
        <f>IF('0.0%'!$N515&lt;$Z$3,0, '0.0%'!$P515/'0.0%'!$N515)</f>
        <v>1.0045005202913633</v>
      </c>
      <c r="W515" s="13">
        <f>IF('0.0%'!$N515&lt;$Z$3,0, '0.0%'!$Q515/'0.0%'!$N515)</f>
        <v>1.0077263267429759</v>
      </c>
      <c r="X515" s="13">
        <f>IF('0.0%'!$N515&lt;$Z$3,0, '0.0%'!$R515/'0.0%'!$N515)</f>
        <v>1.0109261186264309</v>
      </c>
      <c r="Y515" s="13">
        <f>IF('0.0%'!$N515&lt;$Z$3,0, '0.0%'!$S515/'0.0%'!$N515)</f>
        <v>1.0099635796045787</v>
      </c>
    </row>
    <row r="516" spans="1:25" x14ac:dyDescent="0.3">
      <c r="A516" s="17">
        <v>580.04999999999995</v>
      </c>
      <c r="B516" s="10">
        <v>3866.1</v>
      </c>
      <c r="C516" s="9">
        <v>580.04999999999995</v>
      </c>
      <c r="D516" s="10">
        <v>4124.8</v>
      </c>
      <c r="E516" s="11">
        <v>580.04999999999995</v>
      </c>
      <c r="F516" s="12">
        <v>3884.4</v>
      </c>
      <c r="G516" s="11">
        <v>580.04999999999995</v>
      </c>
      <c r="H516" s="12">
        <v>3894.8</v>
      </c>
      <c r="I516" s="11">
        <v>580.04999999999995</v>
      </c>
      <c r="J516" s="12">
        <v>3906.2</v>
      </c>
      <c r="K516" s="11">
        <v>580.04999999999995</v>
      </c>
      <c r="L516" s="12">
        <v>3901.1</v>
      </c>
      <c r="M516" s="11">
        <v>580.04999999999995</v>
      </c>
      <c r="N516" s="13">
        <v>3866.1</v>
      </c>
      <c r="O516" s="13">
        <v>4124.8</v>
      </c>
      <c r="P516" s="13">
        <v>3884.4</v>
      </c>
      <c r="Q516" s="11">
        <v>3894.8</v>
      </c>
      <c r="R516" s="11">
        <v>3906.2</v>
      </c>
      <c r="S516" s="14">
        <v>3901.1</v>
      </c>
      <c r="T516" s="11">
        <v>580.04999999999995</v>
      </c>
      <c r="U516" s="13">
        <f>IF('0.0%'!$N516&lt;$Z$3,0, '0.0%'!$O516/'0.0%'!$N516)</f>
        <v>1.0669149789193244</v>
      </c>
      <c r="V516" s="13">
        <f>IF('0.0%'!$N516&lt;$Z$3,0, '0.0%'!$P516/'0.0%'!$N516)</f>
        <v>1.0047334523162879</v>
      </c>
      <c r="W516" s="13">
        <f>IF('0.0%'!$N516&lt;$Z$3,0, '0.0%'!$Q516/'0.0%'!$N516)</f>
        <v>1.0074235017200797</v>
      </c>
      <c r="X516" s="13">
        <f>IF('0.0%'!$N516&lt;$Z$3,0, '0.0%'!$R516/'0.0%'!$N516)</f>
        <v>1.01037220972039</v>
      </c>
      <c r="Y516" s="13">
        <f>IF('0.0%'!$N516&lt;$Z$3,0, '0.0%'!$S516/'0.0%'!$N516)</f>
        <v>1.0090530508781459</v>
      </c>
    </row>
    <row r="517" spans="1:25" x14ac:dyDescent="0.3">
      <c r="A517" s="17">
        <v>581.04</v>
      </c>
      <c r="B517" s="10">
        <v>3884.5</v>
      </c>
      <c r="C517" s="9">
        <v>581.04</v>
      </c>
      <c r="D517" s="10">
        <v>4139.2</v>
      </c>
      <c r="E517" s="11">
        <v>581.04</v>
      </c>
      <c r="F517" s="12">
        <v>3903.6</v>
      </c>
      <c r="G517" s="11">
        <v>581.04</v>
      </c>
      <c r="H517" s="12">
        <v>3912.5</v>
      </c>
      <c r="I517" s="11">
        <v>581.04</v>
      </c>
      <c r="J517" s="12">
        <v>3923.1</v>
      </c>
      <c r="K517" s="11">
        <v>581.04</v>
      </c>
      <c r="L517" s="12">
        <v>3916.8</v>
      </c>
      <c r="M517" s="11">
        <v>581.04</v>
      </c>
      <c r="N517" s="13">
        <v>3884.5</v>
      </c>
      <c r="O517" s="13">
        <v>4139.2</v>
      </c>
      <c r="P517" s="13">
        <v>3903.6</v>
      </c>
      <c r="Q517" s="11">
        <v>3912.5</v>
      </c>
      <c r="R517" s="11">
        <v>3923.1</v>
      </c>
      <c r="S517" s="14">
        <v>3916.8</v>
      </c>
      <c r="T517" s="11">
        <v>581.04</v>
      </c>
      <c r="U517" s="13">
        <f>IF('0.0%'!$N517&lt;$Z$3,0, '0.0%'!$O517/'0.0%'!$N517)</f>
        <v>1.0655682842064615</v>
      </c>
      <c r="V517" s="13">
        <f>IF('0.0%'!$N517&lt;$Z$3,0, '0.0%'!$P517/'0.0%'!$N517)</f>
        <v>1.0049169777320117</v>
      </c>
      <c r="W517" s="13">
        <f>IF('0.0%'!$N517&lt;$Z$3,0, '0.0%'!$Q517/'0.0%'!$N517)</f>
        <v>1.0072081348950959</v>
      </c>
      <c r="X517" s="13">
        <f>IF('0.0%'!$N517&lt;$Z$3,0, '0.0%'!$R517/'0.0%'!$N517)</f>
        <v>1.0099369288196678</v>
      </c>
      <c r="Y517" s="13">
        <f>IF('0.0%'!$N517&lt;$Z$3,0, '0.0%'!$S517/'0.0%'!$N517)</f>
        <v>1.0083150984682714</v>
      </c>
    </row>
    <row r="518" spans="1:25" x14ac:dyDescent="0.3">
      <c r="A518" s="17">
        <v>582.03</v>
      </c>
      <c r="B518" s="10">
        <v>3907.6</v>
      </c>
      <c r="C518" s="9">
        <v>582.03</v>
      </c>
      <c r="D518" s="10">
        <v>4157.3</v>
      </c>
      <c r="E518" s="11">
        <v>582.03</v>
      </c>
      <c r="F518" s="12">
        <v>3927.3</v>
      </c>
      <c r="G518" s="11">
        <v>582.03</v>
      </c>
      <c r="H518" s="12">
        <v>3934.7</v>
      </c>
      <c r="I518" s="11">
        <v>582.03</v>
      </c>
      <c r="J518" s="12">
        <v>3944.1</v>
      </c>
      <c r="K518" s="11">
        <v>582.03</v>
      </c>
      <c r="L518" s="12">
        <v>3936.8</v>
      </c>
      <c r="M518" s="11">
        <v>582.03</v>
      </c>
      <c r="N518" s="13">
        <v>3907.6</v>
      </c>
      <c r="O518" s="13">
        <v>4157.3</v>
      </c>
      <c r="P518" s="13">
        <v>3927.3</v>
      </c>
      <c r="Q518" s="11">
        <v>3934.7</v>
      </c>
      <c r="R518" s="11">
        <v>3944.1</v>
      </c>
      <c r="S518" s="14">
        <v>3936.8</v>
      </c>
      <c r="T518" s="11">
        <v>582.03</v>
      </c>
      <c r="U518" s="13">
        <f>IF('0.0%'!$N518&lt;$Z$3,0, '0.0%'!$O518/'0.0%'!$N518)</f>
        <v>1.0639011157743885</v>
      </c>
      <c r="V518" s="13">
        <f>IF('0.0%'!$N518&lt;$Z$3,0, '0.0%'!$P518/'0.0%'!$N518)</f>
        <v>1.0050414576722286</v>
      </c>
      <c r="W518" s="13">
        <f>IF('0.0%'!$N518&lt;$Z$3,0, '0.0%'!$Q518/'0.0%'!$N518)</f>
        <v>1.0069352031937762</v>
      </c>
      <c r="X518" s="13">
        <f>IF('0.0%'!$N518&lt;$Z$3,0, '0.0%'!$R518/'0.0%'!$N518)</f>
        <v>1.0093407718292557</v>
      </c>
      <c r="Y518" s="13">
        <f>IF('0.0%'!$N518&lt;$Z$3,0, '0.0%'!$S518/'0.0%'!$N518)</f>
        <v>1.0074726174634048</v>
      </c>
    </row>
    <row r="519" spans="1:25" x14ac:dyDescent="0.3">
      <c r="A519" s="17">
        <v>583.02</v>
      </c>
      <c r="B519" s="10">
        <v>3928</v>
      </c>
      <c r="C519" s="9">
        <v>583.02</v>
      </c>
      <c r="D519" s="10">
        <v>4173.2</v>
      </c>
      <c r="E519" s="11">
        <v>583.02</v>
      </c>
      <c r="F519" s="12">
        <v>3948.5</v>
      </c>
      <c r="G519" s="11">
        <v>583.02</v>
      </c>
      <c r="H519" s="12">
        <v>3954.4</v>
      </c>
      <c r="I519" s="11">
        <v>583.02</v>
      </c>
      <c r="J519" s="12">
        <v>3962.6</v>
      </c>
      <c r="K519" s="11">
        <v>583.02</v>
      </c>
      <c r="L519" s="12">
        <v>3954.6</v>
      </c>
      <c r="M519" s="11">
        <v>583.02</v>
      </c>
      <c r="N519" s="13">
        <v>3928</v>
      </c>
      <c r="O519" s="13">
        <v>4173.2</v>
      </c>
      <c r="P519" s="13">
        <v>3948.5</v>
      </c>
      <c r="Q519" s="11">
        <v>3954.4</v>
      </c>
      <c r="R519" s="11">
        <v>3962.6</v>
      </c>
      <c r="S519" s="14">
        <v>3954.6</v>
      </c>
      <c r="T519" s="11">
        <v>583.02</v>
      </c>
      <c r="U519" s="13">
        <f>IF('0.0%'!$N519&lt;$Z$3,0, '0.0%'!$O519/'0.0%'!$N519)</f>
        <v>1.0624236252545824</v>
      </c>
      <c r="V519" s="13">
        <f>IF('0.0%'!$N519&lt;$Z$3,0, '0.0%'!$P519/'0.0%'!$N519)</f>
        <v>1.0052189409368635</v>
      </c>
      <c r="W519" s="13">
        <f>IF('0.0%'!$N519&lt;$Z$3,0, '0.0%'!$Q519/'0.0%'!$N519)</f>
        <v>1.0067209775967414</v>
      </c>
      <c r="X519" s="13">
        <f>IF('0.0%'!$N519&lt;$Z$3,0, '0.0%'!$R519/'0.0%'!$N519)</f>
        <v>1.0088085539714868</v>
      </c>
      <c r="Y519" s="13">
        <f>IF('0.0%'!$N519&lt;$Z$3,0, '0.0%'!$S519/'0.0%'!$N519)</f>
        <v>1.0067718940936863</v>
      </c>
    </row>
    <row r="520" spans="1:25" x14ac:dyDescent="0.3">
      <c r="A520" s="17">
        <v>584.01</v>
      </c>
      <c r="B520" s="10">
        <v>3947.7</v>
      </c>
      <c r="C520" s="9">
        <v>584.01</v>
      </c>
      <c r="D520" s="10">
        <v>4188.5</v>
      </c>
      <c r="E520" s="11">
        <v>584.01</v>
      </c>
      <c r="F520" s="12">
        <v>3968.8</v>
      </c>
      <c r="G520" s="11">
        <v>584.01</v>
      </c>
      <c r="H520" s="12">
        <v>3973.5</v>
      </c>
      <c r="I520" s="11">
        <v>584.01</v>
      </c>
      <c r="J520" s="12">
        <v>3980.2</v>
      </c>
      <c r="K520" s="11">
        <v>584.01</v>
      </c>
      <c r="L520" s="12">
        <v>3972</v>
      </c>
      <c r="M520" s="11">
        <v>584.01</v>
      </c>
      <c r="N520" s="13">
        <v>3947.7</v>
      </c>
      <c r="O520" s="13">
        <v>4188.5</v>
      </c>
      <c r="P520" s="13">
        <v>3968.8</v>
      </c>
      <c r="Q520" s="11">
        <v>3973.5</v>
      </c>
      <c r="R520" s="11">
        <v>3980.2</v>
      </c>
      <c r="S520" s="14">
        <v>3972</v>
      </c>
      <c r="T520" s="11">
        <v>584.01</v>
      </c>
      <c r="U520" s="13">
        <f>IF('0.0%'!$N520&lt;$Z$3,0, '0.0%'!$O520/'0.0%'!$N520)</f>
        <v>1.0609975428730654</v>
      </c>
      <c r="V520" s="13">
        <f>IF('0.0%'!$N520&lt;$Z$3,0, '0.0%'!$P520/'0.0%'!$N520)</f>
        <v>1.005344884363047</v>
      </c>
      <c r="W520" s="13">
        <f>IF('0.0%'!$N520&lt;$Z$3,0, '0.0%'!$Q520/'0.0%'!$N520)</f>
        <v>1.0065354510221143</v>
      </c>
      <c r="X520" s="13">
        <f>IF('0.0%'!$N520&lt;$Z$3,0, '0.0%'!$R520/'0.0%'!$N520)</f>
        <v>1.0082326417914229</v>
      </c>
      <c r="Y520" s="13">
        <f>IF('0.0%'!$N520&lt;$Z$3,0, '0.0%'!$S520/'0.0%'!$N520)</f>
        <v>1.0061554829394332</v>
      </c>
    </row>
    <row r="521" spans="1:25" x14ac:dyDescent="0.3">
      <c r="A521" s="17">
        <v>585.01</v>
      </c>
      <c r="B521" s="10">
        <v>3964.4</v>
      </c>
      <c r="C521" s="9">
        <v>585.01</v>
      </c>
      <c r="D521" s="10">
        <v>4201.6000000000004</v>
      </c>
      <c r="E521" s="11">
        <v>585.01</v>
      </c>
      <c r="F521" s="12">
        <v>3986</v>
      </c>
      <c r="G521" s="11">
        <v>585.01</v>
      </c>
      <c r="H521" s="12">
        <v>3990.1</v>
      </c>
      <c r="I521" s="11">
        <v>585.01</v>
      </c>
      <c r="J521" s="12">
        <v>3995</v>
      </c>
      <c r="K521" s="11">
        <v>585.01</v>
      </c>
      <c r="L521" s="12">
        <v>3986.9</v>
      </c>
      <c r="M521" s="11">
        <v>585.01</v>
      </c>
      <c r="N521" s="13">
        <v>3964.4</v>
      </c>
      <c r="O521" s="13">
        <v>4201.6000000000004</v>
      </c>
      <c r="P521" s="13">
        <v>3986</v>
      </c>
      <c r="Q521" s="11">
        <v>3990.1</v>
      </c>
      <c r="R521" s="11">
        <v>3995</v>
      </c>
      <c r="S521" s="14">
        <v>3986.9</v>
      </c>
      <c r="T521" s="11">
        <v>585.01</v>
      </c>
      <c r="U521" s="13">
        <f>IF('0.0%'!$N521&lt;$Z$3,0, '0.0%'!$O521/'0.0%'!$N521)</f>
        <v>1.0598325093330643</v>
      </c>
      <c r="V521" s="13">
        <f>IF('0.0%'!$N521&lt;$Z$3,0, '0.0%'!$P521/'0.0%'!$N521)</f>
        <v>1.0054484915750177</v>
      </c>
      <c r="W521" s="13">
        <f>IF('0.0%'!$N521&lt;$Z$3,0, '0.0%'!$Q521/'0.0%'!$N521)</f>
        <v>1.0064826959943496</v>
      </c>
      <c r="X521" s="13">
        <f>IF('0.0%'!$N521&lt;$Z$3,0, '0.0%'!$R521/'0.0%'!$N521)</f>
        <v>1.0077186963979416</v>
      </c>
      <c r="Y521" s="13">
        <f>IF('0.0%'!$N521&lt;$Z$3,0, '0.0%'!$S521/'0.0%'!$N521)</f>
        <v>1.00567551205731</v>
      </c>
    </row>
    <row r="522" spans="1:25" x14ac:dyDescent="0.3">
      <c r="A522" s="17">
        <v>586</v>
      </c>
      <c r="B522" s="10">
        <v>3979.6</v>
      </c>
      <c r="C522" s="9">
        <v>586</v>
      </c>
      <c r="D522" s="10">
        <v>4213.8999999999996</v>
      </c>
      <c r="E522" s="11">
        <v>586</v>
      </c>
      <c r="F522" s="12">
        <v>4001.7</v>
      </c>
      <c r="G522" s="11">
        <v>586</v>
      </c>
      <c r="H522" s="12">
        <v>4005.3</v>
      </c>
      <c r="I522" s="11">
        <v>586</v>
      </c>
      <c r="J522" s="12">
        <v>4008.9</v>
      </c>
      <c r="K522" s="11">
        <v>586</v>
      </c>
      <c r="L522" s="12">
        <v>4000.6</v>
      </c>
      <c r="M522" s="11">
        <v>586</v>
      </c>
      <c r="N522" s="13">
        <v>3979.6</v>
      </c>
      <c r="O522" s="13">
        <v>4213.8999999999996</v>
      </c>
      <c r="P522" s="13">
        <v>4001.7</v>
      </c>
      <c r="Q522" s="11">
        <v>4005.3</v>
      </c>
      <c r="R522" s="11">
        <v>4008.9</v>
      </c>
      <c r="S522" s="14">
        <v>4000.6</v>
      </c>
      <c r="T522" s="11">
        <v>586</v>
      </c>
      <c r="U522" s="13">
        <f>IF('0.0%'!$N522&lt;$Z$3,0, '0.0%'!$O522/'0.0%'!$N522)</f>
        <v>1.0588752638456125</v>
      </c>
      <c r="V522" s="13">
        <f>IF('0.0%'!$N522&lt;$Z$3,0, '0.0%'!$P522/'0.0%'!$N522)</f>
        <v>1.0055533219419037</v>
      </c>
      <c r="W522" s="13">
        <f>IF('0.0%'!$N522&lt;$Z$3,0, '0.0%'!$Q522/'0.0%'!$N522)</f>
        <v>1.0064579354709016</v>
      </c>
      <c r="X522" s="13">
        <f>IF('0.0%'!$N522&lt;$Z$3,0, '0.0%'!$R522/'0.0%'!$N522)</f>
        <v>1.0073625489998996</v>
      </c>
      <c r="Y522" s="13">
        <f>IF('0.0%'!$N522&lt;$Z$3,0, '0.0%'!$S522/'0.0%'!$N522)</f>
        <v>1.0052769122524876</v>
      </c>
    </row>
    <row r="523" spans="1:25" x14ac:dyDescent="0.3">
      <c r="A523" s="17">
        <v>586.99</v>
      </c>
      <c r="B523" s="10">
        <v>3991.8</v>
      </c>
      <c r="C523" s="9">
        <v>586.99</v>
      </c>
      <c r="D523" s="10">
        <v>4223.6000000000004</v>
      </c>
      <c r="E523" s="11">
        <v>586.99</v>
      </c>
      <c r="F523" s="12">
        <v>4014.1</v>
      </c>
      <c r="G523" s="11">
        <v>586.99</v>
      </c>
      <c r="H523" s="12">
        <v>4017.5</v>
      </c>
      <c r="I523" s="11">
        <v>586.99</v>
      </c>
      <c r="J523" s="12">
        <v>4019.8</v>
      </c>
      <c r="K523" s="11">
        <v>586.99</v>
      </c>
      <c r="L523" s="12">
        <v>4011.7</v>
      </c>
      <c r="M523" s="11">
        <v>586.99</v>
      </c>
      <c r="N523" s="13">
        <v>3991.8</v>
      </c>
      <c r="O523" s="13">
        <v>4223.6000000000004</v>
      </c>
      <c r="P523" s="13">
        <v>4014.1</v>
      </c>
      <c r="Q523" s="11">
        <v>4017.5</v>
      </c>
      <c r="R523" s="11">
        <v>4019.8</v>
      </c>
      <c r="S523" s="14">
        <v>4011.7</v>
      </c>
      <c r="T523" s="11">
        <v>586.99</v>
      </c>
      <c r="U523" s="13">
        <f>IF('0.0%'!$N523&lt;$Z$3,0, '0.0%'!$O523/'0.0%'!$N523)</f>
        <v>1.058069041535147</v>
      </c>
      <c r="V523" s="13">
        <f>IF('0.0%'!$N523&lt;$Z$3,0, '0.0%'!$P523/'0.0%'!$N523)</f>
        <v>1.0055864522270654</v>
      </c>
      <c r="W523" s="13">
        <f>IF('0.0%'!$N523&lt;$Z$3,0, '0.0%'!$Q523/'0.0%'!$N523)</f>
        <v>1.0064381983065283</v>
      </c>
      <c r="X523" s="13">
        <f>IF('0.0%'!$N523&lt;$Z$3,0, '0.0%'!$R523/'0.0%'!$N523)</f>
        <v>1.0070143794779298</v>
      </c>
      <c r="Y523" s="13">
        <f>IF('0.0%'!$N523&lt;$Z$3,0, '0.0%'!$S523/'0.0%'!$N523)</f>
        <v>1.0049852197003857</v>
      </c>
    </row>
    <row r="524" spans="1:25" x14ac:dyDescent="0.3">
      <c r="A524" s="17">
        <v>587.98</v>
      </c>
      <c r="B524" s="10">
        <v>4001.9</v>
      </c>
      <c r="C524" s="9">
        <v>587.98</v>
      </c>
      <c r="D524" s="10">
        <v>4231.8999999999996</v>
      </c>
      <c r="E524" s="11">
        <v>587.98</v>
      </c>
      <c r="F524" s="12">
        <v>4024.3</v>
      </c>
      <c r="G524" s="11">
        <v>587.98</v>
      </c>
      <c r="H524" s="12">
        <v>4027.7</v>
      </c>
      <c r="I524" s="11">
        <v>587.98</v>
      </c>
      <c r="J524" s="12">
        <v>4028.9</v>
      </c>
      <c r="K524" s="11">
        <v>587.98</v>
      </c>
      <c r="L524" s="12">
        <v>4020.8</v>
      </c>
      <c r="M524" s="11">
        <v>587.98</v>
      </c>
      <c r="N524" s="13">
        <v>4001.9</v>
      </c>
      <c r="O524" s="13">
        <v>4231.8999999999996</v>
      </c>
      <c r="P524" s="13">
        <v>4024.3</v>
      </c>
      <c r="Q524" s="11">
        <v>4027.7</v>
      </c>
      <c r="R524" s="11">
        <v>4028.9</v>
      </c>
      <c r="S524" s="14">
        <v>4020.8</v>
      </c>
      <c r="T524" s="11">
        <v>587.98</v>
      </c>
      <c r="U524" s="13">
        <f>IF('0.0%'!$N524&lt;$Z$3,0, '0.0%'!$O524/'0.0%'!$N524)</f>
        <v>1.0574727004672779</v>
      </c>
      <c r="V524" s="13">
        <f>IF('0.0%'!$N524&lt;$Z$3,0, '0.0%'!$P524/'0.0%'!$N524)</f>
        <v>1.0055973412629002</v>
      </c>
      <c r="W524" s="13">
        <f>IF('0.0%'!$N524&lt;$Z$3,0, '0.0%'!$Q524/'0.0%'!$N524)</f>
        <v>1.0064469377045901</v>
      </c>
      <c r="X524" s="13">
        <f>IF('0.0%'!$N524&lt;$Z$3,0, '0.0%'!$R524/'0.0%'!$N524)</f>
        <v>1.0067467952722458</v>
      </c>
      <c r="Y524" s="13">
        <f>IF('0.0%'!$N524&lt;$Z$3,0, '0.0%'!$S524/'0.0%'!$N524)</f>
        <v>1.0047227566905721</v>
      </c>
    </row>
    <row r="525" spans="1:25" x14ac:dyDescent="0.3">
      <c r="A525" s="17">
        <v>588.97</v>
      </c>
      <c r="B525" s="10">
        <v>4008.3</v>
      </c>
      <c r="C525" s="9">
        <v>588.97</v>
      </c>
      <c r="D525" s="10">
        <v>4237.3999999999996</v>
      </c>
      <c r="E525" s="11">
        <v>588.97</v>
      </c>
      <c r="F525" s="12">
        <v>4030.7</v>
      </c>
      <c r="G525" s="11">
        <v>588.97</v>
      </c>
      <c r="H525" s="12">
        <v>4034.3</v>
      </c>
      <c r="I525" s="11">
        <v>588.97</v>
      </c>
      <c r="J525" s="12">
        <v>4034.5</v>
      </c>
      <c r="K525" s="11">
        <v>588.97</v>
      </c>
      <c r="L525" s="12">
        <v>4026.6</v>
      </c>
      <c r="M525" s="11">
        <v>588.97</v>
      </c>
      <c r="N525" s="13">
        <v>4008.3</v>
      </c>
      <c r="O525" s="13">
        <v>4237.3999999999996</v>
      </c>
      <c r="P525" s="13">
        <v>4030.7</v>
      </c>
      <c r="Q525" s="11">
        <v>4034.3</v>
      </c>
      <c r="R525" s="11">
        <v>4034.5</v>
      </c>
      <c r="S525" s="14">
        <v>4026.6</v>
      </c>
      <c r="T525" s="11">
        <v>588.97</v>
      </c>
      <c r="U525" s="13">
        <f>IF('0.0%'!$N525&lt;$Z$3,0, '0.0%'!$O525/'0.0%'!$N525)</f>
        <v>1.0571564004690266</v>
      </c>
      <c r="V525" s="13">
        <f>IF('0.0%'!$N525&lt;$Z$3,0, '0.0%'!$P525/'0.0%'!$N525)</f>
        <v>1.0055884040615721</v>
      </c>
      <c r="W525" s="13">
        <f>IF('0.0%'!$N525&lt;$Z$3,0, '0.0%'!$Q525/'0.0%'!$N525)</f>
        <v>1.0064865404286107</v>
      </c>
      <c r="X525" s="13">
        <f>IF('0.0%'!$N525&lt;$Z$3,0, '0.0%'!$R525/'0.0%'!$N525)</f>
        <v>1.006536436893446</v>
      </c>
      <c r="Y525" s="13">
        <f>IF('0.0%'!$N525&lt;$Z$3,0, '0.0%'!$S525/'0.0%'!$N525)</f>
        <v>1.0045655265324451</v>
      </c>
    </row>
    <row r="526" spans="1:25" x14ac:dyDescent="0.3">
      <c r="A526" s="17">
        <v>589.97</v>
      </c>
      <c r="B526" s="10">
        <v>4012.3</v>
      </c>
      <c r="C526" s="9">
        <v>589.97</v>
      </c>
      <c r="D526" s="10">
        <v>4241.1000000000004</v>
      </c>
      <c r="E526" s="11">
        <v>589.97</v>
      </c>
      <c r="F526" s="12">
        <v>4034.5</v>
      </c>
      <c r="G526" s="11">
        <v>589.97</v>
      </c>
      <c r="H526" s="12">
        <v>4038.4</v>
      </c>
      <c r="I526" s="11">
        <v>589.97</v>
      </c>
      <c r="J526" s="12">
        <v>4037.7</v>
      </c>
      <c r="K526" s="11">
        <v>589.97</v>
      </c>
      <c r="L526" s="12">
        <v>4029.6</v>
      </c>
      <c r="M526" s="11">
        <v>589.97</v>
      </c>
      <c r="N526" s="13">
        <v>4012.3</v>
      </c>
      <c r="O526" s="13">
        <v>4241.1000000000004</v>
      </c>
      <c r="P526" s="13">
        <v>4034.5</v>
      </c>
      <c r="Q526" s="11">
        <v>4038.4</v>
      </c>
      <c r="R526" s="11">
        <v>4037.7</v>
      </c>
      <c r="S526" s="14">
        <v>4029.6</v>
      </c>
      <c r="T526" s="11">
        <v>589.97</v>
      </c>
      <c r="U526" s="13">
        <f>IF('0.0%'!$N526&lt;$Z$3,0, '0.0%'!$O526/'0.0%'!$N526)</f>
        <v>1.0570246492036988</v>
      </c>
      <c r="V526" s="13">
        <f>IF('0.0%'!$N526&lt;$Z$3,0, '0.0%'!$P526/'0.0%'!$N526)</f>
        <v>1.0055329860678413</v>
      </c>
      <c r="W526" s="13">
        <f>IF('0.0%'!$N526&lt;$Z$3,0, '0.0%'!$Q526/'0.0%'!$N526)</f>
        <v>1.0065049971338136</v>
      </c>
      <c r="X526" s="13">
        <f>IF('0.0%'!$N526&lt;$Z$3,0, '0.0%'!$R526/'0.0%'!$N526)</f>
        <v>1.0063305336091517</v>
      </c>
      <c r="Y526" s="13">
        <f>IF('0.0%'!$N526&lt;$Z$3,0, '0.0%'!$S526/'0.0%'!$N526)</f>
        <v>1.0043117413952096</v>
      </c>
    </row>
    <row r="527" spans="1:25" x14ac:dyDescent="0.3">
      <c r="A527" s="17">
        <v>590.96</v>
      </c>
      <c r="B527" s="10">
        <v>4013</v>
      </c>
      <c r="C527" s="9">
        <v>590.96</v>
      </c>
      <c r="D527" s="10">
        <v>4242</v>
      </c>
      <c r="E527" s="11">
        <v>590.96</v>
      </c>
      <c r="F527" s="12">
        <v>4034.8</v>
      </c>
      <c r="G527" s="11">
        <v>590.96</v>
      </c>
      <c r="H527" s="12">
        <v>4039</v>
      </c>
      <c r="I527" s="11">
        <v>590.96</v>
      </c>
      <c r="J527" s="12">
        <v>4038</v>
      </c>
      <c r="K527" s="11">
        <v>590.96</v>
      </c>
      <c r="L527" s="12">
        <v>4029.5</v>
      </c>
      <c r="M527" s="11">
        <v>590.96</v>
      </c>
      <c r="N527" s="13">
        <v>4013</v>
      </c>
      <c r="O527" s="13">
        <v>4242</v>
      </c>
      <c r="P527" s="13">
        <v>4034.8</v>
      </c>
      <c r="Q527" s="11">
        <v>4039</v>
      </c>
      <c r="R527" s="11">
        <v>4038</v>
      </c>
      <c r="S527" s="14">
        <v>4029.5</v>
      </c>
      <c r="T527" s="11">
        <v>590.96</v>
      </c>
      <c r="U527" s="13">
        <f>IF('0.0%'!$N527&lt;$Z$3,0, '0.0%'!$O527/'0.0%'!$N527)</f>
        <v>1.0570645402442063</v>
      </c>
      <c r="V527" s="13">
        <f>IF('0.0%'!$N527&lt;$Z$3,0, '0.0%'!$P527/'0.0%'!$N527)</f>
        <v>1.0054323448791429</v>
      </c>
      <c r="W527" s="13">
        <f>IF('0.0%'!$N527&lt;$Z$3,0, '0.0%'!$Q527/'0.0%'!$N527)</f>
        <v>1.0064789434338399</v>
      </c>
      <c r="X527" s="13">
        <f>IF('0.0%'!$N527&lt;$Z$3,0, '0.0%'!$R527/'0.0%'!$N527)</f>
        <v>1.0062297533017692</v>
      </c>
      <c r="Y527" s="13">
        <f>IF('0.0%'!$N527&lt;$Z$3,0, '0.0%'!$S527/'0.0%'!$N527)</f>
        <v>1.0041116371791676</v>
      </c>
    </row>
    <row r="528" spans="1:25" x14ac:dyDescent="0.3">
      <c r="A528" s="17">
        <v>591.95000000000005</v>
      </c>
      <c r="B528" s="10">
        <v>4011.5</v>
      </c>
      <c r="C528" s="9">
        <v>591.95000000000005</v>
      </c>
      <c r="D528" s="10">
        <v>4241.3999999999996</v>
      </c>
      <c r="E528" s="11">
        <v>591.95000000000005</v>
      </c>
      <c r="F528" s="12">
        <v>4032.5</v>
      </c>
      <c r="G528" s="11">
        <v>591.95000000000005</v>
      </c>
      <c r="H528" s="12">
        <v>4037.5</v>
      </c>
      <c r="I528" s="11">
        <v>591.95000000000005</v>
      </c>
      <c r="J528" s="12">
        <v>4036.3</v>
      </c>
      <c r="K528" s="11">
        <v>591.95000000000005</v>
      </c>
      <c r="L528" s="12">
        <v>4027.2</v>
      </c>
      <c r="M528" s="11">
        <v>591.95000000000005</v>
      </c>
      <c r="N528" s="13">
        <v>4011.5</v>
      </c>
      <c r="O528" s="13">
        <v>4241.3999999999996</v>
      </c>
      <c r="P528" s="13">
        <v>4032.5</v>
      </c>
      <c r="Q528" s="11">
        <v>4037.5</v>
      </c>
      <c r="R528" s="11">
        <v>4036.3</v>
      </c>
      <c r="S528" s="14">
        <v>4027.2</v>
      </c>
      <c r="T528" s="11">
        <v>591.95000000000005</v>
      </c>
      <c r="U528" s="13">
        <f>IF('0.0%'!$N528&lt;$Z$3,0, '0.0%'!$O528/'0.0%'!$N528)</f>
        <v>1.0573102330798951</v>
      </c>
      <c r="V528" s="13">
        <f>IF('0.0%'!$N528&lt;$Z$3,0, '0.0%'!$P528/'0.0%'!$N528)</f>
        <v>1.0052349495201296</v>
      </c>
      <c r="W528" s="13">
        <f>IF('0.0%'!$N528&lt;$Z$3,0, '0.0%'!$Q528/'0.0%'!$N528)</f>
        <v>1.0064813660725414</v>
      </c>
      <c r="X528" s="13">
        <f>IF('0.0%'!$N528&lt;$Z$3,0, '0.0%'!$R528/'0.0%'!$N528)</f>
        <v>1.0061822260999627</v>
      </c>
      <c r="Y528" s="13">
        <f>IF('0.0%'!$N528&lt;$Z$3,0, '0.0%'!$S528/'0.0%'!$N528)</f>
        <v>1.003913747974573</v>
      </c>
    </row>
    <row r="529" spans="1:25" x14ac:dyDescent="0.3">
      <c r="A529" s="17">
        <v>592.94000000000005</v>
      </c>
      <c r="B529" s="10">
        <v>4007</v>
      </c>
      <c r="C529" s="9">
        <v>592.94000000000005</v>
      </c>
      <c r="D529" s="10">
        <v>4238.2</v>
      </c>
      <c r="E529" s="11">
        <v>592.94000000000005</v>
      </c>
      <c r="F529" s="12">
        <v>4027.1</v>
      </c>
      <c r="G529" s="11">
        <v>592.94000000000005</v>
      </c>
      <c r="H529" s="12">
        <v>4033</v>
      </c>
      <c r="I529" s="11">
        <v>592.94000000000005</v>
      </c>
      <c r="J529" s="12">
        <v>4031.8</v>
      </c>
      <c r="K529" s="11">
        <v>592.94000000000005</v>
      </c>
      <c r="L529" s="12">
        <v>4022.2</v>
      </c>
      <c r="M529" s="11">
        <v>592.94000000000005</v>
      </c>
      <c r="N529" s="13">
        <v>4007</v>
      </c>
      <c r="O529" s="13">
        <v>4238.2</v>
      </c>
      <c r="P529" s="13">
        <v>4027.1</v>
      </c>
      <c r="Q529" s="11">
        <v>4033</v>
      </c>
      <c r="R529" s="11">
        <v>4031.8</v>
      </c>
      <c r="S529" s="14">
        <v>4022.2</v>
      </c>
      <c r="T529" s="11">
        <v>592.94000000000005</v>
      </c>
      <c r="U529" s="13">
        <f>IF('0.0%'!$N529&lt;$Z$3,0, '0.0%'!$O529/'0.0%'!$N529)</f>
        <v>1.0576990267032693</v>
      </c>
      <c r="V529" s="13">
        <f>IF('0.0%'!$N529&lt;$Z$3,0, '0.0%'!$P529/'0.0%'!$N529)</f>
        <v>1.0050162216121787</v>
      </c>
      <c r="W529" s="13">
        <f>IF('0.0%'!$N529&lt;$Z$3,0, '0.0%'!$Q529/'0.0%'!$N529)</f>
        <v>1.0064886448714749</v>
      </c>
      <c r="X529" s="13">
        <f>IF('0.0%'!$N529&lt;$Z$3,0, '0.0%'!$R529/'0.0%'!$N529)</f>
        <v>1.0061891689543299</v>
      </c>
      <c r="Y529" s="13">
        <f>IF('0.0%'!$N529&lt;$Z$3,0, '0.0%'!$S529/'0.0%'!$N529)</f>
        <v>1.0037933616171699</v>
      </c>
    </row>
    <row r="530" spans="1:25" x14ac:dyDescent="0.3">
      <c r="A530" s="17">
        <v>593.92999999999995</v>
      </c>
      <c r="B530" s="10">
        <v>4000.1</v>
      </c>
      <c r="C530" s="9">
        <v>593.92999999999995</v>
      </c>
      <c r="D530" s="10">
        <v>4233.3999999999996</v>
      </c>
      <c r="E530" s="11">
        <v>593.92999999999995</v>
      </c>
      <c r="F530" s="12">
        <v>4019.4</v>
      </c>
      <c r="G530" s="11">
        <v>593.92999999999995</v>
      </c>
      <c r="H530" s="12">
        <v>4026.3</v>
      </c>
      <c r="I530" s="11">
        <v>593.92999999999995</v>
      </c>
      <c r="J530" s="12">
        <v>4025</v>
      </c>
      <c r="K530" s="11">
        <v>593.92999999999995</v>
      </c>
      <c r="L530" s="12">
        <v>4014.8</v>
      </c>
      <c r="M530" s="11">
        <v>593.92999999999995</v>
      </c>
      <c r="N530" s="13">
        <v>4000.1</v>
      </c>
      <c r="O530" s="13">
        <v>4233.3999999999996</v>
      </c>
      <c r="P530" s="13">
        <v>4019.4</v>
      </c>
      <c r="Q530" s="11">
        <v>4026.3</v>
      </c>
      <c r="R530" s="11">
        <v>4025</v>
      </c>
      <c r="S530" s="14">
        <v>4014.8</v>
      </c>
      <c r="T530" s="11">
        <v>593.92999999999995</v>
      </c>
      <c r="U530" s="13">
        <f>IF('0.0%'!$N530&lt;$Z$3,0, '0.0%'!$O530/'0.0%'!$N530)</f>
        <v>1.0583235419114521</v>
      </c>
      <c r="V530" s="13">
        <f>IF('0.0%'!$N530&lt;$Z$3,0, '0.0%'!$P530/'0.0%'!$N530)</f>
        <v>1.0048248793780157</v>
      </c>
      <c r="W530" s="13">
        <f>IF('0.0%'!$N530&lt;$Z$3,0, '0.0%'!$Q530/'0.0%'!$N530)</f>
        <v>1.0065498362540937</v>
      </c>
      <c r="X530" s="13">
        <f>IF('0.0%'!$N530&lt;$Z$3,0, '0.0%'!$R530/'0.0%'!$N530)</f>
        <v>1.0062248443788906</v>
      </c>
      <c r="Y530" s="13">
        <f>IF('0.0%'!$N530&lt;$Z$3,0, '0.0%'!$S530/'0.0%'!$N530)</f>
        <v>1.0036749081272969</v>
      </c>
    </row>
    <row r="531" spans="1:25" x14ac:dyDescent="0.3">
      <c r="A531" s="17">
        <v>594.91999999999996</v>
      </c>
      <c r="B531" s="10">
        <v>3990.4</v>
      </c>
      <c r="C531" s="9">
        <v>594.91999999999996</v>
      </c>
      <c r="D531" s="10">
        <v>4226.3</v>
      </c>
      <c r="E531" s="11">
        <v>594.91999999999996</v>
      </c>
      <c r="F531" s="12">
        <v>4009</v>
      </c>
      <c r="G531" s="11">
        <v>594.91999999999996</v>
      </c>
      <c r="H531" s="12">
        <v>4016.9</v>
      </c>
      <c r="I531" s="11">
        <v>594.91999999999996</v>
      </c>
      <c r="J531" s="12">
        <v>4015.6</v>
      </c>
      <c r="K531" s="11">
        <v>594.91999999999996</v>
      </c>
      <c r="L531" s="12">
        <v>4005</v>
      </c>
      <c r="M531" s="11">
        <v>594.91999999999996</v>
      </c>
      <c r="N531" s="13">
        <v>3990.4</v>
      </c>
      <c r="O531" s="13">
        <v>4226.3</v>
      </c>
      <c r="P531" s="13">
        <v>4009</v>
      </c>
      <c r="Q531" s="11">
        <v>4016.9</v>
      </c>
      <c r="R531" s="11">
        <v>4015.6</v>
      </c>
      <c r="S531" s="14">
        <v>4005</v>
      </c>
      <c r="T531" s="11">
        <v>594.91999999999996</v>
      </c>
      <c r="U531" s="13">
        <f>IF('0.0%'!$N531&lt;$Z$3,0, '0.0%'!$O531/'0.0%'!$N531)</f>
        <v>1.0591168805132318</v>
      </c>
      <c r="V531" s="13">
        <f>IF('0.0%'!$N531&lt;$Z$3,0, '0.0%'!$P531/'0.0%'!$N531)</f>
        <v>1.0046611868484363</v>
      </c>
      <c r="W531" s="13">
        <f>IF('0.0%'!$N531&lt;$Z$3,0, '0.0%'!$Q531/'0.0%'!$N531)</f>
        <v>1.0066409382518042</v>
      </c>
      <c r="X531" s="13">
        <f>IF('0.0%'!$N531&lt;$Z$3,0, '0.0%'!$R531/'0.0%'!$N531)</f>
        <v>1.0063151563753008</v>
      </c>
      <c r="Y531" s="13">
        <f>IF('0.0%'!$N531&lt;$Z$3,0, '0.0%'!$S531/'0.0%'!$N531)</f>
        <v>1.003658781074579</v>
      </c>
    </row>
    <row r="532" spans="1:25" x14ac:dyDescent="0.3">
      <c r="A532" s="17">
        <v>595.91999999999996</v>
      </c>
      <c r="B532" s="10">
        <v>3978.9</v>
      </c>
      <c r="C532" s="9">
        <v>595.91999999999996</v>
      </c>
      <c r="D532" s="10">
        <v>4217.8999999999996</v>
      </c>
      <c r="E532" s="11">
        <v>595.91999999999996</v>
      </c>
      <c r="F532" s="12">
        <v>3996.6</v>
      </c>
      <c r="G532" s="11">
        <v>595.91999999999996</v>
      </c>
      <c r="H532" s="12">
        <v>4005.8</v>
      </c>
      <c r="I532" s="11">
        <v>595.91999999999996</v>
      </c>
      <c r="J532" s="12">
        <v>4004.7</v>
      </c>
      <c r="K532" s="11">
        <v>595.91999999999996</v>
      </c>
      <c r="L532" s="12">
        <v>3993.5</v>
      </c>
      <c r="M532" s="11">
        <v>595.91999999999996</v>
      </c>
      <c r="N532" s="13">
        <v>3978.9</v>
      </c>
      <c r="O532" s="13">
        <v>4217.8999999999996</v>
      </c>
      <c r="P532" s="13">
        <v>3996.6</v>
      </c>
      <c r="Q532" s="11">
        <v>4005.8</v>
      </c>
      <c r="R532" s="11">
        <v>4004.7</v>
      </c>
      <c r="S532" s="14">
        <v>3993.5</v>
      </c>
      <c r="T532" s="11">
        <v>595.91999999999996</v>
      </c>
      <c r="U532" s="13">
        <f>IF('0.0%'!$N532&lt;$Z$3,0, '0.0%'!$O532/'0.0%'!$N532)</f>
        <v>1.0600668526477166</v>
      </c>
      <c r="V532" s="13">
        <f>IF('0.0%'!$N532&lt;$Z$3,0, '0.0%'!$P532/'0.0%'!$N532)</f>
        <v>1.0044484656563371</v>
      </c>
      <c r="W532" s="13">
        <f>IF('0.0%'!$N532&lt;$Z$3,0, '0.0%'!$Q532/'0.0%'!$N532)</f>
        <v>1.0067606624946595</v>
      </c>
      <c r="X532" s="13">
        <f>IF('0.0%'!$N532&lt;$Z$3,0, '0.0%'!$R532/'0.0%'!$N532)</f>
        <v>1.0064842041770339</v>
      </c>
      <c r="Y532" s="13">
        <f>IF('0.0%'!$N532&lt;$Z$3,0, '0.0%'!$S532/'0.0%'!$N532)</f>
        <v>1.0036693558521199</v>
      </c>
    </row>
    <row r="533" spans="1:25" x14ac:dyDescent="0.3">
      <c r="A533" s="17">
        <v>596.91</v>
      </c>
      <c r="B533" s="10">
        <v>3965.1</v>
      </c>
      <c r="C533" s="9">
        <v>596.91</v>
      </c>
      <c r="D533" s="10">
        <v>4207.5</v>
      </c>
      <c r="E533" s="11">
        <v>596.91</v>
      </c>
      <c r="F533" s="12">
        <v>3982.1</v>
      </c>
      <c r="G533" s="11">
        <v>596.91</v>
      </c>
      <c r="H533" s="12">
        <v>3992.2</v>
      </c>
      <c r="I533" s="11">
        <v>596.91</v>
      </c>
      <c r="J533" s="12">
        <v>3992</v>
      </c>
      <c r="K533" s="11">
        <v>596.91</v>
      </c>
      <c r="L533" s="12">
        <v>3980</v>
      </c>
      <c r="M533" s="11">
        <v>596.91</v>
      </c>
      <c r="N533" s="13">
        <v>3965.1</v>
      </c>
      <c r="O533" s="13">
        <v>4207.5</v>
      </c>
      <c r="P533" s="13">
        <v>3982.1</v>
      </c>
      <c r="Q533" s="11">
        <v>3992.2</v>
      </c>
      <c r="R533" s="11">
        <v>3992</v>
      </c>
      <c r="S533" s="14">
        <v>3980</v>
      </c>
      <c r="T533" s="11">
        <v>596.91</v>
      </c>
      <c r="U533" s="13">
        <f>IF('0.0%'!$N533&lt;$Z$3,0, '0.0%'!$O533/'0.0%'!$N533)</f>
        <v>1.0611333888174321</v>
      </c>
      <c r="V533" s="13">
        <f>IF('0.0%'!$N533&lt;$Z$3,0, '0.0%'!$P533/'0.0%'!$N533)</f>
        <v>1.0042874076315855</v>
      </c>
      <c r="W533" s="13">
        <f>IF('0.0%'!$N533&lt;$Z$3,0, '0.0%'!$Q533/'0.0%'!$N533)</f>
        <v>1.0068346321656452</v>
      </c>
      <c r="X533" s="13">
        <f>IF('0.0%'!$N533&lt;$Z$3,0, '0.0%'!$R533/'0.0%'!$N533)</f>
        <v>1.006784192075862</v>
      </c>
      <c r="Y533" s="13">
        <f>IF('0.0%'!$N533&lt;$Z$3,0, '0.0%'!$S533/'0.0%'!$N533)</f>
        <v>1.0037577866888603</v>
      </c>
    </row>
    <row r="534" spans="1:25" x14ac:dyDescent="0.3">
      <c r="A534" s="17">
        <v>597.9</v>
      </c>
      <c r="B534" s="10">
        <v>3949.8</v>
      </c>
      <c r="C534" s="9">
        <v>597.9</v>
      </c>
      <c r="D534" s="10">
        <v>4195.8999999999996</v>
      </c>
      <c r="E534" s="11">
        <v>597.9</v>
      </c>
      <c r="F534" s="12">
        <v>3965.9</v>
      </c>
      <c r="G534" s="11">
        <v>597.9</v>
      </c>
      <c r="H534" s="12">
        <v>3977.3</v>
      </c>
      <c r="I534" s="11">
        <v>597.9</v>
      </c>
      <c r="J534" s="12">
        <v>3977.7</v>
      </c>
      <c r="K534" s="11">
        <v>597.9</v>
      </c>
      <c r="L534" s="12">
        <v>3965.1</v>
      </c>
      <c r="M534" s="11">
        <v>597.9</v>
      </c>
      <c r="N534" s="13">
        <v>3949.8</v>
      </c>
      <c r="O534" s="13">
        <v>4195.8999999999996</v>
      </c>
      <c r="P534" s="13">
        <v>3965.9</v>
      </c>
      <c r="Q534" s="11">
        <v>3977.3</v>
      </c>
      <c r="R534" s="11">
        <v>3977.7</v>
      </c>
      <c r="S534" s="14">
        <v>3965.1</v>
      </c>
      <c r="T534" s="11">
        <v>597.9</v>
      </c>
      <c r="U534" s="13">
        <f>IF('0.0%'!$N534&lt;$Z$3,0, '0.0%'!$O534/'0.0%'!$N534)</f>
        <v>1.0623069522507467</v>
      </c>
      <c r="V534" s="13">
        <f>IF('0.0%'!$N534&lt;$Z$3,0, '0.0%'!$P534/'0.0%'!$N534)</f>
        <v>1.0040761557547218</v>
      </c>
      <c r="W534" s="13">
        <f>IF('0.0%'!$N534&lt;$Z$3,0, '0.0%'!$Q534/'0.0%'!$N534)</f>
        <v>1.0069623778419161</v>
      </c>
      <c r="X534" s="13">
        <f>IF('0.0%'!$N534&lt;$Z$3,0, '0.0%'!$R534/'0.0%'!$N534)</f>
        <v>1.0070636487923439</v>
      </c>
      <c r="Y534" s="13">
        <f>IF('0.0%'!$N534&lt;$Z$3,0, '0.0%'!$S534/'0.0%'!$N534)</f>
        <v>1.003873613853866</v>
      </c>
    </row>
    <row r="535" spans="1:25" x14ac:dyDescent="0.3">
      <c r="A535" s="17">
        <v>598.89</v>
      </c>
      <c r="B535" s="10">
        <v>3933.1</v>
      </c>
      <c r="C535" s="9">
        <v>598.89</v>
      </c>
      <c r="D535" s="10">
        <v>4183.1000000000004</v>
      </c>
      <c r="E535" s="11">
        <v>598.89</v>
      </c>
      <c r="F535" s="12">
        <v>3948.3</v>
      </c>
      <c r="G535" s="11">
        <v>598.89</v>
      </c>
      <c r="H535" s="12">
        <v>3960.8</v>
      </c>
      <c r="I535" s="11">
        <v>598.89</v>
      </c>
      <c r="J535" s="12">
        <v>3962.1</v>
      </c>
      <c r="K535" s="11">
        <v>598.89</v>
      </c>
      <c r="L535" s="12">
        <v>3949</v>
      </c>
      <c r="M535" s="11">
        <v>598.89</v>
      </c>
      <c r="N535" s="13">
        <v>3933.1</v>
      </c>
      <c r="O535" s="13">
        <v>4183.1000000000004</v>
      </c>
      <c r="P535" s="13">
        <v>3948.3</v>
      </c>
      <c r="Q535" s="11">
        <v>3960.8</v>
      </c>
      <c r="R535" s="11">
        <v>3962.1</v>
      </c>
      <c r="S535" s="14">
        <v>3949</v>
      </c>
      <c r="T535" s="11">
        <v>598.89</v>
      </c>
      <c r="U535" s="13">
        <f>IF('0.0%'!$N535&lt;$Z$3,0, '0.0%'!$O535/'0.0%'!$N535)</f>
        <v>1.0635630927258397</v>
      </c>
      <c r="V535" s="13">
        <f>IF('0.0%'!$N535&lt;$Z$3,0, '0.0%'!$P535/'0.0%'!$N535)</f>
        <v>1.003864636037731</v>
      </c>
      <c r="W535" s="13">
        <f>IF('0.0%'!$N535&lt;$Z$3,0, '0.0%'!$Q535/'0.0%'!$N535)</f>
        <v>1.0070427906740231</v>
      </c>
      <c r="X535" s="13">
        <f>IF('0.0%'!$N535&lt;$Z$3,0, '0.0%'!$R535/'0.0%'!$N535)</f>
        <v>1.0073733187561975</v>
      </c>
      <c r="Y535" s="13">
        <f>IF('0.0%'!$N535&lt;$Z$3,0, '0.0%'!$S535/'0.0%'!$N535)</f>
        <v>1.0040426126973634</v>
      </c>
    </row>
    <row r="536" spans="1:25" x14ac:dyDescent="0.3">
      <c r="A536" s="17">
        <v>599.88</v>
      </c>
      <c r="B536" s="10">
        <v>3915.4</v>
      </c>
      <c r="C536" s="9">
        <v>599.88</v>
      </c>
      <c r="D536" s="10">
        <v>4169.6000000000004</v>
      </c>
      <c r="E536" s="11">
        <v>599.88</v>
      </c>
      <c r="F536" s="12">
        <v>3929.5</v>
      </c>
      <c r="G536" s="11">
        <v>599.88</v>
      </c>
      <c r="H536" s="12">
        <v>3943.4</v>
      </c>
      <c r="I536" s="11">
        <v>599.88</v>
      </c>
      <c r="J536" s="12">
        <v>3945.5</v>
      </c>
      <c r="K536" s="11">
        <v>599.88</v>
      </c>
      <c r="L536" s="12">
        <v>3931.8</v>
      </c>
      <c r="M536" s="11">
        <v>599.88</v>
      </c>
      <c r="N536" s="13">
        <v>3915.4</v>
      </c>
      <c r="O536" s="13">
        <v>4169.6000000000004</v>
      </c>
      <c r="P536" s="13">
        <v>3929.5</v>
      </c>
      <c r="Q536" s="11">
        <v>3943.4</v>
      </c>
      <c r="R536" s="11">
        <v>3945.5</v>
      </c>
      <c r="S536" s="14">
        <v>3931.8</v>
      </c>
      <c r="T536" s="11">
        <v>599.88</v>
      </c>
      <c r="U536" s="13">
        <f>IF('0.0%'!$N536&lt;$Z$3,0, '0.0%'!$O536/'0.0%'!$N536)</f>
        <v>1.0649231240741688</v>
      </c>
      <c r="V536" s="13">
        <f>IF('0.0%'!$N536&lt;$Z$3,0, '0.0%'!$P536/'0.0%'!$N536)</f>
        <v>1.003601164631966</v>
      </c>
      <c r="W536" s="13">
        <f>IF('0.0%'!$N536&lt;$Z$3,0, '0.0%'!$Q536/'0.0%'!$N536)</f>
        <v>1.0071512489145427</v>
      </c>
      <c r="X536" s="13">
        <f>IF('0.0%'!$N536&lt;$Z$3,0, '0.0%'!$R536/'0.0%'!$N536)</f>
        <v>1.0076875925831332</v>
      </c>
      <c r="Y536" s="13">
        <f>IF('0.0%'!$N536&lt;$Z$3,0, '0.0%'!$S536/'0.0%'!$N536)</f>
        <v>1.0041885886499464</v>
      </c>
    </row>
    <row r="537" spans="1:25" x14ac:dyDescent="0.3">
      <c r="A537" s="17">
        <v>600.87</v>
      </c>
      <c r="B537" s="10">
        <v>3896.2</v>
      </c>
      <c r="C537" s="9">
        <v>600.87</v>
      </c>
      <c r="D537" s="10">
        <v>4154.7</v>
      </c>
      <c r="E537" s="11">
        <v>600.87</v>
      </c>
      <c r="F537" s="12">
        <v>3909.6</v>
      </c>
      <c r="G537" s="11">
        <v>600.87</v>
      </c>
      <c r="H537" s="12">
        <v>3924.4</v>
      </c>
      <c r="I537" s="11">
        <v>600.87</v>
      </c>
      <c r="J537" s="12">
        <v>3927.9</v>
      </c>
      <c r="K537" s="11">
        <v>600.87</v>
      </c>
      <c r="L537" s="12">
        <v>3913.7</v>
      </c>
      <c r="M537" s="11">
        <v>600.87</v>
      </c>
      <c r="N537" s="13">
        <v>3896.2</v>
      </c>
      <c r="O537" s="13">
        <v>4154.7</v>
      </c>
      <c r="P537" s="13">
        <v>3909.6</v>
      </c>
      <c r="Q537" s="11">
        <v>3924.4</v>
      </c>
      <c r="R537" s="11">
        <v>3927.9</v>
      </c>
      <c r="S537" s="14">
        <v>3913.7</v>
      </c>
      <c r="T537" s="11">
        <v>600.87</v>
      </c>
      <c r="U537" s="13">
        <f>IF('0.0%'!$N537&lt;$Z$3,0, '0.0%'!$O537/'0.0%'!$N537)</f>
        <v>1.0663466967814794</v>
      </c>
      <c r="V537" s="13">
        <f>IF('0.0%'!$N537&lt;$Z$3,0, '0.0%'!$P537/'0.0%'!$N537)</f>
        <v>1.0034392484985371</v>
      </c>
      <c r="W537" s="13">
        <f>IF('0.0%'!$N537&lt;$Z$3,0, '0.0%'!$Q537/'0.0%'!$N537)</f>
        <v>1.0072378214670705</v>
      </c>
      <c r="X537" s="13">
        <f>IF('0.0%'!$N537&lt;$Z$3,0, '0.0%'!$R537/'0.0%'!$N537)</f>
        <v>1.0081361326420615</v>
      </c>
      <c r="Y537" s="13">
        <f>IF('0.0%'!$N537&lt;$Z$3,0, '0.0%'!$S537/'0.0%'!$N537)</f>
        <v>1.004491555874955</v>
      </c>
    </row>
    <row r="538" spans="1:25" x14ac:dyDescent="0.3">
      <c r="A538" s="17">
        <v>601.87</v>
      </c>
      <c r="B538" s="10">
        <v>3876.2</v>
      </c>
      <c r="C538" s="9">
        <v>601.87</v>
      </c>
      <c r="D538" s="10">
        <v>4139.7</v>
      </c>
      <c r="E538" s="11">
        <v>601.87</v>
      </c>
      <c r="F538" s="12">
        <v>3889</v>
      </c>
      <c r="G538" s="11">
        <v>601.87</v>
      </c>
      <c r="H538" s="12">
        <v>3904.8</v>
      </c>
      <c r="I538" s="11">
        <v>601.87</v>
      </c>
      <c r="J538" s="12">
        <v>3909.7</v>
      </c>
      <c r="K538" s="11">
        <v>601.87</v>
      </c>
      <c r="L538" s="12">
        <v>3894.9</v>
      </c>
      <c r="M538" s="11">
        <v>601.87</v>
      </c>
      <c r="N538" s="13">
        <v>3876.2</v>
      </c>
      <c r="O538" s="13">
        <v>4139.7</v>
      </c>
      <c r="P538" s="13">
        <v>3889</v>
      </c>
      <c r="Q538" s="11">
        <v>3904.8</v>
      </c>
      <c r="R538" s="11">
        <v>3909.7</v>
      </c>
      <c r="S538" s="14">
        <v>3894.9</v>
      </c>
      <c r="T538" s="11">
        <v>601.87</v>
      </c>
      <c r="U538" s="13">
        <f>IF('0.0%'!$N538&lt;$Z$3,0, '0.0%'!$O538/'0.0%'!$N538)</f>
        <v>1.067978948454672</v>
      </c>
      <c r="V538" s="13">
        <f>IF('0.0%'!$N538&lt;$Z$3,0, '0.0%'!$P538/'0.0%'!$N538)</f>
        <v>1.00330220318869</v>
      </c>
      <c r="W538" s="13">
        <f>IF('0.0%'!$N538&lt;$Z$3,0, '0.0%'!$Q538/'0.0%'!$N538)</f>
        <v>1.0073783602497293</v>
      </c>
      <c r="X538" s="13">
        <f>IF('0.0%'!$N538&lt;$Z$3,0, '0.0%'!$R538/'0.0%'!$N538)</f>
        <v>1.0086424849078994</v>
      </c>
      <c r="Y538" s="13">
        <f>IF('0.0%'!$N538&lt;$Z$3,0, '0.0%'!$S538/'0.0%'!$N538)</f>
        <v>1.0048243124709768</v>
      </c>
    </row>
    <row r="539" spans="1:25" x14ac:dyDescent="0.3">
      <c r="A539" s="17">
        <v>602.86</v>
      </c>
      <c r="B539" s="10">
        <v>3855.5</v>
      </c>
      <c r="C539" s="9">
        <v>602.86</v>
      </c>
      <c r="D539" s="10">
        <v>4123.8999999999996</v>
      </c>
      <c r="E539" s="11">
        <v>602.86</v>
      </c>
      <c r="F539" s="12">
        <v>3867.8</v>
      </c>
      <c r="G539" s="11">
        <v>602.86</v>
      </c>
      <c r="H539" s="12">
        <v>3884.3</v>
      </c>
      <c r="I539" s="11">
        <v>602.86</v>
      </c>
      <c r="J539" s="12">
        <v>3890.8</v>
      </c>
      <c r="K539" s="11">
        <v>602.86</v>
      </c>
      <c r="L539" s="12">
        <v>3875.7</v>
      </c>
      <c r="M539" s="11">
        <v>602.86</v>
      </c>
      <c r="N539" s="13">
        <v>3855.5</v>
      </c>
      <c r="O539" s="13">
        <v>4123.8999999999996</v>
      </c>
      <c r="P539" s="13">
        <v>3867.8</v>
      </c>
      <c r="Q539" s="11">
        <v>3884.3</v>
      </c>
      <c r="R539" s="11">
        <v>3890.8</v>
      </c>
      <c r="S539" s="14">
        <v>3875.7</v>
      </c>
      <c r="T539" s="11">
        <v>602.86</v>
      </c>
      <c r="U539" s="13">
        <f>IF('0.0%'!$N539&lt;$Z$3,0, '0.0%'!$O539/'0.0%'!$N539)</f>
        <v>1.0696148359486446</v>
      </c>
      <c r="V539" s="13">
        <f>IF('0.0%'!$N539&lt;$Z$3,0, '0.0%'!$P539/'0.0%'!$N539)</f>
        <v>1.0031902476980936</v>
      </c>
      <c r="W539" s="13">
        <f>IF('0.0%'!$N539&lt;$Z$3,0, '0.0%'!$Q539/'0.0%'!$N539)</f>
        <v>1.007469848268707</v>
      </c>
      <c r="X539" s="13">
        <f>IF('0.0%'!$N539&lt;$Z$3,0, '0.0%'!$R539/'0.0%'!$N539)</f>
        <v>1.0091557515237972</v>
      </c>
      <c r="Y539" s="13">
        <f>IF('0.0%'!$N539&lt;$Z$3,0, '0.0%'!$S539/'0.0%'!$N539)</f>
        <v>1.005239268577357</v>
      </c>
    </row>
    <row r="540" spans="1:25" x14ac:dyDescent="0.3">
      <c r="A540" s="17">
        <v>603.85</v>
      </c>
      <c r="B540" s="10">
        <v>3834.8</v>
      </c>
      <c r="C540" s="9">
        <v>603.85</v>
      </c>
      <c r="D540" s="10">
        <v>4108.2</v>
      </c>
      <c r="E540" s="11">
        <v>603.85</v>
      </c>
      <c r="F540" s="12">
        <v>3846.4</v>
      </c>
      <c r="G540" s="11">
        <v>603.85</v>
      </c>
      <c r="H540" s="12">
        <v>3864.1</v>
      </c>
      <c r="I540" s="11">
        <v>603.85</v>
      </c>
      <c r="J540" s="12">
        <v>3872.2</v>
      </c>
      <c r="K540" s="11">
        <v>603.85</v>
      </c>
      <c r="L540" s="12">
        <v>3856.2</v>
      </c>
      <c r="M540" s="11">
        <v>603.85</v>
      </c>
      <c r="N540" s="13">
        <v>3834.8</v>
      </c>
      <c r="O540" s="13">
        <v>4108.2</v>
      </c>
      <c r="P540" s="13">
        <v>3846.4</v>
      </c>
      <c r="Q540" s="11">
        <v>3864.1</v>
      </c>
      <c r="R540" s="11">
        <v>3872.2</v>
      </c>
      <c r="S540" s="14">
        <v>3856.2</v>
      </c>
      <c r="T540" s="11">
        <v>603.85</v>
      </c>
      <c r="U540" s="13">
        <f>IF('0.0%'!$N540&lt;$Z$3,0, '0.0%'!$O540/'0.0%'!$N540)</f>
        <v>1.0712944612496087</v>
      </c>
      <c r="V540" s="13">
        <f>IF('0.0%'!$N540&lt;$Z$3,0, '0.0%'!$P540/'0.0%'!$N540)</f>
        <v>1.0030249295921561</v>
      </c>
      <c r="W540" s="13">
        <f>IF('0.0%'!$N540&lt;$Z$3,0, '0.0%'!$Q540/'0.0%'!$N540)</f>
        <v>1.0076405549181182</v>
      </c>
      <c r="X540" s="13">
        <f>IF('0.0%'!$N540&lt;$Z$3,0, '0.0%'!$R540/'0.0%'!$N540)</f>
        <v>1.0097527902367789</v>
      </c>
      <c r="Y540" s="13">
        <f>IF('0.0%'!$N540&lt;$Z$3,0, '0.0%'!$S540/'0.0%'!$N540)</f>
        <v>1.005580473557943</v>
      </c>
    </row>
    <row r="541" spans="1:25" x14ac:dyDescent="0.3">
      <c r="A541" s="17">
        <v>604.84</v>
      </c>
      <c r="B541" s="10">
        <v>3813.7</v>
      </c>
      <c r="C541" s="9">
        <v>604.84</v>
      </c>
      <c r="D541" s="10">
        <v>4092</v>
      </c>
      <c r="E541" s="11">
        <v>604.84</v>
      </c>
      <c r="F541" s="12">
        <v>3824.8</v>
      </c>
      <c r="G541" s="11">
        <v>604.84</v>
      </c>
      <c r="H541" s="12">
        <v>3843.2</v>
      </c>
      <c r="I541" s="11">
        <v>604.84</v>
      </c>
      <c r="J541" s="12">
        <v>3853.2</v>
      </c>
      <c r="K541" s="11">
        <v>604.84</v>
      </c>
      <c r="L541" s="12">
        <v>3836.6</v>
      </c>
      <c r="M541" s="11">
        <v>604.84</v>
      </c>
      <c r="N541" s="13">
        <v>3813.7</v>
      </c>
      <c r="O541" s="13">
        <v>4092</v>
      </c>
      <c r="P541" s="13">
        <v>3824.8</v>
      </c>
      <c r="Q541" s="11">
        <v>3843.2</v>
      </c>
      <c r="R541" s="11">
        <v>3853.2</v>
      </c>
      <c r="S541" s="14">
        <v>3836.6</v>
      </c>
      <c r="T541" s="11">
        <v>604.84</v>
      </c>
      <c r="U541" s="13">
        <f>IF('0.0%'!$N541&lt;$Z$3,0, '0.0%'!$O541/'0.0%'!$N541)</f>
        <v>1.0729737525237959</v>
      </c>
      <c r="V541" s="13">
        <f>IF('0.0%'!$N541&lt;$Z$3,0, '0.0%'!$P541/'0.0%'!$N541)</f>
        <v>1.0029105592993681</v>
      </c>
      <c r="W541" s="13">
        <f>IF('0.0%'!$N541&lt;$Z$3,0, '0.0%'!$Q541/'0.0%'!$N541)</f>
        <v>1.0077352702100322</v>
      </c>
      <c r="X541" s="13">
        <f>IF('0.0%'!$N541&lt;$Z$3,0, '0.0%'!$R541/'0.0%'!$N541)</f>
        <v>1.0103573957049585</v>
      </c>
      <c r="Y541" s="13">
        <f>IF('0.0%'!$N541&lt;$Z$3,0, '0.0%'!$S541/'0.0%'!$N541)</f>
        <v>1.0060046673833809</v>
      </c>
    </row>
    <row r="542" spans="1:25" x14ac:dyDescent="0.3">
      <c r="A542" s="17">
        <v>605.83000000000004</v>
      </c>
      <c r="B542" s="10">
        <v>3793.6</v>
      </c>
      <c r="C542" s="9">
        <v>605.83000000000004</v>
      </c>
      <c r="D542" s="10">
        <v>4076.8</v>
      </c>
      <c r="E542" s="11">
        <v>605.83000000000004</v>
      </c>
      <c r="F542" s="12">
        <v>3804.2</v>
      </c>
      <c r="G542" s="11">
        <v>605.83000000000004</v>
      </c>
      <c r="H542" s="12">
        <v>3823.6</v>
      </c>
      <c r="I542" s="11">
        <v>605.83000000000004</v>
      </c>
      <c r="J542" s="12">
        <v>3835.2</v>
      </c>
      <c r="K542" s="11">
        <v>605.83000000000004</v>
      </c>
      <c r="L542" s="12">
        <v>3817.8</v>
      </c>
      <c r="M542" s="11">
        <v>605.83000000000004</v>
      </c>
      <c r="N542" s="13">
        <v>3793.6</v>
      </c>
      <c r="O542" s="13">
        <v>4076.8</v>
      </c>
      <c r="P542" s="13">
        <v>3804.2</v>
      </c>
      <c r="Q542" s="11">
        <v>3823.6</v>
      </c>
      <c r="R542" s="11">
        <v>3835.2</v>
      </c>
      <c r="S542" s="14">
        <v>3817.8</v>
      </c>
      <c r="T542" s="11">
        <v>605.83000000000004</v>
      </c>
      <c r="U542" s="13">
        <f>IF('0.0%'!$N542&lt;$Z$3,0, '0.0%'!$O542/'0.0%'!$N542)</f>
        <v>1.0746520455504007</v>
      </c>
      <c r="V542" s="13">
        <f>IF('0.0%'!$N542&lt;$Z$3,0, '0.0%'!$P542/'0.0%'!$N542)</f>
        <v>1.0027941796710249</v>
      </c>
      <c r="W542" s="13">
        <f>IF('0.0%'!$N542&lt;$Z$3,0, '0.0%'!$Q542/'0.0%'!$N542)</f>
        <v>1.007908055672712</v>
      </c>
      <c r="X542" s="13">
        <f>IF('0.0%'!$N542&lt;$Z$3,0, '0.0%'!$R542/'0.0%'!$N542)</f>
        <v>1.0109658371994938</v>
      </c>
      <c r="Y542" s="13">
        <f>IF('0.0%'!$N542&lt;$Z$3,0, '0.0%'!$S542/'0.0%'!$N542)</f>
        <v>1.006379164909321</v>
      </c>
    </row>
    <row r="543" spans="1:25" x14ac:dyDescent="0.3">
      <c r="A543" s="17">
        <v>606.83000000000004</v>
      </c>
      <c r="B543" s="10">
        <v>3772.9</v>
      </c>
      <c r="C543" s="9">
        <v>606.83000000000004</v>
      </c>
      <c r="D543" s="10">
        <v>4060.9</v>
      </c>
      <c r="E543" s="11">
        <v>606.83000000000004</v>
      </c>
      <c r="F543" s="12">
        <v>3783.1</v>
      </c>
      <c r="G543" s="11">
        <v>606.83000000000004</v>
      </c>
      <c r="H543" s="12">
        <v>3803.2</v>
      </c>
      <c r="I543" s="11">
        <v>606.83000000000004</v>
      </c>
      <c r="J543" s="12">
        <v>3816.7</v>
      </c>
      <c r="K543" s="11">
        <v>606.83000000000004</v>
      </c>
      <c r="L543" s="12">
        <v>3798.9</v>
      </c>
      <c r="M543" s="11">
        <v>606.83000000000004</v>
      </c>
      <c r="N543" s="13">
        <v>3772.9</v>
      </c>
      <c r="O543" s="13">
        <v>4060.9</v>
      </c>
      <c r="P543" s="13">
        <v>3783.1</v>
      </c>
      <c r="Q543" s="11">
        <v>3803.2</v>
      </c>
      <c r="R543" s="11">
        <v>3816.7</v>
      </c>
      <c r="S543" s="14">
        <v>3798.9</v>
      </c>
      <c r="T543" s="11">
        <v>606.83000000000004</v>
      </c>
      <c r="U543" s="13">
        <f>IF('0.0%'!$N543&lt;$Z$3,0, '0.0%'!$O543/'0.0%'!$N543)</f>
        <v>1.0763338545946088</v>
      </c>
      <c r="V543" s="13">
        <f>IF('0.0%'!$N543&lt;$Z$3,0, '0.0%'!$P543/'0.0%'!$N543)</f>
        <v>1.002703490683559</v>
      </c>
      <c r="W543" s="13">
        <f>IF('0.0%'!$N543&lt;$Z$3,0, '0.0%'!$Q543/'0.0%'!$N543)</f>
        <v>1.0080309576188078</v>
      </c>
      <c r="X543" s="13">
        <f>IF('0.0%'!$N543&lt;$Z$3,0, '0.0%'!$R543/'0.0%'!$N543)</f>
        <v>1.0116091070529301</v>
      </c>
      <c r="Y543" s="13">
        <f>IF('0.0%'!$N543&lt;$Z$3,0, '0.0%'!$S543/'0.0%'!$N543)</f>
        <v>1.0068912507620134</v>
      </c>
    </row>
    <row r="544" spans="1:25" x14ac:dyDescent="0.3">
      <c r="A544" s="17">
        <v>607.82000000000005</v>
      </c>
      <c r="B544" s="10">
        <v>3750.8</v>
      </c>
      <c r="C544" s="9">
        <v>607.82000000000005</v>
      </c>
      <c r="D544" s="10">
        <v>4044.1</v>
      </c>
      <c r="E544" s="11">
        <v>607.82000000000005</v>
      </c>
      <c r="F544" s="12">
        <v>3760.1</v>
      </c>
      <c r="G544" s="11">
        <v>607.82000000000005</v>
      </c>
      <c r="H544" s="12">
        <v>3781.3</v>
      </c>
      <c r="I544" s="11">
        <v>607.82000000000005</v>
      </c>
      <c r="J544" s="12">
        <v>3796.7</v>
      </c>
      <c r="K544" s="11">
        <v>607.82000000000005</v>
      </c>
      <c r="L544" s="12">
        <v>3778.2</v>
      </c>
      <c r="M544" s="11">
        <v>607.82000000000005</v>
      </c>
      <c r="N544" s="13">
        <v>3750.8</v>
      </c>
      <c r="O544" s="13">
        <v>4044.1</v>
      </c>
      <c r="P544" s="13">
        <v>3760.1</v>
      </c>
      <c r="Q544" s="11">
        <v>3781.3</v>
      </c>
      <c r="R544" s="11">
        <v>3796.7</v>
      </c>
      <c r="S544" s="14">
        <v>3778.2</v>
      </c>
      <c r="T544" s="11">
        <v>607.82000000000005</v>
      </c>
      <c r="U544" s="13">
        <f>IF('0.0%'!$N544&lt;$Z$3,0, '0.0%'!$O544/'0.0%'!$N544)</f>
        <v>1.0781966513810386</v>
      </c>
      <c r="V544" s="13">
        <f>IF('0.0%'!$N544&lt;$Z$3,0, '0.0%'!$P544/'0.0%'!$N544)</f>
        <v>1.0024794710461769</v>
      </c>
      <c r="W544" s="13">
        <f>IF('0.0%'!$N544&lt;$Z$3,0, '0.0%'!$Q544/'0.0%'!$N544)</f>
        <v>1.0081315985923003</v>
      </c>
      <c r="X544" s="13">
        <f>IF('0.0%'!$N544&lt;$Z$3,0, '0.0%'!$R544/'0.0%'!$N544)</f>
        <v>1.0122373893569372</v>
      </c>
      <c r="Y544" s="13">
        <f>IF('0.0%'!$N544&lt;$Z$3,0, '0.0%'!$S544/'0.0%'!$N544)</f>
        <v>1.0073051082435747</v>
      </c>
    </row>
    <row r="545" spans="1:25" x14ac:dyDescent="0.3">
      <c r="A545" s="17">
        <v>608.80999999999995</v>
      </c>
      <c r="B545" s="10">
        <v>3728</v>
      </c>
      <c r="C545" s="9">
        <v>608.80999999999995</v>
      </c>
      <c r="D545" s="10">
        <v>4026.7</v>
      </c>
      <c r="E545" s="11">
        <v>608.80999999999995</v>
      </c>
      <c r="F545" s="12">
        <v>3736.6</v>
      </c>
      <c r="G545" s="11">
        <v>608.80999999999995</v>
      </c>
      <c r="H545" s="12">
        <v>3758.8</v>
      </c>
      <c r="I545" s="11">
        <v>608.80999999999995</v>
      </c>
      <c r="J545" s="12">
        <v>3776.1</v>
      </c>
      <c r="K545" s="11">
        <v>608.80999999999995</v>
      </c>
      <c r="L545" s="12">
        <v>3757</v>
      </c>
      <c r="M545" s="11">
        <v>608.80999999999995</v>
      </c>
      <c r="N545" s="13">
        <v>3728</v>
      </c>
      <c r="O545" s="13">
        <v>4026.7</v>
      </c>
      <c r="P545" s="13">
        <v>3736.6</v>
      </c>
      <c r="Q545" s="11">
        <v>3758.8</v>
      </c>
      <c r="R545" s="11">
        <v>3776.1</v>
      </c>
      <c r="S545" s="14">
        <v>3757</v>
      </c>
      <c r="T545" s="11">
        <v>608.80999999999995</v>
      </c>
      <c r="U545" s="13">
        <f>IF('0.0%'!$N545&lt;$Z$3,0, '0.0%'!$O545/'0.0%'!$N545)</f>
        <v>1.0801233905579399</v>
      </c>
      <c r="V545" s="13">
        <f>IF('0.0%'!$N545&lt;$Z$3,0, '0.0%'!$P545/'0.0%'!$N545)</f>
        <v>1.0023068669527897</v>
      </c>
      <c r="W545" s="13">
        <f>IF('0.0%'!$N545&lt;$Z$3,0, '0.0%'!$Q545/'0.0%'!$N545)</f>
        <v>1.0082618025751073</v>
      </c>
      <c r="X545" s="13">
        <f>IF('0.0%'!$N545&lt;$Z$3,0, '0.0%'!$R545/'0.0%'!$N545)</f>
        <v>1.0129023605150214</v>
      </c>
      <c r="Y545" s="13">
        <f>IF('0.0%'!$N545&lt;$Z$3,0, '0.0%'!$S545/'0.0%'!$N545)</f>
        <v>1.0077789699570816</v>
      </c>
    </row>
    <row r="546" spans="1:25" x14ac:dyDescent="0.3">
      <c r="A546" s="17">
        <v>609.79999999999995</v>
      </c>
      <c r="B546" s="10">
        <v>3705.5</v>
      </c>
      <c r="C546" s="9">
        <v>609.79999999999995</v>
      </c>
      <c r="D546" s="10">
        <v>4009.9</v>
      </c>
      <c r="E546" s="11">
        <v>609.79999999999995</v>
      </c>
      <c r="F546" s="12">
        <v>3713.4</v>
      </c>
      <c r="G546" s="11">
        <v>609.79999999999995</v>
      </c>
      <c r="H546" s="12">
        <v>3736.9</v>
      </c>
      <c r="I546" s="11">
        <v>609.79999999999995</v>
      </c>
      <c r="J546" s="12">
        <v>3756.1</v>
      </c>
      <c r="K546" s="11">
        <v>609.79999999999995</v>
      </c>
      <c r="L546" s="12">
        <v>3736</v>
      </c>
      <c r="M546" s="11">
        <v>609.79999999999995</v>
      </c>
      <c r="N546" s="13">
        <v>3705.5</v>
      </c>
      <c r="O546" s="13">
        <v>4009.9</v>
      </c>
      <c r="P546" s="13">
        <v>3713.4</v>
      </c>
      <c r="Q546" s="11">
        <v>3736.9</v>
      </c>
      <c r="R546" s="11">
        <v>3756.1</v>
      </c>
      <c r="S546" s="14">
        <v>3736</v>
      </c>
      <c r="T546" s="11">
        <v>609.79999999999995</v>
      </c>
      <c r="U546" s="13">
        <f>IF('0.0%'!$N546&lt;$Z$3,0, '0.0%'!$O546/'0.0%'!$N546)</f>
        <v>1.0821481581433006</v>
      </c>
      <c r="V546" s="13">
        <f>IF('0.0%'!$N546&lt;$Z$3,0, '0.0%'!$P546/'0.0%'!$N546)</f>
        <v>1.0021319659964918</v>
      </c>
      <c r="W546" s="13">
        <f>IF('0.0%'!$N546&lt;$Z$3,0, '0.0%'!$Q546/'0.0%'!$N546)</f>
        <v>1.0084738901632708</v>
      </c>
      <c r="X546" s="13">
        <f>IF('0.0%'!$N546&lt;$Z$3,0, '0.0%'!$R546/'0.0%'!$N546)</f>
        <v>1.013655377142086</v>
      </c>
      <c r="Y546" s="13">
        <f>IF('0.0%'!$N546&lt;$Z$3,0, '0.0%'!$S546/'0.0%'!$N546)</f>
        <v>1.008231007961139</v>
      </c>
    </row>
    <row r="547" spans="1:25" x14ac:dyDescent="0.3">
      <c r="A547" s="17">
        <v>610.79</v>
      </c>
      <c r="B547" s="10">
        <v>3683.2</v>
      </c>
      <c r="C547" s="9">
        <v>610.79</v>
      </c>
      <c r="D547" s="10">
        <v>3992.4</v>
      </c>
      <c r="E547" s="11">
        <v>610.79</v>
      </c>
      <c r="F547" s="12">
        <v>3690.5</v>
      </c>
      <c r="G547" s="11">
        <v>610.79</v>
      </c>
      <c r="H547" s="12">
        <v>3714.9</v>
      </c>
      <c r="I547" s="11">
        <v>610.79</v>
      </c>
      <c r="J547" s="12">
        <v>3736.2</v>
      </c>
      <c r="K547" s="11">
        <v>610.79</v>
      </c>
      <c r="L547" s="12">
        <v>3715.1</v>
      </c>
      <c r="M547" s="11">
        <v>610.79</v>
      </c>
      <c r="N547" s="13">
        <v>3683.2</v>
      </c>
      <c r="O547" s="13">
        <v>3992.4</v>
      </c>
      <c r="P547" s="13">
        <v>3690.5</v>
      </c>
      <c r="Q547" s="11">
        <v>3714.9</v>
      </c>
      <c r="R547" s="11">
        <v>3736.2</v>
      </c>
      <c r="S547" s="14">
        <v>3715.1</v>
      </c>
      <c r="T547" s="11">
        <v>610.79</v>
      </c>
      <c r="U547" s="13">
        <f>IF('0.0%'!$N547&lt;$Z$3,0, '0.0%'!$O547/'0.0%'!$N547)</f>
        <v>1.0839487402258907</v>
      </c>
      <c r="V547" s="13">
        <f>IF('0.0%'!$N547&lt;$Z$3,0, '0.0%'!$P547/'0.0%'!$N547)</f>
        <v>1.0019819721980887</v>
      </c>
      <c r="W547" s="13">
        <f>IF('0.0%'!$N547&lt;$Z$3,0, '0.0%'!$Q547/'0.0%'!$N547)</f>
        <v>1.0086066463944396</v>
      </c>
      <c r="X547" s="13">
        <f>IF('0.0%'!$N547&lt;$Z$3,0, '0.0%'!$R547/'0.0%'!$N547)</f>
        <v>1.0143896611642051</v>
      </c>
      <c r="Y547" s="13">
        <f>IF('0.0%'!$N547&lt;$Z$3,0, '0.0%'!$S547/'0.0%'!$N547)</f>
        <v>1.0086609470026064</v>
      </c>
    </row>
    <row r="548" spans="1:25" x14ac:dyDescent="0.3">
      <c r="A548" s="17">
        <v>611.78</v>
      </c>
      <c r="B548" s="10">
        <v>3661.5</v>
      </c>
      <c r="C548" s="9">
        <v>611.78</v>
      </c>
      <c r="D548" s="10">
        <v>3976.3</v>
      </c>
      <c r="E548" s="11">
        <v>611.78</v>
      </c>
      <c r="F548" s="12">
        <v>3668.3</v>
      </c>
      <c r="G548" s="11">
        <v>611.78</v>
      </c>
      <c r="H548" s="12">
        <v>3694</v>
      </c>
      <c r="I548" s="11">
        <v>611.78</v>
      </c>
      <c r="J548" s="12">
        <v>3717.2</v>
      </c>
      <c r="K548" s="11">
        <v>611.78</v>
      </c>
      <c r="L548" s="12">
        <v>3695</v>
      </c>
      <c r="M548" s="11">
        <v>611.78</v>
      </c>
      <c r="N548" s="13">
        <v>3661.5</v>
      </c>
      <c r="O548" s="13">
        <v>3976.3</v>
      </c>
      <c r="P548" s="13">
        <v>3668.3</v>
      </c>
      <c r="Q548" s="11">
        <v>3694</v>
      </c>
      <c r="R548" s="11">
        <v>3717.2</v>
      </c>
      <c r="S548" s="14">
        <v>3695</v>
      </c>
      <c r="T548" s="11">
        <v>611.78</v>
      </c>
      <c r="U548" s="13">
        <f>IF('0.0%'!$N548&lt;$Z$3,0, '0.0%'!$O548/'0.0%'!$N548)</f>
        <v>1.0859756930219855</v>
      </c>
      <c r="V548" s="13">
        <f>IF('0.0%'!$N548&lt;$Z$3,0, '0.0%'!$P548/'0.0%'!$N548)</f>
        <v>1.0018571623651509</v>
      </c>
      <c r="W548" s="13">
        <f>IF('0.0%'!$N548&lt;$Z$3,0, '0.0%'!$Q548/'0.0%'!$N548)</f>
        <v>1.0088761436569711</v>
      </c>
      <c r="X548" s="13">
        <f>IF('0.0%'!$N548&lt;$Z$3,0, '0.0%'!$R548/'0.0%'!$N548)</f>
        <v>1.0152123446674859</v>
      </c>
      <c r="Y548" s="13">
        <f>IF('0.0%'!$N548&lt;$Z$3,0, '0.0%'!$S548/'0.0%'!$N548)</f>
        <v>1.0091492557694934</v>
      </c>
    </row>
    <row r="549" spans="1:25" x14ac:dyDescent="0.3">
      <c r="A549" s="17">
        <v>612.78</v>
      </c>
      <c r="B549" s="10">
        <v>3639.5</v>
      </c>
      <c r="C549" s="9">
        <v>612.78</v>
      </c>
      <c r="D549" s="10">
        <v>3959.3</v>
      </c>
      <c r="E549" s="11">
        <v>612.78</v>
      </c>
      <c r="F549" s="12">
        <v>3646</v>
      </c>
      <c r="G549" s="11">
        <v>612.78</v>
      </c>
      <c r="H549" s="12">
        <v>3672.6</v>
      </c>
      <c r="I549" s="11">
        <v>612.78</v>
      </c>
      <c r="J549" s="12">
        <v>3697.6</v>
      </c>
      <c r="K549" s="11">
        <v>612.78</v>
      </c>
      <c r="L549" s="12">
        <v>3674.5</v>
      </c>
      <c r="M549" s="11">
        <v>612.78</v>
      </c>
      <c r="N549" s="13">
        <v>3639.5</v>
      </c>
      <c r="O549" s="13">
        <v>3959.3</v>
      </c>
      <c r="P549" s="13">
        <v>3646</v>
      </c>
      <c r="Q549" s="11">
        <v>3672.6</v>
      </c>
      <c r="R549" s="11">
        <v>3697.6</v>
      </c>
      <c r="S549" s="14">
        <v>3674.5</v>
      </c>
      <c r="T549" s="11">
        <v>612.78</v>
      </c>
      <c r="U549" s="13">
        <f>IF('0.0%'!$N549&lt;$Z$3,0, '0.0%'!$O549/'0.0%'!$N549)</f>
        <v>1.0878692128039567</v>
      </c>
      <c r="V549" s="13">
        <f>IF('0.0%'!$N549&lt;$Z$3,0, '0.0%'!$P549/'0.0%'!$N549)</f>
        <v>1.0017859596098364</v>
      </c>
      <c r="W549" s="13">
        <f>IF('0.0%'!$N549&lt;$Z$3,0, '0.0%'!$Q549/'0.0%'!$N549)</f>
        <v>1.0090946558593212</v>
      </c>
      <c r="X549" s="13">
        <f>IF('0.0%'!$N549&lt;$Z$3,0, '0.0%'!$R549/'0.0%'!$N549)</f>
        <v>1.0159637312817695</v>
      </c>
      <c r="Y549" s="13">
        <f>IF('0.0%'!$N549&lt;$Z$3,0, '0.0%'!$S549/'0.0%'!$N549)</f>
        <v>1.0096167055914274</v>
      </c>
    </row>
    <row r="550" spans="1:25" x14ac:dyDescent="0.3">
      <c r="A550" s="17">
        <v>613.77</v>
      </c>
      <c r="B550" s="10">
        <v>3618.6</v>
      </c>
      <c r="C550" s="9">
        <v>613.77</v>
      </c>
      <c r="D550" s="10">
        <v>3943.1</v>
      </c>
      <c r="E550" s="11">
        <v>613.77</v>
      </c>
      <c r="F550" s="12">
        <v>3625</v>
      </c>
      <c r="G550" s="11">
        <v>613.77</v>
      </c>
      <c r="H550" s="12">
        <v>3652.5</v>
      </c>
      <c r="I550" s="11">
        <v>613.77</v>
      </c>
      <c r="J550" s="12">
        <v>3679.9</v>
      </c>
      <c r="K550" s="11">
        <v>613.77</v>
      </c>
      <c r="L550" s="12">
        <v>3655.3</v>
      </c>
      <c r="M550" s="11">
        <v>613.77</v>
      </c>
      <c r="N550" s="13">
        <v>3618.6</v>
      </c>
      <c r="O550" s="13">
        <v>3943.1</v>
      </c>
      <c r="P550" s="13">
        <v>3625</v>
      </c>
      <c r="Q550" s="11">
        <v>3652.5</v>
      </c>
      <c r="R550" s="11">
        <v>3679.9</v>
      </c>
      <c r="S550" s="14">
        <v>3655.3</v>
      </c>
      <c r="T550" s="11">
        <v>613.77</v>
      </c>
      <c r="U550" s="13">
        <f>IF('0.0%'!$N550&lt;$Z$3,0, '0.0%'!$O550/'0.0%'!$N550)</f>
        <v>1.0896755651356878</v>
      </c>
      <c r="V550" s="13">
        <f>IF('0.0%'!$N550&lt;$Z$3,0, '0.0%'!$P550/'0.0%'!$N550)</f>
        <v>1.0017686398054497</v>
      </c>
      <c r="W550" s="13">
        <f>IF('0.0%'!$N550&lt;$Z$3,0, '0.0%'!$Q550/'0.0%'!$N550)</f>
        <v>1.009368263969491</v>
      </c>
      <c r="X550" s="13">
        <f>IF('0.0%'!$N550&lt;$Z$3,0, '0.0%'!$R550/'0.0%'!$N550)</f>
        <v>1.0169402531365721</v>
      </c>
      <c r="Y550" s="13">
        <f>IF('0.0%'!$N550&lt;$Z$3,0, '0.0%'!$S550/'0.0%'!$N550)</f>
        <v>1.0101420438843753</v>
      </c>
    </row>
    <row r="551" spans="1:25" x14ac:dyDescent="0.3">
      <c r="A551" s="17">
        <v>614.76</v>
      </c>
      <c r="B551" s="10">
        <v>3596.1</v>
      </c>
      <c r="C551" s="9">
        <v>614.76</v>
      </c>
      <c r="D551" s="10">
        <v>3924.5</v>
      </c>
      <c r="E551" s="11">
        <v>614.76</v>
      </c>
      <c r="F551" s="12">
        <v>3602.3</v>
      </c>
      <c r="G551" s="11">
        <v>614.76</v>
      </c>
      <c r="H551" s="12">
        <v>3630.6</v>
      </c>
      <c r="I551" s="11">
        <v>614.76</v>
      </c>
      <c r="J551" s="12">
        <v>3659.9</v>
      </c>
      <c r="K551" s="11">
        <v>614.76</v>
      </c>
      <c r="L551" s="12">
        <v>3634.2</v>
      </c>
      <c r="M551" s="11">
        <v>614.76</v>
      </c>
      <c r="N551" s="13">
        <v>3596.1</v>
      </c>
      <c r="O551" s="13">
        <v>3924.5</v>
      </c>
      <c r="P551" s="13">
        <v>3602.3</v>
      </c>
      <c r="Q551" s="11">
        <v>3630.6</v>
      </c>
      <c r="R551" s="11">
        <v>3659.9</v>
      </c>
      <c r="S551" s="14">
        <v>3634.2</v>
      </c>
      <c r="T551" s="11">
        <v>614.76</v>
      </c>
      <c r="U551" s="13">
        <f>IF('0.0%'!$N551&lt;$Z$3,0, '0.0%'!$O551/'0.0%'!$N551)</f>
        <v>1.0913211534718168</v>
      </c>
      <c r="V551" s="13">
        <f>IF('0.0%'!$N551&lt;$Z$3,0, '0.0%'!$P551/'0.0%'!$N551)</f>
        <v>1.0017240899863742</v>
      </c>
      <c r="W551" s="13">
        <f>IF('0.0%'!$N551&lt;$Z$3,0, '0.0%'!$Q551/'0.0%'!$N551)</f>
        <v>1.0095937265370818</v>
      </c>
      <c r="X551" s="13">
        <f>IF('0.0%'!$N551&lt;$Z$3,0, '0.0%'!$R551/'0.0%'!$N551)</f>
        <v>1.0177414421178499</v>
      </c>
      <c r="Y551" s="13">
        <f>IF('0.0%'!$N551&lt;$Z$3,0, '0.0%'!$S551/'0.0%'!$N551)</f>
        <v>1.0105948110452991</v>
      </c>
    </row>
    <row r="552" spans="1:25" x14ac:dyDescent="0.3">
      <c r="A552" s="17">
        <v>615.75</v>
      </c>
      <c r="B552" s="10">
        <v>3574.6</v>
      </c>
      <c r="C552" s="9">
        <v>615.75</v>
      </c>
      <c r="D552" s="10">
        <v>3906.4</v>
      </c>
      <c r="E552" s="11">
        <v>615.75</v>
      </c>
      <c r="F552" s="12">
        <v>3580.9</v>
      </c>
      <c r="G552" s="11">
        <v>615.75</v>
      </c>
      <c r="H552" s="12">
        <v>3610</v>
      </c>
      <c r="I552" s="11">
        <v>615.75</v>
      </c>
      <c r="J552" s="12">
        <v>3640.7</v>
      </c>
      <c r="K552" s="11">
        <v>615.75</v>
      </c>
      <c r="L552" s="12">
        <v>3614.2</v>
      </c>
      <c r="M552" s="11">
        <v>615.75</v>
      </c>
      <c r="N552" s="13">
        <v>3574.6</v>
      </c>
      <c r="O552" s="13">
        <v>3906.4</v>
      </c>
      <c r="P552" s="13">
        <v>3580.9</v>
      </c>
      <c r="Q552" s="11">
        <v>3610</v>
      </c>
      <c r="R552" s="11">
        <v>3640.7</v>
      </c>
      <c r="S552" s="14">
        <v>3614.2</v>
      </c>
      <c r="T552" s="11">
        <v>615.75</v>
      </c>
      <c r="U552" s="13">
        <f>IF('0.0%'!$N552&lt;$Z$3,0, '0.0%'!$O552/'0.0%'!$N552)</f>
        <v>1.0928215744418956</v>
      </c>
      <c r="V552" s="13">
        <f>IF('0.0%'!$N552&lt;$Z$3,0, '0.0%'!$P552/'0.0%'!$N552)</f>
        <v>1.0017624349577576</v>
      </c>
      <c r="W552" s="13">
        <f>IF('0.0%'!$N552&lt;$Z$3,0, '0.0%'!$Q552/'0.0%'!$N552)</f>
        <v>1.0099032059531137</v>
      </c>
      <c r="X552" s="13">
        <f>IF('0.0%'!$N552&lt;$Z$3,0, '0.0%'!$R552/'0.0%'!$N552)</f>
        <v>1.0184915794774241</v>
      </c>
      <c r="Y552" s="13">
        <f>IF('0.0%'!$N552&lt;$Z$3,0, '0.0%'!$S552/'0.0%'!$N552)</f>
        <v>1.0110781625916185</v>
      </c>
    </row>
    <row r="553" spans="1:25" x14ac:dyDescent="0.3">
      <c r="A553" s="17">
        <v>616.74</v>
      </c>
      <c r="B553" s="10">
        <v>3548.7</v>
      </c>
      <c r="C553" s="9">
        <v>616.74</v>
      </c>
      <c r="D553" s="10">
        <v>3882.3</v>
      </c>
      <c r="E553" s="11">
        <v>616.74</v>
      </c>
      <c r="F553" s="12">
        <v>3555.1</v>
      </c>
      <c r="G553" s="11">
        <v>616.74</v>
      </c>
      <c r="H553" s="12">
        <v>3584.6</v>
      </c>
      <c r="I553" s="11">
        <v>616.74</v>
      </c>
      <c r="J553" s="12">
        <v>3616.8</v>
      </c>
      <c r="K553" s="11">
        <v>616.74</v>
      </c>
      <c r="L553" s="12">
        <v>3589.3</v>
      </c>
      <c r="M553" s="11">
        <v>616.74</v>
      </c>
      <c r="N553" s="13">
        <v>3548.7</v>
      </c>
      <c r="O553" s="13">
        <v>3882.3</v>
      </c>
      <c r="P553" s="13">
        <v>3555.1</v>
      </c>
      <c r="Q553" s="11">
        <v>3584.6</v>
      </c>
      <c r="R553" s="11">
        <v>3616.8</v>
      </c>
      <c r="S553" s="14">
        <v>3589.3</v>
      </c>
      <c r="T553" s="11">
        <v>616.74</v>
      </c>
      <c r="U553" s="13">
        <f>IF('0.0%'!$N553&lt;$Z$3,0, '0.0%'!$O553/'0.0%'!$N553)</f>
        <v>1.0940062558119876</v>
      </c>
      <c r="V553" s="13">
        <f>IF('0.0%'!$N553&lt;$Z$3,0, '0.0%'!$P553/'0.0%'!$N553)</f>
        <v>1.0018034773297264</v>
      </c>
      <c r="W553" s="13">
        <f>IF('0.0%'!$N553&lt;$Z$3,0, '0.0%'!$Q553/'0.0%'!$N553)</f>
        <v>1.0101163806464339</v>
      </c>
      <c r="X553" s="13">
        <f>IF('0.0%'!$N553&lt;$Z$3,0, '0.0%'!$R553/'0.0%'!$N553)</f>
        <v>1.0191901259616198</v>
      </c>
      <c r="Y553" s="13">
        <f>IF('0.0%'!$N553&lt;$Z$3,0, '0.0%'!$S553/'0.0%'!$N553)</f>
        <v>1.0114408093104519</v>
      </c>
    </row>
    <row r="554" spans="1:25" x14ac:dyDescent="0.3">
      <c r="A554" s="17">
        <v>617.73</v>
      </c>
      <c r="B554" s="10">
        <v>3518.4</v>
      </c>
      <c r="C554" s="9">
        <v>617.73</v>
      </c>
      <c r="D554" s="10">
        <v>3853.9</v>
      </c>
      <c r="E554" s="11">
        <v>617.73</v>
      </c>
      <c r="F554" s="12">
        <v>3525</v>
      </c>
      <c r="G554" s="11">
        <v>617.73</v>
      </c>
      <c r="H554" s="12">
        <v>3555</v>
      </c>
      <c r="I554" s="11">
        <v>617.73</v>
      </c>
      <c r="J554" s="12">
        <v>3588.9</v>
      </c>
      <c r="K554" s="11">
        <v>617.73</v>
      </c>
      <c r="L554" s="12">
        <v>3560.2</v>
      </c>
      <c r="M554" s="11">
        <v>617.73</v>
      </c>
      <c r="N554" s="13">
        <v>3518.4</v>
      </c>
      <c r="O554" s="13">
        <v>3853.9</v>
      </c>
      <c r="P554" s="13">
        <v>3525</v>
      </c>
      <c r="Q554" s="11">
        <v>3555</v>
      </c>
      <c r="R554" s="11">
        <v>3588.9</v>
      </c>
      <c r="S554" s="14">
        <v>3560.2</v>
      </c>
      <c r="T554" s="11">
        <v>617.73</v>
      </c>
      <c r="U554" s="13">
        <f>IF('0.0%'!$N554&lt;$Z$3,0, '0.0%'!$O554/'0.0%'!$N554)</f>
        <v>1.0953558435652568</v>
      </c>
      <c r="V554" s="13">
        <f>IF('0.0%'!$N554&lt;$Z$3,0, '0.0%'!$P554/'0.0%'!$N554)</f>
        <v>1.0018758526603002</v>
      </c>
      <c r="W554" s="13">
        <f>IF('0.0%'!$N554&lt;$Z$3,0, '0.0%'!$Q554/'0.0%'!$N554)</f>
        <v>1.0104024556616644</v>
      </c>
      <c r="X554" s="13">
        <f>IF('0.0%'!$N554&lt;$Z$3,0, '0.0%'!$R554/'0.0%'!$N554)</f>
        <v>1.0200375170532061</v>
      </c>
      <c r="Y554" s="13">
        <f>IF('0.0%'!$N554&lt;$Z$3,0, '0.0%'!$S554/'0.0%'!$N554)</f>
        <v>1.0118804001819008</v>
      </c>
    </row>
    <row r="555" spans="1:25" x14ac:dyDescent="0.3">
      <c r="A555" s="17">
        <v>618.73</v>
      </c>
      <c r="B555" s="10">
        <v>3486.9</v>
      </c>
      <c r="C555" s="9">
        <v>618.73</v>
      </c>
      <c r="D555" s="10">
        <v>3822.6</v>
      </c>
      <c r="E555" s="11">
        <v>618.73</v>
      </c>
      <c r="F555" s="12">
        <v>3493.9</v>
      </c>
      <c r="G555" s="11">
        <v>618.73</v>
      </c>
      <c r="H555" s="12">
        <v>3524</v>
      </c>
      <c r="I555" s="11">
        <v>618.73</v>
      </c>
      <c r="J555" s="12">
        <v>3559.4</v>
      </c>
      <c r="K555" s="11">
        <v>618.73</v>
      </c>
      <c r="L555" s="12">
        <v>3529.9</v>
      </c>
      <c r="M555" s="11">
        <v>618.73</v>
      </c>
      <c r="N555" s="13">
        <v>3486.9</v>
      </c>
      <c r="O555" s="13">
        <v>3822.6</v>
      </c>
      <c r="P555" s="13">
        <v>3493.9</v>
      </c>
      <c r="Q555" s="11">
        <v>3524</v>
      </c>
      <c r="R555" s="11">
        <v>3559.4</v>
      </c>
      <c r="S555" s="14">
        <v>3529.9</v>
      </c>
      <c r="T555" s="11">
        <v>618.73</v>
      </c>
      <c r="U555" s="13">
        <f>IF('0.0%'!$N555&lt;$Z$3,0, '0.0%'!$O555/'0.0%'!$N555)</f>
        <v>1.0962746278929707</v>
      </c>
      <c r="V555" s="13">
        <f>IF('0.0%'!$N555&lt;$Z$3,0, '0.0%'!$P555/'0.0%'!$N555)</f>
        <v>1.0020075138375062</v>
      </c>
      <c r="W555" s="13">
        <f>IF('0.0%'!$N555&lt;$Z$3,0, '0.0%'!$Q555/'0.0%'!$N555)</f>
        <v>1.0106398233387823</v>
      </c>
      <c r="X555" s="13">
        <f>IF('0.0%'!$N555&lt;$Z$3,0, '0.0%'!$R555/'0.0%'!$N555)</f>
        <v>1.0207921076027417</v>
      </c>
      <c r="Y555" s="13">
        <f>IF('0.0%'!$N555&lt;$Z$3,0, '0.0%'!$S555/'0.0%'!$N555)</f>
        <v>1.0123318707161089</v>
      </c>
    </row>
    <row r="556" spans="1:25" x14ac:dyDescent="0.3">
      <c r="A556" s="17">
        <v>619.72</v>
      </c>
      <c r="B556" s="10">
        <v>3443.4</v>
      </c>
      <c r="C556" s="9">
        <v>619.72</v>
      </c>
      <c r="D556" s="10">
        <v>3778.9</v>
      </c>
      <c r="E556" s="11">
        <v>619.72</v>
      </c>
      <c r="F556" s="12">
        <v>3451.2</v>
      </c>
      <c r="G556" s="11">
        <v>619.72</v>
      </c>
      <c r="H556" s="12">
        <v>3481.4</v>
      </c>
      <c r="I556" s="11">
        <v>619.72</v>
      </c>
      <c r="J556" s="12">
        <v>3518.5</v>
      </c>
      <c r="K556" s="11">
        <v>619.72</v>
      </c>
      <c r="L556" s="12">
        <v>3487.8</v>
      </c>
      <c r="M556" s="11">
        <v>619.72</v>
      </c>
      <c r="N556" s="13">
        <v>3443.4</v>
      </c>
      <c r="O556" s="13">
        <v>3778.9</v>
      </c>
      <c r="P556" s="13">
        <v>3451.2</v>
      </c>
      <c r="Q556" s="11">
        <v>3481.4</v>
      </c>
      <c r="R556" s="11">
        <v>3518.5</v>
      </c>
      <c r="S556" s="14">
        <v>3487.8</v>
      </c>
      <c r="T556" s="11">
        <v>619.72</v>
      </c>
      <c r="U556" s="13">
        <f>IF('0.0%'!$N556&lt;$Z$3,0, '0.0%'!$O556/'0.0%'!$N556)</f>
        <v>1.0974327699366906</v>
      </c>
      <c r="V556" s="13">
        <f>IF('0.0%'!$N556&lt;$Z$3,0, '0.0%'!$P556/'0.0%'!$N556)</f>
        <v>1.0022652029970378</v>
      </c>
      <c r="W556" s="13">
        <f>IF('0.0%'!$N556&lt;$Z$3,0, '0.0%'!$Q556/'0.0%'!$N556)</f>
        <v>1.0110356043445432</v>
      </c>
      <c r="X556" s="13">
        <f>IF('0.0%'!$N556&lt;$Z$3,0, '0.0%'!$R556/'0.0%'!$N556)</f>
        <v>1.021809839112505</v>
      </c>
      <c r="Y556" s="13">
        <f>IF('0.0%'!$N556&lt;$Z$3,0, '0.0%'!$S556/'0.0%'!$N556)</f>
        <v>1.0128942324446768</v>
      </c>
    </row>
    <row r="557" spans="1:25" x14ac:dyDescent="0.3">
      <c r="A557" s="17">
        <v>620.71</v>
      </c>
      <c r="B557" s="10">
        <v>3390.1</v>
      </c>
      <c r="C557" s="9">
        <v>620.71</v>
      </c>
      <c r="D557" s="10">
        <v>3723.7</v>
      </c>
      <c r="E557" s="11">
        <v>620.71</v>
      </c>
      <c r="F557" s="12">
        <v>3398.3</v>
      </c>
      <c r="G557" s="11">
        <v>620.71</v>
      </c>
      <c r="H557" s="12">
        <v>3428.5</v>
      </c>
      <c r="I557" s="11">
        <v>620.71</v>
      </c>
      <c r="J557" s="12">
        <v>3467.5</v>
      </c>
      <c r="K557" s="11">
        <v>620.71</v>
      </c>
      <c r="L557" s="12">
        <v>3435.4</v>
      </c>
      <c r="M557" s="11">
        <v>620.71</v>
      </c>
      <c r="N557" s="13">
        <v>3390.1</v>
      </c>
      <c r="O557" s="13">
        <v>3723.7</v>
      </c>
      <c r="P557" s="13">
        <v>3398.3</v>
      </c>
      <c r="Q557" s="11">
        <v>3428.5</v>
      </c>
      <c r="R557" s="11">
        <v>3467.5</v>
      </c>
      <c r="S557" s="14">
        <v>3435.4</v>
      </c>
      <c r="T557" s="11">
        <v>620.71</v>
      </c>
      <c r="U557" s="13">
        <f>IF('0.0%'!$N557&lt;$Z$3,0, '0.0%'!$O557/'0.0%'!$N557)</f>
        <v>1.0984041768679389</v>
      </c>
      <c r="V557" s="13">
        <f>IF('0.0%'!$N557&lt;$Z$3,0, '0.0%'!$P557/'0.0%'!$N557)</f>
        <v>1.0024188077047875</v>
      </c>
      <c r="W557" s="13">
        <f>IF('0.0%'!$N557&lt;$Z$3,0, '0.0%'!$Q557/'0.0%'!$N557)</f>
        <v>1.0113270994955901</v>
      </c>
      <c r="X557" s="13">
        <f>IF('0.0%'!$N557&lt;$Z$3,0, '0.0%'!$R557/'0.0%'!$N557)</f>
        <v>1.0228311849207987</v>
      </c>
      <c r="Y557" s="13">
        <f>IF('0.0%'!$N557&lt;$Z$3,0, '0.0%'!$S557/'0.0%'!$N557)</f>
        <v>1.013362437686204</v>
      </c>
    </row>
    <row r="558" spans="1:25" x14ac:dyDescent="0.3">
      <c r="A558" s="17">
        <v>621.70000000000005</v>
      </c>
      <c r="B558" s="10">
        <v>3319.8</v>
      </c>
      <c r="C558" s="9">
        <v>621.70000000000005</v>
      </c>
      <c r="D558" s="10">
        <v>3649.8</v>
      </c>
      <c r="E558" s="11">
        <v>621.70000000000005</v>
      </c>
      <c r="F558" s="12">
        <v>3327.9</v>
      </c>
      <c r="G558" s="11">
        <v>621.70000000000005</v>
      </c>
      <c r="H558" s="12">
        <v>3358.4</v>
      </c>
      <c r="I558" s="11">
        <v>621.70000000000005</v>
      </c>
      <c r="J558" s="12">
        <v>3399.8</v>
      </c>
      <c r="K558" s="11">
        <v>621.70000000000005</v>
      </c>
      <c r="L558" s="12">
        <v>3365.8</v>
      </c>
      <c r="M558" s="11">
        <v>621.70000000000005</v>
      </c>
      <c r="N558" s="13">
        <v>3319.8</v>
      </c>
      <c r="O558" s="13">
        <v>3649.8</v>
      </c>
      <c r="P558" s="13">
        <v>3327.9</v>
      </c>
      <c r="Q558" s="11">
        <v>3358.4</v>
      </c>
      <c r="R558" s="11">
        <v>3399.8</v>
      </c>
      <c r="S558" s="14">
        <v>3365.8</v>
      </c>
      <c r="T558" s="11">
        <v>621.70000000000005</v>
      </c>
      <c r="U558" s="13">
        <f>IF('0.0%'!$N558&lt;$Z$3,0, '0.0%'!$O558/'0.0%'!$N558)</f>
        <v>1.099403578528827</v>
      </c>
      <c r="V558" s="13">
        <f>IF('0.0%'!$N558&lt;$Z$3,0, '0.0%'!$P558/'0.0%'!$N558)</f>
        <v>1.0024399060184348</v>
      </c>
      <c r="W558" s="13">
        <f>IF('0.0%'!$N558&lt;$Z$3,0, '0.0%'!$Q558/'0.0%'!$N558)</f>
        <v>1.0116272064582204</v>
      </c>
      <c r="X558" s="13">
        <f>IF('0.0%'!$N558&lt;$Z$3,0, '0.0%'!$R558/'0.0%'!$N558)</f>
        <v>1.0240978372191096</v>
      </c>
      <c r="Y558" s="13">
        <f>IF('0.0%'!$N558&lt;$Z$3,0, '0.0%'!$S558/'0.0%'!$N558)</f>
        <v>1.0138562564009881</v>
      </c>
    </row>
    <row r="559" spans="1:25" x14ac:dyDescent="0.3">
      <c r="A559" s="17">
        <v>622.69000000000005</v>
      </c>
      <c r="B559" s="10">
        <v>3226.8</v>
      </c>
      <c r="C559" s="9">
        <v>622.69000000000005</v>
      </c>
      <c r="D559" s="10">
        <v>3551.3</v>
      </c>
      <c r="E559" s="11">
        <v>622.69000000000005</v>
      </c>
      <c r="F559" s="12">
        <v>3234.6</v>
      </c>
      <c r="G559" s="11">
        <v>622.69000000000005</v>
      </c>
      <c r="H559" s="12">
        <v>3265.9</v>
      </c>
      <c r="I559" s="11">
        <v>622.69000000000005</v>
      </c>
      <c r="J559" s="12">
        <v>3309.1</v>
      </c>
      <c r="K559" s="11">
        <v>622.69000000000005</v>
      </c>
      <c r="L559" s="12">
        <v>3273.2</v>
      </c>
      <c r="M559" s="11">
        <v>622.69000000000005</v>
      </c>
      <c r="N559" s="13">
        <v>3226.8</v>
      </c>
      <c r="O559" s="13">
        <v>3551.3</v>
      </c>
      <c r="P559" s="13">
        <v>3234.6</v>
      </c>
      <c r="Q559" s="11">
        <v>3265.9</v>
      </c>
      <c r="R559" s="11">
        <v>3309.1</v>
      </c>
      <c r="S559" s="14">
        <v>3273.2</v>
      </c>
      <c r="T559" s="11">
        <v>622.69000000000005</v>
      </c>
      <c r="U559" s="13">
        <f>IF('0.0%'!$N559&lt;$Z$3,0, '0.0%'!$O559/'0.0%'!$N559)</f>
        <v>1.1005640262799057</v>
      </c>
      <c r="V559" s="13">
        <f>IF('0.0%'!$N559&lt;$Z$3,0, '0.0%'!$P559/'0.0%'!$N559)</f>
        <v>1.0024172554853104</v>
      </c>
      <c r="W559" s="13">
        <f>IF('0.0%'!$N559&lt;$Z$3,0, '0.0%'!$Q559/'0.0%'!$N559)</f>
        <v>1.0121172678814925</v>
      </c>
      <c r="X559" s="13">
        <f>IF('0.0%'!$N559&lt;$Z$3,0, '0.0%'!$R559/'0.0%'!$N559)</f>
        <v>1.0255051444155199</v>
      </c>
      <c r="Y559" s="13">
        <f>IF('0.0%'!$N559&lt;$Z$3,0, '0.0%'!$S559/'0.0%'!$N559)</f>
        <v>1.0143795710921035</v>
      </c>
    </row>
    <row r="560" spans="1:25" x14ac:dyDescent="0.3">
      <c r="A560" s="17">
        <v>623.69000000000005</v>
      </c>
      <c r="B560" s="10">
        <v>3111.1</v>
      </c>
      <c r="C560" s="9">
        <v>623.69000000000005</v>
      </c>
      <c r="D560" s="10">
        <v>3428.3</v>
      </c>
      <c r="E560" s="11">
        <v>623.69000000000005</v>
      </c>
      <c r="F560" s="12">
        <v>3118</v>
      </c>
      <c r="G560" s="11">
        <v>623.69000000000005</v>
      </c>
      <c r="H560" s="12">
        <v>3151</v>
      </c>
      <c r="I560" s="11">
        <v>623.69000000000005</v>
      </c>
      <c r="J560" s="12">
        <v>3196.2</v>
      </c>
      <c r="K560" s="11">
        <v>623.69000000000005</v>
      </c>
      <c r="L560" s="12">
        <v>3158.1</v>
      </c>
      <c r="M560" s="11">
        <v>623.69000000000005</v>
      </c>
      <c r="N560" s="13">
        <v>3111.1</v>
      </c>
      <c r="O560" s="13">
        <v>3428.3</v>
      </c>
      <c r="P560" s="13">
        <v>3118</v>
      </c>
      <c r="Q560" s="11">
        <v>3151</v>
      </c>
      <c r="R560" s="11">
        <v>3196.2</v>
      </c>
      <c r="S560" s="14">
        <v>3158.1</v>
      </c>
      <c r="T560" s="11">
        <v>623.69000000000005</v>
      </c>
      <c r="U560" s="13">
        <f>IF('0.0%'!$N560&lt;$Z$3,0, '0.0%'!$O560/'0.0%'!$N560)</f>
        <v>1.1019575069910965</v>
      </c>
      <c r="V560" s="13">
        <f>IF('0.0%'!$N560&lt;$Z$3,0, '0.0%'!$P560/'0.0%'!$N560)</f>
        <v>1.0022178650638038</v>
      </c>
      <c r="W560" s="13">
        <f>IF('0.0%'!$N560&lt;$Z$3,0, '0.0%'!$Q560/'0.0%'!$N560)</f>
        <v>1.0128250458037351</v>
      </c>
      <c r="X560" s="13">
        <f>IF('0.0%'!$N560&lt;$Z$3,0, '0.0%'!$R560/'0.0%'!$N560)</f>
        <v>1.0273536691202467</v>
      </c>
      <c r="Y560" s="13">
        <f>IF('0.0%'!$N560&lt;$Z$3,0, '0.0%'!$S560/'0.0%'!$N560)</f>
        <v>1.0151071968114171</v>
      </c>
    </row>
    <row r="561" spans="1:25" x14ac:dyDescent="0.3">
      <c r="A561" s="17">
        <v>624.67999999999995</v>
      </c>
      <c r="B561" s="10">
        <v>2957.9</v>
      </c>
      <c r="C561" s="9">
        <v>624.67999999999995</v>
      </c>
      <c r="D561" s="10">
        <v>3262.8</v>
      </c>
      <c r="E561" s="11">
        <v>624.67999999999995</v>
      </c>
      <c r="F561" s="12">
        <v>2962.5</v>
      </c>
      <c r="G561" s="11">
        <v>624.67999999999995</v>
      </c>
      <c r="H561" s="12">
        <v>2998.6</v>
      </c>
      <c r="I561" s="11">
        <v>624.67999999999995</v>
      </c>
      <c r="J561" s="12">
        <v>3044.7</v>
      </c>
      <c r="K561" s="11">
        <v>624.67999999999995</v>
      </c>
      <c r="L561" s="12">
        <v>3005.3</v>
      </c>
      <c r="M561" s="11">
        <v>624.67999999999995</v>
      </c>
      <c r="N561" s="13">
        <v>2957.9</v>
      </c>
      <c r="O561" s="13">
        <v>3262.8</v>
      </c>
      <c r="P561" s="13">
        <v>2962.5</v>
      </c>
      <c r="Q561" s="11">
        <v>2998.6</v>
      </c>
      <c r="R561" s="11">
        <v>3044.7</v>
      </c>
      <c r="S561" s="14">
        <v>3005.3</v>
      </c>
      <c r="T561" s="11">
        <v>624.67999999999995</v>
      </c>
      <c r="U561" s="13">
        <f>IF('0.0%'!$N561&lt;$Z$3,0, '0.0%'!$O561/'0.0%'!$N561)</f>
        <v>1.1030798877582069</v>
      </c>
      <c r="V561" s="13">
        <f>IF('0.0%'!$N561&lt;$Z$3,0, '0.0%'!$P561/'0.0%'!$N561)</f>
        <v>1.0015551573751649</v>
      </c>
      <c r="W561" s="13">
        <f>IF('0.0%'!$N561&lt;$Z$3,0, '0.0%'!$Q561/'0.0%'!$N561)</f>
        <v>1.0137597619933061</v>
      </c>
      <c r="X561" s="13">
        <f>IF('0.0%'!$N561&lt;$Z$3,0, '0.0%'!$R561/'0.0%'!$N561)</f>
        <v>1.0293451435139793</v>
      </c>
      <c r="Y561" s="13">
        <f>IF('0.0%'!$N561&lt;$Z$3,0, '0.0%'!$S561/'0.0%'!$N561)</f>
        <v>1.0160248825180027</v>
      </c>
    </row>
    <row r="562" spans="1:25" x14ac:dyDescent="0.3">
      <c r="A562" s="17">
        <v>625.66999999999996</v>
      </c>
      <c r="B562" s="10">
        <v>2774.4</v>
      </c>
      <c r="C562" s="9">
        <v>625.66999999999996</v>
      </c>
      <c r="D562" s="10">
        <v>3066</v>
      </c>
      <c r="E562" s="11">
        <v>625.66999999999996</v>
      </c>
      <c r="F562" s="12">
        <v>2777.6</v>
      </c>
      <c r="G562" s="11">
        <v>625.66999999999996</v>
      </c>
      <c r="H562" s="12">
        <v>2817</v>
      </c>
      <c r="I562" s="11">
        <v>625.66999999999996</v>
      </c>
      <c r="J562" s="12">
        <v>2866.7</v>
      </c>
      <c r="K562" s="11">
        <v>625.66999999999996</v>
      </c>
      <c r="L562" s="12">
        <v>2825.2</v>
      </c>
      <c r="M562" s="11">
        <v>625.66999999999996</v>
      </c>
      <c r="N562" s="13">
        <v>2774.4</v>
      </c>
      <c r="O562" s="13">
        <v>3066</v>
      </c>
      <c r="P562" s="13">
        <v>2777.6</v>
      </c>
      <c r="Q562" s="11">
        <v>2817</v>
      </c>
      <c r="R562" s="11">
        <v>2866.7</v>
      </c>
      <c r="S562" s="14">
        <v>2825.2</v>
      </c>
      <c r="T562" s="11">
        <v>625.66999999999996</v>
      </c>
      <c r="U562" s="13">
        <f>IF('0.0%'!$N562&lt;$Z$3,0, '0.0%'!$O562/'0.0%'!$N562)</f>
        <v>1.1051038062283736</v>
      </c>
      <c r="V562" s="13">
        <f>IF('0.0%'!$N562&lt;$Z$3,0, '0.0%'!$P562/'0.0%'!$N562)</f>
        <v>1.0011534025374855</v>
      </c>
      <c r="W562" s="13">
        <f>IF('0.0%'!$N562&lt;$Z$3,0, '0.0%'!$Q562/'0.0%'!$N562)</f>
        <v>1.0153546712802768</v>
      </c>
      <c r="X562" s="13">
        <f>IF('0.0%'!$N562&lt;$Z$3,0, '0.0%'!$R562/'0.0%'!$N562)</f>
        <v>1.0332684544405997</v>
      </c>
      <c r="Y562" s="13">
        <f>IF('0.0%'!$N562&lt;$Z$3,0, '0.0%'!$S562/'0.0%'!$N562)</f>
        <v>1.0183102652825835</v>
      </c>
    </row>
    <row r="563" spans="1:25" x14ac:dyDescent="0.3">
      <c r="A563" s="17">
        <v>626.66</v>
      </c>
      <c r="B563" s="10">
        <v>2511.6999999999998</v>
      </c>
      <c r="C563" s="9">
        <v>626.66</v>
      </c>
      <c r="D563" s="10">
        <v>2778.1</v>
      </c>
      <c r="E563" s="11">
        <v>626.66</v>
      </c>
      <c r="F563" s="12">
        <v>2514.9</v>
      </c>
      <c r="G563" s="11">
        <v>626.66</v>
      </c>
      <c r="H563" s="12">
        <v>2555.6</v>
      </c>
      <c r="I563" s="11">
        <v>626.66</v>
      </c>
      <c r="J563" s="12">
        <v>2614.3000000000002</v>
      </c>
      <c r="K563" s="11">
        <v>626.66</v>
      </c>
      <c r="L563" s="12">
        <v>2563.1</v>
      </c>
      <c r="M563" s="11">
        <v>626.66</v>
      </c>
      <c r="N563" s="13">
        <v>2511.6999999999998</v>
      </c>
      <c r="O563" s="13">
        <v>2778.1</v>
      </c>
      <c r="P563" s="13">
        <v>2514.9</v>
      </c>
      <c r="Q563" s="11">
        <v>2555.6</v>
      </c>
      <c r="R563" s="11">
        <v>2614.3000000000002</v>
      </c>
      <c r="S563" s="14">
        <v>2563.1</v>
      </c>
      <c r="T563" s="11">
        <v>626.66</v>
      </c>
      <c r="U563" s="13">
        <f>IF('0.0%'!$N563&lt;$Z$3,0, '0.0%'!$O563/'0.0%'!$N563)</f>
        <v>1.1060636222478799</v>
      </c>
      <c r="V563" s="13">
        <f>IF('0.0%'!$N563&lt;$Z$3,0, '0.0%'!$P563/'0.0%'!$N563)</f>
        <v>1.0012740375044791</v>
      </c>
      <c r="W563" s="13">
        <f>IF('0.0%'!$N563&lt;$Z$3,0, '0.0%'!$Q563/'0.0%'!$N563)</f>
        <v>1.0174782020145718</v>
      </c>
      <c r="X563" s="13">
        <f>IF('0.0%'!$N563&lt;$Z$3,0, '0.0%'!$R563/'0.0%'!$N563)</f>
        <v>1.0408488274873593</v>
      </c>
      <c r="Y563" s="13">
        <f>IF('0.0%'!$N563&lt;$Z$3,0, '0.0%'!$S563/'0.0%'!$N563)</f>
        <v>1.0204642274156945</v>
      </c>
    </row>
    <row r="564" spans="1:25" x14ac:dyDescent="0.3">
      <c r="A564" s="17">
        <v>627.65</v>
      </c>
      <c r="B564" s="10">
        <v>2274.8000000000002</v>
      </c>
      <c r="C564" s="9">
        <v>627.65</v>
      </c>
      <c r="D564" s="10">
        <v>2514.5</v>
      </c>
      <c r="E564" s="11">
        <v>627.65</v>
      </c>
      <c r="F564" s="12">
        <v>2277.5</v>
      </c>
      <c r="G564" s="11">
        <v>627.65</v>
      </c>
      <c r="H564" s="12">
        <v>2317.8000000000002</v>
      </c>
      <c r="I564" s="11">
        <v>627.65</v>
      </c>
      <c r="J564" s="12">
        <v>2379</v>
      </c>
      <c r="K564" s="11">
        <v>627.65</v>
      </c>
      <c r="L564" s="12">
        <v>2327.9</v>
      </c>
      <c r="M564" s="11">
        <v>627.65</v>
      </c>
      <c r="N564" s="13">
        <v>2274.8000000000002</v>
      </c>
      <c r="O564" s="13">
        <v>2514.5</v>
      </c>
      <c r="P564" s="13">
        <v>2277.5</v>
      </c>
      <c r="Q564" s="11">
        <v>2317.8000000000002</v>
      </c>
      <c r="R564" s="11">
        <v>2379</v>
      </c>
      <c r="S564" s="14">
        <v>2327.9</v>
      </c>
      <c r="T564" s="11">
        <v>627.65</v>
      </c>
      <c r="U564" s="13">
        <f>IF('0.0%'!$N564&lt;$Z$3,0, '0.0%'!$O564/'0.0%'!$N564)</f>
        <v>1.1053719008264462</v>
      </c>
      <c r="V564" s="13">
        <f>IF('0.0%'!$N564&lt;$Z$3,0, '0.0%'!$P564/'0.0%'!$N564)</f>
        <v>1.0011869175312114</v>
      </c>
      <c r="W564" s="13">
        <f>IF('0.0%'!$N564&lt;$Z$3,0, '0.0%'!$Q564/'0.0%'!$N564)</f>
        <v>1.0189027606822578</v>
      </c>
      <c r="X564" s="13">
        <f>IF('0.0%'!$N564&lt;$Z$3,0, '0.0%'!$R564/'0.0%'!$N564)</f>
        <v>1.0458062247230524</v>
      </c>
      <c r="Y564" s="13">
        <f>IF('0.0%'!$N564&lt;$Z$3,0, '0.0%'!$S564/'0.0%'!$N564)</f>
        <v>1.02334271144716</v>
      </c>
    </row>
    <row r="565" spans="1:25" x14ac:dyDescent="0.3">
      <c r="A565" s="17">
        <v>628.64</v>
      </c>
      <c r="B565" s="10">
        <v>2080.3000000000002</v>
      </c>
      <c r="C565" s="9">
        <v>628.64</v>
      </c>
      <c r="D565" s="10">
        <v>2297.4</v>
      </c>
      <c r="E565" s="11">
        <v>628.64</v>
      </c>
      <c r="F565" s="12">
        <v>2084.3000000000002</v>
      </c>
      <c r="G565" s="11">
        <v>628.64</v>
      </c>
      <c r="H565" s="12">
        <v>2115.9</v>
      </c>
      <c r="I565" s="11">
        <v>628.64</v>
      </c>
      <c r="J565" s="12">
        <v>2178.5</v>
      </c>
      <c r="K565" s="11">
        <v>628.64</v>
      </c>
      <c r="L565" s="12">
        <v>2124.9</v>
      </c>
      <c r="M565" s="11">
        <v>628.64</v>
      </c>
      <c r="N565" s="13">
        <v>2080.3000000000002</v>
      </c>
      <c r="O565" s="13">
        <v>2297.4</v>
      </c>
      <c r="P565" s="13">
        <v>2084.3000000000002</v>
      </c>
      <c r="Q565" s="11">
        <v>2115.9</v>
      </c>
      <c r="R565" s="11">
        <v>2178.5</v>
      </c>
      <c r="S565" s="14">
        <v>2124.9</v>
      </c>
      <c r="T565" s="11">
        <v>628.64</v>
      </c>
      <c r="U565" s="13">
        <f>IF('0.0%'!$N565&lt;$Z$3,0, '0.0%'!$O565/'0.0%'!$N565)</f>
        <v>1.1043599480844108</v>
      </c>
      <c r="V565" s="13">
        <f>IF('0.0%'!$N565&lt;$Z$3,0, '0.0%'!$P565/'0.0%'!$N565)</f>
        <v>1.0019227995962121</v>
      </c>
      <c r="W565" s="13">
        <f>IF('0.0%'!$N565&lt;$Z$3,0, '0.0%'!$Q565/'0.0%'!$N565)</f>
        <v>1.0171129164062875</v>
      </c>
      <c r="X565" s="13">
        <f>IF('0.0%'!$N565&lt;$Z$3,0, '0.0%'!$R565/'0.0%'!$N565)</f>
        <v>1.0472047300870067</v>
      </c>
      <c r="Y565" s="13">
        <f>IF('0.0%'!$N565&lt;$Z$3,0, '0.0%'!$S565/'0.0%'!$N565)</f>
        <v>1.0214392154977647</v>
      </c>
    </row>
    <row r="566" spans="1:25" x14ac:dyDescent="0.3">
      <c r="A566" s="17">
        <v>629.64</v>
      </c>
      <c r="B566" s="10">
        <v>1929</v>
      </c>
      <c r="C566" s="9">
        <v>629.64</v>
      </c>
      <c r="D566" s="10">
        <v>2127</v>
      </c>
      <c r="E566" s="11">
        <v>629.64</v>
      </c>
      <c r="F566" s="12">
        <v>1932.5</v>
      </c>
      <c r="G566" s="11">
        <v>629.64</v>
      </c>
      <c r="H566" s="12">
        <v>1958.7</v>
      </c>
      <c r="I566" s="11">
        <v>629.64</v>
      </c>
      <c r="J566" s="12">
        <v>2015.8</v>
      </c>
      <c r="K566" s="11">
        <v>629.64</v>
      </c>
      <c r="L566" s="12">
        <v>1967.3</v>
      </c>
      <c r="M566" s="11">
        <v>629.64</v>
      </c>
      <c r="N566" s="13">
        <v>1929</v>
      </c>
      <c r="O566" s="13">
        <v>2127</v>
      </c>
      <c r="P566" s="13">
        <v>1932.5</v>
      </c>
      <c r="Q566" s="11">
        <v>1958.7</v>
      </c>
      <c r="R566" s="11">
        <v>2015.8</v>
      </c>
      <c r="S566" s="14">
        <v>1967.3</v>
      </c>
      <c r="T566" s="11">
        <v>629.64</v>
      </c>
      <c r="U566" s="13">
        <f>IF('0.0%'!$N566&lt;$Z$3,0, '0.0%'!$O566/'0.0%'!$N566)</f>
        <v>1.1026438569206842</v>
      </c>
      <c r="V566" s="13">
        <f>IF('0.0%'!$N566&lt;$Z$3,0, '0.0%'!$P566/'0.0%'!$N566)</f>
        <v>1.0018144116122343</v>
      </c>
      <c r="W566" s="13">
        <f>IF('0.0%'!$N566&lt;$Z$3,0, '0.0%'!$Q566/'0.0%'!$N566)</f>
        <v>1.0153965785381027</v>
      </c>
      <c r="X566" s="13">
        <f>IF('0.0%'!$N566&lt;$Z$3,0, '0.0%'!$R566/'0.0%'!$N566)</f>
        <v>1.044997407983411</v>
      </c>
      <c r="Y566" s="13">
        <f>IF('0.0%'!$N566&lt;$Z$3,0, '0.0%'!$S566/'0.0%'!$N566)</f>
        <v>1.0198548470710211</v>
      </c>
    </row>
    <row r="567" spans="1:25" x14ac:dyDescent="0.3">
      <c r="A567" s="17">
        <v>630.63</v>
      </c>
      <c r="B567" s="10">
        <v>1814.3</v>
      </c>
      <c r="C567" s="9">
        <v>630.63</v>
      </c>
      <c r="D567" s="10">
        <v>1999.9</v>
      </c>
      <c r="E567" s="11">
        <v>630.63</v>
      </c>
      <c r="F567" s="12">
        <v>1817.7</v>
      </c>
      <c r="G567" s="11">
        <v>630.63</v>
      </c>
      <c r="H567" s="12">
        <v>1840.7</v>
      </c>
      <c r="I567" s="11">
        <v>630.63</v>
      </c>
      <c r="J567" s="12">
        <v>1892.7</v>
      </c>
      <c r="K567" s="11">
        <v>630.63</v>
      </c>
      <c r="L567" s="12">
        <v>1849.3</v>
      </c>
      <c r="M567" s="11">
        <v>630.63</v>
      </c>
      <c r="N567" s="13">
        <v>1814.3</v>
      </c>
      <c r="O567" s="13">
        <v>1999.9</v>
      </c>
      <c r="P567" s="13">
        <v>1817.7</v>
      </c>
      <c r="Q567" s="11">
        <v>1840.7</v>
      </c>
      <c r="R567" s="11">
        <v>1892.7</v>
      </c>
      <c r="S567" s="14">
        <v>1849.3</v>
      </c>
      <c r="T567" s="11">
        <v>630.63</v>
      </c>
      <c r="U567" s="13">
        <f>IF('0.0%'!$N567&lt;$Z$3,0, '0.0%'!$O567/'0.0%'!$N567)</f>
        <v>1.1022984070991568</v>
      </c>
      <c r="V567" s="13">
        <f>IF('0.0%'!$N567&lt;$Z$3,0, '0.0%'!$P567/'0.0%'!$N567)</f>
        <v>1.0018740009921183</v>
      </c>
      <c r="W567" s="13">
        <f>IF('0.0%'!$N567&lt;$Z$3,0, '0.0%'!$Q567/'0.0%'!$N567)</f>
        <v>1.0145510665270352</v>
      </c>
      <c r="X567" s="13">
        <f>IF('0.0%'!$N567&lt;$Z$3,0, '0.0%'!$R567/'0.0%'!$N567)</f>
        <v>1.0432122581711956</v>
      </c>
      <c r="Y567" s="13">
        <f>IF('0.0%'!$N567&lt;$Z$3,0, '0.0%'!$S567/'0.0%'!$N567)</f>
        <v>1.0192911866835694</v>
      </c>
    </row>
    <row r="568" spans="1:25" x14ac:dyDescent="0.3">
      <c r="A568" s="17">
        <v>631.62</v>
      </c>
      <c r="B568" s="10">
        <v>1720.1</v>
      </c>
      <c r="C568" s="9">
        <v>631.62</v>
      </c>
      <c r="D568" s="10">
        <v>1895.6</v>
      </c>
      <c r="E568" s="11">
        <v>631.62</v>
      </c>
      <c r="F568" s="12">
        <v>1723.4</v>
      </c>
      <c r="G568" s="11">
        <v>631.62</v>
      </c>
      <c r="H568" s="12">
        <v>1743.9</v>
      </c>
      <c r="I568" s="11">
        <v>631.62</v>
      </c>
      <c r="J568" s="12">
        <v>1794.2</v>
      </c>
      <c r="K568" s="11">
        <v>631.62</v>
      </c>
      <c r="L568" s="12">
        <v>1752.5</v>
      </c>
      <c r="M568" s="11">
        <v>631.62</v>
      </c>
      <c r="N568" s="13">
        <v>1720.1</v>
      </c>
      <c r="O568" s="13">
        <v>1895.6</v>
      </c>
      <c r="P568" s="13">
        <v>1723.4</v>
      </c>
      <c r="Q568" s="11">
        <v>1743.9</v>
      </c>
      <c r="R568" s="11">
        <v>1794.2</v>
      </c>
      <c r="S568" s="14">
        <v>1752.5</v>
      </c>
      <c r="T568" s="11">
        <v>631.62</v>
      </c>
      <c r="U568" s="13">
        <f>IF('0.0%'!$N568&lt;$Z$3,0, '0.0%'!$O568/'0.0%'!$N568)</f>
        <v>1.1020289518051276</v>
      </c>
      <c r="V568" s="13">
        <f>IF('0.0%'!$N568&lt;$Z$3,0, '0.0%'!$P568/'0.0%'!$N568)</f>
        <v>1.0019184931108658</v>
      </c>
      <c r="W568" s="13">
        <f>IF('0.0%'!$N568&lt;$Z$3,0, '0.0%'!$Q568/'0.0%'!$N568)</f>
        <v>1.0138364048601827</v>
      </c>
      <c r="X568" s="13">
        <f>IF('0.0%'!$N568&lt;$Z$3,0, '0.0%'!$R568/'0.0%'!$N568)</f>
        <v>1.0430788907621651</v>
      </c>
      <c r="Y568" s="13">
        <f>IF('0.0%'!$N568&lt;$Z$3,0, '0.0%'!$S568/'0.0%'!$N568)</f>
        <v>1.0188361141794082</v>
      </c>
    </row>
    <row r="569" spans="1:25" x14ac:dyDescent="0.3">
      <c r="A569" s="17">
        <v>632.61</v>
      </c>
      <c r="B569" s="10">
        <v>1642</v>
      </c>
      <c r="C569" s="9">
        <v>632.61</v>
      </c>
      <c r="D569" s="10">
        <v>1809.2</v>
      </c>
      <c r="E569" s="11">
        <v>632.61</v>
      </c>
      <c r="F569" s="12">
        <v>1645.1</v>
      </c>
      <c r="G569" s="11">
        <v>632.61</v>
      </c>
      <c r="H569" s="12">
        <v>1663.6</v>
      </c>
      <c r="I569" s="11">
        <v>632.61</v>
      </c>
      <c r="J569" s="12">
        <v>1712.3</v>
      </c>
      <c r="K569" s="11">
        <v>632.61</v>
      </c>
      <c r="L569" s="12">
        <v>1672.1</v>
      </c>
      <c r="M569" s="11">
        <v>632.61</v>
      </c>
      <c r="N569" s="13">
        <v>1642</v>
      </c>
      <c r="O569" s="13">
        <v>1809.2</v>
      </c>
      <c r="P569" s="13">
        <v>1645.1</v>
      </c>
      <c r="Q569" s="11">
        <v>1663.6</v>
      </c>
      <c r="R569" s="11">
        <v>1712.3</v>
      </c>
      <c r="S569" s="14">
        <v>1672.1</v>
      </c>
      <c r="T569" s="11">
        <v>632.61</v>
      </c>
      <c r="U569" s="13">
        <f>IF('0.0%'!$N569&lt;$Z$3,0, '0.0%'!$O569/'0.0%'!$N569)</f>
        <v>1.1018270401948844</v>
      </c>
      <c r="V569" s="13">
        <f>IF('0.0%'!$N569&lt;$Z$3,0, '0.0%'!$P569/'0.0%'!$N569)</f>
        <v>1.0018879415347137</v>
      </c>
      <c r="W569" s="13">
        <f>IF('0.0%'!$N569&lt;$Z$3,0, '0.0%'!$Q569/'0.0%'!$N569)</f>
        <v>1.0131546894031669</v>
      </c>
      <c r="X569" s="13">
        <f>IF('0.0%'!$N569&lt;$Z$3,0, '0.0%'!$R569/'0.0%'!$N569)</f>
        <v>1.0428136419001217</v>
      </c>
      <c r="Y569" s="13">
        <f>IF('0.0%'!$N569&lt;$Z$3,0, '0.0%'!$S569/'0.0%'!$N569)</f>
        <v>1.0183313032886723</v>
      </c>
    </row>
    <row r="570" spans="1:25" x14ac:dyDescent="0.3">
      <c r="A570" s="17">
        <v>633.6</v>
      </c>
      <c r="B570" s="10">
        <v>1577.2</v>
      </c>
      <c r="C570" s="9">
        <v>633.6</v>
      </c>
      <c r="D570" s="10">
        <v>1737.8</v>
      </c>
      <c r="E570" s="11">
        <v>633.6</v>
      </c>
      <c r="F570" s="12">
        <v>1580.1</v>
      </c>
      <c r="G570" s="11">
        <v>633.6</v>
      </c>
      <c r="H570" s="12">
        <v>1596.9</v>
      </c>
      <c r="I570" s="11">
        <v>633.6</v>
      </c>
      <c r="J570" s="12">
        <v>1643.2</v>
      </c>
      <c r="K570" s="11">
        <v>633.6</v>
      </c>
      <c r="L570" s="12">
        <v>1605.5</v>
      </c>
      <c r="M570" s="11">
        <v>633.6</v>
      </c>
      <c r="N570" s="13">
        <v>1577.2</v>
      </c>
      <c r="O570" s="13">
        <v>1737.8</v>
      </c>
      <c r="P570" s="13">
        <v>1580.1</v>
      </c>
      <c r="Q570" s="11">
        <v>1596.9</v>
      </c>
      <c r="R570" s="11">
        <v>1643.2</v>
      </c>
      <c r="S570" s="14">
        <v>1605.5</v>
      </c>
      <c r="T570" s="11">
        <v>633.6</v>
      </c>
      <c r="U570" s="13">
        <f>IF('0.0%'!$N570&lt;$Z$3,0, '0.0%'!$O570/'0.0%'!$N570)</f>
        <v>1.1018260207963479</v>
      </c>
      <c r="V570" s="13">
        <f>IF('0.0%'!$N570&lt;$Z$3,0, '0.0%'!$P570/'0.0%'!$N570)</f>
        <v>1.0018387014963226</v>
      </c>
      <c r="W570" s="13">
        <f>IF('0.0%'!$N570&lt;$Z$3,0, '0.0%'!$Q570/'0.0%'!$N570)</f>
        <v>1.0124904894750191</v>
      </c>
      <c r="X570" s="13">
        <f>IF('0.0%'!$N570&lt;$Z$3,0, '0.0%'!$R570/'0.0%'!$N570)</f>
        <v>1.0418463099163073</v>
      </c>
      <c r="Y570" s="13">
        <f>IF('0.0%'!$N570&lt;$Z$3,0, '0.0%'!$S570/'0.0%'!$N570)</f>
        <v>1.0179431904641136</v>
      </c>
    </row>
    <row r="571" spans="1:25" x14ac:dyDescent="0.3">
      <c r="A571" s="17">
        <v>634.59</v>
      </c>
      <c r="B571" s="10">
        <v>1522.2</v>
      </c>
      <c r="C571" s="9">
        <v>634.59</v>
      </c>
      <c r="D571" s="10">
        <v>1677.8</v>
      </c>
      <c r="E571" s="11">
        <v>634.59</v>
      </c>
      <c r="F571" s="12">
        <v>1524.7</v>
      </c>
      <c r="G571" s="11">
        <v>634.59</v>
      </c>
      <c r="H571" s="12">
        <v>1540.5</v>
      </c>
      <c r="I571" s="11">
        <v>634.59</v>
      </c>
      <c r="J571" s="12">
        <v>1585</v>
      </c>
      <c r="K571" s="11">
        <v>634.59</v>
      </c>
      <c r="L571" s="12">
        <v>1549.1</v>
      </c>
      <c r="M571" s="11">
        <v>634.59</v>
      </c>
      <c r="N571" s="13">
        <v>1522.2</v>
      </c>
      <c r="O571" s="13">
        <v>1677.8</v>
      </c>
      <c r="P571" s="13">
        <v>1524.7</v>
      </c>
      <c r="Q571" s="11">
        <v>1540.5</v>
      </c>
      <c r="R571" s="11">
        <v>1585</v>
      </c>
      <c r="S571" s="14">
        <v>1549.1</v>
      </c>
      <c r="T571" s="11">
        <v>634.59</v>
      </c>
      <c r="U571" s="13">
        <f>IF('0.0%'!$N571&lt;$Z$3,0, '0.0%'!$O571/'0.0%'!$N571)</f>
        <v>1.1022204703718301</v>
      </c>
      <c r="V571" s="13">
        <f>IF('0.0%'!$N571&lt;$Z$3,0, '0.0%'!$P571/'0.0%'!$N571)</f>
        <v>1.001642359742478</v>
      </c>
      <c r="W571" s="13">
        <f>IF('0.0%'!$N571&lt;$Z$3,0, '0.0%'!$Q571/'0.0%'!$N571)</f>
        <v>1.0120220733149388</v>
      </c>
      <c r="X571" s="13">
        <f>IF('0.0%'!$N571&lt;$Z$3,0, '0.0%'!$R571/'0.0%'!$N571)</f>
        <v>1.041256076731047</v>
      </c>
      <c r="Y571" s="13">
        <f>IF('0.0%'!$N571&lt;$Z$3,0, '0.0%'!$S571/'0.0%'!$N571)</f>
        <v>1.0176717908290631</v>
      </c>
    </row>
    <row r="572" spans="1:25" x14ac:dyDescent="0.3">
      <c r="A572" s="17">
        <v>635.59</v>
      </c>
      <c r="B572" s="10">
        <v>1476.7</v>
      </c>
      <c r="C572" s="9">
        <v>635.59</v>
      </c>
      <c r="D572" s="10">
        <v>1628.2</v>
      </c>
      <c r="E572" s="11">
        <v>635.59</v>
      </c>
      <c r="F572" s="12">
        <v>1478.8</v>
      </c>
      <c r="G572" s="11">
        <v>635.59</v>
      </c>
      <c r="H572" s="12">
        <v>1493.8</v>
      </c>
      <c r="I572" s="11">
        <v>635.59</v>
      </c>
      <c r="J572" s="12">
        <v>1537.1</v>
      </c>
      <c r="K572" s="11">
        <v>635.59</v>
      </c>
      <c r="L572" s="12">
        <v>1502.4</v>
      </c>
      <c r="M572" s="11">
        <v>635.59</v>
      </c>
      <c r="N572" s="13">
        <v>1476.7</v>
      </c>
      <c r="O572" s="13">
        <v>1628.2</v>
      </c>
      <c r="P572" s="13">
        <v>1478.8</v>
      </c>
      <c r="Q572" s="11">
        <v>1493.8</v>
      </c>
      <c r="R572" s="11">
        <v>1537.1</v>
      </c>
      <c r="S572" s="14">
        <v>1502.4</v>
      </c>
      <c r="T572" s="11">
        <v>635.59</v>
      </c>
      <c r="U572" s="13">
        <f>IF('0.0%'!$N572&lt;$Z$3,0, '0.0%'!$O572/'0.0%'!$N572)</f>
        <v>1.1025936209114919</v>
      </c>
      <c r="V572" s="13">
        <f>IF('0.0%'!$N572&lt;$Z$3,0, '0.0%'!$P572/'0.0%'!$N572)</f>
        <v>1.0014220897948127</v>
      </c>
      <c r="W572" s="13">
        <f>IF('0.0%'!$N572&lt;$Z$3,0, '0.0%'!$Q572/'0.0%'!$N572)</f>
        <v>1.0115798740434752</v>
      </c>
      <c r="X572" s="13">
        <f>IF('0.0%'!$N572&lt;$Z$3,0, '0.0%'!$R572/'0.0%'!$N572)</f>
        <v>1.0409020112412812</v>
      </c>
      <c r="Y572" s="13">
        <f>IF('0.0%'!$N572&lt;$Z$3,0, '0.0%'!$S572/'0.0%'!$N572)</f>
        <v>1.0174036703460418</v>
      </c>
    </row>
    <row r="573" spans="1:25" x14ac:dyDescent="0.3">
      <c r="A573" s="17">
        <v>636.58000000000004</v>
      </c>
      <c r="B573" s="10">
        <v>1437.5</v>
      </c>
      <c r="C573" s="9">
        <v>636.58000000000004</v>
      </c>
      <c r="D573" s="10">
        <v>1585.9</v>
      </c>
      <c r="E573" s="11">
        <v>636.58000000000004</v>
      </c>
      <c r="F573" s="12">
        <v>1439.3</v>
      </c>
      <c r="G573" s="11">
        <v>636.58000000000004</v>
      </c>
      <c r="H573" s="12">
        <v>1453.6</v>
      </c>
      <c r="I573" s="11">
        <v>636.58000000000004</v>
      </c>
      <c r="J573" s="12">
        <v>1496.3</v>
      </c>
      <c r="K573" s="11">
        <v>636.58000000000004</v>
      </c>
      <c r="L573" s="12">
        <v>1462.3</v>
      </c>
      <c r="M573" s="11">
        <v>636.58000000000004</v>
      </c>
      <c r="N573" s="13">
        <v>1437.5</v>
      </c>
      <c r="O573" s="13">
        <v>1585.9</v>
      </c>
      <c r="P573" s="13">
        <v>1439.3</v>
      </c>
      <c r="Q573" s="11">
        <v>1453.6</v>
      </c>
      <c r="R573" s="11">
        <v>1496.3</v>
      </c>
      <c r="S573" s="14">
        <v>1462.3</v>
      </c>
      <c r="T573" s="11">
        <v>636.58000000000004</v>
      </c>
      <c r="U573" s="13">
        <f>IF('0.0%'!$N573&lt;$Z$3,0, '0.0%'!$O573/'0.0%'!$N573)</f>
        <v>1.1032347826086957</v>
      </c>
      <c r="V573" s="13">
        <f>IF('0.0%'!$N573&lt;$Z$3,0, '0.0%'!$P573/'0.0%'!$N573)</f>
        <v>1.0012521739130436</v>
      </c>
      <c r="W573" s="13">
        <f>IF('0.0%'!$N573&lt;$Z$3,0, '0.0%'!$Q573/'0.0%'!$N573)</f>
        <v>1.0111999999999999</v>
      </c>
      <c r="X573" s="13">
        <f>IF('0.0%'!$N573&lt;$Z$3,0, '0.0%'!$R573/'0.0%'!$N573)</f>
        <v>1.0409043478260869</v>
      </c>
      <c r="Y573" s="13">
        <f>IF('0.0%'!$N573&lt;$Z$3,0, '0.0%'!$S573/'0.0%'!$N573)</f>
        <v>1.0172521739130433</v>
      </c>
    </row>
    <row r="574" spans="1:25" x14ac:dyDescent="0.3">
      <c r="A574" s="17">
        <v>637.57000000000005</v>
      </c>
      <c r="B574" s="10">
        <v>1405.1</v>
      </c>
      <c r="C574" s="9">
        <v>637.57000000000005</v>
      </c>
      <c r="D574" s="10">
        <v>1551</v>
      </c>
      <c r="E574" s="11">
        <v>637.57000000000005</v>
      </c>
      <c r="F574" s="12">
        <v>1406.5</v>
      </c>
      <c r="G574" s="11">
        <v>637.57000000000005</v>
      </c>
      <c r="H574" s="12">
        <v>1420.4</v>
      </c>
      <c r="I574" s="11">
        <v>637.57000000000005</v>
      </c>
      <c r="J574" s="12">
        <v>1462.7</v>
      </c>
      <c r="K574" s="11">
        <v>637.57000000000005</v>
      </c>
      <c r="L574" s="12">
        <v>1429.1</v>
      </c>
      <c r="M574" s="11">
        <v>637.57000000000005</v>
      </c>
      <c r="N574" s="13">
        <v>1405.1</v>
      </c>
      <c r="O574" s="13">
        <v>1551</v>
      </c>
      <c r="P574" s="13">
        <v>1406.5</v>
      </c>
      <c r="Q574" s="11">
        <v>1420.4</v>
      </c>
      <c r="R574" s="11">
        <v>1462.7</v>
      </c>
      <c r="S574" s="14">
        <v>1429.1</v>
      </c>
      <c r="T574" s="11">
        <v>637.57000000000005</v>
      </c>
      <c r="U574" s="13">
        <f>IF('0.0%'!$N574&lt;$Z$3,0, '0.0%'!$O574/'0.0%'!$N574)</f>
        <v>1.1038360259056295</v>
      </c>
      <c r="V574" s="13">
        <f>IF('0.0%'!$N574&lt;$Z$3,0, '0.0%'!$P574/'0.0%'!$N574)</f>
        <v>1.0009963703650986</v>
      </c>
      <c r="W574" s="13">
        <f>IF('0.0%'!$N574&lt;$Z$3,0, '0.0%'!$Q574/'0.0%'!$N574)</f>
        <v>1.0108889047042917</v>
      </c>
      <c r="X574" s="13">
        <f>IF('0.0%'!$N574&lt;$Z$3,0, '0.0%'!$R574/'0.0%'!$N574)</f>
        <v>1.0409935235926269</v>
      </c>
      <c r="Y574" s="13">
        <f>IF('0.0%'!$N574&lt;$Z$3,0, '0.0%'!$S574/'0.0%'!$N574)</f>
        <v>1.0170806348302612</v>
      </c>
    </row>
    <row r="575" spans="1:25" x14ac:dyDescent="0.3">
      <c r="A575" s="17">
        <v>638.55999999999995</v>
      </c>
      <c r="B575" s="10">
        <v>1376.7</v>
      </c>
      <c r="C575" s="9">
        <v>638.55999999999995</v>
      </c>
      <c r="D575" s="10">
        <v>1520.8</v>
      </c>
      <c r="E575" s="11">
        <v>638.55999999999995</v>
      </c>
      <c r="F575" s="12">
        <v>1377.6</v>
      </c>
      <c r="G575" s="11">
        <v>638.55999999999995</v>
      </c>
      <c r="H575" s="12">
        <v>1391.3</v>
      </c>
      <c r="I575" s="11">
        <v>638.55999999999995</v>
      </c>
      <c r="J575" s="12">
        <v>1433.6</v>
      </c>
      <c r="K575" s="11">
        <v>638.55999999999995</v>
      </c>
      <c r="L575" s="12">
        <v>1400</v>
      </c>
      <c r="M575" s="11">
        <v>638.55999999999995</v>
      </c>
      <c r="N575" s="13">
        <v>1376.7</v>
      </c>
      <c r="O575" s="13">
        <v>1520.8</v>
      </c>
      <c r="P575" s="13">
        <v>1377.6</v>
      </c>
      <c r="Q575" s="11">
        <v>1391.3</v>
      </c>
      <c r="R575" s="11">
        <v>1433.6</v>
      </c>
      <c r="S575" s="14">
        <v>1400</v>
      </c>
      <c r="T575" s="11">
        <v>638.55999999999995</v>
      </c>
      <c r="U575" s="13">
        <f>IF('0.0%'!$N575&lt;$Z$3,0, '0.0%'!$O575/'0.0%'!$N575)</f>
        <v>1.1046705890898525</v>
      </c>
      <c r="V575" s="13">
        <f>IF('0.0%'!$N575&lt;$Z$3,0, '0.0%'!$P575/'0.0%'!$N575)</f>
        <v>1.0006537371976465</v>
      </c>
      <c r="W575" s="13">
        <f>IF('0.0%'!$N575&lt;$Z$3,0, '0.0%'!$Q575/'0.0%'!$N575)</f>
        <v>1.010605070095155</v>
      </c>
      <c r="X575" s="13">
        <f>IF('0.0%'!$N575&lt;$Z$3,0, '0.0%'!$R575/'0.0%'!$N575)</f>
        <v>1.0413307183845426</v>
      </c>
      <c r="Y575" s="13">
        <f>IF('0.0%'!$N575&lt;$Z$3,0, '0.0%'!$S575/'0.0%'!$N575)</f>
        <v>1.016924529672405</v>
      </c>
    </row>
    <row r="576" spans="1:25" x14ac:dyDescent="0.3">
      <c r="A576" s="17">
        <v>639.54999999999995</v>
      </c>
      <c r="B576" s="10">
        <v>1352.7</v>
      </c>
      <c r="C576" s="9">
        <v>639.54999999999995</v>
      </c>
      <c r="D576" s="10">
        <v>1495.4</v>
      </c>
      <c r="E576" s="11">
        <v>639.54999999999995</v>
      </c>
      <c r="F576" s="12">
        <v>1353.3</v>
      </c>
      <c r="G576" s="11">
        <v>639.54999999999995</v>
      </c>
      <c r="H576" s="12">
        <v>1366.8</v>
      </c>
      <c r="I576" s="11">
        <v>639.54999999999995</v>
      </c>
      <c r="J576" s="12">
        <v>1409.2</v>
      </c>
      <c r="K576" s="11">
        <v>639.54999999999995</v>
      </c>
      <c r="L576" s="12">
        <v>1375.5</v>
      </c>
      <c r="M576" s="11">
        <v>639.54999999999995</v>
      </c>
      <c r="N576" s="13">
        <v>1352.7</v>
      </c>
      <c r="O576" s="13">
        <v>1495.4</v>
      </c>
      <c r="P576" s="13">
        <v>1353.3</v>
      </c>
      <c r="Q576" s="11">
        <v>1366.8</v>
      </c>
      <c r="R576" s="11">
        <v>1409.2</v>
      </c>
      <c r="S576" s="14">
        <v>1375.5</v>
      </c>
      <c r="T576" s="11">
        <v>639.54999999999995</v>
      </c>
      <c r="U576" s="13">
        <f>IF('0.0%'!$N576&lt;$Z$3,0, '0.0%'!$O576/'0.0%'!$N576)</f>
        <v>1.1054927182671694</v>
      </c>
      <c r="V576" s="13">
        <f>IF('0.0%'!$N576&lt;$Z$3,0, '0.0%'!$P576/'0.0%'!$N576)</f>
        <v>1.0004435573297847</v>
      </c>
      <c r="W576" s="13">
        <f>IF('0.0%'!$N576&lt;$Z$3,0, '0.0%'!$Q576/'0.0%'!$N576)</f>
        <v>1.0104235972499445</v>
      </c>
      <c r="X576" s="13">
        <f>IF('0.0%'!$N576&lt;$Z$3,0, '0.0%'!$R576/'0.0%'!$N576)</f>
        <v>1.041768315221409</v>
      </c>
      <c r="Y576" s="13">
        <f>IF('0.0%'!$N576&lt;$Z$3,0, '0.0%'!$S576/'0.0%'!$N576)</f>
        <v>1.0168551785318252</v>
      </c>
    </row>
    <row r="577" spans="1:25" x14ac:dyDescent="0.3">
      <c r="A577" s="17">
        <v>640.54999999999995</v>
      </c>
      <c r="B577" s="10">
        <v>1330.9</v>
      </c>
      <c r="C577" s="9">
        <v>640.54999999999995</v>
      </c>
      <c r="D577" s="10">
        <v>1472.7</v>
      </c>
      <c r="E577" s="11">
        <v>640.54999999999995</v>
      </c>
      <c r="F577" s="12">
        <v>1331.2</v>
      </c>
      <c r="G577" s="11">
        <v>640.54999999999995</v>
      </c>
      <c r="H577" s="12">
        <v>1344.7</v>
      </c>
      <c r="I577" s="11">
        <v>640.54999999999995</v>
      </c>
      <c r="J577" s="12">
        <v>1387.5</v>
      </c>
      <c r="K577" s="11">
        <v>640.54999999999995</v>
      </c>
      <c r="L577" s="12">
        <v>1353.3</v>
      </c>
      <c r="M577" s="11">
        <v>640.54999999999995</v>
      </c>
      <c r="N577" s="13">
        <v>1330.9</v>
      </c>
      <c r="O577" s="13">
        <v>1472.7</v>
      </c>
      <c r="P577" s="13">
        <v>1331.2</v>
      </c>
      <c r="Q577" s="11">
        <v>1344.7</v>
      </c>
      <c r="R577" s="11">
        <v>1387.5</v>
      </c>
      <c r="S577" s="14">
        <v>1353.3</v>
      </c>
      <c r="T577" s="11">
        <v>640.54999999999995</v>
      </c>
      <c r="U577" s="13">
        <f>IF('0.0%'!$N577&lt;$Z$3,0, '0.0%'!$O577/'0.0%'!$N577)</f>
        <v>1.1065444436095875</v>
      </c>
      <c r="V577" s="13">
        <f>IF('0.0%'!$N577&lt;$Z$3,0, '0.0%'!$P577/'0.0%'!$N577)</f>
        <v>1.0002254113757607</v>
      </c>
      <c r="W577" s="13">
        <f>IF('0.0%'!$N577&lt;$Z$3,0, '0.0%'!$Q577/'0.0%'!$N577)</f>
        <v>1.0103689232849951</v>
      </c>
      <c r="X577" s="13">
        <f>IF('0.0%'!$N577&lt;$Z$3,0, '0.0%'!$R577/'0.0%'!$N577)</f>
        <v>1.0425276128935306</v>
      </c>
      <c r="Y577" s="13">
        <f>IF('0.0%'!$N577&lt;$Z$3,0, '0.0%'!$S577/'0.0%'!$N577)</f>
        <v>1.0168307160568035</v>
      </c>
    </row>
    <row r="578" spans="1:25" x14ac:dyDescent="0.3">
      <c r="A578" s="17">
        <v>641.54</v>
      </c>
      <c r="B578" s="10">
        <v>1312.3</v>
      </c>
      <c r="C578" s="9">
        <v>641.54</v>
      </c>
      <c r="D578" s="10">
        <v>1453.6</v>
      </c>
      <c r="E578" s="11">
        <v>641.54</v>
      </c>
      <c r="F578" s="12">
        <v>1312.4</v>
      </c>
      <c r="G578" s="11">
        <v>641.54</v>
      </c>
      <c r="H578" s="12">
        <v>1325.9</v>
      </c>
      <c r="I578" s="11">
        <v>641.54</v>
      </c>
      <c r="J578" s="12">
        <v>1369.3</v>
      </c>
      <c r="K578" s="11">
        <v>641.54</v>
      </c>
      <c r="L578" s="12">
        <v>1334.5</v>
      </c>
      <c r="M578" s="11">
        <v>641.54</v>
      </c>
      <c r="N578" s="13">
        <v>1312.3</v>
      </c>
      <c r="O578" s="13">
        <v>1453.6</v>
      </c>
      <c r="P578" s="13">
        <v>1312.4</v>
      </c>
      <c r="Q578" s="11">
        <v>1325.9</v>
      </c>
      <c r="R578" s="11">
        <v>1369.3</v>
      </c>
      <c r="S578" s="14">
        <v>1334.5</v>
      </c>
      <c r="T578" s="11">
        <v>641.54</v>
      </c>
      <c r="U578" s="13">
        <f>IF('0.0%'!$N578&lt;$Z$3,0, '0.0%'!$O578/'0.0%'!$N578)</f>
        <v>1.107673550255277</v>
      </c>
      <c r="V578" s="13">
        <f>IF('0.0%'!$N578&lt;$Z$3,0, '0.0%'!$P578/'0.0%'!$N578)</f>
        <v>1.0000762020879372</v>
      </c>
      <c r="W578" s="13">
        <f>IF('0.0%'!$N578&lt;$Z$3,0, '0.0%'!$Q578/'0.0%'!$N578)</f>
        <v>1.0103634839594606</v>
      </c>
      <c r="X578" s="13">
        <f>IF('0.0%'!$N578&lt;$Z$3,0, '0.0%'!$R578/'0.0%'!$N578)</f>
        <v>1.0434351901242094</v>
      </c>
      <c r="Y578" s="13">
        <f>IF('0.0%'!$N578&lt;$Z$3,0, '0.0%'!$S578/'0.0%'!$N578)</f>
        <v>1.0169168635220605</v>
      </c>
    </row>
    <row r="579" spans="1:25" x14ac:dyDescent="0.3">
      <c r="A579" s="17">
        <v>642.53</v>
      </c>
      <c r="B579" s="10">
        <v>1294.9000000000001</v>
      </c>
      <c r="C579" s="9">
        <v>642.53</v>
      </c>
      <c r="D579" s="10">
        <v>1436.3</v>
      </c>
      <c r="E579" s="11">
        <v>642.53</v>
      </c>
      <c r="F579" s="12">
        <v>1294.8</v>
      </c>
      <c r="G579" s="11">
        <v>642.53</v>
      </c>
      <c r="H579" s="12">
        <v>1308.4000000000001</v>
      </c>
      <c r="I579" s="11">
        <v>642.53</v>
      </c>
      <c r="J579" s="12">
        <v>1352.6</v>
      </c>
      <c r="K579" s="11">
        <v>642.53</v>
      </c>
      <c r="L579" s="12">
        <v>1317</v>
      </c>
      <c r="M579" s="11">
        <v>642.53</v>
      </c>
      <c r="N579" s="13">
        <v>1294.9000000000001</v>
      </c>
      <c r="O579" s="13">
        <v>1436.3</v>
      </c>
      <c r="P579" s="13">
        <v>1294.8</v>
      </c>
      <c r="Q579" s="11">
        <v>1308.4000000000001</v>
      </c>
      <c r="R579" s="11">
        <v>1352.6</v>
      </c>
      <c r="S579" s="14">
        <v>1317</v>
      </c>
      <c r="T579" s="11">
        <v>642.53</v>
      </c>
      <c r="U579" s="13">
        <f>IF('0.0%'!$N579&lt;$Z$3,0, '0.0%'!$O579/'0.0%'!$N579)</f>
        <v>1.1091976214379489</v>
      </c>
      <c r="V579" s="13">
        <f>IF('0.0%'!$N579&lt;$Z$3,0, '0.0%'!$P579/'0.0%'!$N579)</f>
        <v>0.99992277395937901</v>
      </c>
      <c r="W579" s="13">
        <f>IF('0.0%'!$N579&lt;$Z$3,0, '0.0%'!$Q579/'0.0%'!$N579)</f>
        <v>1.0104255154838211</v>
      </c>
      <c r="X579" s="13">
        <f>IF('0.0%'!$N579&lt;$Z$3,0, '0.0%'!$R579/'0.0%'!$N579)</f>
        <v>1.0445594254382575</v>
      </c>
      <c r="Y579" s="13">
        <f>IF('0.0%'!$N579&lt;$Z$3,0, '0.0%'!$S579/'0.0%'!$N579)</f>
        <v>1.0170669549772182</v>
      </c>
    </row>
    <row r="580" spans="1:25" x14ac:dyDescent="0.3">
      <c r="A580" s="17">
        <v>643.52</v>
      </c>
      <c r="B580" s="10">
        <v>1279.5999999999999</v>
      </c>
      <c r="C580" s="9">
        <v>643.52</v>
      </c>
      <c r="D580" s="10">
        <v>1421.4</v>
      </c>
      <c r="E580" s="11">
        <v>643.52</v>
      </c>
      <c r="F580" s="12">
        <v>1279.3</v>
      </c>
      <c r="G580" s="11">
        <v>643.52</v>
      </c>
      <c r="H580" s="12">
        <v>1293.0999999999999</v>
      </c>
      <c r="I580" s="11">
        <v>643.52</v>
      </c>
      <c r="J580" s="12">
        <v>1338.5</v>
      </c>
      <c r="K580" s="11">
        <v>643.52</v>
      </c>
      <c r="L580" s="12">
        <v>1301.8</v>
      </c>
      <c r="M580" s="11">
        <v>643.52</v>
      </c>
      <c r="N580" s="13">
        <v>1279.5999999999999</v>
      </c>
      <c r="O580" s="13">
        <v>1421.4</v>
      </c>
      <c r="P580" s="13">
        <v>1279.3</v>
      </c>
      <c r="Q580" s="11">
        <v>1293.0999999999999</v>
      </c>
      <c r="R580" s="11">
        <v>1338.5</v>
      </c>
      <c r="S580" s="14">
        <v>1301.8</v>
      </c>
      <c r="T580" s="11">
        <v>643.52</v>
      </c>
      <c r="U580" s="13">
        <f>IF('0.0%'!$N580&lt;$Z$3,0, '0.0%'!$O580/'0.0%'!$N580)</f>
        <v>1.1108158799624883</v>
      </c>
      <c r="V580" s="13">
        <f>IF('0.0%'!$N580&lt;$Z$3,0, '0.0%'!$P580/'0.0%'!$N580)</f>
        <v>0.99976555173491721</v>
      </c>
      <c r="W580" s="13">
        <f>IF('0.0%'!$N580&lt;$Z$3,0, '0.0%'!$Q580/'0.0%'!$N580)</f>
        <v>1.0105501719287278</v>
      </c>
      <c r="X580" s="13">
        <f>IF('0.0%'!$N580&lt;$Z$3,0, '0.0%'!$R580/'0.0%'!$N580)</f>
        <v>1.0460300093779307</v>
      </c>
      <c r="Y580" s="13">
        <f>IF('0.0%'!$N580&lt;$Z$3,0, '0.0%'!$S580/'0.0%'!$N580)</f>
        <v>1.01734917161613</v>
      </c>
    </row>
    <row r="581" spans="1:25" x14ac:dyDescent="0.3">
      <c r="A581" s="17">
        <v>644.51</v>
      </c>
      <c r="B581" s="10">
        <v>1264.5999999999999</v>
      </c>
      <c r="C581" s="9">
        <v>644.51</v>
      </c>
      <c r="D581" s="10">
        <v>1407.4</v>
      </c>
      <c r="E581" s="11">
        <v>644.51</v>
      </c>
      <c r="F581" s="12">
        <v>1264.2</v>
      </c>
      <c r="G581" s="11">
        <v>644.51</v>
      </c>
      <c r="H581" s="12">
        <v>1278.3</v>
      </c>
      <c r="I581" s="11">
        <v>644.51</v>
      </c>
      <c r="J581" s="12">
        <v>1325.1</v>
      </c>
      <c r="K581" s="11">
        <v>644.51</v>
      </c>
      <c r="L581" s="12">
        <v>1287</v>
      </c>
      <c r="M581" s="11">
        <v>644.51</v>
      </c>
      <c r="N581" s="13">
        <v>1264.5999999999999</v>
      </c>
      <c r="O581" s="13">
        <v>1407.4</v>
      </c>
      <c r="P581" s="13">
        <v>1264.2</v>
      </c>
      <c r="Q581" s="11">
        <v>1278.3</v>
      </c>
      <c r="R581" s="11">
        <v>1325.1</v>
      </c>
      <c r="S581" s="14">
        <v>1287</v>
      </c>
      <c r="T581" s="11">
        <v>644.51</v>
      </c>
      <c r="U581" s="13">
        <f>IF('0.0%'!$N581&lt;$Z$3,0, '0.0%'!$O581/'0.0%'!$N581)</f>
        <v>1.1129210817649851</v>
      </c>
      <c r="V581" s="13">
        <f>IF('0.0%'!$N581&lt;$Z$3,0, '0.0%'!$P581/'0.0%'!$N581)</f>
        <v>0.99968369444883765</v>
      </c>
      <c r="W581" s="13">
        <f>IF('0.0%'!$N581&lt;$Z$3,0, '0.0%'!$Q581/'0.0%'!$N581)</f>
        <v>1.010833465127313</v>
      </c>
      <c r="X581" s="13">
        <f>IF('0.0%'!$N581&lt;$Z$3,0, '0.0%'!$R581/'0.0%'!$N581)</f>
        <v>1.0478412146133165</v>
      </c>
      <c r="Y581" s="13">
        <f>IF('0.0%'!$N581&lt;$Z$3,0, '0.0%'!$S581/'0.0%'!$N581)</f>
        <v>1.0177131108650959</v>
      </c>
    </row>
    <row r="582" spans="1:25" x14ac:dyDescent="0.3">
      <c r="A582" s="17">
        <v>645.5</v>
      </c>
      <c r="B582" s="10">
        <v>1251.5</v>
      </c>
      <c r="C582" s="9">
        <v>645.5</v>
      </c>
      <c r="D582" s="10">
        <v>1395.2</v>
      </c>
      <c r="E582" s="11">
        <v>645.5</v>
      </c>
      <c r="F582" s="12">
        <v>1250.9000000000001</v>
      </c>
      <c r="G582" s="11">
        <v>645.5</v>
      </c>
      <c r="H582" s="12">
        <v>1265.3</v>
      </c>
      <c r="I582" s="11">
        <v>645.5</v>
      </c>
      <c r="J582" s="12">
        <v>1313.8</v>
      </c>
      <c r="K582" s="11">
        <v>645.5</v>
      </c>
      <c r="L582" s="12">
        <v>1274.2</v>
      </c>
      <c r="M582" s="11">
        <v>645.5</v>
      </c>
      <c r="N582" s="13">
        <v>1251.5</v>
      </c>
      <c r="O582" s="13">
        <v>1395.2</v>
      </c>
      <c r="P582" s="13">
        <v>1250.9000000000001</v>
      </c>
      <c r="Q582" s="11">
        <v>1265.3</v>
      </c>
      <c r="R582" s="11">
        <v>1313.8</v>
      </c>
      <c r="S582" s="14">
        <v>1274.2</v>
      </c>
      <c r="T582" s="11">
        <v>645.5</v>
      </c>
      <c r="U582" s="13">
        <f>IF('0.0%'!$N582&lt;$Z$3,0, '0.0%'!$O582/'0.0%'!$N582)</f>
        <v>1.1148222133439873</v>
      </c>
      <c r="V582" s="13">
        <f>IF('0.0%'!$N582&lt;$Z$3,0, '0.0%'!$P582/'0.0%'!$N582)</f>
        <v>0.99952057530962857</v>
      </c>
      <c r="W582" s="13">
        <f>IF('0.0%'!$N582&lt;$Z$3,0, '0.0%'!$Q582/'0.0%'!$N582)</f>
        <v>1.0110267678785456</v>
      </c>
      <c r="X582" s="13">
        <f>IF('0.0%'!$N582&lt;$Z$3,0, '0.0%'!$R582/'0.0%'!$N582)</f>
        <v>1.0497802636835796</v>
      </c>
      <c r="Y582" s="13">
        <f>IF('0.0%'!$N582&lt;$Z$3,0, '0.0%'!$S582/'0.0%'!$N582)</f>
        <v>1.0181382341190572</v>
      </c>
    </row>
    <row r="583" spans="1:25" x14ac:dyDescent="0.3">
      <c r="A583" s="17">
        <v>646.5</v>
      </c>
      <c r="B583" s="10">
        <v>1238.5</v>
      </c>
      <c r="C583" s="9">
        <v>646.5</v>
      </c>
      <c r="D583" s="10">
        <v>1383.9</v>
      </c>
      <c r="E583" s="11">
        <v>646.5</v>
      </c>
      <c r="F583" s="12">
        <v>1237.5999999999999</v>
      </c>
      <c r="G583" s="11">
        <v>646.5</v>
      </c>
      <c r="H583" s="12">
        <v>1252.5999999999999</v>
      </c>
      <c r="I583" s="11">
        <v>646.5</v>
      </c>
      <c r="J583" s="12">
        <v>1303.3</v>
      </c>
      <c r="K583" s="11">
        <v>646.5</v>
      </c>
      <c r="L583" s="12">
        <v>1261.7</v>
      </c>
      <c r="M583" s="11">
        <v>646.5</v>
      </c>
      <c r="N583" s="13">
        <v>1238.5</v>
      </c>
      <c r="O583" s="13">
        <v>1383.9</v>
      </c>
      <c r="P583" s="13">
        <v>1237.5999999999999</v>
      </c>
      <c r="Q583" s="11">
        <v>1252.5999999999999</v>
      </c>
      <c r="R583" s="11">
        <v>1303.3</v>
      </c>
      <c r="S583" s="14">
        <v>1261.7</v>
      </c>
      <c r="T583" s="11">
        <v>646.5</v>
      </c>
      <c r="U583" s="13">
        <f>IF('0.0%'!$N583&lt;$Z$3,0, '0.0%'!$O583/'0.0%'!$N583)</f>
        <v>1.1174000807428341</v>
      </c>
      <c r="V583" s="13">
        <f>IF('0.0%'!$N583&lt;$Z$3,0, '0.0%'!$P583/'0.0%'!$N583)</f>
        <v>0.99927331449333867</v>
      </c>
      <c r="W583" s="13">
        <f>IF('0.0%'!$N583&lt;$Z$3,0, '0.0%'!$Q583/'0.0%'!$N583)</f>
        <v>1.01138473960436</v>
      </c>
      <c r="X583" s="13">
        <f>IF('0.0%'!$N583&lt;$Z$3,0, '0.0%'!$R583/'0.0%'!$N583)</f>
        <v>1.0523213564796123</v>
      </c>
      <c r="Y583" s="13">
        <f>IF('0.0%'!$N583&lt;$Z$3,0, '0.0%'!$S583/'0.0%'!$N583)</f>
        <v>1.0187323375050465</v>
      </c>
    </row>
    <row r="584" spans="1:25" x14ac:dyDescent="0.3">
      <c r="A584" s="17">
        <v>647.49</v>
      </c>
      <c r="B584" s="10">
        <v>1226.4000000000001</v>
      </c>
      <c r="C584" s="9">
        <v>647.49</v>
      </c>
      <c r="D584" s="10">
        <v>1373.2</v>
      </c>
      <c r="E584" s="11">
        <v>647.49</v>
      </c>
      <c r="F584" s="12">
        <v>1225.4000000000001</v>
      </c>
      <c r="G584" s="11">
        <v>647.49</v>
      </c>
      <c r="H584" s="12">
        <v>1240.8</v>
      </c>
      <c r="I584" s="11">
        <v>647.49</v>
      </c>
      <c r="J584" s="12">
        <v>1293.5999999999999</v>
      </c>
      <c r="K584" s="11">
        <v>647.49</v>
      </c>
      <c r="L584" s="12">
        <v>1250.2</v>
      </c>
      <c r="M584" s="11">
        <v>647.49</v>
      </c>
      <c r="N584" s="13">
        <v>1226.4000000000001</v>
      </c>
      <c r="O584" s="13">
        <v>1373.2</v>
      </c>
      <c r="P584" s="13">
        <v>1225.4000000000001</v>
      </c>
      <c r="Q584" s="11">
        <v>1240.8</v>
      </c>
      <c r="R584" s="11">
        <v>1293.5999999999999</v>
      </c>
      <c r="S584" s="14">
        <v>1250.2</v>
      </c>
      <c r="T584" s="11">
        <v>647.49</v>
      </c>
      <c r="U584" s="13">
        <f>IF('0.0%'!$N584&lt;$Z$3,0, '0.0%'!$O584/'0.0%'!$N584)</f>
        <v>1.1196999347684278</v>
      </c>
      <c r="V584" s="13">
        <f>IF('0.0%'!$N584&lt;$Z$3,0, '0.0%'!$P584/'0.0%'!$N584)</f>
        <v>0.9991846053489889</v>
      </c>
      <c r="W584" s="13">
        <f>IF('0.0%'!$N584&lt;$Z$3,0, '0.0%'!$Q584/'0.0%'!$N584)</f>
        <v>1.0117416829745596</v>
      </c>
      <c r="X584" s="13">
        <f>IF('0.0%'!$N584&lt;$Z$3,0, '0.0%'!$R584/'0.0%'!$N584)</f>
        <v>1.054794520547945</v>
      </c>
      <c r="Y584" s="13">
        <f>IF('0.0%'!$N584&lt;$Z$3,0, '0.0%'!$S584/'0.0%'!$N584)</f>
        <v>1.019406392694064</v>
      </c>
    </row>
    <row r="585" spans="1:25" x14ac:dyDescent="0.3">
      <c r="A585" s="17">
        <v>648.48</v>
      </c>
      <c r="B585" s="10">
        <v>1213.5999999999999</v>
      </c>
      <c r="C585" s="9">
        <v>648.48</v>
      </c>
      <c r="D585" s="10">
        <v>1362.5</v>
      </c>
      <c r="E585" s="11">
        <v>648.48</v>
      </c>
      <c r="F585" s="12">
        <v>1212.4000000000001</v>
      </c>
      <c r="G585" s="11">
        <v>648.48</v>
      </c>
      <c r="H585" s="12">
        <v>1228.5</v>
      </c>
      <c r="I585" s="11">
        <v>648.48</v>
      </c>
      <c r="J585" s="12">
        <v>1283.9000000000001</v>
      </c>
      <c r="K585" s="11">
        <v>648.48</v>
      </c>
      <c r="L585" s="12">
        <v>1238.0999999999999</v>
      </c>
      <c r="M585" s="11">
        <v>648.48</v>
      </c>
      <c r="N585" s="13">
        <v>1213.5999999999999</v>
      </c>
      <c r="O585" s="13">
        <v>1362.5</v>
      </c>
      <c r="P585" s="13">
        <v>1212.4000000000001</v>
      </c>
      <c r="Q585" s="11">
        <v>1228.5</v>
      </c>
      <c r="R585" s="11">
        <v>1283.9000000000001</v>
      </c>
      <c r="S585" s="14">
        <v>1238.0999999999999</v>
      </c>
      <c r="T585" s="11">
        <v>648.48</v>
      </c>
      <c r="U585" s="13">
        <f>IF('0.0%'!$N585&lt;$Z$3,0, '0.0%'!$O585/'0.0%'!$N585)</f>
        <v>1.1226928147659856</v>
      </c>
      <c r="V585" s="13">
        <f>IF('0.0%'!$N585&lt;$Z$3,0, '0.0%'!$P585/'0.0%'!$N585)</f>
        <v>0.99901120632827967</v>
      </c>
      <c r="W585" s="13">
        <f>IF('0.0%'!$N585&lt;$Z$3,0, '0.0%'!$Q585/'0.0%'!$N585)</f>
        <v>1.0122775214238631</v>
      </c>
      <c r="X585" s="13">
        <f>IF('0.0%'!$N585&lt;$Z$3,0, '0.0%'!$R585/'0.0%'!$N585)</f>
        <v>1.0579268292682928</v>
      </c>
      <c r="Y585" s="13">
        <f>IF('0.0%'!$N585&lt;$Z$3,0, '0.0%'!$S585/'0.0%'!$N585)</f>
        <v>1.0201878707976269</v>
      </c>
    </row>
    <row r="586" spans="1:25" x14ac:dyDescent="0.3">
      <c r="A586" s="17">
        <v>649.47</v>
      </c>
      <c r="B586" s="10">
        <v>1201.9000000000001</v>
      </c>
      <c r="C586" s="9">
        <v>649.47</v>
      </c>
      <c r="D586" s="10">
        <v>1352.3</v>
      </c>
      <c r="E586" s="11">
        <v>649.47</v>
      </c>
      <c r="F586" s="12">
        <v>1200.5</v>
      </c>
      <c r="G586" s="11">
        <v>649.47</v>
      </c>
      <c r="H586" s="12">
        <v>1217.0999999999999</v>
      </c>
      <c r="I586" s="11">
        <v>649.47</v>
      </c>
      <c r="J586" s="12">
        <v>1274.8</v>
      </c>
      <c r="K586" s="11">
        <v>649.47</v>
      </c>
      <c r="L586" s="12">
        <v>1227.0999999999999</v>
      </c>
      <c r="M586" s="11">
        <v>649.47</v>
      </c>
      <c r="N586" s="13">
        <v>1201.9000000000001</v>
      </c>
      <c r="O586" s="13">
        <v>1352.3</v>
      </c>
      <c r="P586" s="13">
        <v>1200.5</v>
      </c>
      <c r="Q586" s="11">
        <v>1217.0999999999999</v>
      </c>
      <c r="R586" s="11">
        <v>1274.8</v>
      </c>
      <c r="S586" s="14">
        <v>1227.0999999999999</v>
      </c>
      <c r="T586" s="11">
        <v>649.47</v>
      </c>
      <c r="U586" s="13">
        <f>IF('0.0%'!$N586&lt;$Z$3,0, '0.0%'!$O586/'0.0%'!$N586)</f>
        <v>1.1251352025958896</v>
      </c>
      <c r="V586" s="13">
        <f>IF('0.0%'!$N586&lt;$Z$3,0, '0.0%'!$P586/'0.0%'!$N586)</f>
        <v>0.99883517763541052</v>
      </c>
      <c r="W586" s="13">
        <f>IF('0.0%'!$N586&lt;$Z$3,0, '0.0%'!$Q586/'0.0%'!$N586)</f>
        <v>1.0126466428155418</v>
      </c>
      <c r="X586" s="13">
        <f>IF('0.0%'!$N586&lt;$Z$3,0, '0.0%'!$R586/'0.0%'!$N586)</f>
        <v>1.0606539645561193</v>
      </c>
      <c r="Y586" s="13">
        <f>IF('0.0%'!$N586&lt;$Z$3,0, '0.0%'!$S586/'0.0%'!$N586)</f>
        <v>1.0209668025626091</v>
      </c>
    </row>
    <row r="587" spans="1:25" x14ac:dyDescent="0.3">
      <c r="A587" s="17">
        <v>650.46</v>
      </c>
      <c r="B587" s="10">
        <v>1189.0999999999999</v>
      </c>
      <c r="C587" s="9">
        <v>650.46</v>
      </c>
      <c r="D587" s="10">
        <v>1341.5</v>
      </c>
      <c r="E587" s="11">
        <v>650.46</v>
      </c>
      <c r="F587" s="12">
        <v>1187.4000000000001</v>
      </c>
      <c r="G587" s="11">
        <v>650.46</v>
      </c>
      <c r="H587" s="12">
        <v>1204.5999999999999</v>
      </c>
      <c r="I587" s="11">
        <v>650.46</v>
      </c>
      <c r="J587" s="12">
        <v>1264.8</v>
      </c>
      <c r="K587" s="11">
        <v>650.46</v>
      </c>
      <c r="L587" s="12">
        <v>1215</v>
      </c>
      <c r="M587" s="11">
        <v>650.46</v>
      </c>
      <c r="N587" s="13">
        <v>1189.0999999999999</v>
      </c>
      <c r="O587" s="13">
        <v>1341.5</v>
      </c>
      <c r="P587" s="13">
        <v>1187.4000000000001</v>
      </c>
      <c r="Q587" s="11">
        <v>1204.5999999999999</v>
      </c>
      <c r="R587" s="11">
        <v>1264.8</v>
      </c>
      <c r="S587" s="14">
        <v>1215</v>
      </c>
      <c r="T587" s="11">
        <v>650.46</v>
      </c>
      <c r="U587" s="13">
        <f>IF('0.0%'!$N587&lt;$Z$3,0, '0.0%'!$O587/'0.0%'!$N587)</f>
        <v>1.1281641577663781</v>
      </c>
      <c r="V587" s="13">
        <f>IF('0.0%'!$N587&lt;$Z$3,0, '0.0%'!$P587/'0.0%'!$N587)</f>
        <v>0.99857034732150385</v>
      </c>
      <c r="W587" s="13">
        <f>IF('0.0%'!$N587&lt;$Z$3,0, '0.0%'!$Q587/'0.0%'!$N587)</f>
        <v>1.0130350685392313</v>
      </c>
      <c r="X587" s="13">
        <f>IF('0.0%'!$N587&lt;$Z$3,0, '0.0%'!$R587/'0.0%'!$N587)</f>
        <v>1.0636615928012783</v>
      </c>
      <c r="Y587" s="13">
        <f>IF('0.0%'!$N587&lt;$Z$3,0, '0.0%'!$S587/'0.0%'!$N587)</f>
        <v>1.0217811790429738</v>
      </c>
    </row>
    <row r="588" spans="1:25" x14ac:dyDescent="0.3">
      <c r="A588" s="17">
        <v>651.45000000000005</v>
      </c>
      <c r="B588" s="10">
        <v>1177.0999999999999</v>
      </c>
      <c r="C588" s="9">
        <v>651.45000000000005</v>
      </c>
      <c r="D588" s="10">
        <v>1330.7</v>
      </c>
      <c r="E588" s="11">
        <v>651.45000000000005</v>
      </c>
      <c r="F588" s="12">
        <v>1175.2</v>
      </c>
      <c r="G588" s="11">
        <v>651.45000000000005</v>
      </c>
      <c r="H588" s="12">
        <v>1192.8</v>
      </c>
      <c r="I588" s="11">
        <v>651.45000000000005</v>
      </c>
      <c r="J588" s="12">
        <v>1254.9000000000001</v>
      </c>
      <c r="K588" s="11">
        <v>651.45000000000005</v>
      </c>
      <c r="L588" s="12">
        <v>1203.5</v>
      </c>
      <c r="M588" s="11">
        <v>651.45000000000005</v>
      </c>
      <c r="N588" s="13">
        <v>1177.0999999999999</v>
      </c>
      <c r="O588" s="13">
        <v>1330.7</v>
      </c>
      <c r="P588" s="13">
        <v>1175.2</v>
      </c>
      <c r="Q588" s="11">
        <v>1192.8</v>
      </c>
      <c r="R588" s="11">
        <v>1254.9000000000001</v>
      </c>
      <c r="S588" s="14">
        <v>1203.5</v>
      </c>
      <c r="T588" s="11">
        <v>651.45000000000005</v>
      </c>
      <c r="U588" s="13">
        <f>IF('0.0%'!$N588&lt;$Z$3,0, '0.0%'!$O588/'0.0%'!$N588)</f>
        <v>1.1304901877495541</v>
      </c>
      <c r="V588" s="13">
        <f>IF('0.0%'!$N588&lt;$Z$3,0, '0.0%'!$P588/'0.0%'!$N588)</f>
        <v>0.99838586356299397</v>
      </c>
      <c r="W588" s="13">
        <f>IF('0.0%'!$N588&lt;$Z$3,0, '0.0%'!$Q588/'0.0%'!$N588)</f>
        <v>1.0133378642426303</v>
      </c>
      <c r="X588" s="13">
        <f>IF('0.0%'!$N588&lt;$Z$3,0, '0.0%'!$R588/'0.0%'!$N588)</f>
        <v>1.0660946393679382</v>
      </c>
      <c r="Y588" s="13">
        <f>IF('0.0%'!$N588&lt;$Z$3,0, '0.0%'!$S588/'0.0%'!$N588)</f>
        <v>1.0224280010194546</v>
      </c>
    </row>
    <row r="589" spans="1:25" x14ac:dyDescent="0.3">
      <c r="A589" s="17">
        <v>652.45000000000005</v>
      </c>
      <c r="B589" s="10">
        <v>1165.3</v>
      </c>
      <c r="C589" s="9">
        <v>652.45000000000005</v>
      </c>
      <c r="D589" s="10">
        <v>1320</v>
      </c>
      <c r="E589" s="11">
        <v>652.45000000000005</v>
      </c>
      <c r="F589" s="12">
        <v>1163.2</v>
      </c>
      <c r="G589" s="11">
        <v>652.45000000000005</v>
      </c>
      <c r="H589" s="12">
        <v>1181.2</v>
      </c>
      <c r="I589" s="11">
        <v>652.45000000000005</v>
      </c>
      <c r="J589" s="12">
        <v>1244.9000000000001</v>
      </c>
      <c r="K589" s="11">
        <v>652.45000000000005</v>
      </c>
      <c r="L589" s="12">
        <v>1192.2</v>
      </c>
      <c r="M589" s="11">
        <v>652.45000000000005</v>
      </c>
      <c r="N589" s="13">
        <v>1165.3</v>
      </c>
      <c r="O589" s="13">
        <v>1320</v>
      </c>
      <c r="P589" s="13">
        <v>1163.2</v>
      </c>
      <c r="Q589" s="11">
        <v>1181.2</v>
      </c>
      <c r="R589" s="11">
        <v>1244.9000000000001</v>
      </c>
      <c r="S589" s="14">
        <v>1192.2</v>
      </c>
      <c r="T589" s="11">
        <v>652.45000000000005</v>
      </c>
      <c r="U589" s="13">
        <f>IF('0.0%'!$N589&lt;$Z$3,0, '0.0%'!$O589/'0.0%'!$N589)</f>
        <v>1.1327555136016476</v>
      </c>
      <c r="V589" s="13">
        <f>IF('0.0%'!$N589&lt;$Z$3,0, '0.0%'!$P589/'0.0%'!$N589)</f>
        <v>0.99819788895563377</v>
      </c>
      <c r="W589" s="13">
        <f>IF('0.0%'!$N589&lt;$Z$3,0, '0.0%'!$Q589/'0.0%'!$N589)</f>
        <v>1.0136445550502018</v>
      </c>
      <c r="X589" s="13">
        <f>IF('0.0%'!$N589&lt;$Z$3,0, '0.0%'!$R589/'0.0%'!$N589)</f>
        <v>1.068308590062645</v>
      </c>
      <c r="Y589" s="13">
        <f>IF('0.0%'!$N589&lt;$Z$3,0, '0.0%'!$S589/'0.0%'!$N589)</f>
        <v>1.0230841843302154</v>
      </c>
    </row>
    <row r="590" spans="1:25" x14ac:dyDescent="0.3">
      <c r="A590" s="17">
        <v>653.44000000000005</v>
      </c>
      <c r="B590" s="10">
        <v>1150.5</v>
      </c>
      <c r="C590" s="9">
        <v>653.44000000000005</v>
      </c>
      <c r="D590" s="10">
        <v>1306.5</v>
      </c>
      <c r="E590" s="11">
        <v>653.44000000000005</v>
      </c>
      <c r="F590" s="12">
        <v>1148.2</v>
      </c>
      <c r="G590" s="11">
        <v>653.44000000000005</v>
      </c>
      <c r="H590" s="12">
        <v>1166.7</v>
      </c>
      <c r="I590" s="11">
        <v>653.44000000000005</v>
      </c>
      <c r="J590" s="12">
        <v>1232.0999999999999</v>
      </c>
      <c r="K590" s="11">
        <v>653.44000000000005</v>
      </c>
      <c r="L590" s="12">
        <v>1178.0999999999999</v>
      </c>
      <c r="M590" s="11">
        <v>653.44000000000005</v>
      </c>
      <c r="N590" s="13">
        <v>1150.5</v>
      </c>
      <c r="O590" s="13">
        <v>1306.5</v>
      </c>
      <c r="P590" s="13">
        <v>1148.2</v>
      </c>
      <c r="Q590" s="11">
        <v>1166.7</v>
      </c>
      <c r="R590" s="11">
        <v>1232.0999999999999</v>
      </c>
      <c r="S590" s="14">
        <v>1178.0999999999999</v>
      </c>
      <c r="T590" s="11">
        <v>653.44000000000005</v>
      </c>
      <c r="U590" s="13">
        <f>IF('0.0%'!$N590&lt;$Z$3,0, '0.0%'!$O590/'0.0%'!$N590)</f>
        <v>1.1355932203389831</v>
      </c>
      <c r="V590" s="13">
        <f>IF('0.0%'!$N590&lt;$Z$3,0, '0.0%'!$P590/'0.0%'!$N590)</f>
        <v>0.9980008691873099</v>
      </c>
      <c r="W590" s="13">
        <f>IF('0.0%'!$N590&lt;$Z$3,0, '0.0%'!$Q590/'0.0%'!$N590)</f>
        <v>1.0140808344198176</v>
      </c>
      <c r="X590" s="13">
        <f>IF('0.0%'!$N590&lt;$Z$3,0, '0.0%'!$R590/'0.0%'!$N590)</f>
        <v>1.0709256844850064</v>
      </c>
      <c r="Y590" s="13">
        <f>IF('0.0%'!$N590&lt;$Z$3,0, '0.0%'!$S590/'0.0%'!$N590)</f>
        <v>1.0239895697522816</v>
      </c>
    </row>
    <row r="591" spans="1:25" x14ac:dyDescent="0.3">
      <c r="A591" s="17">
        <v>654.42999999999995</v>
      </c>
      <c r="B591" s="10">
        <v>1136.5999999999999</v>
      </c>
      <c r="C591" s="9">
        <v>654.42999999999995</v>
      </c>
      <c r="D591" s="10">
        <v>1293.4000000000001</v>
      </c>
      <c r="E591" s="11">
        <v>654.42999999999995</v>
      </c>
      <c r="F591" s="12">
        <v>1134.2</v>
      </c>
      <c r="G591" s="11">
        <v>654.42999999999995</v>
      </c>
      <c r="H591" s="12">
        <v>1152.9000000000001</v>
      </c>
      <c r="I591" s="11">
        <v>654.42999999999995</v>
      </c>
      <c r="J591" s="12">
        <v>1219.7</v>
      </c>
      <c r="K591" s="11">
        <v>654.42999999999995</v>
      </c>
      <c r="L591" s="12">
        <v>1164.7</v>
      </c>
      <c r="M591" s="11">
        <v>654.42999999999995</v>
      </c>
      <c r="N591" s="13">
        <v>1136.5999999999999</v>
      </c>
      <c r="O591" s="13">
        <v>1293.4000000000001</v>
      </c>
      <c r="P591" s="13">
        <v>1134.2</v>
      </c>
      <c r="Q591" s="11">
        <v>1152.9000000000001</v>
      </c>
      <c r="R591" s="11">
        <v>1219.7</v>
      </c>
      <c r="S591" s="14">
        <v>1164.7</v>
      </c>
      <c r="T591" s="11">
        <v>654.42999999999995</v>
      </c>
      <c r="U591" s="13">
        <f>IF('0.0%'!$N591&lt;$Z$3,0, '0.0%'!$O591/'0.0%'!$N591)</f>
        <v>1.1379553052964986</v>
      </c>
      <c r="V591" s="13">
        <f>IF('0.0%'!$N591&lt;$Z$3,0, '0.0%'!$P591/'0.0%'!$N591)</f>
        <v>0.99788843920464554</v>
      </c>
      <c r="W591" s="13">
        <f>IF('0.0%'!$N591&lt;$Z$3,0, '0.0%'!$Q591/'0.0%'!$N591)</f>
        <v>1.0143410170684499</v>
      </c>
      <c r="X591" s="13">
        <f>IF('0.0%'!$N591&lt;$Z$3,0, '0.0%'!$R591/'0.0%'!$N591)</f>
        <v>1.0731127925391519</v>
      </c>
      <c r="Y591" s="13">
        <f>IF('0.0%'!$N591&lt;$Z$3,0, '0.0%'!$S591/'0.0%'!$N591)</f>
        <v>1.0247228576456098</v>
      </c>
    </row>
    <row r="592" spans="1:25" x14ac:dyDescent="0.3">
      <c r="A592" s="17">
        <v>655.42</v>
      </c>
      <c r="B592" s="10">
        <v>1120.2</v>
      </c>
      <c r="C592" s="9">
        <v>655.42</v>
      </c>
      <c r="D592" s="10">
        <v>1277.8</v>
      </c>
      <c r="E592" s="11">
        <v>655.42</v>
      </c>
      <c r="F592" s="12">
        <v>1117.7</v>
      </c>
      <c r="G592" s="11">
        <v>655.42</v>
      </c>
      <c r="H592" s="12">
        <v>1136.8</v>
      </c>
      <c r="I592" s="11">
        <v>655.42</v>
      </c>
      <c r="J592" s="12">
        <v>1204.8</v>
      </c>
      <c r="K592" s="11">
        <v>655.42</v>
      </c>
      <c r="L592" s="12">
        <v>1148.8</v>
      </c>
      <c r="M592" s="11">
        <v>655.42</v>
      </c>
      <c r="N592" s="13">
        <v>1120.2</v>
      </c>
      <c r="O592" s="13">
        <v>1277.8</v>
      </c>
      <c r="P592" s="13">
        <v>1117.7</v>
      </c>
      <c r="Q592" s="11">
        <v>1136.8</v>
      </c>
      <c r="R592" s="11">
        <v>1204.8</v>
      </c>
      <c r="S592" s="14">
        <v>1148.8</v>
      </c>
      <c r="T592" s="11">
        <v>655.42</v>
      </c>
      <c r="U592" s="13">
        <f>IF('0.0%'!$N592&lt;$Z$3,0, '0.0%'!$O592/'0.0%'!$N592)</f>
        <v>1.1406891626495268</v>
      </c>
      <c r="V592" s="13">
        <f>IF('0.0%'!$N592&lt;$Z$3,0, '0.0%'!$P592/'0.0%'!$N592)</f>
        <v>0.99776825566863059</v>
      </c>
      <c r="W592" s="13">
        <f>IF('0.0%'!$N592&lt;$Z$3,0, '0.0%'!$Q592/'0.0%'!$N592)</f>
        <v>1.0148187823602928</v>
      </c>
      <c r="X592" s="13">
        <f>IF('0.0%'!$N592&lt;$Z$3,0, '0.0%'!$R592/'0.0%'!$N592)</f>
        <v>1.0755222281735404</v>
      </c>
      <c r="Y592" s="13">
        <f>IF('0.0%'!$N592&lt;$Z$3,0, '0.0%'!$S592/'0.0%'!$N592)</f>
        <v>1.0255311551508659</v>
      </c>
    </row>
    <row r="593" spans="1:25" x14ac:dyDescent="0.3">
      <c r="A593" s="17">
        <v>656.41</v>
      </c>
      <c r="B593" s="10">
        <v>1105.0999999999999</v>
      </c>
      <c r="C593" s="9">
        <v>656.41</v>
      </c>
      <c r="D593" s="10">
        <v>1263</v>
      </c>
      <c r="E593" s="11">
        <v>656.41</v>
      </c>
      <c r="F593" s="12">
        <v>1102.5</v>
      </c>
      <c r="G593" s="11">
        <v>656.41</v>
      </c>
      <c r="H593" s="12">
        <v>1121.8</v>
      </c>
      <c r="I593" s="11">
        <v>656.41</v>
      </c>
      <c r="J593" s="12">
        <v>1190.8</v>
      </c>
      <c r="K593" s="11">
        <v>656.41</v>
      </c>
      <c r="L593" s="12">
        <v>1133.9000000000001</v>
      </c>
      <c r="M593" s="11">
        <v>656.41</v>
      </c>
      <c r="N593" s="13">
        <v>1105.0999999999999</v>
      </c>
      <c r="O593" s="13">
        <v>1263</v>
      </c>
      <c r="P593" s="13">
        <v>1102.5</v>
      </c>
      <c r="Q593" s="11">
        <v>1121.8</v>
      </c>
      <c r="R593" s="11">
        <v>1190.8</v>
      </c>
      <c r="S593" s="14">
        <v>1133.9000000000001</v>
      </c>
      <c r="T593" s="11">
        <v>656.41</v>
      </c>
      <c r="U593" s="13">
        <f>IF('0.0%'!$N593&lt;$Z$3,0, '0.0%'!$O593/'0.0%'!$N593)</f>
        <v>1.142882997013845</v>
      </c>
      <c r="V593" s="13">
        <f>IF('0.0%'!$N593&lt;$Z$3,0, '0.0%'!$P593/'0.0%'!$N593)</f>
        <v>0.99764727174011414</v>
      </c>
      <c r="W593" s="13">
        <f>IF('0.0%'!$N593&lt;$Z$3,0, '0.0%'!$Q593/'0.0%'!$N593)</f>
        <v>1.0151117545923447</v>
      </c>
      <c r="X593" s="13">
        <f>IF('0.0%'!$N593&lt;$Z$3,0, '0.0%'!$R593/'0.0%'!$N593)</f>
        <v>1.0775495430277804</v>
      </c>
      <c r="Y593" s="13">
        <f>IF('0.0%'!$N593&lt;$Z$3,0, '0.0%'!$S593/'0.0%'!$N593)</f>
        <v>1.0260609899556603</v>
      </c>
    </row>
    <row r="594" spans="1:25" x14ac:dyDescent="0.3">
      <c r="A594" s="17">
        <v>657.41</v>
      </c>
      <c r="B594" s="10">
        <v>1087.4000000000001</v>
      </c>
      <c r="C594" s="9">
        <v>657.41</v>
      </c>
      <c r="D594" s="10">
        <v>1245.7</v>
      </c>
      <c r="E594" s="11">
        <v>657.41</v>
      </c>
      <c r="F594" s="12">
        <v>1084.8</v>
      </c>
      <c r="G594" s="11">
        <v>657.41</v>
      </c>
      <c r="H594" s="12">
        <v>1104.4000000000001</v>
      </c>
      <c r="I594" s="11">
        <v>657.41</v>
      </c>
      <c r="J594" s="12">
        <v>1174.2</v>
      </c>
      <c r="K594" s="11">
        <v>657.41</v>
      </c>
      <c r="L594" s="12">
        <v>1116.5999999999999</v>
      </c>
      <c r="M594" s="11">
        <v>657.41</v>
      </c>
      <c r="N594" s="13">
        <v>1087.4000000000001</v>
      </c>
      <c r="O594" s="13">
        <v>1245.7</v>
      </c>
      <c r="P594" s="13">
        <v>1084.8</v>
      </c>
      <c r="Q594" s="11">
        <v>1104.4000000000001</v>
      </c>
      <c r="R594" s="11">
        <v>1174.2</v>
      </c>
      <c r="S594" s="14">
        <v>1116.5999999999999</v>
      </c>
      <c r="T594" s="11">
        <v>657.41</v>
      </c>
      <c r="U594" s="13">
        <f>IF('0.0%'!$N594&lt;$Z$3,0, '0.0%'!$O594/'0.0%'!$N594)</f>
        <v>1.1455766047452638</v>
      </c>
      <c r="V594" s="13">
        <f>IF('0.0%'!$N594&lt;$Z$3,0, '0.0%'!$P594/'0.0%'!$N594)</f>
        <v>0.99760897553798034</v>
      </c>
      <c r="W594" s="13">
        <f>IF('0.0%'!$N594&lt;$Z$3,0, '0.0%'!$Q594/'0.0%'!$N594)</f>
        <v>1.0156336214824351</v>
      </c>
      <c r="X594" s="13">
        <f>IF('0.0%'!$N594&lt;$Z$3,0, '0.0%'!$R594/'0.0%'!$N594)</f>
        <v>1.0798234320397277</v>
      </c>
      <c r="Y594" s="13">
        <f>IF('0.0%'!$N594&lt;$Z$3,0, '0.0%'!$S594/'0.0%'!$N594)</f>
        <v>1.026853043958065</v>
      </c>
    </row>
    <row r="595" spans="1:25" x14ac:dyDescent="0.3">
      <c r="A595" s="17">
        <v>658.4</v>
      </c>
      <c r="B595" s="10">
        <v>1071.5</v>
      </c>
      <c r="C595" s="9">
        <v>658.4</v>
      </c>
      <c r="D595" s="10">
        <v>1229.7</v>
      </c>
      <c r="E595" s="11">
        <v>658.4</v>
      </c>
      <c r="F595" s="12">
        <v>1068.9000000000001</v>
      </c>
      <c r="G595" s="11">
        <v>658.4</v>
      </c>
      <c r="H595" s="12">
        <v>1088.7</v>
      </c>
      <c r="I595" s="11">
        <v>658.4</v>
      </c>
      <c r="J595" s="12">
        <v>1159</v>
      </c>
      <c r="K595" s="11">
        <v>658.4</v>
      </c>
      <c r="L595" s="12">
        <v>1100.8</v>
      </c>
      <c r="M595" s="11">
        <v>658.4</v>
      </c>
      <c r="N595" s="13">
        <v>1071.5</v>
      </c>
      <c r="O595" s="13">
        <v>1229.7</v>
      </c>
      <c r="P595" s="13">
        <v>1068.9000000000001</v>
      </c>
      <c r="Q595" s="11">
        <v>1088.7</v>
      </c>
      <c r="R595" s="11">
        <v>1159</v>
      </c>
      <c r="S595" s="14">
        <v>1100.8</v>
      </c>
      <c r="T595" s="11">
        <v>658.4</v>
      </c>
      <c r="U595" s="13">
        <f>IF('0.0%'!$N595&lt;$Z$3,0, '0.0%'!$O595/'0.0%'!$N595)</f>
        <v>1.1476434904339712</v>
      </c>
      <c r="V595" s="13">
        <f>IF('0.0%'!$N595&lt;$Z$3,0, '0.0%'!$P595/'0.0%'!$N595)</f>
        <v>0.99757349510032678</v>
      </c>
      <c r="W595" s="13">
        <f>IF('0.0%'!$N595&lt;$Z$3,0, '0.0%'!$Q595/'0.0%'!$N595)</f>
        <v>1.0160522631824545</v>
      </c>
      <c r="X595" s="13">
        <f>IF('0.0%'!$N595&lt;$Z$3,0, '0.0%'!$R595/'0.0%'!$N595)</f>
        <v>1.081661222585161</v>
      </c>
      <c r="Y595" s="13">
        <f>IF('0.0%'!$N595&lt;$Z$3,0, '0.0%'!$S595/'0.0%'!$N595)</f>
        <v>1.0273448436770882</v>
      </c>
    </row>
    <row r="596" spans="1:25" x14ac:dyDescent="0.3">
      <c r="A596" s="17">
        <v>659.39</v>
      </c>
      <c r="B596" s="10">
        <v>1053.4000000000001</v>
      </c>
      <c r="C596" s="9">
        <v>659.39</v>
      </c>
      <c r="D596" s="10">
        <v>1211.5</v>
      </c>
      <c r="E596" s="11">
        <v>659.39</v>
      </c>
      <c r="F596" s="12">
        <v>1050.8</v>
      </c>
      <c r="G596" s="11">
        <v>659.39</v>
      </c>
      <c r="H596" s="12">
        <v>1070.9000000000001</v>
      </c>
      <c r="I596" s="11">
        <v>659.39</v>
      </c>
      <c r="J596" s="12">
        <v>1141.5</v>
      </c>
      <c r="K596" s="11">
        <v>659.39</v>
      </c>
      <c r="L596" s="12">
        <v>1082.8</v>
      </c>
      <c r="M596" s="11">
        <v>659.39</v>
      </c>
      <c r="N596" s="13">
        <v>1053.4000000000001</v>
      </c>
      <c r="O596" s="13">
        <v>1211.5</v>
      </c>
      <c r="P596" s="13">
        <v>1050.8</v>
      </c>
      <c r="Q596" s="11">
        <v>1070.9000000000001</v>
      </c>
      <c r="R596" s="11">
        <v>1141.5</v>
      </c>
      <c r="S596" s="14">
        <v>1082.8</v>
      </c>
      <c r="T596" s="11">
        <v>659.39</v>
      </c>
      <c r="U596" s="13">
        <f>IF('0.0%'!$N596&lt;$Z$3,0, '0.0%'!$O596/'0.0%'!$N596)</f>
        <v>1.1500854376305296</v>
      </c>
      <c r="V596" s="13">
        <f>IF('0.0%'!$N596&lt;$Z$3,0, '0.0%'!$P596/'0.0%'!$N596)</f>
        <v>0.99753180178469703</v>
      </c>
      <c r="W596" s="13">
        <f>IF('0.0%'!$N596&lt;$Z$3,0, '0.0%'!$Q596/'0.0%'!$N596)</f>
        <v>1.0166128726029997</v>
      </c>
      <c r="X596" s="13">
        <f>IF('0.0%'!$N596&lt;$Z$3,0, '0.0%'!$R596/'0.0%'!$N596)</f>
        <v>1.0836339472185303</v>
      </c>
      <c r="Y596" s="13">
        <f>IF('0.0%'!$N596&lt;$Z$3,0, '0.0%'!$S596/'0.0%'!$N596)</f>
        <v>1.0279096259730396</v>
      </c>
    </row>
    <row r="597" spans="1:25" x14ac:dyDescent="0.3">
      <c r="A597" s="17">
        <v>660.38</v>
      </c>
      <c r="B597" s="10">
        <v>1036.9000000000001</v>
      </c>
      <c r="C597" s="9">
        <v>660.38</v>
      </c>
      <c r="D597" s="10">
        <v>1194.7</v>
      </c>
      <c r="E597" s="11">
        <v>660.38</v>
      </c>
      <c r="F597" s="12">
        <v>1034.3</v>
      </c>
      <c r="G597" s="11">
        <v>660.38</v>
      </c>
      <c r="H597" s="12">
        <v>1054.5</v>
      </c>
      <c r="I597" s="11">
        <v>660.38</v>
      </c>
      <c r="J597" s="12">
        <v>1125.4000000000001</v>
      </c>
      <c r="K597" s="11">
        <v>660.38</v>
      </c>
      <c r="L597" s="12">
        <v>1066.3</v>
      </c>
      <c r="M597" s="11">
        <v>660.38</v>
      </c>
      <c r="N597" s="13">
        <v>1036.9000000000001</v>
      </c>
      <c r="O597" s="13">
        <v>1194.7</v>
      </c>
      <c r="P597" s="13">
        <v>1034.3</v>
      </c>
      <c r="Q597" s="11">
        <v>1054.5</v>
      </c>
      <c r="R597" s="11">
        <v>1125.4000000000001</v>
      </c>
      <c r="S597" s="14">
        <v>1066.3</v>
      </c>
      <c r="T597" s="11">
        <v>660.38</v>
      </c>
      <c r="U597" s="13">
        <f>IF('0.0%'!$N597&lt;$Z$3,0, '0.0%'!$O597/'0.0%'!$N597)</f>
        <v>1.1521843957951585</v>
      </c>
      <c r="V597" s="13">
        <f>IF('0.0%'!$N597&lt;$Z$3,0, '0.0%'!$P597/'0.0%'!$N597)</f>
        <v>0.9974925257980517</v>
      </c>
      <c r="W597" s="13">
        <f>IF('0.0%'!$N597&lt;$Z$3,0, '0.0%'!$Q597/'0.0%'!$N597)</f>
        <v>1.0169736715208795</v>
      </c>
      <c r="X597" s="13">
        <f>IF('0.0%'!$N597&lt;$Z$3,0, '0.0%'!$R597/'0.0%'!$N597)</f>
        <v>1.0853505641816954</v>
      </c>
      <c r="Y597" s="13">
        <f>IF('0.0%'!$N597&lt;$Z$3,0, '0.0%'!$S597/'0.0%'!$N597)</f>
        <v>1.0283537467451054</v>
      </c>
    </row>
    <row r="598" spans="1:25" x14ac:dyDescent="0.3">
      <c r="A598" s="17">
        <v>661.37</v>
      </c>
      <c r="B598" s="10">
        <v>1017.9</v>
      </c>
      <c r="C598" s="9">
        <v>661.37</v>
      </c>
      <c r="D598" s="10">
        <v>1175.5</v>
      </c>
      <c r="E598" s="11">
        <v>661.37</v>
      </c>
      <c r="F598" s="12">
        <v>1015.3</v>
      </c>
      <c r="G598" s="11">
        <v>661.37</v>
      </c>
      <c r="H598" s="12">
        <v>1035.9000000000001</v>
      </c>
      <c r="I598" s="11">
        <v>661.37</v>
      </c>
      <c r="J598" s="12">
        <v>1107</v>
      </c>
      <c r="K598" s="11">
        <v>661.37</v>
      </c>
      <c r="L598" s="12">
        <v>1047.4000000000001</v>
      </c>
      <c r="M598" s="11">
        <v>661.37</v>
      </c>
      <c r="N598" s="13">
        <v>1017.9</v>
      </c>
      <c r="O598" s="13">
        <v>1175.5</v>
      </c>
      <c r="P598" s="13">
        <v>1015.3</v>
      </c>
      <c r="Q598" s="11">
        <v>1035.9000000000001</v>
      </c>
      <c r="R598" s="11">
        <v>1107</v>
      </c>
      <c r="S598" s="14">
        <v>1047.4000000000001</v>
      </c>
      <c r="T598" s="11">
        <v>661.37</v>
      </c>
      <c r="U598" s="13">
        <f>IF('0.0%'!$N598&lt;$Z$3,0, '0.0%'!$O598/'0.0%'!$N598)</f>
        <v>1.1548285686216722</v>
      </c>
      <c r="V598" s="13">
        <f>IF('0.0%'!$N598&lt;$Z$3,0, '0.0%'!$P598/'0.0%'!$N598)</f>
        <v>0.99744572158365263</v>
      </c>
      <c r="W598" s="13">
        <f>IF('0.0%'!$N598&lt;$Z$3,0, '0.0%'!$Q598/'0.0%'!$N598)</f>
        <v>1.0176834659593281</v>
      </c>
      <c r="X598" s="13">
        <f>IF('0.0%'!$N598&lt;$Z$3,0, '0.0%'!$R598/'0.0%'!$N598)</f>
        <v>1.0875331564986737</v>
      </c>
      <c r="Y598" s="13">
        <f>IF('0.0%'!$N598&lt;$Z$3,0, '0.0%'!$S598/'0.0%'!$N598)</f>
        <v>1.0289812358777877</v>
      </c>
    </row>
    <row r="599" spans="1:25" x14ac:dyDescent="0.3">
      <c r="A599" s="17">
        <v>662.36</v>
      </c>
      <c r="B599" s="10">
        <v>1000.9</v>
      </c>
      <c r="C599" s="9">
        <v>662.36</v>
      </c>
      <c r="D599" s="10">
        <v>1158.0999999999999</v>
      </c>
      <c r="E599" s="11">
        <v>662.36</v>
      </c>
      <c r="F599" s="12">
        <v>998.3</v>
      </c>
      <c r="G599" s="11">
        <v>662.36</v>
      </c>
      <c r="H599" s="12">
        <v>1019.1</v>
      </c>
      <c r="I599" s="11">
        <v>662.36</v>
      </c>
      <c r="J599" s="12">
        <v>1090.3</v>
      </c>
      <c r="K599" s="11">
        <v>662.36</v>
      </c>
      <c r="L599" s="12">
        <v>1030.4000000000001</v>
      </c>
      <c r="M599" s="11">
        <v>662.36</v>
      </c>
      <c r="N599" s="13">
        <v>1000.9</v>
      </c>
      <c r="O599" s="13">
        <v>1158.0999999999999</v>
      </c>
      <c r="P599" s="13">
        <v>998.3</v>
      </c>
      <c r="Q599" s="11">
        <v>1019.1</v>
      </c>
      <c r="R599" s="11">
        <v>1090.3</v>
      </c>
      <c r="S599" s="14">
        <v>1030.4000000000001</v>
      </c>
      <c r="T599" s="11">
        <v>662.36</v>
      </c>
      <c r="U599" s="13">
        <f>IF('0.0%'!$N599&lt;$Z$3,0, '0.0%'!$O599/'0.0%'!$N599)</f>
        <v>1.1570586472175042</v>
      </c>
      <c r="V599" s="13">
        <f>IF('0.0%'!$N599&lt;$Z$3,0, '0.0%'!$P599/'0.0%'!$N599)</f>
        <v>0.99740233789589372</v>
      </c>
      <c r="W599" s="13">
        <f>IF('0.0%'!$N599&lt;$Z$3,0, '0.0%'!$Q599/'0.0%'!$N599)</f>
        <v>1.0181836347287441</v>
      </c>
      <c r="X599" s="13">
        <f>IF('0.0%'!$N599&lt;$Z$3,0, '0.0%'!$R599/'0.0%'!$N599)</f>
        <v>1.089319612348886</v>
      </c>
      <c r="Y599" s="13">
        <f>IF('0.0%'!$N599&lt;$Z$3,0, '0.0%'!$S599/'0.0%'!$N599)</f>
        <v>1.0294734738735138</v>
      </c>
    </row>
    <row r="600" spans="1:25" x14ac:dyDescent="0.3">
      <c r="A600" s="17">
        <v>663.36</v>
      </c>
      <c r="B600" s="10">
        <v>981.4</v>
      </c>
      <c r="C600" s="9">
        <v>663.36</v>
      </c>
      <c r="D600" s="10">
        <v>1138.3</v>
      </c>
      <c r="E600" s="11">
        <v>663.36</v>
      </c>
      <c r="F600" s="12">
        <v>979</v>
      </c>
      <c r="G600" s="11">
        <v>663.36</v>
      </c>
      <c r="H600" s="12">
        <v>1000.1</v>
      </c>
      <c r="I600" s="11">
        <v>663.36</v>
      </c>
      <c r="J600" s="12">
        <v>1071.5999999999999</v>
      </c>
      <c r="K600" s="11">
        <v>663.36</v>
      </c>
      <c r="L600" s="12">
        <v>1011</v>
      </c>
      <c r="M600" s="11">
        <v>663.36</v>
      </c>
      <c r="N600" s="13">
        <v>981.4</v>
      </c>
      <c r="O600" s="13">
        <v>1138.3</v>
      </c>
      <c r="P600" s="13">
        <v>979</v>
      </c>
      <c r="Q600" s="11">
        <v>1000.1</v>
      </c>
      <c r="R600" s="11">
        <v>1071.5999999999999</v>
      </c>
      <c r="S600" s="14">
        <v>1011</v>
      </c>
      <c r="T600" s="11">
        <v>663.36</v>
      </c>
      <c r="U600" s="13">
        <f>IF('0.0%'!$N600&lt;$Z$3,0, '0.0%'!$O600/'0.0%'!$N600)</f>
        <v>1.1598736498879152</v>
      </c>
      <c r="V600" s="13">
        <f>IF('0.0%'!$N600&lt;$Z$3,0, '0.0%'!$P600/'0.0%'!$N600)</f>
        <v>0.99755451395964956</v>
      </c>
      <c r="W600" s="13">
        <f>IF('0.0%'!$N600&lt;$Z$3,0, '0.0%'!$Q600/'0.0%'!$N600)</f>
        <v>1.0190544120643978</v>
      </c>
      <c r="X600" s="13">
        <f>IF('0.0%'!$N600&lt;$Z$3,0, '0.0%'!$R600/'0.0%'!$N600)</f>
        <v>1.091909517016507</v>
      </c>
      <c r="Y600" s="13">
        <f>IF('0.0%'!$N600&lt;$Z$3,0, '0.0%'!$S600/'0.0%'!$N600)</f>
        <v>1.0301609944976564</v>
      </c>
    </row>
    <row r="601" spans="1:25" x14ac:dyDescent="0.3">
      <c r="A601" s="17">
        <v>664.35</v>
      </c>
      <c r="B601" s="10">
        <v>963.8</v>
      </c>
      <c r="C601" s="9">
        <v>664.35</v>
      </c>
      <c r="D601" s="10">
        <v>1120.2</v>
      </c>
      <c r="E601" s="11">
        <v>664.35</v>
      </c>
      <c r="F601" s="12">
        <v>961.7</v>
      </c>
      <c r="G601" s="11">
        <v>664.35</v>
      </c>
      <c r="H601" s="12">
        <v>982.8</v>
      </c>
      <c r="I601" s="11">
        <v>664.35</v>
      </c>
      <c r="J601" s="12">
        <v>1054.4000000000001</v>
      </c>
      <c r="K601" s="11">
        <v>664.35</v>
      </c>
      <c r="L601" s="12">
        <v>993.4</v>
      </c>
      <c r="M601" s="11">
        <v>664.35</v>
      </c>
      <c r="N601" s="13">
        <v>963.8</v>
      </c>
      <c r="O601" s="13">
        <v>1120.2</v>
      </c>
      <c r="P601" s="13">
        <v>961.7</v>
      </c>
      <c r="Q601" s="11">
        <v>982.8</v>
      </c>
      <c r="R601" s="11">
        <v>1054.4000000000001</v>
      </c>
      <c r="S601" s="14">
        <v>993.4</v>
      </c>
      <c r="T601" s="11">
        <v>664.35</v>
      </c>
      <c r="U601" s="13">
        <f>IF('0.0%'!$N601&lt;$Z$3,0, '0.0%'!$O601/'0.0%'!$N601)</f>
        <v>1.1622743307740195</v>
      </c>
      <c r="V601" s="13">
        <f>IF('0.0%'!$N601&lt;$Z$3,0, '0.0%'!$P601/'0.0%'!$N601)</f>
        <v>0.99782112471467121</v>
      </c>
      <c r="W601" s="13">
        <f>IF('0.0%'!$N601&lt;$Z$3,0, '0.0%'!$Q601/'0.0%'!$N601)</f>
        <v>1.0197136335339283</v>
      </c>
      <c r="X601" s="13">
        <f>IF('0.0%'!$N601&lt;$Z$3,0, '0.0%'!$R601/'0.0%'!$N601)</f>
        <v>1.0940029051670472</v>
      </c>
      <c r="Y601" s="13">
        <f>IF('0.0%'!$N601&lt;$Z$3,0, '0.0%'!$S601/'0.0%'!$N601)</f>
        <v>1.0307117659265408</v>
      </c>
    </row>
    <row r="602" spans="1:25" x14ac:dyDescent="0.3">
      <c r="A602" s="17">
        <v>665.34</v>
      </c>
      <c r="B602" s="10">
        <v>943.6</v>
      </c>
      <c r="C602" s="9">
        <v>665.34</v>
      </c>
      <c r="D602" s="10">
        <v>1099.5</v>
      </c>
      <c r="E602" s="11">
        <v>665.34</v>
      </c>
      <c r="F602" s="12">
        <v>941.8</v>
      </c>
      <c r="G602" s="11">
        <v>665.34</v>
      </c>
      <c r="H602" s="12">
        <v>962.9</v>
      </c>
      <c r="I602" s="11">
        <v>665.34</v>
      </c>
      <c r="J602" s="12">
        <v>1035</v>
      </c>
      <c r="K602" s="11">
        <v>665.34</v>
      </c>
      <c r="L602" s="12">
        <v>973.1</v>
      </c>
      <c r="M602" s="11">
        <v>665.34</v>
      </c>
      <c r="N602" s="13">
        <v>943.6</v>
      </c>
      <c r="O602" s="13">
        <v>1099.5</v>
      </c>
      <c r="P602" s="13">
        <v>941.8</v>
      </c>
      <c r="Q602" s="11">
        <v>962.9</v>
      </c>
      <c r="R602" s="11">
        <v>1035</v>
      </c>
      <c r="S602" s="14">
        <v>973.1</v>
      </c>
      <c r="T602" s="11">
        <v>665.34</v>
      </c>
      <c r="U602" s="13">
        <f>IF('0.0%'!$N602&lt;$Z$3,0, '0.0%'!$O602/'0.0%'!$N602)</f>
        <v>1.1652183128444256</v>
      </c>
      <c r="V602" s="13">
        <f>IF('0.0%'!$N602&lt;$Z$3,0, '0.0%'!$P602/'0.0%'!$N602)</f>
        <v>0.99809241203899945</v>
      </c>
      <c r="W602" s="13">
        <f>IF('0.0%'!$N602&lt;$Z$3,0, '0.0%'!$Q602/'0.0%'!$N602)</f>
        <v>1.0204535820262823</v>
      </c>
      <c r="X602" s="13">
        <f>IF('0.0%'!$N602&lt;$Z$3,0, '0.0%'!$R602/'0.0%'!$N602)</f>
        <v>1.0968630775752437</v>
      </c>
      <c r="Y602" s="13">
        <f>IF('0.0%'!$N602&lt;$Z$3,0, '0.0%'!$S602/'0.0%'!$N602)</f>
        <v>1.0312632471386181</v>
      </c>
    </row>
    <row r="603" spans="1:25" x14ac:dyDescent="0.3">
      <c r="A603" s="17">
        <v>666.33</v>
      </c>
      <c r="B603" s="10">
        <v>925.7</v>
      </c>
      <c r="C603" s="9">
        <v>666.33</v>
      </c>
      <c r="D603" s="10">
        <v>1080.9000000000001</v>
      </c>
      <c r="E603" s="11">
        <v>666.33</v>
      </c>
      <c r="F603" s="12">
        <v>924.2</v>
      </c>
      <c r="G603" s="11">
        <v>666.33</v>
      </c>
      <c r="H603" s="12">
        <v>945</v>
      </c>
      <c r="I603" s="11">
        <v>666.33</v>
      </c>
      <c r="J603" s="12">
        <v>1017.5</v>
      </c>
      <c r="K603" s="11">
        <v>666.33</v>
      </c>
      <c r="L603" s="12">
        <v>955</v>
      </c>
      <c r="M603" s="11">
        <v>666.33</v>
      </c>
      <c r="N603" s="13">
        <v>925.7</v>
      </c>
      <c r="O603" s="13">
        <v>1080.9000000000001</v>
      </c>
      <c r="P603" s="13">
        <v>924.2</v>
      </c>
      <c r="Q603" s="11">
        <v>945</v>
      </c>
      <c r="R603" s="11">
        <v>1017.5</v>
      </c>
      <c r="S603" s="14">
        <v>955</v>
      </c>
      <c r="T603" s="11">
        <v>666.33</v>
      </c>
      <c r="U603" s="13">
        <f>IF('0.0%'!$N603&lt;$Z$3,0, '0.0%'!$O603/'0.0%'!$N603)</f>
        <v>1.1676569082856216</v>
      </c>
      <c r="V603" s="13">
        <f>IF('0.0%'!$N603&lt;$Z$3,0, '0.0%'!$P603/'0.0%'!$N603)</f>
        <v>0.99837960462352815</v>
      </c>
      <c r="W603" s="13">
        <f>IF('0.0%'!$N603&lt;$Z$3,0, '0.0%'!$Q603/'0.0%'!$N603)</f>
        <v>1.0208490871772713</v>
      </c>
      <c r="X603" s="13">
        <f>IF('0.0%'!$N603&lt;$Z$3,0, '0.0%'!$R603/'0.0%'!$N603)</f>
        <v>1.0991681970400777</v>
      </c>
      <c r="Y603" s="13">
        <f>IF('0.0%'!$N603&lt;$Z$3,0, '0.0%'!$S603/'0.0%'!$N603)</f>
        <v>1.031651723020417</v>
      </c>
    </row>
    <row r="604" spans="1:25" x14ac:dyDescent="0.3">
      <c r="A604" s="17">
        <v>667.32</v>
      </c>
      <c r="B604" s="10">
        <v>905.3</v>
      </c>
      <c r="C604" s="9">
        <v>667.32</v>
      </c>
      <c r="D604" s="10">
        <v>1059.5</v>
      </c>
      <c r="E604" s="11">
        <v>667.32</v>
      </c>
      <c r="F604" s="12">
        <v>903.9</v>
      </c>
      <c r="G604" s="11">
        <v>667.32</v>
      </c>
      <c r="H604" s="12">
        <v>924.6</v>
      </c>
      <c r="I604" s="11">
        <v>667.32</v>
      </c>
      <c r="J604" s="12">
        <v>997.8</v>
      </c>
      <c r="K604" s="11">
        <v>667.32</v>
      </c>
      <c r="L604" s="12">
        <v>934.2</v>
      </c>
      <c r="M604" s="11">
        <v>667.32</v>
      </c>
      <c r="N604" s="13">
        <v>905.3</v>
      </c>
      <c r="O604" s="13">
        <v>1059.5</v>
      </c>
      <c r="P604" s="13">
        <v>903.9</v>
      </c>
      <c r="Q604" s="11">
        <v>924.6</v>
      </c>
      <c r="R604" s="11">
        <v>997.8</v>
      </c>
      <c r="S604" s="14">
        <v>934.2</v>
      </c>
      <c r="T604" s="11">
        <v>667.32</v>
      </c>
      <c r="U604" s="13">
        <f>IF('0.0%'!$N604&lt;$Z$3,0, '0.0%'!$O604/'0.0%'!$N604)</f>
        <v>1.1703302772561583</v>
      </c>
      <c r="V604" s="13">
        <f>IF('0.0%'!$N604&lt;$Z$3,0, '0.0%'!$P604/'0.0%'!$N604)</f>
        <v>0.99845355130895841</v>
      </c>
      <c r="W604" s="13">
        <f>IF('0.0%'!$N604&lt;$Z$3,0, '0.0%'!$Q604/'0.0%'!$N604)</f>
        <v>1.0213188998122171</v>
      </c>
      <c r="X604" s="13">
        <f>IF('0.0%'!$N604&lt;$Z$3,0, '0.0%'!$R604/'0.0%'!$N604)</f>
        <v>1.1021760742295372</v>
      </c>
      <c r="Y604" s="13">
        <f>IF('0.0%'!$N604&lt;$Z$3,0, '0.0%'!$S604/'0.0%'!$N604)</f>
        <v>1.0319231194079312</v>
      </c>
    </row>
    <row r="605" spans="1:25" x14ac:dyDescent="0.3">
      <c r="A605" s="17">
        <v>668.31</v>
      </c>
      <c r="B605" s="10">
        <v>887</v>
      </c>
      <c r="C605" s="9">
        <v>668.31</v>
      </c>
      <c r="D605" s="10">
        <v>1040.2</v>
      </c>
      <c r="E605" s="11">
        <v>668.31</v>
      </c>
      <c r="F605" s="12">
        <v>885.7</v>
      </c>
      <c r="G605" s="11">
        <v>668.31</v>
      </c>
      <c r="H605" s="12">
        <v>906.3</v>
      </c>
      <c r="I605" s="11">
        <v>668.31</v>
      </c>
      <c r="J605" s="12">
        <v>979.7</v>
      </c>
      <c r="K605" s="11">
        <v>668.31</v>
      </c>
      <c r="L605" s="12">
        <v>915.7</v>
      </c>
      <c r="M605" s="11">
        <v>668.31</v>
      </c>
      <c r="N605" s="13">
        <v>887</v>
      </c>
      <c r="O605" s="13">
        <v>1040.2</v>
      </c>
      <c r="P605" s="13">
        <v>885.7</v>
      </c>
      <c r="Q605" s="11">
        <v>906.3</v>
      </c>
      <c r="R605" s="11">
        <v>979.7</v>
      </c>
      <c r="S605" s="14">
        <v>915.7</v>
      </c>
      <c r="T605" s="11">
        <v>668.31</v>
      </c>
      <c r="U605" s="13">
        <f>IF('0.0%'!$N605&lt;$Z$3,0, '0.0%'!$O605/'0.0%'!$N605)</f>
        <v>1.1727170236753102</v>
      </c>
      <c r="V605" s="13">
        <f>IF('0.0%'!$N605&lt;$Z$3,0, '0.0%'!$P605/'0.0%'!$N605)</f>
        <v>0.99853438556933494</v>
      </c>
      <c r="W605" s="13">
        <f>IF('0.0%'!$N605&lt;$Z$3,0, '0.0%'!$Q605/'0.0%'!$N605)</f>
        <v>1.0217587373167982</v>
      </c>
      <c r="X605" s="13">
        <f>IF('0.0%'!$N605&lt;$Z$3,0, '0.0%'!$R605/'0.0%'!$N605)</f>
        <v>1.1045095828635851</v>
      </c>
      <c r="Y605" s="13">
        <f>IF('0.0%'!$N605&lt;$Z$3,0, '0.0%'!$S605/'0.0%'!$N605)</f>
        <v>1.0323562570462232</v>
      </c>
    </row>
    <row r="606" spans="1:25" x14ac:dyDescent="0.3">
      <c r="A606" s="17">
        <v>669.31</v>
      </c>
      <c r="B606" s="10">
        <v>866.1</v>
      </c>
      <c r="C606" s="9">
        <v>669.31</v>
      </c>
      <c r="D606" s="10">
        <v>1018.1</v>
      </c>
      <c r="E606" s="11">
        <v>669.31</v>
      </c>
      <c r="F606" s="12">
        <v>864.9</v>
      </c>
      <c r="G606" s="11">
        <v>669.31</v>
      </c>
      <c r="H606" s="12">
        <v>885.3</v>
      </c>
      <c r="I606" s="11">
        <v>669.31</v>
      </c>
      <c r="J606" s="12">
        <v>959.1</v>
      </c>
      <c r="K606" s="11">
        <v>669.31</v>
      </c>
      <c r="L606" s="12">
        <v>894.5</v>
      </c>
      <c r="M606" s="11">
        <v>669.31</v>
      </c>
      <c r="N606" s="13">
        <v>866.1</v>
      </c>
      <c r="O606" s="13">
        <v>1018.1</v>
      </c>
      <c r="P606" s="13">
        <v>864.9</v>
      </c>
      <c r="Q606" s="11">
        <v>885.3</v>
      </c>
      <c r="R606" s="11">
        <v>959.1</v>
      </c>
      <c r="S606" s="14">
        <v>894.5</v>
      </c>
      <c r="T606" s="11">
        <v>669.31</v>
      </c>
      <c r="U606" s="13">
        <f>IF('0.0%'!$N606&lt;$Z$3,0, '0.0%'!$O606/'0.0%'!$N606)</f>
        <v>1.175499364969403</v>
      </c>
      <c r="V606" s="13">
        <f>IF('0.0%'!$N606&lt;$Z$3,0, '0.0%'!$P606/'0.0%'!$N606)</f>
        <v>0.99861447869760989</v>
      </c>
      <c r="W606" s="13">
        <f>IF('0.0%'!$N606&lt;$Z$3,0, '0.0%'!$Q606/'0.0%'!$N606)</f>
        <v>1.0221683408382403</v>
      </c>
      <c r="X606" s="13">
        <f>IF('0.0%'!$N606&lt;$Z$3,0, '0.0%'!$R606/'0.0%'!$N606)</f>
        <v>1.1073779009352269</v>
      </c>
      <c r="Y606" s="13">
        <f>IF('0.0%'!$N606&lt;$Z$3,0, '0.0%'!$S606/'0.0%'!$N606)</f>
        <v>1.0327906708232306</v>
      </c>
    </row>
    <row r="607" spans="1:25" x14ac:dyDescent="0.3">
      <c r="A607" s="17">
        <v>670.3</v>
      </c>
      <c r="B607" s="10">
        <v>847.6</v>
      </c>
      <c r="C607" s="9">
        <v>670.3</v>
      </c>
      <c r="D607" s="10">
        <v>998.4</v>
      </c>
      <c r="E607" s="11">
        <v>670.3</v>
      </c>
      <c r="F607" s="12">
        <v>846.6</v>
      </c>
      <c r="G607" s="11">
        <v>670.3</v>
      </c>
      <c r="H607" s="12">
        <v>866.9</v>
      </c>
      <c r="I607" s="11">
        <v>670.3</v>
      </c>
      <c r="J607" s="12">
        <v>940.5</v>
      </c>
      <c r="K607" s="11">
        <v>670.3</v>
      </c>
      <c r="L607" s="12">
        <v>875.7</v>
      </c>
      <c r="M607" s="11">
        <v>670.3</v>
      </c>
      <c r="N607" s="13">
        <v>847.6</v>
      </c>
      <c r="O607" s="13">
        <v>998.4</v>
      </c>
      <c r="P607" s="13">
        <v>846.6</v>
      </c>
      <c r="Q607" s="11">
        <v>866.9</v>
      </c>
      <c r="R607" s="11">
        <v>940.5</v>
      </c>
      <c r="S607" s="14">
        <v>875.7</v>
      </c>
      <c r="T607" s="11">
        <v>670.3</v>
      </c>
      <c r="U607" s="13">
        <f>IF('0.0%'!$N607&lt;$Z$3,0, '0.0%'!$O607/'0.0%'!$N607)</f>
        <v>1.1779141104294477</v>
      </c>
      <c r="V607" s="13">
        <f>IF('0.0%'!$N607&lt;$Z$3,0, '0.0%'!$P607/'0.0%'!$N607)</f>
        <v>0.99882019820670132</v>
      </c>
      <c r="W607" s="13">
        <f>IF('0.0%'!$N607&lt;$Z$3,0, '0.0%'!$Q607/'0.0%'!$N607)</f>
        <v>1.0227701746106654</v>
      </c>
      <c r="X607" s="13">
        <f>IF('0.0%'!$N607&lt;$Z$3,0, '0.0%'!$R607/'0.0%'!$N607)</f>
        <v>1.1096035865974516</v>
      </c>
      <c r="Y607" s="13">
        <f>IF('0.0%'!$N607&lt;$Z$3,0, '0.0%'!$S607/'0.0%'!$N607)</f>
        <v>1.0331524303916941</v>
      </c>
    </row>
    <row r="608" spans="1:25" x14ac:dyDescent="0.3">
      <c r="A608" s="17">
        <v>671.29</v>
      </c>
      <c r="B608" s="10">
        <v>826.6</v>
      </c>
      <c r="C608" s="9">
        <v>671.29</v>
      </c>
      <c r="D608" s="10">
        <v>975.9</v>
      </c>
      <c r="E608" s="11">
        <v>671.29</v>
      </c>
      <c r="F608" s="12">
        <v>825.7</v>
      </c>
      <c r="G608" s="11">
        <v>671.29</v>
      </c>
      <c r="H608" s="12">
        <v>845.9</v>
      </c>
      <c r="I608" s="11">
        <v>671.29</v>
      </c>
      <c r="J608" s="12">
        <v>919.5</v>
      </c>
      <c r="K608" s="11">
        <v>671.29</v>
      </c>
      <c r="L608" s="12">
        <v>854.4</v>
      </c>
      <c r="M608" s="11">
        <v>671.29</v>
      </c>
      <c r="N608" s="13">
        <v>826.6</v>
      </c>
      <c r="O608" s="13">
        <v>975.9</v>
      </c>
      <c r="P608" s="13">
        <v>825.7</v>
      </c>
      <c r="Q608" s="11">
        <v>845.9</v>
      </c>
      <c r="R608" s="11">
        <v>919.5</v>
      </c>
      <c r="S608" s="14">
        <v>854.4</v>
      </c>
      <c r="T608" s="11">
        <v>671.29</v>
      </c>
      <c r="U608" s="13">
        <f>IF('0.0%'!$N608&lt;$Z$3,0, '0.0%'!$O608/'0.0%'!$N608)</f>
        <v>1.1806194047907088</v>
      </c>
      <c r="V608" s="13">
        <f>IF('0.0%'!$N608&lt;$Z$3,0, '0.0%'!$P608/'0.0%'!$N608)</f>
        <v>0.99891120251633203</v>
      </c>
      <c r="W608" s="13">
        <f>IF('0.0%'!$N608&lt;$Z$3,0, '0.0%'!$Q608/'0.0%'!$N608)</f>
        <v>1.0233486571497701</v>
      </c>
      <c r="X608" s="13">
        <f>IF('0.0%'!$N608&lt;$Z$3,0, '0.0%'!$R608/'0.0%'!$N608)</f>
        <v>1.1123880958141785</v>
      </c>
      <c r="Y608" s="13">
        <f>IF('0.0%'!$N608&lt;$Z$3,0, '0.0%'!$S608/'0.0%'!$N608)</f>
        <v>1.0336317444955239</v>
      </c>
    </row>
    <row r="609" spans="1:25" x14ac:dyDescent="0.3">
      <c r="A609" s="17">
        <v>672.28</v>
      </c>
      <c r="B609" s="10">
        <v>807.8</v>
      </c>
      <c r="C609" s="9">
        <v>672.28</v>
      </c>
      <c r="D609" s="10">
        <v>955.6</v>
      </c>
      <c r="E609" s="11">
        <v>672.28</v>
      </c>
      <c r="F609" s="12">
        <v>806.9</v>
      </c>
      <c r="G609" s="11">
        <v>672.28</v>
      </c>
      <c r="H609" s="12">
        <v>827.1</v>
      </c>
      <c r="I609" s="11">
        <v>672.28</v>
      </c>
      <c r="J609" s="12">
        <v>900.4</v>
      </c>
      <c r="K609" s="11">
        <v>672.28</v>
      </c>
      <c r="L609" s="12">
        <v>835.3</v>
      </c>
      <c r="M609" s="11">
        <v>672.28</v>
      </c>
      <c r="N609" s="13">
        <v>807.8</v>
      </c>
      <c r="O609" s="13">
        <v>955.6</v>
      </c>
      <c r="P609" s="13">
        <v>806.9</v>
      </c>
      <c r="Q609" s="11">
        <v>827.1</v>
      </c>
      <c r="R609" s="11">
        <v>900.4</v>
      </c>
      <c r="S609" s="14">
        <v>835.3</v>
      </c>
      <c r="T609" s="11">
        <v>672.28</v>
      </c>
      <c r="U609" s="13">
        <f>IF('0.0%'!$N609&lt;$Z$3,0, '0.0%'!$O609/'0.0%'!$N609)</f>
        <v>1.182966080713048</v>
      </c>
      <c r="V609" s="13">
        <f>IF('0.0%'!$N609&lt;$Z$3,0, '0.0%'!$P609/'0.0%'!$N609)</f>
        <v>0.99888586283733605</v>
      </c>
      <c r="W609" s="13">
        <f>IF('0.0%'!$N609&lt;$Z$3,0, '0.0%'!$Q609/'0.0%'!$N609)</f>
        <v>1.0238920524882398</v>
      </c>
      <c r="X609" s="13">
        <f>IF('0.0%'!$N609&lt;$Z$3,0, '0.0%'!$R609/'0.0%'!$N609)</f>
        <v>1.114632334736321</v>
      </c>
      <c r="Y609" s="13">
        <f>IF('0.0%'!$N609&lt;$Z$3,0, '0.0%'!$S609/'0.0%'!$N609)</f>
        <v>1.0340430799702898</v>
      </c>
    </row>
    <row r="610" spans="1:25" x14ac:dyDescent="0.3">
      <c r="A610" s="17">
        <v>673.27</v>
      </c>
      <c r="B610" s="10">
        <v>786.3</v>
      </c>
      <c r="C610" s="9">
        <v>673.27</v>
      </c>
      <c r="D610" s="10">
        <v>932.3</v>
      </c>
      <c r="E610" s="11">
        <v>673.27</v>
      </c>
      <c r="F610" s="12">
        <v>785.4</v>
      </c>
      <c r="G610" s="11">
        <v>673.27</v>
      </c>
      <c r="H610" s="12">
        <v>805.6</v>
      </c>
      <c r="I610" s="11">
        <v>673.27</v>
      </c>
      <c r="J610" s="12">
        <v>878.3</v>
      </c>
      <c r="K610" s="11">
        <v>673.27</v>
      </c>
      <c r="L610" s="12">
        <v>813.6</v>
      </c>
      <c r="M610" s="11">
        <v>673.27</v>
      </c>
      <c r="N610" s="13">
        <v>786.3</v>
      </c>
      <c r="O610" s="13">
        <v>932.3</v>
      </c>
      <c r="P610" s="13">
        <v>785.4</v>
      </c>
      <c r="Q610" s="11">
        <v>805.6</v>
      </c>
      <c r="R610" s="11">
        <v>878.3</v>
      </c>
      <c r="S610" s="14">
        <v>813.6</v>
      </c>
      <c r="T610" s="11">
        <v>673.27</v>
      </c>
      <c r="U610" s="13">
        <f>IF('0.0%'!$N610&lt;$Z$3,0, '0.0%'!$O610/'0.0%'!$N610)</f>
        <v>1.1856797659926237</v>
      </c>
      <c r="V610" s="13">
        <f>IF('0.0%'!$N610&lt;$Z$3,0, '0.0%'!$P610/'0.0%'!$N610)</f>
        <v>0.99885539870278528</v>
      </c>
      <c r="W610" s="13">
        <f>IF('0.0%'!$N610&lt;$Z$3,0, '0.0%'!$Q610/'0.0%'!$N610)</f>
        <v>1.0245453389291619</v>
      </c>
      <c r="X610" s="13">
        <f>IF('0.0%'!$N610&lt;$Z$3,0, '0.0%'!$R610/'0.0%'!$N610)</f>
        <v>1.1170036881597354</v>
      </c>
      <c r="Y610" s="13">
        <f>IF('0.0%'!$N610&lt;$Z$3,0, '0.0%'!$S610/'0.0%'!$N610)</f>
        <v>1.0347195726821825</v>
      </c>
    </row>
    <row r="611" spans="1:25" x14ac:dyDescent="0.3">
      <c r="A611" s="17">
        <v>674.27</v>
      </c>
      <c r="B611" s="10">
        <v>767.1</v>
      </c>
      <c r="C611" s="9">
        <v>674.27</v>
      </c>
      <c r="D611" s="10">
        <v>911.3</v>
      </c>
      <c r="E611" s="11">
        <v>674.27</v>
      </c>
      <c r="F611" s="12">
        <v>766.1</v>
      </c>
      <c r="G611" s="11">
        <v>674.27</v>
      </c>
      <c r="H611" s="12">
        <v>786.3</v>
      </c>
      <c r="I611" s="11">
        <v>674.27</v>
      </c>
      <c r="J611" s="12">
        <v>858.3</v>
      </c>
      <c r="K611" s="11">
        <v>674.27</v>
      </c>
      <c r="L611" s="12">
        <v>794.1</v>
      </c>
      <c r="M611" s="11">
        <v>674.27</v>
      </c>
      <c r="N611" s="13">
        <v>767.1</v>
      </c>
      <c r="O611" s="13">
        <v>911.3</v>
      </c>
      <c r="P611" s="13">
        <v>766.1</v>
      </c>
      <c r="Q611" s="11">
        <v>786.3</v>
      </c>
      <c r="R611" s="11">
        <v>858.3</v>
      </c>
      <c r="S611" s="14">
        <v>794.1</v>
      </c>
      <c r="T611" s="11">
        <v>674.27</v>
      </c>
      <c r="U611" s="13">
        <f>IF('0.0%'!$N611&lt;$Z$3,0, '0.0%'!$O611/'0.0%'!$N611)</f>
        <v>1.1879807065571633</v>
      </c>
      <c r="V611" s="13">
        <f>IF('0.0%'!$N611&lt;$Z$3,0, '0.0%'!$P611/'0.0%'!$N611)</f>
        <v>0.99869638899752311</v>
      </c>
      <c r="W611" s="13">
        <f>IF('0.0%'!$N611&lt;$Z$3,0, '0.0%'!$Q611/'0.0%'!$N611)</f>
        <v>1.0250293312475556</v>
      </c>
      <c r="X611" s="13">
        <f>IF('0.0%'!$N611&lt;$Z$3,0, '0.0%'!$R611/'0.0%'!$N611)</f>
        <v>1.1188893234258896</v>
      </c>
      <c r="Y611" s="13">
        <f>IF('0.0%'!$N611&lt;$Z$3,0, '0.0%'!$S611/'0.0%'!$N611)</f>
        <v>1.0351974970668751</v>
      </c>
    </row>
    <row r="612" spans="1:25" x14ac:dyDescent="0.3">
      <c r="A612" s="17">
        <v>675.26</v>
      </c>
      <c r="B612" s="10">
        <v>745</v>
      </c>
      <c r="C612" s="9">
        <v>675.26</v>
      </c>
      <c r="D612" s="10">
        <v>887.2</v>
      </c>
      <c r="E612" s="11">
        <v>675.26</v>
      </c>
      <c r="F612" s="12">
        <v>744.1</v>
      </c>
      <c r="G612" s="11">
        <v>675.26</v>
      </c>
      <c r="H612" s="12">
        <v>764.4</v>
      </c>
      <c r="I612" s="11">
        <v>675.26</v>
      </c>
      <c r="J612" s="12">
        <v>835.3</v>
      </c>
      <c r="K612" s="11">
        <v>675.26</v>
      </c>
      <c r="L612" s="12">
        <v>771.9</v>
      </c>
      <c r="M612" s="11">
        <v>675.26</v>
      </c>
      <c r="N612" s="13">
        <v>745</v>
      </c>
      <c r="O612" s="13">
        <v>887.2</v>
      </c>
      <c r="P612" s="13">
        <v>744.1</v>
      </c>
      <c r="Q612" s="11">
        <v>764.4</v>
      </c>
      <c r="R612" s="11">
        <v>835.3</v>
      </c>
      <c r="S612" s="14">
        <v>771.9</v>
      </c>
      <c r="T612" s="11">
        <v>675.26</v>
      </c>
      <c r="U612" s="13">
        <f>IF('0.0%'!$N612&lt;$Z$3,0, '0.0%'!$O612/'0.0%'!$N612)</f>
        <v>1.1908724832214765</v>
      </c>
      <c r="V612" s="13">
        <f>IF('0.0%'!$N612&lt;$Z$3,0, '0.0%'!$P612/'0.0%'!$N612)</f>
        <v>0.99879194630872481</v>
      </c>
      <c r="W612" s="13">
        <f>IF('0.0%'!$N612&lt;$Z$3,0, '0.0%'!$Q612/'0.0%'!$N612)</f>
        <v>1.0260402684563759</v>
      </c>
      <c r="X612" s="13">
        <f>IF('0.0%'!$N612&lt;$Z$3,0, '0.0%'!$R612/'0.0%'!$N612)</f>
        <v>1.1212080536912752</v>
      </c>
      <c r="Y612" s="13">
        <f>IF('0.0%'!$N612&lt;$Z$3,0, '0.0%'!$S612/'0.0%'!$N612)</f>
        <v>1.0361073825503355</v>
      </c>
    </row>
    <row r="613" spans="1:25" x14ac:dyDescent="0.3">
      <c r="A613" s="17">
        <v>676.25</v>
      </c>
      <c r="B613" s="10">
        <v>725.1</v>
      </c>
      <c r="C613" s="9">
        <v>676.25</v>
      </c>
      <c r="D613" s="10">
        <v>865.3</v>
      </c>
      <c r="E613" s="11">
        <v>676.25</v>
      </c>
      <c r="F613" s="12">
        <v>724.1</v>
      </c>
      <c r="G613" s="11">
        <v>676.25</v>
      </c>
      <c r="H613" s="12">
        <v>744.6</v>
      </c>
      <c r="I613" s="11">
        <v>676.25</v>
      </c>
      <c r="J613" s="12">
        <v>814.4</v>
      </c>
      <c r="K613" s="11">
        <v>676.25</v>
      </c>
      <c r="L613" s="12">
        <v>751.8</v>
      </c>
      <c r="M613" s="11">
        <v>676.25</v>
      </c>
      <c r="N613" s="13">
        <v>725.1</v>
      </c>
      <c r="O613" s="13">
        <v>865.3</v>
      </c>
      <c r="P613" s="13">
        <v>724.1</v>
      </c>
      <c r="Q613" s="11">
        <v>744.6</v>
      </c>
      <c r="R613" s="11">
        <v>814.4</v>
      </c>
      <c r="S613" s="14">
        <v>751.8</v>
      </c>
      <c r="T613" s="11">
        <v>676.25</v>
      </c>
      <c r="U613" s="13">
        <f>IF('0.0%'!$N613&lt;$Z$3,0, '0.0%'!$O613/'0.0%'!$N613)</f>
        <v>1.1933526410150324</v>
      </c>
      <c r="V613" s="13">
        <f>IF('0.0%'!$N613&lt;$Z$3,0, '0.0%'!$P613/'0.0%'!$N613)</f>
        <v>0.99862087987863746</v>
      </c>
      <c r="W613" s="13">
        <f>IF('0.0%'!$N613&lt;$Z$3,0, '0.0%'!$Q613/'0.0%'!$N613)</f>
        <v>1.0268928423665702</v>
      </c>
      <c r="X613" s="13">
        <f>IF('0.0%'!$N613&lt;$Z$3,0, '0.0%'!$R613/'0.0%'!$N613)</f>
        <v>1.1231554268376776</v>
      </c>
      <c r="Y613" s="13">
        <f>IF('0.0%'!$N613&lt;$Z$3,0, '0.0%'!$S613/'0.0%'!$N613)</f>
        <v>1.0368225072403805</v>
      </c>
    </row>
    <row r="614" spans="1:25" x14ac:dyDescent="0.3">
      <c r="A614" s="17">
        <v>677.24</v>
      </c>
      <c r="B614" s="10">
        <v>702.1</v>
      </c>
      <c r="C614" s="9">
        <v>677.24</v>
      </c>
      <c r="D614" s="10">
        <v>840.1</v>
      </c>
      <c r="E614" s="11">
        <v>677.24</v>
      </c>
      <c r="F614" s="12">
        <v>701.2</v>
      </c>
      <c r="G614" s="11">
        <v>677.24</v>
      </c>
      <c r="H614" s="12">
        <v>721.7</v>
      </c>
      <c r="I614" s="11">
        <v>677.24</v>
      </c>
      <c r="J614" s="12">
        <v>790.3</v>
      </c>
      <c r="K614" s="11">
        <v>677.24</v>
      </c>
      <c r="L614" s="12">
        <v>728.5</v>
      </c>
      <c r="M614" s="11">
        <v>677.24</v>
      </c>
      <c r="N614" s="13">
        <v>702.1</v>
      </c>
      <c r="O614" s="13">
        <v>840.1</v>
      </c>
      <c r="P614" s="13">
        <v>701.2</v>
      </c>
      <c r="Q614" s="11">
        <v>721.7</v>
      </c>
      <c r="R614" s="11">
        <v>790.3</v>
      </c>
      <c r="S614" s="14">
        <v>728.5</v>
      </c>
      <c r="T614" s="11">
        <v>677.24</v>
      </c>
      <c r="U614" s="13">
        <f>IF('0.0%'!$N614&lt;$Z$3,0, '0.0%'!$O614/'0.0%'!$N614)</f>
        <v>1.1965531975502066</v>
      </c>
      <c r="V614" s="13">
        <f>IF('0.0%'!$N614&lt;$Z$3,0, '0.0%'!$P614/'0.0%'!$N614)</f>
        <v>0.99871813132032472</v>
      </c>
      <c r="W614" s="13">
        <f>IF('0.0%'!$N614&lt;$Z$3,0, '0.0%'!$Q614/'0.0%'!$N614)</f>
        <v>1.0279162512462612</v>
      </c>
      <c r="X614" s="13">
        <f>IF('0.0%'!$N614&lt;$Z$3,0, '0.0%'!$R614/'0.0%'!$N614)</f>
        <v>1.1256231306081754</v>
      </c>
      <c r="Y614" s="13">
        <f>IF('0.0%'!$N614&lt;$Z$3,0, '0.0%'!$S614/'0.0%'!$N614)</f>
        <v>1.0376014812704744</v>
      </c>
    </row>
    <row r="615" spans="1:25" x14ac:dyDescent="0.3">
      <c r="A615" s="17">
        <v>678.23</v>
      </c>
      <c r="B615" s="10">
        <v>681.3</v>
      </c>
      <c r="C615" s="9">
        <v>678.23</v>
      </c>
      <c r="D615" s="10">
        <v>817.2</v>
      </c>
      <c r="E615" s="11">
        <v>678.23</v>
      </c>
      <c r="F615" s="12">
        <v>680.5</v>
      </c>
      <c r="G615" s="11">
        <v>678.23</v>
      </c>
      <c r="H615" s="12">
        <v>701.1</v>
      </c>
      <c r="I615" s="11">
        <v>678.23</v>
      </c>
      <c r="J615" s="12">
        <v>768.6</v>
      </c>
      <c r="K615" s="11">
        <v>678.23</v>
      </c>
      <c r="L615" s="12">
        <v>707.6</v>
      </c>
      <c r="M615" s="11">
        <v>678.23</v>
      </c>
      <c r="N615" s="13">
        <v>681.3</v>
      </c>
      <c r="O615" s="13">
        <v>817.2</v>
      </c>
      <c r="P615" s="13">
        <v>680.5</v>
      </c>
      <c r="Q615" s="11">
        <v>701.1</v>
      </c>
      <c r="R615" s="11">
        <v>768.6</v>
      </c>
      <c r="S615" s="14">
        <v>707.6</v>
      </c>
      <c r="T615" s="11">
        <v>678.23</v>
      </c>
      <c r="U615" s="13">
        <f>IF('0.0%'!$N615&lt;$Z$3,0, '0.0%'!$O615/'0.0%'!$N615)</f>
        <v>1.1994715984147954</v>
      </c>
      <c r="V615" s="13">
        <f>IF('0.0%'!$N615&lt;$Z$3,0, '0.0%'!$P615/'0.0%'!$N615)</f>
        <v>0.99882577425510066</v>
      </c>
      <c r="W615" s="13">
        <f>IF('0.0%'!$N615&lt;$Z$3,0, '0.0%'!$Q615/'0.0%'!$N615)</f>
        <v>1.0290620871862617</v>
      </c>
      <c r="X615" s="13">
        <f>IF('0.0%'!$N615&lt;$Z$3,0, '0.0%'!$R615/'0.0%'!$N615)</f>
        <v>1.1281373844121534</v>
      </c>
      <c r="Y615" s="13">
        <f>IF('0.0%'!$N615&lt;$Z$3,0, '0.0%'!$S615/'0.0%'!$N615)</f>
        <v>1.0386026713635697</v>
      </c>
    </row>
    <row r="616" spans="1:25" x14ac:dyDescent="0.3">
      <c r="A616" s="17">
        <v>679.22</v>
      </c>
      <c r="B616" s="10">
        <v>657.4</v>
      </c>
      <c r="C616" s="9">
        <v>679.22</v>
      </c>
      <c r="D616" s="10">
        <v>790.6</v>
      </c>
      <c r="E616" s="11">
        <v>679.22</v>
      </c>
      <c r="F616" s="12">
        <v>656.7</v>
      </c>
      <c r="G616" s="11">
        <v>679.22</v>
      </c>
      <c r="H616" s="12">
        <v>677.4</v>
      </c>
      <c r="I616" s="11">
        <v>679.22</v>
      </c>
      <c r="J616" s="12">
        <v>743.7</v>
      </c>
      <c r="K616" s="11">
        <v>679.22</v>
      </c>
      <c r="L616" s="12">
        <v>683.5</v>
      </c>
      <c r="M616" s="11">
        <v>679.22</v>
      </c>
      <c r="N616" s="13">
        <v>657.4</v>
      </c>
      <c r="O616" s="13">
        <v>790.6</v>
      </c>
      <c r="P616" s="13">
        <v>656.7</v>
      </c>
      <c r="Q616" s="11">
        <v>677.4</v>
      </c>
      <c r="R616" s="11">
        <v>743.7</v>
      </c>
      <c r="S616" s="14">
        <v>683.5</v>
      </c>
      <c r="T616" s="11">
        <v>679.22</v>
      </c>
      <c r="U616" s="13">
        <f>IF('0.0%'!$N616&lt;$Z$3,0, '0.0%'!$O616/'0.0%'!$N616)</f>
        <v>1.2026163675083663</v>
      </c>
      <c r="V616" s="13">
        <f>IF('0.0%'!$N616&lt;$Z$3,0, '0.0%'!$P616/'0.0%'!$N616)</f>
        <v>0.99893519926985108</v>
      </c>
      <c r="W616" s="13">
        <f>IF('0.0%'!$N616&lt;$Z$3,0, '0.0%'!$Q616/'0.0%'!$N616)</f>
        <v>1.0304228780042592</v>
      </c>
      <c r="X616" s="13">
        <f>IF('0.0%'!$N616&lt;$Z$3,0, '0.0%'!$R616/'0.0%'!$N616)</f>
        <v>1.1312747185883785</v>
      </c>
      <c r="Y616" s="13">
        <f>IF('0.0%'!$N616&lt;$Z$3,0, '0.0%'!$S616/'0.0%'!$N616)</f>
        <v>1.0397018557955584</v>
      </c>
    </row>
    <row r="617" spans="1:25" x14ac:dyDescent="0.3">
      <c r="A617" s="17">
        <v>680.22</v>
      </c>
      <c r="B617" s="10">
        <v>635.6</v>
      </c>
      <c r="C617" s="9">
        <v>680.22</v>
      </c>
      <c r="D617" s="10">
        <v>766.3</v>
      </c>
      <c r="E617" s="11">
        <v>680.22</v>
      </c>
      <c r="F617" s="12">
        <v>635.1</v>
      </c>
      <c r="G617" s="11">
        <v>680.22</v>
      </c>
      <c r="H617" s="12">
        <v>655.8</v>
      </c>
      <c r="I617" s="11">
        <v>680.22</v>
      </c>
      <c r="J617" s="12">
        <v>721</v>
      </c>
      <c r="K617" s="11">
        <v>680.22</v>
      </c>
      <c r="L617" s="12">
        <v>661.7</v>
      </c>
      <c r="M617" s="11">
        <v>680.22</v>
      </c>
      <c r="N617" s="13">
        <v>635.6</v>
      </c>
      <c r="O617" s="13">
        <v>766.3</v>
      </c>
      <c r="P617" s="13">
        <v>635.1</v>
      </c>
      <c r="Q617" s="11">
        <v>655.8</v>
      </c>
      <c r="R617" s="11">
        <v>721</v>
      </c>
      <c r="S617" s="14">
        <v>661.7</v>
      </c>
      <c r="T617" s="11">
        <v>680.22</v>
      </c>
      <c r="U617" s="13">
        <f>IF('0.0%'!$N617&lt;$Z$3,0, '0.0%'!$O617/'0.0%'!$N617)</f>
        <v>1.2056324732536186</v>
      </c>
      <c r="V617" s="13">
        <f>IF('0.0%'!$N617&lt;$Z$3,0, '0.0%'!$P617/'0.0%'!$N617)</f>
        <v>0.99921334172435494</v>
      </c>
      <c r="W617" s="13">
        <f>IF('0.0%'!$N617&lt;$Z$3,0, '0.0%'!$Q617/'0.0%'!$N617)</f>
        <v>1.0317809943360603</v>
      </c>
      <c r="X617" s="13">
        <f>IF('0.0%'!$N617&lt;$Z$3,0, '0.0%'!$R617/'0.0%'!$N617)</f>
        <v>1.1343612334801763</v>
      </c>
      <c r="Y617" s="13">
        <f>IF('0.0%'!$N617&lt;$Z$3,0, '0.0%'!$S617/'0.0%'!$N617)</f>
        <v>1.0410635619886721</v>
      </c>
    </row>
    <row r="618" spans="1:25" x14ac:dyDescent="0.3">
      <c r="A618" s="17">
        <v>681.21</v>
      </c>
      <c r="B618" s="10">
        <v>610.29999999999995</v>
      </c>
      <c r="C618" s="9">
        <v>681.21</v>
      </c>
      <c r="D618" s="10">
        <v>738.1</v>
      </c>
      <c r="E618" s="11">
        <v>681.21</v>
      </c>
      <c r="F618" s="12">
        <v>610</v>
      </c>
      <c r="G618" s="11">
        <v>681.21</v>
      </c>
      <c r="H618" s="12">
        <v>630.79999999999995</v>
      </c>
      <c r="I618" s="11">
        <v>681.21</v>
      </c>
      <c r="J618" s="12">
        <v>694.8</v>
      </c>
      <c r="K618" s="11">
        <v>681.21</v>
      </c>
      <c r="L618" s="12">
        <v>636.4</v>
      </c>
      <c r="M618" s="11">
        <v>681.21</v>
      </c>
      <c r="N618" s="13">
        <v>610.29999999999995</v>
      </c>
      <c r="O618" s="13">
        <v>738.1</v>
      </c>
      <c r="P618" s="13">
        <v>610</v>
      </c>
      <c r="Q618" s="11">
        <v>630.79999999999995</v>
      </c>
      <c r="R618" s="11">
        <v>694.8</v>
      </c>
      <c r="S618" s="14">
        <v>636.4</v>
      </c>
      <c r="T618" s="11">
        <v>681.21</v>
      </c>
      <c r="U618" s="13">
        <f>IF('0.0%'!$N618&lt;$Z$3,0, '0.0%'!$O618/'0.0%'!$N618)</f>
        <v>1.2094052105521875</v>
      </c>
      <c r="V618" s="13">
        <f>IF('0.0%'!$N618&lt;$Z$3,0, '0.0%'!$P618/'0.0%'!$N618)</f>
        <v>0.99950843847288229</v>
      </c>
      <c r="W618" s="13">
        <f>IF('0.0%'!$N618&lt;$Z$3,0, '0.0%'!$Q618/'0.0%'!$N618)</f>
        <v>1.0335900376863838</v>
      </c>
      <c r="X618" s="13">
        <f>IF('0.0%'!$N618&lt;$Z$3,0, '0.0%'!$R618/'0.0%'!$N618)</f>
        <v>1.1384564968048501</v>
      </c>
      <c r="Y618" s="13">
        <f>IF('0.0%'!$N618&lt;$Z$3,0, '0.0%'!$S618/'0.0%'!$N618)</f>
        <v>1.0427658528592496</v>
      </c>
    </row>
    <row r="619" spans="1:25" x14ac:dyDescent="0.3">
      <c r="A619" s="17">
        <v>682.2</v>
      </c>
      <c r="B619" s="10">
        <v>587.4</v>
      </c>
      <c r="C619" s="9">
        <v>682.2</v>
      </c>
      <c r="D619" s="10">
        <v>712.5</v>
      </c>
      <c r="E619" s="11">
        <v>682.2</v>
      </c>
      <c r="F619" s="12">
        <v>587.1</v>
      </c>
      <c r="G619" s="11">
        <v>682.2</v>
      </c>
      <c r="H619" s="12">
        <v>608.20000000000005</v>
      </c>
      <c r="I619" s="11">
        <v>682.2</v>
      </c>
      <c r="J619" s="12">
        <v>671</v>
      </c>
      <c r="K619" s="11">
        <v>682.2</v>
      </c>
      <c r="L619" s="12">
        <v>613.70000000000005</v>
      </c>
      <c r="M619" s="11">
        <v>682.2</v>
      </c>
      <c r="N619" s="13">
        <v>587.4</v>
      </c>
      <c r="O619" s="13">
        <v>712.5</v>
      </c>
      <c r="P619" s="13">
        <v>587.1</v>
      </c>
      <c r="Q619" s="11">
        <v>608.20000000000005</v>
      </c>
      <c r="R619" s="11">
        <v>671</v>
      </c>
      <c r="S619" s="14">
        <v>613.70000000000005</v>
      </c>
      <c r="T619" s="11">
        <v>682.2</v>
      </c>
      <c r="U619" s="13">
        <f>IF('0.0%'!$N619&lt;$Z$3,0, '0.0%'!$O619/'0.0%'!$N619)</f>
        <v>1.2129724208375894</v>
      </c>
      <c r="V619" s="13">
        <f>IF('0.0%'!$N619&lt;$Z$3,0, '0.0%'!$P619/'0.0%'!$N619)</f>
        <v>0.99948927477017369</v>
      </c>
      <c r="W619" s="13">
        <f>IF('0.0%'!$N619&lt;$Z$3,0, '0.0%'!$Q619/'0.0%'!$N619)</f>
        <v>1.0354102826012939</v>
      </c>
      <c r="X619" s="13">
        <f>IF('0.0%'!$N619&lt;$Z$3,0, '0.0%'!$R619/'0.0%'!$N619)</f>
        <v>1.1423220973782773</v>
      </c>
      <c r="Y619" s="13">
        <f>IF('0.0%'!$N619&lt;$Z$3,0, '0.0%'!$S619/'0.0%'!$N619)</f>
        <v>1.0447735784814438</v>
      </c>
    </row>
    <row r="620" spans="1:25" x14ac:dyDescent="0.3">
      <c r="A620" s="17">
        <v>683.19</v>
      </c>
      <c r="B620" s="10">
        <v>560.6</v>
      </c>
      <c r="C620" s="9">
        <v>683.19</v>
      </c>
      <c r="D620" s="10">
        <v>682.2</v>
      </c>
      <c r="E620" s="11">
        <v>683.19</v>
      </c>
      <c r="F620" s="12">
        <v>560.4</v>
      </c>
      <c r="G620" s="11">
        <v>683.19</v>
      </c>
      <c r="H620" s="12">
        <v>581.70000000000005</v>
      </c>
      <c r="I620" s="11">
        <v>683.19</v>
      </c>
      <c r="J620" s="12">
        <v>643.4</v>
      </c>
      <c r="K620" s="11">
        <v>683.19</v>
      </c>
      <c r="L620" s="12">
        <v>587</v>
      </c>
      <c r="M620" s="11">
        <v>683.19</v>
      </c>
      <c r="N620" s="13">
        <v>560.6</v>
      </c>
      <c r="O620" s="13">
        <v>682.2</v>
      </c>
      <c r="P620" s="13">
        <v>560.4</v>
      </c>
      <c r="Q620" s="11">
        <v>581.70000000000005</v>
      </c>
      <c r="R620" s="11">
        <v>643.4</v>
      </c>
      <c r="S620" s="14">
        <v>587</v>
      </c>
      <c r="T620" s="11">
        <v>683.19</v>
      </c>
      <c r="U620" s="13">
        <f>IF('0.0%'!$N620&lt;$Z$3,0, '0.0%'!$O620/'0.0%'!$N620)</f>
        <v>1.2169104530859793</v>
      </c>
      <c r="V620" s="13">
        <f>IF('0.0%'!$N620&lt;$Z$3,0, '0.0%'!$P620/'0.0%'!$N620)</f>
        <v>0.99964323938637167</v>
      </c>
      <c r="W620" s="13">
        <f>IF('0.0%'!$N620&lt;$Z$3,0, '0.0%'!$Q620/'0.0%'!$N620)</f>
        <v>1.037638244737781</v>
      </c>
      <c r="X620" s="13">
        <f>IF('0.0%'!$N620&lt;$Z$3,0, '0.0%'!$R620/'0.0%'!$N620)</f>
        <v>1.1476988940420976</v>
      </c>
      <c r="Y620" s="13">
        <f>IF('0.0%'!$N620&lt;$Z$3,0, '0.0%'!$S620/'0.0%'!$N620)</f>
        <v>1.0470924009989298</v>
      </c>
    </row>
    <row r="621" spans="1:25" x14ac:dyDescent="0.3">
      <c r="A621" s="17">
        <v>684.18</v>
      </c>
      <c r="B621" s="10">
        <v>536.29999999999995</v>
      </c>
      <c r="C621" s="9">
        <v>684.18</v>
      </c>
      <c r="D621" s="10">
        <v>654.79999999999995</v>
      </c>
      <c r="E621" s="11">
        <v>684.18</v>
      </c>
      <c r="F621" s="12">
        <v>536.1</v>
      </c>
      <c r="G621" s="11">
        <v>684.18</v>
      </c>
      <c r="H621" s="12">
        <v>557.6</v>
      </c>
      <c r="I621" s="11">
        <v>684.18</v>
      </c>
      <c r="J621" s="12">
        <v>618.29999999999995</v>
      </c>
      <c r="K621" s="11">
        <v>684.18</v>
      </c>
      <c r="L621" s="12">
        <v>563</v>
      </c>
      <c r="M621" s="11">
        <v>684.18</v>
      </c>
      <c r="N621" s="13">
        <v>536.29999999999995</v>
      </c>
      <c r="O621" s="13">
        <v>654.79999999999995</v>
      </c>
      <c r="P621" s="13">
        <v>536.1</v>
      </c>
      <c r="Q621" s="11">
        <v>557.6</v>
      </c>
      <c r="R621" s="11">
        <v>618.29999999999995</v>
      </c>
      <c r="S621" s="14">
        <v>563</v>
      </c>
      <c r="T621" s="11">
        <v>684.18</v>
      </c>
      <c r="U621" s="13">
        <f>IF('0.0%'!$N621&lt;$Z$3,0, '0.0%'!$O621/'0.0%'!$N621)</f>
        <v>1.2209584187954503</v>
      </c>
      <c r="V621" s="13">
        <f>IF('0.0%'!$N621&lt;$Z$3,0, '0.0%'!$P621/'0.0%'!$N621)</f>
        <v>0.99962707439865761</v>
      </c>
      <c r="W621" s="13">
        <f>IF('0.0%'!$N621&lt;$Z$3,0, '0.0%'!$Q621/'0.0%'!$N621)</f>
        <v>1.0397165765429799</v>
      </c>
      <c r="X621" s="13">
        <f>IF('0.0%'!$N621&lt;$Z$3,0, '0.0%'!$R621/'0.0%'!$N621)</f>
        <v>1.1528994965504382</v>
      </c>
      <c r="Y621" s="13">
        <f>IF('0.0%'!$N621&lt;$Z$3,0, '0.0%'!$S621/'0.0%'!$N621)</f>
        <v>1.049785567779228</v>
      </c>
    </row>
    <row r="622" spans="1:25" x14ac:dyDescent="0.3">
      <c r="A622" s="17">
        <v>685.17</v>
      </c>
      <c r="B622" s="10">
        <v>507.8</v>
      </c>
      <c r="C622" s="9">
        <v>685.17</v>
      </c>
      <c r="D622" s="10">
        <v>622.4</v>
      </c>
      <c r="E622" s="11">
        <v>685.17</v>
      </c>
      <c r="F622" s="12">
        <v>507.5</v>
      </c>
      <c r="G622" s="11">
        <v>685.17</v>
      </c>
      <c r="H622" s="12">
        <v>529.29999999999995</v>
      </c>
      <c r="I622" s="11">
        <v>685.17</v>
      </c>
      <c r="J622" s="12">
        <v>588.79999999999995</v>
      </c>
      <c r="K622" s="11">
        <v>685.17</v>
      </c>
      <c r="L622" s="12">
        <v>534.79999999999995</v>
      </c>
      <c r="M622" s="11">
        <v>685.17</v>
      </c>
      <c r="N622" s="13">
        <v>507.8</v>
      </c>
      <c r="O622" s="13">
        <v>622.4</v>
      </c>
      <c r="P622" s="13">
        <v>507.5</v>
      </c>
      <c r="Q622" s="11">
        <v>529.29999999999995</v>
      </c>
      <c r="R622" s="11">
        <v>588.79999999999995</v>
      </c>
      <c r="S622" s="14">
        <v>534.79999999999995</v>
      </c>
      <c r="T622" s="11">
        <v>685.17</v>
      </c>
      <c r="U622" s="13">
        <f>IF('0.0%'!$N622&lt;$Z$3,0, '0.0%'!$O622/'0.0%'!$N622)</f>
        <v>1.2256794013391099</v>
      </c>
      <c r="V622" s="13">
        <f>IF('0.0%'!$N622&lt;$Z$3,0, '0.0%'!$P622/'0.0%'!$N622)</f>
        <v>0.99940921622686096</v>
      </c>
      <c r="W622" s="13">
        <f>IF('0.0%'!$N622&lt;$Z$3,0, '0.0%'!$Q622/'0.0%'!$N622)</f>
        <v>1.0423395037416305</v>
      </c>
      <c r="X622" s="13">
        <f>IF('0.0%'!$N622&lt;$Z$3,0, '0.0%'!$R622/'0.0%'!$N622)</f>
        <v>1.1595116187475383</v>
      </c>
      <c r="Y622" s="13">
        <f>IF('0.0%'!$N622&lt;$Z$3,0, '0.0%'!$S622/'0.0%'!$N622)</f>
        <v>1.0531705395825126</v>
      </c>
    </row>
    <row r="623" spans="1:25" x14ac:dyDescent="0.3">
      <c r="A623" s="17">
        <v>686.17</v>
      </c>
      <c r="B623" s="10">
        <v>482.2</v>
      </c>
      <c r="C623" s="9">
        <v>686.17</v>
      </c>
      <c r="D623" s="10">
        <v>593.29999999999995</v>
      </c>
      <c r="E623" s="11">
        <v>686.17</v>
      </c>
      <c r="F623" s="12">
        <v>481.9</v>
      </c>
      <c r="G623" s="11">
        <v>686.17</v>
      </c>
      <c r="H623" s="12">
        <v>503.9</v>
      </c>
      <c r="I623" s="11">
        <v>686.17</v>
      </c>
      <c r="J623" s="12">
        <v>562.4</v>
      </c>
      <c r="K623" s="11">
        <v>686.17</v>
      </c>
      <c r="L623" s="12">
        <v>509.6</v>
      </c>
      <c r="M623" s="11">
        <v>686.17</v>
      </c>
      <c r="N623" s="13">
        <v>482.2</v>
      </c>
      <c r="O623" s="13">
        <v>593.29999999999995</v>
      </c>
      <c r="P623" s="13">
        <v>481.9</v>
      </c>
      <c r="Q623" s="11">
        <v>503.9</v>
      </c>
      <c r="R623" s="11">
        <v>562.4</v>
      </c>
      <c r="S623" s="14">
        <v>509.6</v>
      </c>
      <c r="T623" s="11">
        <v>686.17</v>
      </c>
      <c r="U623" s="13">
        <f>IF('0.0%'!$N623&lt;$Z$3,0, '0.0%'!$O623/'0.0%'!$N623)</f>
        <v>1.2304023226876815</v>
      </c>
      <c r="V623" s="13">
        <f>IF('0.0%'!$N623&lt;$Z$3,0, '0.0%'!$P623/'0.0%'!$N623)</f>
        <v>0.99937785151389458</v>
      </c>
      <c r="W623" s="13">
        <f>IF('0.0%'!$N623&lt;$Z$3,0, '0.0%'!$Q623/'0.0%'!$N623)</f>
        <v>1.045002073828287</v>
      </c>
      <c r="X623" s="13">
        <f>IF('0.0%'!$N623&lt;$Z$3,0, '0.0%'!$R623/'0.0%'!$N623)</f>
        <v>1.1663210286188304</v>
      </c>
      <c r="Y623" s="13">
        <f>IF('0.0%'!$N623&lt;$Z$3,0, '0.0%'!$S623/'0.0%'!$N623)</f>
        <v>1.0568228950642888</v>
      </c>
    </row>
    <row r="624" spans="1:25" x14ac:dyDescent="0.3">
      <c r="A624" s="17">
        <v>687.16</v>
      </c>
      <c r="B624" s="10">
        <v>457.4</v>
      </c>
      <c r="C624" s="9">
        <v>687.16</v>
      </c>
      <c r="D624" s="10">
        <v>564.79999999999995</v>
      </c>
      <c r="E624" s="11">
        <v>687.16</v>
      </c>
      <c r="F624" s="12">
        <v>457.1</v>
      </c>
      <c r="G624" s="11">
        <v>687.16</v>
      </c>
      <c r="H624" s="12">
        <v>479.1</v>
      </c>
      <c r="I624" s="11">
        <v>687.16</v>
      </c>
      <c r="J624" s="12">
        <v>536.5</v>
      </c>
      <c r="K624" s="11">
        <v>687.16</v>
      </c>
      <c r="L624" s="12">
        <v>485</v>
      </c>
      <c r="M624" s="11">
        <v>687.16</v>
      </c>
      <c r="N624" s="13">
        <v>457.4</v>
      </c>
      <c r="O624" s="13">
        <v>564.79999999999995</v>
      </c>
      <c r="P624" s="13">
        <v>457.1</v>
      </c>
      <c r="Q624" s="11">
        <v>479.1</v>
      </c>
      <c r="R624" s="11">
        <v>536.5</v>
      </c>
      <c r="S624" s="14">
        <v>485</v>
      </c>
      <c r="T624" s="11">
        <v>687.16</v>
      </c>
      <c r="U624" s="13">
        <f>IF('0.0%'!$N624&lt;$Z$3,0, '0.0%'!$O624/'0.0%'!$N624)</f>
        <v>1.234805421950153</v>
      </c>
      <c r="V624" s="13">
        <f>IF('0.0%'!$N624&lt;$Z$3,0, '0.0%'!$P624/'0.0%'!$N624)</f>
        <v>0.99934411893310027</v>
      </c>
      <c r="W624" s="13">
        <f>IF('0.0%'!$N624&lt;$Z$3,0, '0.0%'!$Q624/'0.0%'!$N624)</f>
        <v>1.0474420638390907</v>
      </c>
      <c r="X624" s="13">
        <f>IF('0.0%'!$N624&lt;$Z$3,0, '0.0%'!$R624/'0.0%'!$N624)</f>
        <v>1.1729339746392655</v>
      </c>
      <c r="Y624" s="13">
        <f>IF('0.0%'!$N624&lt;$Z$3,0, '0.0%'!$S624/'0.0%'!$N624)</f>
        <v>1.0603410581547881</v>
      </c>
    </row>
    <row r="625" spans="1:25" x14ac:dyDescent="0.3">
      <c r="A625" s="17">
        <v>688.15</v>
      </c>
      <c r="B625" s="10">
        <v>425.5</v>
      </c>
      <c r="C625" s="9">
        <v>688.15</v>
      </c>
      <c r="D625" s="10">
        <v>527.9</v>
      </c>
      <c r="E625" s="11">
        <v>688.15</v>
      </c>
      <c r="F625" s="12">
        <v>425.2</v>
      </c>
      <c r="G625" s="11">
        <v>688.15</v>
      </c>
      <c r="H625" s="12">
        <v>447.2</v>
      </c>
      <c r="I625" s="11">
        <v>688.15</v>
      </c>
      <c r="J625" s="12">
        <v>503.3</v>
      </c>
      <c r="K625" s="11">
        <v>688.15</v>
      </c>
      <c r="L625" s="12">
        <v>453.5</v>
      </c>
      <c r="M625" s="11">
        <v>688.15</v>
      </c>
      <c r="N625" s="13">
        <v>425.5</v>
      </c>
      <c r="O625" s="13">
        <v>527.9</v>
      </c>
      <c r="P625" s="13">
        <v>425.2</v>
      </c>
      <c r="Q625" s="11">
        <v>447.2</v>
      </c>
      <c r="R625" s="11">
        <v>503.3</v>
      </c>
      <c r="S625" s="14">
        <v>453.5</v>
      </c>
      <c r="T625" s="11">
        <v>688.15</v>
      </c>
      <c r="U625" s="13">
        <f>IF('0.0%'!$N625&lt;$Z$3,0, '0.0%'!$O625/'0.0%'!$N625)</f>
        <v>1.2406580493537014</v>
      </c>
      <c r="V625" s="13">
        <f>IF('0.0%'!$N625&lt;$Z$3,0, '0.0%'!$P625/'0.0%'!$N625)</f>
        <v>0.99929494712103406</v>
      </c>
      <c r="W625" s="13">
        <f>IF('0.0%'!$N625&lt;$Z$3,0, '0.0%'!$Q625/'0.0%'!$N625)</f>
        <v>1.0509988249118685</v>
      </c>
      <c r="X625" s="13">
        <f>IF('0.0%'!$N625&lt;$Z$3,0, '0.0%'!$R625/'0.0%'!$N625)</f>
        <v>1.1828437132784959</v>
      </c>
      <c r="Y625" s="13">
        <f>IF('0.0%'!$N625&lt;$Z$3,0, '0.0%'!$S625/'0.0%'!$N625)</f>
        <v>1.0658049353701529</v>
      </c>
    </row>
    <row r="626" spans="1:25" x14ac:dyDescent="0.3">
      <c r="A626" s="17">
        <v>689.14</v>
      </c>
      <c r="B626" s="10">
        <v>396.4</v>
      </c>
      <c r="C626" s="9">
        <v>689.14</v>
      </c>
      <c r="D626" s="10">
        <v>494.3</v>
      </c>
      <c r="E626" s="11">
        <v>689.14</v>
      </c>
      <c r="F626" s="12">
        <v>396.1</v>
      </c>
      <c r="G626" s="11">
        <v>689.14</v>
      </c>
      <c r="H626" s="12">
        <v>418.1</v>
      </c>
      <c r="I626" s="11">
        <v>689.14</v>
      </c>
      <c r="J626" s="12">
        <v>473.1</v>
      </c>
      <c r="K626" s="11">
        <v>689.14</v>
      </c>
      <c r="L626" s="12">
        <v>424.7</v>
      </c>
      <c r="M626" s="11">
        <v>689.14</v>
      </c>
      <c r="N626" s="13">
        <v>396.4</v>
      </c>
      <c r="O626" s="13">
        <v>494.3</v>
      </c>
      <c r="P626" s="13">
        <v>396.1</v>
      </c>
      <c r="Q626" s="11">
        <v>418.1</v>
      </c>
      <c r="R626" s="11">
        <v>473.1</v>
      </c>
      <c r="S626" s="14">
        <v>424.7</v>
      </c>
      <c r="T626" s="11">
        <v>689.14</v>
      </c>
      <c r="U626" s="13">
        <f>IF('0.0%'!$N626&lt;$Z$3,0, '0.0%'!$O626/'0.0%'!$N626)</f>
        <v>1.2469727547931384</v>
      </c>
      <c r="V626" s="13">
        <f>IF('0.0%'!$N626&lt;$Z$3,0, '0.0%'!$P626/'0.0%'!$N626)</f>
        <v>0.99924318869828466</v>
      </c>
      <c r="W626" s="13">
        <f>IF('0.0%'!$N626&lt;$Z$3,0, '0.0%'!$Q626/'0.0%'!$N626)</f>
        <v>1.0547426841574168</v>
      </c>
      <c r="X626" s="13">
        <f>IF('0.0%'!$N626&lt;$Z$3,0, '0.0%'!$R626/'0.0%'!$N626)</f>
        <v>1.1934914228052473</v>
      </c>
      <c r="Y626" s="13">
        <f>IF('0.0%'!$N626&lt;$Z$3,0, '0.0%'!$S626/'0.0%'!$N626)</f>
        <v>1.0713925327951563</v>
      </c>
    </row>
    <row r="627" spans="1:25" x14ac:dyDescent="0.3">
      <c r="A627" s="17">
        <v>690.13</v>
      </c>
      <c r="B627" s="10">
        <v>362.7</v>
      </c>
      <c r="C627" s="9">
        <v>690.13</v>
      </c>
      <c r="D627" s="10">
        <v>455.2</v>
      </c>
      <c r="E627" s="11">
        <v>690.13</v>
      </c>
      <c r="F627" s="12">
        <v>362.7</v>
      </c>
      <c r="G627" s="11">
        <v>690.13</v>
      </c>
      <c r="H627" s="12">
        <v>384.3</v>
      </c>
      <c r="I627" s="11">
        <v>690.13</v>
      </c>
      <c r="J627" s="12">
        <v>437.9</v>
      </c>
      <c r="K627" s="11">
        <v>690.13</v>
      </c>
      <c r="L627" s="12">
        <v>391.5</v>
      </c>
      <c r="M627" s="11">
        <v>690.13</v>
      </c>
      <c r="N627" s="13">
        <v>362.7</v>
      </c>
      <c r="O627" s="13">
        <v>455.2</v>
      </c>
      <c r="P627" s="13">
        <v>362.7</v>
      </c>
      <c r="Q627" s="11">
        <v>384.3</v>
      </c>
      <c r="R627" s="11">
        <v>437.9</v>
      </c>
      <c r="S627" s="14">
        <v>391.5</v>
      </c>
      <c r="T627" s="11">
        <v>690.13</v>
      </c>
      <c r="U627" s="13">
        <f>IF('0.0%'!$N627&lt;$Z$3,0, '0.0%'!$O627/'0.0%'!$N627)</f>
        <v>1.2550317066446099</v>
      </c>
      <c r="V627" s="13">
        <f>IF('0.0%'!$N627&lt;$Z$3,0, '0.0%'!$P627/'0.0%'!$N627)</f>
        <v>1</v>
      </c>
      <c r="W627" s="13">
        <f>IF('0.0%'!$N627&lt;$Z$3,0, '0.0%'!$Q627/'0.0%'!$N627)</f>
        <v>1.0595533498759306</v>
      </c>
      <c r="X627" s="13">
        <f>IF('0.0%'!$N627&lt;$Z$3,0, '0.0%'!$R627/'0.0%'!$N627)</f>
        <v>1.2073338847532396</v>
      </c>
      <c r="Y627" s="13">
        <f>IF('0.0%'!$N627&lt;$Z$3,0, '0.0%'!$S627/'0.0%'!$N627)</f>
        <v>1.0794044665012408</v>
      </c>
    </row>
    <row r="628" spans="1:25" x14ac:dyDescent="0.3">
      <c r="A628" s="17">
        <v>691.13</v>
      </c>
      <c r="B628" s="10">
        <v>331.9</v>
      </c>
      <c r="C628" s="9">
        <v>691.13</v>
      </c>
      <c r="D628" s="10">
        <v>419</v>
      </c>
      <c r="E628" s="11">
        <v>691.13</v>
      </c>
      <c r="F628" s="12">
        <v>332.1</v>
      </c>
      <c r="G628" s="11">
        <v>691.13</v>
      </c>
      <c r="H628" s="12">
        <v>353.3</v>
      </c>
      <c r="I628" s="11">
        <v>691.13</v>
      </c>
      <c r="J628" s="12">
        <v>405.6</v>
      </c>
      <c r="K628" s="11">
        <v>691.13</v>
      </c>
      <c r="L628" s="12">
        <v>360.9</v>
      </c>
      <c r="M628" s="11">
        <v>691.13</v>
      </c>
      <c r="N628" s="13">
        <v>331.9</v>
      </c>
      <c r="O628" s="13">
        <v>419</v>
      </c>
      <c r="P628" s="13">
        <v>332.1</v>
      </c>
      <c r="Q628" s="11">
        <v>353.3</v>
      </c>
      <c r="R628" s="11">
        <v>405.6</v>
      </c>
      <c r="S628" s="14">
        <v>360.9</v>
      </c>
      <c r="T628" s="11">
        <v>691.13</v>
      </c>
      <c r="U628" s="13">
        <f>IF('0.0%'!$N628&lt;$Z$3,0, '0.0%'!$O628/'0.0%'!$N628)</f>
        <v>1.2624284423018983</v>
      </c>
      <c r="V628" s="13">
        <f>IF('0.0%'!$N628&lt;$Z$3,0, '0.0%'!$P628/'0.0%'!$N628)</f>
        <v>1.0006025911419103</v>
      </c>
      <c r="W628" s="13">
        <f>IF('0.0%'!$N628&lt;$Z$3,0, '0.0%'!$Q628/'0.0%'!$N628)</f>
        <v>1.064477252184393</v>
      </c>
      <c r="X628" s="13">
        <f>IF('0.0%'!$N628&lt;$Z$3,0, '0.0%'!$R628/'0.0%'!$N628)</f>
        <v>1.2220548357939141</v>
      </c>
      <c r="Y628" s="13">
        <f>IF('0.0%'!$N628&lt;$Z$3,0, '0.0%'!$S628/'0.0%'!$N628)</f>
        <v>1.087375715576981</v>
      </c>
    </row>
    <row r="629" spans="1:25" x14ac:dyDescent="0.3">
      <c r="A629" s="17">
        <v>692.12</v>
      </c>
      <c r="B629" s="10">
        <v>297.2</v>
      </c>
      <c r="C629" s="9">
        <v>692.12</v>
      </c>
      <c r="D629" s="10">
        <v>377.9</v>
      </c>
      <c r="E629" s="11">
        <v>692.12</v>
      </c>
      <c r="F629" s="12">
        <v>297.7</v>
      </c>
      <c r="G629" s="11">
        <v>692.12</v>
      </c>
      <c r="H629" s="12">
        <v>318.2</v>
      </c>
      <c r="I629" s="11">
        <v>692.12</v>
      </c>
      <c r="J629" s="12">
        <v>369.1</v>
      </c>
      <c r="K629" s="11">
        <v>692.12</v>
      </c>
      <c r="L629" s="12">
        <v>326.39999999999998</v>
      </c>
      <c r="M629" s="11">
        <v>692.12</v>
      </c>
      <c r="N629" s="13">
        <v>297.2</v>
      </c>
      <c r="O629" s="13">
        <v>377.9</v>
      </c>
      <c r="P629" s="13">
        <v>297.7</v>
      </c>
      <c r="Q629" s="11">
        <v>318.2</v>
      </c>
      <c r="R629" s="11">
        <v>369.1</v>
      </c>
      <c r="S629" s="14">
        <v>326.39999999999998</v>
      </c>
      <c r="T629" s="11">
        <v>692.12</v>
      </c>
      <c r="U629" s="13">
        <f>IF('0.0%'!$N629&lt;$Z$3,0, '0.0%'!$O629/'0.0%'!$N629)</f>
        <v>1.2715343203230147</v>
      </c>
      <c r="V629" s="13">
        <f>IF('0.0%'!$N629&lt;$Z$3,0, '0.0%'!$P629/'0.0%'!$N629)</f>
        <v>1.0016823687752354</v>
      </c>
      <c r="W629" s="13">
        <f>IF('0.0%'!$N629&lt;$Z$3,0, '0.0%'!$Q629/'0.0%'!$N629)</f>
        <v>1.0706594885598923</v>
      </c>
      <c r="X629" s="13">
        <f>IF('0.0%'!$N629&lt;$Z$3,0, '0.0%'!$R629/'0.0%'!$N629)</f>
        <v>1.2419246298788695</v>
      </c>
      <c r="Y629" s="13">
        <f>IF('0.0%'!$N629&lt;$Z$3,0, '0.0%'!$S629/'0.0%'!$N629)</f>
        <v>1.098250336473755</v>
      </c>
    </row>
    <row r="630" spans="1:25" x14ac:dyDescent="0.3">
      <c r="A630" s="17">
        <v>693.11</v>
      </c>
      <c r="B630" s="10">
        <v>266.2</v>
      </c>
      <c r="C630" s="9">
        <v>693.11</v>
      </c>
      <c r="D630" s="10">
        <v>340.8</v>
      </c>
      <c r="E630" s="11">
        <v>693.11</v>
      </c>
      <c r="F630" s="12">
        <v>267</v>
      </c>
      <c r="G630" s="11">
        <v>693.11</v>
      </c>
      <c r="H630" s="12">
        <v>286.7</v>
      </c>
      <c r="I630" s="11">
        <v>693.11</v>
      </c>
      <c r="J630" s="12">
        <v>336.3</v>
      </c>
      <c r="K630" s="11">
        <v>693.11</v>
      </c>
      <c r="L630" s="12">
        <v>295.3</v>
      </c>
      <c r="M630" s="11">
        <v>693.11</v>
      </c>
      <c r="N630" s="13">
        <v>266.2</v>
      </c>
      <c r="O630" s="13">
        <v>340.8</v>
      </c>
      <c r="P630" s="13">
        <v>267</v>
      </c>
      <c r="Q630" s="11">
        <v>286.7</v>
      </c>
      <c r="R630" s="11">
        <v>336.3</v>
      </c>
      <c r="S630" s="14">
        <v>295.3</v>
      </c>
      <c r="T630" s="11">
        <v>693.11</v>
      </c>
      <c r="U630" s="13">
        <f>IF('0.0%'!$N630&lt;$Z$3,0, '0.0%'!$O630/'0.0%'!$N630)</f>
        <v>1.2802404207362885</v>
      </c>
      <c r="V630" s="13">
        <f>IF('0.0%'!$N630&lt;$Z$3,0, '0.0%'!$P630/'0.0%'!$N630)</f>
        <v>1.0030052592036063</v>
      </c>
      <c r="W630" s="13">
        <f>IF('0.0%'!$N630&lt;$Z$3,0, '0.0%'!$Q630/'0.0%'!$N630)</f>
        <v>1.0770097670924117</v>
      </c>
      <c r="X630" s="13">
        <f>IF('0.0%'!$N630&lt;$Z$3,0, '0.0%'!$R630/'0.0%'!$N630)</f>
        <v>1.2633358377160031</v>
      </c>
      <c r="Y630" s="13">
        <f>IF('0.0%'!$N630&lt;$Z$3,0, '0.0%'!$S630/'0.0%'!$N630)</f>
        <v>1.1093163035311797</v>
      </c>
    </row>
    <row r="631" spans="1:25" x14ac:dyDescent="0.3">
      <c r="A631" s="17">
        <v>694.1</v>
      </c>
      <c r="B631" s="10">
        <v>234.6</v>
      </c>
      <c r="C631" s="9">
        <v>694.1</v>
      </c>
      <c r="D631" s="10">
        <v>302.8</v>
      </c>
      <c r="E631" s="11">
        <v>694.1</v>
      </c>
      <c r="F631" s="12">
        <v>235.8</v>
      </c>
      <c r="G631" s="11">
        <v>694.1</v>
      </c>
      <c r="H631" s="12">
        <v>254.3</v>
      </c>
      <c r="I631" s="11">
        <v>694.1</v>
      </c>
      <c r="J631" s="12">
        <v>302.10000000000002</v>
      </c>
      <c r="K631" s="11">
        <v>694.1</v>
      </c>
      <c r="L631" s="12">
        <v>263.7</v>
      </c>
      <c r="M631" s="11">
        <v>694.1</v>
      </c>
      <c r="N631" s="13">
        <v>234.6</v>
      </c>
      <c r="O631" s="13">
        <v>302.8</v>
      </c>
      <c r="P631" s="13">
        <v>235.8</v>
      </c>
      <c r="Q631" s="11">
        <v>254.3</v>
      </c>
      <c r="R631" s="11">
        <v>302.10000000000002</v>
      </c>
      <c r="S631" s="14">
        <v>263.7</v>
      </c>
      <c r="T631" s="11">
        <v>694.1</v>
      </c>
      <c r="U631" s="13">
        <f>IF('0.0%'!$N631&lt;$Z$3,0, '0.0%'!$O631/'0.0%'!$N631)</f>
        <v>1.2907075873827794</v>
      </c>
      <c r="V631" s="13">
        <f>IF('0.0%'!$N631&lt;$Z$3,0, '0.0%'!$P631/'0.0%'!$N631)</f>
        <v>1.0051150895140666</v>
      </c>
      <c r="W631" s="13">
        <f>IF('0.0%'!$N631&lt;$Z$3,0, '0.0%'!$Q631/'0.0%'!$N631)</f>
        <v>1.0839727195225917</v>
      </c>
      <c r="X631" s="13">
        <f>IF('0.0%'!$N631&lt;$Z$3,0, '0.0%'!$R631/'0.0%'!$N631)</f>
        <v>1.2877237851662406</v>
      </c>
      <c r="Y631" s="13">
        <f>IF('0.0%'!$N631&lt;$Z$3,0, '0.0%'!$S631/'0.0%'!$N631)</f>
        <v>1.1240409207161126</v>
      </c>
    </row>
    <row r="632" spans="1:25" x14ac:dyDescent="0.3">
      <c r="A632" s="17">
        <v>695.09</v>
      </c>
      <c r="B632" s="10">
        <v>206.7</v>
      </c>
      <c r="C632" s="9">
        <v>695.09</v>
      </c>
      <c r="D632" s="10">
        <v>268.60000000000002</v>
      </c>
      <c r="E632" s="11">
        <v>695.09</v>
      </c>
      <c r="F632" s="12">
        <v>208</v>
      </c>
      <c r="G632" s="11">
        <v>695.09</v>
      </c>
      <c r="H632" s="12">
        <v>225.3</v>
      </c>
      <c r="I632" s="11">
        <v>695.09</v>
      </c>
      <c r="J632" s="12">
        <v>271</v>
      </c>
      <c r="K632" s="11">
        <v>695.09</v>
      </c>
      <c r="L632" s="12">
        <v>235.3</v>
      </c>
      <c r="M632" s="11">
        <v>695.09</v>
      </c>
      <c r="N632" s="13">
        <v>206.7</v>
      </c>
      <c r="O632" s="13">
        <v>268.60000000000002</v>
      </c>
      <c r="P632" s="13">
        <v>208</v>
      </c>
      <c r="Q632" s="11">
        <v>225.3</v>
      </c>
      <c r="R632" s="11">
        <v>271</v>
      </c>
      <c r="S632" s="14">
        <v>235.3</v>
      </c>
      <c r="T632" s="11">
        <v>695.09</v>
      </c>
      <c r="U632" s="13">
        <f>IF('0.0%'!$N632&lt;$Z$3,0, '0.0%'!$O632/'0.0%'!$N632)</f>
        <v>1.2994678277697147</v>
      </c>
      <c r="V632" s="13">
        <f>IF('0.0%'!$N632&lt;$Z$3,0, '0.0%'!$P632/'0.0%'!$N632)</f>
        <v>1.0062893081761006</v>
      </c>
      <c r="W632" s="13">
        <f>IF('0.0%'!$N632&lt;$Z$3,0, '0.0%'!$Q632/'0.0%'!$N632)</f>
        <v>1.0899854862119014</v>
      </c>
      <c r="X632" s="13">
        <f>IF('0.0%'!$N632&lt;$Z$3,0, '0.0%'!$R632/'0.0%'!$N632)</f>
        <v>1.3110788582486697</v>
      </c>
      <c r="Y632" s="13">
        <f>IF('0.0%'!$N632&lt;$Z$3,0, '0.0%'!$S632/'0.0%'!$N632)</f>
        <v>1.138364779874214</v>
      </c>
    </row>
    <row r="633" spans="1:25" x14ac:dyDescent="0.3">
      <c r="A633" s="17">
        <v>696.08</v>
      </c>
      <c r="B633" s="10">
        <v>179.1</v>
      </c>
      <c r="C633" s="9">
        <v>696.08</v>
      </c>
      <c r="D633" s="10">
        <v>234.9</v>
      </c>
      <c r="E633" s="11">
        <v>696.08</v>
      </c>
      <c r="F633" s="12">
        <v>180.6</v>
      </c>
      <c r="G633" s="11">
        <v>696.08</v>
      </c>
      <c r="H633" s="12">
        <v>196.7</v>
      </c>
      <c r="I633" s="11">
        <v>696.08</v>
      </c>
      <c r="J633" s="12">
        <v>240</v>
      </c>
      <c r="K633" s="11">
        <v>696.08</v>
      </c>
      <c r="L633" s="12">
        <v>207.5</v>
      </c>
      <c r="M633" s="11">
        <v>696.08</v>
      </c>
      <c r="N633" s="13">
        <v>179.1</v>
      </c>
      <c r="O633" s="13">
        <v>234.9</v>
      </c>
      <c r="P633" s="13">
        <v>180.6</v>
      </c>
      <c r="Q633" s="11">
        <v>196.7</v>
      </c>
      <c r="R633" s="11">
        <v>240</v>
      </c>
      <c r="S633" s="14">
        <v>207.5</v>
      </c>
      <c r="T633" s="11">
        <v>696.08</v>
      </c>
      <c r="U633" s="13">
        <f>IF('0.0%'!$N633&lt;$Z$3,0, '0.0%'!$O633/'0.0%'!$N633)</f>
        <v>1.3115577889447236</v>
      </c>
      <c r="V633" s="13">
        <f>IF('0.0%'!$N633&lt;$Z$3,0, '0.0%'!$P633/'0.0%'!$N633)</f>
        <v>1.0083752093802345</v>
      </c>
      <c r="W633" s="13">
        <f>IF('0.0%'!$N633&lt;$Z$3,0, '0.0%'!$Q633/'0.0%'!$N633)</f>
        <v>1.0982691233947515</v>
      </c>
      <c r="X633" s="13">
        <f>IF('0.0%'!$N633&lt;$Z$3,0, '0.0%'!$R633/'0.0%'!$N633)</f>
        <v>1.340033500837521</v>
      </c>
      <c r="Y633" s="13">
        <f>IF('0.0%'!$N633&lt;$Z$3,0, '0.0%'!$S633/'0.0%'!$N633)</f>
        <v>1.1585706309324399</v>
      </c>
    </row>
    <row r="634" spans="1:25" x14ac:dyDescent="0.3">
      <c r="A634" s="17">
        <v>697.08</v>
      </c>
      <c r="B634" s="10">
        <v>155.1</v>
      </c>
      <c r="C634" s="9">
        <v>697.08</v>
      </c>
      <c r="D634" s="10">
        <v>205.2</v>
      </c>
      <c r="E634" s="11">
        <v>697.08</v>
      </c>
      <c r="F634" s="12">
        <v>156.69999999999999</v>
      </c>
      <c r="G634" s="11">
        <v>697.08</v>
      </c>
      <c r="H634" s="12">
        <v>171.5</v>
      </c>
      <c r="I634" s="11">
        <v>697.08</v>
      </c>
      <c r="J634" s="12">
        <v>212.7</v>
      </c>
      <c r="K634" s="11">
        <v>697.08</v>
      </c>
      <c r="L634" s="12">
        <v>183</v>
      </c>
      <c r="M634" s="11">
        <v>697.08</v>
      </c>
      <c r="N634" s="13">
        <v>155.1</v>
      </c>
      <c r="O634" s="13">
        <v>205.2</v>
      </c>
      <c r="P634" s="13">
        <v>156.69999999999999</v>
      </c>
      <c r="Q634" s="11">
        <v>171.5</v>
      </c>
      <c r="R634" s="11">
        <v>212.7</v>
      </c>
      <c r="S634" s="14">
        <v>183</v>
      </c>
      <c r="T634" s="11">
        <v>697.08</v>
      </c>
      <c r="U634" s="13">
        <f>IF('0.0%'!$N634&lt;$Z$3,0, '0.0%'!$O634/'0.0%'!$N634)</f>
        <v>1.3230174081237911</v>
      </c>
      <c r="V634" s="13">
        <f>IF('0.0%'!$N634&lt;$Z$3,0, '0.0%'!$P634/'0.0%'!$N634)</f>
        <v>1.0103159252095422</v>
      </c>
      <c r="W634" s="13">
        <f>IF('0.0%'!$N634&lt;$Z$3,0, '0.0%'!$Q634/'0.0%'!$N634)</f>
        <v>1.1057382333978079</v>
      </c>
      <c r="X634" s="13">
        <f>IF('0.0%'!$N634&lt;$Z$3,0, '0.0%'!$R634/'0.0%'!$N634)</f>
        <v>1.3713733075435204</v>
      </c>
      <c r="Y634" s="13">
        <f>IF('0.0%'!$N634&lt;$Z$3,0, '0.0%'!$S634/'0.0%'!$N634)</f>
        <v>1.1798839458413928</v>
      </c>
    </row>
    <row r="635" spans="1:25" x14ac:dyDescent="0.3">
      <c r="A635" s="17">
        <v>698.07</v>
      </c>
      <c r="B635" s="10">
        <v>133</v>
      </c>
      <c r="C635" s="9">
        <v>698.07</v>
      </c>
      <c r="D635" s="10">
        <v>177.6</v>
      </c>
      <c r="E635" s="11">
        <v>698.07</v>
      </c>
      <c r="F635" s="12">
        <v>134.69999999999999</v>
      </c>
      <c r="G635" s="11">
        <v>698.07</v>
      </c>
      <c r="H635" s="12">
        <v>148.19999999999999</v>
      </c>
      <c r="I635" s="11">
        <v>698.07</v>
      </c>
      <c r="J635" s="12">
        <v>187.3</v>
      </c>
      <c r="K635" s="11">
        <v>698.07</v>
      </c>
      <c r="L635" s="12">
        <v>160.4</v>
      </c>
      <c r="M635" s="11">
        <v>698.07</v>
      </c>
      <c r="N635" s="13">
        <v>133</v>
      </c>
      <c r="O635" s="13">
        <v>177.6</v>
      </c>
      <c r="P635" s="13">
        <v>134.69999999999999</v>
      </c>
      <c r="Q635" s="11">
        <v>148.19999999999999</v>
      </c>
      <c r="R635" s="11">
        <v>187.3</v>
      </c>
      <c r="S635" s="14">
        <v>160.4</v>
      </c>
      <c r="T635" s="11">
        <v>698.07</v>
      </c>
      <c r="U635" s="13">
        <f>IF('0.0%'!$N635&lt;$Z$3,0, '0.0%'!$O635/'0.0%'!$N635)</f>
        <v>1.3353383458646617</v>
      </c>
      <c r="V635" s="13">
        <f>IF('0.0%'!$N635&lt;$Z$3,0, '0.0%'!$P635/'0.0%'!$N635)</f>
        <v>1.0127819548872179</v>
      </c>
      <c r="W635" s="13">
        <f>IF('0.0%'!$N635&lt;$Z$3,0, '0.0%'!$Q635/'0.0%'!$N635)</f>
        <v>1.1142857142857141</v>
      </c>
      <c r="X635" s="13">
        <f>IF('0.0%'!$N635&lt;$Z$3,0, '0.0%'!$R635/'0.0%'!$N635)</f>
        <v>1.4082706766917295</v>
      </c>
      <c r="Y635" s="13">
        <f>IF('0.0%'!$N635&lt;$Z$3,0, '0.0%'!$S635/'0.0%'!$N635)</f>
        <v>1.2060150375939851</v>
      </c>
    </row>
    <row r="636" spans="1:25" x14ac:dyDescent="0.3">
      <c r="A636" s="17">
        <v>699.06</v>
      </c>
      <c r="B636" s="10">
        <v>114</v>
      </c>
      <c r="C636" s="9">
        <v>699.06</v>
      </c>
      <c r="D636" s="10">
        <v>153.6</v>
      </c>
      <c r="E636" s="11">
        <v>699.06</v>
      </c>
      <c r="F636" s="12">
        <v>115.9</v>
      </c>
      <c r="G636" s="11">
        <v>699.06</v>
      </c>
      <c r="H636" s="12">
        <v>128.1</v>
      </c>
      <c r="I636" s="11">
        <v>699.06</v>
      </c>
      <c r="J636" s="12">
        <v>165.1</v>
      </c>
      <c r="K636" s="11">
        <v>699.06</v>
      </c>
      <c r="L636" s="12">
        <v>140.6</v>
      </c>
      <c r="M636" s="11">
        <v>699.06</v>
      </c>
      <c r="N636" s="13">
        <v>114</v>
      </c>
      <c r="O636" s="13">
        <v>153.6</v>
      </c>
      <c r="P636" s="13">
        <v>115.9</v>
      </c>
      <c r="Q636" s="11">
        <v>128.1</v>
      </c>
      <c r="R636" s="11">
        <v>165.1</v>
      </c>
      <c r="S636" s="14">
        <v>140.6</v>
      </c>
      <c r="T636" s="11">
        <v>699.06</v>
      </c>
      <c r="U636" s="13">
        <f>IF('0.0%'!$N636&lt;$Z$3,0, '0.0%'!$O636/'0.0%'!$N636)</f>
        <v>1.3473684210526315</v>
      </c>
      <c r="V636" s="13">
        <f>IF('0.0%'!$N636&lt;$Z$3,0, '0.0%'!$P636/'0.0%'!$N636)</f>
        <v>1.0166666666666666</v>
      </c>
      <c r="W636" s="13">
        <f>IF('0.0%'!$N636&lt;$Z$3,0, '0.0%'!$Q636/'0.0%'!$N636)</f>
        <v>1.1236842105263158</v>
      </c>
      <c r="X636" s="13">
        <f>IF('0.0%'!$N636&lt;$Z$3,0, '0.0%'!$R636/'0.0%'!$N636)</f>
        <v>1.4482456140350877</v>
      </c>
      <c r="Y636" s="13">
        <f>IF('0.0%'!$N636&lt;$Z$3,0, '0.0%'!$S636/'0.0%'!$N636)</f>
        <v>1.2333333333333334</v>
      </c>
    </row>
    <row r="637" spans="1:25" x14ac:dyDescent="0.3">
      <c r="A637" s="17">
        <v>700.05</v>
      </c>
      <c r="B637" s="10">
        <v>97.2</v>
      </c>
      <c r="C637" s="9">
        <v>700.05</v>
      </c>
      <c r="D637" s="10">
        <v>132.1</v>
      </c>
      <c r="E637" s="11">
        <v>700.05</v>
      </c>
      <c r="F637" s="12">
        <v>99.2</v>
      </c>
      <c r="G637" s="11">
        <v>700.05</v>
      </c>
      <c r="H637" s="12">
        <v>110.1</v>
      </c>
      <c r="I637" s="11">
        <v>700.05</v>
      </c>
      <c r="J637" s="12">
        <v>145</v>
      </c>
      <c r="K637" s="11">
        <v>700.05</v>
      </c>
      <c r="L637" s="12">
        <v>123</v>
      </c>
      <c r="M637" s="11">
        <v>700.05</v>
      </c>
      <c r="N637" s="13">
        <v>97.2</v>
      </c>
      <c r="O637" s="13">
        <v>132.1</v>
      </c>
      <c r="P637" s="13">
        <v>99.2</v>
      </c>
      <c r="Q637" s="11">
        <v>110.1</v>
      </c>
      <c r="R637" s="11">
        <v>145</v>
      </c>
      <c r="S637" s="14">
        <v>123</v>
      </c>
      <c r="T637" s="11">
        <v>700.05</v>
      </c>
      <c r="U637" s="13">
        <f>IF('0.0%'!$N637&lt;$Z$3,0, '0.0%'!$O637/'0.0%'!$N637)</f>
        <v>1.3590534979423867</v>
      </c>
      <c r="V637" s="13">
        <f>IF('0.0%'!$N637&lt;$Z$3,0, '0.0%'!$P637/'0.0%'!$N637)</f>
        <v>1.0205761316872428</v>
      </c>
      <c r="W637" s="13">
        <f>IF('0.0%'!$N637&lt;$Z$3,0, '0.0%'!$Q637/'0.0%'!$N637)</f>
        <v>1.132716049382716</v>
      </c>
      <c r="X637" s="13">
        <f>IF('0.0%'!$N637&lt;$Z$3,0, '0.0%'!$R637/'0.0%'!$N637)</f>
        <v>1.4917695473251029</v>
      </c>
      <c r="Y637" s="13">
        <f>IF('0.0%'!$N637&lt;$Z$3,0, '0.0%'!$S637/'0.0%'!$N637)</f>
        <v>1.2654320987654322</v>
      </c>
    </row>
    <row r="638" spans="1:25" x14ac:dyDescent="0.3">
      <c r="A638" s="17">
        <v>701.04</v>
      </c>
      <c r="B638" s="10">
        <v>83.4</v>
      </c>
      <c r="C638" s="9">
        <v>701.04</v>
      </c>
      <c r="D638" s="10">
        <v>114.1</v>
      </c>
      <c r="E638" s="11">
        <v>701.04</v>
      </c>
      <c r="F638" s="12">
        <v>85.4</v>
      </c>
      <c r="G638" s="11">
        <v>701.04</v>
      </c>
      <c r="H638" s="12">
        <v>95</v>
      </c>
      <c r="I638" s="11">
        <v>701.04</v>
      </c>
      <c r="J638" s="12">
        <v>127.9</v>
      </c>
      <c r="K638" s="11">
        <v>701.04</v>
      </c>
      <c r="L638" s="12">
        <v>108.2</v>
      </c>
      <c r="M638" s="11">
        <v>701.04</v>
      </c>
      <c r="N638" s="13">
        <v>83.4</v>
      </c>
      <c r="O638" s="13">
        <v>114.1</v>
      </c>
      <c r="P638" s="13">
        <v>85.4</v>
      </c>
      <c r="Q638" s="11">
        <v>95</v>
      </c>
      <c r="R638" s="11">
        <v>127.9</v>
      </c>
      <c r="S638" s="14">
        <v>108.2</v>
      </c>
      <c r="T638" s="11">
        <v>701.04</v>
      </c>
      <c r="U638" s="13">
        <f>IF('0.0%'!$N638&lt;$Z$3,0, '0.0%'!$O638/'0.0%'!$N638)</f>
        <v>1.3681055155875299</v>
      </c>
      <c r="V638" s="13">
        <f>IF('0.0%'!$N638&lt;$Z$3,0, '0.0%'!$P638/'0.0%'!$N638)</f>
        <v>1.0239808153477219</v>
      </c>
      <c r="W638" s="13">
        <f>IF('0.0%'!$N638&lt;$Z$3,0, '0.0%'!$Q638/'0.0%'!$N638)</f>
        <v>1.1390887290167866</v>
      </c>
      <c r="X638" s="13">
        <f>IF('0.0%'!$N638&lt;$Z$3,0, '0.0%'!$R638/'0.0%'!$N638)</f>
        <v>1.5335731414868106</v>
      </c>
      <c r="Y638" s="13">
        <f>IF('0.0%'!$N638&lt;$Z$3,0, '0.0%'!$S638/'0.0%'!$N638)</f>
        <v>1.2973621103117505</v>
      </c>
    </row>
    <row r="639" spans="1:25" x14ac:dyDescent="0.3">
      <c r="A639" s="17">
        <v>702.03</v>
      </c>
      <c r="B639" s="10">
        <v>71.5</v>
      </c>
      <c r="C639" s="9">
        <v>702.03</v>
      </c>
      <c r="D639" s="10">
        <v>98.4</v>
      </c>
      <c r="E639" s="11">
        <v>702.03</v>
      </c>
      <c r="F639" s="12">
        <v>73.7</v>
      </c>
      <c r="G639" s="11">
        <v>702.03</v>
      </c>
      <c r="H639" s="12">
        <v>82</v>
      </c>
      <c r="I639" s="11">
        <v>702.03</v>
      </c>
      <c r="J639" s="12">
        <v>112.8</v>
      </c>
      <c r="K639" s="11">
        <v>702.03</v>
      </c>
      <c r="L639" s="12">
        <v>95.3</v>
      </c>
      <c r="M639" s="11">
        <v>702.03</v>
      </c>
      <c r="N639" s="13">
        <v>71.5</v>
      </c>
      <c r="O639" s="13">
        <v>98.4</v>
      </c>
      <c r="P639" s="13">
        <v>73.7</v>
      </c>
      <c r="Q639" s="11">
        <v>82</v>
      </c>
      <c r="R639" s="11">
        <v>112.8</v>
      </c>
      <c r="S639" s="14">
        <v>95.3</v>
      </c>
      <c r="T639" s="11">
        <v>702.03</v>
      </c>
      <c r="U639" s="13">
        <f>IF('0.0%'!$N639&lt;$Z$3,0, '0.0%'!$O639/'0.0%'!$N639)</f>
        <v>1.3762237762237763</v>
      </c>
      <c r="V639" s="13">
        <f>IF('0.0%'!$N639&lt;$Z$3,0, '0.0%'!$P639/'0.0%'!$N639)</f>
        <v>1.0307692307692309</v>
      </c>
      <c r="W639" s="13">
        <f>IF('0.0%'!$N639&lt;$Z$3,0, '0.0%'!$Q639/'0.0%'!$N639)</f>
        <v>1.1468531468531469</v>
      </c>
      <c r="X639" s="13">
        <f>IF('0.0%'!$N639&lt;$Z$3,0, '0.0%'!$R639/'0.0%'!$N639)</f>
        <v>1.5776223776223777</v>
      </c>
      <c r="Y639" s="13">
        <f>IF('0.0%'!$N639&lt;$Z$3,0, '0.0%'!$S639/'0.0%'!$N639)</f>
        <v>1.3328671328671329</v>
      </c>
    </row>
    <row r="640" spans="1:25" x14ac:dyDescent="0.3">
      <c r="A640" s="17">
        <v>703.03</v>
      </c>
      <c r="B640" s="10">
        <v>61.7</v>
      </c>
      <c r="C640" s="9">
        <v>703.03</v>
      </c>
      <c r="D640" s="10">
        <v>85.5</v>
      </c>
      <c r="E640" s="11">
        <v>703.03</v>
      </c>
      <c r="F640" s="12">
        <v>64</v>
      </c>
      <c r="G640" s="11">
        <v>703.03</v>
      </c>
      <c r="H640" s="12">
        <v>71.400000000000006</v>
      </c>
      <c r="I640" s="11">
        <v>703.03</v>
      </c>
      <c r="J640" s="12">
        <v>100</v>
      </c>
      <c r="K640" s="11">
        <v>703.03</v>
      </c>
      <c r="L640" s="12">
        <v>84.7</v>
      </c>
      <c r="M640" s="11">
        <v>703.03</v>
      </c>
      <c r="N640" s="13">
        <v>61.7</v>
      </c>
      <c r="O640" s="13">
        <v>85.5</v>
      </c>
      <c r="P640" s="13">
        <v>64</v>
      </c>
      <c r="Q640" s="11">
        <v>71.400000000000006</v>
      </c>
      <c r="R640" s="11">
        <v>100</v>
      </c>
      <c r="S640" s="14">
        <v>84.7</v>
      </c>
      <c r="T640" s="11">
        <v>703.03</v>
      </c>
      <c r="U640" s="13">
        <f>IF('0.0%'!$N640&lt;$Z$3,0, '0.0%'!$O640/'0.0%'!$N640)</f>
        <v>1.3857374392220421</v>
      </c>
      <c r="V640" s="13">
        <f>IF('0.0%'!$N640&lt;$Z$3,0, '0.0%'!$P640/'0.0%'!$N640)</f>
        <v>1.0372771474878444</v>
      </c>
      <c r="W640" s="13">
        <f>IF('0.0%'!$N640&lt;$Z$3,0, '0.0%'!$Q640/'0.0%'!$N640)</f>
        <v>1.1572123176661264</v>
      </c>
      <c r="X640" s="13">
        <f>IF('0.0%'!$N640&lt;$Z$3,0, '0.0%'!$R640/'0.0%'!$N640)</f>
        <v>1.6207455429497568</v>
      </c>
      <c r="Y640" s="13">
        <f>IF('0.0%'!$N640&lt;$Z$3,0, '0.0%'!$S640/'0.0%'!$N640)</f>
        <v>1.3727714748784441</v>
      </c>
    </row>
    <row r="641" spans="1:25" x14ac:dyDescent="0.3">
      <c r="A641" s="17">
        <v>704.02</v>
      </c>
      <c r="B641" s="10">
        <v>53.4</v>
      </c>
      <c r="C641" s="9">
        <v>704.02</v>
      </c>
      <c r="D641" s="10">
        <v>74.400000000000006</v>
      </c>
      <c r="E641" s="11">
        <v>704.02</v>
      </c>
      <c r="F641" s="12">
        <v>55.7</v>
      </c>
      <c r="G641" s="11">
        <v>704.02</v>
      </c>
      <c r="H641" s="12">
        <v>62.2</v>
      </c>
      <c r="I641" s="11">
        <v>704.02</v>
      </c>
      <c r="J641" s="12">
        <v>88.8</v>
      </c>
      <c r="K641" s="11">
        <v>704.02</v>
      </c>
      <c r="L641" s="12">
        <v>75.400000000000006</v>
      </c>
      <c r="M641" s="11">
        <v>704.02</v>
      </c>
      <c r="N641" s="13">
        <v>53.4</v>
      </c>
      <c r="O641" s="13">
        <v>74.400000000000006</v>
      </c>
      <c r="P641" s="13">
        <v>55.7</v>
      </c>
      <c r="Q641" s="11">
        <v>62.2</v>
      </c>
      <c r="R641" s="11">
        <v>88.8</v>
      </c>
      <c r="S641" s="14">
        <v>75.400000000000006</v>
      </c>
      <c r="T641" s="11">
        <v>704.02</v>
      </c>
      <c r="U641" s="13">
        <f>IF('0.0%'!$N641&lt;$Z$3,0, '0.0%'!$O641/'0.0%'!$N641)</f>
        <v>1.3932584269662922</v>
      </c>
      <c r="V641" s="13">
        <f>IF('0.0%'!$N641&lt;$Z$3,0, '0.0%'!$P641/'0.0%'!$N641)</f>
        <v>1.0430711610486891</v>
      </c>
      <c r="W641" s="13">
        <f>IF('0.0%'!$N641&lt;$Z$3,0, '0.0%'!$Q641/'0.0%'!$N641)</f>
        <v>1.1647940074906369</v>
      </c>
      <c r="X641" s="13">
        <f>IF('0.0%'!$N641&lt;$Z$3,0, '0.0%'!$R641/'0.0%'!$N641)</f>
        <v>1.6629213483146068</v>
      </c>
      <c r="Y641" s="13">
        <f>IF('0.0%'!$N641&lt;$Z$3,0, '0.0%'!$S641/'0.0%'!$N641)</f>
        <v>1.4119850187265919</v>
      </c>
    </row>
    <row r="642" spans="1:25" x14ac:dyDescent="0.3">
      <c r="A642" s="17">
        <v>705.01</v>
      </c>
      <c r="B642" s="10">
        <v>46.6</v>
      </c>
      <c r="C642" s="9">
        <v>705.01</v>
      </c>
      <c r="D642" s="10">
        <v>65.3</v>
      </c>
      <c r="E642" s="11">
        <v>705.01</v>
      </c>
      <c r="F642" s="12">
        <v>49</v>
      </c>
      <c r="G642" s="11">
        <v>705.01</v>
      </c>
      <c r="H642" s="12">
        <v>54.7</v>
      </c>
      <c r="I642" s="11">
        <v>705.01</v>
      </c>
      <c r="J642" s="12">
        <v>79.599999999999994</v>
      </c>
      <c r="K642" s="11">
        <v>705.01</v>
      </c>
      <c r="L642" s="12">
        <v>67.900000000000006</v>
      </c>
      <c r="M642" s="11">
        <v>705.01</v>
      </c>
      <c r="N642" s="13">
        <v>46.6</v>
      </c>
      <c r="O642" s="13">
        <v>65.3</v>
      </c>
      <c r="P642" s="13">
        <v>49</v>
      </c>
      <c r="Q642" s="11">
        <v>54.7</v>
      </c>
      <c r="R642" s="11">
        <v>79.599999999999994</v>
      </c>
      <c r="S642" s="14">
        <v>67.900000000000006</v>
      </c>
      <c r="T642" s="11">
        <v>705.01</v>
      </c>
      <c r="U642" s="13">
        <f>IF('0.0%'!$N642&lt;$Z$3,0, '0.0%'!$O642/'0.0%'!$N642)</f>
        <v>1.4012875536480687</v>
      </c>
      <c r="V642" s="13">
        <f>IF('0.0%'!$N642&lt;$Z$3,0, '0.0%'!$P642/'0.0%'!$N642)</f>
        <v>1.0515021459227467</v>
      </c>
      <c r="W642" s="13">
        <f>IF('0.0%'!$N642&lt;$Z$3,0, '0.0%'!$Q642/'0.0%'!$N642)</f>
        <v>1.1738197424892705</v>
      </c>
      <c r="X642" s="13">
        <f>IF('0.0%'!$N642&lt;$Z$3,0, '0.0%'!$R642/'0.0%'!$N642)</f>
        <v>1.7081545064377681</v>
      </c>
      <c r="Y642" s="13">
        <f>IF('0.0%'!$N642&lt;$Z$3,0, '0.0%'!$S642/'0.0%'!$N642)</f>
        <v>1.4570815450643777</v>
      </c>
    </row>
    <row r="643" spans="1:25" x14ac:dyDescent="0.3">
      <c r="A643" s="17">
        <v>706</v>
      </c>
      <c r="B643" s="10">
        <v>40.700000000000003</v>
      </c>
      <c r="C643" s="9">
        <v>706</v>
      </c>
      <c r="D643" s="10">
        <v>57.5</v>
      </c>
      <c r="E643" s="11">
        <v>706</v>
      </c>
      <c r="F643" s="12">
        <v>43.2</v>
      </c>
      <c r="G643" s="11">
        <v>706</v>
      </c>
      <c r="H643" s="12">
        <v>48.2</v>
      </c>
      <c r="I643" s="11">
        <v>706</v>
      </c>
      <c r="J643" s="12">
        <v>71.7</v>
      </c>
      <c r="K643" s="11">
        <v>706</v>
      </c>
      <c r="L643" s="12">
        <v>61.3</v>
      </c>
      <c r="M643" s="11">
        <v>706</v>
      </c>
      <c r="N643" s="13">
        <v>40.700000000000003</v>
      </c>
      <c r="O643" s="13">
        <v>57.5</v>
      </c>
      <c r="P643" s="13">
        <v>43.2</v>
      </c>
      <c r="Q643" s="11">
        <v>48.2</v>
      </c>
      <c r="R643" s="11">
        <v>71.7</v>
      </c>
      <c r="S643" s="14">
        <v>61.3</v>
      </c>
      <c r="T643" s="11">
        <v>706</v>
      </c>
      <c r="U643" s="13">
        <f>IF('0.0%'!$N643&lt;$Z$3,0, '0.0%'!$O643/'0.0%'!$N643)</f>
        <v>1.4127764127764126</v>
      </c>
      <c r="V643" s="13">
        <f>IF('0.0%'!$N643&lt;$Z$3,0, '0.0%'!$P643/'0.0%'!$N643)</f>
        <v>1.0614250614250613</v>
      </c>
      <c r="W643" s="13">
        <f>IF('0.0%'!$N643&lt;$Z$3,0, '0.0%'!$Q643/'0.0%'!$N643)</f>
        <v>1.1842751842751842</v>
      </c>
      <c r="X643" s="13">
        <f>IF('0.0%'!$N643&lt;$Z$3,0, '0.0%'!$R643/'0.0%'!$N643)</f>
        <v>1.7616707616707616</v>
      </c>
      <c r="Y643" s="13">
        <f>IF('0.0%'!$N643&lt;$Z$3,0, '0.0%'!$S643/'0.0%'!$N643)</f>
        <v>1.506142506142506</v>
      </c>
    </row>
    <row r="644" spans="1:25" x14ac:dyDescent="0.3">
      <c r="A644" s="17">
        <v>706.99</v>
      </c>
      <c r="B644" s="10">
        <v>36</v>
      </c>
      <c r="C644" s="9">
        <v>706.99</v>
      </c>
      <c r="D644" s="10">
        <v>51.1</v>
      </c>
      <c r="E644" s="11">
        <v>706.99</v>
      </c>
      <c r="F644" s="12">
        <v>38.5</v>
      </c>
      <c r="G644" s="11">
        <v>706.99</v>
      </c>
      <c r="H644" s="12">
        <v>43</v>
      </c>
      <c r="I644" s="11">
        <v>706.99</v>
      </c>
      <c r="J644" s="12">
        <v>65.3</v>
      </c>
      <c r="K644" s="11">
        <v>706.99</v>
      </c>
      <c r="L644" s="12">
        <v>56</v>
      </c>
      <c r="M644" s="11">
        <v>706.99</v>
      </c>
      <c r="N644" s="13">
        <v>36</v>
      </c>
      <c r="O644" s="13">
        <v>51.1</v>
      </c>
      <c r="P644" s="13">
        <v>38.5</v>
      </c>
      <c r="Q644" s="11">
        <v>43</v>
      </c>
      <c r="R644" s="11">
        <v>65.3</v>
      </c>
      <c r="S644" s="14">
        <v>56</v>
      </c>
      <c r="T644" s="11">
        <v>706.99</v>
      </c>
      <c r="U644" s="13">
        <f>IF('0.0%'!$N644&lt;$Z$3,0, '0.0%'!$O644/'0.0%'!$N644)</f>
        <v>1.4194444444444445</v>
      </c>
      <c r="V644" s="13">
        <f>IF('0.0%'!$N644&lt;$Z$3,0, '0.0%'!$P644/'0.0%'!$N644)</f>
        <v>1.0694444444444444</v>
      </c>
      <c r="W644" s="13">
        <f>IF('0.0%'!$N644&lt;$Z$3,0, '0.0%'!$Q644/'0.0%'!$N644)</f>
        <v>1.1944444444444444</v>
      </c>
      <c r="X644" s="13">
        <f>IF('0.0%'!$N644&lt;$Z$3,0, '0.0%'!$R644/'0.0%'!$N644)</f>
        <v>1.8138888888888889</v>
      </c>
      <c r="Y644" s="13">
        <f>IF('0.0%'!$N644&lt;$Z$3,0, '0.0%'!$S644/'0.0%'!$N644)</f>
        <v>1.5555555555555556</v>
      </c>
    </row>
    <row r="645" spans="1:25" x14ac:dyDescent="0.3">
      <c r="A645" s="17">
        <v>707.99</v>
      </c>
      <c r="B645" s="10">
        <v>31.8</v>
      </c>
      <c r="C645" s="9">
        <v>707.99</v>
      </c>
      <c r="D645" s="10">
        <v>45.6</v>
      </c>
      <c r="E645" s="11">
        <v>707.99</v>
      </c>
      <c r="F645" s="12">
        <v>34.299999999999997</v>
      </c>
      <c r="G645" s="11">
        <v>707.99</v>
      </c>
      <c r="H645" s="12">
        <v>38.5</v>
      </c>
      <c r="I645" s="11">
        <v>707.99</v>
      </c>
      <c r="J645" s="12">
        <v>59.6</v>
      </c>
      <c r="K645" s="11">
        <v>707.99</v>
      </c>
      <c r="L645" s="12">
        <v>51.2</v>
      </c>
      <c r="M645" s="11">
        <v>707.99</v>
      </c>
      <c r="N645" s="13">
        <v>31.8</v>
      </c>
      <c r="O645" s="13">
        <v>45.6</v>
      </c>
      <c r="P645" s="13">
        <v>34.299999999999997</v>
      </c>
      <c r="Q645" s="11">
        <v>38.5</v>
      </c>
      <c r="R645" s="11">
        <v>59.6</v>
      </c>
      <c r="S645" s="14">
        <v>51.2</v>
      </c>
      <c r="T645" s="11">
        <v>707.99</v>
      </c>
      <c r="U645" s="13">
        <f>IF('0.0%'!$N645&lt;$Z$3,0, '0.0%'!$O645/'0.0%'!$N645)</f>
        <v>1.4339622641509433</v>
      </c>
      <c r="V645" s="13">
        <f>IF('0.0%'!$N645&lt;$Z$3,0, '0.0%'!$P645/'0.0%'!$N645)</f>
        <v>1.0786163522012577</v>
      </c>
      <c r="W645" s="13">
        <f>IF('0.0%'!$N645&lt;$Z$3,0, '0.0%'!$Q645/'0.0%'!$N645)</f>
        <v>1.2106918238993711</v>
      </c>
      <c r="X645" s="13">
        <f>IF('0.0%'!$N645&lt;$Z$3,0, '0.0%'!$R645/'0.0%'!$N645)</f>
        <v>1.8742138364779874</v>
      </c>
      <c r="Y645" s="13">
        <f>IF('0.0%'!$N645&lt;$Z$3,0, '0.0%'!$S645/'0.0%'!$N645)</f>
        <v>1.6100628930817611</v>
      </c>
    </row>
    <row r="646" spans="1:25" x14ac:dyDescent="0.3">
      <c r="A646" s="17">
        <v>708.98</v>
      </c>
      <c r="B646" s="10">
        <v>28.5</v>
      </c>
      <c r="C646" s="9">
        <v>708.98</v>
      </c>
      <c r="D646" s="10">
        <v>41.2</v>
      </c>
      <c r="E646" s="11">
        <v>708.98</v>
      </c>
      <c r="F646" s="12">
        <v>31</v>
      </c>
      <c r="G646" s="11">
        <v>708.98</v>
      </c>
      <c r="H646" s="12">
        <v>34.9</v>
      </c>
      <c r="I646" s="11">
        <v>708.98</v>
      </c>
      <c r="J646" s="12">
        <v>55.1</v>
      </c>
      <c r="K646" s="11">
        <v>708.98</v>
      </c>
      <c r="L646" s="12">
        <v>47.5</v>
      </c>
      <c r="M646" s="11">
        <v>708.98</v>
      </c>
      <c r="N646" s="13">
        <v>28.5</v>
      </c>
      <c r="O646" s="13">
        <v>41.2</v>
      </c>
      <c r="P646" s="13">
        <v>31</v>
      </c>
      <c r="Q646" s="11">
        <v>34.9</v>
      </c>
      <c r="R646" s="11">
        <v>55.1</v>
      </c>
      <c r="S646" s="14">
        <v>47.5</v>
      </c>
      <c r="T646" s="11">
        <v>708.98</v>
      </c>
      <c r="U646" s="13">
        <f>IF('0.0%'!$N646&lt;$Z$3,0, '0.0%'!$O646/'0.0%'!$N646)</f>
        <v>1.4456140350877194</v>
      </c>
      <c r="V646" s="13">
        <f>IF('0.0%'!$N646&lt;$Z$3,0, '0.0%'!$P646/'0.0%'!$N646)</f>
        <v>1.0877192982456141</v>
      </c>
      <c r="W646" s="13">
        <f>IF('0.0%'!$N646&lt;$Z$3,0, '0.0%'!$Q646/'0.0%'!$N646)</f>
        <v>1.224561403508772</v>
      </c>
      <c r="X646" s="13">
        <f>IF('0.0%'!$N646&lt;$Z$3,0, '0.0%'!$R646/'0.0%'!$N646)</f>
        <v>1.9333333333333333</v>
      </c>
      <c r="Y646" s="13">
        <f>IF('0.0%'!$N646&lt;$Z$3,0, '0.0%'!$S646/'0.0%'!$N646)</f>
        <v>1.6666666666666667</v>
      </c>
    </row>
    <row r="647" spans="1:25" x14ac:dyDescent="0.3">
      <c r="A647" s="17">
        <v>709.97</v>
      </c>
      <c r="B647" s="10">
        <v>25.6</v>
      </c>
      <c r="C647" s="9">
        <v>709.97</v>
      </c>
      <c r="D647" s="10">
        <v>37.299999999999997</v>
      </c>
      <c r="E647" s="11">
        <v>709.97</v>
      </c>
      <c r="F647" s="12">
        <v>28.1</v>
      </c>
      <c r="G647" s="11">
        <v>709.97</v>
      </c>
      <c r="H647" s="12">
        <v>31.6</v>
      </c>
      <c r="I647" s="11">
        <v>709.97</v>
      </c>
      <c r="J647" s="12">
        <v>50.9</v>
      </c>
      <c r="K647" s="11">
        <v>709.97</v>
      </c>
      <c r="L647" s="12">
        <v>44.1</v>
      </c>
      <c r="M647" s="11">
        <v>709.97</v>
      </c>
      <c r="N647" s="13">
        <v>25.6</v>
      </c>
      <c r="O647" s="13">
        <v>37.299999999999997</v>
      </c>
      <c r="P647" s="13">
        <v>28.1</v>
      </c>
      <c r="Q647" s="11">
        <v>31.6</v>
      </c>
      <c r="R647" s="11">
        <v>50.9</v>
      </c>
      <c r="S647" s="14">
        <v>44.1</v>
      </c>
      <c r="T647" s="11">
        <v>709.97</v>
      </c>
      <c r="U647" s="13">
        <f>IF('0.0%'!$N647&lt;$Z$3,0, '0.0%'!$O647/'0.0%'!$N647)</f>
        <v>1.4570312499999998</v>
      </c>
      <c r="V647" s="13">
        <f>IF('0.0%'!$N647&lt;$Z$3,0, '0.0%'!$P647/'0.0%'!$N647)</f>
        <v>1.09765625</v>
      </c>
      <c r="W647" s="13">
        <f>IF('0.0%'!$N647&lt;$Z$3,0, '0.0%'!$Q647/'0.0%'!$N647)</f>
        <v>1.234375</v>
      </c>
      <c r="X647" s="13">
        <f>IF('0.0%'!$N647&lt;$Z$3,0, '0.0%'!$R647/'0.0%'!$N647)</f>
        <v>1.9882812499999998</v>
      </c>
      <c r="Y647" s="13">
        <f>IF('0.0%'!$N647&lt;$Z$3,0, '0.0%'!$S647/'0.0%'!$N647)</f>
        <v>1.72265625</v>
      </c>
    </row>
    <row r="648" spans="1:25" x14ac:dyDescent="0.3">
      <c r="A648" s="17">
        <v>710.96</v>
      </c>
      <c r="B648" s="10">
        <v>23.3</v>
      </c>
      <c r="C648" s="9">
        <v>710.96</v>
      </c>
      <c r="D648" s="10">
        <v>34.200000000000003</v>
      </c>
      <c r="E648" s="11">
        <v>710.96</v>
      </c>
      <c r="F648" s="12">
        <v>25.8</v>
      </c>
      <c r="G648" s="11">
        <v>710.96</v>
      </c>
      <c r="H648" s="12">
        <v>29</v>
      </c>
      <c r="I648" s="11">
        <v>710.96</v>
      </c>
      <c r="J648" s="12">
        <v>47.8</v>
      </c>
      <c r="K648" s="11">
        <v>710.96</v>
      </c>
      <c r="L648" s="12">
        <v>41.5</v>
      </c>
      <c r="M648" s="11">
        <v>710.96</v>
      </c>
      <c r="N648" s="13">
        <v>23.3</v>
      </c>
      <c r="O648" s="13">
        <v>34.200000000000003</v>
      </c>
      <c r="P648" s="13">
        <v>25.8</v>
      </c>
      <c r="Q648" s="11">
        <v>29</v>
      </c>
      <c r="R648" s="11">
        <v>47.8</v>
      </c>
      <c r="S648" s="14">
        <v>41.5</v>
      </c>
      <c r="T648" s="11">
        <v>710.96</v>
      </c>
      <c r="U648" s="13">
        <f>IF('0.0%'!$N648&lt;$Z$3,0, '0.0%'!$O648/'0.0%'!$N648)</f>
        <v>1.4678111587982834</v>
      </c>
      <c r="V648" s="13">
        <f>IF('0.0%'!$N648&lt;$Z$3,0, '0.0%'!$P648/'0.0%'!$N648)</f>
        <v>1.1072961373390557</v>
      </c>
      <c r="W648" s="13">
        <f>IF('0.0%'!$N648&lt;$Z$3,0, '0.0%'!$Q648/'0.0%'!$N648)</f>
        <v>1.2446351931330473</v>
      </c>
      <c r="X648" s="13">
        <f>IF('0.0%'!$N648&lt;$Z$3,0, '0.0%'!$R648/'0.0%'!$N648)</f>
        <v>2.0515021459227465</v>
      </c>
      <c r="Y648" s="13">
        <f>IF('0.0%'!$N648&lt;$Z$3,0, '0.0%'!$S648/'0.0%'!$N648)</f>
        <v>1.7811158798283262</v>
      </c>
    </row>
    <row r="649" spans="1:25" x14ac:dyDescent="0.3">
      <c r="A649" s="17">
        <v>711.95</v>
      </c>
      <c r="B649" s="10">
        <v>21.1</v>
      </c>
      <c r="C649" s="9">
        <v>711.95</v>
      </c>
      <c r="D649" s="10">
        <v>31.4</v>
      </c>
      <c r="E649" s="11">
        <v>711.95</v>
      </c>
      <c r="F649" s="12">
        <v>23.7</v>
      </c>
      <c r="G649" s="11">
        <v>711.95</v>
      </c>
      <c r="H649" s="12">
        <v>26.7</v>
      </c>
      <c r="I649" s="11">
        <v>711.95</v>
      </c>
      <c r="J649" s="12">
        <v>44.7</v>
      </c>
      <c r="K649" s="11">
        <v>711.95</v>
      </c>
      <c r="L649" s="12">
        <v>39</v>
      </c>
      <c r="M649" s="11">
        <v>711.95</v>
      </c>
      <c r="N649" s="13">
        <v>21.1</v>
      </c>
      <c r="O649" s="13">
        <v>31.4</v>
      </c>
      <c r="P649" s="13">
        <v>23.7</v>
      </c>
      <c r="Q649" s="11">
        <v>26.7</v>
      </c>
      <c r="R649" s="11">
        <v>44.7</v>
      </c>
      <c r="S649" s="14">
        <v>39</v>
      </c>
      <c r="T649" s="11">
        <v>711.95</v>
      </c>
      <c r="U649" s="13">
        <f>IF('0.0%'!$N649&lt;$Z$3,0, '0.0%'!$O649/'0.0%'!$N649)</f>
        <v>1.4881516587677723</v>
      </c>
      <c r="V649" s="13">
        <f>IF('0.0%'!$N649&lt;$Z$3,0, '0.0%'!$P649/'0.0%'!$N649)</f>
        <v>1.1232227488151658</v>
      </c>
      <c r="W649" s="13">
        <f>IF('0.0%'!$N649&lt;$Z$3,0, '0.0%'!$Q649/'0.0%'!$N649)</f>
        <v>1.2654028436018956</v>
      </c>
      <c r="X649" s="13">
        <f>IF('0.0%'!$N649&lt;$Z$3,0, '0.0%'!$R649/'0.0%'!$N649)</f>
        <v>2.1184834123222749</v>
      </c>
      <c r="Y649" s="13">
        <f>IF('0.0%'!$N649&lt;$Z$3,0, '0.0%'!$S649/'0.0%'!$N649)</f>
        <v>1.8483412322274879</v>
      </c>
    </row>
    <row r="650" spans="1:25" x14ac:dyDescent="0.3">
      <c r="A650" s="17">
        <v>712.94</v>
      </c>
      <c r="B650" s="10">
        <v>19.5</v>
      </c>
      <c r="C650" s="9">
        <v>712.94</v>
      </c>
      <c r="D650" s="10">
        <v>29.2</v>
      </c>
      <c r="E650" s="11">
        <v>712.94</v>
      </c>
      <c r="F650" s="12">
        <v>22.1</v>
      </c>
      <c r="G650" s="11">
        <v>712.94</v>
      </c>
      <c r="H650" s="12">
        <v>24.8</v>
      </c>
      <c r="I650" s="11">
        <v>712.94</v>
      </c>
      <c r="J650" s="12">
        <v>42.4</v>
      </c>
      <c r="K650" s="11">
        <v>712.94</v>
      </c>
      <c r="L650" s="12">
        <v>37.1</v>
      </c>
      <c r="M650" s="11">
        <v>712.94</v>
      </c>
      <c r="N650" s="13">
        <v>19.5</v>
      </c>
      <c r="O650" s="13">
        <v>29.2</v>
      </c>
      <c r="P650" s="13">
        <v>22.1</v>
      </c>
      <c r="Q650" s="11">
        <v>24.8</v>
      </c>
      <c r="R650" s="11">
        <v>42.4</v>
      </c>
      <c r="S650" s="14">
        <v>37.1</v>
      </c>
      <c r="T650" s="11">
        <v>712.94</v>
      </c>
      <c r="U650" s="13">
        <f>IF('0.0%'!$N650&lt;$Z$3,0, '0.0%'!$O650/'0.0%'!$N650)</f>
        <v>1.4974358974358974</v>
      </c>
      <c r="V650" s="13">
        <f>IF('0.0%'!$N650&lt;$Z$3,0, '0.0%'!$P650/'0.0%'!$N650)</f>
        <v>1.1333333333333333</v>
      </c>
      <c r="W650" s="13">
        <f>IF('0.0%'!$N650&lt;$Z$3,0, '0.0%'!$Q650/'0.0%'!$N650)</f>
        <v>1.2717948717948719</v>
      </c>
      <c r="X650" s="13">
        <f>IF('0.0%'!$N650&lt;$Z$3,0, '0.0%'!$R650/'0.0%'!$N650)</f>
        <v>2.1743589743589742</v>
      </c>
      <c r="Y650" s="13">
        <f>IF('0.0%'!$N650&lt;$Z$3,0, '0.0%'!$S650/'0.0%'!$N650)</f>
        <v>1.9025641025641027</v>
      </c>
    </row>
    <row r="651" spans="1:25" x14ac:dyDescent="0.3">
      <c r="A651" s="17">
        <v>713.94</v>
      </c>
      <c r="B651" s="10">
        <v>17.899999999999999</v>
      </c>
      <c r="C651" s="9">
        <v>713.94</v>
      </c>
      <c r="D651" s="10">
        <v>27.2</v>
      </c>
      <c r="E651" s="11">
        <v>713.94</v>
      </c>
      <c r="F651" s="12">
        <v>20.5</v>
      </c>
      <c r="G651" s="11">
        <v>713.94</v>
      </c>
      <c r="H651" s="12">
        <v>23.1</v>
      </c>
      <c r="I651" s="11">
        <v>713.94</v>
      </c>
      <c r="J651" s="12">
        <v>40.200000000000003</v>
      </c>
      <c r="K651" s="11">
        <v>713.94</v>
      </c>
      <c r="L651" s="12">
        <v>35.299999999999997</v>
      </c>
      <c r="M651" s="11">
        <v>713.94</v>
      </c>
      <c r="N651" s="13">
        <v>17.899999999999999</v>
      </c>
      <c r="O651" s="13">
        <v>27.2</v>
      </c>
      <c r="P651" s="13">
        <v>20.5</v>
      </c>
      <c r="Q651" s="11">
        <v>23.1</v>
      </c>
      <c r="R651" s="11">
        <v>40.200000000000003</v>
      </c>
      <c r="S651" s="14">
        <v>35.299999999999997</v>
      </c>
      <c r="T651" s="11">
        <v>713.94</v>
      </c>
      <c r="U651" s="13">
        <f>IF('0.0%'!$N651&lt;$Z$3,0, '0.0%'!$O651/'0.0%'!$N651)</f>
        <v>1.5195530726256985</v>
      </c>
      <c r="V651" s="13">
        <f>IF('0.0%'!$N651&lt;$Z$3,0, '0.0%'!$P651/'0.0%'!$N651)</f>
        <v>1.1452513966480449</v>
      </c>
      <c r="W651" s="13">
        <f>IF('0.0%'!$N651&lt;$Z$3,0, '0.0%'!$Q651/'0.0%'!$N651)</f>
        <v>1.2905027932960895</v>
      </c>
      <c r="X651" s="13">
        <f>IF('0.0%'!$N651&lt;$Z$3,0, '0.0%'!$R651/'0.0%'!$N651)</f>
        <v>2.2458100558659222</v>
      </c>
      <c r="Y651" s="13">
        <f>IF('0.0%'!$N651&lt;$Z$3,0, '0.0%'!$S651/'0.0%'!$N651)</f>
        <v>1.9720670391061452</v>
      </c>
    </row>
    <row r="652" spans="1:25" x14ac:dyDescent="0.3">
      <c r="A652" s="17">
        <v>714.93</v>
      </c>
      <c r="B652" s="10">
        <v>16.8</v>
      </c>
      <c r="C652" s="9">
        <v>714.93</v>
      </c>
      <c r="D652" s="10">
        <v>25.6</v>
      </c>
      <c r="E652" s="11">
        <v>714.93</v>
      </c>
      <c r="F652" s="12">
        <v>19.399999999999999</v>
      </c>
      <c r="G652" s="11">
        <v>714.93</v>
      </c>
      <c r="H652" s="12">
        <v>21.8</v>
      </c>
      <c r="I652" s="11">
        <v>714.93</v>
      </c>
      <c r="J652" s="12">
        <v>38.700000000000003</v>
      </c>
      <c r="K652" s="11">
        <v>714.93</v>
      </c>
      <c r="L652" s="12">
        <v>34</v>
      </c>
      <c r="M652" s="11">
        <v>714.93</v>
      </c>
      <c r="N652" s="13">
        <v>16.8</v>
      </c>
      <c r="O652" s="13">
        <v>25.6</v>
      </c>
      <c r="P652" s="13">
        <v>19.399999999999999</v>
      </c>
      <c r="Q652" s="11">
        <v>21.8</v>
      </c>
      <c r="R652" s="11">
        <v>38.700000000000003</v>
      </c>
      <c r="S652" s="14">
        <v>34</v>
      </c>
      <c r="T652" s="11">
        <v>714.93</v>
      </c>
      <c r="U652" s="13">
        <f>IF('0.0%'!$N652&lt;$Z$3,0, '0.0%'!$O652/'0.0%'!$N652)</f>
        <v>1.5238095238095237</v>
      </c>
      <c r="V652" s="13">
        <f>IF('0.0%'!$N652&lt;$Z$3,0, '0.0%'!$P652/'0.0%'!$N652)</f>
        <v>1.1547619047619047</v>
      </c>
      <c r="W652" s="13">
        <f>IF('0.0%'!$N652&lt;$Z$3,0, '0.0%'!$Q652/'0.0%'!$N652)</f>
        <v>1.2976190476190477</v>
      </c>
      <c r="X652" s="13">
        <f>IF('0.0%'!$N652&lt;$Z$3,0, '0.0%'!$R652/'0.0%'!$N652)</f>
        <v>2.3035714285714288</v>
      </c>
      <c r="Y652" s="13">
        <f>IF('0.0%'!$N652&lt;$Z$3,0, '0.0%'!$S652/'0.0%'!$N652)</f>
        <v>2.0238095238095237</v>
      </c>
    </row>
    <row r="653" spans="1:25" x14ac:dyDescent="0.3">
      <c r="A653" s="17">
        <v>715.92</v>
      </c>
      <c r="B653" s="10">
        <v>15.7</v>
      </c>
      <c r="C653" s="9">
        <v>715.92</v>
      </c>
      <c r="D653" s="10">
        <v>24.1</v>
      </c>
      <c r="E653" s="11">
        <v>715.92</v>
      </c>
      <c r="F653" s="12">
        <v>18.2</v>
      </c>
      <c r="G653" s="11">
        <v>715.92</v>
      </c>
      <c r="H653" s="12">
        <v>20.6</v>
      </c>
      <c r="I653" s="11">
        <v>715.92</v>
      </c>
      <c r="J653" s="12">
        <v>37</v>
      </c>
      <c r="K653" s="11">
        <v>715.92</v>
      </c>
      <c r="L653" s="12">
        <v>32.6</v>
      </c>
      <c r="M653" s="11">
        <v>715.92</v>
      </c>
      <c r="N653" s="13">
        <v>15.7</v>
      </c>
      <c r="O653" s="13">
        <v>24.1</v>
      </c>
      <c r="P653" s="13">
        <v>18.2</v>
      </c>
      <c r="Q653" s="11">
        <v>20.6</v>
      </c>
      <c r="R653" s="11">
        <v>37</v>
      </c>
      <c r="S653" s="14">
        <v>32.6</v>
      </c>
      <c r="T653" s="11">
        <v>715.92</v>
      </c>
      <c r="U653" s="13">
        <f>IF('0.0%'!$N653&lt;$Z$3,0, '0.0%'!$O653/'0.0%'!$N653)</f>
        <v>1.5350318471337581</v>
      </c>
      <c r="V653" s="13">
        <f>IF('0.0%'!$N653&lt;$Z$3,0, '0.0%'!$P653/'0.0%'!$N653)</f>
        <v>1.1592356687898089</v>
      </c>
      <c r="W653" s="13">
        <f>IF('0.0%'!$N653&lt;$Z$3,0, '0.0%'!$Q653/'0.0%'!$N653)</f>
        <v>1.3121019108280256</v>
      </c>
      <c r="X653" s="13">
        <f>IF('0.0%'!$N653&lt;$Z$3,0, '0.0%'!$R653/'0.0%'!$N653)</f>
        <v>2.3566878980891719</v>
      </c>
      <c r="Y653" s="13">
        <f>IF('0.0%'!$N653&lt;$Z$3,0, '0.0%'!$S653/'0.0%'!$N653)</f>
        <v>2.0764331210191083</v>
      </c>
    </row>
    <row r="654" spans="1:25" x14ac:dyDescent="0.3">
      <c r="A654" s="17">
        <v>716.91</v>
      </c>
      <c r="B654" s="10">
        <v>14.8</v>
      </c>
      <c r="C654" s="9">
        <v>716.91</v>
      </c>
      <c r="D654" s="10">
        <v>23</v>
      </c>
      <c r="E654" s="11">
        <v>716.91</v>
      </c>
      <c r="F654" s="12">
        <v>17.399999999999999</v>
      </c>
      <c r="G654" s="11">
        <v>716.91</v>
      </c>
      <c r="H654" s="12">
        <v>19.600000000000001</v>
      </c>
      <c r="I654" s="11">
        <v>716.91</v>
      </c>
      <c r="J654" s="12">
        <v>35.9</v>
      </c>
      <c r="K654" s="11">
        <v>716.91</v>
      </c>
      <c r="L654" s="12">
        <v>31.6</v>
      </c>
      <c r="M654" s="11">
        <v>716.91</v>
      </c>
      <c r="N654" s="13">
        <v>14.8</v>
      </c>
      <c r="O654" s="13">
        <v>23</v>
      </c>
      <c r="P654" s="13">
        <v>17.399999999999999</v>
      </c>
      <c r="Q654" s="11">
        <v>19.600000000000001</v>
      </c>
      <c r="R654" s="11">
        <v>35.9</v>
      </c>
      <c r="S654" s="14">
        <v>31.6</v>
      </c>
      <c r="T654" s="11">
        <v>716.91</v>
      </c>
      <c r="U654" s="13">
        <f>IF('0.0%'!$N654&lt;$Z$3,0, '0.0%'!$O654/'0.0%'!$N654)</f>
        <v>1.5540540540540539</v>
      </c>
      <c r="V654" s="13">
        <f>IF('0.0%'!$N654&lt;$Z$3,0, '0.0%'!$P654/'0.0%'!$N654)</f>
        <v>1.1756756756756754</v>
      </c>
      <c r="W654" s="13">
        <f>IF('0.0%'!$N654&lt;$Z$3,0, '0.0%'!$Q654/'0.0%'!$N654)</f>
        <v>1.3243243243243243</v>
      </c>
      <c r="X654" s="13">
        <f>IF('0.0%'!$N654&lt;$Z$3,0, '0.0%'!$R654/'0.0%'!$N654)</f>
        <v>2.4256756756756754</v>
      </c>
      <c r="Y654" s="13">
        <f>IF('0.0%'!$N654&lt;$Z$3,0, '0.0%'!$S654/'0.0%'!$N654)</f>
        <v>2.1351351351351351</v>
      </c>
    </row>
    <row r="655" spans="1:25" x14ac:dyDescent="0.3">
      <c r="A655" s="17">
        <v>717.9</v>
      </c>
      <c r="B655" s="10">
        <v>13.9</v>
      </c>
      <c r="C655" s="9">
        <v>717.9</v>
      </c>
      <c r="D655" s="10">
        <v>21.8</v>
      </c>
      <c r="E655" s="11">
        <v>717.9</v>
      </c>
      <c r="F655" s="12">
        <v>16.5</v>
      </c>
      <c r="G655" s="11">
        <v>717.9</v>
      </c>
      <c r="H655" s="12">
        <v>18.7</v>
      </c>
      <c r="I655" s="11">
        <v>717.9</v>
      </c>
      <c r="J655" s="12">
        <v>34.6</v>
      </c>
      <c r="K655" s="11">
        <v>717.9</v>
      </c>
      <c r="L655" s="12">
        <v>30.5</v>
      </c>
      <c r="M655" s="11">
        <v>717.9</v>
      </c>
      <c r="N655" s="13">
        <v>13.9</v>
      </c>
      <c r="O655" s="13">
        <v>21.8</v>
      </c>
      <c r="P655" s="13">
        <v>16.5</v>
      </c>
      <c r="Q655" s="11">
        <v>18.7</v>
      </c>
      <c r="R655" s="11">
        <v>34.6</v>
      </c>
      <c r="S655" s="14">
        <v>30.5</v>
      </c>
      <c r="T655" s="11">
        <v>717.9</v>
      </c>
      <c r="U655" s="13">
        <f>IF('0.0%'!$N655&lt;$Z$3,0, '0.0%'!$O655/'0.0%'!$N655)</f>
        <v>1.5683453237410072</v>
      </c>
      <c r="V655" s="13">
        <f>IF('0.0%'!$N655&lt;$Z$3,0, '0.0%'!$P655/'0.0%'!$N655)</f>
        <v>1.1870503597122302</v>
      </c>
      <c r="W655" s="13">
        <f>IF('0.0%'!$N655&lt;$Z$3,0, '0.0%'!$Q655/'0.0%'!$N655)</f>
        <v>1.3453237410071941</v>
      </c>
      <c r="X655" s="13">
        <f>IF('0.0%'!$N655&lt;$Z$3,0, '0.0%'!$R655/'0.0%'!$N655)</f>
        <v>2.4892086330935252</v>
      </c>
      <c r="Y655" s="13">
        <f>IF('0.0%'!$N655&lt;$Z$3,0, '0.0%'!$S655/'0.0%'!$N655)</f>
        <v>2.1942446043165469</v>
      </c>
    </row>
    <row r="656" spans="1:25" x14ac:dyDescent="0.3">
      <c r="A656" s="17">
        <v>718.89</v>
      </c>
      <c r="B656" s="10">
        <v>13.3</v>
      </c>
      <c r="C656" s="9">
        <v>718.89</v>
      </c>
      <c r="D656" s="10">
        <v>21</v>
      </c>
      <c r="E656" s="11">
        <v>718.89</v>
      </c>
      <c r="F656" s="12">
        <v>15.9</v>
      </c>
      <c r="G656" s="11">
        <v>718.89</v>
      </c>
      <c r="H656" s="12">
        <v>18</v>
      </c>
      <c r="I656" s="11">
        <v>718.89</v>
      </c>
      <c r="J656" s="12">
        <v>33.799999999999997</v>
      </c>
      <c r="K656" s="11">
        <v>718.89</v>
      </c>
      <c r="L656" s="12">
        <v>29.9</v>
      </c>
      <c r="M656" s="11">
        <v>718.89</v>
      </c>
      <c r="N656" s="13">
        <v>13.3</v>
      </c>
      <c r="O656" s="13">
        <v>21</v>
      </c>
      <c r="P656" s="13">
        <v>15.9</v>
      </c>
      <c r="Q656" s="11">
        <v>18</v>
      </c>
      <c r="R656" s="11">
        <v>33.799999999999997</v>
      </c>
      <c r="S656" s="14">
        <v>29.9</v>
      </c>
      <c r="T656" s="11">
        <v>718.89</v>
      </c>
      <c r="U656" s="13">
        <f>IF('0.0%'!$N656&lt;$Z$3,0, '0.0%'!$O656/'0.0%'!$N656)</f>
        <v>1.5789473684210527</v>
      </c>
      <c r="V656" s="13">
        <f>IF('0.0%'!$N656&lt;$Z$3,0, '0.0%'!$P656/'0.0%'!$N656)</f>
        <v>1.1954887218045112</v>
      </c>
      <c r="W656" s="13">
        <f>IF('0.0%'!$N656&lt;$Z$3,0, '0.0%'!$Q656/'0.0%'!$N656)</f>
        <v>1.3533834586466165</v>
      </c>
      <c r="X656" s="13">
        <f>IF('0.0%'!$N656&lt;$Z$3,0, '0.0%'!$R656/'0.0%'!$N656)</f>
        <v>2.5413533834586461</v>
      </c>
      <c r="Y656" s="13">
        <f>IF('0.0%'!$N656&lt;$Z$3,0, '0.0%'!$S656/'0.0%'!$N656)</f>
        <v>2.2481203007518795</v>
      </c>
    </row>
    <row r="657" spans="1:25" x14ac:dyDescent="0.3">
      <c r="A657" s="17">
        <v>719.89</v>
      </c>
      <c r="B657" s="10">
        <v>12.6</v>
      </c>
      <c r="C657" s="9">
        <v>719.89</v>
      </c>
      <c r="D657" s="10">
        <v>20.100000000000001</v>
      </c>
      <c r="E657" s="11">
        <v>719.89</v>
      </c>
      <c r="F657" s="12">
        <v>15.2</v>
      </c>
      <c r="G657" s="11">
        <v>719.89</v>
      </c>
      <c r="H657" s="12">
        <v>17.2</v>
      </c>
      <c r="I657" s="11">
        <v>719.89</v>
      </c>
      <c r="J657" s="12">
        <v>32.799999999999997</v>
      </c>
      <c r="K657" s="11">
        <v>719.89</v>
      </c>
      <c r="L657" s="12">
        <v>28.9</v>
      </c>
      <c r="M657" s="11">
        <v>719.89</v>
      </c>
      <c r="N657" s="13">
        <v>12.6</v>
      </c>
      <c r="O657" s="13">
        <v>20.100000000000001</v>
      </c>
      <c r="P657" s="13">
        <v>15.2</v>
      </c>
      <c r="Q657" s="11">
        <v>17.2</v>
      </c>
      <c r="R657" s="11">
        <v>32.799999999999997</v>
      </c>
      <c r="S657" s="14">
        <v>28.9</v>
      </c>
      <c r="T657" s="11">
        <v>719.89</v>
      </c>
      <c r="U657" s="13">
        <f>IF('0.0%'!$N657&lt;$Z$3,0, '0.0%'!$O657/'0.0%'!$N657)</f>
        <v>1.5952380952380953</v>
      </c>
      <c r="V657" s="13">
        <f>IF('0.0%'!$N657&lt;$Z$3,0, '0.0%'!$P657/'0.0%'!$N657)</f>
        <v>1.2063492063492063</v>
      </c>
      <c r="W657" s="13">
        <f>IF('0.0%'!$N657&lt;$Z$3,0, '0.0%'!$Q657/'0.0%'!$N657)</f>
        <v>1.3650793650793651</v>
      </c>
      <c r="X657" s="13">
        <f>IF('0.0%'!$N657&lt;$Z$3,0, '0.0%'!$R657/'0.0%'!$N657)</f>
        <v>2.6031746031746028</v>
      </c>
      <c r="Y657" s="13">
        <f>IF('0.0%'!$N657&lt;$Z$3,0, '0.0%'!$S657/'0.0%'!$N657)</f>
        <v>2.2936507936507935</v>
      </c>
    </row>
    <row r="658" spans="1:25" x14ac:dyDescent="0.3">
      <c r="A658" s="17">
        <v>720.88</v>
      </c>
      <c r="B658" s="10">
        <v>12.1</v>
      </c>
      <c r="C658" s="9">
        <v>720.88</v>
      </c>
      <c r="D658" s="10">
        <v>19.399999999999999</v>
      </c>
      <c r="E658" s="11">
        <v>720.88</v>
      </c>
      <c r="F658" s="12">
        <v>14.7</v>
      </c>
      <c r="G658" s="11">
        <v>720.88</v>
      </c>
      <c r="H658" s="12">
        <v>16.7</v>
      </c>
      <c r="I658" s="11">
        <v>720.88</v>
      </c>
      <c r="J658" s="12">
        <v>32.200000000000003</v>
      </c>
      <c r="K658" s="11">
        <v>720.88</v>
      </c>
      <c r="L658" s="12">
        <v>28.4</v>
      </c>
      <c r="M658" s="11">
        <v>720.88</v>
      </c>
      <c r="N658" s="13">
        <v>12.1</v>
      </c>
      <c r="O658" s="13">
        <v>19.399999999999999</v>
      </c>
      <c r="P658" s="13">
        <v>14.7</v>
      </c>
      <c r="Q658" s="11">
        <v>16.7</v>
      </c>
      <c r="R658" s="11">
        <v>32.200000000000003</v>
      </c>
      <c r="S658" s="14">
        <v>28.4</v>
      </c>
      <c r="T658" s="11">
        <v>720.88</v>
      </c>
      <c r="U658" s="13">
        <f>IF('0.0%'!$N658&lt;$Z$3,0, '0.0%'!$O658/'0.0%'!$N658)</f>
        <v>1.6033057851239669</v>
      </c>
      <c r="V658" s="13">
        <f>IF('0.0%'!$N658&lt;$Z$3,0, '0.0%'!$P658/'0.0%'!$N658)</f>
        <v>1.2148760330578512</v>
      </c>
      <c r="W658" s="13">
        <f>IF('0.0%'!$N658&lt;$Z$3,0, '0.0%'!$Q658/'0.0%'!$N658)</f>
        <v>1.3801652892561984</v>
      </c>
      <c r="X658" s="13">
        <f>IF('0.0%'!$N658&lt;$Z$3,0, '0.0%'!$R658/'0.0%'!$N658)</f>
        <v>2.6611570247933889</v>
      </c>
      <c r="Y658" s="13">
        <f>IF('0.0%'!$N658&lt;$Z$3,0, '0.0%'!$S658/'0.0%'!$N658)</f>
        <v>2.3471074380165287</v>
      </c>
    </row>
    <row r="659" spans="1:25" x14ac:dyDescent="0.3">
      <c r="A659" s="17">
        <v>721.87</v>
      </c>
      <c r="B659" s="10">
        <v>11.6</v>
      </c>
      <c r="C659" s="9">
        <v>721.87</v>
      </c>
      <c r="D659" s="10">
        <v>18.7</v>
      </c>
      <c r="E659" s="11">
        <v>721.87</v>
      </c>
      <c r="F659" s="12">
        <v>14.2</v>
      </c>
      <c r="G659" s="11">
        <v>721.87</v>
      </c>
      <c r="H659" s="12">
        <v>16.100000000000001</v>
      </c>
      <c r="I659" s="11">
        <v>721.87</v>
      </c>
      <c r="J659" s="12">
        <v>31.3</v>
      </c>
      <c r="K659" s="11">
        <v>721.87</v>
      </c>
      <c r="L659" s="12">
        <v>27.6</v>
      </c>
      <c r="M659" s="11">
        <v>721.87</v>
      </c>
      <c r="N659" s="13">
        <v>11.6</v>
      </c>
      <c r="O659" s="13">
        <v>18.7</v>
      </c>
      <c r="P659" s="13">
        <v>14.2</v>
      </c>
      <c r="Q659" s="11">
        <v>16.100000000000001</v>
      </c>
      <c r="R659" s="11">
        <v>31.3</v>
      </c>
      <c r="S659" s="14">
        <v>27.6</v>
      </c>
      <c r="T659" s="11">
        <v>721.87</v>
      </c>
      <c r="U659" s="13">
        <f>IF('0.0%'!$N659&lt;$Z$3,0, '0.0%'!$O659/'0.0%'!$N659)</f>
        <v>1.6120689655172413</v>
      </c>
      <c r="V659" s="13">
        <f>IF('0.0%'!$N659&lt;$Z$3,0, '0.0%'!$P659/'0.0%'!$N659)</f>
        <v>1.2241379310344827</v>
      </c>
      <c r="W659" s="13">
        <f>IF('0.0%'!$N659&lt;$Z$3,0, '0.0%'!$Q659/'0.0%'!$N659)</f>
        <v>1.3879310344827589</v>
      </c>
      <c r="X659" s="13">
        <f>IF('0.0%'!$N659&lt;$Z$3,0, '0.0%'!$R659/'0.0%'!$N659)</f>
        <v>2.6982758620689657</v>
      </c>
      <c r="Y659" s="13">
        <f>IF('0.0%'!$N659&lt;$Z$3,0, '0.0%'!$S659/'0.0%'!$N659)</f>
        <v>2.3793103448275863</v>
      </c>
    </row>
    <row r="660" spans="1:25" x14ac:dyDescent="0.3">
      <c r="A660" s="17">
        <v>722.86</v>
      </c>
      <c r="B660" s="10">
        <v>11.2</v>
      </c>
      <c r="C660" s="9">
        <v>722.86</v>
      </c>
      <c r="D660" s="10">
        <v>18.2</v>
      </c>
      <c r="E660" s="11">
        <v>722.86</v>
      </c>
      <c r="F660" s="12">
        <v>13.8</v>
      </c>
      <c r="G660" s="11">
        <v>722.86</v>
      </c>
      <c r="H660" s="12">
        <v>15.7</v>
      </c>
      <c r="I660" s="11">
        <v>722.86</v>
      </c>
      <c r="J660" s="12">
        <v>30.8</v>
      </c>
      <c r="K660" s="11">
        <v>722.86</v>
      </c>
      <c r="L660" s="12">
        <v>27.2</v>
      </c>
      <c r="M660" s="11">
        <v>722.86</v>
      </c>
      <c r="N660" s="13">
        <v>11.2</v>
      </c>
      <c r="O660" s="13">
        <v>18.2</v>
      </c>
      <c r="P660" s="13">
        <v>13.8</v>
      </c>
      <c r="Q660" s="11">
        <v>15.7</v>
      </c>
      <c r="R660" s="11">
        <v>30.8</v>
      </c>
      <c r="S660" s="14">
        <v>27.2</v>
      </c>
      <c r="T660" s="11">
        <v>722.86</v>
      </c>
      <c r="U660" s="13">
        <f>IF('0.0%'!$N660&lt;$Z$3,0, '0.0%'!$O660/'0.0%'!$N660)</f>
        <v>1.625</v>
      </c>
      <c r="V660" s="13">
        <f>IF('0.0%'!$N660&lt;$Z$3,0, '0.0%'!$P660/'0.0%'!$N660)</f>
        <v>1.2321428571428572</v>
      </c>
      <c r="W660" s="13">
        <f>IF('0.0%'!$N660&lt;$Z$3,0, '0.0%'!$Q660/'0.0%'!$N660)</f>
        <v>1.4017857142857144</v>
      </c>
      <c r="X660" s="13">
        <f>IF('0.0%'!$N660&lt;$Z$3,0, '0.0%'!$R660/'0.0%'!$N660)</f>
        <v>2.7500000000000004</v>
      </c>
      <c r="Y660" s="13">
        <f>IF('0.0%'!$N660&lt;$Z$3,0, '0.0%'!$S660/'0.0%'!$N660)</f>
        <v>2.4285714285714288</v>
      </c>
    </row>
    <row r="661" spans="1:25" x14ac:dyDescent="0.3">
      <c r="A661" s="17">
        <v>723.85</v>
      </c>
      <c r="B661" s="10">
        <v>10.9</v>
      </c>
      <c r="C661" s="9">
        <v>723.85</v>
      </c>
      <c r="D661" s="10">
        <v>17.8</v>
      </c>
      <c r="E661" s="11">
        <v>723.85</v>
      </c>
      <c r="F661" s="12">
        <v>13.5</v>
      </c>
      <c r="G661" s="11">
        <v>723.85</v>
      </c>
      <c r="H661" s="12">
        <v>15.4</v>
      </c>
      <c r="I661" s="11">
        <v>723.85</v>
      </c>
      <c r="J661" s="12">
        <v>30.5</v>
      </c>
      <c r="K661" s="11">
        <v>723.85</v>
      </c>
      <c r="L661" s="12">
        <v>26.9</v>
      </c>
      <c r="M661" s="11">
        <v>723.85</v>
      </c>
      <c r="N661" s="13">
        <v>10.9</v>
      </c>
      <c r="O661" s="13">
        <v>17.8</v>
      </c>
      <c r="P661" s="13">
        <v>13.5</v>
      </c>
      <c r="Q661" s="11">
        <v>15.4</v>
      </c>
      <c r="R661" s="11">
        <v>30.5</v>
      </c>
      <c r="S661" s="14">
        <v>26.9</v>
      </c>
      <c r="T661" s="11">
        <v>723.85</v>
      </c>
      <c r="U661" s="13">
        <f>IF('0.0%'!$N661&lt;$Z$3,0, '0.0%'!$O661/'0.0%'!$N661)</f>
        <v>1.6330275229357798</v>
      </c>
      <c r="V661" s="13">
        <f>IF('0.0%'!$N661&lt;$Z$3,0, '0.0%'!$P661/'0.0%'!$N661)</f>
        <v>1.238532110091743</v>
      </c>
      <c r="W661" s="13">
        <f>IF('0.0%'!$N661&lt;$Z$3,0, '0.0%'!$Q661/'0.0%'!$N661)</f>
        <v>1.4128440366972477</v>
      </c>
      <c r="X661" s="13">
        <f>IF('0.0%'!$N661&lt;$Z$3,0, '0.0%'!$R661/'0.0%'!$N661)</f>
        <v>2.7981651376146788</v>
      </c>
      <c r="Y661" s="13">
        <f>IF('0.0%'!$N661&lt;$Z$3,0, '0.0%'!$S661/'0.0%'!$N661)</f>
        <v>2.4678899082568804</v>
      </c>
    </row>
    <row r="662" spans="1:25" x14ac:dyDescent="0.3">
      <c r="A662" s="17">
        <v>724.85</v>
      </c>
      <c r="B662" s="10">
        <v>10.5</v>
      </c>
      <c r="C662" s="9">
        <v>724.85</v>
      </c>
      <c r="D662" s="10">
        <v>17.3</v>
      </c>
      <c r="E662" s="11">
        <v>724.85</v>
      </c>
      <c r="F662" s="12">
        <v>13.1</v>
      </c>
      <c r="G662" s="11">
        <v>724.85</v>
      </c>
      <c r="H662" s="12">
        <v>15</v>
      </c>
      <c r="I662" s="11">
        <v>724.85</v>
      </c>
      <c r="J662" s="12">
        <v>30</v>
      </c>
      <c r="K662" s="11">
        <v>724.85</v>
      </c>
      <c r="L662" s="12">
        <v>26.4</v>
      </c>
      <c r="M662" s="11">
        <v>724.85</v>
      </c>
      <c r="N662" s="13">
        <v>10.5</v>
      </c>
      <c r="O662" s="13">
        <v>17.3</v>
      </c>
      <c r="P662" s="13">
        <v>13.1</v>
      </c>
      <c r="Q662" s="11">
        <v>15</v>
      </c>
      <c r="R662" s="11">
        <v>30</v>
      </c>
      <c r="S662" s="14">
        <v>26.4</v>
      </c>
      <c r="T662" s="11">
        <v>724.85</v>
      </c>
      <c r="U662" s="13">
        <f>IF('0.0%'!$N662&lt;$Z$3,0, '0.0%'!$O662/'0.0%'!$N662)</f>
        <v>1.6476190476190478</v>
      </c>
      <c r="V662" s="13">
        <f>IF('0.0%'!$N662&lt;$Z$3,0, '0.0%'!$P662/'0.0%'!$N662)</f>
        <v>1.2476190476190476</v>
      </c>
      <c r="W662" s="13">
        <f>IF('0.0%'!$N662&lt;$Z$3,0, '0.0%'!$Q662/'0.0%'!$N662)</f>
        <v>1.4285714285714286</v>
      </c>
      <c r="X662" s="13">
        <f>IF('0.0%'!$N662&lt;$Z$3,0, '0.0%'!$R662/'0.0%'!$N662)</f>
        <v>2.8571428571428572</v>
      </c>
      <c r="Y662" s="13">
        <f>IF('0.0%'!$N662&lt;$Z$3,0, '0.0%'!$S662/'0.0%'!$N662)</f>
        <v>2.5142857142857142</v>
      </c>
    </row>
    <row r="663" spans="1:25" x14ac:dyDescent="0.3">
      <c r="A663" s="17">
        <v>725.84</v>
      </c>
      <c r="B663" s="10">
        <v>10.3</v>
      </c>
      <c r="C663" s="9">
        <v>725.84</v>
      </c>
      <c r="D663" s="10">
        <v>17.100000000000001</v>
      </c>
      <c r="E663" s="11">
        <v>725.84</v>
      </c>
      <c r="F663" s="12">
        <v>12.9</v>
      </c>
      <c r="G663" s="11">
        <v>725.84</v>
      </c>
      <c r="H663" s="12">
        <v>14.8</v>
      </c>
      <c r="I663" s="11">
        <v>725.84</v>
      </c>
      <c r="J663" s="12">
        <v>29.8</v>
      </c>
      <c r="K663" s="11">
        <v>725.84</v>
      </c>
      <c r="L663" s="12">
        <v>26.3</v>
      </c>
      <c r="M663" s="11">
        <v>725.84</v>
      </c>
      <c r="N663" s="13">
        <v>10.3</v>
      </c>
      <c r="O663" s="13">
        <v>17.100000000000001</v>
      </c>
      <c r="P663" s="13">
        <v>12.9</v>
      </c>
      <c r="Q663" s="11">
        <v>14.8</v>
      </c>
      <c r="R663" s="11">
        <v>29.8</v>
      </c>
      <c r="S663" s="14">
        <v>26.3</v>
      </c>
      <c r="T663" s="11">
        <v>725.84</v>
      </c>
      <c r="U663" s="13">
        <f>IF('0.0%'!$N663&lt;$Z$3,0, '0.0%'!$O663/'0.0%'!$N663)</f>
        <v>1.6601941747572815</v>
      </c>
      <c r="V663" s="13">
        <f>IF('0.0%'!$N663&lt;$Z$3,0, '0.0%'!$P663/'0.0%'!$N663)</f>
        <v>1.2524271844660193</v>
      </c>
      <c r="W663" s="13">
        <f>IF('0.0%'!$N663&lt;$Z$3,0, '0.0%'!$Q663/'0.0%'!$N663)</f>
        <v>1.4368932038834952</v>
      </c>
      <c r="X663" s="13">
        <f>IF('0.0%'!$N663&lt;$Z$3,0, '0.0%'!$R663/'0.0%'!$N663)</f>
        <v>2.8932038834951457</v>
      </c>
      <c r="Y663" s="13">
        <f>IF('0.0%'!$N663&lt;$Z$3,0, '0.0%'!$S663/'0.0%'!$N663)</f>
        <v>2.5533980582524269</v>
      </c>
    </row>
    <row r="664" spans="1:25" x14ac:dyDescent="0.3">
      <c r="A664" s="17">
        <v>726.83</v>
      </c>
      <c r="B664" s="10">
        <v>10</v>
      </c>
      <c r="C664" s="9">
        <v>726.83</v>
      </c>
      <c r="D664" s="10">
        <v>16.7</v>
      </c>
      <c r="E664" s="11">
        <v>726.83</v>
      </c>
      <c r="F664" s="12">
        <v>12.6</v>
      </c>
      <c r="G664" s="11">
        <v>726.83</v>
      </c>
      <c r="H664" s="12">
        <v>14.5</v>
      </c>
      <c r="I664" s="11">
        <v>726.83</v>
      </c>
      <c r="J664" s="12">
        <v>29.3</v>
      </c>
      <c r="K664" s="11">
        <v>726.83</v>
      </c>
      <c r="L664" s="12">
        <v>25.9</v>
      </c>
      <c r="M664" s="11">
        <v>726.83</v>
      </c>
      <c r="N664" s="13">
        <v>10</v>
      </c>
      <c r="O664" s="13">
        <v>16.7</v>
      </c>
      <c r="P664" s="13">
        <v>12.6</v>
      </c>
      <c r="Q664" s="11">
        <v>14.5</v>
      </c>
      <c r="R664" s="11">
        <v>29.3</v>
      </c>
      <c r="S664" s="14">
        <v>25.9</v>
      </c>
      <c r="T664" s="11">
        <v>726.83</v>
      </c>
      <c r="U664" s="13">
        <f>IF('0.0%'!$N664&lt;$Z$3,0, '0.0%'!$O664/'0.0%'!$N664)</f>
        <v>1.67</v>
      </c>
      <c r="V664" s="13">
        <f>IF('0.0%'!$N664&lt;$Z$3,0, '0.0%'!$P664/'0.0%'!$N664)</f>
        <v>1.26</v>
      </c>
      <c r="W664" s="13">
        <f>IF('0.0%'!$N664&lt;$Z$3,0, '0.0%'!$Q664/'0.0%'!$N664)</f>
        <v>1.45</v>
      </c>
      <c r="X664" s="13">
        <f>IF('0.0%'!$N664&lt;$Z$3,0, '0.0%'!$R664/'0.0%'!$N664)</f>
        <v>2.93</v>
      </c>
      <c r="Y664" s="13">
        <f>IF('0.0%'!$N664&lt;$Z$3,0, '0.0%'!$S664/'0.0%'!$N664)</f>
        <v>2.59</v>
      </c>
    </row>
    <row r="665" spans="1:25" x14ac:dyDescent="0.3">
      <c r="A665" s="17">
        <v>727.82</v>
      </c>
      <c r="B665" s="10">
        <v>9.9</v>
      </c>
      <c r="C665" s="9">
        <v>727.82</v>
      </c>
      <c r="D665" s="10">
        <v>16.5</v>
      </c>
      <c r="E665" s="11">
        <v>727.82</v>
      </c>
      <c r="F665" s="12">
        <v>12.5</v>
      </c>
      <c r="G665" s="11">
        <v>727.82</v>
      </c>
      <c r="H665" s="12">
        <v>14.3</v>
      </c>
      <c r="I665" s="11">
        <v>727.82</v>
      </c>
      <c r="J665" s="12">
        <v>29.2</v>
      </c>
      <c r="K665" s="11">
        <v>727.82</v>
      </c>
      <c r="L665" s="12">
        <v>25.8</v>
      </c>
      <c r="M665" s="11">
        <v>727.82</v>
      </c>
      <c r="N665" s="13">
        <v>9.9</v>
      </c>
      <c r="O665" s="13">
        <v>16.5</v>
      </c>
      <c r="P665" s="13">
        <v>12.5</v>
      </c>
      <c r="Q665" s="11">
        <v>14.3</v>
      </c>
      <c r="R665" s="11">
        <v>29.2</v>
      </c>
      <c r="S665" s="14">
        <v>25.8</v>
      </c>
      <c r="T665" s="11">
        <v>727.82</v>
      </c>
      <c r="U665" s="13">
        <f>IF('0.0%'!$N665&lt;$Z$3,0, '0.0%'!$O665/'0.0%'!$N665)</f>
        <v>1.6666666666666665</v>
      </c>
      <c r="V665" s="13">
        <f>IF('0.0%'!$N665&lt;$Z$3,0, '0.0%'!$P665/'0.0%'!$N665)</f>
        <v>1.2626262626262625</v>
      </c>
      <c r="W665" s="13">
        <f>IF('0.0%'!$N665&lt;$Z$3,0, '0.0%'!$Q665/'0.0%'!$N665)</f>
        <v>1.4444444444444444</v>
      </c>
      <c r="X665" s="13">
        <f>IF('0.0%'!$N665&lt;$Z$3,0, '0.0%'!$R665/'0.0%'!$N665)</f>
        <v>2.9494949494949494</v>
      </c>
      <c r="Y665" s="13">
        <f>IF('0.0%'!$N665&lt;$Z$3,0, '0.0%'!$S665/'0.0%'!$N665)</f>
        <v>2.606060606060606</v>
      </c>
    </row>
    <row r="666" spans="1:25" x14ac:dyDescent="0.3">
      <c r="A666" s="17">
        <v>728.81</v>
      </c>
      <c r="B666" s="10">
        <v>9.6</v>
      </c>
      <c r="C666" s="9">
        <v>728.81</v>
      </c>
      <c r="D666" s="10">
        <v>16.100000000000001</v>
      </c>
      <c r="E666" s="11">
        <v>728.81</v>
      </c>
      <c r="F666" s="12">
        <v>12.2</v>
      </c>
      <c r="G666" s="11">
        <v>728.81</v>
      </c>
      <c r="H666" s="12">
        <v>14</v>
      </c>
      <c r="I666" s="11">
        <v>728.81</v>
      </c>
      <c r="J666" s="12">
        <v>28.7</v>
      </c>
      <c r="K666" s="11">
        <v>728.81</v>
      </c>
      <c r="L666" s="12">
        <v>25.4</v>
      </c>
      <c r="M666" s="11">
        <v>728.81</v>
      </c>
      <c r="N666" s="13">
        <v>9.6</v>
      </c>
      <c r="O666" s="13">
        <v>16.100000000000001</v>
      </c>
      <c r="P666" s="13">
        <v>12.2</v>
      </c>
      <c r="Q666" s="11">
        <v>14</v>
      </c>
      <c r="R666" s="11">
        <v>28.7</v>
      </c>
      <c r="S666" s="14">
        <v>25.4</v>
      </c>
      <c r="T666" s="11">
        <v>728.81</v>
      </c>
      <c r="U666" s="13">
        <f>IF('0.0%'!$N666&lt;$Z$3,0, '0.0%'!$O666/'0.0%'!$N666)</f>
        <v>1.6770833333333335</v>
      </c>
      <c r="V666" s="13">
        <f>IF('0.0%'!$N666&lt;$Z$3,0, '0.0%'!$P666/'0.0%'!$N666)</f>
        <v>1.2708333333333333</v>
      </c>
      <c r="W666" s="13">
        <f>IF('0.0%'!$N666&lt;$Z$3,0, '0.0%'!$Q666/'0.0%'!$N666)</f>
        <v>1.4583333333333335</v>
      </c>
      <c r="X666" s="13">
        <f>IF('0.0%'!$N666&lt;$Z$3,0, '0.0%'!$R666/'0.0%'!$N666)</f>
        <v>2.9895833333333335</v>
      </c>
      <c r="Y666" s="13">
        <f>IF('0.0%'!$N666&lt;$Z$3,0, '0.0%'!$S666/'0.0%'!$N666)</f>
        <v>2.6458333333333335</v>
      </c>
    </row>
    <row r="667" spans="1:25" x14ac:dyDescent="0.3">
      <c r="A667" s="17">
        <v>729.8</v>
      </c>
      <c r="B667" s="10">
        <v>9.5</v>
      </c>
      <c r="C667" s="9">
        <v>729.8</v>
      </c>
      <c r="D667" s="10">
        <v>16</v>
      </c>
      <c r="E667" s="11">
        <v>729.8</v>
      </c>
      <c r="F667" s="12">
        <v>12</v>
      </c>
      <c r="G667" s="11">
        <v>729.8</v>
      </c>
      <c r="H667" s="12">
        <v>13.9</v>
      </c>
      <c r="I667" s="11">
        <v>729.8</v>
      </c>
      <c r="J667" s="12">
        <v>28.6</v>
      </c>
      <c r="K667" s="11">
        <v>729.8</v>
      </c>
      <c r="L667" s="12">
        <v>25.3</v>
      </c>
      <c r="M667" s="11">
        <v>729.8</v>
      </c>
      <c r="N667" s="13">
        <v>9.5</v>
      </c>
      <c r="O667" s="13">
        <v>16</v>
      </c>
      <c r="P667" s="13">
        <v>12</v>
      </c>
      <c r="Q667" s="11">
        <v>13.9</v>
      </c>
      <c r="R667" s="11">
        <v>28.6</v>
      </c>
      <c r="S667" s="14">
        <v>25.3</v>
      </c>
      <c r="T667" s="11">
        <v>729.8</v>
      </c>
      <c r="U667" s="13">
        <f>IF('0.0%'!$N667&lt;$Z$3,0, '0.0%'!$O667/'0.0%'!$N667)</f>
        <v>1.6842105263157894</v>
      </c>
      <c r="V667" s="13">
        <f>IF('0.0%'!$N667&lt;$Z$3,0, '0.0%'!$P667/'0.0%'!$N667)</f>
        <v>1.263157894736842</v>
      </c>
      <c r="W667" s="13">
        <f>IF('0.0%'!$N667&lt;$Z$3,0, '0.0%'!$Q667/'0.0%'!$N667)</f>
        <v>1.4631578947368422</v>
      </c>
      <c r="X667" s="13">
        <f>IF('0.0%'!$N667&lt;$Z$3,0, '0.0%'!$R667/'0.0%'!$N667)</f>
        <v>3.0105263157894737</v>
      </c>
      <c r="Y667" s="13">
        <f>IF('0.0%'!$N667&lt;$Z$3,0, '0.0%'!$S667/'0.0%'!$N667)</f>
        <v>2.6631578947368424</v>
      </c>
    </row>
    <row r="668" spans="1:25" x14ac:dyDescent="0.3">
      <c r="A668" s="17">
        <v>730.8</v>
      </c>
      <c r="B668" s="10">
        <v>9.1999999999999993</v>
      </c>
      <c r="C668" s="9">
        <v>730.8</v>
      </c>
      <c r="D668" s="10">
        <v>15.6</v>
      </c>
      <c r="E668" s="11">
        <v>730.8</v>
      </c>
      <c r="F668" s="12">
        <v>11.7</v>
      </c>
      <c r="G668" s="11">
        <v>730.8</v>
      </c>
      <c r="H668" s="12">
        <v>13.6</v>
      </c>
      <c r="I668" s="11">
        <v>730.8</v>
      </c>
      <c r="J668" s="12">
        <v>28.2</v>
      </c>
      <c r="K668" s="11">
        <v>730.8</v>
      </c>
      <c r="L668" s="12">
        <v>24.9</v>
      </c>
      <c r="M668" s="11">
        <v>730.8</v>
      </c>
      <c r="N668" s="13">
        <v>9.1999999999999993</v>
      </c>
      <c r="O668" s="13">
        <v>15.6</v>
      </c>
      <c r="P668" s="13">
        <v>11.7</v>
      </c>
      <c r="Q668" s="11">
        <v>13.6</v>
      </c>
      <c r="R668" s="11">
        <v>28.2</v>
      </c>
      <c r="S668" s="14">
        <v>24.9</v>
      </c>
      <c r="T668" s="11">
        <v>730.8</v>
      </c>
      <c r="U668" s="13">
        <f>IF('0.0%'!$N668&lt;$Z$3,0, '0.0%'!$O668/'0.0%'!$N668)</f>
        <v>1.6956521739130437</v>
      </c>
      <c r="V668" s="13">
        <f>IF('0.0%'!$N668&lt;$Z$3,0, '0.0%'!$P668/'0.0%'!$N668)</f>
        <v>1.2717391304347827</v>
      </c>
      <c r="W668" s="13">
        <f>IF('0.0%'!$N668&lt;$Z$3,0, '0.0%'!$Q668/'0.0%'!$N668)</f>
        <v>1.4782608695652175</v>
      </c>
      <c r="X668" s="13">
        <f>IF('0.0%'!$N668&lt;$Z$3,0, '0.0%'!$R668/'0.0%'!$N668)</f>
        <v>3.0652173913043481</v>
      </c>
      <c r="Y668" s="13">
        <f>IF('0.0%'!$N668&lt;$Z$3,0, '0.0%'!$S668/'0.0%'!$N668)</f>
        <v>2.706521739130435</v>
      </c>
    </row>
    <row r="669" spans="1:25" x14ac:dyDescent="0.3">
      <c r="A669" s="17">
        <v>731.79</v>
      </c>
      <c r="B669" s="10">
        <v>9.1</v>
      </c>
      <c r="C669" s="9">
        <v>731.79</v>
      </c>
      <c r="D669" s="10">
        <v>15.5</v>
      </c>
      <c r="E669" s="11">
        <v>731.79</v>
      </c>
      <c r="F669" s="12">
        <v>11.6</v>
      </c>
      <c r="G669" s="11">
        <v>731.79</v>
      </c>
      <c r="H669" s="12">
        <v>13.5</v>
      </c>
      <c r="I669" s="11">
        <v>731.79</v>
      </c>
      <c r="J669" s="12">
        <v>28.2</v>
      </c>
      <c r="K669" s="11">
        <v>731.79</v>
      </c>
      <c r="L669" s="12">
        <v>24.9</v>
      </c>
      <c r="M669" s="11">
        <v>731.79</v>
      </c>
      <c r="N669" s="13">
        <v>9.1</v>
      </c>
      <c r="O669" s="13">
        <v>15.5</v>
      </c>
      <c r="P669" s="13">
        <v>11.6</v>
      </c>
      <c r="Q669" s="11">
        <v>13.5</v>
      </c>
      <c r="R669" s="11">
        <v>28.2</v>
      </c>
      <c r="S669" s="14">
        <v>24.9</v>
      </c>
      <c r="T669" s="11">
        <v>731.79</v>
      </c>
      <c r="U669" s="13">
        <f>IF('0.0%'!$N669&lt;$Z$3,0, '0.0%'!$O669/'0.0%'!$N669)</f>
        <v>1.7032967032967035</v>
      </c>
      <c r="V669" s="13">
        <f>IF('0.0%'!$N669&lt;$Z$3,0, '0.0%'!$P669/'0.0%'!$N669)</f>
        <v>1.2747252747252746</v>
      </c>
      <c r="W669" s="13">
        <f>IF('0.0%'!$N669&lt;$Z$3,0, '0.0%'!$Q669/'0.0%'!$N669)</f>
        <v>1.4835164835164836</v>
      </c>
      <c r="X669" s="13">
        <f>IF('0.0%'!$N669&lt;$Z$3,0, '0.0%'!$R669/'0.0%'!$N669)</f>
        <v>3.098901098901099</v>
      </c>
      <c r="Y669" s="13">
        <f>IF('0.0%'!$N669&lt;$Z$3,0, '0.0%'!$S669/'0.0%'!$N669)</f>
        <v>2.7362637362637363</v>
      </c>
    </row>
    <row r="670" spans="1:25" x14ac:dyDescent="0.3">
      <c r="A670" s="17">
        <v>732.78</v>
      </c>
      <c r="B670" s="10">
        <v>8.9</v>
      </c>
      <c r="C670" s="9">
        <v>732.78</v>
      </c>
      <c r="D670" s="10">
        <v>15.3</v>
      </c>
      <c r="E670" s="11">
        <v>732.78</v>
      </c>
      <c r="F670" s="12">
        <v>11.4</v>
      </c>
      <c r="G670" s="11">
        <v>732.78</v>
      </c>
      <c r="H670" s="12">
        <v>13.2</v>
      </c>
      <c r="I670" s="11">
        <v>732.78</v>
      </c>
      <c r="J670" s="12">
        <v>27.9</v>
      </c>
      <c r="K670" s="11">
        <v>732.78</v>
      </c>
      <c r="L670" s="12">
        <v>24.7</v>
      </c>
      <c r="M670" s="11">
        <v>732.78</v>
      </c>
      <c r="N670" s="13">
        <v>8.9</v>
      </c>
      <c r="O670" s="13">
        <v>15.3</v>
      </c>
      <c r="P670" s="13">
        <v>11.4</v>
      </c>
      <c r="Q670" s="11">
        <v>13.2</v>
      </c>
      <c r="R670" s="11">
        <v>27.9</v>
      </c>
      <c r="S670" s="14">
        <v>24.7</v>
      </c>
      <c r="T670" s="11">
        <v>732.78</v>
      </c>
      <c r="U670" s="13">
        <f>IF('0.0%'!$N670&lt;$Z$3,0, '0.0%'!$O670/'0.0%'!$N670)</f>
        <v>1.7191011235955056</v>
      </c>
      <c r="V670" s="13">
        <f>IF('0.0%'!$N670&lt;$Z$3,0, '0.0%'!$P670/'0.0%'!$N670)</f>
        <v>1.2808988764044944</v>
      </c>
      <c r="W670" s="13">
        <f>IF('0.0%'!$N670&lt;$Z$3,0, '0.0%'!$Q670/'0.0%'!$N670)</f>
        <v>1.4831460674157302</v>
      </c>
      <c r="X670" s="13">
        <f>IF('0.0%'!$N670&lt;$Z$3,0, '0.0%'!$R670/'0.0%'!$N670)</f>
        <v>3.1348314606741572</v>
      </c>
      <c r="Y670" s="13">
        <f>IF('0.0%'!$N670&lt;$Z$3,0, '0.0%'!$S670/'0.0%'!$N670)</f>
        <v>2.7752808988764044</v>
      </c>
    </row>
    <row r="671" spans="1:25" x14ac:dyDescent="0.3">
      <c r="A671" s="17">
        <v>733.77</v>
      </c>
      <c r="B671" s="10">
        <v>8.9</v>
      </c>
      <c r="C671" s="9">
        <v>733.77</v>
      </c>
      <c r="D671" s="10">
        <v>15.2</v>
      </c>
      <c r="E671" s="11">
        <v>733.77</v>
      </c>
      <c r="F671" s="12">
        <v>11.4</v>
      </c>
      <c r="G671" s="11">
        <v>733.77</v>
      </c>
      <c r="H671" s="12">
        <v>13.2</v>
      </c>
      <c r="I671" s="11">
        <v>733.77</v>
      </c>
      <c r="J671" s="12">
        <v>28</v>
      </c>
      <c r="K671" s="11">
        <v>733.77</v>
      </c>
      <c r="L671" s="12">
        <v>24.7</v>
      </c>
      <c r="M671" s="11">
        <v>733.77</v>
      </c>
      <c r="N671" s="13">
        <v>8.9</v>
      </c>
      <c r="O671" s="13">
        <v>15.2</v>
      </c>
      <c r="P671" s="13">
        <v>11.4</v>
      </c>
      <c r="Q671" s="11">
        <v>13.2</v>
      </c>
      <c r="R671" s="11">
        <v>28</v>
      </c>
      <c r="S671" s="14">
        <v>24.7</v>
      </c>
      <c r="T671" s="11">
        <v>733.77</v>
      </c>
      <c r="U671" s="13">
        <f>IF('0.0%'!$N671&lt;$Z$3,0, '0.0%'!$O671/'0.0%'!$N671)</f>
        <v>1.7078651685393258</v>
      </c>
      <c r="V671" s="13">
        <f>IF('0.0%'!$N671&lt;$Z$3,0, '0.0%'!$P671/'0.0%'!$N671)</f>
        <v>1.2808988764044944</v>
      </c>
      <c r="W671" s="13">
        <f>IF('0.0%'!$N671&lt;$Z$3,0, '0.0%'!$Q671/'0.0%'!$N671)</f>
        <v>1.4831460674157302</v>
      </c>
      <c r="X671" s="13">
        <f>IF('0.0%'!$N671&lt;$Z$3,0, '0.0%'!$R671/'0.0%'!$N671)</f>
        <v>3.1460674157303368</v>
      </c>
      <c r="Y671" s="13">
        <f>IF('0.0%'!$N671&lt;$Z$3,0, '0.0%'!$S671/'0.0%'!$N671)</f>
        <v>2.7752808988764044</v>
      </c>
    </row>
    <row r="672" spans="1:25" x14ac:dyDescent="0.3">
      <c r="A672" s="17">
        <v>734.76</v>
      </c>
      <c r="B672" s="10">
        <v>8.6999999999999993</v>
      </c>
      <c r="C672" s="9">
        <v>734.76</v>
      </c>
      <c r="D672" s="10">
        <v>15</v>
      </c>
      <c r="E672" s="11">
        <v>734.76</v>
      </c>
      <c r="F672" s="12">
        <v>11.2</v>
      </c>
      <c r="G672" s="11">
        <v>734.76</v>
      </c>
      <c r="H672" s="12">
        <v>13</v>
      </c>
      <c r="I672" s="11">
        <v>734.76</v>
      </c>
      <c r="J672" s="12">
        <v>27.8</v>
      </c>
      <c r="K672" s="11">
        <v>734.76</v>
      </c>
      <c r="L672" s="12">
        <v>24.6</v>
      </c>
      <c r="M672" s="11">
        <v>734.76</v>
      </c>
      <c r="N672" s="13">
        <v>8.6999999999999993</v>
      </c>
      <c r="O672" s="13">
        <v>15</v>
      </c>
      <c r="P672" s="13">
        <v>11.2</v>
      </c>
      <c r="Q672" s="11">
        <v>13</v>
      </c>
      <c r="R672" s="11">
        <v>27.8</v>
      </c>
      <c r="S672" s="14">
        <v>24.6</v>
      </c>
      <c r="T672" s="11">
        <v>734.76</v>
      </c>
      <c r="U672" s="13">
        <f>IF('0.0%'!$N672&lt;$Z$3,0, '0.0%'!$O672/'0.0%'!$N672)</f>
        <v>1.7241379310344829</v>
      </c>
      <c r="V672" s="13">
        <f>IF('0.0%'!$N672&lt;$Z$3,0, '0.0%'!$P672/'0.0%'!$N672)</f>
        <v>1.2873563218390804</v>
      </c>
      <c r="W672" s="13">
        <f>IF('0.0%'!$N672&lt;$Z$3,0, '0.0%'!$Q672/'0.0%'!$N672)</f>
        <v>1.4942528735632186</v>
      </c>
      <c r="X672" s="13">
        <f>IF('0.0%'!$N672&lt;$Z$3,0, '0.0%'!$R672/'0.0%'!$N672)</f>
        <v>3.195402298850575</v>
      </c>
      <c r="Y672" s="13">
        <f>IF('0.0%'!$N672&lt;$Z$3,0, '0.0%'!$S672/'0.0%'!$N672)</f>
        <v>2.827586206896552</v>
      </c>
    </row>
    <row r="673" spans="1:25" x14ac:dyDescent="0.3">
      <c r="A673" s="17">
        <v>735.75</v>
      </c>
      <c r="B673" s="10">
        <v>8.6999999999999993</v>
      </c>
      <c r="C673" s="9">
        <v>735.75</v>
      </c>
      <c r="D673" s="10">
        <v>15</v>
      </c>
      <c r="E673" s="11">
        <v>735.75</v>
      </c>
      <c r="F673" s="12">
        <v>11.2</v>
      </c>
      <c r="G673" s="11">
        <v>735.75</v>
      </c>
      <c r="H673" s="12">
        <v>13.1</v>
      </c>
      <c r="I673" s="11">
        <v>735.75</v>
      </c>
      <c r="J673" s="12">
        <v>28.1</v>
      </c>
      <c r="K673" s="11">
        <v>735.75</v>
      </c>
      <c r="L673" s="12">
        <v>24.8</v>
      </c>
      <c r="M673" s="11">
        <v>735.75</v>
      </c>
      <c r="N673" s="13">
        <v>8.6999999999999993</v>
      </c>
      <c r="O673" s="13">
        <v>15</v>
      </c>
      <c r="P673" s="13">
        <v>11.2</v>
      </c>
      <c r="Q673" s="11">
        <v>13.1</v>
      </c>
      <c r="R673" s="11">
        <v>28.1</v>
      </c>
      <c r="S673" s="14">
        <v>24.8</v>
      </c>
      <c r="T673" s="11">
        <v>735.75</v>
      </c>
      <c r="U673" s="13">
        <f>IF('0.0%'!$N673&lt;$Z$3,0, '0.0%'!$O673/'0.0%'!$N673)</f>
        <v>1.7241379310344829</v>
      </c>
      <c r="V673" s="13">
        <f>IF('0.0%'!$N673&lt;$Z$3,0, '0.0%'!$P673/'0.0%'!$N673)</f>
        <v>1.2873563218390804</v>
      </c>
      <c r="W673" s="13">
        <f>IF('0.0%'!$N673&lt;$Z$3,0, '0.0%'!$Q673/'0.0%'!$N673)</f>
        <v>1.5057471264367817</v>
      </c>
      <c r="X673" s="13">
        <f>IF('0.0%'!$N673&lt;$Z$3,0, '0.0%'!$R673/'0.0%'!$N673)</f>
        <v>3.229885057471265</v>
      </c>
      <c r="Y673" s="13">
        <f>IF('0.0%'!$N673&lt;$Z$3,0, '0.0%'!$S673/'0.0%'!$N673)</f>
        <v>2.8505747126436787</v>
      </c>
    </row>
    <row r="674" spans="1:25" x14ac:dyDescent="0.3">
      <c r="A674" s="17">
        <v>736.75</v>
      </c>
      <c r="B674" s="10">
        <v>8.5</v>
      </c>
      <c r="C674" s="9">
        <v>736.75</v>
      </c>
      <c r="D674" s="10">
        <v>14.9</v>
      </c>
      <c r="E674" s="11">
        <v>736.75</v>
      </c>
      <c r="F674" s="12">
        <v>11</v>
      </c>
      <c r="G674" s="11">
        <v>736.75</v>
      </c>
      <c r="H674" s="12">
        <v>13</v>
      </c>
      <c r="I674" s="11">
        <v>736.75</v>
      </c>
      <c r="J674" s="12">
        <v>27.9</v>
      </c>
      <c r="K674" s="11">
        <v>736.75</v>
      </c>
      <c r="L674" s="12">
        <v>24.6</v>
      </c>
      <c r="M674" s="11">
        <v>736.75</v>
      </c>
      <c r="N674" s="13">
        <v>8.5</v>
      </c>
      <c r="O674" s="13">
        <v>14.9</v>
      </c>
      <c r="P674" s="13">
        <v>11</v>
      </c>
      <c r="Q674" s="11">
        <v>13</v>
      </c>
      <c r="R674" s="11">
        <v>27.9</v>
      </c>
      <c r="S674" s="14">
        <v>24.6</v>
      </c>
      <c r="T674" s="11">
        <v>736.75</v>
      </c>
      <c r="U674" s="13">
        <f>IF('0.0%'!$N674&lt;$Z$3,0, '0.0%'!$O674/'0.0%'!$N674)</f>
        <v>1.7529411764705882</v>
      </c>
      <c r="V674" s="13">
        <f>IF('0.0%'!$N674&lt;$Z$3,0, '0.0%'!$P674/'0.0%'!$N674)</f>
        <v>1.2941176470588236</v>
      </c>
      <c r="W674" s="13">
        <f>IF('0.0%'!$N674&lt;$Z$3,0, '0.0%'!$Q674/'0.0%'!$N674)</f>
        <v>1.5294117647058822</v>
      </c>
      <c r="X674" s="13">
        <f>IF('0.0%'!$N674&lt;$Z$3,0, '0.0%'!$R674/'0.0%'!$N674)</f>
        <v>3.2823529411764705</v>
      </c>
      <c r="Y674" s="13">
        <f>IF('0.0%'!$N674&lt;$Z$3,0, '0.0%'!$S674/'0.0%'!$N674)</f>
        <v>2.8941176470588239</v>
      </c>
    </row>
    <row r="675" spans="1:25" x14ac:dyDescent="0.3">
      <c r="A675" s="17">
        <v>737.74</v>
      </c>
      <c r="B675" s="10">
        <v>8.5</v>
      </c>
      <c r="C675" s="9">
        <v>737.74</v>
      </c>
      <c r="D675" s="10">
        <v>14.9</v>
      </c>
      <c r="E675" s="11">
        <v>737.74</v>
      </c>
      <c r="F675" s="12">
        <v>11</v>
      </c>
      <c r="G675" s="11">
        <v>737.74</v>
      </c>
      <c r="H675" s="12">
        <v>13</v>
      </c>
      <c r="I675" s="11">
        <v>737.74</v>
      </c>
      <c r="J675" s="12">
        <v>28.1</v>
      </c>
      <c r="K675" s="11">
        <v>737.74</v>
      </c>
      <c r="L675" s="12">
        <v>24.8</v>
      </c>
      <c r="M675" s="11">
        <v>737.74</v>
      </c>
      <c r="N675" s="13">
        <v>8.5</v>
      </c>
      <c r="O675" s="13">
        <v>14.9</v>
      </c>
      <c r="P675" s="13">
        <v>11</v>
      </c>
      <c r="Q675" s="11">
        <v>13</v>
      </c>
      <c r="R675" s="11">
        <v>28.1</v>
      </c>
      <c r="S675" s="14">
        <v>24.8</v>
      </c>
      <c r="T675" s="11">
        <v>737.74</v>
      </c>
      <c r="U675" s="13">
        <f>IF('0.0%'!$N675&lt;$Z$3,0, '0.0%'!$O675/'0.0%'!$N675)</f>
        <v>1.7529411764705882</v>
      </c>
      <c r="V675" s="13">
        <f>IF('0.0%'!$N675&lt;$Z$3,0, '0.0%'!$P675/'0.0%'!$N675)</f>
        <v>1.2941176470588236</v>
      </c>
      <c r="W675" s="13">
        <f>IF('0.0%'!$N675&lt;$Z$3,0, '0.0%'!$Q675/'0.0%'!$N675)</f>
        <v>1.5294117647058822</v>
      </c>
      <c r="X675" s="13">
        <f>IF('0.0%'!$N675&lt;$Z$3,0, '0.0%'!$R675/'0.0%'!$N675)</f>
        <v>3.3058823529411767</v>
      </c>
      <c r="Y675" s="13">
        <f>IF('0.0%'!$N675&lt;$Z$3,0, '0.0%'!$S675/'0.0%'!$N675)</f>
        <v>2.9176470588235297</v>
      </c>
    </row>
    <row r="676" spans="1:25" x14ac:dyDescent="0.3">
      <c r="A676" s="17">
        <v>738.73</v>
      </c>
      <c r="B676" s="10">
        <v>8.4</v>
      </c>
      <c r="C676" s="9">
        <v>738.73</v>
      </c>
      <c r="D676" s="10">
        <v>14.7</v>
      </c>
      <c r="E676" s="11">
        <v>738.73</v>
      </c>
      <c r="F676" s="12">
        <v>10.9</v>
      </c>
      <c r="G676" s="11">
        <v>738.73</v>
      </c>
      <c r="H676" s="12">
        <v>12.9</v>
      </c>
      <c r="I676" s="11">
        <v>738.73</v>
      </c>
      <c r="J676" s="12">
        <v>28</v>
      </c>
      <c r="K676" s="11">
        <v>738.73</v>
      </c>
      <c r="L676" s="12">
        <v>24.6</v>
      </c>
      <c r="M676" s="11">
        <v>738.73</v>
      </c>
      <c r="N676" s="13">
        <v>8.4</v>
      </c>
      <c r="O676" s="13">
        <v>14.7</v>
      </c>
      <c r="P676" s="13">
        <v>10.9</v>
      </c>
      <c r="Q676" s="11">
        <v>12.9</v>
      </c>
      <c r="R676" s="11">
        <v>28</v>
      </c>
      <c r="S676" s="14">
        <v>24.6</v>
      </c>
      <c r="T676" s="11">
        <v>738.73</v>
      </c>
      <c r="U676" s="13">
        <f>IF('0.0%'!$N676&lt;$Z$3,0, '0.0%'!$O676/'0.0%'!$N676)</f>
        <v>1.7499999999999998</v>
      </c>
      <c r="V676" s="13">
        <f>IF('0.0%'!$N676&lt;$Z$3,0, '0.0%'!$P676/'0.0%'!$N676)</f>
        <v>1.2976190476190477</v>
      </c>
      <c r="W676" s="13">
        <f>IF('0.0%'!$N676&lt;$Z$3,0, '0.0%'!$Q676/'0.0%'!$N676)</f>
        <v>1.5357142857142856</v>
      </c>
      <c r="X676" s="13">
        <f>IF('0.0%'!$N676&lt;$Z$3,0, '0.0%'!$R676/'0.0%'!$N676)</f>
        <v>3.333333333333333</v>
      </c>
      <c r="Y676" s="13">
        <f>IF('0.0%'!$N676&lt;$Z$3,0, '0.0%'!$S676/'0.0%'!$N676)</f>
        <v>2.9285714285714288</v>
      </c>
    </row>
    <row r="677" spans="1:25" x14ac:dyDescent="0.3">
      <c r="A677" s="17">
        <v>739.72</v>
      </c>
      <c r="B677" s="10">
        <v>8.4</v>
      </c>
      <c r="C677" s="9">
        <v>739.72</v>
      </c>
      <c r="D677" s="10">
        <v>14.8</v>
      </c>
      <c r="E677" s="11">
        <v>739.72</v>
      </c>
      <c r="F677" s="12">
        <v>10.9</v>
      </c>
      <c r="G677" s="11">
        <v>739.72</v>
      </c>
      <c r="H677" s="12">
        <v>12.9</v>
      </c>
      <c r="I677" s="11">
        <v>739.72</v>
      </c>
      <c r="J677" s="12">
        <v>28.2</v>
      </c>
      <c r="K677" s="11">
        <v>739.72</v>
      </c>
      <c r="L677" s="12">
        <v>24.8</v>
      </c>
      <c r="M677" s="11">
        <v>739.72</v>
      </c>
      <c r="N677" s="13">
        <v>8.4</v>
      </c>
      <c r="O677" s="13">
        <v>14.8</v>
      </c>
      <c r="P677" s="13">
        <v>10.9</v>
      </c>
      <c r="Q677" s="11">
        <v>12.9</v>
      </c>
      <c r="R677" s="11">
        <v>28.2</v>
      </c>
      <c r="S677" s="14">
        <v>24.8</v>
      </c>
      <c r="T677" s="11">
        <v>739.72</v>
      </c>
      <c r="U677" s="13">
        <f>IF('0.0%'!$N677&lt;$Z$3,0, '0.0%'!$O677/'0.0%'!$N677)</f>
        <v>1.7619047619047619</v>
      </c>
      <c r="V677" s="13">
        <f>IF('0.0%'!$N677&lt;$Z$3,0, '0.0%'!$P677/'0.0%'!$N677)</f>
        <v>1.2976190476190477</v>
      </c>
      <c r="W677" s="13">
        <f>IF('0.0%'!$N677&lt;$Z$3,0, '0.0%'!$Q677/'0.0%'!$N677)</f>
        <v>1.5357142857142856</v>
      </c>
      <c r="X677" s="13">
        <f>IF('0.0%'!$N677&lt;$Z$3,0, '0.0%'!$R677/'0.0%'!$N677)</f>
        <v>3.3571428571428568</v>
      </c>
      <c r="Y677" s="13">
        <f>IF('0.0%'!$N677&lt;$Z$3,0, '0.0%'!$S677/'0.0%'!$N677)</f>
        <v>2.9523809523809526</v>
      </c>
    </row>
    <row r="678" spans="1:25" x14ac:dyDescent="0.3">
      <c r="A678" s="17">
        <v>740.71</v>
      </c>
      <c r="B678" s="10">
        <v>8.1999999999999993</v>
      </c>
      <c r="C678" s="9">
        <v>740.71</v>
      </c>
      <c r="D678" s="10">
        <v>14.6</v>
      </c>
      <c r="E678" s="11">
        <v>740.71</v>
      </c>
      <c r="F678" s="12">
        <v>10.7</v>
      </c>
      <c r="G678" s="11">
        <v>740.71</v>
      </c>
      <c r="H678" s="12">
        <v>12.8</v>
      </c>
      <c r="I678" s="11">
        <v>740.71</v>
      </c>
      <c r="J678" s="12">
        <v>27.9</v>
      </c>
      <c r="K678" s="11">
        <v>740.71</v>
      </c>
      <c r="L678" s="12">
        <v>24.6</v>
      </c>
      <c r="M678" s="11">
        <v>740.71</v>
      </c>
      <c r="N678" s="13">
        <v>8.1999999999999993</v>
      </c>
      <c r="O678" s="13">
        <v>14.6</v>
      </c>
      <c r="P678" s="13">
        <v>10.7</v>
      </c>
      <c r="Q678" s="11">
        <v>12.8</v>
      </c>
      <c r="R678" s="11">
        <v>27.9</v>
      </c>
      <c r="S678" s="14">
        <v>24.6</v>
      </c>
      <c r="T678" s="11">
        <v>740.71</v>
      </c>
      <c r="U678" s="13">
        <f>IF('0.0%'!$N678&lt;$Z$3,0, '0.0%'!$O678/'0.0%'!$N678)</f>
        <v>1.7804878048780488</v>
      </c>
      <c r="V678" s="13">
        <f>IF('0.0%'!$N678&lt;$Z$3,0, '0.0%'!$P678/'0.0%'!$N678)</f>
        <v>1.3048780487804879</v>
      </c>
      <c r="W678" s="13">
        <f>IF('0.0%'!$N678&lt;$Z$3,0, '0.0%'!$Q678/'0.0%'!$N678)</f>
        <v>1.5609756097560978</v>
      </c>
      <c r="X678" s="13">
        <f>IF('0.0%'!$N678&lt;$Z$3,0, '0.0%'!$R678/'0.0%'!$N678)</f>
        <v>3.4024390243902438</v>
      </c>
      <c r="Y678" s="13">
        <f>IF('0.0%'!$N678&lt;$Z$3,0, '0.0%'!$S678/'0.0%'!$N678)</f>
        <v>3.0000000000000004</v>
      </c>
    </row>
    <row r="679" spans="1:25" x14ac:dyDescent="0.3">
      <c r="A679" s="17">
        <v>741.71</v>
      </c>
      <c r="B679" s="10">
        <v>8.1</v>
      </c>
      <c r="C679" s="9">
        <v>741.71</v>
      </c>
      <c r="D679" s="10">
        <v>14.6</v>
      </c>
      <c r="E679" s="11">
        <v>741.71</v>
      </c>
      <c r="F679" s="12">
        <v>10.6</v>
      </c>
      <c r="G679" s="11">
        <v>741.71</v>
      </c>
      <c r="H679" s="12">
        <v>12.8</v>
      </c>
      <c r="I679" s="11">
        <v>741.71</v>
      </c>
      <c r="J679" s="12">
        <v>28.1</v>
      </c>
      <c r="K679" s="11">
        <v>741.71</v>
      </c>
      <c r="L679" s="12">
        <v>24.8</v>
      </c>
      <c r="M679" s="11">
        <v>741.71</v>
      </c>
      <c r="N679" s="13">
        <v>8.1</v>
      </c>
      <c r="O679" s="13">
        <v>14.6</v>
      </c>
      <c r="P679" s="13">
        <v>10.6</v>
      </c>
      <c r="Q679" s="11">
        <v>12.8</v>
      </c>
      <c r="R679" s="11">
        <v>28.1</v>
      </c>
      <c r="S679" s="14">
        <v>24.8</v>
      </c>
      <c r="T679" s="11">
        <v>741.71</v>
      </c>
      <c r="U679" s="13">
        <f>IF('0.0%'!$N679&lt;$Z$3,0, '0.0%'!$O679/'0.0%'!$N679)</f>
        <v>1.8024691358024691</v>
      </c>
      <c r="V679" s="13">
        <f>IF('0.0%'!$N679&lt;$Z$3,0, '0.0%'!$P679/'0.0%'!$N679)</f>
        <v>1.308641975308642</v>
      </c>
      <c r="W679" s="13">
        <f>IF('0.0%'!$N679&lt;$Z$3,0, '0.0%'!$Q679/'0.0%'!$N679)</f>
        <v>1.580246913580247</v>
      </c>
      <c r="X679" s="13">
        <f>IF('0.0%'!$N679&lt;$Z$3,0, '0.0%'!$R679/'0.0%'!$N679)</f>
        <v>3.4691358024691361</v>
      </c>
      <c r="Y679" s="13">
        <f>IF('0.0%'!$N679&lt;$Z$3,0, '0.0%'!$S679/'0.0%'!$N679)</f>
        <v>3.0617283950617287</v>
      </c>
    </row>
    <row r="680" spans="1:25" x14ac:dyDescent="0.3">
      <c r="A680" s="17">
        <v>742.7</v>
      </c>
      <c r="B680" s="10">
        <v>8</v>
      </c>
      <c r="C680" s="9">
        <v>742.7</v>
      </c>
      <c r="D680" s="10">
        <v>14.4</v>
      </c>
      <c r="E680" s="11">
        <v>742.7</v>
      </c>
      <c r="F680" s="12">
        <v>10.5</v>
      </c>
      <c r="G680" s="11">
        <v>742.7</v>
      </c>
      <c r="H680" s="12">
        <v>12.6</v>
      </c>
      <c r="I680" s="11">
        <v>742.7</v>
      </c>
      <c r="J680" s="12">
        <v>27.9</v>
      </c>
      <c r="K680" s="11">
        <v>742.7</v>
      </c>
      <c r="L680" s="12">
        <v>24.6</v>
      </c>
      <c r="M680" s="11">
        <v>742.7</v>
      </c>
      <c r="N680" s="13">
        <v>8</v>
      </c>
      <c r="O680" s="13">
        <v>14.4</v>
      </c>
      <c r="P680" s="13">
        <v>10.5</v>
      </c>
      <c r="Q680" s="11">
        <v>12.6</v>
      </c>
      <c r="R680" s="11">
        <v>27.9</v>
      </c>
      <c r="S680" s="14">
        <v>24.6</v>
      </c>
      <c r="T680" s="11">
        <v>742.7</v>
      </c>
      <c r="U680" s="13">
        <f>IF('0.0%'!$N680&lt;$Z$3,0, '0.0%'!$O680/'0.0%'!$N680)</f>
        <v>1.8</v>
      </c>
      <c r="V680" s="13">
        <f>IF('0.0%'!$N680&lt;$Z$3,0, '0.0%'!$P680/'0.0%'!$N680)</f>
        <v>1.3125</v>
      </c>
      <c r="W680" s="13">
        <f>IF('0.0%'!$N680&lt;$Z$3,0, '0.0%'!$Q680/'0.0%'!$N680)</f>
        <v>1.575</v>
      </c>
      <c r="X680" s="13">
        <f>IF('0.0%'!$N680&lt;$Z$3,0, '0.0%'!$R680/'0.0%'!$N680)</f>
        <v>3.4874999999999998</v>
      </c>
      <c r="Y680" s="13">
        <f>IF('0.0%'!$N680&lt;$Z$3,0, '0.0%'!$S680/'0.0%'!$N680)</f>
        <v>3.0750000000000002</v>
      </c>
    </row>
    <row r="681" spans="1:25" x14ac:dyDescent="0.3">
      <c r="A681" s="17">
        <v>743.69</v>
      </c>
      <c r="B681" s="10">
        <v>7.9</v>
      </c>
      <c r="C681" s="9">
        <v>743.69</v>
      </c>
      <c r="D681" s="10">
        <v>14.4</v>
      </c>
      <c r="E681" s="11">
        <v>743.69</v>
      </c>
      <c r="F681" s="12">
        <v>10.5</v>
      </c>
      <c r="G681" s="11">
        <v>743.69</v>
      </c>
      <c r="H681" s="12">
        <v>12.6</v>
      </c>
      <c r="I681" s="11">
        <v>743.69</v>
      </c>
      <c r="J681" s="12">
        <v>28</v>
      </c>
      <c r="K681" s="11">
        <v>743.69</v>
      </c>
      <c r="L681" s="12">
        <v>24.8</v>
      </c>
      <c r="M681" s="11">
        <v>743.69</v>
      </c>
      <c r="N681" s="13">
        <v>7.9</v>
      </c>
      <c r="O681" s="13">
        <v>14.4</v>
      </c>
      <c r="P681" s="13">
        <v>10.5</v>
      </c>
      <c r="Q681" s="11">
        <v>12.6</v>
      </c>
      <c r="R681" s="11">
        <v>28</v>
      </c>
      <c r="S681" s="14">
        <v>24.8</v>
      </c>
      <c r="T681" s="11">
        <v>743.69</v>
      </c>
      <c r="U681" s="13">
        <f>IF('0.0%'!$N681&lt;$Z$3,0, '0.0%'!$O681/'0.0%'!$N681)</f>
        <v>1.8227848101265822</v>
      </c>
      <c r="V681" s="13">
        <f>IF('0.0%'!$N681&lt;$Z$3,0, '0.0%'!$P681/'0.0%'!$N681)</f>
        <v>1.3291139240506329</v>
      </c>
      <c r="W681" s="13">
        <f>IF('0.0%'!$N681&lt;$Z$3,0, '0.0%'!$Q681/'0.0%'!$N681)</f>
        <v>1.5949367088607593</v>
      </c>
      <c r="X681" s="13">
        <f>IF('0.0%'!$N681&lt;$Z$3,0, '0.0%'!$R681/'0.0%'!$N681)</f>
        <v>3.5443037974683542</v>
      </c>
      <c r="Y681" s="13">
        <f>IF('0.0%'!$N681&lt;$Z$3,0, '0.0%'!$S681/'0.0%'!$N681)</f>
        <v>3.1392405063291138</v>
      </c>
    </row>
    <row r="682" spans="1:25" x14ac:dyDescent="0.3">
      <c r="A682" s="17">
        <v>744.68</v>
      </c>
      <c r="B682" s="10">
        <v>7.8</v>
      </c>
      <c r="C682" s="9">
        <v>744.68</v>
      </c>
      <c r="D682" s="10">
        <v>14.1</v>
      </c>
      <c r="E682" s="11">
        <v>744.68</v>
      </c>
      <c r="F682" s="12">
        <v>10.3</v>
      </c>
      <c r="G682" s="11">
        <v>744.68</v>
      </c>
      <c r="H682" s="12">
        <v>12.5</v>
      </c>
      <c r="I682" s="11">
        <v>744.68</v>
      </c>
      <c r="J682" s="12">
        <v>27.8</v>
      </c>
      <c r="K682" s="11">
        <v>744.68</v>
      </c>
      <c r="L682" s="12">
        <v>24.5</v>
      </c>
      <c r="M682" s="11">
        <v>744.68</v>
      </c>
      <c r="N682" s="13">
        <v>7.8</v>
      </c>
      <c r="O682" s="13">
        <v>14.1</v>
      </c>
      <c r="P682" s="13">
        <v>10.3</v>
      </c>
      <c r="Q682" s="11">
        <v>12.5</v>
      </c>
      <c r="R682" s="11">
        <v>27.8</v>
      </c>
      <c r="S682" s="14">
        <v>24.5</v>
      </c>
      <c r="T682" s="11">
        <v>744.68</v>
      </c>
      <c r="U682" s="13">
        <f>IF('0.0%'!$N682&lt;$Z$3,0, '0.0%'!$O682/'0.0%'!$N682)</f>
        <v>1.8076923076923077</v>
      </c>
      <c r="V682" s="13">
        <f>IF('0.0%'!$N682&lt;$Z$3,0, '0.0%'!$P682/'0.0%'!$N682)</f>
        <v>1.3205128205128207</v>
      </c>
      <c r="W682" s="13">
        <f>IF('0.0%'!$N682&lt;$Z$3,0, '0.0%'!$Q682/'0.0%'!$N682)</f>
        <v>1.6025641025641026</v>
      </c>
      <c r="X682" s="13">
        <f>IF('0.0%'!$N682&lt;$Z$3,0, '0.0%'!$R682/'0.0%'!$N682)</f>
        <v>3.5641025641025643</v>
      </c>
      <c r="Y682" s="13">
        <f>IF('0.0%'!$N682&lt;$Z$3,0, '0.0%'!$S682/'0.0%'!$N682)</f>
        <v>3.141025641025641</v>
      </c>
    </row>
    <row r="683" spans="1:25" x14ac:dyDescent="0.3">
      <c r="A683" s="17">
        <v>745.67</v>
      </c>
      <c r="B683" s="10">
        <v>7.7</v>
      </c>
      <c r="C683" s="9">
        <v>745.67</v>
      </c>
      <c r="D683" s="10">
        <v>14.2</v>
      </c>
      <c r="E683" s="11">
        <v>745.67</v>
      </c>
      <c r="F683" s="12">
        <v>10.3</v>
      </c>
      <c r="G683" s="11">
        <v>745.67</v>
      </c>
      <c r="H683" s="12">
        <v>12.5</v>
      </c>
      <c r="I683" s="11">
        <v>745.67</v>
      </c>
      <c r="J683" s="12">
        <v>27.9</v>
      </c>
      <c r="K683" s="11">
        <v>745.67</v>
      </c>
      <c r="L683" s="12">
        <v>24.7</v>
      </c>
      <c r="M683" s="11">
        <v>745.67</v>
      </c>
      <c r="N683" s="13">
        <v>7.7</v>
      </c>
      <c r="O683" s="13">
        <v>14.2</v>
      </c>
      <c r="P683" s="13">
        <v>10.3</v>
      </c>
      <c r="Q683" s="11">
        <v>12.5</v>
      </c>
      <c r="R683" s="11">
        <v>27.9</v>
      </c>
      <c r="S683" s="14">
        <v>24.7</v>
      </c>
      <c r="T683" s="11">
        <v>745.67</v>
      </c>
      <c r="U683" s="13">
        <f>IF('0.0%'!$N683&lt;$Z$3,0, '0.0%'!$O683/'0.0%'!$N683)</f>
        <v>1.8441558441558441</v>
      </c>
      <c r="V683" s="13">
        <f>IF('0.0%'!$N683&lt;$Z$3,0, '0.0%'!$P683/'0.0%'!$N683)</f>
        <v>1.3376623376623378</v>
      </c>
      <c r="W683" s="13">
        <f>IF('0.0%'!$N683&lt;$Z$3,0, '0.0%'!$Q683/'0.0%'!$N683)</f>
        <v>1.6233766233766234</v>
      </c>
      <c r="X683" s="13">
        <f>IF('0.0%'!$N683&lt;$Z$3,0, '0.0%'!$R683/'0.0%'!$N683)</f>
        <v>3.6233766233766231</v>
      </c>
      <c r="Y683" s="13">
        <f>IF('0.0%'!$N683&lt;$Z$3,0, '0.0%'!$S683/'0.0%'!$N683)</f>
        <v>3.2077922077922074</v>
      </c>
    </row>
    <row r="684" spans="1:25" x14ac:dyDescent="0.3">
      <c r="A684" s="17">
        <v>746.66</v>
      </c>
      <c r="B684" s="10">
        <v>7.6</v>
      </c>
      <c r="C684" s="9">
        <v>746.66</v>
      </c>
      <c r="D684" s="10">
        <v>14</v>
      </c>
      <c r="E684" s="11">
        <v>746.66</v>
      </c>
      <c r="F684" s="12">
        <v>10.1</v>
      </c>
      <c r="G684" s="11">
        <v>746.66</v>
      </c>
      <c r="H684" s="12">
        <v>12.3</v>
      </c>
      <c r="I684" s="11">
        <v>746.66</v>
      </c>
      <c r="J684" s="12">
        <v>27.7</v>
      </c>
      <c r="K684" s="11">
        <v>746.66</v>
      </c>
      <c r="L684" s="12">
        <v>24.5</v>
      </c>
      <c r="M684" s="11">
        <v>746.66</v>
      </c>
      <c r="N684" s="13">
        <v>7.6</v>
      </c>
      <c r="O684" s="13">
        <v>14</v>
      </c>
      <c r="P684" s="13">
        <v>10.1</v>
      </c>
      <c r="Q684" s="11">
        <v>12.3</v>
      </c>
      <c r="R684" s="11">
        <v>27.7</v>
      </c>
      <c r="S684" s="14">
        <v>24.5</v>
      </c>
      <c r="T684" s="11">
        <v>746.66</v>
      </c>
      <c r="U684" s="13">
        <f>IF('0.0%'!$N684&lt;$Z$3,0, '0.0%'!$O684/'0.0%'!$N684)</f>
        <v>1.8421052631578949</v>
      </c>
      <c r="V684" s="13">
        <f>IF('0.0%'!$N684&lt;$Z$3,0, '0.0%'!$P684/'0.0%'!$N684)</f>
        <v>1.3289473684210527</v>
      </c>
      <c r="W684" s="13">
        <f>IF('0.0%'!$N684&lt;$Z$3,0, '0.0%'!$Q684/'0.0%'!$N684)</f>
        <v>1.6184210526315792</v>
      </c>
      <c r="X684" s="13">
        <f>IF('0.0%'!$N684&lt;$Z$3,0, '0.0%'!$R684/'0.0%'!$N684)</f>
        <v>3.6447368421052633</v>
      </c>
      <c r="Y684" s="13">
        <f>IF('0.0%'!$N684&lt;$Z$3,0, '0.0%'!$S684/'0.0%'!$N684)</f>
        <v>3.2236842105263159</v>
      </c>
    </row>
    <row r="685" spans="1:25" x14ac:dyDescent="0.3">
      <c r="A685" s="17">
        <v>747.66</v>
      </c>
      <c r="B685" s="10">
        <v>7.5</v>
      </c>
      <c r="C685" s="9">
        <v>747.66</v>
      </c>
      <c r="D685" s="10">
        <v>14</v>
      </c>
      <c r="E685" s="11">
        <v>747.66</v>
      </c>
      <c r="F685" s="12">
        <v>10.1</v>
      </c>
      <c r="G685" s="11">
        <v>747.66</v>
      </c>
      <c r="H685" s="12">
        <v>12.3</v>
      </c>
      <c r="I685" s="11">
        <v>747.66</v>
      </c>
      <c r="J685" s="12">
        <v>27.9</v>
      </c>
      <c r="K685" s="11">
        <v>747.66</v>
      </c>
      <c r="L685" s="12">
        <v>24.7</v>
      </c>
      <c r="M685" s="11">
        <v>747.66</v>
      </c>
      <c r="N685" s="13">
        <v>7.5</v>
      </c>
      <c r="O685" s="13">
        <v>14</v>
      </c>
      <c r="P685" s="13">
        <v>10.1</v>
      </c>
      <c r="Q685" s="11">
        <v>12.3</v>
      </c>
      <c r="R685" s="11">
        <v>27.9</v>
      </c>
      <c r="S685" s="14">
        <v>24.7</v>
      </c>
      <c r="T685" s="11">
        <v>747.66</v>
      </c>
      <c r="U685" s="13">
        <f>IF('0.0%'!$N685&lt;$Z$3,0, '0.0%'!$O685/'0.0%'!$N685)</f>
        <v>1.8666666666666667</v>
      </c>
      <c r="V685" s="13">
        <f>IF('0.0%'!$N685&lt;$Z$3,0, '0.0%'!$P685/'0.0%'!$N685)</f>
        <v>1.3466666666666667</v>
      </c>
      <c r="W685" s="13">
        <f>IF('0.0%'!$N685&lt;$Z$3,0, '0.0%'!$Q685/'0.0%'!$N685)</f>
        <v>1.6400000000000001</v>
      </c>
      <c r="X685" s="13">
        <f>IF('0.0%'!$N685&lt;$Z$3,0, '0.0%'!$R685/'0.0%'!$N685)</f>
        <v>3.7199999999999998</v>
      </c>
      <c r="Y685" s="13">
        <f>IF('0.0%'!$N685&lt;$Z$3,0, '0.0%'!$S685/'0.0%'!$N685)</f>
        <v>3.2933333333333334</v>
      </c>
    </row>
    <row r="686" spans="1:25" x14ac:dyDescent="0.3">
      <c r="A686" s="17">
        <v>748.65</v>
      </c>
      <c r="B686" s="10">
        <v>7.3</v>
      </c>
      <c r="C686" s="9">
        <v>748.65</v>
      </c>
      <c r="D686" s="10">
        <v>13.7</v>
      </c>
      <c r="E686" s="11">
        <v>748.65</v>
      </c>
      <c r="F686" s="12">
        <v>9.9</v>
      </c>
      <c r="G686" s="11">
        <v>748.65</v>
      </c>
      <c r="H686" s="12">
        <v>12.2</v>
      </c>
      <c r="I686" s="11">
        <v>748.65</v>
      </c>
      <c r="J686" s="12">
        <v>27.6</v>
      </c>
      <c r="K686" s="11">
        <v>748.65</v>
      </c>
      <c r="L686" s="12">
        <v>24.5</v>
      </c>
      <c r="M686" s="11">
        <v>748.65</v>
      </c>
      <c r="N686" s="13">
        <v>7.3</v>
      </c>
      <c r="O686" s="13">
        <v>13.7</v>
      </c>
      <c r="P686" s="13">
        <v>9.9</v>
      </c>
      <c r="Q686" s="11">
        <v>12.2</v>
      </c>
      <c r="R686" s="11">
        <v>27.6</v>
      </c>
      <c r="S686" s="14">
        <v>24.5</v>
      </c>
      <c r="T686" s="11">
        <v>748.65</v>
      </c>
      <c r="U686" s="13">
        <f>IF('0.0%'!$N686&lt;$Z$3,0, '0.0%'!$O686/'0.0%'!$N686)</f>
        <v>1.8767123287671232</v>
      </c>
      <c r="V686" s="13">
        <f>IF('0.0%'!$N686&lt;$Z$3,0, '0.0%'!$P686/'0.0%'!$N686)</f>
        <v>1.3561643835616439</v>
      </c>
      <c r="W686" s="13">
        <f>IF('0.0%'!$N686&lt;$Z$3,0, '0.0%'!$Q686/'0.0%'!$N686)</f>
        <v>1.6712328767123288</v>
      </c>
      <c r="X686" s="13">
        <f>IF('0.0%'!$N686&lt;$Z$3,0, '0.0%'!$R686/'0.0%'!$N686)</f>
        <v>3.7808219178082196</v>
      </c>
      <c r="Y686" s="13">
        <f>IF('0.0%'!$N686&lt;$Z$3,0, '0.0%'!$S686/'0.0%'!$N686)</f>
        <v>3.3561643835616439</v>
      </c>
    </row>
    <row r="687" spans="1:25" x14ac:dyDescent="0.3">
      <c r="A687" s="17">
        <v>749.64</v>
      </c>
      <c r="B687" s="10">
        <v>7.3</v>
      </c>
      <c r="C687" s="9">
        <v>749.64</v>
      </c>
      <c r="D687" s="10">
        <v>13.7</v>
      </c>
      <c r="E687" s="11">
        <v>749.64</v>
      </c>
      <c r="F687" s="12">
        <v>9.9</v>
      </c>
      <c r="G687" s="11">
        <v>749.64</v>
      </c>
      <c r="H687" s="12">
        <v>12.2</v>
      </c>
      <c r="I687" s="11">
        <v>749.64</v>
      </c>
      <c r="J687" s="12">
        <v>27.7</v>
      </c>
      <c r="K687" s="11">
        <v>749.64</v>
      </c>
      <c r="L687" s="12">
        <v>24.7</v>
      </c>
      <c r="M687" s="11">
        <v>749.64</v>
      </c>
      <c r="N687" s="13">
        <v>7.3</v>
      </c>
      <c r="O687" s="13">
        <v>13.7</v>
      </c>
      <c r="P687" s="13">
        <v>9.9</v>
      </c>
      <c r="Q687" s="11">
        <v>12.2</v>
      </c>
      <c r="R687" s="11">
        <v>27.7</v>
      </c>
      <c r="S687" s="14">
        <v>24.7</v>
      </c>
      <c r="T687" s="11">
        <v>749.64</v>
      </c>
      <c r="U687" s="13">
        <f>IF('0.0%'!$N687&lt;$Z$3,0, '0.0%'!$O687/'0.0%'!$N687)</f>
        <v>1.8767123287671232</v>
      </c>
      <c r="V687" s="13">
        <f>IF('0.0%'!$N687&lt;$Z$3,0, '0.0%'!$P687/'0.0%'!$N687)</f>
        <v>1.3561643835616439</v>
      </c>
      <c r="W687" s="13">
        <f>IF('0.0%'!$N687&lt;$Z$3,0, '0.0%'!$Q687/'0.0%'!$N687)</f>
        <v>1.6712328767123288</v>
      </c>
      <c r="X687" s="13">
        <f>IF('0.0%'!$N687&lt;$Z$3,0, '0.0%'!$R687/'0.0%'!$N687)</f>
        <v>3.7945205479452055</v>
      </c>
      <c r="Y687" s="13">
        <f>IF('0.0%'!$N687&lt;$Z$3,0, '0.0%'!$S687/'0.0%'!$N687)</f>
        <v>3.3835616438356166</v>
      </c>
    </row>
    <row r="688" spans="1:25" x14ac:dyDescent="0.3">
      <c r="A688" s="17">
        <v>750.63</v>
      </c>
      <c r="B688" s="10">
        <v>7.1</v>
      </c>
      <c r="C688" s="9">
        <v>750.63</v>
      </c>
      <c r="D688" s="10">
        <v>13.5</v>
      </c>
      <c r="E688" s="11">
        <v>750.63</v>
      </c>
      <c r="F688" s="12">
        <v>9.6999999999999993</v>
      </c>
      <c r="G688" s="11">
        <v>750.63</v>
      </c>
      <c r="H688" s="12">
        <v>12</v>
      </c>
      <c r="I688" s="11">
        <v>750.63</v>
      </c>
      <c r="J688" s="12">
        <v>27.4</v>
      </c>
      <c r="K688" s="11">
        <v>750.63</v>
      </c>
      <c r="L688" s="12">
        <v>24.6</v>
      </c>
      <c r="M688" s="11">
        <v>750.63</v>
      </c>
      <c r="N688" s="13">
        <v>7.1</v>
      </c>
      <c r="O688" s="13">
        <v>13.5</v>
      </c>
      <c r="P688" s="13">
        <v>9.6999999999999993</v>
      </c>
      <c r="Q688" s="11">
        <v>12</v>
      </c>
      <c r="R688" s="11">
        <v>27.4</v>
      </c>
      <c r="S688" s="14">
        <v>24.6</v>
      </c>
      <c r="T688" s="11">
        <v>750.63</v>
      </c>
      <c r="U688" s="13">
        <f>IF('0.0%'!$N688&lt;$Z$3,0, '0.0%'!$O688/'0.0%'!$N688)</f>
        <v>1.9014084507042255</v>
      </c>
      <c r="V688" s="13">
        <f>IF('0.0%'!$N688&lt;$Z$3,0, '0.0%'!$P688/'0.0%'!$N688)</f>
        <v>1.3661971830985915</v>
      </c>
      <c r="W688" s="13">
        <f>IF('0.0%'!$N688&lt;$Z$3,0, '0.0%'!$Q688/'0.0%'!$N688)</f>
        <v>1.6901408450704227</v>
      </c>
      <c r="X688" s="13">
        <f>IF('0.0%'!$N688&lt;$Z$3,0, '0.0%'!$R688/'0.0%'!$N688)</f>
        <v>3.859154929577465</v>
      </c>
      <c r="Y688" s="13">
        <f>IF('0.0%'!$N688&lt;$Z$3,0, '0.0%'!$S688/'0.0%'!$N688)</f>
        <v>3.4647887323943665</v>
      </c>
    </row>
    <row r="689" spans="1:25" x14ac:dyDescent="0.3">
      <c r="A689" s="17">
        <v>751.62</v>
      </c>
      <c r="B689" s="10">
        <v>7.1</v>
      </c>
      <c r="C689" s="9">
        <v>751.62</v>
      </c>
      <c r="D689" s="10">
        <v>13.5</v>
      </c>
      <c r="E689" s="11">
        <v>751.62</v>
      </c>
      <c r="F689" s="12">
        <v>9.8000000000000007</v>
      </c>
      <c r="G689" s="11">
        <v>751.62</v>
      </c>
      <c r="H689" s="12">
        <v>12.1</v>
      </c>
      <c r="I689" s="11">
        <v>751.62</v>
      </c>
      <c r="J689" s="12">
        <v>27.7</v>
      </c>
      <c r="K689" s="11">
        <v>751.62</v>
      </c>
      <c r="L689" s="12">
        <v>24.9</v>
      </c>
      <c r="M689" s="11">
        <v>751.62</v>
      </c>
      <c r="N689" s="13">
        <v>7.1</v>
      </c>
      <c r="O689" s="13">
        <v>13.5</v>
      </c>
      <c r="P689" s="13">
        <v>9.8000000000000007</v>
      </c>
      <c r="Q689" s="11">
        <v>12.1</v>
      </c>
      <c r="R689" s="11">
        <v>27.7</v>
      </c>
      <c r="S689" s="14">
        <v>24.9</v>
      </c>
      <c r="T689" s="11">
        <v>751.62</v>
      </c>
      <c r="U689" s="13">
        <f>IF('0.0%'!$N689&lt;$Z$3,0, '0.0%'!$O689/'0.0%'!$N689)</f>
        <v>1.9014084507042255</v>
      </c>
      <c r="V689" s="13">
        <f>IF('0.0%'!$N689&lt;$Z$3,0, '0.0%'!$P689/'0.0%'!$N689)</f>
        <v>1.3802816901408452</v>
      </c>
      <c r="W689" s="13">
        <f>IF('0.0%'!$N689&lt;$Z$3,0, '0.0%'!$Q689/'0.0%'!$N689)</f>
        <v>1.704225352112676</v>
      </c>
      <c r="X689" s="13">
        <f>IF('0.0%'!$N689&lt;$Z$3,0, '0.0%'!$R689/'0.0%'!$N689)</f>
        <v>3.9014084507042255</v>
      </c>
      <c r="Y689" s="13">
        <f>IF('0.0%'!$N689&lt;$Z$3,0, '0.0%'!$S689/'0.0%'!$N689)</f>
        <v>3.5070422535211265</v>
      </c>
    </row>
    <row r="690" spans="1:25" x14ac:dyDescent="0.3">
      <c r="A690" s="17">
        <v>752.61</v>
      </c>
      <c r="B690" s="10">
        <v>7</v>
      </c>
      <c r="C690" s="9">
        <v>752.61</v>
      </c>
      <c r="D690" s="10">
        <v>13.4</v>
      </c>
      <c r="E690" s="11">
        <v>752.61</v>
      </c>
      <c r="F690" s="12">
        <v>9.6</v>
      </c>
      <c r="G690" s="11">
        <v>752.61</v>
      </c>
      <c r="H690" s="12">
        <v>11.9</v>
      </c>
      <c r="I690" s="11">
        <v>752.61</v>
      </c>
      <c r="J690" s="12">
        <v>27.5</v>
      </c>
      <c r="K690" s="11">
        <v>752.61</v>
      </c>
      <c r="L690" s="12">
        <v>24.8</v>
      </c>
      <c r="M690" s="11">
        <v>752.61</v>
      </c>
      <c r="N690" s="13">
        <v>7</v>
      </c>
      <c r="O690" s="13">
        <v>13.4</v>
      </c>
      <c r="P690" s="13">
        <v>9.6</v>
      </c>
      <c r="Q690" s="11">
        <v>11.9</v>
      </c>
      <c r="R690" s="11">
        <v>27.5</v>
      </c>
      <c r="S690" s="14">
        <v>24.8</v>
      </c>
      <c r="T690" s="11">
        <v>752.61</v>
      </c>
      <c r="U690" s="13">
        <f>IF('0.0%'!$N690&lt;$Z$3,0, '0.0%'!$O690/'0.0%'!$N690)</f>
        <v>1.9142857142857144</v>
      </c>
      <c r="V690" s="13">
        <f>IF('0.0%'!$N690&lt;$Z$3,0, '0.0%'!$P690/'0.0%'!$N690)</f>
        <v>1.3714285714285714</v>
      </c>
      <c r="W690" s="13">
        <f>IF('0.0%'!$N690&lt;$Z$3,0, '0.0%'!$Q690/'0.0%'!$N690)</f>
        <v>1.7</v>
      </c>
      <c r="X690" s="13">
        <f>IF('0.0%'!$N690&lt;$Z$3,0, '0.0%'!$R690/'0.0%'!$N690)</f>
        <v>3.9285714285714284</v>
      </c>
      <c r="Y690" s="13">
        <f>IF('0.0%'!$N690&lt;$Z$3,0, '0.0%'!$S690/'0.0%'!$N690)</f>
        <v>3.5428571428571431</v>
      </c>
    </row>
    <row r="691" spans="1:25" x14ac:dyDescent="0.3">
      <c r="A691" s="17">
        <v>753.61</v>
      </c>
      <c r="B691" s="10">
        <v>7</v>
      </c>
      <c r="C691" s="9">
        <v>753.61</v>
      </c>
      <c r="D691" s="10">
        <v>13.4</v>
      </c>
      <c r="E691" s="11">
        <v>753.61</v>
      </c>
      <c r="F691" s="12">
        <v>9.6</v>
      </c>
      <c r="G691" s="11">
        <v>753.61</v>
      </c>
      <c r="H691" s="12">
        <v>12</v>
      </c>
      <c r="I691" s="11">
        <v>753.61</v>
      </c>
      <c r="J691" s="12">
        <v>27.8</v>
      </c>
      <c r="K691" s="11">
        <v>753.61</v>
      </c>
      <c r="L691" s="12">
        <v>25.1</v>
      </c>
      <c r="M691" s="11">
        <v>753.61</v>
      </c>
      <c r="N691" s="13">
        <v>7</v>
      </c>
      <c r="O691" s="13">
        <v>13.4</v>
      </c>
      <c r="P691" s="13">
        <v>9.6</v>
      </c>
      <c r="Q691" s="11">
        <v>12</v>
      </c>
      <c r="R691" s="11">
        <v>27.8</v>
      </c>
      <c r="S691" s="14">
        <v>25.1</v>
      </c>
      <c r="T691" s="11">
        <v>753.61</v>
      </c>
      <c r="U691" s="13">
        <f>IF('0.0%'!$N691&lt;$Z$3,0, '0.0%'!$O691/'0.0%'!$N691)</f>
        <v>1.9142857142857144</v>
      </c>
      <c r="V691" s="13">
        <f>IF('0.0%'!$N691&lt;$Z$3,0, '0.0%'!$P691/'0.0%'!$N691)</f>
        <v>1.3714285714285714</v>
      </c>
      <c r="W691" s="13">
        <f>IF('0.0%'!$N691&lt;$Z$3,0, '0.0%'!$Q691/'0.0%'!$N691)</f>
        <v>1.7142857142857142</v>
      </c>
      <c r="X691" s="13">
        <f>IF('0.0%'!$N691&lt;$Z$3,0, '0.0%'!$R691/'0.0%'!$N691)</f>
        <v>3.9714285714285715</v>
      </c>
      <c r="Y691" s="13">
        <f>IF('0.0%'!$N691&lt;$Z$3,0, '0.0%'!$S691/'0.0%'!$N691)</f>
        <v>3.5857142857142859</v>
      </c>
    </row>
    <row r="692" spans="1:25" x14ac:dyDescent="0.3">
      <c r="A692" s="17">
        <v>754.6</v>
      </c>
      <c r="B692" s="10">
        <v>6.9</v>
      </c>
      <c r="C692" s="9">
        <v>754.6</v>
      </c>
      <c r="D692" s="10">
        <v>13.3</v>
      </c>
      <c r="E692" s="11">
        <v>754.6</v>
      </c>
      <c r="F692" s="12">
        <v>9.5</v>
      </c>
      <c r="G692" s="11">
        <v>754.6</v>
      </c>
      <c r="H692" s="12">
        <v>11.9</v>
      </c>
      <c r="I692" s="11">
        <v>754.6</v>
      </c>
      <c r="J692" s="12">
        <v>27.6</v>
      </c>
      <c r="K692" s="11">
        <v>754.6</v>
      </c>
      <c r="L692" s="12">
        <v>25.1</v>
      </c>
      <c r="M692" s="11">
        <v>754.6</v>
      </c>
      <c r="N692" s="13">
        <v>6.9</v>
      </c>
      <c r="O692" s="13">
        <v>13.3</v>
      </c>
      <c r="P692" s="13">
        <v>9.5</v>
      </c>
      <c r="Q692" s="11">
        <v>11.9</v>
      </c>
      <c r="R692" s="11">
        <v>27.6</v>
      </c>
      <c r="S692" s="14">
        <v>25.1</v>
      </c>
      <c r="T692" s="11">
        <v>754.6</v>
      </c>
      <c r="U692" s="13">
        <f>IF('0.0%'!$N692&lt;$Z$3,0, '0.0%'!$O692/'0.0%'!$N692)</f>
        <v>1.9275362318840579</v>
      </c>
      <c r="V692" s="13">
        <f>IF('0.0%'!$N692&lt;$Z$3,0, '0.0%'!$P692/'0.0%'!$N692)</f>
        <v>1.3768115942028984</v>
      </c>
      <c r="W692" s="13">
        <f>IF('0.0%'!$N692&lt;$Z$3,0, '0.0%'!$Q692/'0.0%'!$N692)</f>
        <v>1.7246376811594202</v>
      </c>
      <c r="X692" s="13">
        <f>IF('0.0%'!$N692&lt;$Z$3,0, '0.0%'!$R692/'0.0%'!$N692)</f>
        <v>4</v>
      </c>
      <c r="Y692" s="13">
        <f>IF('0.0%'!$N692&lt;$Z$3,0, '0.0%'!$S692/'0.0%'!$N692)</f>
        <v>3.63768115942029</v>
      </c>
    </row>
    <row r="693" spans="1:25" x14ac:dyDescent="0.3">
      <c r="A693" s="17">
        <v>755.59</v>
      </c>
      <c r="B693" s="10">
        <v>6.9</v>
      </c>
      <c r="C693" s="9">
        <v>755.59</v>
      </c>
      <c r="D693" s="10">
        <v>13.4</v>
      </c>
      <c r="E693" s="11">
        <v>755.59</v>
      </c>
      <c r="F693" s="12">
        <v>9.5</v>
      </c>
      <c r="G693" s="11">
        <v>755.59</v>
      </c>
      <c r="H693" s="12">
        <v>12</v>
      </c>
      <c r="I693" s="11">
        <v>755.59</v>
      </c>
      <c r="J693" s="12">
        <v>27.9</v>
      </c>
      <c r="K693" s="11">
        <v>755.59</v>
      </c>
      <c r="L693" s="12">
        <v>25.4</v>
      </c>
      <c r="M693" s="11">
        <v>755.59</v>
      </c>
      <c r="N693" s="13">
        <v>6.9</v>
      </c>
      <c r="O693" s="13">
        <v>13.4</v>
      </c>
      <c r="P693" s="13">
        <v>9.5</v>
      </c>
      <c r="Q693" s="11">
        <v>12</v>
      </c>
      <c r="R693" s="11">
        <v>27.9</v>
      </c>
      <c r="S693" s="14">
        <v>25.4</v>
      </c>
      <c r="T693" s="11">
        <v>755.59</v>
      </c>
      <c r="U693" s="13">
        <f>IF('0.0%'!$N693&lt;$Z$3,0, '0.0%'!$O693/'0.0%'!$N693)</f>
        <v>1.9420289855072463</v>
      </c>
      <c r="V693" s="13">
        <f>IF('0.0%'!$N693&lt;$Z$3,0, '0.0%'!$P693/'0.0%'!$N693)</f>
        <v>1.3768115942028984</v>
      </c>
      <c r="W693" s="13">
        <f>IF('0.0%'!$N693&lt;$Z$3,0, '0.0%'!$Q693/'0.0%'!$N693)</f>
        <v>1.7391304347826086</v>
      </c>
      <c r="X693" s="13">
        <f>IF('0.0%'!$N693&lt;$Z$3,0, '0.0%'!$R693/'0.0%'!$N693)</f>
        <v>4.0434782608695645</v>
      </c>
      <c r="Y693" s="13">
        <f>IF('0.0%'!$N693&lt;$Z$3,0, '0.0%'!$S693/'0.0%'!$N693)</f>
        <v>3.6811594202898545</v>
      </c>
    </row>
    <row r="694" spans="1:25" x14ac:dyDescent="0.3">
      <c r="A694" s="17">
        <v>756.58</v>
      </c>
      <c r="B694" s="10">
        <v>6.7</v>
      </c>
      <c r="C694" s="9">
        <v>756.58</v>
      </c>
      <c r="D694" s="10">
        <v>13.2</v>
      </c>
      <c r="E694" s="11">
        <v>756.58</v>
      </c>
      <c r="F694" s="12">
        <v>9.4</v>
      </c>
      <c r="G694" s="11">
        <v>756.58</v>
      </c>
      <c r="H694" s="12">
        <v>11.9</v>
      </c>
      <c r="I694" s="11">
        <v>756.58</v>
      </c>
      <c r="J694" s="12">
        <v>27.8</v>
      </c>
      <c r="K694" s="11">
        <v>756.58</v>
      </c>
      <c r="L694" s="12">
        <v>25.3</v>
      </c>
      <c r="M694" s="11">
        <v>756.58</v>
      </c>
      <c r="N694" s="13">
        <v>6.7</v>
      </c>
      <c r="O694" s="13">
        <v>13.2</v>
      </c>
      <c r="P694" s="13">
        <v>9.4</v>
      </c>
      <c r="Q694" s="11">
        <v>11.9</v>
      </c>
      <c r="R694" s="11">
        <v>27.8</v>
      </c>
      <c r="S694" s="14">
        <v>25.3</v>
      </c>
      <c r="T694" s="11">
        <v>756.58</v>
      </c>
      <c r="U694" s="13">
        <f>IF('0.0%'!$N694&lt;$Z$3,0, '0.0%'!$O694/'0.0%'!$N694)</f>
        <v>1.9701492537313432</v>
      </c>
      <c r="V694" s="13">
        <f>IF('0.0%'!$N694&lt;$Z$3,0, '0.0%'!$P694/'0.0%'!$N694)</f>
        <v>1.4029850746268657</v>
      </c>
      <c r="W694" s="13">
        <f>IF('0.0%'!$N694&lt;$Z$3,0, '0.0%'!$Q694/'0.0%'!$N694)</f>
        <v>1.7761194029850746</v>
      </c>
      <c r="X694" s="13">
        <f>IF('0.0%'!$N694&lt;$Z$3,0, '0.0%'!$R694/'0.0%'!$N694)</f>
        <v>4.1492537313432836</v>
      </c>
      <c r="Y694" s="13">
        <f>IF('0.0%'!$N694&lt;$Z$3,0, '0.0%'!$S694/'0.0%'!$N694)</f>
        <v>3.7761194029850746</v>
      </c>
    </row>
    <row r="695" spans="1:25" x14ac:dyDescent="0.3">
      <c r="A695" s="17">
        <v>757.57</v>
      </c>
      <c r="B695" s="10">
        <v>6.8</v>
      </c>
      <c r="C695" s="9">
        <v>757.57</v>
      </c>
      <c r="D695" s="10">
        <v>13.3</v>
      </c>
      <c r="E695" s="11">
        <v>757.57</v>
      </c>
      <c r="F695" s="12">
        <v>9.5</v>
      </c>
      <c r="G695" s="11">
        <v>757.57</v>
      </c>
      <c r="H695" s="12">
        <v>12</v>
      </c>
      <c r="I695" s="11">
        <v>757.57</v>
      </c>
      <c r="J695" s="12">
        <v>28.1</v>
      </c>
      <c r="K695" s="11">
        <v>757.57</v>
      </c>
      <c r="L695" s="12">
        <v>25.7</v>
      </c>
      <c r="M695" s="11">
        <v>757.57</v>
      </c>
      <c r="N695" s="13">
        <v>6.8</v>
      </c>
      <c r="O695" s="13">
        <v>13.3</v>
      </c>
      <c r="P695" s="13">
        <v>9.5</v>
      </c>
      <c r="Q695" s="11">
        <v>12</v>
      </c>
      <c r="R695" s="11">
        <v>28.1</v>
      </c>
      <c r="S695" s="14">
        <v>25.7</v>
      </c>
      <c r="T695" s="11">
        <v>757.57</v>
      </c>
      <c r="U695" s="13">
        <f>IF('0.0%'!$N695&lt;$Z$3,0, '0.0%'!$O695/'0.0%'!$N695)</f>
        <v>1.9558823529411766</v>
      </c>
      <c r="V695" s="13">
        <f>IF('0.0%'!$N695&lt;$Z$3,0, '0.0%'!$P695/'0.0%'!$N695)</f>
        <v>1.3970588235294119</v>
      </c>
      <c r="W695" s="13">
        <f>IF('0.0%'!$N695&lt;$Z$3,0, '0.0%'!$Q695/'0.0%'!$N695)</f>
        <v>1.7647058823529411</v>
      </c>
      <c r="X695" s="13">
        <f>IF('0.0%'!$N695&lt;$Z$3,0, '0.0%'!$R695/'0.0%'!$N695)</f>
        <v>4.132352941176471</v>
      </c>
      <c r="Y695" s="13">
        <f>IF('0.0%'!$N695&lt;$Z$3,0, '0.0%'!$S695/'0.0%'!$N695)</f>
        <v>3.7794117647058822</v>
      </c>
    </row>
    <row r="696" spans="1:25" x14ac:dyDescent="0.3">
      <c r="A696" s="17">
        <v>758.57</v>
      </c>
      <c r="B696" s="10">
        <v>6.8</v>
      </c>
      <c r="C696" s="9">
        <v>758.57</v>
      </c>
      <c r="D696" s="10">
        <v>13.3</v>
      </c>
      <c r="E696" s="11">
        <v>758.57</v>
      </c>
      <c r="F696" s="12">
        <v>9.5</v>
      </c>
      <c r="G696" s="11">
        <v>758.57</v>
      </c>
      <c r="H696" s="12">
        <v>12</v>
      </c>
      <c r="I696" s="11">
        <v>758.57</v>
      </c>
      <c r="J696" s="12">
        <v>28.3</v>
      </c>
      <c r="K696" s="11">
        <v>758.57</v>
      </c>
      <c r="L696" s="12">
        <v>25.9</v>
      </c>
      <c r="M696" s="11">
        <v>758.57</v>
      </c>
      <c r="N696" s="13">
        <v>6.8</v>
      </c>
      <c r="O696" s="13">
        <v>13.3</v>
      </c>
      <c r="P696" s="13">
        <v>9.5</v>
      </c>
      <c r="Q696" s="11">
        <v>12</v>
      </c>
      <c r="R696" s="11">
        <v>28.3</v>
      </c>
      <c r="S696" s="14">
        <v>25.9</v>
      </c>
      <c r="T696" s="11">
        <v>758.57</v>
      </c>
      <c r="U696" s="13">
        <f>IF('0.0%'!$N696&lt;$Z$3,0, '0.0%'!$O696/'0.0%'!$N696)</f>
        <v>1.9558823529411766</v>
      </c>
      <c r="V696" s="13">
        <f>IF('0.0%'!$N696&lt;$Z$3,0, '0.0%'!$P696/'0.0%'!$N696)</f>
        <v>1.3970588235294119</v>
      </c>
      <c r="W696" s="13">
        <f>IF('0.0%'!$N696&lt;$Z$3,0, '0.0%'!$Q696/'0.0%'!$N696)</f>
        <v>1.7647058823529411</v>
      </c>
      <c r="X696" s="13">
        <f>IF('0.0%'!$N696&lt;$Z$3,0, '0.0%'!$R696/'0.0%'!$N696)</f>
        <v>4.1617647058823533</v>
      </c>
      <c r="Y696" s="13">
        <f>IF('0.0%'!$N696&lt;$Z$3,0, '0.0%'!$S696/'0.0%'!$N696)</f>
        <v>3.8088235294117645</v>
      </c>
    </row>
    <row r="697" spans="1:25" x14ac:dyDescent="0.3">
      <c r="A697" s="17">
        <v>759.56</v>
      </c>
      <c r="B697" s="10">
        <v>6.7</v>
      </c>
      <c r="C697" s="9">
        <v>759.56</v>
      </c>
      <c r="D697" s="10">
        <v>13.2</v>
      </c>
      <c r="E697" s="11">
        <v>759.56</v>
      </c>
      <c r="F697" s="12">
        <v>9.4</v>
      </c>
      <c r="G697" s="11">
        <v>759.56</v>
      </c>
      <c r="H697" s="12">
        <v>12</v>
      </c>
      <c r="I697" s="11">
        <v>759.56</v>
      </c>
      <c r="J697" s="12">
        <v>28.2</v>
      </c>
      <c r="K697" s="11">
        <v>759.56</v>
      </c>
      <c r="L697" s="12">
        <v>26</v>
      </c>
      <c r="M697" s="11">
        <v>759.56</v>
      </c>
      <c r="N697" s="13">
        <v>6.7</v>
      </c>
      <c r="O697" s="13">
        <v>13.2</v>
      </c>
      <c r="P697" s="13">
        <v>9.4</v>
      </c>
      <c r="Q697" s="11">
        <v>12</v>
      </c>
      <c r="R697" s="11">
        <v>28.2</v>
      </c>
      <c r="S697" s="14">
        <v>26</v>
      </c>
      <c r="T697" s="11">
        <v>759.56</v>
      </c>
      <c r="U697" s="13">
        <f>IF('0.0%'!$N697&lt;$Z$3,0, '0.0%'!$O697/'0.0%'!$N697)</f>
        <v>1.9701492537313432</v>
      </c>
      <c r="V697" s="13">
        <f>IF('0.0%'!$N697&lt;$Z$3,0, '0.0%'!$P697/'0.0%'!$N697)</f>
        <v>1.4029850746268657</v>
      </c>
      <c r="W697" s="13">
        <f>IF('0.0%'!$N697&lt;$Z$3,0, '0.0%'!$Q697/'0.0%'!$N697)</f>
        <v>1.791044776119403</v>
      </c>
      <c r="X697" s="13">
        <f>IF('0.0%'!$N697&lt;$Z$3,0, '0.0%'!$R697/'0.0%'!$N697)</f>
        <v>4.2089552238805972</v>
      </c>
      <c r="Y697" s="13">
        <f>IF('0.0%'!$N697&lt;$Z$3,0, '0.0%'!$S697/'0.0%'!$N697)</f>
        <v>3.8805970149253732</v>
      </c>
    </row>
    <row r="698" spans="1:25" x14ac:dyDescent="0.3">
      <c r="A698" s="17">
        <v>760.55</v>
      </c>
      <c r="B698" s="10">
        <v>6.8</v>
      </c>
      <c r="C698" s="9">
        <v>760.55</v>
      </c>
      <c r="D698" s="10">
        <v>13.4</v>
      </c>
      <c r="E698" s="11">
        <v>760.55</v>
      </c>
      <c r="F698" s="12">
        <v>9.5</v>
      </c>
      <c r="G698" s="11">
        <v>760.55</v>
      </c>
      <c r="H698" s="12">
        <v>12.1</v>
      </c>
      <c r="I698" s="11">
        <v>760.55</v>
      </c>
      <c r="J698" s="12">
        <v>28.7</v>
      </c>
      <c r="K698" s="11">
        <v>760.55</v>
      </c>
      <c r="L698" s="12">
        <v>26.5</v>
      </c>
      <c r="M698" s="11">
        <v>760.55</v>
      </c>
      <c r="N698" s="13">
        <v>6.8</v>
      </c>
      <c r="O698" s="13">
        <v>13.4</v>
      </c>
      <c r="P698" s="13">
        <v>9.5</v>
      </c>
      <c r="Q698" s="11">
        <v>12.1</v>
      </c>
      <c r="R698" s="11">
        <v>28.7</v>
      </c>
      <c r="S698" s="14">
        <v>26.5</v>
      </c>
      <c r="T698" s="11">
        <v>760.55</v>
      </c>
      <c r="U698" s="13">
        <f>IF('0.0%'!$N698&lt;$Z$3,0, '0.0%'!$O698/'0.0%'!$N698)</f>
        <v>1.9705882352941178</v>
      </c>
      <c r="V698" s="13">
        <f>IF('0.0%'!$N698&lt;$Z$3,0, '0.0%'!$P698/'0.0%'!$N698)</f>
        <v>1.3970588235294119</v>
      </c>
      <c r="W698" s="13">
        <f>IF('0.0%'!$N698&lt;$Z$3,0, '0.0%'!$Q698/'0.0%'!$N698)</f>
        <v>1.7794117647058822</v>
      </c>
      <c r="X698" s="13">
        <f>IF('0.0%'!$N698&lt;$Z$3,0, '0.0%'!$R698/'0.0%'!$N698)</f>
        <v>4.2205882352941178</v>
      </c>
      <c r="Y698" s="13">
        <f>IF('0.0%'!$N698&lt;$Z$3,0, '0.0%'!$S698/'0.0%'!$N698)</f>
        <v>3.8970588235294117</v>
      </c>
    </row>
    <row r="699" spans="1:25" x14ac:dyDescent="0.3">
      <c r="A699" s="17">
        <v>761.54</v>
      </c>
      <c r="B699" s="10">
        <v>6.7</v>
      </c>
      <c r="C699" s="9">
        <v>761.54</v>
      </c>
      <c r="D699" s="10">
        <v>13.3</v>
      </c>
      <c r="E699" s="11">
        <v>761.54</v>
      </c>
      <c r="F699" s="12">
        <v>9.4</v>
      </c>
      <c r="G699" s="11">
        <v>761.54</v>
      </c>
      <c r="H699" s="12">
        <v>12.1</v>
      </c>
      <c r="I699" s="11">
        <v>761.54</v>
      </c>
      <c r="J699" s="12">
        <v>28.7</v>
      </c>
      <c r="K699" s="11">
        <v>761.54</v>
      </c>
      <c r="L699" s="12">
        <v>26.6</v>
      </c>
      <c r="M699" s="11">
        <v>761.54</v>
      </c>
      <c r="N699" s="13">
        <v>6.7</v>
      </c>
      <c r="O699" s="13">
        <v>13.3</v>
      </c>
      <c r="P699" s="13">
        <v>9.4</v>
      </c>
      <c r="Q699" s="11">
        <v>12.1</v>
      </c>
      <c r="R699" s="11">
        <v>28.7</v>
      </c>
      <c r="S699" s="14">
        <v>26.6</v>
      </c>
      <c r="T699" s="11">
        <v>761.54</v>
      </c>
      <c r="U699" s="13">
        <f>IF('0.0%'!$N699&lt;$Z$3,0, '0.0%'!$O699/'0.0%'!$N699)</f>
        <v>1.9850746268656716</v>
      </c>
      <c r="V699" s="13">
        <f>IF('0.0%'!$N699&lt;$Z$3,0, '0.0%'!$P699/'0.0%'!$N699)</f>
        <v>1.4029850746268657</v>
      </c>
      <c r="W699" s="13">
        <f>IF('0.0%'!$N699&lt;$Z$3,0, '0.0%'!$Q699/'0.0%'!$N699)</f>
        <v>1.8059701492537312</v>
      </c>
      <c r="X699" s="13">
        <f>IF('0.0%'!$N699&lt;$Z$3,0, '0.0%'!$R699/'0.0%'!$N699)</f>
        <v>4.2835820895522385</v>
      </c>
      <c r="Y699" s="13">
        <f>IF('0.0%'!$N699&lt;$Z$3,0, '0.0%'!$S699/'0.0%'!$N699)</f>
        <v>3.9701492537313432</v>
      </c>
    </row>
    <row r="700" spans="1:25" x14ac:dyDescent="0.3">
      <c r="A700" s="17">
        <v>762.53</v>
      </c>
      <c r="B700" s="10">
        <v>6.8</v>
      </c>
      <c r="C700" s="9">
        <v>762.53</v>
      </c>
      <c r="D700" s="10">
        <v>13.5</v>
      </c>
      <c r="E700" s="11">
        <v>762.53</v>
      </c>
      <c r="F700" s="12">
        <v>9.6</v>
      </c>
      <c r="G700" s="11">
        <v>762.53</v>
      </c>
      <c r="H700" s="12">
        <v>12.3</v>
      </c>
      <c r="I700" s="11">
        <v>762.53</v>
      </c>
      <c r="J700" s="12">
        <v>29.3</v>
      </c>
      <c r="K700" s="11">
        <v>762.53</v>
      </c>
      <c r="L700" s="12">
        <v>27.2</v>
      </c>
      <c r="M700" s="11">
        <v>762.53</v>
      </c>
      <c r="N700" s="13">
        <v>6.8</v>
      </c>
      <c r="O700" s="13">
        <v>13.5</v>
      </c>
      <c r="P700" s="13">
        <v>9.6</v>
      </c>
      <c r="Q700" s="11">
        <v>12.3</v>
      </c>
      <c r="R700" s="11">
        <v>29.3</v>
      </c>
      <c r="S700" s="14">
        <v>27.2</v>
      </c>
      <c r="T700" s="11">
        <v>762.53</v>
      </c>
      <c r="U700" s="13">
        <f>IF('0.0%'!$N700&lt;$Z$3,0, '0.0%'!$O700/'0.0%'!$N700)</f>
        <v>1.9852941176470589</v>
      </c>
      <c r="V700" s="13">
        <f>IF('0.0%'!$N700&lt;$Z$3,0, '0.0%'!$P700/'0.0%'!$N700)</f>
        <v>1.411764705882353</v>
      </c>
      <c r="W700" s="13">
        <f>IF('0.0%'!$N700&lt;$Z$3,0, '0.0%'!$Q700/'0.0%'!$N700)</f>
        <v>1.8088235294117649</v>
      </c>
      <c r="X700" s="13">
        <f>IF('0.0%'!$N700&lt;$Z$3,0, '0.0%'!$R700/'0.0%'!$N700)</f>
        <v>4.3088235294117645</v>
      </c>
      <c r="Y700" s="13">
        <f>IF('0.0%'!$N700&lt;$Z$3,0, '0.0%'!$S700/'0.0%'!$N700)</f>
        <v>4</v>
      </c>
    </row>
    <row r="701" spans="1:25" x14ac:dyDescent="0.3">
      <c r="A701" s="17">
        <v>763.52</v>
      </c>
      <c r="B701" s="10">
        <v>6.8</v>
      </c>
      <c r="C701" s="9">
        <v>763.52</v>
      </c>
      <c r="D701" s="10">
        <v>13.5</v>
      </c>
      <c r="E701" s="11">
        <v>763.52</v>
      </c>
      <c r="F701" s="12">
        <v>9.6</v>
      </c>
      <c r="G701" s="11">
        <v>763.52</v>
      </c>
      <c r="H701" s="12">
        <v>12.4</v>
      </c>
      <c r="I701" s="11">
        <v>763.52</v>
      </c>
      <c r="J701" s="12">
        <v>29.4</v>
      </c>
      <c r="K701" s="11">
        <v>763.52</v>
      </c>
      <c r="L701" s="12">
        <v>27.5</v>
      </c>
      <c r="M701" s="11">
        <v>763.52</v>
      </c>
      <c r="N701" s="13">
        <v>6.8</v>
      </c>
      <c r="O701" s="13">
        <v>13.5</v>
      </c>
      <c r="P701" s="13">
        <v>9.6</v>
      </c>
      <c r="Q701" s="11">
        <v>12.4</v>
      </c>
      <c r="R701" s="11">
        <v>29.4</v>
      </c>
      <c r="S701" s="14">
        <v>27.5</v>
      </c>
      <c r="T701" s="11">
        <v>763.52</v>
      </c>
      <c r="U701" s="13">
        <f>IF('0.0%'!$N701&lt;$Z$3,0, '0.0%'!$O701/'0.0%'!$N701)</f>
        <v>1.9852941176470589</v>
      </c>
      <c r="V701" s="13">
        <f>IF('0.0%'!$N701&lt;$Z$3,0, '0.0%'!$P701/'0.0%'!$N701)</f>
        <v>1.411764705882353</v>
      </c>
      <c r="W701" s="13">
        <f>IF('0.0%'!$N701&lt;$Z$3,0, '0.0%'!$Q701/'0.0%'!$N701)</f>
        <v>1.8235294117647061</v>
      </c>
      <c r="X701" s="13">
        <f>IF('0.0%'!$N701&lt;$Z$3,0, '0.0%'!$R701/'0.0%'!$N701)</f>
        <v>4.3235294117647056</v>
      </c>
      <c r="Y701" s="13">
        <f>IF('0.0%'!$N701&lt;$Z$3,0, '0.0%'!$S701/'0.0%'!$N701)</f>
        <v>4.0441176470588234</v>
      </c>
    </row>
    <row r="702" spans="1:25" x14ac:dyDescent="0.3">
      <c r="A702" s="17">
        <v>764.52</v>
      </c>
      <c r="B702" s="10">
        <v>7</v>
      </c>
      <c r="C702" s="9">
        <v>764.52</v>
      </c>
      <c r="D702" s="10">
        <v>13.8</v>
      </c>
      <c r="E702" s="11">
        <v>764.52</v>
      </c>
      <c r="F702" s="12">
        <v>9.9</v>
      </c>
      <c r="G702" s="11">
        <v>764.52</v>
      </c>
      <c r="H702" s="12">
        <v>12.7</v>
      </c>
      <c r="I702" s="11">
        <v>764.52</v>
      </c>
      <c r="J702" s="12">
        <v>30.1</v>
      </c>
      <c r="K702" s="11">
        <v>764.52</v>
      </c>
      <c r="L702" s="12">
        <v>28.3</v>
      </c>
      <c r="M702" s="11">
        <v>764.52</v>
      </c>
      <c r="N702" s="13">
        <v>7</v>
      </c>
      <c r="O702" s="13">
        <v>13.8</v>
      </c>
      <c r="P702" s="13">
        <v>9.9</v>
      </c>
      <c r="Q702" s="11">
        <v>12.7</v>
      </c>
      <c r="R702" s="11">
        <v>30.1</v>
      </c>
      <c r="S702" s="14">
        <v>28.3</v>
      </c>
      <c r="T702" s="11">
        <v>764.52</v>
      </c>
      <c r="U702" s="13">
        <f>IF('0.0%'!$N702&lt;$Z$3,0, '0.0%'!$O702/'0.0%'!$N702)</f>
        <v>1.9714285714285715</v>
      </c>
      <c r="V702" s="13">
        <f>IF('0.0%'!$N702&lt;$Z$3,0, '0.0%'!$P702/'0.0%'!$N702)</f>
        <v>1.4142857142857144</v>
      </c>
      <c r="W702" s="13">
        <f>IF('0.0%'!$N702&lt;$Z$3,0, '0.0%'!$Q702/'0.0%'!$N702)</f>
        <v>1.8142857142857143</v>
      </c>
      <c r="X702" s="13">
        <f>IF('0.0%'!$N702&lt;$Z$3,0, '0.0%'!$R702/'0.0%'!$N702)</f>
        <v>4.3</v>
      </c>
      <c r="Y702" s="13">
        <f>IF('0.0%'!$N702&lt;$Z$3,0, '0.0%'!$S702/'0.0%'!$N702)</f>
        <v>4.0428571428571427</v>
      </c>
    </row>
    <row r="703" spans="1:25" x14ac:dyDescent="0.3">
      <c r="A703" s="17">
        <v>765.51</v>
      </c>
      <c r="B703" s="10">
        <v>7</v>
      </c>
      <c r="C703" s="9">
        <v>765.51</v>
      </c>
      <c r="D703" s="10">
        <v>13.9</v>
      </c>
      <c r="E703" s="11">
        <v>765.51</v>
      </c>
      <c r="F703" s="12">
        <v>9.9</v>
      </c>
      <c r="G703" s="11">
        <v>765.51</v>
      </c>
      <c r="H703" s="12">
        <v>12.8</v>
      </c>
      <c r="I703" s="11">
        <v>765.51</v>
      </c>
      <c r="J703" s="12">
        <v>30.3</v>
      </c>
      <c r="K703" s="11">
        <v>765.51</v>
      </c>
      <c r="L703" s="12">
        <v>28.7</v>
      </c>
      <c r="M703" s="11">
        <v>765.51</v>
      </c>
      <c r="N703" s="13">
        <v>7</v>
      </c>
      <c r="O703" s="13">
        <v>13.9</v>
      </c>
      <c r="P703" s="13">
        <v>9.9</v>
      </c>
      <c r="Q703" s="11">
        <v>12.8</v>
      </c>
      <c r="R703" s="11">
        <v>30.3</v>
      </c>
      <c r="S703" s="14">
        <v>28.7</v>
      </c>
      <c r="T703" s="11">
        <v>765.51</v>
      </c>
      <c r="U703" s="13">
        <f>IF('0.0%'!$N703&lt;$Z$3,0, '0.0%'!$O703/'0.0%'!$N703)</f>
        <v>1.9857142857142858</v>
      </c>
      <c r="V703" s="13">
        <f>IF('0.0%'!$N703&lt;$Z$3,0, '0.0%'!$P703/'0.0%'!$N703)</f>
        <v>1.4142857142857144</v>
      </c>
      <c r="W703" s="13">
        <f>IF('0.0%'!$N703&lt;$Z$3,0, '0.0%'!$Q703/'0.0%'!$N703)</f>
        <v>1.8285714285714287</v>
      </c>
      <c r="X703" s="13">
        <f>IF('0.0%'!$N703&lt;$Z$3,0, '0.0%'!$R703/'0.0%'!$N703)</f>
        <v>4.3285714285714283</v>
      </c>
      <c r="Y703" s="13">
        <f>IF('0.0%'!$N703&lt;$Z$3,0, '0.0%'!$S703/'0.0%'!$N703)</f>
        <v>4.0999999999999996</v>
      </c>
    </row>
    <row r="704" spans="1:25" x14ac:dyDescent="0.3">
      <c r="A704" s="17">
        <v>766.5</v>
      </c>
      <c r="B704" s="10">
        <v>7.1</v>
      </c>
      <c r="C704" s="9">
        <v>766.5</v>
      </c>
      <c r="D704" s="10">
        <v>14.2</v>
      </c>
      <c r="E704" s="11">
        <v>766.5</v>
      </c>
      <c r="F704" s="12">
        <v>10.199999999999999</v>
      </c>
      <c r="G704" s="11">
        <v>766.5</v>
      </c>
      <c r="H704" s="12">
        <v>13.1</v>
      </c>
      <c r="I704" s="11">
        <v>766.5</v>
      </c>
      <c r="J704" s="12">
        <v>31</v>
      </c>
      <c r="K704" s="11">
        <v>766.5</v>
      </c>
      <c r="L704" s="12">
        <v>29.5</v>
      </c>
      <c r="M704" s="11">
        <v>766.5</v>
      </c>
      <c r="N704" s="13">
        <v>7.1</v>
      </c>
      <c r="O704" s="13">
        <v>14.2</v>
      </c>
      <c r="P704" s="13">
        <v>10.199999999999999</v>
      </c>
      <c r="Q704" s="11">
        <v>13.1</v>
      </c>
      <c r="R704" s="11">
        <v>31</v>
      </c>
      <c r="S704" s="14">
        <v>29.5</v>
      </c>
      <c r="T704" s="11">
        <v>766.5</v>
      </c>
      <c r="U704" s="13">
        <f>IF('0.0%'!$N704&lt;$Z$3,0, '0.0%'!$O704/'0.0%'!$N704)</f>
        <v>2</v>
      </c>
      <c r="V704" s="13">
        <f>IF('0.0%'!$N704&lt;$Z$3,0, '0.0%'!$P704/'0.0%'!$N704)</f>
        <v>1.436619718309859</v>
      </c>
      <c r="W704" s="13">
        <f>IF('0.0%'!$N704&lt;$Z$3,0, '0.0%'!$Q704/'0.0%'!$N704)</f>
        <v>1.8450704225352113</v>
      </c>
      <c r="X704" s="13">
        <f>IF('0.0%'!$N704&lt;$Z$3,0, '0.0%'!$R704/'0.0%'!$N704)</f>
        <v>4.3661971830985919</v>
      </c>
      <c r="Y704" s="13">
        <f>IF('0.0%'!$N704&lt;$Z$3,0, '0.0%'!$S704/'0.0%'!$N704)</f>
        <v>4.154929577464789</v>
      </c>
    </row>
    <row r="705" spans="1:25" x14ac:dyDescent="0.3">
      <c r="A705" s="17">
        <v>767.49</v>
      </c>
      <c r="B705" s="10">
        <v>7.2</v>
      </c>
      <c r="C705" s="9">
        <v>767.49</v>
      </c>
      <c r="D705" s="10">
        <v>14.3</v>
      </c>
      <c r="E705" s="11">
        <v>767.49</v>
      </c>
      <c r="F705" s="12">
        <v>10.4</v>
      </c>
      <c r="G705" s="11">
        <v>767.49</v>
      </c>
      <c r="H705" s="12">
        <v>13.2</v>
      </c>
      <c r="I705" s="11">
        <v>767.49</v>
      </c>
      <c r="J705" s="12">
        <v>31.2</v>
      </c>
      <c r="K705" s="11">
        <v>767.49</v>
      </c>
      <c r="L705" s="12">
        <v>29.9</v>
      </c>
      <c r="M705" s="11">
        <v>767.49</v>
      </c>
      <c r="N705" s="13">
        <v>7.2</v>
      </c>
      <c r="O705" s="13">
        <v>14.3</v>
      </c>
      <c r="P705" s="13">
        <v>10.4</v>
      </c>
      <c r="Q705" s="11">
        <v>13.2</v>
      </c>
      <c r="R705" s="11">
        <v>31.2</v>
      </c>
      <c r="S705" s="14">
        <v>29.9</v>
      </c>
      <c r="T705" s="11">
        <v>767.49</v>
      </c>
      <c r="U705" s="13">
        <f>IF('0.0%'!$N705&lt;$Z$3,0, '0.0%'!$O705/'0.0%'!$N705)</f>
        <v>1.9861111111111112</v>
      </c>
      <c r="V705" s="13">
        <f>IF('0.0%'!$N705&lt;$Z$3,0, '0.0%'!$P705/'0.0%'!$N705)</f>
        <v>1.4444444444444444</v>
      </c>
      <c r="W705" s="13">
        <f>IF('0.0%'!$N705&lt;$Z$3,0, '0.0%'!$Q705/'0.0%'!$N705)</f>
        <v>1.8333333333333333</v>
      </c>
      <c r="X705" s="13">
        <f>IF('0.0%'!$N705&lt;$Z$3,0, '0.0%'!$R705/'0.0%'!$N705)</f>
        <v>4.333333333333333</v>
      </c>
      <c r="Y705" s="13">
        <f>IF('0.0%'!$N705&lt;$Z$3,0, '0.0%'!$S705/'0.0%'!$N705)</f>
        <v>4.1527777777777777</v>
      </c>
    </row>
    <row r="706" spans="1:25" x14ac:dyDescent="0.3">
      <c r="A706" s="17">
        <v>768.48</v>
      </c>
      <c r="B706" s="10">
        <v>7.4</v>
      </c>
      <c r="C706" s="9">
        <v>768.48</v>
      </c>
      <c r="D706" s="10">
        <v>14.7</v>
      </c>
      <c r="E706" s="11">
        <v>768.48</v>
      </c>
      <c r="F706" s="12">
        <v>10.7</v>
      </c>
      <c r="G706" s="11">
        <v>768.48</v>
      </c>
      <c r="H706" s="12">
        <v>13.7</v>
      </c>
      <c r="I706" s="11">
        <v>768.48</v>
      </c>
      <c r="J706" s="12">
        <v>32</v>
      </c>
      <c r="K706" s="11">
        <v>768.48</v>
      </c>
      <c r="L706" s="12">
        <v>30.8</v>
      </c>
      <c r="M706" s="11">
        <v>768.48</v>
      </c>
      <c r="N706" s="13">
        <v>7.4</v>
      </c>
      <c r="O706" s="13">
        <v>14.7</v>
      </c>
      <c r="P706" s="13">
        <v>10.7</v>
      </c>
      <c r="Q706" s="11">
        <v>13.7</v>
      </c>
      <c r="R706" s="11">
        <v>32</v>
      </c>
      <c r="S706" s="14">
        <v>30.8</v>
      </c>
      <c r="T706" s="11">
        <v>768.48</v>
      </c>
      <c r="U706" s="13">
        <f>IF('0.0%'!$N706&lt;$Z$3,0, '0.0%'!$O706/'0.0%'!$N706)</f>
        <v>1.9864864864864864</v>
      </c>
      <c r="V706" s="13">
        <f>IF('0.0%'!$N706&lt;$Z$3,0, '0.0%'!$P706/'0.0%'!$N706)</f>
        <v>1.4459459459459458</v>
      </c>
      <c r="W706" s="13">
        <f>IF('0.0%'!$N706&lt;$Z$3,0, '0.0%'!$Q706/'0.0%'!$N706)</f>
        <v>1.8513513513513511</v>
      </c>
      <c r="X706" s="13">
        <f>IF('0.0%'!$N706&lt;$Z$3,0, '0.0%'!$R706/'0.0%'!$N706)</f>
        <v>4.3243243243243237</v>
      </c>
      <c r="Y706" s="13">
        <f>IF('0.0%'!$N706&lt;$Z$3,0, '0.0%'!$S706/'0.0%'!$N706)</f>
        <v>4.1621621621621623</v>
      </c>
    </row>
    <row r="707" spans="1:25" x14ac:dyDescent="0.3">
      <c r="A707" s="17">
        <v>769.47</v>
      </c>
      <c r="B707" s="10">
        <v>7.5</v>
      </c>
      <c r="C707" s="9">
        <v>769.47</v>
      </c>
      <c r="D707" s="10">
        <v>14.8</v>
      </c>
      <c r="E707" s="11">
        <v>769.47</v>
      </c>
      <c r="F707" s="12">
        <v>10.9</v>
      </c>
      <c r="G707" s="11">
        <v>769.47</v>
      </c>
      <c r="H707" s="12">
        <v>13.8</v>
      </c>
      <c r="I707" s="11">
        <v>769.47</v>
      </c>
      <c r="J707" s="12">
        <v>32.200000000000003</v>
      </c>
      <c r="K707" s="11">
        <v>769.47</v>
      </c>
      <c r="L707" s="12">
        <v>31.2</v>
      </c>
      <c r="M707" s="11">
        <v>769.47</v>
      </c>
      <c r="N707" s="13">
        <v>7.5</v>
      </c>
      <c r="O707" s="13">
        <v>14.8</v>
      </c>
      <c r="P707" s="13">
        <v>10.9</v>
      </c>
      <c r="Q707" s="11">
        <v>13.8</v>
      </c>
      <c r="R707" s="11">
        <v>32.200000000000003</v>
      </c>
      <c r="S707" s="14">
        <v>31.2</v>
      </c>
      <c r="T707" s="11">
        <v>769.47</v>
      </c>
      <c r="U707" s="13">
        <f>IF('0.0%'!$N707&lt;$Z$3,0, '0.0%'!$O707/'0.0%'!$N707)</f>
        <v>1.9733333333333334</v>
      </c>
      <c r="V707" s="13">
        <f>IF('0.0%'!$N707&lt;$Z$3,0, '0.0%'!$P707/'0.0%'!$N707)</f>
        <v>1.4533333333333334</v>
      </c>
      <c r="W707" s="13">
        <f>IF('0.0%'!$N707&lt;$Z$3,0, '0.0%'!$Q707/'0.0%'!$N707)</f>
        <v>1.84</v>
      </c>
      <c r="X707" s="13">
        <f>IF('0.0%'!$N707&lt;$Z$3,0, '0.0%'!$R707/'0.0%'!$N707)</f>
        <v>4.2933333333333339</v>
      </c>
      <c r="Y707" s="13">
        <f>IF('0.0%'!$N707&lt;$Z$3,0, '0.0%'!$S707/'0.0%'!$N707)</f>
        <v>4.16</v>
      </c>
    </row>
    <row r="708" spans="1:25" x14ac:dyDescent="0.3">
      <c r="A708" s="17">
        <v>770.47</v>
      </c>
      <c r="B708" s="10">
        <v>7.7</v>
      </c>
      <c r="C708" s="9">
        <v>770.47</v>
      </c>
      <c r="D708" s="10">
        <v>15.2</v>
      </c>
      <c r="E708" s="11">
        <v>770.47</v>
      </c>
      <c r="F708" s="12">
        <v>11.2</v>
      </c>
      <c r="G708" s="11">
        <v>770.47</v>
      </c>
      <c r="H708" s="12">
        <v>14.3</v>
      </c>
      <c r="I708" s="11">
        <v>770.47</v>
      </c>
      <c r="J708" s="12">
        <v>33.1</v>
      </c>
      <c r="K708" s="11">
        <v>770.47</v>
      </c>
      <c r="L708" s="12">
        <v>32.1</v>
      </c>
      <c r="M708" s="11">
        <v>770.47</v>
      </c>
      <c r="N708" s="13">
        <v>7.7</v>
      </c>
      <c r="O708" s="13">
        <v>15.2</v>
      </c>
      <c r="P708" s="13">
        <v>11.2</v>
      </c>
      <c r="Q708" s="11">
        <v>14.3</v>
      </c>
      <c r="R708" s="11">
        <v>33.1</v>
      </c>
      <c r="S708" s="14">
        <v>32.1</v>
      </c>
      <c r="T708" s="11">
        <v>770.47</v>
      </c>
      <c r="U708" s="13">
        <f>IF('0.0%'!$N708&lt;$Z$3,0, '0.0%'!$O708/'0.0%'!$N708)</f>
        <v>1.9740259740259738</v>
      </c>
      <c r="V708" s="13">
        <f>IF('0.0%'!$N708&lt;$Z$3,0, '0.0%'!$P708/'0.0%'!$N708)</f>
        <v>1.4545454545454544</v>
      </c>
      <c r="W708" s="13">
        <f>IF('0.0%'!$N708&lt;$Z$3,0, '0.0%'!$Q708/'0.0%'!$N708)</f>
        <v>1.8571428571428572</v>
      </c>
      <c r="X708" s="13">
        <f>IF('0.0%'!$N708&lt;$Z$3,0, '0.0%'!$R708/'0.0%'!$N708)</f>
        <v>4.2987012987012987</v>
      </c>
      <c r="Y708" s="13">
        <f>IF('0.0%'!$N708&lt;$Z$3,0, '0.0%'!$S708/'0.0%'!$N708)</f>
        <v>4.1688311688311686</v>
      </c>
    </row>
    <row r="709" spans="1:25" x14ac:dyDescent="0.3">
      <c r="A709" s="17">
        <v>771.46</v>
      </c>
      <c r="B709" s="10">
        <v>7.8</v>
      </c>
      <c r="C709" s="9">
        <v>771.46</v>
      </c>
      <c r="D709" s="10">
        <v>15.3</v>
      </c>
      <c r="E709" s="11">
        <v>771.46</v>
      </c>
      <c r="F709" s="12">
        <v>11.4</v>
      </c>
      <c r="G709" s="11">
        <v>771.46</v>
      </c>
      <c r="H709" s="12">
        <v>14.5</v>
      </c>
      <c r="I709" s="11">
        <v>771.46</v>
      </c>
      <c r="J709" s="12">
        <v>33.4</v>
      </c>
      <c r="K709" s="11">
        <v>771.46</v>
      </c>
      <c r="L709" s="12">
        <v>32.700000000000003</v>
      </c>
      <c r="M709" s="11">
        <v>771.46</v>
      </c>
      <c r="N709" s="13">
        <v>7.8</v>
      </c>
      <c r="O709" s="13">
        <v>15.3</v>
      </c>
      <c r="P709" s="13">
        <v>11.4</v>
      </c>
      <c r="Q709" s="11">
        <v>14.5</v>
      </c>
      <c r="R709" s="11">
        <v>33.4</v>
      </c>
      <c r="S709" s="14">
        <v>32.700000000000003</v>
      </c>
      <c r="T709" s="11">
        <v>771.46</v>
      </c>
      <c r="U709" s="13">
        <f>IF('0.0%'!$N709&lt;$Z$3,0, '0.0%'!$O709/'0.0%'!$N709)</f>
        <v>1.9615384615384617</v>
      </c>
      <c r="V709" s="13">
        <f>IF('0.0%'!$N709&lt;$Z$3,0, '0.0%'!$P709/'0.0%'!$N709)</f>
        <v>1.4615384615384617</v>
      </c>
      <c r="W709" s="13">
        <f>IF('0.0%'!$N709&lt;$Z$3,0, '0.0%'!$Q709/'0.0%'!$N709)</f>
        <v>1.858974358974359</v>
      </c>
      <c r="X709" s="13">
        <f>IF('0.0%'!$N709&lt;$Z$3,0, '0.0%'!$R709/'0.0%'!$N709)</f>
        <v>4.2820512820512819</v>
      </c>
      <c r="Y709" s="13">
        <f>IF('0.0%'!$N709&lt;$Z$3,0, '0.0%'!$S709/'0.0%'!$N709)</f>
        <v>4.1923076923076925</v>
      </c>
    </row>
    <row r="710" spans="1:25" x14ac:dyDescent="0.3">
      <c r="A710" s="17">
        <v>772.45</v>
      </c>
      <c r="B710" s="10">
        <v>8.1</v>
      </c>
      <c r="C710" s="9">
        <v>772.45</v>
      </c>
      <c r="D710" s="10">
        <v>15.7</v>
      </c>
      <c r="E710" s="11">
        <v>772.45</v>
      </c>
      <c r="F710" s="12">
        <v>11.9</v>
      </c>
      <c r="G710" s="11">
        <v>772.45</v>
      </c>
      <c r="H710" s="12">
        <v>15</v>
      </c>
      <c r="I710" s="11">
        <v>772.45</v>
      </c>
      <c r="J710" s="12">
        <v>34.5</v>
      </c>
      <c r="K710" s="11">
        <v>772.45</v>
      </c>
      <c r="L710" s="12">
        <v>33.799999999999997</v>
      </c>
      <c r="M710" s="11">
        <v>772.45</v>
      </c>
      <c r="N710" s="13">
        <v>8.1</v>
      </c>
      <c r="O710" s="13">
        <v>15.7</v>
      </c>
      <c r="P710" s="13">
        <v>11.9</v>
      </c>
      <c r="Q710" s="11">
        <v>15</v>
      </c>
      <c r="R710" s="11">
        <v>34.5</v>
      </c>
      <c r="S710" s="14">
        <v>33.799999999999997</v>
      </c>
      <c r="T710" s="11">
        <v>772.45</v>
      </c>
      <c r="U710" s="13">
        <f>IF('0.0%'!$N710&lt;$Z$3,0, '0.0%'!$O710/'0.0%'!$N710)</f>
        <v>1.9382716049382716</v>
      </c>
      <c r="V710" s="13">
        <f>IF('0.0%'!$N710&lt;$Z$3,0, '0.0%'!$P710/'0.0%'!$N710)</f>
        <v>1.4691358024691359</v>
      </c>
      <c r="W710" s="13">
        <f>IF('0.0%'!$N710&lt;$Z$3,0, '0.0%'!$Q710/'0.0%'!$N710)</f>
        <v>1.8518518518518519</v>
      </c>
      <c r="X710" s="13">
        <f>IF('0.0%'!$N710&lt;$Z$3,0, '0.0%'!$R710/'0.0%'!$N710)</f>
        <v>4.2592592592592595</v>
      </c>
      <c r="Y710" s="13">
        <f>IF('0.0%'!$N710&lt;$Z$3,0, '0.0%'!$S710/'0.0%'!$N710)</f>
        <v>4.1728395061728394</v>
      </c>
    </row>
    <row r="711" spans="1:25" x14ac:dyDescent="0.3">
      <c r="A711" s="17">
        <v>773.44</v>
      </c>
      <c r="B711" s="10">
        <v>8.1999999999999993</v>
      </c>
      <c r="C711" s="9">
        <v>773.44</v>
      </c>
      <c r="D711" s="10">
        <v>15.9</v>
      </c>
      <c r="E711" s="11">
        <v>773.44</v>
      </c>
      <c r="F711" s="12">
        <v>12.2</v>
      </c>
      <c r="G711" s="11">
        <v>773.44</v>
      </c>
      <c r="H711" s="12">
        <v>15.3</v>
      </c>
      <c r="I711" s="11">
        <v>773.44</v>
      </c>
      <c r="J711" s="12">
        <v>34.9</v>
      </c>
      <c r="K711" s="11">
        <v>773.44</v>
      </c>
      <c r="L711" s="12">
        <v>34.5</v>
      </c>
      <c r="M711" s="11">
        <v>773.44</v>
      </c>
      <c r="N711" s="13">
        <v>8.1999999999999993</v>
      </c>
      <c r="O711" s="13">
        <v>15.9</v>
      </c>
      <c r="P711" s="13">
        <v>12.2</v>
      </c>
      <c r="Q711" s="11">
        <v>15.3</v>
      </c>
      <c r="R711" s="11">
        <v>34.9</v>
      </c>
      <c r="S711" s="14">
        <v>34.5</v>
      </c>
      <c r="T711" s="11">
        <v>773.44</v>
      </c>
      <c r="U711" s="13">
        <f>IF('0.0%'!$N711&lt;$Z$3,0, '0.0%'!$O711/'0.0%'!$N711)</f>
        <v>1.9390243902439026</v>
      </c>
      <c r="V711" s="13">
        <f>IF('0.0%'!$N711&lt;$Z$3,0, '0.0%'!$P711/'0.0%'!$N711)</f>
        <v>1.4878048780487805</v>
      </c>
      <c r="W711" s="13">
        <f>IF('0.0%'!$N711&lt;$Z$3,0, '0.0%'!$Q711/'0.0%'!$N711)</f>
        <v>1.8658536585365857</v>
      </c>
      <c r="X711" s="13">
        <f>IF('0.0%'!$N711&lt;$Z$3,0, '0.0%'!$R711/'0.0%'!$N711)</f>
        <v>4.2560975609756095</v>
      </c>
      <c r="Y711" s="13">
        <f>IF('0.0%'!$N711&lt;$Z$3,0, '0.0%'!$S711/'0.0%'!$N711)</f>
        <v>4.2073170731707323</v>
      </c>
    </row>
    <row r="712" spans="1:25" x14ac:dyDescent="0.3">
      <c r="A712" s="17">
        <v>774.43</v>
      </c>
      <c r="B712" s="10">
        <v>8.5</v>
      </c>
      <c r="C712" s="9">
        <v>774.43</v>
      </c>
      <c r="D712" s="10">
        <v>16.399999999999999</v>
      </c>
      <c r="E712" s="11">
        <v>774.43</v>
      </c>
      <c r="F712" s="12">
        <v>12.7</v>
      </c>
      <c r="G712" s="11">
        <v>774.43</v>
      </c>
      <c r="H712" s="12">
        <v>15.9</v>
      </c>
      <c r="I712" s="11">
        <v>774.43</v>
      </c>
      <c r="J712" s="12">
        <v>36</v>
      </c>
      <c r="K712" s="11">
        <v>774.43</v>
      </c>
      <c r="L712" s="12">
        <v>35.700000000000003</v>
      </c>
      <c r="M712" s="11">
        <v>774.43</v>
      </c>
      <c r="N712" s="13">
        <v>8.5</v>
      </c>
      <c r="O712" s="13">
        <v>16.399999999999999</v>
      </c>
      <c r="P712" s="13">
        <v>12.7</v>
      </c>
      <c r="Q712" s="11">
        <v>15.9</v>
      </c>
      <c r="R712" s="11">
        <v>36</v>
      </c>
      <c r="S712" s="14">
        <v>35.700000000000003</v>
      </c>
      <c r="T712" s="11">
        <v>774.43</v>
      </c>
      <c r="U712" s="13">
        <f>IF('0.0%'!$N712&lt;$Z$3,0, '0.0%'!$O712/'0.0%'!$N712)</f>
        <v>1.9294117647058822</v>
      </c>
      <c r="V712" s="13">
        <f>IF('0.0%'!$N712&lt;$Z$3,0, '0.0%'!$P712/'0.0%'!$N712)</f>
        <v>1.4941176470588236</v>
      </c>
      <c r="W712" s="13">
        <f>IF('0.0%'!$N712&lt;$Z$3,0, '0.0%'!$Q712/'0.0%'!$N712)</f>
        <v>1.8705882352941177</v>
      </c>
      <c r="X712" s="13">
        <f>IF('0.0%'!$N712&lt;$Z$3,0, '0.0%'!$R712/'0.0%'!$N712)</f>
        <v>4.2352941176470589</v>
      </c>
      <c r="Y712" s="13">
        <f>IF('0.0%'!$N712&lt;$Z$3,0, '0.0%'!$S712/'0.0%'!$N712)</f>
        <v>4.2</v>
      </c>
    </row>
    <row r="713" spans="1:25" x14ac:dyDescent="0.3">
      <c r="A713" s="17">
        <v>775.43</v>
      </c>
      <c r="B713" s="10">
        <v>8.6999999999999993</v>
      </c>
      <c r="C713" s="9">
        <v>775.43</v>
      </c>
      <c r="D713" s="10">
        <v>16.600000000000001</v>
      </c>
      <c r="E713" s="11">
        <v>775.43</v>
      </c>
      <c r="F713" s="12">
        <v>13</v>
      </c>
      <c r="G713" s="11">
        <v>775.43</v>
      </c>
      <c r="H713" s="12">
        <v>16.2</v>
      </c>
      <c r="I713" s="11">
        <v>775.43</v>
      </c>
      <c r="J713" s="12">
        <v>36.5</v>
      </c>
      <c r="K713" s="11">
        <v>775.43</v>
      </c>
      <c r="L713" s="12">
        <v>36.4</v>
      </c>
      <c r="M713" s="11">
        <v>775.43</v>
      </c>
      <c r="N713" s="13">
        <v>8.6999999999999993</v>
      </c>
      <c r="O713" s="13">
        <v>16.600000000000001</v>
      </c>
      <c r="P713" s="13">
        <v>13</v>
      </c>
      <c r="Q713" s="11">
        <v>16.2</v>
      </c>
      <c r="R713" s="11">
        <v>36.5</v>
      </c>
      <c r="S713" s="14">
        <v>36.4</v>
      </c>
      <c r="T713" s="11">
        <v>775.43</v>
      </c>
      <c r="U713" s="13">
        <f>IF('0.0%'!$N713&lt;$Z$3,0, '0.0%'!$O713/'0.0%'!$N713)</f>
        <v>1.9080459770114946</v>
      </c>
      <c r="V713" s="13">
        <f>IF('0.0%'!$N713&lt;$Z$3,0, '0.0%'!$P713/'0.0%'!$N713)</f>
        <v>1.4942528735632186</v>
      </c>
      <c r="W713" s="13">
        <f>IF('0.0%'!$N713&lt;$Z$3,0, '0.0%'!$Q713/'0.0%'!$N713)</f>
        <v>1.8620689655172415</v>
      </c>
      <c r="X713" s="13">
        <f>IF('0.0%'!$N713&lt;$Z$3,0, '0.0%'!$R713/'0.0%'!$N713)</f>
        <v>4.195402298850575</v>
      </c>
      <c r="Y713" s="13">
        <f>IF('0.0%'!$N713&lt;$Z$3,0, '0.0%'!$S713/'0.0%'!$N713)</f>
        <v>4.1839080459770113</v>
      </c>
    </row>
    <row r="714" spans="1:25" x14ac:dyDescent="0.3">
      <c r="A714" s="17">
        <v>776.42</v>
      </c>
      <c r="B714" s="10">
        <v>9</v>
      </c>
      <c r="C714" s="9">
        <v>776.42</v>
      </c>
      <c r="D714" s="10">
        <v>17.100000000000001</v>
      </c>
      <c r="E714" s="11">
        <v>776.42</v>
      </c>
      <c r="F714" s="12">
        <v>13.5</v>
      </c>
      <c r="G714" s="11">
        <v>776.42</v>
      </c>
      <c r="H714" s="12">
        <v>16.8</v>
      </c>
      <c r="I714" s="11">
        <v>776.42</v>
      </c>
      <c r="J714" s="12">
        <v>37.5</v>
      </c>
      <c r="K714" s="11">
        <v>776.42</v>
      </c>
      <c r="L714" s="12">
        <v>37.700000000000003</v>
      </c>
      <c r="M714" s="11">
        <v>776.42</v>
      </c>
      <c r="N714" s="13">
        <v>9</v>
      </c>
      <c r="O714" s="13">
        <v>17.100000000000001</v>
      </c>
      <c r="P714" s="13">
        <v>13.5</v>
      </c>
      <c r="Q714" s="11">
        <v>16.8</v>
      </c>
      <c r="R714" s="11">
        <v>37.5</v>
      </c>
      <c r="S714" s="14">
        <v>37.700000000000003</v>
      </c>
      <c r="T714" s="11">
        <v>776.42</v>
      </c>
      <c r="U714" s="13">
        <f>IF('0.0%'!$N714&lt;$Z$3,0, '0.0%'!$O714/'0.0%'!$N714)</f>
        <v>1.9000000000000001</v>
      </c>
      <c r="V714" s="13">
        <f>IF('0.0%'!$N714&lt;$Z$3,0, '0.0%'!$P714/'0.0%'!$N714)</f>
        <v>1.5</v>
      </c>
      <c r="W714" s="13">
        <f>IF('0.0%'!$N714&lt;$Z$3,0, '0.0%'!$Q714/'0.0%'!$N714)</f>
        <v>1.8666666666666667</v>
      </c>
      <c r="X714" s="13">
        <f>IF('0.0%'!$N714&lt;$Z$3,0, '0.0%'!$R714/'0.0%'!$N714)</f>
        <v>4.166666666666667</v>
      </c>
      <c r="Y714" s="13">
        <f>IF('0.0%'!$N714&lt;$Z$3,0, '0.0%'!$S714/'0.0%'!$N714)</f>
        <v>4.1888888888888891</v>
      </c>
    </row>
    <row r="715" spans="1:25" x14ac:dyDescent="0.3">
      <c r="A715" s="17">
        <v>777.41</v>
      </c>
      <c r="B715" s="10">
        <v>9.1999999999999993</v>
      </c>
      <c r="C715" s="9">
        <v>777.41</v>
      </c>
      <c r="D715" s="10">
        <v>17.3</v>
      </c>
      <c r="E715" s="11">
        <v>777.41</v>
      </c>
      <c r="F715" s="12">
        <v>13.7</v>
      </c>
      <c r="G715" s="11">
        <v>777.41</v>
      </c>
      <c r="H715" s="12">
        <v>17</v>
      </c>
      <c r="I715" s="11">
        <v>777.41</v>
      </c>
      <c r="J715" s="12">
        <v>37.9</v>
      </c>
      <c r="K715" s="11">
        <v>777.41</v>
      </c>
      <c r="L715" s="12">
        <v>38.299999999999997</v>
      </c>
      <c r="M715" s="11">
        <v>777.41</v>
      </c>
      <c r="N715" s="13">
        <v>9.1999999999999993</v>
      </c>
      <c r="O715" s="13">
        <v>17.3</v>
      </c>
      <c r="P715" s="13">
        <v>13.7</v>
      </c>
      <c r="Q715" s="11">
        <v>17</v>
      </c>
      <c r="R715" s="11">
        <v>37.9</v>
      </c>
      <c r="S715" s="14">
        <v>38.299999999999997</v>
      </c>
      <c r="T715" s="11">
        <v>777.41</v>
      </c>
      <c r="U715" s="13">
        <f>IF('0.0%'!$N715&lt;$Z$3,0, '0.0%'!$O715/'0.0%'!$N715)</f>
        <v>1.8804347826086958</v>
      </c>
      <c r="V715" s="13">
        <f>IF('0.0%'!$N715&lt;$Z$3,0, '0.0%'!$P715/'0.0%'!$N715)</f>
        <v>1.4891304347826086</v>
      </c>
      <c r="W715" s="13">
        <f>IF('0.0%'!$N715&lt;$Z$3,0, '0.0%'!$Q715/'0.0%'!$N715)</f>
        <v>1.847826086956522</v>
      </c>
      <c r="X715" s="13">
        <f>IF('0.0%'!$N715&lt;$Z$3,0, '0.0%'!$R715/'0.0%'!$N715)</f>
        <v>4.1195652173913047</v>
      </c>
      <c r="Y715" s="13">
        <f>IF('0.0%'!$N715&lt;$Z$3,0, '0.0%'!$S715/'0.0%'!$N715)</f>
        <v>4.1630434782608692</v>
      </c>
    </row>
    <row r="716" spans="1:25" x14ac:dyDescent="0.3">
      <c r="A716" s="17">
        <v>778.4</v>
      </c>
      <c r="B716" s="10">
        <v>9.6</v>
      </c>
      <c r="C716" s="9">
        <v>778.4</v>
      </c>
      <c r="D716" s="10">
        <v>17.8</v>
      </c>
      <c r="E716" s="11">
        <v>778.4</v>
      </c>
      <c r="F716" s="12">
        <v>14.3</v>
      </c>
      <c r="G716" s="11">
        <v>778.4</v>
      </c>
      <c r="H716" s="12">
        <v>17.7</v>
      </c>
      <c r="I716" s="11">
        <v>778.4</v>
      </c>
      <c r="J716" s="12">
        <v>39</v>
      </c>
      <c r="K716" s="11">
        <v>778.4</v>
      </c>
      <c r="L716" s="12">
        <v>39.5</v>
      </c>
      <c r="M716" s="11">
        <v>778.4</v>
      </c>
      <c r="N716" s="13">
        <v>9.6</v>
      </c>
      <c r="O716" s="13">
        <v>17.8</v>
      </c>
      <c r="P716" s="13">
        <v>14.3</v>
      </c>
      <c r="Q716" s="11">
        <v>17.7</v>
      </c>
      <c r="R716" s="11">
        <v>39</v>
      </c>
      <c r="S716" s="14">
        <v>39.5</v>
      </c>
      <c r="T716" s="11">
        <v>778.4</v>
      </c>
      <c r="U716" s="13">
        <f>IF('0.0%'!$N716&lt;$Z$3,0, '0.0%'!$O716/'0.0%'!$N716)</f>
        <v>1.8541666666666667</v>
      </c>
      <c r="V716" s="13">
        <f>IF('0.0%'!$N716&lt;$Z$3,0, '0.0%'!$P716/'0.0%'!$N716)</f>
        <v>1.4895833333333335</v>
      </c>
      <c r="W716" s="13">
        <f>IF('0.0%'!$N716&lt;$Z$3,0, '0.0%'!$Q716/'0.0%'!$N716)</f>
        <v>1.84375</v>
      </c>
      <c r="X716" s="13">
        <f>IF('0.0%'!$N716&lt;$Z$3,0, '0.0%'!$R716/'0.0%'!$N716)</f>
        <v>4.0625</v>
      </c>
      <c r="Y716" s="13">
        <f>IF('0.0%'!$N716&lt;$Z$3,0, '0.0%'!$S716/'0.0%'!$N716)</f>
        <v>4.1145833333333339</v>
      </c>
    </row>
    <row r="717" spans="1:25" x14ac:dyDescent="0.3">
      <c r="A717" s="17">
        <v>779.39</v>
      </c>
      <c r="B717" s="10">
        <v>9.8000000000000007</v>
      </c>
      <c r="C717" s="9">
        <v>779.39</v>
      </c>
      <c r="D717" s="10">
        <v>18.100000000000001</v>
      </c>
      <c r="E717" s="11">
        <v>779.39</v>
      </c>
      <c r="F717" s="12">
        <v>14.6</v>
      </c>
      <c r="G717" s="11">
        <v>779.39</v>
      </c>
      <c r="H717" s="12">
        <v>18.100000000000001</v>
      </c>
      <c r="I717" s="11">
        <v>779.39</v>
      </c>
      <c r="J717" s="12">
        <v>39.5</v>
      </c>
      <c r="K717" s="11">
        <v>779.39</v>
      </c>
      <c r="L717" s="12">
        <v>40.200000000000003</v>
      </c>
      <c r="M717" s="11">
        <v>779.39</v>
      </c>
      <c r="N717" s="13">
        <v>9.8000000000000007</v>
      </c>
      <c r="O717" s="13">
        <v>18.100000000000001</v>
      </c>
      <c r="P717" s="13">
        <v>14.6</v>
      </c>
      <c r="Q717" s="11">
        <v>18.100000000000001</v>
      </c>
      <c r="R717" s="11">
        <v>39.5</v>
      </c>
      <c r="S717" s="14">
        <v>40.200000000000003</v>
      </c>
      <c r="T717" s="11">
        <v>779.39</v>
      </c>
      <c r="U717" s="13">
        <f>IF('0.0%'!$N717&lt;$Z$3,0, '0.0%'!$O717/'0.0%'!$N717)</f>
        <v>1.846938775510204</v>
      </c>
      <c r="V717" s="13">
        <f>IF('0.0%'!$N717&lt;$Z$3,0, '0.0%'!$P717/'0.0%'!$N717)</f>
        <v>1.4897959183673468</v>
      </c>
      <c r="W717" s="13">
        <f>IF('0.0%'!$N717&lt;$Z$3,0, '0.0%'!$Q717/'0.0%'!$N717)</f>
        <v>1.846938775510204</v>
      </c>
      <c r="X717" s="13">
        <f>IF('0.0%'!$N717&lt;$Z$3,0, '0.0%'!$R717/'0.0%'!$N717)</f>
        <v>4.0306122448979593</v>
      </c>
      <c r="Y717" s="13">
        <f>IF('0.0%'!$N717&lt;$Z$3,0, '0.0%'!$S717/'0.0%'!$N717)</f>
        <v>4.1020408163265305</v>
      </c>
    </row>
    <row r="718" spans="1:25" x14ac:dyDescent="0.3">
      <c r="A718" s="17">
        <v>780.38</v>
      </c>
      <c r="B718" s="10">
        <v>10.199999999999999</v>
      </c>
      <c r="C718" s="9">
        <v>780.38</v>
      </c>
      <c r="D718" s="10">
        <v>18.7</v>
      </c>
      <c r="E718" s="11">
        <v>780.38</v>
      </c>
      <c r="F718" s="12">
        <v>15.3</v>
      </c>
      <c r="G718" s="11">
        <v>780.38</v>
      </c>
      <c r="H718" s="12">
        <v>18.8</v>
      </c>
      <c r="I718" s="11">
        <v>780.38</v>
      </c>
      <c r="J718" s="12">
        <v>40.700000000000003</v>
      </c>
      <c r="K718" s="11">
        <v>780.38</v>
      </c>
      <c r="L718" s="12">
        <v>41.6</v>
      </c>
      <c r="M718" s="11">
        <v>780.38</v>
      </c>
      <c r="N718" s="13">
        <v>10.199999999999999</v>
      </c>
      <c r="O718" s="13">
        <v>18.7</v>
      </c>
      <c r="P718" s="13">
        <v>15.3</v>
      </c>
      <c r="Q718" s="11">
        <v>18.8</v>
      </c>
      <c r="R718" s="11">
        <v>40.700000000000003</v>
      </c>
      <c r="S718" s="14">
        <v>41.6</v>
      </c>
      <c r="T718" s="11">
        <v>780.38</v>
      </c>
      <c r="U718" s="13">
        <f>IF('0.0%'!$N718&lt;$Z$3,0, '0.0%'!$O718/'0.0%'!$N718)</f>
        <v>1.8333333333333335</v>
      </c>
      <c r="V718" s="13">
        <f>IF('0.0%'!$N718&lt;$Z$3,0, '0.0%'!$P718/'0.0%'!$N718)</f>
        <v>1.5000000000000002</v>
      </c>
      <c r="W718" s="13">
        <f>IF('0.0%'!$N718&lt;$Z$3,0, '0.0%'!$Q718/'0.0%'!$N718)</f>
        <v>1.8431372549019609</v>
      </c>
      <c r="X718" s="13">
        <f>IF('0.0%'!$N718&lt;$Z$3,0, '0.0%'!$R718/'0.0%'!$N718)</f>
        <v>3.990196078431373</v>
      </c>
      <c r="Y718" s="13">
        <f>IF('0.0%'!$N718&lt;$Z$3,0, '0.0%'!$S718/'0.0%'!$N718)</f>
        <v>4.0784313725490202</v>
      </c>
    </row>
    <row r="719" spans="1:25" x14ac:dyDescent="0.3">
      <c r="A719" s="17">
        <v>781.38</v>
      </c>
      <c r="B719" s="10">
        <v>10.5</v>
      </c>
      <c r="C719" s="9">
        <v>781.38</v>
      </c>
      <c r="D719" s="10">
        <v>19</v>
      </c>
      <c r="E719" s="11">
        <v>781.38</v>
      </c>
      <c r="F719" s="12">
        <v>15.7</v>
      </c>
      <c r="G719" s="11">
        <v>781.38</v>
      </c>
      <c r="H719" s="12">
        <v>19.3</v>
      </c>
      <c r="I719" s="11">
        <v>781.38</v>
      </c>
      <c r="J719" s="12">
        <v>41.4</v>
      </c>
      <c r="K719" s="11">
        <v>781.38</v>
      </c>
      <c r="L719" s="12">
        <v>42.4</v>
      </c>
      <c r="M719" s="11">
        <v>781.38</v>
      </c>
      <c r="N719" s="13">
        <v>10.5</v>
      </c>
      <c r="O719" s="13">
        <v>19</v>
      </c>
      <c r="P719" s="13">
        <v>15.7</v>
      </c>
      <c r="Q719" s="11">
        <v>19.3</v>
      </c>
      <c r="R719" s="11">
        <v>41.4</v>
      </c>
      <c r="S719" s="14">
        <v>42.4</v>
      </c>
      <c r="T719" s="11">
        <v>781.38</v>
      </c>
      <c r="U719" s="13">
        <f>IF('0.0%'!$N719&lt;$Z$3,0, '0.0%'!$O719/'0.0%'!$N719)</f>
        <v>1.8095238095238095</v>
      </c>
      <c r="V719" s="13">
        <f>IF('0.0%'!$N719&lt;$Z$3,0, '0.0%'!$P719/'0.0%'!$N719)</f>
        <v>1.4952380952380953</v>
      </c>
      <c r="W719" s="13">
        <f>IF('0.0%'!$N719&lt;$Z$3,0, '0.0%'!$Q719/'0.0%'!$N719)</f>
        <v>1.8380952380952382</v>
      </c>
      <c r="X719" s="13">
        <f>IF('0.0%'!$N719&lt;$Z$3,0, '0.0%'!$R719/'0.0%'!$N719)</f>
        <v>3.9428571428571426</v>
      </c>
      <c r="Y719" s="13">
        <f>IF('0.0%'!$N719&lt;$Z$3,0, '0.0%'!$S719/'0.0%'!$N719)</f>
        <v>4.038095238095238</v>
      </c>
    </row>
    <row r="720" spans="1:25" x14ac:dyDescent="0.3">
      <c r="A720" s="17">
        <v>782.37</v>
      </c>
      <c r="B720" s="10">
        <v>11.1</v>
      </c>
      <c r="C720" s="9">
        <v>782.37</v>
      </c>
      <c r="D720" s="10">
        <v>19.8</v>
      </c>
      <c r="E720" s="11">
        <v>782.37</v>
      </c>
      <c r="F720" s="12">
        <v>16.5</v>
      </c>
      <c r="G720" s="11">
        <v>782.37</v>
      </c>
      <c r="H720" s="12">
        <v>20.100000000000001</v>
      </c>
      <c r="I720" s="11">
        <v>782.37</v>
      </c>
      <c r="J720" s="12">
        <v>42.7</v>
      </c>
      <c r="K720" s="11">
        <v>782.37</v>
      </c>
      <c r="L720" s="12">
        <v>43.9</v>
      </c>
      <c r="M720" s="11">
        <v>782.37</v>
      </c>
      <c r="N720" s="13">
        <v>11.1</v>
      </c>
      <c r="O720" s="13">
        <v>19.8</v>
      </c>
      <c r="P720" s="13">
        <v>16.5</v>
      </c>
      <c r="Q720" s="11">
        <v>20.100000000000001</v>
      </c>
      <c r="R720" s="11">
        <v>42.7</v>
      </c>
      <c r="S720" s="14">
        <v>43.9</v>
      </c>
      <c r="T720" s="11">
        <v>782.37</v>
      </c>
      <c r="U720" s="13">
        <f>IF('0.0%'!$N720&lt;$Z$3,0, '0.0%'!$O720/'0.0%'!$N720)</f>
        <v>1.783783783783784</v>
      </c>
      <c r="V720" s="13">
        <f>IF('0.0%'!$N720&lt;$Z$3,0, '0.0%'!$P720/'0.0%'!$N720)</f>
        <v>1.4864864864864866</v>
      </c>
      <c r="W720" s="13">
        <f>IF('0.0%'!$N720&lt;$Z$3,0, '0.0%'!$Q720/'0.0%'!$N720)</f>
        <v>1.810810810810811</v>
      </c>
      <c r="X720" s="13">
        <f>IF('0.0%'!$N720&lt;$Z$3,0, '0.0%'!$R720/'0.0%'!$N720)</f>
        <v>3.8468468468468471</v>
      </c>
      <c r="Y720" s="13">
        <f>IF('0.0%'!$N720&lt;$Z$3,0, '0.0%'!$S720/'0.0%'!$N720)</f>
        <v>3.954954954954955</v>
      </c>
    </row>
    <row r="721" spans="1:25" x14ac:dyDescent="0.3">
      <c r="A721" s="17">
        <v>783.36</v>
      </c>
      <c r="B721" s="10">
        <v>11.4</v>
      </c>
      <c r="C721" s="9">
        <v>783.36</v>
      </c>
      <c r="D721" s="10">
        <v>20.2</v>
      </c>
      <c r="E721" s="11">
        <v>783.36</v>
      </c>
      <c r="F721" s="12">
        <v>17</v>
      </c>
      <c r="G721" s="11">
        <v>783.36</v>
      </c>
      <c r="H721" s="12">
        <v>20.7</v>
      </c>
      <c r="I721" s="11">
        <v>783.36</v>
      </c>
      <c r="J721" s="12">
        <v>43.5</v>
      </c>
      <c r="K721" s="11">
        <v>783.36</v>
      </c>
      <c r="L721" s="12">
        <v>44.9</v>
      </c>
      <c r="M721" s="11">
        <v>783.36</v>
      </c>
      <c r="N721" s="13">
        <v>11.4</v>
      </c>
      <c r="O721" s="13">
        <v>20.2</v>
      </c>
      <c r="P721" s="13">
        <v>17</v>
      </c>
      <c r="Q721" s="11">
        <v>20.7</v>
      </c>
      <c r="R721" s="11">
        <v>43.5</v>
      </c>
      <c r="S721" s="14">
        <v>44.9</v>
      </c>
      <c r="T721" s="11">
        <v>783.36</v>
      </c>
      <c r="U721" s="13">
        <f>IF('0.0%'!$N721&lt;$Z$3,0, '0.0%'!$O721/'0.0%'!$N721)</f>
        <v>1.7719298245614035</v>
      </c>
      <c r="V721" s="13">
        <f>IF('0.0%'!$N721&lt;$Z$3,0, '0.0%'!$P721/'0.0%'!$N721)</f>
        <v>1.4912280701754386</v>
      </c>
      <c r="W721" s="13">
        <f>IF('0.0%'!$N721&lt;$Z$3,0, '0.0%'!$Q721/'0.0%'!$N721)</f>
        <v>1.8157894736842104</v>
      </c>
      <c r="X721" s="13">
        <f>IF('0.0%'!$N721&lt;$Z$3,0, '0.0%'!$R721/'0.0%'!$N721)</f>
        <v>3.8157894736842106</v>
      </c>
      <c r="Y721" s="13">
        <f>IF('0.0%'!$N721&lt;$Z$3,0, '0.0%'!$S721/'0.0%'!$N721)</f>
        <v>3.9385964912280698</v>
      </c>
    </row>
    <row r="722" spans="1:25" x14ac:dyDescent="0.3">
      <c r="A722" s="17">
        <v>784.35</v>
      </c>
      <c r="B722" s="10">
        <v>12</v>
      </c>
      <c r="C722" s="9">
        <v>784.35</v>
      </c>
      <c r="D722" s="10">
        <v>21.1</v>
      </c>
      <c r="E722" s="11">
        <v>784.35</v>
      </c>
      <c r="F722" s="12">
        <v>17.8</v>
      </c>
      <c r="G722" s="11">
        <v>784.35</v>
      </c>
      <c r="H722" s="12">
        <v>21.6</v>
      </c>
      <c r="I722" s="11">
        <v>784.35</v>
      </c>
      <c r="J722" s="12">
        <v>45</v>
      </c>
      <c r="K722" s="11">
        <v>784.35</v>
      </c>
      <c r="L722" s="12">
        <v>46.6</v>
      </c>
      <c r="M722" s="11">
        <v>784.35</v>
      </c>
      <c r="N722" s="13">
        <v>12</v>
      </c>
      <c r="O722" s="13">
        <v>21.1</v>
      </c>
      <c r="P722" s="13">
        <v>17.8</v>
      </c>
      <c r="Q722" s="11">
        <v>21.6</v>
      </c>
      <c r="R722" s="11">
        <v>45</v>
      </c>
      <c r="S722" s="14">
        <v>46.6</v>
      </c>
      <c r="T722" s="11">
        <v>784.35</v>
      </c>
      <c r="U722" s="13">
        <f>IF('0.0%'!$N722&lt;$Z$3,0, '0.0%'!$O722/'0.0%'!$N722)</f>
        <v>1.7583333333333335</v>
      </c>
      <c r="V722" s="13">
        <f>IF('0.0%'!$N722&lt;$Z$3,0, '0.0%'!$P722/'0.0%'!$N722)</f>
        <v>1.4833333333333334</v>
      </c>
      <c r="W722" s="13">
        <f>IF('0.0%'!$N722&lt;$Z$3,0, '0.0%'!$Q722/'0.0%'!$N722)</f>
        <v>1.8</v>
      </c>
      <c r="X722" s="13">
        <f>IF('0.0%'!$N722&lt;$Z$3,0, '0.0%'!$R722/'0.0%'!$N722)</f>
        <v>3.75</v>
      </c>
      <c r="Y722" s="13">
        <f>IF('0.0%'!$N722&lt;$Z$3,0, '0.0%'!$S722/'0.0%'!$N722)</f>
        <v>3.8833333333333333</v>
      </c>
    </row>
    <row r="723" spans="1:25" x14ac:dyDescent="0.3">
      <c r="A723" s="17">
        <v>785.34</v>
      </c>
      <c r="B723" s="10">
        <v>12.4</v>
      </c>
      <c r="C723" s="9">
        <v>785.34</v>
      </c>
      <c r="D723" s="10">
        <v>21.6</v>
      </c>
      <c r="E723" s="11">
        <v>785.34</v>
      </c>
      <c r="F723" s="12">
        <v>18.399999999999999</v>
      </c>
      <c r="G723" s="11">
        <v>785.34</v>
      </c>
      <c r="H723" s="12">
        <v>22.3</v>
      </c>
      <c r="I723" s="11">
        <v>785.34</v>
      </c>
      <c r="J723" s="12">
        <v>46</v>
      </c>
      <c r="K723" s="11">
        <v>785.34</v>
      </c>
      <c r="L723" s="12">
        <v>47.8</v>
      </c>
      <c r="M723" s="11">
        <v>785.34</v>
      </c>
      <c r="N723" s="13">
        <v>12.4</v>
      </c>
      <c r="O723" s="13">
        <v>21.6</v>
      </c>
      <c r="P723" s="13">
        <v>18.399999999999999</v>
      </c>
      <c r="Q723" s="11">
        <v>22.3</v>
      </c>
      <c r="R723" s="11">
        <v>46</v>
      </c>
      <c r="S723" s="14">
        <v>47.8</v>
      </c>
      <c r="T723" s="11">
        <v>785.34</v>
      </c>
      <c r="U723" s="13">
        <f>IF('0.0%'!$N723&lt;$Z$3,0, '0.0%'!$O723/'0.0%'!$N723)</f>
        <v>1.7419354838709677</v>
      </c>
      <c r="V723" s="13">
        <f>IF('0.0%'!$N723&lt;$Z$3,0, '0.0%'!$P723/'0.0%'!$N723)</f>
        <v>1.4838709677419353</v>
      </c>
      <c r="W723" s="13">
        <f>IF('0.0%'!$N723&lt;$Z$3,0, '0.0%'!$Q723/'0.0%'!$N723)</f>
        <v>1.7983870967741935</v>
      </c>
      <c r="X723" s="13">
        <f>IF('0.0%'!$N723&lt;$Z$3,0, '0.0%'!$R723/'0.0%'!$N723)</f>
        <v>3.7096774193548385</v>
      </c>
      <c r="Y723" s="13">
        <f>IF('0.0%'!$N723&lt;$Z$3,0, '0.0%'!$S723/'0.0%'!$N723)</f>
        <v>3.854838709677419</v>
      </c>
    </row>
    <row r="724" spans="1:25" x14ac:dyDescent="0.3">
      <c r="A724" s="17">
        <v>786.33</v>
      </c>
      <c r="B724" s="10">
        <v>13.1</v>
      </c>
      <c r="C724" s="9">
        <v>786.33</v>
      </c>
      <c r="D724" s="10">
        <v>22.6</v>
      </c>
      <c r="E724" s="11">
        <v>786.33</v>
      </c>
      <c r="F724" s="12">
        <v>19.399999999999999</v>
      </c>
      <c r="G724" s="11">
        <v>786.33</v>
      </c>
      <c r="H724" s="12">
        <v>23.4</v>
      </c>
      <c r="I724" s="11">
        <v>786.33</v>
      </c>
      <c r="J724" s="12">
        <v>47.7</v>
      </c>
      <c r="K724" s="11">
        <v>786.33</v>
      </c>
      <c r="L724" s="12">
        <v>49.6</v>
      </c>
      <c r="M724" s="11">
        <v>786.33</v>
      </c>
      <c r="N724" s="13">
        <v>13.1</v>
      </c>
      <c r="O724" s="13">
        <v>22.6</v>
      </c>
      <c r="P724" s="13">
        <v>19.399999999999999</v>
      </c>
      <c r="Q724" s="11">
        <v>23.4</v>
      </c>
      <c r="R724" s="11">
        <v>47.7</v>
      </c>
      <c r="S724" s="14">
        <v>49.6</v>
      </c>
      <c r="T724" s="11">
        <v>786.33</v>
      </c>
      <c r="U724" s="13">
        <f>IF('0.0%'!$N724&lt;$Z$3,0, '0.0%'!$O724/'0.0%'!$N724)</f>
        <v>1.7251908396946567</v>
      </c>
      <c r="V724" s="13">
        <f>IF('0.0%'!$N724&lt;$Z$3,0, '0.0%'!$P724/'0.0%'!$N724)</f>
        <v>1.4809160305343512</v>
      </c>
      <c r="W724" s="13">
        <f>IF('0.0%'!$N724&lt;$Z$3,0, '0.0%'!$Q724/'0.0%'!$N724)</f>
        <v>1.7862595419847327</v>
      </c>
      <c r="X724" s="13">
        <f>IF('0.0%'!$N724&lt;$Z$3,0, '0.0%'!$R724/'0.0%'!$N724)</f>
        <v>3.6412213740458017</v>
      </c>
      <c r="Y724" s="13">
        <f>IF('0.0%'!$N724&lt;$Z$3,0, '0.0%'!$S724/'0.0%'!$N724)</f>
        <v>3.7862595419847329</v>
      </c>
    </row>
    <row r="725" spans="1:25" x14ac:dyDescent="0.3">
      <c r="A725" s="17">
        <v>787.33</v>
      </c>
      <c r="B725" s="10">
        <v>13.6</v>
      </c>
      <c r="C725" s="9">
        <v>787.33</v>
      </c>
      <c r="D725" s="10">
        <v>23.3</v>
      </c>
      <c r="E725" s="11">
        <v>787.33</v>
      </c>
      <c r="F725" s="12">
        <v>20.100000000000001</v>
      </c>
      <c r="G725" s="11">
        <v>787.33</v>
      </c>
      <c r="H725" s="12">
        <v>24.2</v>
      </c>
      <c r="I725" s="11">
        <v>787.33</v>
      </c>
      <c r="J725" s="12">
        <v>48.9</v>
      </c>
      <c r="K725" s="11">
        <v>787.33</v>
      </c>
      <c r="L725" s="12">
        <v>50.9</v>
      </c>
      <c r="M725" s="11">
        <v>787.33</v>
      </c>
      <c r="N725" s="13">
        <v>13.6</v>
      </c>
      <c r="O725" s="13">
        <v>23.3</v>
      </c>
      <c r="P725" s="13">
        <v>20.100000000000001</v>
      </c>
      <c r="Q725" s="11">
        <v>24.2</v>
      </c>
      <c r="R725" s="11">
        <v>48.9</v>
      </c>
      <c r="S725" s="14">
        <v>50.9</v>
      </c>
      <c r="T725" s="11">
        <v>787.33</v>
      </c>
      <c r="U725" s="13">
        <f>IF('0.0%'!$N725&lt;$Z$3,0, '0.0%'!$O725/'0.0%'!$N725)</f>
        <v>1.7132352941176472</v>
      </c>
      <c r="V725" s="13">
        <f>IF('0.0%'!$N725&lt;$Z$3,0, '0.0%'!$P725/'0.0%'!$N725)</f>
        <v>1.4779411764705883</v>
      </c>
      <c r="W725" s="13">
        <f>IF('0.0%'!$N725&lt;$Z$3,0, '0.0%'!$Q725/'0.0%'!$N725)</f>
        <v>1.7794117647058822</v>
      </c>
      <c r="X725" s="13">
        <f>IF('0.0%'!$N725&lt;$Z$3,0, '0.0%'!$R725/'0.0%'!$N725)</f>
        <v>3.5955882352941178</v>
      </c>
      <c r="Y725" s="13">
        <f>IF('0.0%'!$N725&lt;$Z$3,0, '0.0%'!$S725/'0.0%'!$N725)</f>
        <v>3.7426470588235294</v>
      </c>
    </row>
    <row r="726" spans="1:25" x14ac:dyDescent="0.3">
      <c r="A726" s="17">
        <v>788.32</v>
      </c>
      <c r="B726" s="10">
        <v>14.4</v>
      </c>
      <c r="C726" s="9">
        <v>788.32</v>
      </c>
      <c r="D726" s="10">
        <v>24.4</v>
      </c>
      <c r="E726" s="11">
        <v>788.32</v>
      </c>
      <c r="F726" s="12">
        <v>21.2</v>
      </c>
      <c r="G726" s="11">
        <v>788.32</v>
      </c>
      <c r="H726" s="12">
        <v>25.5</v>
      </c>
      <c r="I726" s="11">
        <v>788.32</v>
      </c>
      <c r="J726" s="12">
        <v>50.9</v>
      </c>
      <c r="K726" s="11">
        <v>788.32</v>
      </c>
      <c r="L726" s="12">
        <v>52.9</v>
      </c>
      <c r="M726" s="11">
        <v>788.32</v>
      </c>
      <c r="N726" s="13">
        <v>14.4</v>
      </c>
      <c r="O726" s="13">
        <v>24.4</v>
      </c>
      <c r="P726" s="13">
        <v>21.2</v>
      </c>
      <c r="Q726" s="11">
        <v>25.5</v>
      </c>
      <c r="R726" s="11">
        <v>50.9</v>
      </c>
      <c r="S726" s="14">
        <v>52.9</v>
      </c>
      <c r="T726" s="11">
        <v>788.32</v>
      </c>
      <c r="U726" s="13">
        <f>IF('0.0%'!$N726&lt;$Z$3,0, '0.0%'!$O726/'0.0%'!$N726)</f>
        <v>1.6944444444444442</v>
      </c>
      <c r="V726" s="13">
        <f>IF('0.0%'!$N726&lt;$Z$3,0, '0.0%'!$P726/'0.0%'!$N726)</f>
        <v>1.4722222222222221</v>
      </c>
      <c r="W726" s="13">
        <f>IF('0.0%'!$N726&lt;$Z$3,0, '0.0%'!$Q726/'0.0%'!$N726)</f>
        <v>1.7708333333333333</v>
      </c>
      <c r="X726" s="13">
        <f>IF('0.0%'!$N726&lt;$Z$3,0, '0.0%'!$R726/'0.0%'!$N726)</f>
        <v>3.5347222222222219</v>
      </c>
      <c r="Y726" s="13">
        <f>IF('0.0%'!$N726&lt;$Z$3,0, '0.0%'!$S726/'0.0%'!$N726)</f>
        <v>3.6736111111111107</v>
      </c>
    </row>
    <row r="727" spans="1:25" x14ac:dyDescent="0.3">
      <c r="A727" s="17">
        <v>789.31</v>
      </c>
      <c r="B727" s="10">
        <v>15.1</v>
      </c>
      <c r="C727" s="9">
        <v>789.31</v>
      </c>
      <c r="D727" s="10">
        <v>25.1</v>
      </c>
      <c r="E727" s="11">
        <v>789.31</v>
      </c>
      <c r="F727" s="12">
        <v>22</v>
      </c>
      <c r="G727" s="11">
        <v>789.31</v>
      </c>
      <c r="H727" s="12">
        <v>26.4</v>
      </c>
      <c r="I727" s="11">
        <v>789.31</v>
      </c>
      <c r="J727" s="12">
        <v>52.2</v>
      </c>
      <c r="K727" s="11">
        <v>789.31</v>
      </c>
      <c r="L727" s="12">
        <v>54.3</v>
      </c>
      <c r="M727" s="11">
        <v>789.31</v>
      </c>
      <c r="N727" s="13">
        <v>15.1</v>
      </c>
      <c r="O727" s="13">
        <v>25.1</v>
      </c>
      <c r="P727" s="13">
        <v>22</v>
      </c>
      <c r="Q727" s="11">
        <v>26.4</v>
      </c>
      <c r="R727" s="11">
        <v>52.2</v>
      </c>
      <c r="S727" s="14">
        <v>54.3</v>
      </c>
      <c r="T727" s="11">
        <v>789.31</v>
      </c>
      <c r="U727" s="13">
        <f>IF('0.0%'!$N727&lt;$Z$3,0, '0.0%'!$O727/'0.0%'!$N727)</f>
        <v>1.6622516556291391</v>
      </c>
      <c r="V727" s="13">
        <f>IF('0.0%'!$N727&lt;$Z$3,0, '0.0%'!$P727/'0.0%'!$N727)</f>
        <v>1.4569536423841061</v>
      </c>
      <c r="W727" s="13">
        <f>IF('0.0%'!$N727&lt;$Z$3,0, '0.0%'!$Q727/'0.0%'!$N727)</f>
        <v>1.7483443708609272</v>
      </c>
      <c r="X727" s="13">
        <f>IF('0.0%'!$N727&lt;$Z$3,0, '0.0%'!$R727/'0.0%'!$N727)</f>
        <v>3.4569536423841063</v>
      </c>
      <c r="Y727" s="13">
        <f>IF('0.0%'!$N727&lt;$Z$3,0, '0.0%'!$S727/'0.0%'!$N727)</f>
        <v>3.5960264900662251</v>
      </c>
    </row>
    <row r="728" spans="1:25" x14ac:dyDescent="0.3">
      <c r="A728" s="17">
        <v>790.3</v>
      </c>
      <c r="B728" s="10">
        <v>16</v>
      </c>
      <c r="C728" s="9">
        <v>790.3</v>
      </c>
      <c r="D728" s="10">
        <v>26.3</v>
      </c>
      <c r="E728" s="11">
        <v>790.3</v>
      </c>
      <c r="F728" s="12">
        <v>23.2</v>
      </c>
      <c r="G728" s="11">
        <v>790.3</v>
      </c>
      <c r="H728" s="12">
        <v>27.8</v>
      </c>
      <c r="I728" s="11">
        <v>790.3</v>
      </c>
      <c r="J728" s="12">
        <v>54.3</v>
      </c>
      <c r="K728" s="11">
        <v>790.3</v>
      </c>
      <c r="L728" s="12">
        <v>56.5</v>
      </c>
      <c r="M728" s="11">
        <v>790.3</v>
      </c>
      <c r="N728" s="13">
        <v>16</v>
      </c>
      <c r="O728" s="13">
        <v>26.3</v>
      </c>
      <c r="P728" s="13">
        <v>23.2</v>
      </c>
      <c r="Q728" s="11">
        <v>27.8</v>
      </c>
      <c r="R728" s="11">
        <v>54.3</v>
      </c>
      <c r="S728" s="14">
        <v>56.5</v>
      </c>
      <c r="T728" s="11">
        <v>790.3</v>
      </c>
      <c r="U728" s="13">
        <f>IF('0.0%'!$N728&lt;$Z$3,0, '0.0%'!$O728/'0.0%'!$N728)</f>
        <v>1.64375</v>
      </c>
      <c r="V728" s="13">
        <f>IF('0.0%'!$N728&lt;$Z$3,0, '0.0%'!$P728/'0.0%'!$N728)</f>
        <v>1.45</v>
      </c>
      <c r="W728" s="13">
        <f>IF('0.0%'!$N728&lt;$Z$3,0, '0.0%'!$Q728/'0.0%'!$N728)</f>
        <v>1.7375</v>
      </c>
      <c r="X728" s="13">
        <f>IF('0.0%'!$N728&lt;$Z$3,0, '0.0%'!$R728/'0.0%'!$N728)</f>
        <v>3.3937499999999998</v>
      </c>
      <c r="Y728" s="13">
        <f>IF('0.0%'!$N728&lt;$Z$3,0, '0.0%'!$S728/'0.0%'!$N728)</f>
        <v>3.53125</v>
      </c>
    </row>
    <row r="729" spans="1:25" x14ac:dyDescent="0.3">
      <c r="A729" s="17">
        <v>791.29</v>
      </c>
      <c r="B729" s="10">
        <v>16.600000000000001</v>
      </c>
      <c r="C729" s="9">
        <v>791.29</v>
      </c>
      <c r="D729" s="10">
        <v>27.1</v>
      </c>
      <c r="E729" s="11">
        <v>791.29</v>
      </c>
      <c r="F729" s="12">
        <v>24.1</v>
      </c>
      <c r="G729" s="11">
        <v>791.29</v>
      </c>
      <c r="H729" s="12">
        <v>28.8</v>
      </c>
      <c r="I729" s="11">
        <v>791.29</v>
      </c>
      <c r="J729" s="12">
        <v>55.7</v>
      </c>
      <c r="K729" s="11">
        <v>791.29</v>
      </c>
      <c r="L729" s="12">
        <v>57.9</v>
      </c>
      <c r="M729" s="11">
        <v>791.29</v>
      </c>
      <c r="N729" s="13">
        <v>16.600000000000001</v>
      </c>
      <c r="O729" s="13">
        <v>27.1</v>
      </c>
      <c r="P729" s="13">
        <v>24.1</v>
      </c>
      <c r="Q729" s="11">
        <v>28.8</v>
      </c>
      <c r="R729" s="11">
        <v>55.7</v>
      </c>
      <c r="S729" s="14">
        <v>57.9</v>
      </c>
      <c r="T729" s="11">
        <v>791.29</v>
      </c>
      <c r="U729" s="13">
        <f>IF('0.0%'!$N729&lt;$Z$3,0, '0.0%'!$O729/'0.0%'!$N729)</f>
        <v>1.6325301204819276</v>
      </c>
      <c r="V729" s="13">
        <f>IF('0.0%'!$N729&lt;$Z$3,0, '0.0%'!$P729/'0.0%'!$N729)</f>
        <v>1.4518072289156627</v>
      </c>
      <c r="W729" s="13">
        <f>IF('0.0%'!$N729&lt;$Z$3,0, '0.0%'!$Q729/'0.0%'!$N729)</f>
        <v>1.7349397590361444</v>
      </c>
      <c r="X729" s="13">
        <f>IF('0.0%'!$N729&lt;$Z$3,0, '0.0%'!$R729/'0.0%'!$N729)</f>
        <v>3.3554216867469879</v>
      </c>
      <c r="Y729" s="13">
        <f>IF('0.0%'!$N729&lt;$Z$3,0, '0.0%'!$S729/'0.0%'!$N729)</f>
        <v>3.4879518072289151</v>
      </c>
    </row>
    <row r="730" spans="1:25" x14ac:dyDescent="0.3">
      <c r="A730" s="17">
        <v>792.29</v>
      </c>
      <c r="B730" s="10">
        <v>17.5</v>
      </c>
      <c r="C730" s="9">
        <v>792.29</v>
      </c>
      <c r="D730" s="10">
        <v>28.3</v>
      </c>
      <c r="E730" s="11">
        <v>792.29</v>
      </c>
      <c r="F730" s="12">
        <v>25.4</v>
      </c>
      <c r="G730" s="11">
        <v>792.29</v>
      </c>
      <c r="H730" s="12">
        <v>30.3</v>
      </c>
      <c r="I730" s="11">
        <v>792.29</v>
      </c>
      <c r="J730" s="12">
        <v>57.8</v>
      </c>
      <c r="K730" s="11">
        <v>792.29</v>
      </c>
      <c r="L730" s="12">
        <v>60</v>
      </c>
      <c r="M730" s="11">
        <v>792.29</v>
      </c>
      <c r="N730" s="13">
        <v>17.5</v>
      </c>
      <c r="O730" s="13">
        <v>28.3</v>
      </c>
      <c r="P730" s="13">
        <v>25.4</v>
      </c>
      <c r="Q730" s="11">
        <v>30.3</v>
      </c>
      <c r="R730" s="11">
        <v>57.8</v>
      </c>
      <c r="S730" s="14">
        <v>60</v>
      </c>
      <c r="T730" s="11">
        <v>792.29</v>
      </c>
      <c r="U730" s="13">
        <f>IF('0.0%'!$N730&lt;$Z$3,0, '0.0%'!$O730/'0.0%'!$N730)</f>
        <v>1.6171428571428572</v>
      </c>
      <c r="V730" s="13">
        <f>IF('0.0%'!$N730&lt;$Z$3,0, '0.0%'!$P730/'0.0%'!$N730)</f>
        <v>1.4514285714285713</v>
      </c>
      <c r="W730" s="13">
        <f>IF('0.0%'!$N730&lt;$Z$3,0, '0.0%'!$Q730/'0.0%'!$N730)</f>
        <v>1.7314285714285715</v>
      </c>
      <c r="X730" s="13">
        <f>IF('0.0%'!$N730&lt;$Z$3,0, '0.0%'!$R730/'0.0%'!$N730)</f>
        <v>3.3028571428571425</v>
      </c>
      <c r="Y730" s="13">
        <f>IF('0.0%'!$N730&lt;$Z$3,0, '0.0%'!$S730/'0.0%'!$N730)</f>
        <v>3.4285714285714284</v>
      </c>
    </row>
    <row r="731" spans="1:25" x14ac:dyDescent="0.3">
      <c r="A731" s="17">
        <v>793.28</v>
      </c>
      <c r="B731" s="10">
        <v>18.2</v>
      </c>
      <c r="C731" s="9">
        <v>793.28</v>
      </c>
      <c r="D731" s="10">
        <v>29.1</v>
      </c>
      <c r="E731" s="11">
        <v>793.28</v>
      </c>
      <c r="F731" s="12">
        <v>26.3</v>
      </c>
      <c r="G731" s="11">
        <v>793.28</v>
      </c>
      <c r="H731" s="12">
        <v>31.4</v>
      </c>
      <c r="I731" s="11">
        <v>793.28</v>
      </c>
      <c r="J731" s="12">
        <v>59.3</v>
      </c>
      <c r="K731" s="11">
        <v>793.28</v>
      </c>
      <c r="L731" s="12">
        <v>61.6</v>
      </c>
      <c r="M731" s="11">
        <v>793.28</v>
      </c>
      <c r="N731" s="13">
        <v>18.2</v>
      </c>
      <c r="O731" s="13">
        <v>29.1</v>
      </c>
      <c r="P731" s="13">
        <v>26.3</v>
      </c>
      <c r="Q731" s="11">
        <v>31.4</v>
      </c>
      <c r="R731" s="11">
        <v>59.3</v>
      </c>
      <c r="S731" s="14">
        <v>61.6</v>
      </c>
      <c r="T731" s="11">
        <v>793.28</v>
      </c>
      <c r="U731" s="13">
        <f>IF('0.0%'!$N731&lt;$Z$3,0, '0.0%'!$O731/'0.0%'!$N731)</f>
        <v>1.598901098901099</v>
      </c>
      <c r="V731" s="13">
        <f>IF('0.0%'!$N731&lt;$Z$3,0, '0.0%'!$P731/'0.0%'!$N731)</f>
        <v>1.4450549450549453</v>
      </c>
      <c r="W731" s="13">
        <f>IF('0.0%'!$N731&lt;$Z$3,0, '0.0%'!$Q731/'0.0%'!$N731)</f>
        <v>1.7252747252747254</v>
      </c>
      <c r="X731" s="13">
        <f>IF('0.0%'!$N731&lt;$Z$3,0, '0.0%'!$R731/'0.0%'!$N731)</f>
        <v>3.2582417582417582</v>
      </c>
      <c r="Y731" s="13">
        <f>IF('0.0%'!$N731&lt;$Z$3,0, '0.0%'!$S731/'0.0%'!$N731)</f>
        <v>3.384615384615385</v>
      </c>
    </row>
    <row r="732" spans="1:25" x14ac:dyDescent="0.3">
      <c r="A732" s="17">
        <v>794.27</v>
      </c>
      <c r="B732" s="10">
        <v>18.899999999999999</v>
      </c>
      <c r="C732" s="9">
        <v>794.27</v>
      </c>
      <c r="D732" s="10">
        <v>29.9</v>
      </c>
      <c r="E732" s="11">
        <v>794.27</v>
      </c>
      <c r="F732" s="12">
        <v>27.1</v>
      </c>
      <c r="G732" s="11">
        <v>794.27</v>
      </c>
      <c r="H732" s="12">
        <v>32.299999999999997</v>
      </c>
      <c r="I732" s="11">
        <v>794.27</v>
      </c>
      <c r="J732" s="12">
        <v>60.5</v>
      </c>
      <c r="K732" s="11">
        <v>794.27</v>
      </c>
      <c r="L732" s="12">
        <v>62.9</v>
      </c>
      <c r="M732" s="11">
        <v>794.27</v>
      </c>
      <c r="N732" s="13">
        <v>18.899999999999999</v>
      </c>
      <c r="O732" s="13">
        <v>29.9</v>
      </c>
      <c r="P732" s="13">
        <v>27.1</v>
      </c>
      <c r="Q732" s="11">
        <v>32.299999999999997</v>
      </c>
      <c r="R732" s="11">
        <v>60.5</v>
      </c>
      <c r="S732" s="14">
        <v>62.9</v>
      </c>
      <c r="T732" s="11">
        <v>794.27</v>
      </c>
      <c r="U732" s="13">
        <f>IF('0.0%'!$N732&lt;$Z$3,0, '0.0%'!$O732/'0.0%'!$N732)</f>
        <v>1.5820105820105821</v>
      </c>
      <c r="V732" s="13">
        <f>IF('0.0%'!$N732&lt;$Z$3,0, '0.0%'!$P732/'0.0%'!$N732)</f>
        <v>1.4338624338624339</v>
      </c>
      <c r="W732" s="13">
        <f>IF('0.0%'!$N732&lt;$Z$3,0, '0.0%'!$Q732/'0.0%'!$N732)</f>
        <v>1.7089947089947091</v>
      </c>
      <c r="X732" s="13">
        <f>IF('0.0%'!$N732&lt;$Z$3,0, '0.0%'!$R732/'0.0%'!$N732)</f>
        <v>3.2010582010582014</v>
      </c>
      <c r="Y732" s="13">
        <f>IF('0.0%'!$N732&lt;$Z$3,0, '0.0%'!$S732/'0.0%'!$N732)</f>
        <v>3.3280423280423284</v>
      </c>
    </row>
    <row r="733" spans="1:25" x14ac:dyDescent="0.3">
      <c r="A733" s="17">
        <v>795.26</v>
      </c>
      <c r="B733" s="10">
        <v>19.8</v>
      </c>
      <c r="C733" s="9">
        <v>795.26</v>
      </c>
      <c r="D733" s="10">
        <v>31.1</v>
      </c>
      <c r="E733" s="11">
        <v>795.26</v>
      </c>
      <c r="F733" s="12">
        <v>28.4</v>
      </c>
      <c r="G733" s="11">
        <v>795.26</v>
      </c>
      <c r="H733" s="12">
        <v>33.799999999999997</v>
      </c>
      <c r="I733" s="11">
        <v>795.26</v>
      </c>
      <c r="J733" s="12">
        <v>62.6</v>
      </c>
      <c r="K733" s="11">
        <v>795.26</v>
      </c>
      <c r="L733" s="12">
        <v>65</v>
      </c>
      <c r="M733" s="11">
        <v>795.26</v>
      </c>
      <c r="N733" s="13">
        <v>19.8</v>
      </c>
      <c r="O733" s="13">
        <v>31.1</v>
      </c>
      <c r="P733" s="13">
        <v>28.4</v>
      </c>
      <c r="Q733" s="11">
        <v>33.799999999999997</v>
      </c>
      <c r="R733" s="11">
        <v>62.6</v>
      </c>
      <c r="S733" s="14">
        <v>65</v>
      </c>
      <c r="T733" s="11">
        <v>795.26</v>
      </c>
      <c r="U733" s="13">
        <f>IF('0.0%'!$N733&lt;$Z$3,0, '0.0%'!$O733/'0.0%'!$N733)</f>
        <v>1.5707070707070707</v>
      </c>
      <c r="V733" s="13">
        <f>IF('0.0%'!$N733&lt;$Z$3,0, '0.0%'!$P733/'0.0%'!$N733)</f>
        <v>1.4343434343434343</v>
      </c>
      <c r="W733" s="13">
        <f>IF('0.0%'!$N733&lt;$Z$3,0, '0.0%'!$Q733/'0.0%'!$N733)</f>
        <v>1.707070707070707</v>
      </c>
      <c r="X733" s="13">
        <f>IF('0.0%'!$N733&lt;$Z$3,0, '0.0%'!$R733/'0.0%'!$N733)</f>
        <v>3.1616161616161618</v>
      </c>
      <c r="Y733" s="13">
        <f>IF('0.0%'!$N733&lt;$Z$3,0, '0.0%'!$S733/'0.0%'!$N733)</f>
        <v>3.2828282828282829</v>
      </c>
    </row>
    <row r="734" spans="1:25" x14ac:dyDescent="0.3">
      <c r="A734" s="17">
        <v>796.25</v>
      </c>
      <c r="B734" s="10">
        <v>20.5</v>
      </c>
      <c r="C734" s="9">
        <v>796.25</v>
      </c>
      <c r="D734" s="10">
        <v>31.9</v>
      </c>
      <c r="E734" s="11">
        <v>796.25</v>
      </c>
      <c r="F734" s="12">
        <v>29.3</v>
      </c>
      <c r="G734" s="11">
        <v>796.25</v>
      </c>
      <c r="H734" s="12">
        <v>34.9</v>
      </c>
      <c r="I734" s="11">
        <v>796.25</v>
      </c>
      <c r="J734" s="12">
        <v>64</v>
      </c>
      <c r="K734" s="11">
        <v>796.25</v>
      </c>
      <c r="L734" s="12">
        <v>66.5</v>
      </c>
      <c r="M734" s="11">
        <v>796.25</v>
      </c>
      <c r="N734" s="13">
        <v>20.5</v>
      </c>
      <c r="O734" s="13">
        <v>31.9</v>
      </c>
      <c r="P734" s="13">
        <v>29.3</v>
      </c>
      <c r="Q734" s="11">
        <v>34.9</v>
      </c>
      <c r="R734" s="11">
        <v>64</v>
      </c>
      <c r="S734" s="14">
        <v>66.5</v>
      </c>
      <c r="T734" s="11">
        <v>796.25</v>
      </c>
      <c r="U734" s="13">
        <f>IF('0.0%'!$N734&lt;$Z$3,0, '0.0%'!$O734/'0.0%'!$N734)</f>
        <v>1.5560975609756096</v>
      </c>
      <c r="V734" s="13">
        <f>IF('0.0%'!$N734&lt;$Z$3,0, '0.0%'!$P734/'0.0%'!$N734)</f>
        <v>1.4292682926829268</v>
      </c>
      <c r="W734" s="13">
        <f>IF('0.0%'!$N734&lt;$Z$3,0, '0.0%'!$Q734/'0.0%'!$N734)</f>
        <v>1.7024390243902439</v>
      </c>
      <c r="X734" s="13">
        <f>IF('0.0%'!$N734&lt;$Z$3,0, '0.0%'!$R734/'0.0%'!$N734)</f>
        <v>3.1219512195121952</v>
      </c>
      <c r="Y734" s="13">
        <f>IF('0.0%'!$N734&lt;$Z$3,0, '0.0%'!$S734/'0.0%'!$N734)</f>
        <v>3.2439024390243905</v>
      </c>
    </row>
    <row r="735" spans="1:25" x14ac:dyDescent="0.3">
      <c r="A735" s="17">
        <v>797.24</v>
      </c>
      <c r="B735" s="10">
        <v>21.6</v>
      </c>
      <c r="C735" s="9">
        <v>797.24</v>
      </c>
      <c r="D735" s="10">
        <v>33.299999999999997</v>
      </c>
      <c r="E735" s="11">
        <v>797.24</v>
      </c>
      <c r="F735" s="12">
        <v>30.6</v>
      </c>
      <c r="G735" s="11">
        <v>797.24</v>
      </c>
      <c r="H735" s="12">
        <v>36.5</v>
      </c>
      <c r="I735" s="11">
        <v>797.24</v>
      </c>
      <c r="J735" s="12">
        <v>66.099999999999994</v>
      </c>
      <c r="K735" s="11">
        <v>797.24</v>
      </c>
      <c r="L735" s="12">
        <v>68.7</v>
      </c>
      <c r="M735" s="11">
        <v>797.24</v>
      </c>
      <c r="N735" s="13">
        <v>21.6</v>
      </c>
      <c r="O735" s="13">
        <v>33.299999999999997</v>
      </c>
      <c r="P735" s="13">
        <v>30.6</v>
      </c>
      <c r="Q735" s="11">
        <v>36.5</v>
      </c>
      <c r="R735" s="11">
        <v>66.099999999999994</v>
      </c>
      <c r="S735" s="14">
        <v>68.7</v>
      </c>
      <c r="T735" s="11">
        <v>797.24</v>
      </c>
      <c r="U735" s="13">
        <f>IF('0.0%'!$N735&lt;$Z$3,0, '0.0%'!$O735/'0.0%'!$N735)</f>
        <v>1.5416666666666665</v>
      </c>
      <c r="V735" s="13">
        <f>IF('0.0%'!$N735&lt;$Z$3,0, '0.0%'!$P735/'0.0%'!$N735)</f>
        <v>1.4166666666666667</v>
      </c>
      <c r="W735" s="13">
        <f>IF('0.0%'!$N735&lt;$Z$3,0, '0.0%'!$Q735/'0.0%'!$N735)</f>
        <v>1.6898148148148147</v>
      </c>
      <c r="X735" s="13">
        <f>IF('0.0%'!$N735&lt;$Z$3,0, '0.0%'!$R735/'0.0%'!$N735)</f>
        <v>3.0601851851851847</v>
      </c>
      <c r="Y735" s="13">
        <f>IF('0.0%'!$N735&lt;$Z$3,0, '0.0%'!$S735/'0.0%'!$N735)</f>
        <v>3.1805555555555554</v>
      </c>
    </row>
    <row r="736" spans="1:25" x14ac:dyDescent="0.3">
      <c r="A736" s="17">
        <v>798.24</v>
      </c>
      <c r="B736" s="10">
        <v>22.2</v>
      </c>
      <c r="C736" s="9">
        <v>798.24</v>
      </c>
      <c r="D736" s="10">
        <v>34.1</v>
      </c>
      <c r="E736" s="11">
        <v>798.24</v>
      </c>
      <c r="F736" s="12">
        <v>31.5</v>
      </c>
      <c r="G736" s="11">
        <v>798.24</v>
      </c>
      <c r="H736" s="12">
        <v>37.5</v>
      </c>
      <c r="I736" s="11">
        <v>798.24</v>
      </c>
      <c r="J736" s="12">
        <v>67.3</v>
      </c>
      <c r="K736" s="11">
        <v>798.24</v>
      </c>
      <c r="L736" s="12">
        <v>70.099999999999994</v>
      </c>
      <c r="M736" s="11">
        <v>798.24</v>
      </c>
      <c r="N736" s="13">
        <v>22.2</v>
      </c>
      <c r="O736" s="13">
        <v>34.1</v>
      </c>
      <c r="P736" s="13">
        <v>31.5</v>
      </c>
      <c r="Q736" s="11">
        <v>37.5</v>
      </c>
      <c r="R736" s="11">
        <v>67.3</v>
      </c>
      <c r="S736" s="14">
        <v>70.099999999999994</v>
      </c>
      <c r="T736" s="11">
        <v>798.24</v>
      </c>
      <c r="U736" s="13">
        <f>IF('0.0%'!$N736&lt;$Z$3,0, '0.0%'!$O736/'0.0%'!$N736)</f>
        <v>1.5360360360360361</v>
      </c>
      <c r="V736" s="13">
        <f>IF('0.0%'!$N736&lt;$Z$3,0, '0.0%'!$P736/'0.0%'!$N736)</f>
        <v>1.4189189189189189</v>
      </c>
      <c r="W736" s="13">
        <f>IF('0.0%'!$N736&lt;$Z$3,0, '0.0%'!$Q736/'0.0%'!$N736)</f>
        <v>1.6891891891891893</v>
      </c>
      <c r="X736" s="13">
        <f>IF('0.0%'!$N736&lt;$Z$3,0, '0.0%'!$R736/'0.0%'!$N736)</f>
        <v>3.0315315315315314</v>
      </c>
      <c r="Y736" s="13">
        <f>IF('0.0%'!$N736&lt;$Z$3,0, '0.0%'!$S736/'0.0%'!$N736)</f>
        <v>3.1576576576576576</v>
      </c>
    </row>
    <row r="737" spans="1:25" x14ac:dyDescent="0.3">
      <c r="A737" s="17">
        <v>799.23</v>
      </c>
      <c r="B737" s="10">
        <v>23.3</v>
      </c>
      <c r="C737" s="9">
        <v>799.23</v>
      </c>
      <c r="D737" s="10">
        <v>35.5</v>
      </c>
      <c r="E737" s="11">
        <v>799.23</v>
      </c>
      <c r="F737" s="12">
        <v>32.799999999999997</v>
      </c>
      <c r="G737" s="11">
        <v>799.23</v>
      </c>
      <c r="H737" s="12">
        <v>39.1</v>
      </c>
      <c r="I737" s="11">
        <v>799.23</v>
      </c>
      <c r="J737" s="12">
        <v>69.3</v>
      </c>
      <c r="K737" s="11">
        <v>799.23</v>
      </c>
      <c r="L737" s="12">
        <v>72.2</v>
      </c>
      <c r="M737" s="11">
        <v>799.23</v>
      </c>
      <c r="N737" s="13">
        <v>23.3</v>
      </c>
      <c r="O737" s="13">
        <v>35.5</v>
      </c>
      <c r="P737" s="13">
        <v>32.799999999999997</v>
      </c>
      <c r="Q737" s="11">
        <v>39.1</v>
      </c>
      <c r="R737" s="11">
        <v>69.3</v>
      </c>
      <c r="S737" s="14">
        <v>72.2</v>
      </c>
      <c r="T737" s="11">
        <v>799.23</v>
      </c>
      <c r="U737" s="13">
        <f>IF('0.0%'!$N737&lt;$Z$3,0, '0.0%'!$O737/'0.0%'!$N737)</f>
        <v>1.5236051502145922</v>
      </c>
      <c r="V737" s="13">
        <f>IF('0.0%'!$N737&lt;$Z$3,0, '0.0%'!$P737/'0.0%'!$N737)</f>
        <v>1.4077253218884118</v>
      </c>
      <c r="W737" s="13">
        <f>IF('0.0%'!$N737&lt;$Z$3,0, '0.0%'!$Q737/'0.0%'!$N737)</f>
        <v>1.6781115879828326</v>
      </c>
      <c r="X737" s="13">
        <f>IF('0.0%'!$N737&lt;$Z$3,0, '0.0%'!$R737/'0.0%'!$N737)</f>
        <v>2.9742489270386265</v>
      </c>
      <c r="Y737" s="13">
        <f>IF('0.0%'!$N737&lt;$Z$3,0, '0.0%'!$S737/'0.0%'!$N737)</f>
        <v>3.0987124463519313</v>
      </c>
    </row>
    <row r="738" spans="1:25" x14ac:dyDescent="0.3">
      <c r="A738" s="17">
        <v>800.22</v>
      </c>
      <c r="B738" s="10">
        <v>24</v>
      </c>
      <c r="C738" s="9">
        <v>800.22</v>
      </c>
      <c r="D738" s="10">
        <v>36.4</v>
      </c>
      <c r="E738" s="11">
        <v>800.22</v>
      </c>
      <c r="F738" s="12">
        <v>33.799999999999997</v>
      </c>
      <c r="G738" s="11">
        <v>800.22</v>
      </c>
      <c r="H738" s="12">
        <v>40.299999999999997</v>
      </c>
      <c r="I738" s="11">
        <v>800.22</v>
      </c>
      <c r="J738" s="12">
        <v>70.7</v>
      </c>
      <c r="K738" s="11">
        <v>800.22</v>
      </c>
      <c r="L738" s="12">
        <v>73.7</v>
      </c>
      <c r="M738" s="11">
        <v>800.22</v>
      </c>
      <c r="N738" s="13">
        <v>24</v>
      </c>
      <c r="O738" s="13">
        <v>36.4</v>
      </c>
      <c r="P738" s="13">
        <v>33.799999999999997</v>
      </c>
      <c r="Q738" s="11">
        <v>40.299999999999997</v>
      </c>
      <c r="R738" s="11">
        <v>70.7</v>
      </c>
      <c r="S738" s="14">
        <v>73.7</v>
      </c>
      <c r="T738" s="11">
        <v>800.22</v>
      </c>
      <c r="U738" s="13">
        <f>IF('0.0%'!$N738&lt;$Z$3,0, '0.0%'!$O738/'0.0%'!$N738)</f>
        <v>1.5166666666666666</v>
      </c>
      <c r="V738" s="13">
        <f>IF('0.0%'!$N738&lt;$Z$3,0, '0.0%'!$P738/'0.0%'!$N738)</f>
        <v>1.4083333333333332</v>
      </c>
      <c r="W738" s="13">
        <f>IF('0.0%'!$N738&lt;$Z$3,0, '0.0%'!$Q738/'0.0%'!$N738)</f>
        <v>1.6791666666666665</v>
      </c>
      <c r="X738" s="13">
        <f>IF('0.0%'!$N738&lt;$Z$3,0, '0.0%'!$R738/'0.0%'!$N738)</f>
        <v>2.9458333333333333</v>
      </c>
      <c r="Y738" s="13">
        <f>IF('0.0%'!$N738&lt;$Z$3,0, '0.0%'!$S738/'0.0%'!$N738)</f>
        <v>3.0708333333333333</v>
      </c>
    </row>
    <row r="739" spans="1:25" x14ac:dyDescent="0.3">
      <c r="A739" s="17">
        <v>801.21</v>
      </c>
      <c r="B739" s="10">
        <v>25.2</v>
      </c>
      <c r="C739" s="9">
        <v>801.21</v>
      </c>
      <c r="D739" s="10">
        <v>37.9</v>
      </c>
      <c r="E739" s="11">
        <v>801.21</v>
      </c>
      <c r="F739" s="12">
        <v>35.299999999999997</v>
      </c>
      <c r="G739" s="11">
        <v>801.21</v>
      </c>
      <c r="H739" s="12">
        <v>42.1</v>
      </c>
      <c r="I739" s="11">
        <v>801.21</v>
      </c>
      <c r="J739" s="12">
        <v>72.900000000000006</v>
      </c>
      <c r="K739" s="11">
        <v>801.21</v>
      </c>
      <c r="L739" s="12">
        <v>76</v>
      </c>
      <c r="M739" s="11">
        <v>801.21</v>
      </c>
      <c r="N739" s="13">
        <v>25.2</v>
      </c>
      <c r="O739" s="13">
        <v>37.9</v>
      </c>
      <c r="P739" s="13">
        <v>35.299999999999997</v>
      </c>
      <c r="Q739" s="11">
        <v>42.1</v>
      </c>
      <c r="R739" s="11">
        <v>72.900000000000006</v>
      </c>
      <c r="S739" s="14">
        <v>76</v>
      </c>
      <c r="T739" s="11">
        <v>801.21</v>
      </c>
      <c r="U739" s="13">
        <f>IF('0.0%'!$N739&lt;$Z$3,0, '0.0%'!$O739/'0.0%'!$N739)</f>
        <v>1.503968253968254</v>
      </c>
      <c r="V739" s="13">
        <f>IF('0.0%'!$N739&lt;$Z$3,0, '0.0%'!$P739/'0.0%'!$N739)</f>
        <v>1.4007936507936507</v>
      </c>
      <c r="W739" s="13">
        <f>IF('0.0%'!$N739&lt;$Z$3,0, '0.0%'!$Q739/'0.0%'!$N739)</f>
        <v>1.6706349206349207</v>
      </c>
      <c r="X739" s="13">
        <f>IF('0.0%'!$N739&lt;$Z$3,0, '0.0%'!$R739/'0.0%'!$N739)</f>
        <v>2.8928571428571432</v>
      </c>
      <c r="Y739" s="13">
        <f>IF('0.0%'!$N739&lt;$Z$3,0, '0.0%'!$S739/'0.0%'!$N739)</f>
        <v>3.0158730158730158</v>
      </c>
    </row>
    <row r="740" spans="1:25" x14ac:dyDescent="0.3">
      <c r="A740" s="17">
        <v>802.2</v>
      </c>
      <c r="B740" s="10">
        <v>26</v>
      </c>
      <c r="C740" s="9">
        <v>802.2</v>
      </c>
      <c r="D740" s="10">
        <v>39</v>
      </c>
      <c r="E740" s="11">
        <v>802.2</v>
      </c>
      <c r="F740" s="12">
        <v>36.4</v>
      </c>
      <c r="G740" s="11">
        <v>802.2</v>
      </c>
      <c r="H740" s="12">
        <v>43.4</v>
      </c>
      <c r="I740" s="11">
        <v>802.2</v>
      </c>
      <c r="J740" s="12">
        <v>74.400000000000006</v>
      </c>
      <c r="K740" s="11">
        <v>802.2</v>
      </c>
      <c r="L740" s="12">
        <v>77.599999999999994</v>
      </c>
      <c r="M740" s="11">
        <v>802.2</v>
      </c>
      <c r="N740" s="13">
        <v>26</v>
      </c>
      <c r="O740" s="13">
        <v>39</v>
      </c>
      <c r="P740" s="13">
        <v>36.4</v>
      </c>
      <c r="Q740" s="11">
        <v>43.4</v>
      </c>
      <c r="R740" s="11">
        <v>74.400000000000006</v>
      </c>
      <c r="S740" s="14">
        <v>77.599999999999994</v>
      </c>
      <c r="T740" s="11">
        <v>802.2</v>
      </c>
      <c r="U740" s="13">
        <f>IF('0.0%'!$N740&lt;$Z$3,0, '0.0%'!$O740/'0.0%'!$N740)</f>
        <v>1.5</v>
      </c>
      <c r="V740" s="13">
        <f>IF('0.0%'!$N740&lt;$Z$3,0, '0.0%'!$P740/'0.0%'!$N740)</f>
        <v>1.4</v>
      </c>
      <c r="W740" s="13">
        <f>IF('0.0%'!$N740&lt;$Z$3,0, '0.0%'!$Q740/'0.0%'!$N740)</f>
        <v>1.6692307692307691</v>
      </c>
      <c r="X740" s="13">
        <f>IF('0.0%'!$N740&lt;$Z$3,0, '0.0%'!$R740/'0.0%'!$N740)</f>
        <v>2.8615384615384616</v>
      </c>
      <c r="Y740" s="13">
        <f>IF('0.0%'!$N740&lt;$Z$3,0, '0.0%'!$S740/'0.0%'!$N740)</f>
        <v>2.9846153846153842</v>
      </c>
    </row>
    <row r="741" spans="1:25" x14ac:dyDescent="0.3">
      <c r="A741" s="17">
        <v>803.19</v>
      </c>
      <c r="B741" s="10">
        <v>27.3</v>
      </c>
      <c r="C741" s="9">
        <v>803.19</v>
      </c>
      <c r="D741" s="10">
        <v>40.6</v>
      </c>
      <c r="E741" s="11">
        <v>803.19</v>
      </c>
      <c r="F741" s="12">
        <v>38.1</v>
      </c>
      <c r="G741" s="11">
        <v>803.19</v>
      </c>
      <c r="H741" s="12">
        <v>45.3</v>
      </c>
      <c r="I741" s="11">
        <v>803.19</v>
      </c>
      <c r="J741" s="12">
        <v>76.8</v>
      </c>
      <c r="K741" s="11">
        <v>803.19</v>
      </c>
      <c r="L741" s="12">
        <v>80.099999999999994</v>
      </c>
      <c r="M741" s="11">
        <v>803.19</v>
      </c>
      <c r="N741" s="13">
        <v>27.3</v>
      </c>
      <c r="O741" s="13">
        <v>40.6</v>
      </c>
      <c r="P741" s="13">
        <v>38.1</v>
      </c>
      <c r="Q741" s="11">
        <v>45.3</v>
      </c>
      <c r="R741" s="11">
        <v>76.8</v>
      </c>
      <c r="S741" s="14">
        <v>80.099999999999994</v>
      </c>
      <c r="T741" s="11">
        <v>803.19</v>
      </c>
      <c r="U741" s="13">
        <f>IF('0.0%'!$N741&lt;$Z$3,0, '0.0%'!$O741/'0.0%'!$N741)</f>
        <v>1.4871794871794872</v>
      </c>
      <c r="V741" s="13">
        <f>IF('0.0%'!$N741&lt;$Z$3,0, '0.0%'!$P741/'0.0%'!$N741)</f>
        <v>1.3956043956043955</v>
      </c>
      <c r="W741" s="13">
        <f>IF('0.0%'!$N741&lt;$Z$3,0, '0.0%'!$Q741/'0.0%'!$N741)</f>
        <v>1.6593406593406592</v>
      </c>
      <c r="X741" s="13">
        <f>IF('0.0%'!$N741&lt;$Z$3,0, '0.0%'!$R741/'0.0%'!$N741)</f>
        <v>2.813186813186813</v>
      </c>
      <c r="Y741" s="13">
        <f>IF('0.0%'!$N741&lt;$Z$3,0, '0.0%'!$S741/'0.0%'!$N741)</f>
        <v>2.9340659340659339</v>
      </c>
    </row>
    <row r="742" spans="1:25" x14ac:dyDescent="0.3">
      <c r="A742" s="17">
        <v>804.19</v>
      </c>
      <c r="B742" s="10">
        <v>28.2</v>
      </c>
      <c r="C742" s="9">
        <v>804.19</v>
      </c>
      <c r="D742" s="10">
        <v>41.9</v>
      </c>
      <c r="E742" s="11">
        <v>804.19</v>
      </c>
      <c r="F742" s="12">
        <v>39.4</v>
      </c>
      <c r="G742" s="11">
        <v>804.19</v>
      </c>
      <c r="H742" s="12">
        <v>46.8</v>
      </c>
      <c r="I742" s="11">
        <v>804.19</v>
      </c>
      <c r="J742" s="12">
        <v>78.5</v>
      </c>
      <c r="K742" s="11">
        <v>804.19</v>
      </c>
      <c r="L742" s="12">
        <v>82</v>
      </c>
      <c r="M742" s="11">
        <v>804.19</v>
      </c>
      <c r="N742" s="13">
        <v>28.2</v>
      </c>
      <c r="O742" s="13">
        <v>41.9</v>
      </c>
      <c r="P742" s="13">
        <v>39.4</v>
      </c>
      <c r="Q742" s="11">
        <v>46.8</v>
      </c>
      <c r="R742" s="11">
        <v>78.5</v>
      </c>
      <c r="S742" s="14">
        <v>82</v>
      </c>
      <c r="T742" s="11">
        <v>804.19</v>
      </c>
      <c r="U742" s="13">
        <f>IF('0.0%'!$N742&lt;$Z$3,0, '0.0%'!$O742/'0.0%'!$N742)</f>
        <v>1.4858156028368794</v>
      </c>
      <c r="V742" s="13">
        <f>IF('0.0%'!$N742&lt;$Z$3,0, '0.0%'!$P742/'0.0%'!$N742)</f>
        <v>1.3971631205673758</v>
      </c>
      <c r="W742" s="13">
        <f>IF('0.0%'!$N742&lt;$Z$3,0, '0.0%'!$Q742/'0.0%'!$N742)</f>
        <v>1.6595744680851063</v>
      </c>
      <c r="X742" s="13">
        <f>IF('0.0%'!$N742&lt;$Z$3,0, '0.0%'!$R742/'0.0%'!$N742)</f>
        <v>2.7836879432624113</v>
      </c>
      <c r="Y742" s="13">
        <f>IF('0.0%'!$N742&lt;$Z$3,0, '0.0%'!$S742/'0.0%'!$N742)</f>
        <v>2.9078014184397163</v>
      </c>
    </row>
    <row r="743" spans="1:25" x14ac:dyDescent="0.3">
      <c r="A743" s="17">
        <v>805.18</v>
      </c>
      <c r="B743" s="10">
        <v>29.7</v>
      </c>
      <c r="C743" s="9">
        <v>805.18</v>
      </c>
      <c r="D743" s="10">
        <v>43.8</v>
      </c>
      <c r="E743" s="11">
        <v>805.18</v>
      </c>
      <c r="F743" s="12">
        <v>41.3</v>
      </c>
      <c r="G743" s="11">
        <v>805.18</v>
      </c>
      <c r="H743" s="12">
        <v>48.9</v>
      </c>
      <c r="I743" s="11">
        <v>805.18</v>
      </c>
      <c r="J743" s="12">
        <v>81</v>
      </c>
      <c r="K743" s="11">
        <v>805.18</v>
      </c>
      <c r="L743" s="12">
        <v>84.6</v>
      </c>
      <c r="M743" s="11">
        <v>805.18</v>
      </c>
      <c r="N743" s="13">
        <v>29.7</v>
      </c>
      <c r="O743" s="13">
        <v>43.8</v>
      </c>
      <c r="P743" s="13">
        <v>41.3</v>
      </c>
      <c r="Q743" s="11">
        <v>48.9</v>
      </c>
      <c r="R743" s="11">
        <v>81</v>
      </c>
      <c r="S743" s="14">
        <v>84.6</v>
      </c>
      <c r="T743" s="11">
        <v>805.18</v>
      </c>
      <c r="U743" s="13">
        <f>IF('0.0%'!$N743&lt;$Z$3,0, '0.0%'!$O743/'0.0%'!$N743)</f>
        <v>1.4747474747474747</v>
      </c>
      <c r="V743" s="13">
        <f>IF('0.0%'!$N743&lt;$Z$3,0, '0.0%'!$P743/'0.0%'!$N743)</f>
        <v>1.3905723905723906</v>
      </c>
      <c r="W743" s="13">
        <f>IF('0.0%'!$N743&lt;$Z$3,0, '0.0%'!$Q743/'0.0%'!$N743)</f>
        <v>1.6464646464646464</v>
      </c>
      <c r="X743" s="13">
        <f>IF('0.0%'!$N743&lt;$Z$3,0, '0.0%'!$R743/'0.0%'!$N743)</f>
        <v>2.7272727272727275</v>
      </c>
      <c r="Y743" s="13">
        <f>IF('0.0%'!$N743&lt;$Z$3,0, '0.0%'!$S743/'0.0%'!$N743)</f>
        <v>2.8484848484848482</v>
      </c>
    </row>
    <row r="744" spans="1:25" x14ac:dyDescent="0.3">
      <c r="A744" s="17">
        <v>806.17</v>
      </c>
      <c r="B744" s="10">
        <v>30.7</v>
      </c>
      <c r="C744" s="9">
        <v>806.17</v>
      </c>
      <c r="D744" s="10">
        <v>45.1</v>
      </c>
      <c r="E744" s="11">
        <v>806.17</v>
      </c>
      <c r="F744" s="12">
        <v>42.6</v>
      </c>
      <c r="G744" s="11">
        <v>806.17</v>
      </c>
      <c r="H744" s="12">
        <v>50.4</v>
      </c>
      <c r="I744" s="11">
        <v>806.17</v>
      </c>
      <c r="J744" s="12">
        <v>82.7</v>
      </c>
      <c r="K744" s="11">
        <v>806.17</v>
      </c>
      <c r="L744" s="12">
        <v>86.4</v>
      </c>
      <c r="M744" s="11">
        <v>806.17</v>
      </c>
      <c r="N744" s="13">
        <v>30.7</v>
      </c>
      <c r="O744" s="13">
        <v>45.1</v>
      </c>
      <c r="P744" s="13">
        <v>42.6</v>
      </c>
      <c r="Q744" s="11">
        <v>50.4</v>
      </c>
      <c r="R744" s="11">
        <v>82.7</v>
      </c>
      <c r="S744" s="14">
        <v>86.4</v>
      </c>
      <c r="T744" s="11">
        <v>806.17</v>
      </c>
      <c r="U744" s="13">
        <f>IF('0.0%'!$N744&lt;$Z$3,0, '0.0%'!$O744/'0.0%'!$N744)</f>
        <v>1.4690553745928339</v>
      </c>
      <c r="V744" s="13">
        <f>IF('0.0%'!$N744&lt;$Z$3,0, '0.0%'!$P744/'0.0%'!$N744)</f>
        <v>1.3876221498371337</v>
      </c>
      <c r="W744" s="13">
        <f>IF('0.0%'!$N744&lt;$Z$3,0, '0.0%'!$Q744/'0.0%'!$N744)</f>
        <v>1.6416938110749186</v>
      </c>
      <c r="X744" s="13">
        <f>IF('0.0%'!$N744&lt;$Z$3,0, '0.0%'!$R744/'0.0%'!$N744)</f>
        <v>2.6938110749185671</v>
      </c>
      <c r="Y744" s="13">
        <f>IF('0.0%'!$N744&lt;$Z$3,0, '0.0%'!$S744/'0.0%'!$N744)</f>
        <v>2.8143322475570036</v>
      </c>
    </row>
    <row r="745" spans="1:25" x14ac:dyDescent="0.3">
      <c r="A745" s="17">
        <v>807.16</v>
      </c>
      <c r="B745" s="10">
        <v>32.1</v>
      </c>
      <c r="C745" s="9">
        <v>807.16</v>
      </c>
      <c r="D745" s="10">
        <v>46.9</v>
      </c>
      <c r="E745" s="11">
        <v>807.16</v>
      </c>
      <c r="F745" s="12">
        <v>44.5</v>
      </c>
      <c r="G745" s="11">
        <v>807.16</v>
      </c>
      <c r="H745" s="12">
        <v>52.5</v>
      </c>
      <c r="I745" s="11">
        <v>807.16</v>
      </c>
      <c r="J745" s="12">
        <v>85.2</v>
      </c>
      <c r="K745" s="11">
        <v>807.16</v>
      </c>
      <c r="L745" s="12">
        <v>89</v>
      </c>
      <c r="M745" s="11">
        <v>807.16</v>
      </c>
      <c r="N745" s="13">
        <v>32.1</v>
      </c>
      <c r="O745" s="13">
        <v>46.9</v>
      </c>
      <c r="P745" s="13">
        <v>44.5</v>
      </c>
      <c r="Q745" s="11">
        <v>52.5</v>
      </c>
      <c r="R745" s="11">
        <v>85.2</v>
      </c>
      <c r="S745" s="14">
        <v>89</v>
      </c>
      <c r="T745" s="11">
        <v>807.16</v>
      </c>
      <c r="U745" s="13">
        <f>IF('0.0%'!$N745&lt;$Z$3,0, '0.0%'!$O745/'0.0%'!$N745)</f>
        <v>1.4610591900311525</v>
      </c>
      <c r="V745" s="13">
        <f>IF('0.0%'!$N745&lt;$Z$3,0, '0.0%'!$P745/'0.0%'!$N745)</f>
        <v>1.3862928348909658</v>
      </c>
      <c r="W745" s="13">
        <f>IF('0.0%'!$N745&lt;$Z$3,0, '0.0%'!$Q745/'0.0%'!$N745)</f>
        <v>1.6355140186915886</v>
      </c>
      <c r="X745" s="13">
        <f>IF('0.0%'!$N745&lt;$Z$3,0, '0.0%'!$R745/'0.0%'!$N745)</f>
        <v>2.6542056074766354</v>
      </c>
      <c r="Y745" s="13">
        <f>IF('0.0%'!$N745&lt;$Z$3,0, '0.0%'!$S745/'0.0%'!$N745)</f>
        <v>2.7725856697819315</v>
      </c>
    </row>
    <row r="746" spans="1:25" x14ac:dyDescent="0.3">
      <c r="A746" s="17">
        <v>808.15</v>
      </c>
      <c r="B746" s="10">
        <v>33.200000000000003</v>
      </c>
      <c r="C746" s="9">
        <v>808.15</v>
      </c>
      <c r="D746" s="10">
        <v>48.2</v>
      </c>
      <c r="E746" s="11">
        <v>808.15</v>
      </c>
      <c r="F746" s="12">
        <v>45.9</v>
      </c>
      <c r="G746" s="11">
        <v>808.15</v>
      </c>
      <c r="H746" s="12">
        <v>54.1</v>
      </c>
      <c r="I746" s="11">
        <v>808.15</v>
      </c>
      <c r="J746" s="12">
        <v>86.8</v>
      </c>
      <c r="K746" s="11">
        <v>808.15</v>
      </c>
      <c r="L746" s="12">
        <v>90.8</v>
      </c>
      <c r="M746" s="11">
        <v>808.15</v>
      </c>
      <c r="N746" s="13">
        <v>33.200000000000003</v>
      </c>
      <c r="O746" s="13">
        <v>48.2</v>
      </c>
      <c r="P746" s="13">
        <v>45.9</v>
      </c>
      <c r="Q746" s="11">
        <v>54.1</v>
      </c>
      <c r="R746" s="11">
        <v>86.8</v>
      </c>
      <c r="S746" s="14">
        <v>90.8</v>
      </c>
      <c r="T746" s="11">
        <v>808.15</v>
      </c>
      <c r="U746" s="13">
        <f>IF('0.0%'!$N746&lt;$Z$3,0, '0.0%'!$O746/'0.0%'!$N746)</f>
        <v>1.4518072289156627</v>
      </c>
      <c r="V746" s="13">
        <f>IF('0.0%'!$N746&lt;$Z$3,0, '0.0%'!$P746/'0.0%'!$N746)</f>
        <v>1.3825301204819276</v>
      </c>
      <c r="W746" s="13">
        <f>IF('0.0%'!$N746&lt;$Z$3,0, '0.0%'!$Q746/'0.0%'!$N746)</f>
        <v>1.6295180722891565</v>
      </c>
      <c r="X746" s="13">
        <f>IF('0.0%'!$N746&lt;$Z$3,0, '0.0%'!$R746/'0.0%'!$N746)</f>
        <v>2.6144578313253009</v>
      </c>
      <c r="Y746" s="13">
        <f>IF('0.0%'!$N746&lt;$Z$3,0, '0.0%'!$S746/'0.0%'!$N746)</f>
        <v>2.7349397590361444</v>
      </c>
    </row>
    <row r="747" spans="1:25" x14ac:dyDescent="0.3">
      <c r="A747" s="17">
        <v>809.15</v>
      </c>
      <c r="B747" s="10">
        <v>34.700000000000003</v>
      </c>
      <c r="C747" s="9">
        <v>809.15</v>
      </c>
      <c r="D747" s="10">
        <v>50.2</v>
      </c>
      <c r="E747" s="11">
        <v>809.15</v>
      </c>
      <c r="F747" s="12">
        <v>47.8</v>
      </c>
      <c r="G747" s="11">
        <v>809.15</v>
      </c>
      <c r="H747" s="12">
        <v>56.3</v>
      </c>
      <c r="I747" s="11">
        <v>809.15</v>
      </c>
      <c r="J747" s="12">
        <v>89.3</v>
      </c>
      <c r="K747" s="11">
        <v>809.15</v>
      </c>
      <c r="L747" s="12">
        <v>93.4</v>
      </c>
      <c r="M747" s="11">
        <v>809.15</v>
      </c>
      <c r="N747" s="13">
        <v>34.700000000000003</v>
      </c>
      <c r="O747" s="13">
        <v>50.2</v>
      </c>
      <c r="P747" s="13">
        <v>47.8</v>
      </c>
      <c r="Q747" s="11">
        <v>56.3</v>
      </c>
      <c r="R747" s="11">
        <v>89.3</v>
      </c>
      <c r="S747" s="14">
        <v>93.4</v>
      </c>
      <c r="T747" s="11">
        <v>809.15</v>
      </c>
      <c r="U747" s="13">
        <f>IF('0.0%'!$N747&lt;$Z$3,0, '0.0%'!$O747/'0.0%'!$N747)</f>
        <v>1.4466858789625361</v>
      </c>
      <c r="V747" s="13">
        <f>IF('0.0%'!$N747&lt;$Z$3,0, '0.0%'!$P747/'0.0%'!$N747)</f>
        <v>1.3775216138328528</v>
      </c>
      <c r="W747" s="13">
        <f>IF('0.0%'!$N747&lt;$Z$3,0, '0.0%'!$Q747/'0.0%'!$N747)</f>
        <v>1.6224783861671468</v>
      </c>
      <c r="X747" s="13">
        <f>IF('0.0%'!$N747&lt;$Z$3,0, '0.0%'!$R747/'0.0%'!$N747)</f>
        <v>2.5734870317002878</v>
      </c>
      <c r="Y747" s="13">
        <f>IF('0.0%'!$N747&lt;$Z$3,0, '0.0%'!$S747/'0.0%'!$N747)</f>
        <v>2.6916426512968301</v>
      </c>
    </row>
    <row r="748" spans="1:25" x14ac:dyDescent="0.3">
      <c r="A748" s="17">
        <v>810.14</v>
      </c>
      <c r="B748" s="10">
        <v>35.799999999999997</v>
      </c>
      <c r="C748" s="9">
        <v>810.14</v>
      </c>
      <c r="D748" s="10">
        <v>51.5</v>
      </c>
      <c r="E748" s="11">
        <v>810.14</v>
      </c>
      <c r="F748" s="12">
        <v>49.2</v>
      </c>
      <c r="G748" s="11">
        <v>810.14</v>
      </c>
      <c r="H748" s="12">
        <v>57.8</v>
      </c>
      <c r="I748" s="11">
        <v>810.14</v>
      </c>
      <c r="J748" s="12">
        <v>90.9</v>
      </c>
      <c r="K748" s="11">
        <v>810.14</v>
      </c>
      <c r="L748" s="12">
        <v>95.2</v>
      </c>
      <c r="M748" s="11">
        <v>810.14</v>
      </c>
      <c r="N748" s="13">
        <v>35.799999999999997</v>
      </c>
      <c r="O748" s="13">
        <v>51.5</v>
      </c>
      <c r="P748" s="13">
        <v>49.2</v>
      </c>
      <c r="Q748" s="11">
        <v>57.8</v>
      </c>
      <c r="R748" s="11">
        <v>90.9</v>
      </c>
      <c r="S748" s="14">
        <v>95.2</v>
      </c>
      <c r="T748" s="11">
        <v>810.14</v>
      </c>
      <c r="U748" s="13">
        <f>IF('0.0%'!$N748&lt;$Z$3,0, '0.0%'!$O748/'0.0%'!$N748)</f>
        <v>1.4385474860335197</v>
      </c>
      <c r="V748" s="13">
        <f>IF('0.0%'!$N748&lt;$Z$3,0, '0.0%'!$P748/'0.0%'!$N748)</f>
        <v>1.3743016759776538</v>
      </c>
      <c r="W748" s="13">
        <f>IF('0.0%'!$N748&lt;$Z$3,0, '0.0%'!$Q748/'0.0%'!$N748)</f>
        <v>1.6145251396648046</v>
      </c>
      <c r="X748" s="13">
        <f>IF('0.0%'!$N748&lt;$Z$3,0, '0.0%'!$R748/'0.0%'!$N748)</f>
        <v>2.539106145251397</v>
      </c>
      <c r="Y748" s="13">
        <f>IF('0.0%'!$N748&lt;$Z$3,0, '0.0%'!$S748/'0.0%'!$N748)</f>
        <v>2.6592178770949721</v>
      </c>
    </row>
    <row r="749" spans="1:25" x14ac:dyDescent="0.3">
      <c r="A749" s="17">
        <v>811.13</v>
      </c>
      <c r="B749" s="10">
        <v>37.299999999999997</v>
      </c>
      <c r="C749" s="9">
        <v>811.13</v>
      </c>
      <c r="D749" s="10">
        <v>53.6</v>
      </c>
      <c r="E749" s="11">
        <v>811.13</v>
      </c>
      <c r="F749" s="12">
        <v>51.3</v>
      </c>
      <c r="G749" s="11">
        <v>811.13</v>
      </c>
      <c r="H749" s="12">
        <v>60.1</v>
      </c>
      <c r="I749" s="11">
        <v>811.13</v>
      </c>
      <c r="J749" s="12">
        <v>93.4</v>
      </c>
      <c r="K749" s="11">
        <v>811.13</v>
      </c>
      <c r="L749" s="12">
        <v>97.9</v>
      </c>
      <c r="M749" s="11">
        <v>811.13</v>
      </c>
      <c r="N749" s="13">
        <v>37.299999999999997</v>
      </c>
      <c r="O749" s="13">
        <v>53.6</v>
      </c>
      <c r="P749" s="13">
        <v>51.3</v>
      </c>
      <c r="Q749" s="11">
        <v>60.1</v>
      </c>
      <c r="R749" s="11">
        <v>93.4</v>
      </c>
      <c r="S749" s="14">
        <v>97.9</v>
      </c>
      <c r="T749" s="11">
        <v>811.13</v>
      </c>
      <c r="U749" s="13">
        <f>IF('0.0%'!$N749&lt;$Z$3,0, '0.0%'!$O749/'0.0%'!$N749)</f>
        <v>1.4369973190348526</v>
      </c>
      <c r="V749" s="13">
        <f>IF('0.0%'!$N749&lt;$Z$3,0, '0.0%'!$P749/'0.0%'!$N749)</f>
        <v>1.3753351206434317</v>
      </c>
      <c r="W749" s="13">
        <f>IF('0.0%'!$N749&lt;$Z$3,0, '0.0%'!$Q749/'0.0%'!$N749)</f>
        <v>1.6112600536193031</v>
      </c>
      <c r="X749" s="13">
        <f>IF('0.0%'!$N749&lt;$Z$3,0, '0.0%'!$R749/'0.0%'!$N749)</f>
        <v>2.50402144772118</v>
      </c>
      <c r="Y749" s="13">
        <f>IF('0.0%'!$N749&lt;$Z$3,0, '0.0%'!$S749/'0.0%'!$N749)</f>
        <v>2.6246648793565686</v>
      </c>
    </row>
    <row r="750" spans="1:25" x14ac:dyDescent="0.3">
      <c r="A750" s="17">
        <v>812.12</v>
      </c>
      <c r="B750" s="10">
        <v>38.5</v>
      </c>
      <c r="C750" s="9">
        <v>812.12</v>
      </c>
      <c r="D750" s="10">
        <v>55.2</v>
      </c>
      <c r="E750" s="11">
        <v>812.12</v>
      </c>
      <c r="F750" s="12">
        <v>52.8</v>
      </c>
      <c r="G750" s="11">
        <v>812.12</v>
      </c>
      <c r="H750" s="12">
        <v>61.8</v>
      </c>
      <c r="I750" s="11">
        <v>812.12</v>
      </c>
      <c r="J750" s="12">
        <v>95.2</v>
      </c>
      <c r="K750" s="11">
        <v>812.12</v>
      </c>
      <c r="L750" s="12">
        <v>99.8</v>
      </c>
      <c r="M750" s="11">
        <v>812.12</v>
      </c>
      <c r="N750" s="13">
        <v>38.5</v>
      </c>
      <c r="O750" s="13">
        <v>55.2</v>
      </c>
      <c r="P750" s="13">
        <v>52.8</v>
      </c>
      <c r="Q750" s="11">
        <v>61.8</v>
      </c>
      <c r="R750" s="11">
        <v>95.2</v>
      </c>
      <c r="S750" s="14">
        <v>99.8</v>
      </c>
      <c r="T750" s="11">
        <v>812.12</v>
      </c>
      <c r="U750" s="13">
        <f>IF('0.0%'!$N750&lt;$Z$3,0, '0.0%'!$O750/'0.0%'!$N750)</f>
        <v>1.4337662337662338</v>
      </c>
      <c r="V750" s="13">
        <f>IF('0.0%'!$N750&lt;$Z$3,0, '0.0%'!$P750/'0.0%'!$N750)</f>
        <v>1.3714285714285714</v>
      </c>
      <c r="W750" s="13">
        <f>IF('0.0%'!$N750&lt;$Z$3,0, '0.0%'!$Q750/'0.0%'!$N750)</f>
        <v>1.6051948051948051</v>
      </c>
      <c r="X750" s="13">
        <f>IF('0.0%'!$N750&lt;$Z$3,0, '0.0%'!$R750/'0.0%'!$N750)</f>
        <v>2.4727272727272727</v>
      </c>
      <c r="Y750" s="13">
        <f>IF('0.0%'!$N750&lt;$Z$3,0, '0.0%'!$S750/'0.0%'!$N750)</f>
        <v>2.592207792207792</v>
      </c>
    </row>
    <row r="751" spans="1:25" x14ac:dyDescent="0.3">
      <c r="A751" s="17">
        <v>813.11</v>
      </c>
      <c r="B751" s="10">
        <v>40.200000000000003</v>
      </c>
      <c r="C751" s="9">
        <v>813.11</v>
      </c>
      <c r="D751" s="10">
        <v>57.5</v>
      </c>
      <c r="E751" s="11">
        <v>813.11</v>
      </c>
      <c r="F751" s="12">
        <v>55</v>
      </c>
      <c r="G751" s="11">
        <v>813.11</v>
      </c>
      <c r="H751" s="12">
        <v>64.2</v>
      </c>
      <c r="I751" s="11">
        <v>813.11</v>
      </c>
      <c r="J751" s="12">
        <v>97.8</v>
      </c>
      <c r="K751" s="11">
        <v>813.11</v>
      </c>
      <c r="L751" s="12">
        <v>102.7</v>
      </c>
      <c r="M751" s="11">
        <v>813.11</v>
      </c>
      <c r="N751" s="13">
        <v>40.200000000000003</v>
      </c>
      <c r="O751" s="13">
        <v>57.5</v>
      </c>
      <c r="P751" s="13">
        <v>55</v>
      </c>
      <c r="Q751" s="11">
        <v>64.2</v>
      </c>
      <c r="R751" s="11">
        <v>97.8</v>
      </c>
      <c r="S751" s="14">
        <v>102.7</v>
      </c>
      <c r="T751" s="11">
        <v>813.11</v>
      </c>
      <c r="U751" s="13">
        <f>IF('0.0%'!$N751&lt;$Z$3,0, '0.0%'!$O751/'0.0%'!$N751)</f>
        <v>1.4303482587064675</v>
      </c>
      <c r="V751" s="13">
        <f>IF('0.0%'!$N751&lt;$Z$3,0, '0.0%'!$P751/'0.0%'!$N751)</f>
        <v>1.3681592039800994</v>
      </c>
      <c r="W751" s="13">
        <f>IF('0.0%'!$N751&lt;$Z$3,0, '0.0%'!$Q751/'0.0%'!$N751)</f>
        <v>1.5970149253731343</v>
      </c>
      <c r="X751" s="13">
        <f>IF('0.0%'!$N751&lt;$Z$3,0, '0.0%'!$R751/'0.0%'!$N751)</f>
        <v>2.4328358208955221</v>
      </c>
      <c r="Y751" s="13">
        <f>IF('0.0%'!$N751&lt;$Z$3,0, '0.0%'!$S751/'0.0%'!$N751)</f>
        <v>2.5547263681592041</v>
      </c>
    </row>
    <row r="752" spans="1:25" x14ac:dyDescent="0.3">
      <c r="A752" s="17">
        <v>814.1</v>
      </c>
      <c r="B752" s="10">
        <v>41.5</v>
      </c>
      <c r="C752" s="9">
        <v>814.1</v>
      </c>
      <c r="D752" s="10">
        <v>59.1</v>
      </c>
      <c r="E752" s="11">
        <v>814.1</v>
      </c>
      <c r="F752" s="12">
        <v>56.6</v>
      </c>
      <c r="G752" s="11">
        <v>814.1</v>
      </c>
      <c r="H752" s="12">
        <v>66</v>
      </c>
      <c r="I752" s="11">
        <v>814.1</v>
      </c>
      <c r="J752" s="12">
        <v>99.6</v>
      </c>
      <c r="K752" s="11">
        <v>814.1</v>
      </c>
      <c r="L752" s="12">
        <v>104.7</v>
      </c>
      <c r="M752" s="11">
        <v>814.1</v>
      </c>
      <c r="N752" s="13">
        <v>41.5</v>
      </c>
      <c r="O752" s="13">
        <v>59.1</v>
      </c>
      <c r="P752" s="13">
        <v>56.6</v>
      </c>
      <c r="Q752" s="11">
        <v>66</v>
      </c>
      <c r="R752" s="11">
        <v>99.6</v>
      </c>
      <c r="S752" s="14">
        <v>104.7</v>
      </c>
      <c r="T752" s="11">
        <v>814.1</v>
      </c>
      <c r="U752" s="13">
        <f>IF('0.0%'!$N752&lt;$Z$3,0, '0.0%'!$O752/'0.0%'!$N752)</f>
        <v>1.4240963855421687</v>
      </c>
      <c r="V752" s="13">
        <f>IF('0.0%'!$N752&lt;$Z$3,0, '0.0%'!$P752/'0.0%'!$N752)</f>
        <v>1.3638554216867471</v>
      </c>
      <c r="W752" s="13">
        <f>IF('0.0%'!$N752&lt;$Z$3,0, '0.0%'!$Q752/'0.0%'!$N752)</f>
        <v>1.5903614457831325</v>
      </c>
      <c r="X752" s="13">
        <f>IF('0.0%'!$N752&lt;$Z$3,0, '0.0%'!$R752/'0.0%'!$N752)</f>
        <v>2.4</v>
      </c>
      <c r="Y752" s="13">
        <f>IF('0.0%'!$N752&lt;$Z$3,0, '0.0%'!$S752/'0.0%'!$N752)</f>
        <v>2.5228915662650602</v>
      </c>
    </row>
    <row r="753" spans="1:25" x14ac:dyDescent="0.3">
      <c r="A753" s="17">
        <v>815.1</v>
      </c>
      <c r="B753" s="10">
        <v>43.3</v>
      </c>
      <c r="C753" s="9">
        <v>815.1</v>
      </c>
      <c r="D753" s="10">
        <v>61.5</v>
      </c>
      <c r="E753" s="11">
        <v>815.1</v>
      </c>
      <c r="F753" s="12">
        <v>58.9</v>
      </c>
      <c r="G753" s="11">
        <v>815.1</v>
      </c>
      <c r="H753" s="12">
        <v>68.5</v>
      </c>
      <c r="I753" s="11">
        <v>815.1</v>
      </c>
      <c r="J753" s="12">
        <v>102.2</v>
      </c>
      <c r="K753" s="11">
        <v>815.1</v>
      </c>
      <c r="L753" s="12">
        <v>107.6</v>
      </c>
      <c r="M753" s="11">
        <v>815.1</v>
      </c>
      <c r="N753" s="13">
        <v>43.3</v>
      </c>
      <c r="O753" s="13">
        <v>61.5</v>
      </c>
      <c r="P753" s="13">
        <v>58.9</v>
      </c>
      <c r="Q753" s="11">
        <v>68.5</v>
      </c>
      <c r="R753" s="11">
        <v>102.2</v>
      </c>
      <c r="S753" s="14">
        <v>107.6</v>
      </c>
      <c r="T753" s="11">
        <v>815.1</v>
      </c>
      <c r="U753" s="13">
        <f>IF('0.0%'!$N753&lt;$Z$3,0, '0.0%'!$O753/'0.0%'!$N753)</f>
        <v>1.420323325635104</v>
      </c>
      <c r="V753" s="13">
        <f>IF('0.0%'!$N753&lt;$Z$3,0, '0.0%'!$P753/'0.0%'!$N753)</f>
        <v>1.3602771362586605</v>
      </c>
      <c r="W753" s="13">
        <f>IF('0.0%'!$N753&lt;$Z$3,0, '0.0%'!$Q753/'0.0%'!$N753)</f>
        <v>1.581986143187067</v>
      </c>
      <c r="X753" s="13">
        <f>IF('0.0%'!$N753&lt;$Z$3,0, '0.0%'!$R753/'0.0%'!$N753)</f>
        <v>2.3602771362586608</v>
      </c>
      <c r="Y753" s="13">
        <f>IF('0.0%'!$N753&lt;$Z$3,0, '0.0%'!$S753/'0.0%'!$N753)</f>
        <v>2.4849884526558892</v>
      </c>
    </row>
    <row r="754" spans="1:25" x14ac:dyDescent="0.3">
      <c r="A754" s="17">
        <v>816.09</v>
      </c>
      <c r="B754" s="10">
        <v>44.6</v>
      </c>
      <c r="C754" s="9">
        <v>816.09</v>
      </c>
      <c r="D754" s="10">
        <v>63.4</v>
      </c>
      <c r="E754" s="11">
        <v>816.09</v>
      </c>
      <c r="F754" s="12">
        <v>60.6</v>
      </c>
      <c r="G754" s="11">
        <v>816.09</v>
      </c>
      <c r="H754" s="12">
        <v>70.5</v>
      </c>
      <c r="I754" s="11">
        <v>816.09</v>
      </c>
      <c r="J754" s="12">
        <v>104.1</v>
      </c>
      <c r="K754" s="11">
        <v>816.09</v>
      </c>
      <c r="L754" s="12">
        <v>109.8</v>
      </c>
      <c r="M754" s="11">
        <v>816.09</v>
      </c>
      <c r="N754" s="13">
        <v>44.6</v>
      </c>
      <c r="O754" s="13">
        <v>63.4</v>
      </c>
      <c r="P754" s="13">
        <v>60.6</v>
      </c>
      <c r="Q754" s="11">
        <v>70.5</v>
      </c>
      <c r="R754" s="11">
        <v>104.1</v>
      </c>
      <c r="S754" s="14">
        <v>109.8</v>
      </c>
      <c r="T754" s="11">
        <v>816.09</v>
      </c>
      <c r="U754" s="13">
        <f>IF('0.0%'!$N754&lt;$Z$3,0, '0.0%'!$O754/'0.0%'!$N754)</f>
        <v>1.4215246636771299</v>
      </c>
      <c r="V754" s="13">
        <f>IF('0.0%'!$N754&lt;$Z$3,0, '0.0%'!$P754/'0.0%'!$N754)</f>
        <v>1.358744394618834</v>
      </c>
      <c r="W754" s="13">
        <f>IF('0.0%'!$N754&lt;$Z$3,0, '0.0%'!$Q754/'0.0%'!$N754)</f>
        <v>1.5807174887892377</v>
      </c>
      <c r="X754" s="13">
        <f>IF('0.0%'!$N754&lt;$Z$3,0, '0.0%'!$R754/'0.0%'!$N754)</f>
        <v>2.334080717488789</v>
      </c>
      <c r="Y754" s="13">
        <f>IF('0.0%'!$N754&lt;$Z$3,0, '0.0%'!$S754/'0.0%'!$N754)</f>
        <v>2.4618834080717487</v>
      </c>
    </row>
    <row r="755" spans="1:25" x14ac:dyDescent="0.3">
      <c r="A755" s="17">
        <v>817.08</v>
      </c>
      <c r="B755" s="10">
        <v>46.5</v>
      </c>
      <c r="C755" s="9">
        <v>817.08</v>
      </c>
      <c r="D755" s="10">
        <v>66</v>
      </c>
      <c r="E755" s="11">
        <v>817.08</v>
      </c>
      <c r="F755" s="12">
        <v>63.1</v>
      </c>
      <c r="G755" s="11">
        <v>817.08</v>
      </c>
      <c r="H755" s="12">
        <v>73.2</v>
      </c>
      <c r="I755" s="11">
        <v>817.08</v>
      </c>
      <c r="J755" s="12">
        <v>107</v>
      </c>
      <c r="K755" s="11">
        <v>817.08</v>
      </c>
      <c r="L755" s="12">
        <v>113</v>
      </c>
      <c r="M755" s="11">
        <v>817.08</v>
      </c>
      <c r="N755" s="13">
        <v>46.5</v>
      </c>
      <c r="O755" s="13">
        <v>66</v>
      </c>
      <c r="P755" s="13">
        <v>63.1</v>
      </c>
      <c r="Q755" s="11">
        <v>73.2</v>
      </c>
      <c r="R755" s="11">
        <v>107</v>
      </c>
      <c r="S755" s="14">
        <v>113</v>
      </c>
      <c r="T755" s="11">
        <v>817.08</v>
      </c>
      <c r="U755" s="13">
        <f>IF('0.0%'!$N755&lt;$Z$3,0, '0.0%'!$O755/'0.0%'!$N755)</f>
        <v>1.4193548387096775</v>
      </c>
      <c r="V755" s="13">
        <f>IF('0.0%'!$N755&lt;$Z$3,0, '0.0%'!$P755/'0.0%'!$N755)</f>
        <v>1.3569892473118279</v>
      </c>
      <c r="W755" s="13">
        <f>IF('0.0%'!$N755&lt;$Z$3,0, '0.0%'!$Q755/'0.0%'!$N755)</f>
        <v>1.5741935483870968</v>
      </c>
      <c r="X755" s="13">
        <f>IF('0.0%'!$N755&lt;$Z$3,0, '0.0%'!$R755/'0.0%'!$N755)</f>
        <v>2.3010752688172045</v>
      </c>
      <c r="Y755" s="13">
        <f>IF('0.0%'!$N755&lt;$Z$3,0, '0.0%'!$S755/'0.0%'!$N755)</f>
        <v>2.4301075268817205</v>
      </c>
    </row>
    <row r="756" spans="1:25" x14ac:dyDescent="0.3">
      <c r="A756" s="17">
        <v>818.07</v>
      </c>
      <c r="B756" s="10">
        <v>47.9</v>
      </c>
      <c r="C756" s="9">
        <v>818.07</v>
      </c>
      <c r="D756" s="10">
        <v>67.900000000000006</v>
      </c>
      <c r="E756" s="11">
        <v>818.07</v>
      </c>
      <c r="F756" s="12">
        <v>64.900000000000006</v>
      </c>
      <c r="G756" s="11">
        <v>818.07</v>
      </c>
      <c r="H756" s="12">
        <v>75.099999999999994</v>
      </c>
      <c r="I756" s="11">
        <v>818.07</v>
      </c>
      <c r="J756" s="12">
        <v>108.9</v>
      </c>
      <c r="K756" s="11">
        <v>818.07</v>
      </c>
      <c r="L756" s="12">
        <v>115.3</v>
      </c>
      <c r="M756" s="11">
        <v>818.07</v>
      </c>
      <c r="N756" s="13">
        <v>47.9</v>
      </c>
      <c r="O756" s="13">
        <v>67.900000000000006</v>
      </c>
      <c r="P756" s="13">
        <v>64.900000000000006</v>
      </c>
      <c r="Q756" s="11">
        <v>75.099999999999994</v>
      </c>
      <c r="R756" s="11">
        <v>108.9</v>
      </c>
      <c r="S756" s="14">
        <v>115.3</v>
      </c>
      <c r="T756" s="11">
        <v>818.07</v>
      </c>
      <c r="U756" s="13">
        <f>IF('0.0%'!$N756&lt;$Z$3,0, '0.0%'!$O756/'0.0%'!$N756)</f>
        <v>1.4175365344467643</v>
      </c>
      <c r="V756" s="13">
        <f>IF('0.0%'!$N756&lt;$Z$3,0, '0.0%'!$P756/'0.0%'!$N756)</f>
        <v>1.3549060542797495</v>
      </c>
      <c r="W756" s="13">
        <f>IF('0.0%'!$N756&lt;$Z$3,0, '0.0%'!$Q756/'0.0%'!$N756)</f>
        <v>1.5678496868475991</v>
      </c>
      <c r="X756" s="13">
        <f>IF('0.0%'!$N756&lt;$Z$3,0, '0.0%'!$R756/'0.0%'!$N756)</f>
        <v>2.2734864300626305</v>
      </c>
      <c r="Y756" s="13">
        <f>IF('0.0%'!$N756&lt;$Z$3,0, '0.0%'!$S756/'0.0%'!$N756)</f>
        <v>2.4070981210855948</v>
      </c>
    </row>
    <row r="757" spans="1:25" x14ac:dyDescent="0.3">
      <c r="A757" s="17">
        <v>819.06</v>
      </c>
      <c r="B757" s="10">
        <v>49.8</v>
      </c>
      <c r="C757" s="9">
        <v>819.06</v>
      </c>
      <c r="D757" s="10">
        <v>70.5</v>
      </c>
      <c r="E757" s="11">
        <v>819.06</v>
      </c>
      <c r="F757" s="12">
        <v>67.5</v>
      </c>
      <c r="G757" s="11">
        <v>819.06</v>
      </c>
      <c r="H757" s="12">
        <v>77.8</v>
      </c>
      <c r="I757" s="11">
        <v>819.06</v>
      </c>
      <c r="J757" s="12">
        <v>111.6</v>
      </c>
      <c r="K757" s="11">
        <v>819.06</v>
      </c>
      <c r="L757" s="12">
        <v>118.5</v>
      </c>
      <c r="M757" s="11">
        <v>819.06</v>
      </c>
      <c r="N757" s="13">
        <v>49.8</v>
      </c>
      <c r="O757" s="13">
        <v>70.5</v>
      </c>
      <c r="P757" s="13">
        <v>67.5</v>
      </c>
      <c r="Q757" s="11">
        <v>77.8</v>
      </c>
      <c r="R757" s="11">
        <v>111.6</v>
      </c>
      <c r="S757" s="14">
        <v>118.5</v>
      </c>
      <c r="T757" s="11">
        <v>819.06</v>
      </c>
      <c r="U757" s="13">
        <f>IF('0.0%'!$N757&lt;$Z$3,0, '0.0%'!$O757/'0.0%'!$N757)</f>
        <v>1.4156626506024097</v>
      </c>
      <c r="V757" s="13">
        <f>IF('0.0%'!$N757&lt;$Z$3,0, '0.0%'!$P757/'0.0%'!$N757)</f>
        <v>1.3554216867469879</v>
      </c>
      <c r="W757" s="13">
        <f>IF('0.0%'!$N757&lt;$Z$3,0, '0.0%'!$Q757/'0.0%'!$N757)</f>
        <v>1.5622489959839359</v>
      </c>
      <c r="X757" s="13">
        <f>IF('0.0%'!$N757&lt;$Z$3,0, '0.0%'!$R757/'0.0%'!$N757)</f>
        <v>2.2409638554216866</v>
      </c>
      <c r="Y757" s="13">
        <f>IF('0.0%'!$N757&lt;$Z$3,0, '0.0%'!$S757/'0.0%'!$N757)</f>
        <v>2.3795180722891569</v>
      </c>
    </row>
    <row r="758" spans="1:25" x14ac:dyDescent="0.3">
      <c r="A758" s="17">
        <v>820.05</v>
      </c>
      <c r="B758" s="10">
        <v>51.2</v>
      </c>
      <c r="C758" s="9">
        <v>820.05</v>
      </c>
      <c r="D758" s="10">
        <v>72.400000000000006</v>
      </c>
      <c r="E758" s="11">
        <v>820.05</v>
      </c>
      <c r="F758" s="12">
        <v>69.3</v>
      </c>
      <c r="G758" s="11">
        <v>820.05</v>
      </c>
      <c r="H758" s="12">
        <v>79.8</v>
      </c>
      <c r="I758" s="11">
        <v>820.05</v>
      </c>
      <c r="J758" s="12">
        <v>113.5</v>
      </c>
      <c r="K758" s="11">
        <v>820.05</v>
      </c>
      <c r="L758" s="12">
        <v>120.7</v>
      </c>
      <c r="M758" s="11">
        <v>820.05</v>
      </c>
      <c r="N758" s="13">
        <v>51.2</v>
      </c>
      <c r="O758" s="13">
        <v>72.400000000000006</v>
      </c>
      <c r="P758" s="13">
        <v>69.3</v>
      </c>
      <c r="Q758" s="11">
        <v>79.8</v>
      </c>
      <c r="R758" s="11">
        <v>113.5</v>
      </c>
      <c r="S758" s="14">
        <v>120.7</v>
      </c>
      <c r="T758" s="11">
        <v>820.05</v>
      </c>
      <c r="U758" s="13">
        <f>IF('0.0%'!$N758&lt;$Z$3,0, '0.0%'!$O758/'0.0%'!$N758)</f>
        <v>1.4140625</v>
      </c>
      <c r="V758" s="13">
        <f>IF('0.0%'!$N758&lt;$Z$3,0, '0.0%'!$P758/'0.0%'!$N758)</f>
        <v>1.3535156249999998</v>
      </c>
      <c r="W758" s="13">
        <f>IF('0.0%'!$N758&lt;$Z$3,0, '0.0%'!$Q758/'0.0%'!$N758)</f>
        <v>1.5585937499999998</v>
      </c>
      <c r="X758" s="13">
        <f>IF('0.0%'!$N758&lt;$Z$3,0, '0.0%'!$R758/'0.0%'!$N758)</f>
        <v>2.216796875</v>
      </c>
      <c r="Y758" s="13">
        <f>IF('0.0%'!$N758&lt;$Z$3,0, '0.0%'!$S758/'0.0%'!$N758)</f>
        <v>2.357421875</v>
      </c>
    </row>
    <row r="759" spans="1:25" x14ac:dyDescent="0.3">
      <c r="A759" s="17">
        <v>821.05</v>
      </c>
      <c r="B759" s="10">
        <v>53.2</v>
      </c>
      <c r="C759" s="9">
        <v>821.05</v>
      </c>
      <c r="D759" s="10">
        <v>74.900000000000006</v>
      </c>
      <c r="E759" s="11">
        <v>821.05</v>
      </c>
      <c r="F759" s="12">
        <v>71.8</v>
      </c>
      <c r="G759" s="11">
        <v>821.05</v>
      </c>
      <c r="H759" s="12">
        <v>82.5</v>
      </c>
      <c r="I759" s="11">
        <v>821.05</v>
      </c>
      <c r="J759" s="12">
        <v>116.2</v>
      </c>
      <c r="K759" s="11">
        <v>821.05</v>
      </c>
      <c r="L759" s="12">
        <v>123.9</v>
      </c>
      <c r="M759" s="11">
        <v>821.05</v>
      </c>
      <c r="N759" s="13">
        <v>53.2</v>
      </c>
      <c r="O759" s="13">
        <v>74.900000000000006</v>
      </c>
      <c r="P759" s="13">
        <v>71.8</v>
      </c>
      <c r="Q759" s="11">
        <v>82.5</v>
      </c>
      <c r="R759" s="11">
        <v>116.2</v>
      </c>
      <c r="S759" s="14">
        <v>123.9</v>
      </c>
      <c r="T759" s="11">
        <v>821.05</v>
      </c>
      <c r="U759" s="13">
        <f>IF('0.0%'!$N759&lt;$Z$3,0, '0.0%'!$O759/'0.0%'!$N759)</f>
        <v>1.4078947368421053</v>
      </c>
      <c r="V759" s="13">
        <f>IF('0.0%'!$N759&lt;$Z$3,0, '0.0%'!$P759/'0.0%'!$N759)</f>
        <v>1.3496240601503757</v>
      </c>
      <c r="W759" s="13">
        <f>IF('0.0%'!$N759&lt;$Z$3,0, '0.0%'!$Q759/'0.0%'!$N759)</f>
        <v>1.5507518796992481</v>
      </c>
      <c r="X759" s="13">
        <f>IF('0.0%'!$N759&lt;$Z$3,0, '0.0%'!$R759/'0.0%'!$N759)</f>
        <v>2.1842105263157894</v>
      </c>
      <c r="Y759" s="13">
        <f>IF('0.0%'!$N759&lt;$Z$3,0, '0.0%'!$S759/'0.0%'!$N759)</f>
        <v>2.3289473684210527</v>
      </c>
    </row>
    <row r="760" spans="1:25" x14ac:dyDescent="0.3">
      <c r="A760" s="17">
        <v>822.04</v>
      </c>
      <c r="B760" s="10">
        <v>54.6</v>
      </c>
      <c r="C760" s="9">
        <v>822.04</v>
      </c>
      <c r="D760" s="10">
        <v>76.7</v>
      </c>
      <c r="E760" s="11">
        <v>822.04</v>
      </c>
      <c r="F760" s="12">
        <v>73.5</v>
      </c>
      <c r="G760" s="11">
        <v>822.04</v>
      </c>
      <c r="H760" s="12">
        <v>84.4</v>
      </c>
      <c r="I760" s="11">
        <v>822.04</v>
      </c>
      <c r="J760" s="12">
        <v>117.9</v>
      </c>
      <c r="K760" s="11">
        <v>822.04</v>
      </c>
      <c r="L760" s="12">
        <v>126</v>
      </c>
      <c r="M760" s="11">
        <v>822.04</v>
      </c>
      <c r="N760" s="13">
        <v>54.6</v>
      </c>
      <c r="O760" s="13">
        <v>76.7</v>
      </c>
      <c r="P760" s="13">
        <v>73.5</v>
      </c>
      <c r="Q760" s="11">
        <v>84.4</v>
      </c>
      <c r="R760" s="11">
        <v>117.9</v>
      </c>
      <c r="S760" s="14">
        <v>126</v>
      </c>
      <c r="T760" s="11">
        <v>822.04</v>
      </c>
      <c r="U760" s="13">
        <f>IF('0.0%'!$N760&lt;$Z$3,0, '0.0%'!$O760/'0.0%'!$N760)</f>
        <v>1.4047619047619049</v>
      </c>
      <c r="V760" s="13">
        <f>IF('0.0%'!$N760&lt;$Z$3,0, '0.0%'!$P760/'0.0%'!$N760)</f>
        <v>1.346153846153846</v>
      </c>
      <c r="W760" s="13">
        <f>IF('0.0%'!$N760&lt;$Z$3,0, '0.0%'!$Q760/'0.0%'!$N760)</f>
        <v>1.5457875457875458</v>
      </c>
      <c r="X760" s="13">
        <f>IF('0.0%'!$N760&lt;$Z$3,0, '0.0%'!$R760/'0.0%'!$N760)</f>
        <v>2.1593406593406592</v>
      </c>
      <c r="Y760" s="13">
        <f>IF('0.0%'!$N760&lt;$Z$3,0, '0.0%'!$S760/'0.0%'!$N760)</f>
        <v>2.3076923076923075</v>
      </c>
    </row>
    <row r="761" spans="1:25" x14ac:dyDescent="0.3">
      <c r="A761" s="17">
        <v>823.03</v>
      </c>
      <c r="B761" s="10">
        <v>56.5</v>
      </c>
      <c r="C761" s="9">
        <v>823.03</v>
      </c>
      <c r="D761" s="10">
        <v>79.2</v>
      </c>
      <c r="E761" s="11">
        <v>823.03</v>
      </c>
      <c r="F761" s="12">
        <v>76</v>
      </c>
      <c r="G761" s="11">
        <v>823.03</v>
      </c>
      <c r="H761" s="12">
        <v>87</v>
      </c>
      <c r="I761" s="11">
        <v>823.03</v>
      </c>
      <c r="J761" s="12">
        <v>120.6</v>
      </c>
      <c r="K761" s="11">
        <v>823.03</v>
      </c>
      <c r="L761" s="12">
        <v>129.1</v>
      </c>
      <c r="M761" s="11">
        <v>823.03</v>
      </c>
      <c r="N761" s="13">
        <v>56.5</v>
      </c>
      <c r="O761" s="13">
        <v>79.2</v>
      </c>
      <c r="P761" s="13">
        <v>76</v>
      </c>
      <c r="Q761" s="11">
        <v>87</v>
      </c>
      <c r="R761" s="11">
        <v>120.6</v>
      </c>
      <c r="S761" s="14">
        <v>129.1</v>
      </c>
      <c r="T761" s="11">
        <v>823.03</v>
      </c>
      <c r="U761" s="13">
        <f>IF('0.0%'!$N761&lt;$Z$3,0, '0.0%'!$O761/'0.0%'!$N761)</f>
        <v>1.4017699115044249</v>
      </c>
      <c r="V761" s="13">
        <f>IF('0.0%'!$N761&lt;$Z$3,0, '0.0%'!$P761/'0.0%'!$N761)</f>
        <v>1.345132743362832</v>
      </c>
      <c r="W761" s="13">
        <f>IF('0.0%'!$N761&lt;$Z$3,0, '0.0%'!$Q761/'0.0%'!$N761)</f>
        <v>1.5398230088495575</v>
      </c>
      <c r="X761" s="13">
        <f>IF('0.0%'!$N761&lt;$Z$3,0, '0.0%'!$R761/'0.0%'!$N761)</f>
        <v>2.1345132743362831</v>
      </c>
      <c r="Y761" s="13">
        <f>IF('0.0%'!$N761&lt;$Z$3,0, '0.0%'!$S761/'0.0%'!$N761)</f>
        <v>2.2849557522123893</v>
      </c>
    </row>
    <row r="762" spans="1:25" x14ac:dyDescent="0.3">
      <c r="A762" s="17">
        <v>824.02</v>
      </c>
      <c r="B762" s="10">
        <v>57.9</v>
      </c>
      <c r="C762" s="9">
        <v>824.02</v>
      </c>
      <c r="D762" s="10">
        <v>80.900000000000006</v>
      </c>
      <c r="E762" s="11">
        <v>824.02</v>
      </c>
      <c r="F762" s="12">
        <v>77.8</v>
      </c>
      <c r="G762" s="11">
        <v>824.02</v>
      </c>
      <c r="H762" s="12">
        <v>88.9</v>
      </c>
      <c r="I762" s="11">
        <v>824.02</v>
      </c>
      <c r="J762" s="12">
        <v>122.4</v>
      </c>
      <c r="K762" s="11">
        <v>824.02</v>
      </c>
      <c r="L762" s="12">
        <v>131.19999999999999</v>
      </c>
      <c r="M762" s="11">
        <v>824.02</v>
      </c>
      <c r="N762" s="13">
        <v>57.9</v>
      </c>
      <c r="O762" s="13">
        <v>80.900000000000006</v>
      </c>
      <c r="P762" s="13">
        <v>77.8</v>
      </c>
      <c r="Q762" s="11">
        <v>88.9</v>
      </c>
      <c r="R762" s="11">
        <v>122.4</v>
      </c>
      <c r="S762" s="14">
        <v>131.19999999999999</v>
      </c>
      <c r="T762" s="11">
        <v>824.02</v>
      </c>
      <c r="U762" s="13">
        <f>IF('0.0%'!$N762&lt;$Z$3,0, '0.0%'!$O762/'0.0%'!$N762)</f>
        <v>1.3972366148531954</v>
      </c>
      <c r="V762" s="13">
        <f>IF('0.0%'!$N762&lt;$Z$3,0, '0.0%'!$P762/'0.0%'!$N762)</f>
        <v>1.3436960276338514</v>
      </c>
      <c r="W762" s="13">
        <f>IF('0.0%'!$N762&lt;$Z$3,0, '0.0%'!$Q762/'0.0%'!$N762)</f>
        <v>1.5354058721934372</v>
      </c>
      <c r="X762" s="13">
        <f>IF('0.0%'!$N762&lt;$Z$3,0, '0.0%'!$R762/'0.0%'!$N762)</f>
        <v>2.1139896373056994</v>
      </c>
      <c r="Y762" s="13">
        <f>IF('0.0%'!$N762&lt;$Z$3,0, '0.0%'!$S762/'0.0%'!$N762)</f>
        <v>2.2659758203799654</v>
      </c>
    </row>
    <row r="763" spans="1:25" x14ac:dyDescent="0.3">
      <c r="A763" s="17">
        <v>825.01</v>
      </c>
      <c r="B763" s="10">
        <v>59.9</v>
      </c>
      <c r="C763" s="9">
        <v>825.01</v>
      </c>
      <c r="D763" s="10">
        <v>83.4</v>
      </c>
      <c r="E763" s="11">
        <v>825.01</v>
      </c>
      <c r="F763" s="12">
        <v>80.400000000000006</v>
      </c>
      <c r="G763" s="11">
        <v>825.01</v>
      </c>
      <c r="H763" s="12">
        <v>91.6</v>
      </c>
      <c r="I763" s="11">
        <v>825.01</v>
      </c>
      <c r="J763" s="12">
        <v>125.1</v>
      </c>
      <c r="K763" s="11">
        <v>825.01</v>
      </c>
      <c r="L763" s="12">
        <v>134.30000000000001</v>
      </c>
      <c r="M763" s="11">
        <v>825.01</v>
      </c>
      <c r="N763" s="13">
        <v>59.9</v>
      </c>
      <c r="O763" s="13">
        <v>83.4</v>
      </c>
      <c r="P763" s="13">
        <v>80.400000000000006</v>
      </c>
      <c r="Q763" s="11">
        <v>91.6</v>
      </c>
      <c r="R763" s="11">
        <v>125.1</v>
      </c>
      <c r="S763" s="14">
        <v>134.30000000000001</v>
      </c>
      <c r="T763" s="11">
        <v>825.01</v>
      </c>
      <c r="U763" s="13">
        <f>IF('0.0%'!$N763&lt;$Z$3,0, '0.0%'!$O763/'0.0%'!$N763)</f>
        <v>1.3923205342237064</v>
      </c>
      <c r="V763" s="13">
        <f>IF('0.0%'!$N763&lt;$Z$3,0, '0.0%'!$P763/'0.0%'!$N763)</f>
        <v>1.3422370617696162</v>
      </c>
      <c r="W763" s="13">
        <f>IF('0.0%'!$N763&lt;$Z$3,0, '0.0%'!$Q763/'0.0%'!$N763)</f>
        <v>1.5292153589315525</v>
      </c>
      <c r="X763" s="13">
        <f>IF('0.0%'!$N763&lt;$Z$3,0, '0.0%'!$R763/'0.0%'!$N763)</f>
        <v>2.0884808013355594</v>
      </c>
      <c r="Y763" s="13">
        <f>IF('0.0%'!$N763&lt;$Z$3,0, '0.0%'!$S763/'0.0%'!$N763)</f>
        <v>2.2420701168614361</v>
      </c>
    </row>
    <row r="764" spans="1:25" x14ac:dyDescent="0.3">
      <c r="A764" s="17">
        <v>826.01</v>
      </c>
      <c r="B764" s="10">
        <v>61.2</v>
      </c>
      <c r="C764" s="9">
        <v>826.01</v>
      </c>
      <c r="D764" s="10">
        <v>85</v>
      </c>
      <c r="E764" s="11">
        <v>826.01</v>
      </c>
      <c r="F764" s="12">
        <v>82.1</v>
      </c>
      <c r="G764" s="11">
        <v>826.01</v>
      </c>
      <c r="H764" s="12">
        <v>93.4</v>
      </c>
      <c r="I764" s="11">
        <v>826.01</v>
      </c>
      <c r="J764" s="12">
        <v>126.8</v>
      </c>
      <c r="K764" s="11">
        <v>826.01</v>
      </c>
      <c r="L764" s="12">
        <v>136.4</v>
      </c>
      <c r="M764" s="11">
        <v>826.01</v>
      </c>
      <c r="N764" s="13">
        <v>61.2</v>
      </c>
      <c r="O764" s="13">
        <v>85</v>
      </c>
      <c r="P764" s="13">
        <v>82.1</v>
      </c>
      <c r="Q764" s="11">
        <v>93.4</v>
      </c>
      <c r="R764" s="11">
        <v>126.8</v>
      </c>
      <c r="S764" s="14">
        <v>136.4</v>
      </c>
      <c r="T764" s="11">
        <v>826.01</v>
      </c>
      <c r="U764" s="13">
        <f>IF('0.0%'!$N764&lt;$Z$3,0, '0.0%'!$O764/'0.0%'!$N764)</f>
        <v>1.3888888888888888</v>
      </c>
      <c r="V764" s="13">
        <f>IF('0.0%'!$N764&lt;$Z$3,0, '0.0%'!$P764/'0.0%'!$N764)</f>
        <v>1.3415032679738561</v>
      </c>
      <c r="W764" s="13">
        <f>IF('0.0%'!$N764&lt;$Z$3,0, '0.0%'!$Q764/'0.0%'!$N764)</f>
        <v>1.5261437908496733</v>
      </c>
      <c r="X764" s="13">
        <f>IF('0.0%'!$N764&lt;$Z$3,0, '0.0%'!$R764/'0.0%'!$N764)</f>
        <v>2.0718954248366011</v>
      </c>
      <c r="Y764" s="13">
        <f>IF('0.0%'!$N764&lt;$Z$3,0, '0.0%'!$S764/'0.0%'!$N764)</f>
        <v>2.2287581699346406</v>
      </c>
    </row>
    <row r="765" spans="1:25" x14ac:dyDescent="0.3">
      <c r="A765" s="17">
        <v>827</v>
      </c>
      <c r="B765" s="10">
        <v>63.2</v>
      </c>
      <c r="C765" s="9">
        <v>827</v>
      </c>
      <c r="D765" s="10">
        <v>87.3</v>
      </c>
      <c r="E765" s="11">
        <v>827</v>
      </c>
      <c r="F765" s="12">
        <v>84.6</v>
      </c>
      <c r="G765" s="11">
        <v>827</v>
      </c>
      <c r="H765" s="12">
        <v>96.1</v>
      </c>
      <c r="I765" s="11">
        <v>827</v>
      </c>
      <c r="J765" s="12">
        <v>129.5</v>
      </c>
      <c r="K765" s="11">
        <v>827</v>
      </c>
      <c r="L765" s="12">
        <v>139.6</v>
      </c>
      <c r="M765" s="11">
        <v>827</v>
      </c>
      <c r="N765" s="13">
        <v>63.2</v>
      </c>
      <c r="O765" s="13">
        <v>87.3</v>
      </c>
      <c r="P765" s="13">
        <v>84.6</v>
      </c>
      <c r="Q765" s="11">
        <v>96.1</v>
      </c>
      <c r="R765" s="11">
        <v>129.5</v>
      </c>
      <c r="S765" s="14">
        <v>139.6</v>
      </c>
      <c r="T765" s="11">
        <v>827</v>
      </c>
      <c r="U765" s="13">
        <f>IF('0.0%'!$N765&lt;$Z$3,0, '0.0%'!$O765/'0.0%'!$N765)</f>
        <v>1.3813291139240504</v>
      </c>
      <c r="V765" s="13">
        <f>IF('0.0%'!$N765&lt;$Z$3,0, '0.0%'!$P765/'0.0%'!$N765)</f>
        <v>1.3386075949367087</v>
      </c>
      <c r="W765" s="13">
        <f>IF('0.0%'!$N765&lt;$Z$3,0, '0.0%'!$Q765/'0.0%'!$N765)</f>
        <v>1.5205696202531644</v>
      </c>
      <c r="X765" s="13">
        <f>IF('0.0%'!$N765&lt;$Z$3,0, '0.0%'!$R765/'0.0%'!$N765)</f>
        <v>2.0490506329113924</v>
      </c>
      <c r="Y765" s="13">
        <f>IF('0.0%'!$N765&lt;$Z$3,0, '0.0%'!$S765/'0.0%'!$N765)</f>
        <v>2.2088607594936707</v>
      </c>
    </row>
    <row r="766" spans="1:25" x14ac:dyDescent="0.3">
      <c r="A766" s="17">
        <v>827.99</v>
      </c>
      <c r="B766" s="10">
        <v>64.5</v>
      </c>
      <c r="C766" s="9">
        <v>827.99</v>
      </c>
      <c r="D766" s="10">
        <v>88.9</v>
      </c>
      <c r="E766" s="11">
        <v>827.99</v>
      </c>
      <c r="F766" s="12">
        <v>86.3</v>
      </c>
      <c r="G766" s="11">
        <v>827.99</v>
      </c>
      <c r="H766" s="12">
        <v>98</v>
      </c>
      <c r="I766" s="11">
        <v>827.99</v>
      </c>
      <c r="J766" s="12">
        <v>131.4</v>
      </c>
      <c r="K766" s="11">
        <v>827.99</v>
      </c>
      <c r="L766" s="12">
        <v>141.80000000000001</v>
      </c>
      <c r="M766" s="11">
        <v>827.99</v>
      </c>
      <c r="N766" s="13">
        <v>64.5</v>
      </c>
      <c r="O766" s="13">
        <v>88.9</v>
      </c>
      <c r="P766" s="13">
        <v>86.3</v>
      </c>
      <c r="Q766" s="11">
        <v>98</v>
      </c>
      <c r="R766" s="11">
        <v>131.4</v>
      </c>
      <c r="S766" s="14">
        <v>141.80000000000001</v>
      </c>
      <c r="T766" s="11">
        <v>827.99</v>
      </c>
      <c r="U766" s="13">
        <f>IF('0.0%'!$N766&lt;$Z$3,0, '0.0%'!$O766/'0.0%'!$N766)</f>
        <v>1.3782945736434109</v>
      </c>
      <c r="V766" s="13">
        <f>IF('0.0%'!$N766&lt;$Z$3,0, '0.0%'!$P766/'0.0%'!$N766)</f>
        <v>1.337984496124031</v>
      </c>
      <c r="W766" s="13">
        <f>IF('0.0%'!$N766&lt;$Z$3,0, '0.0%'!$Q766/'0.0%'!$N766)</f>
        <v>1.5193798449612403</v>
      </c>
      <c r="X766" s="13">
        <f>IF('0.0%'!$N766&lt;$Z$3,0, '0.0%'!$R766/'0.0%'!$N766)</f>
        <v>2.0372093023255813</v>
      </c>
      <c r="Y766" s="13">
        <f>IF('0.0%'!$N766&lt;$Z$3,0, '0.0%'!$S766/'0.0%'!$N766)</f>
        <v>2.1984496124031008</v>
      </c>
    </row>
    <row r="767" spans="1:25" x14ac:dyDescent="0.3">
      <c r="A767" s="17">
        <v>828.98</v>
      </c>
      <c r="B767" s="10">
        <v>66</v>
      </c>
      <c r="C767" s="9">
        <v>828.98</v>
      </c>
      <c r="D767" s="10">
        <v>90.8</v>
      </c>
      <c r="E767" s="11">
        <v>828.98</v>
      </c>
      <c r="F767" s="12">
        <v>88.3</v>
      </c>
      <c r="G767" s="11">
        <v>828.98</v>
      </c>
      <c r="H767" s="12">
        <v>100.2</v>
      </c>
      <c r="I767" s="11">
        <v>828.98</v>
      </c>
      <c r="J767" s="12">
        <v>133.5</v>
      </c>
      <c r="K767" s="11">
        <v>828.98</v>
      </c>
      <c r="L767" s="12">
        <v>144.4</v>
      </c>
      <c r="M767" s="11">
        <v>828.98</v>
      </c>
      <c r="N767" s="13">
        <v>66</v>
      </c>
      <c r="O767" s="13">
        <v>90.8</v>
      </c>
      <c r="P767" s="13">
        <v>88.3</v>
      </c>
      <c r="Q767" s="11">
        <v>100.2</v>
      </c>
      <c r="R767" s="11">
        <v>133.5</v>
      </c>
      <c r="S767" s="14">
        <v>144.4</v>
      </c>
      <c r="T767" s="11">
        <v>828.98</v>
      </c>
      <c r="U767" s="13">
        <f>IF('0.0%'!$N767&lt;$Z$3,0, '0.0%'!$O767/'0.0%'!$N767)</f>
        <v>1.3757575757575757</v>
      </c>
      <c r="V767" s="13">
        <f>IF('0.0%'!$N767&lt;$Z$3,0, '0.0%'!$P767/'0.0%'!$N767)</f>
        <v>1.3378787878787879</v>
      </c>
      <c r="W767" s="13">
        <f>IF('0.0%'!$N767&lt;$Z$3,0, '0.0%'!$Q767/'0.0%'!$N767)</f>
        <v>1.5181818181818183</v>
      </c>
      <c r="X767" s="13">
        <f>IF('0.0%'!$N767&lt;$Z$3,0, '0.0%'!$R767/'0.0%'!$N767)</f>
        <v>2.0227272727272729</v>
      </c>
      <c r="Y767" s="13">
        <f>IF('0.0%'!$N767&lt;$Z$3,0, '0.0%'!$S767/'0.0%'!$N767)</f>
        <v>2.187878787878788</v>
      </c>
    </row>
    <row r="768" spans="1:25" x14ac:dyDescent="0.3">
      <c r="A768" s="17">
        <v>829.97</v>
      </c>
      <c r="B768" s="10">
        <v>68.2</v>
      </c>
      <c r="C768" s="9">
        <v>829.97</v>
      </c>
      <c r="D768" s="10">
        <v>93.4</v>
      </c>
      <c r="E768" s="11">
        <v>829.97</v>
      </c>
      <c r="F768" s="12">
        <v>91.1</v>
      </c>
      <c r="G768" s="11">
        <v>829.97</v>
      </c>
      <c r="H768" s="12">
        <v>103.1</v>
      </c>
      <c r="I768" s="11">
        <v>829.97</v>
      </c>
      <c r="J768" s="12">
        <v>136.5</v>
      </c>
      <c r="K768" s="11">
        <v>829.97</v>
      </c>
      <c r="L768" s="12">
        <v>147.9</v>
      </c>
      <c r="M768" s="11">
        <v>829.97</v>
      </c>
      <c r="N768" s="13">
        <v>68.2</v>
      </c>
      <c r="O768" s="13">
        <v>93.4</v>
      </c>
      <c r="P768" s="13">
        <v>91.1</v>
      </c>
      <c r="Q768" s="11">
        <v>103.1</v>
      </c>
      <c r="R768" s="11">
        <v>136.5</v>
      </c>
      <c r="S768" s="14">
        <v>147.9</v>
      </c>
      <c r="T768" s="11">
        <v>829.97</v>
      </c>
      <c r="U768" s="13">
        <f>IF('0.0%'!$N768&lt;$Z$3,0, '0.0%'!$O768/'0.0%'!$N768)</f>
        <v>1.3695014662756599</v>
      </c>
      <c r="V768" s="13">
        <f>IF('0.0%'!$N768&lt;$Z$3,0, '0.0%'!$P768/'0.0%'!$N768)</f>
        <v>1.3357771260997067</v>
      </c>
      <c r="W768" s="13">
        <f>IF('0.0%'!$N768&lt;$Z$3,0, '0.0%'!$Q768/'0.0%'!$N768)</f>
        <v>1.5117302052785921</v>
      </c>
      <c r="X768" s="13">
        <f>IF('0.0%'!$N768&lt;$Z$3,0, '0.0%'!$R768/'0.0%'!$N768)</f>
        <v>2.001466275659824</v>
      </c>
      <c r="Y768" s="13">
        <f>IF('0.0%'!$N768&lt;$Z$3,0, '0.0%'!$S768/'0.0%'!$N768)</f>
        <v>2.1686217008797652</v>
      </c>
    </row>
    <row r="769" spans="1:25" x14ac:dyDescent="0.3">
      <c r="A769" s="17">
        <v>830.96</v>
      </c>
      <c r="B769" s="10">
        <v>69.7</v>
      </c>
      <c r="C769" s="9">
        <v>830.96</v>
      </c>
      <c r="D769" s="10">
        <v>95.3</v>
      </c>
      <c r="E769" s="11">
        <v>830.96</v>
      </c>
      <c r="F769" s="12">
        <v>93.1</v>
      </c>
      <c r="G769" s="11">
        <v>830.96</v>
      </c>
      <c r="H769" s="12">
        <v>105.3</v>
      </c>
      <c r="I769" s="11">
        <v>830.96</v>
      </c>
      <c r="J769" s="12">
        <v>138.69999999999999</v>
      </c>
      <c r="K769" s="11">
        <v>830.96</v>
      </c>
      <c r="L769" s="12">
        <v>150.6</v>
      </c>
      <c r="M769" s="11">
        <v>830.96</v>
      </c>
      <c r="N769" s="13">
        <v>69.7</v>
      </c>
      <c r="O769" s="13">
        <v>95.3</v>
      </c>
      <c r="P769" s="13">
        <v>93.1</v>
      </c>
      <c r="Q769" s="11">
        <v>105.3</v>
      </c>
      <c r="R769" s="11">
        <v>138.69999999999999</v>
      </c>
      <c r="S769" s="14">
        <v>150.6</v>
      </c>
      <c r="T769" s="11">
        <v>830.96</v>
      </c>
      <c r="U769" s="13">
        <f>IF('0.0%'!$N769&lt;$Z$3,0, '0.0%'!$O769/'0.0%'!$N769)</f>
        <v>1.3672883787661405</v>
      </c>
      <c r="V769" s="13">
        <f>IF('0.0%'!$N769&lt;$Z$3,0, '0.0%'!$P769/'0.0%'!$N769)</f>
        <v>1.3357245337159254</v>
      </c>
      <c r="W769" s="13">
        <f>IF('0.0%'!$N769&lt;$Z$3,0, '0.0%'!$Q769/'0.0%'!$N769)</f>
        <v>1.5107604017216643</v>
      </c>
      <c r="X769" s="13">
        <f>IF('0.0%'!$N769&lt;$Z$3,0, '0.0%'!$R769/'0.0%'!$N769)</f>
        <v>1.9899569583931132</v>
      </c>
      <c r="Y769" s="13">
        <f>IF('0.0%'!$N769&lt;$Z$3,0, '0.0%'!$S769/'0.0%'!$N769)</f>
        <v>2.1606886657101865</v>
      </c>
    </row>
    <row r="770" spans="1:25" x14ac:dyDescent="0.3">
      <c r="A770" s="17">
        <v>831.96</v>
      </c>
      <c r="B770" s="10">
        <v>72</v>
      </c>
      <c r="C770" s="9">
        <v>831.96</v>
      </c>
      <c r="D770" s="10">
        <v>98.1</v>
      </c>
      <c r="E770" s="11">
        <v>831.96</v>
      </c>
      <c r="F770" s="12">
        <v>96</v>
      </c>
      <c r="G770" s="11">
        <v>831.96</v>
      </c>
      <c r="H770" s="12">
        <v>108.4</v>
      </c>
      <c r="I770" s="11">
        <v>831.96</v>
      </c>
      <c r="J770" s="12">
        <v>141.9</v>
      </c>
      <c r="K770" s="11">
        <v>831.96</v>
      </c>
      <c r="L770" s="12">
        <v>154.4</v>
      </c>
      <c r="M770" s="11">
        <v>831.96</v>
      </c>
      <c r="N770" s="13">
        <v>72</v>
      </c>
      <c r="O770" s="13">
        <v>98.1</v>
      </c>
      <c r="P770" s="13">
        <v>96</v>
      </c>
      <c r="Q770" s="11">
        <v>108.4</v>
      </c>
      <c r="R770" s="11">
        <v>141.9</v>
      </c>
      <c r="S770" s="14">
        <v>154.4</v>
      </c>
      <c r="T770" s="11">
        <v>831.96</v>
      </c>
      <c r="U770" s="13">
        <f>IF('0.0%'!$N770&lt;$Z$3,0, '0.0%'!$O770/'0.0%'!$N770)</f>
        <v>1.3624999999999998</v>
      </c>
      <c r="V770" s="13">
        <f>IF('0.0%'!$N770&lt;$Z$3,0, '0.0%'!$P770/'0.0%'!$N770)</f>
        <v>1.3333333333333333</v>
      </c>
      <c r="W770" s="13">
        <f>IF('0.0%'!$N770&lt;$Z$3,0, '0.0%'!$Q770/'0.0%'!$N770)</f>
        <v>1.5055555555555555</v>
      </c>
      <c r="X770" s="13">
        <f>IF('0.0%'!$N770&lt;$Z$3,0, '0.0%'!$R770/'0.0%'!$N770)</f>
        <v>1.9708333333333334</v>
      </c>
      <c r="Y770" s="13">
        <f>IF('0.0%'!$N770&lt;$Z$3,0, '0.0%'!$S770/'0.0%'!$N770)</f>
        <v>2.1444444444444444</v>
      </c>
    </row>
    <row r="771" spans="1:25" x14ac:dyDescent="0.3">
      <c r="A771" s="17">
        <v>832.95</v>
      </c>
      <c r="B771" s="10">
        <v>73.7</v>
      </c>
      <c r="C771" s="9">
        <v>832.95</v>
      </c>
      <c r="D771" s="10">
        <v>100.2</v>
      </c>
      <c r="E771" s="11">
        <v>832.95</v>
      </c>
      <c r="F771" s="12">
        <v>98.2</v>
      </c>
      <c r="G771" s="11">
        <v>832.95</v>
      </c>
      <c r="H771" s="12">
        <v>110.8</v>
      </c>
      <c r="I771" s="11">
        <v>832.95</v>
      </c>
      <c r="J771" s="12">
        <v>144.4</v>
      </c>
      <c r="K771" s="11">
        <v>832.95</v>
      </c>
      <c r="L771" s="12">
        <v>157.5</v>
      </c>
      <c r="M771" s="11">
        <v>832.95</v>
      </c>
      <c r="N771" s="13">
        <v>73.7</v>
      </c>
      <c r="O771" s="13">
        <v>100.2</v>
      </c>
      <c r="P771" s="13">
        <v>98.2</v>
      </c>
      <c r="Q771" s="11">
        <v>110.8</v>
      </c>
      <c r="R771" s="11">
        <v>144.4</v>
      </c>
      <c r="S771" s="14">
        <v>157.5</v>
      </c>
      <c r="T771" s="11">
        <v>832.95</v>
      </c>
      <c r="U771" s="13">
        <f>IF('0.0%'!$N771&lt;$Z$3,0, '0.0%'!$O771/'0.0%'!$N771)</f>
        <v>1.3595658073270014</v>
      </c>
      <c r="V771" s="13">
        <f>IF('0.0%'!$N771&lt;$Z$3,0, '0.0%'!$P771/'0.0%'!$N771)</f>
        <v>1.3324287652645861</v>
      </c>
      <c r="W771" s="13">
        <f>IF('0.0%'!$N771&lt;$Z$3,0, '0.0%'!$Q771/'0.0%'!$N771)</f>
        <v>1.5033921302578017</v>
      </c>
      <c r="X771" s="13">
        <f>IF('0.0%'!$N771&lt;$Z$3,0, '0.0%'!$R771/'0.0%'!$N771)</f>
        <v>1.9592944369063772</v>
      </c>
      <c r="Y771" s="13">
        <f>IF('0.0%'!$N771&lt;$Z$3,0, '0.0%'!$S771/'0.0%'!$N771)</f>
        <v>2.1370420624151967</v>
      </c>
    </row>
    <row r="772" spans="1:25" x14ac:dyDescent="0.3">
      <c r="A772" s="17">
        <v>833.94</v>
      </c>
      <c r="B772" s="10">
        <v>76.3</v>
      </c>
      <c r="C772" s="9">
        <v>833.94</v>
      </c>
      <c r="D772" s="10">
        <v>103.3</v>
      </c>
      <c r="E772" s="11">
        <v>833.94</v>
      </c>
      <c r="F772" s="12">
        <v>101.5</v>
      </c>
      <c r="G772" s="11">
        <v>833.94</v>
      </c>
      <c r="H772" s="12">
        <v>114.3</v>
      </c>
      <c r="I772" s="11">
        <v>833.94</v>
      </c>
      <c r="J772" s="12">
        <v>148</v>
      </c>
      <c r="K772" s="11">
        <v>833.94</v>
      </c>
      <c r="L772" s="12">
        <v>161.80000000000001</v>
      </c>
      <c r="M772" s="11">
        <v>833.94</v>
      </c>
      <c r="N772" s="13">
        <v>76.3</v>
      </c>
      <c r="O772" s="13">
        <v>103.3</v>
      </c>
      <c r="P772" s="13">
        <v>101.5</v>
      </c>
      <c r="Q772" s="11">
        <v>114.3</v>
      </c>
      <c r="R772" s="11">
        <v>148</v>
      </c>
      <c r="S772" s="14">
        <v>161.80000000000001</v>
      </c>
      <c r="T772" s="11">
        <v>833.94</v>
      </c>
      <c r="U772" s="13">
        <f>IF('0.0%'!$N772&lt;$Z$3,0, '0.0%'!$O772/'0.0%'!$N772)</f>
        <v>1.3538663171690695</v>
      </c>
      <c r="V772" s="13">
        <f>IF('0.0%'!$N772&lt;$Z$3,0, '0.0%'!$P772/'0.0%'!$N772)</f>
        <v>1.3302752293577982</v>
      </c>
      <c r="W772" s="13">
        <f>IF('0.0%'!$N772&lt;$Z$3,0, '0.0%'!$Q772/'0.0%'!$N772)</f>
        <v>1.4980340760157274</v>
      </c>
      <c r="X772" s="13">
        <f>IF('0.0%'!$N772&lt;$Z$3,0, '0.0%'!$R772/'0.0%'!$N772)</f>
        <v>1.9397116644823067</v>
      </c>
      <c r="Y772" s="13">
        <f>IF('0.0%'!$N772&lt;$Z$3,0, '0.0%'!$S772/'0.0%'!$N772)</f>
        <v>2.1205766710353871</v>
      </c>
    </row>
    <row r="773" spans="1:25" x14ac:dyDescent="0.3">
      <c r="A773" s="17">
        <v>834.93</v>
      </c>
      <c r="B773" s="10">
        <v>78.3</v>
      </c>
      <c r="C773" s="9">
        <v>834.93</v>
      </c>
      <c r="D773" s="10">
        <v>105.8</v>
      </c>
      <c r="E773" s="11">
        <v>834.93</v>
      </c>
      <c r="F773" s="12">
        <v>104.1</v>
      </c>
      <c r="G773" s="11">
        <v>834.93</v>
      </c>
      <c r="H773" s="12">
        <v>117</v>
      </c>
      <c r="I773" s="11">
        <v>834.93</v>
      </c>
      <c r="J773" s="12">
        <v>150.80000000000001</v>
      </c>
      <c r="K773" s="11">
        <v>834.93</v>
      </c>
      <c r="L773" s="12">
        <v>165.2</v>
      </c>
      <c r="M773" s="11">
        <v>834.93</v>
      </c>
      <c r="N773" s="13">
        <v>78.3</v>
      </c>
      <c r="O773" s="13">
        <v>105.8</v>
      </c>
      <c r="P773" s="13">
        <v>104.1</v>
      </c>
      <c r="Q773" s="11">
        <v>117</v>
      </c>
      <c r="R773" s="11">
        <v>150.80000000000001</v>
      </c>
      <c r="S773" s="14">
        <v>165.2</v>
      </c>
      <c r="T773" s="11">
        <v>834.93</v>
      </c>
      <c r="U773" s="13">
        <f>IF('0.0%'!$N773&lt;$Z$3,0, '0.0%'!$O773/'0.0%'!$N773)</f>
        <v>1.3512132822477649</v>
      </c>
      <c r="V773" s="13">
        <f>IF('0.0%'!$N773&lt;$Z$3,0, '0.0%'!$P773/'0.0%'!$N773)</f>
        <v>1.3295019157088122</v>
      </c>
      <c r="W773" s="13">
        <f>IF('0.0%'!$N773&lt;$Z$3,0, '0.0%'!$Q773/'0.0%'!$N773)</f>
        <v>1.4942528735632183</v>
      </c>
      <c r="X773" s="13">
        <f>IF('0.0%'!$N773&lt;$Z$3,0, '0.0%'!$R773/'0.0%'!$N773)</f>
        <v>1.925925925925926</v>
      </c>
      <c r="Y773" s="13">
        <f>IF('0.0%'!$N773&lt;$Z$3,0, '0.0%'!$S773/'0.0%'!$N773)</f>
        <v>2.1098339719029373</v>
      </c>
    </row>
    <row r="774" spans="1:25" x14ac:dyDescent="0.3">
      <c r="A774" s="17">
        <v>835.92</v>
      </c>
      <c r="B774" s="10">
        <v>81.3</v>
      </c>
      <c r="C774" s="9">
        <v>835.92</v>
      </c>
      <c r="D774" s="10">
        <v>109.3</v>
      </c>
      <c r="E774" s="11">
        <v>835.92</v>
      </c>
      <c r="F774" s="12">
        <v>107.8</v>
      </c>
      <c r="G774" s="11">
        <v>835.92</v>
      </c>
      <c r="H774" s="12">
        <v>120.9</v>
      </c>
      <c r="I774" s="11">
        <v>835.92</v>
      </c>
      <c r="J774" s="12">
        <v>154.9</v>
      </c>
      <c r="K774" s="11">
        <v>835.92</v>
      </c>
      <c r="L774" s="12">
        <v>169.9</v>
      </c>
      <c r="M774" s="11">
        <v>835.92</v>
      </c>
      <c r="N774" s="13">
        <v>81.3</v>
      </c>
      <c r="O774" s="13">
        <v>109.3</v>
      </c>
      <c r="P774" s="13">
        <v>107.8</v>
      </c>
      <c r="Q774" s="11">
        <v>120.9</v>
      </c>
      <c r="R774" s="11">
        <v>154.9</v>
      </c>
      <c r="S774" s="14">
        <v>169.9</v>
      </c>
      <c r="T774" s="11">
        <v>835.92</v>
      </c>
      <c r="U774" s="13">
        <f>IF('0.0%'!$N774&lt;$Z$3,0, '0.0%'!$O774/'0.0%'!$N774)</f>
        <v>1.3444034440344403</v>
      </c>
      <c r="V774" s="13">
        <f>IF('0.0%'!$N774&lt;$Z$3,0, '0.0%'!$P774/'0.0%'!$N774)</f>
        <v>1.3259532595325954</v>
      </c>
      <c r="W774" s="13">
        <f>IF('0.0%'!$N774&lt;$Z$3,0, '0.0%'!$Q774/'0.0%'!$N774)</f>
        <v>1.4870848708487086</v>
      </c>
      <c r="X774" s="13">
        <f>IF('0.0%'!$N774&lt;$Z$3,0, '0.0%'!$R774/'0.0%'!$N774)</f>
        <v>1.9052890528905291</v>
      </c>
      <c r="Y774" s="13">
        <f>IF('0.0%'!$N774&lt;$Z$3,0, '0.0%'!$S774/'0.0%'!$N774)</f>
        <v>2.0897908979089794</v>
      </c>
    </row>
    <row r="775" spans="1:25" x14ac:dyDescent="0.3">
      <c r="A775" s="17">
        <v>836.91</v>
      </c>
      <c r="B775" s="10">
        <v>83.8</v>
      </c>
      <c r="C775" s="9">
        <v>836.91</v>
      </c>
      <c r="D775" s="10">
        <v>112.4</v>
      </c>
      <c r="E775" s="11">
        <v>836.91</v>
      </c>
      <c r="F775" s="12">
        <v>110.7</v>
      </c>
      <c r="G775" s="11">
        <v>836.91</v>
      </c>
      <c r="H775" s="12">
        <v>124.1</v>
      </c>
      <c r="I775" s="11">
        <v>836.91</v>
      </c>
      <c r="J775" s="12">
        <v>158.30000000000001</v>
      </c>
      <c r="K775" s="11">
        <v>836.91</v>
      </c>
      <c r="L775" s="12">
        <v>174</v>
      </c>
      <c r="M775" s="11">
        <v>836.91</v>
      </c>
      <c r="N775" s="13">
        <v>83.8</v>
      </c>
      <c r="O775" s="13">
        <v>112.4</v>
      </c>
      <c r="P775" s="13">
        <v>110.7</v>
      </c>
      <c r="Q775" s="11">
        <v>124.1</v>
      </c>
      <c r="R775" s="11">
        <v>158.30000000000001</v>
      </c>
      <c r="S775" s="14">
        <v>174</v>
      </c>
      <c r="T775" s="11">
        <v>836.91</v>
      </c>
      <c r="U775" s="13">
        <f>IF('0.0%'!$N775&lt;$Z$3,0, '0.0%'!$O775/'0.0%'!$N775)</f>
        <v>1.3412887828162292</v>
      </c>
      <c r="V775" s="13">
        <f>IF('0.0%'!$N775&lt;$Z$3,0, '0.0%'!$P775/'0.0%'!$N775)</f>
        <v>1.321002386634845</v>
      </c>
      <c r="W775" s="13">
        <f>IF('0.0%'!$N775&lt;$Z$3,0, '0.0%'!$Q775/'0.0%'!$N775)</f>
        <v>1.4809069212410502</v>
      </c>
      <c r="X775" s="13">
        <f>IF('0.0%'!$N775&lt;$Z$3,0, '0.0%'!$R775/'0.0%'!$N775)</f>
        <v>1.889021479713604</v>
      </c>
      <c r="Y775" s="13">
        <f>IF('0.0%'!$N775&lt;$Z$3,0, '0.0%'!$S775/'0.0%'!$N775)</f>
        <v>2.0763723150357998</v>
      </c>
    </row>
    <row r="776" spans="1:25" x14ac:dyDescent="0.3">
      <c r="A776" s="17">
        <v>837.91</v>
      </c>
      <c r="B776" s="10">
        <v>87.3</v>
      </c>
      <c r="C776" s="9">
        <v>837.91</v>
      </c>
      <c r="D776" s="10">
        <v>116.6</v>
      </c>
      <c r="E776" s="11">
        <v>837.91</v>
      </c>
      <c r="F776" s="12">
        <v>114.9</v>
      </c>
      <c r="G776" s="11">
        <v>837.91</v>
      </c>
      <c r="H776" s="12">
        <v>128.6</v>
      </c>
      <c r="I776" s="11">
        <v>837.91</v>
      </c>
      <c r="J776" s="12">
        <v>163.1</v>
      </c>
      <c r="K776" s="11">
        <v>837.91</v>
      </c>
      <c r="L776" s="12">
        <v>179.6</v>
      </c>
      <c r="M776" s="11">
        <v>837.91</v>
      </c>
      <c r="N776" s="13">
        <v>87.3</v>
      </c>
      <c r="O776" s="13">
        <v>116.6</v>
      </c>
      <c r="P776" s="13">
        <v>114.9</v>
      </c>
      <c r="Q776" s="11">
        <v>128.6</v>
      </c>
      <c r="R776" s="11">
        <v>163.1</v>
      </c>
      <c r="S776" s="14">
        <v>179.6</v>
      </c>
      <c r="T776" s="11">
        <v>837.91</v>
      </c>
      <c r="U776" s="13">
        <f>IF('0.0%'!$N776&lt;$Z$3,0, '0.0%'!$O776/'0.0%'!$N776)</f>
        <v>1.3356242840778922</v>
      </c>
      <c r="V776" s="13">
        <f>IF('0.0%'!$N776&lt;$Z$3,0, '0.0%'!$P776/'0.0%'!$N776)</f>
        <v>1.3161512027491411</v>
      </c>
      <c r="W776" s="13">
        <f>IF('0.0%'!$N776&lt;$Z$3,0, '0.0%'!$Q776/'0.0%'!$N776)</f>
        <v>1.4730813287514317</v>
      </c>
      <c r="X776" s="13">
        <f>IF('0.0%'!$N776&lt;$Z$3,0, '0.0%'!$R776/'0.0%'!$N776)</f>
        <v>1.868270332187858</v>
      </c>
      <c r="Y776" s="13">
        <f>IF('0.0%'!$N776&lt;$Z$3,0, '0.0%'!$S776/'0.0%'!$N776)</f>
        <v>2.0572737686139746</v>
      </c>
    </row>
    <row r="777" spans="1:25" x14ac:dyDescent="0.3">
      <c r="A777" s="17">
        <v>838.9</v>
      </c>
      <c r="B777" s="10">
        <v>90.3</v>
      </c>
      <c r="C777" s="9">
        <v>838.9</v>
      </c>
      <c r="D777" s="10">
        <v>120.3</v>
      </c>
      <c r="E777" s="11">
        <v>838.9</v>
      </c>
      <c r="F777" s="12">
        <v>118.4</v>
      </c>
      <c r="G777" s="11">
        <v>838.9</v>
      </c>
      <c r="H777" s="12">
        <v>132.5</v>
      </c>
      <c r="I777" s="11">
        <v>838.9</v>
      </c>
      <c r="J777" s="12">
        <v>167.3</v>
      </c>
      <c r="K777" s="11">
        <v>838.9</v>
      </c>
      <c r="L777" s="12">
        <v>184.6</v>
      </c>
      <c r="M777" s="11">
        <v>838.9</v>
      </c>
      <c r="N777" s="13">
        <v>90.3</v>
      </c>
      <c r="O777" s="13">
        <v>120.3</v>
      </c>
      <c r="P777" s="13">
        <v>118.4</v>
      </c>
      <c r="Q777" s="11">
        <v>132.5</v>
      </c>
      <c r="R777" s="11">
        <v>167.3</v>
      </c>
      <c r="S777" s="14">
        <v>184.6</v>
      </c>
      <c r="T777" s="11">
        <v>838.9</v>
      </c>
      <c r="U777" s="13">
        <f>IF('0.0%'!$N777&lt;$Z$3,0, '0.0%'!$O777/'0.0%'!$N777)</f>
        <v>1.3322259136212624</v>
      </c>
      <c r="V777" s="13">
        <f>IF('0.0%'!$N777&lt;$Z$3,0, '0.0%'!$P777/'0.0%'!$N777)</f>
        <v>1.3111849390919159</v>
      </c>
      <c r="W777" s="13">
        <f>IF('0.0%'!$N777&lt;$Z$3,0, '0.0%'!$Q777/'0.0%'!$N777)</f>
        <v>1.4673311184939093</v>
      </c>
      <c r="X777" s="13">
        <f>IF('0.0%'!$N777&lt;$Z$3,0, '0.0%'!$R777/'0.0%'!$N777)</f>
        <v>1.8527131782945738</v>
      </c>
      <c r="Y777" s="13">
        <f>IF('0.0%'!$N777&lt;$Z$3,0, '0.0%'!$S777/'0.0%'!$N777)</f>
        <v>2.0442967884828351</v>
      </c>
    </row>
    <row r="778" spans="1:25" x14ac:dyDescent="0.3">
      <c r="A778" s="17">
        <v>839.89</v>
      </c>
      <c r="B778" s="10">
        <v>94.6</v>
      </c>
      <c r="C778" s="9">
        <v>839.89</v>
      </c>
      <c r="D778" s="10">
        <v>125.3</v>
      </c>
      <c r="E778" s="11">
        <v>839.89</v>
      </c>
      <c r="F778" s="12">
        <v>123.2</v>
      </c>
      <c r="G778" s="11">
        <v>839.89</v>
      </c>
      <c r="H778" s="12">
        <v>137.80000000000001</v>
      </c>
      <c r="I778" s="11">
        <v>839.89</v>
      </c>
      <c r="J778" s="12">
        <v>173</v>
      </c>
      <c r="K778" s="11">
        <v>839.89</v>
      </c>
      <c r="L778" s="12">
        <v>191.3</v>
      </c>
      <c r="M778" s="11">
        <v>839.89</v>
      </c>
      <c r="N778" s="13">
        <v>94.6</v>
      </c>
      <c r="O778" s="13">
        <v>125.3</v>
      </c>
      <c r="P778" s="13">
        <v>123.2</v>
      </c>
      <c r="Q778" s="11">
        <v>137.80000000000001</v>
      </c>
      <c r="R778" s="11">
        <v>173</v>
      </c>
      <c r="S778" s="14">
        <v>191.3</v>
      </c>
      <c r="T778" s="11">
        <v>839.89</v>
      </c>
      <c r="U778" s="13">
        <f>IF('0.0%'!$N778&lt;$Z$3,0, '0.0%'!$O778/'0.0%'!$N778)</f>
        <v>1.3245243128964059</v>
      </c>
      <c r="V778" s="13">
        <f>IF('0.0%'!$N778&lt;$Z$3,0, '0.0%'!$P778/'0.0%'!$N778)</f>
        <v>1.3023255813953489</v>
      </c>
      <c r="W778" s="13">
        <f>IF('0.0%'!$N778&lt;$Z$3,0, '0.0%'!$Q778/'0.0%'!$N778)</f>
        <v>1.4566596194503174</v>
      </c>
      <c r="X778" s="13">
        <f>IF('0.0%'!$N778&lt;$Z$3,0, '0.0%'!$R778/'0.0%'!$N778)</f>
        <v>1.8287526427061311</v>
      </c>
      <c r="Y778" s="13">
        <f>IF('0.0%'!$N778&lt;$Z$3,0, '0.0%'!$S778/'0.0%'!$N778)</f>
        <v>2.0221987315010574</v>
      </c>
    </row>
    <row r="779" spans="1:25" x14ac:dyDescent="0.3">
      <c r="A779" s="17">
        <v>840.88</v>
      </c>
      <c r="B779" s="10">
        <v>98.5</v>
      </c>
      <c r="C779" s="9">
        <v>840.88</v>
      </c>
      <c r="D779" s="10">
        <v>130.1</v>
      </c>
      <c r="E779" s="11">
        <v>840.88</v>
      </c>
      <c r="F779" s="12">
        <v>127.7</v>
      </c>
      <c r="G779" s="11">
        <v>840.88</v>
      </c>
      <c r="H779" s="12">
        <v>142.6</v>
      </c>
      <c r="I779" s="11">
        <v>840.88</v>
      </c>
      <c r="J779" s="12">
        <v>178.5</v>
      </c>
      <c r="K779" s="11">
        <v>840.88</v>
      </c>
      <c r="L779" s="12">
        <v>197.6</v>
      </c>
      <c r="M779" s="11">
        <v>840.88</v>
      </c>
      <c r="N779" s="13">
        <v>98.5</v>
      </c>
      <c r="O779" s="13">
        <v>130.1</v>
      </c>
      <c r="P779" s="13">
        <v>127.7</v>
      </c>
      <c r="Q779" s="11">
        <v>142.6</v>
      </c>
      <c r="R779" s="11">
        <v>178.5</v>
      </c>
      <c r="S779" s="14">
        <v>197.6</v>
      </c>
      <c r="T779" s="11">
        <v>840.88</v>
      </c>
      <c r="U779" s="13">
        <f>IF('0.0%'!$N779&lt;$Z$3,0, '0.0%'!$O779/'0.0%'!$N779)</f>
        <v>1.3208121827411168</v>
      </c>
      <c r="V779" s="13">
        <f>IF('0.0%'!$N779&lt;$Z$3,0, '0.0%'!$P779/'0.0%'!$N779)</f>
        <v>1.2964467005076143</v>
      </c>
      <c r="W779" s="13">
        <f>IF('0.0%'!$N779&lt;$Z$3,0, '0.0%'!$Q779/'0.0%'!$N779)</f>
        <v>1.447715736040609</v>
      </c>
      <c r="X779" s="13">
        <f>IF('0.0%'!$N779&lt;$Z$3,0, '0.0%'!$R779/'0.0%'!$N779)</f>
        <v>1.8121827411167513</v>
      </c>
      <c r="Y779" s="13">
        <f>IF('0.0%'!$N779&lt;$Z$3,0, '0.0%'!$S779/'0.0%'!$N779)</f>
        <v>2.0060913705583756</v>
      </c>
    </row>
    <row r="780" spans="1:25" x14ac:dyDescent="0.3">
      <c r="A780" s="17">
        <v>841.87</v>
      </c>
      <c r="B780" s="10">
        <v>103.7</v>
      </c>
      <c r="C780" s="9">
        <v>841.87</v>
      </c>
      <c r="D780" s="10">
        <v>136.30000000000001</v>
      </c>
      <c r="E780" s="11">
        <v>841.87</v>
      </c>
      <c r="F780" s="12">
        <v>133.6</v>
      </c>
      <c r="G780" s="11">
        <v>841.87</v>
      </c>
      <c r="H780" s="12">
        <v>149</v>
      </c>
      <c r="I780" s="11">
        <v>841.87</v>
      </c>
      <c r="J780" s="12">
        <v>185.6</v>
      </c>
      <c r="K780" s="11">
        <v>841.87</v>
      </c>
      <c r="L780" s="12">
        <v>205.8</v>
      </c>
      <c r="M780" s="11">
        <v>841.87</v>
      </c>
      <c r="N780" s="13">
        <v>103.7</v>
      </c>
      <c r="O780" s="13">
        <v>136.30000000000001</v>
      </c>
      <c r="P780" s="13">
        <v>133.6</v>
      </c>
      <c r="Q780" s="11">
        <v>149</v>
      </c>
      <c r="R780" s="11">
        <v>185.6</v>
      </c>
      <c r="S780" s="14">
        <v>205.8</v>
      </c>
      <c r="T780" s="11">
        <v>841.87</v>
      </c>
      <c r="U780" s="13">
        <f>IF('0.0%'!$N780&lt;$Z$3,0, '0.0%'!$O780/'0.0%'!$N780)</f>
        <v>1.3143683702989393</v>
      </c>
      <c r="V780" s="13">
        <f>IF('0.0%'!$N780&lt;$Z$3,0, '0.0%'!$P780/'0.0%'!$N780)</f>
        <v>1.288331726133076</v>
      </c>
      <c r="W780" s="13">
        <f>IF('0.0%'!$N780&lt;$Z$3,0, '0.0%'!$Q780/'0.0%'!$N780)</f>
        <v>1.4368370298939248</v>
      </c>
      <c r="X780" s="13">
        <f>IF('0.0%'!$N780&lt;$Z$3,0, '0.0%'!$R780/'0.0%'!$N780)</f>
        <v>1.7897782063645129</v>
      </c>
      <c r="Y780" s="13">
        <f>IF('0.0%'!$N780&lt;$Z$3,0, '0.0%'!$S780/'0.0%'!$N780)</f>
        <v>1.9845708775313404</v>
      </c>
    </row>
    <row r="781" spans="1:25" x14ac:dyDescent="0.3">
      <c r="A781" s="17">
        <v>842.87</v>
      </c>
      <c r="B781" s="10">
        <v>108.6</v>
      </c>
      <c r="C781" s="9">
        <v>842.87</v>
      </c>
      <c r="D781" s="10">
        <v>142.19999999999999</v>
      </c>
      <c r="E781" s="11">
        <v>842.87</v>
      </c>
      <c r="F781" s="12">
        <v>139.1</v>
      </c>
      <c r="G781" s="11">
        <v>842.87</v>
      </c>
      <c r="H781" s="12">
        <v>154.9</v>
      </c>
      <c r="I781" s="11">
        <v>842.87</v>
      </c>
      <c r="J781" s="12">
        <v>192.4</v>
      </c>
      <c r="K781" s="11">
        <v>842.87</v>
      </c>
      <c r="L781" s="12">
        <v>213.8</v>
      </c>
      <c r="M781" s="11">
        <v>842.87</v>
      </c>
      <c r="N781" s="13">
        <v>108.6</v>
      </c>
      <c r="O781" s="13">
        <v>142.19999999999999</v>
      </c>
      <c r="P781" s="13">
        <v>139.1</v>
      </c>
      <c r="Q781" s="11">
        <v>154.9</v>
      </c>
      <c r="R781" s="11">
        <v>192.4</v>
      </c>
      <c r="S781" s="14">
        <v>213.8</v>
      </c>
      <c r="T781" s="11">
        <v>842.87</v>
      </c>
      <c r="U781" s="13">
        <f>IF('0.0%'!$N781&lt;$Z$3,0, '0.0%'!$O781/'0.0%'!$N781)</f>
        <v>1.30939226519337</v>
      </c>
      <c r="V781" s="13">
        <f>IF('0.0%'!$N781&lt;$Z$3,0, '0.0%'!$P781/'0.0%'!$N781)</f>
        <v>1.2808471454880295</v>
      </c>
      <c r="W781" s="13">
        <f>IF('0.0%'!$N781&lt;$Z$3,0, '0.0%'!$Q781/'0.0%'!$N781)</f>
        <v>1.4263351749539597</v>
      </c>
      <c r="X781" s="13">
        <f>IF('0.0%'!$N781&lt;$Z$3,0, '0.0%'!$R781/'0.0%'!$N781)</f>
        <v>1.7716390423572745</v>
      </c>
      <c r="Y781" s="13">
        <f>IF('0.0%'!$N781&lt;$Z$3,0, '0.0%'!$S781/'0.0%'!$N781)</f>
        <v>1.968692449355433</v>
      </c>
    </row>
    <row r="782" spans="1:25" x14ac:dyDescent="0.3">
      <c r="A782" s="17">
        <v>843.86</v>
      </c>
      <c r="B782" s="10">
        <v>114.8</v>
      </c>
      <c r="C782" s="9">
        <v>843.86</v>
      </c>
      <c r="D782" s="10">
        <v>149.5</v>
      </c>
      <c r="E782" s="11">
        <v>843.86</v>
      </c>
      <c r="F782" s="12">
        <v>146</v>
      </c>
      <c r="G782" s="11">
        <v>843.86</v>
      </c>
      <c r="H782" s="12">
        <v>162.30000000000001</v>
      </c>
      <c r="I782" s="11">
        <v>843.86</v>
      </c>
      <c r="J782" s="12">
        <v>200.9</v>
      </c>
      <c r="K782" s="11">
        <v>843.86</v>
      </c>
      <c r="L782" s="12">
        <v>223.7</v>
      </c>
      <c r="M782" s="11">
        <v>843.86</v>
      </c>
      <c r="N782" s="13">
        <v>114.8</v>
      </c>
      <c r="O782" s="13">
        <v>149.5</v>
      </c>
      <c r="P782" s="13">
        <v>146</v>
      </c>
      <c r="Q782" s="11">
        <v>162.30000000000001</v>
      </c>
      <c r="R782" s="11">
        <v>200.9</v>
      </c>
      <c r="S782" s="14">
        <v>223.7</v>
      </c>
      <c r="T782" s="11">
        <v>843.86</v>
      </c>
      <c r="U782" s="13">
        <f>IF('0.0%'!$N782&lt;$Z$3,0, '0.0%'!$O782/'0.0%'!$N782)</f>
        <v>1.3022648083623694</v>
      </c>
      <c r="V782" s="13">
        <f>IF('0.0%'!$N782&lt;$Z$3,0, '0.0%'!$P782/'0.0%'!$N782)</f>
        <v>1.2717770034843205</v>
      </c>
      <c r="W782" s="13">
        <f>IF('0.0%'!$N782&lt;$Z$3,0, '0.0%'!$Q782/'0.0%'!$N782)</f>
        <v>1.4137630662020908</v>
      </c>
      <c r="X782" s="13">
        <f>IF('0.0%'!$N782&lt;$Z$3,0, '0.0%'!$R782/'0.0%'!$N782)</f>
        <v>1.75</v>
      </c>
      <c r="Y782" s="13">
        <f>IF('0.0%'!$N782&lt;$Z$3,0, '0.0%'!$S782/'0.0%'!$N782)</f>
        <v>1.9486062717770034</v>
      </c>
    </row>
    <row r="783" spans="1:25" x14ac:dyDescent="0.3">
      <c r="A783" s="17">
        <v>844.85</v>
      </c>
      <c r="B783" s="10">
        <v>120.8</v>
      </c>
      <c r="C783" s="9">
        <v>844.85</v>
      </c>
      <c r="D783" s="10">
        <v>156.5</v>
      </c>
      <c r="E783" s="11">
        <v>844.85</v>
      </c>
      <c r="F783" s="12">
        <v>152.6</v>
      </c>
      <c r="G783" s="11">
        <v>844.85</v>
      </c>
      <c r="H783" s="12">
        <v>169.4</v>
      </c>
      <c r="I783" s="11">
        <v>844.85</v>
      </c>
      <c r="J783" s="12">
        <v>209.1</v>
      </c>
      <c r="K783" s="11">
        <v>844.85</v>
      </c>
      <c r="L783" s="12">
        <v>233.5</v>
      </c>
      <c r="M783" s="11">
        <v>844.85</v>
      </c>
      <c r="N783" s="13">
        <v>120.8</v>
      </c>
      <c r="O783" s="13">
        <v>156.5</v>
      </c>
      <c r="P783" s="13">
        <v>152.6</v>
      </c>
      <c r="Q783" s="11">
        <v>169.4</v>
      </c>
      <c r="R783" s="11">
        <v>209.1</v>
      </c>
      <c r="S783" s="14">
        <v>233.5</v>
      </c>
      <c r="T783" s="11">
        <v>844.85</v>
      </c>
      <c r="U783" s="13">
        <f>IF('0.0%'!$N783&lt;$Z$3,0, '0.0%'!$O783/'0.0%'!$N783)</f>
        <v>1.2955298013245033</v>
      </c>
      <c r="V783" s="13">
        <f>IF('0.0%'!$N783&lt;$Z$3,0, '0.0%'!$P783/'0.0%'!$N783)</f>
        <v>1.2632450331125828</v>
      </c>
      <c r="W783" s="13">
        <f>IF('0.0%'!$N783&lt;$Z$3,0, '0.0%'!$Q783/'0.0%'!$N783)</f>
        <v>1.4023178807947021</v>
      </c>
      <c r="X783" s="13">
        <f>IF('0.0%'!$N783&lt;$Z$3,0, '0.0%'!$R783/'0.0%'!$N783)</f>
        <v>1.7309602649006623</v>
      </c>
      <c r="Y783" s="13">
        <f>IF('0.0%'!$N783&lt;$Z$3,0, '0.0%'!$S783/'0.0%'!$N783)</f>
        <v>1.9329470198675498</v>
      </c>
    </row>
    <row r="784" spans="1:25" x14ac:dyDescent="0.3">
      <c r="A784" s="17">
        <v>845.84</v>
      </c>
      <c r="B784" s="10">
        <v>128.30000000000001</v>
      </c>
      <c r="C784" s="9">
        <v>845.84</v>
      </c>
      <c r="D784" s="10">
        <v>165.2</v>
      </c>
      <c r="E784" s="11">
        <v>845.84</v>
      </c>
      <c r="F784" s="12">
        <v>160.69999999999999</v>
      </c>
      <c r="G784" s="11">
        <v>845.84</v>
      </c>
      <c r="H784" s="12">
        <v>178.1</v>
      </c>
      <c r="I784" s="11">
        <v>845.84</v>
      </c>
      <c r="J784" s="12">
        <v>219.1</v>
      </c>
      <c r="K784" s="11">
        <v>845.84</v>
      </c>
      <c r="L784" s="12">
        <v>245.7</v>
      </c>
      <c r="M784" s="11">
        <v>845.84</v>
      </c>
      <c r="N784" s="13">
        <v>128.30000000000001</v>
      </c>
      <c r="O784" s="13">
        <v>165.2</v>
      </c>
      <c r="P784" s="13">
        <v>160.69999999999999</v>
      </c>
      <c r="Q784" s="11">
        <v>178.1</v>
      </c>
      <c r="R784" s="11">
        <v>219.1</v>
      </c>
      <c r="S784" s="14">
        <v>245.7</v>
      </c>
      <c r="T784" s="11">
        <v>845.84</v>
      </c>
      <c r="U784" s="13">
        <f>IF('0.0%'!$N784&lt;$Z$3,0, '0.0%'!$O784/'0.0%'!$N784)</f>
        <v>1.2876071706936865</v>
      </c>
      <c r="V784" s="13">
        <f>IF('0.0%'!$N784&lt;$Z$3,0, '0.0%'!$P784/'0.0%'!$N784)</f>
        <v>1.2525331254871392</v>
      </c>
      <c r="W784" s="13">
        <f>IF('0.0%'!$N784&lt;$Z$3,0, '0.0%'!$Q784/'0.0%'!$N784)</f>
        <v>1.3881527669524549</v>
      </c>
      <c r="X784" s="13">
        <f>IF('0.0%'!$N784&lt;$Z$3,0, '0.0%'!$R784/'0.0%'!$N784)</f>
        <v>1.7077162899454401</v>
      </c>
      <c r="Y784" s="13">
        <f>IF('0.0%'!$N784&lt;$Z$3,0, '0.0%'!$S784/'0.0%'!$N784)</f>
        <v>1.9150428682774745</v>
      </c>
    </row>
    <row r="785" spans="1:25" x14ac:dyDescent="0.3">
      <c r="A785" s="17">
        <v>846.83</v>
      </c>
      <c r="B785" s="10">
        <v>135.9</v>
      </c>
      <c r="C785" s="9">
        <v>846.83</v>
      </c>
      <c r="D785" s="10">
        <v>173.7</v>
      </c>
      <c r="E785" s="11">
        <v>846.83</v>
      </c>
      <c r="F785" s="12">
        <v>168.7</v>
      </c>
      <c r="G785" s="11">
        <v>846.83</v>
      </c>
      <c r="H785" s="12">
        <v>186.7</v>
      </c>
      <c r="I785" s="11">
        <v>846.83</v>
      </c>
      <c r="J785" s="12">
        <v>229.3</v>
      </c>
      <c r="K785" s="11">
        <v>846.83</v>
      </c>
      <c r="L785" s="12">
        <v>258.10000000000002</v>
      </c>
      <c r="M785" s="11">
        <v>846.83</v>
      </c>
      <c r="N785" s="13">
        <v>135.9</v>
      </c>
      <c r="O785" s="13">
        <v>173.7</v>
      </c>
      <c r="P785" s="13">
        <v>168.7</v>
      </c>
      <c r="Q785" s="11">
        <v>186.7</v>
      </c>
      <c r="R785" s="11">
        <v>229.3</v>
      </c>
      <c r="S785" s="14">
        <v>258.10000000000002</v>
      </c>
      <c r="T785" s="11">
        <v>846.83</v>
      </c>
      <c r="U785" s="13">
        <f>IF('0.0%'!$N785&lt;$Z$3,0, '0.0%'!$O785/'0.0%'!$N785)</f>
        <v>1.2781456953642383</v>
      </c>
      <c r="V785" s="13">
        <f>IF('0.0%'!$N785&lt;$Z$3,0, '0.0%'!$P785/'0.0%'!$N785)</f>
        <v>1.241353936718175</v>
      </c>
      <c r="W785" s="13">
        <f>IF('0.0%'!$N785&lt;$Z$3,0, '0.0%'!$Q785/'0.0%'!$N785)</f>
        <v>1.3738042678440028</v>
      </c>
      <c r="X785" s="13">
        <f>IF('0.0%'!$N785&lt;$Z$3,0, '0.0%'!$R785/'0.0%'!$N785)</f>
        <v>1.6872700515084622</v>
      </c>
      <c r="Y785" s="13">
        <f>IF('0.0%'!$N785&lt;$Z$3,0, '0.0%'!$S785/'0.0%'!$N785)</f>
        <v>1.8991905813097867</v>
      </c>
    </row>
    <row r="786" spans="1:25" x14ac:dyDescent="0.3">
      <c r="A786" s="17">
        <v>847.82</v>
      </c>
      <c r="B786" s="10">
        <v>145.30000000000001</v>
      </c>
      <c r="C786" s="9">
        <v>847.82</v>
      </c>
      <c r="D786" s="10">
        <v>184.2</v>
      </c>
      <c r="E786" s="11">
        <v>847.82</v>
      </c>
      <c r="F786" s="12">
        <v>178.5</v>
      </c>
      <c r="G786" s="11">
        <v>847.82</v>
      </c>
      <c r="H786" s="12">
        <v>197.3</v>
      </c>
      <c r="I786" s="11">
        <v>847.82</v>
      </c>
      <c r="J786" s="12">
        <v>241.8</v>
      </c>
      <c r="K786" s="11">
        <v>847.82</v>
      </c>
      <c r="L786" s="12">
        <v>273.39999999999998</v>
      </c>
      <c r="M786" s="11">
        <v>847.82</v>
      </c>
      <c r="N786" s="13">
        <v>145.30000000000001</v>
      </c>
      <c r="O786" s="13">
        <v>184.2</v>
      </c>
      <c r="P786" s="13">
        <v>178.5</v>
      </c>
      <c r="Q786" s="11">
        <v>197.3</v>
      </c>
      <c r="R786" s="11">
        <v>241.8</v>
      </c>
      <c r="S786" s="14">
        <v>273.39999999999998</v>
      </c>
      <c r="T786" s="11">
        <v>847.82</v>
      </c>
      <c r="U786" s="13">
        <f>IF('0.0%'!$N786&lt;$Z$3,0, '0.0%'!$O786/'0.0%'!$N786)</f>
        <v>1.2677219545767375</v>
      </c>
      <c r="V786" s="13">
        <f>IF('0.0%'!$N786&lt;$Z$3,0, '0.0%'!$P786/'0.0%'!$N786)</f>
        <v>1.22849277357192</v>
      </c>
      <c r="W786" s="13">
        <f>IF('0.0%'!$N786&lt;$Z$3,0, '0.0%'!$Q786/'0.0%'!$N786)</f>
        <v>1.3578802477632483</v>
      </c>
      <c r="X786" s="13">
        <f>IF('0.0%'!$N786&lt;$Z$3,0, '0.0%'!$R786/'0.0%'!$N786)</f>
        <v>1.6641431520991052</v>
      </c>
      <c r="Y786" s="13">
        <f>IF('0.0%'!$N786&lt;$Z$3,0, '0.0%'!$S786/'0.0%'!$N786)</f>
        <v>1.8816242257398483</v>
      </c>
    </row>
    <row r="787" spans="1:25" x14ac:dyDescent="0.3">
      <c r="A787" s="17">
        <v>848.82</v>
      </c>
      <c r="B787" s="10">
        <v>155.1</v>
      </c>
      <c r="C787" s="9">
        <v>848.82</v>
      </c>
      <c r="D787" s="10">
        <v>194.9</v>
      </c>
      <c r="E787" s="11">
        <v>848.82</v>
      </c>
      <c r="F787" s="12">
        <v>188.6</v>
      </c>
      <c r="G787" s="11">
        <v>848.82</v>
      </c>
      <c r="H787" s="12">
        <v>208.1</v>
      </c>
      <c r="I787" s="11">
        <v>848.82</v>
      </c>
      <c r="J787" s="12">
        <v>254.8</v>
      </c>
      <c r="K787" s="11">
        <v>848.82</v>
      </c>
      <c r="L787" s="12">
        <v>289.8</v>
      </c>
      <c r="M787" s="11">
        <v>848.82</v>
      </c>
      <c r="N787" s="13">
        <v>155.1</v>
      </c>
      <c r="O787" s="13">
        <v>194.9</v>
      </c>
      <c r="P787" s="13">
        <v>188.6</v>
      </c>
      <c r="Q787" s="11">
        <v>208.1</v>
      </c>
      <c r="R787" s="11">
        <v>254.8</v>
      </c>
      <c r="S787" s="14">
        <v>289.8</v>
      </c>
      <c r="T787" s="11">
        <v>848.82</v>
      </c>
      <c r="U787" s="13">
        <f>IF('0.0%'!$N787&lt;$Z$3,0, '0.0%'!$O787/'0.0%'!$N787)</f>
        <v>1.256608639587363</v>
      </c>
      <c r="V787" s="13">
        <f>IF('0.0%'!$N787&lt;$Z$3,0, '0.0%'!$P787/'0.0%'!$N787)</f>
        <v>1.2159896840747904</v>
      </c>
      <c r="W787" s="13">
        <f>IF('0.0%'!$N787&lt;$Z$3,0, '0.0%'!$Q787/'0.0%'!$N787)</f>
        <v>1.3417150225660863</v>
      </c>
      <c r="X787" s="13">
        <f>IF('0.0%'!$N787&lt;$Z$3,0, '0.0%'!$R787/'0.0%'!$N787)</f>
        <v>1.6428110896196004</v>
      </c>
      <c r="Y787" s="13">
        <f>IF('0.0%'!$N787&lt;$Z$3,0, '0.0%'!$S787/'0.0%'!$N787)</f>
        <v>1.8684719535783367</v>
      </c>
    </row>
    <row r="788" spans="1:25" x14ac:dyDescent="0.3">
      <c r="A788" s="17">
        <v>849.81</v>
      </c>
      <c r="B788" s="10">
        <v>167.1</v>
      </c>
      <c r="C788" s="9">
        <v>849.81</v>
      </c>
      <c r="D788" s="10">
        <v>208.2</v>
      </c>
      <c r="E788" s="11">
        <v>849.81</v>
      </c>
      <c r="F788" s="12">
        <v>200.9</v>
      </c>
      <c r="G788" s="11">
        <v>849.81</v>
      </c>
      <c r="H788" s="12">
        <v>221.3</v>
      </c>
      <c r="I788" s="11">
        <v>849.81</v>
      </c>
      <c r="J788" s="12">
        <v>270.89999999999998</v>
      </c>
      <c r="K788" s="11">
        <v>849.81</v>
      </c>
      <c r="L788" s="12">
        <v>309.8</v>
      </c>
      <c r="M788" s="11">
        <v>849.81</v>
      </c>
      <c r="N788" s="13">
        <v>167.1</v>
      </c>
      <c r="O788" s="13">
        <v>208.2</v>
      </c>
      <c r="P788" s="13">
        <v>200.9</v>
      </c>
      <c r="Q788" s="11">
        <v>221.3</v>
      </c>
      <c r="R788" s="11">
        <v>270.89999999999998</v>
      </c>
      <c r="S788" s="14">
        <v>309.8</v>
      </c>
      <c r="T788" s="11">
        <v>849.81</v>
      </c>
      <c r="U788" s="13">
        <f>IF('0.0%'!$N788&lt;$Z$3,0, '0.0%'!$O788/'0.0%'!$N788)</f>
        <v>1.2459605026929981</v>
      </c>
      <c r="V788" s="13">
        <f>IF('0.0%'!$N788&lt;$Z$3,0, '0.0%'!$P788/'0.0%'!$N788)</f>
        <v>1.2022740873728308</v>
      </c>
      <c r="W788" s="13">
        <f>IF('0.0%'!$N788&lt;$Z$3,0, '0.0%'!$Q788/'0.0%'!$N788)</f>
        <v>1.3243566726511071</v>
      </c>
      <c r="X788" s="13">
        <f>IF('0.0%'!$N788&lt;$Z$3,0, '0.0%'!$R788/'0.0%'!$N788)</f>
        <v>1.6211849192100538</v>
      </c>
      <c r="Y788" s="13">
        <f>IF('0.0%'!$N788&lt;$Z$3,0, '0.0%'!$S788/'0.0%'!$N788)</f>
        <v>1.8539796529024537</v>
      </c>
    </row>
    <row r="789" spans="1:25" x14ac:dyDescent="0.3">
      <c r="A789" s="17">
        <v>850.8</v>
      </c>
      <c r="B789" s="10">
        <v>180.2</v>
      </c>
      <c r="C789" s="9">
        <v>850.8</v>
      </c>
      <c r="D789" s="10">
        <v>222.3</v>
      </c>
      <c r="E789" s="11">
        <v>850.8</v>
      </c>
      <c r="F789" s="12">
        <v>213.9</v>
      </c>
      <c r="G789" s="11">
        <v>850.8</v>
      </c>
      <c r="H789" s="12">
        <v>235.3</v>
      </c>
      <c r="I789" s="11">
        <v>850.8</v>
      </c>
      <c r="J789" s="12">
        <v>288.5</v>
      </c>
      <c r="K789" s="11">
        <v>850.8</v>
      </c>
      <c r="L789" s="12">
        <v>332.1</v>
      </c>
      <c r="M789" s="11">
        <v>850.8</v>
      </c>
      <c r="N789" s="13">
        <v>180.2</v>
      </c>
      <c r="O789" s="13">
        <v>222.3</v>
      </c>
      <c r="P789" s="13">
        <v>213.9</v>
      </c>
      <c r="Q789" s="11">
        <v>235.3</v>
      </c>
      <c r="R789" s="11">
        <v>288.5</v>
      </c>
      <c r="S789" s="14">
        <v>332.1</v>
      </c>
      <c r="T789" s="11">
        <v>850.8</v>
      </c>
      <c r="U789" s="13">
        <f>IF('0.0%'!$N789&lt;$Z$3,0, '0.0%'!$O789/'0.0%'!$N789)</f>
        <v>1.2336293007769146</v>
      </c>
      <c r="V789" s="13">
        <f>IF('0.0%'!$N789&lt;$Z$3,0, '0.0%'!$P789/'0.0%'!$N789)</f>
        <v>1.1870144284128747</v>
      </c>
      <c r="W789" s="13">
        <f>IF('0.0%'!$N789&lt;$Z$3,0, '0.0%'!$Q789/'0.0%'!$N789)</f>
        <v>1.3057713651498337</v>
      </c>
      <c r="X789" s="13">
        <f>IF('0.0%'!$N789&lt;$Z$3,0, '0.0%'!$R789/'0.0%'!$N789)</f>
        <v>1.6009988901220866</v>
      </c>
      <c r="Y789" s="13">
        <f>IF('0.0%'!$N789&lt;$Z$3,0, '0.0%'!$S789/'0.0%'!$N789)</f>
        <v>1.8429522752497227</v>
      </c>
    </row>
    <row r="790" spans="1:25" x14ac:dyDescent="0.3">
      <c r="A790" s="17">
        <v>851.79</v>
      </c>
      <c r="B790" s="10">
        <v>196.3</v>
      </c>
      <c r="C790" s="9">
        <v>851.79</v>
      </c>
      <c r="D790" s="10">
        <v>239.4</v>
      </c>
      <c r="E790" s="11">
        <v>851.79</v>
      </c>
      <c r="F790" s="12">
        <v>229.9</v>
      </c>
      <c r="G790" s="11">
        <v>851.79</v>
      </c>
      <c r="H790" s="12">
        <v>252.4</v>
      </c>
      <c r="I790" s="11">
        <v>851.79</v>
      </c>
      <c r="J790" s="12">
        <v>310</v>
      </c>
      <c r="K790" s="11">
        <v>851.79</v>
      </c>
      <c r="L790" s="12">
        <v>359.3</v>
      </c>
      <c r="M790" s="11">
        <v>851.79</v>
      </c>
      <c r="N790" s="13">
        <v>196.3</v>
      </c>
      <c r="O790" s="13">
        <v>239.4</v>
      </c>
      <c r="P790" s="13">
        <v>229.9</v>
      </c>
      <c r="Q790" s="11">
        <v>252.4</v>
      </c>
      <c r="R790" s="11">
        <v>310</v>
      </c>
      <c r="S790" s="14">
        <v>359.3</v>
      </c>
      <c r="T790" s="11">
        <v>851.79</v>
      </c>
      <c r="U790" s="13">
        <f>IF('0.0%'!$N790&lt;$Z$3,0, '0.0%'!$O790/'0.0%'!$N790)</f>
        <v>1.2195618950585838</v>
      </c>
      <c r="V790" s="13">
        <f>IF('0.0%'!$N790&lt;$Z$3,0, '0.0%'!$P790/'0.0%'!$N790)</f>
        <v>1.1711665817626082</v>
      </c>
      <c r="W790" s="13">
        <f>IF('0.0%'!$N790&lt;$Z$3,0, '0.0%'!$Q790/'0.0%'!$N790)</f>
        <v>1.2857870606214976</v>
      </c>
      <c r="X790" s="13">
        <f>IF('0.0%'!$N790&lt;$Z$3,0, '0.0%'!$R790/'0.0%'!$N790)</f>
        <v>1.5792154865002546</v>
      </c>
      <c r="Y790" s="13">
        <f>IF('0.0%'!$N790&lt;$Z$3,0, '0.0%'!$S790/'0.0%'!$N790)</f>
        <v>1.8303616912888436</v>
      </c>
    </row>
    <row r="791" spans="1:25" x14ac:dyDescent="0.3">
      <c r="A791" s="17">
        <v>852.78</v>
      </c>
      <c r="B791" s="10">
        <v>214.1</v>
      </c>
      <c r="C791" s="9">
        <v>852.78</v>
      </c>
      <c r="D791" s="10">
        <v>258.3</v>
      </c>
      <c r="E791" s="11">
        <v>852.78</v>
      </c>
      <c r="F791" s="12">
        <v>247.3</v>
      </c>
      <c r="G791" s="11">
        <v>852.78</v>
      </c>
      <c r="H791" s="12">
        <v>271.2</v>
      </c>
      <c r="I791" s="11">
        <v>852.78</v>
      </c>
      <c r="J791" s="12">
        <v>334.3</v>
      </c>
      <c r="K791" s="11">
        <v>852.78</v>
      </c>
      <c r="L791" s="12">
        <v>390.3</v>
      </c>
      <c r="M791" s="11">
        <v>852.78</v>
      </c>
      <c r="N791" s="13">
        <v>214.1</v>
      </c>
      <c r="O791" s="13">
        <v>258.3</v>
      </c>
      <c r="P791" s="13">
        <v>247.3</v>
      </c>
      <c r="Q791" s="11">
        <v>271.2</v>
      </c>
      <c r="R791" s="11">
        <v>334.3</v>
      </c>
      <c r="S791" s="14">
        <v>390.3</v>
      </c>
      <c r="T791" s="11">
        <v>852.78</v>
      </c>
      <c r="U791" s="13">
        <f>IF('0.0%'!$N791&lt;$Z$3,0, '0.0%'!$O791/'0.0%'!$N791)</f>
        <v>1.2064455861746848</v>
      </c>
      <c r="V791" s="13">
        <f>IF('0.0%'!$N791&lt;$Z$3,0, '0.0%'!$P791/'0.0%'!$N791)</f>
        <v>1.1550677253619805</v>
      </c>
      <c r="W791" s="13">
        <f>IF('0.0%'!$N791&lt;$Z$3,0, '0.0%'!$Q791/'0.0%'!$N791)</f>
        <v>1.2666978047641289</v>
      </c>
      <c r="X791" s="13">
        <f>IF('0.0%'!$N791&lt;$Z$3,0, '0.0%'!$R791/'0.0%'!$N791)</f>
        <v>1.5614198972442785</v>
      </c>
      <c r="Y791" s="13">
        <f>IF('0.0%'!$N791&lt;$Z$3,0, '0.0%'!$S791/'0.0%'!$N791)</f>
        <v>1.8229799159271369</v>
      </c>
    </row>
    <row r="792" spans="1:25" x14ac:dyDescent="0.3">
      <c r="A792" s="17">
        <v>853.77</v>
      </c>
      <c r="B792" s="10">
        <v>235.9</v>
      </c>
      <c r="C792" s="9">
        <v>853.77</v>
      </c>
      <c r="D792" s="10">
        <v>281.3</v>
      </c>
      <c r="E792" s="11">
        <v>853.77</v>
      </c>
      <c r="F792" s="12">
        <v>268.7</v>
      </c>
      <c r="G792" s="11">
        <v>853.77</v>
      </c>
      <c r="H792" s="12">
        <v>294.10000000000002</v>
      </c>
      <c r="I792" s="11">
        <v>853.77</v>
      </c>
      <c r="J792" s="12">
        <v>363.9</v>
      </c>
      <c r="K792" s="11">
        <v>853.77</v>
      </c>
      <c r="L792" s="12">
        <v>428.3</v>
      </c>
      <c r="M792" s="11">
        <v>853.77</v>
      </c>
      <c r="N792" s="13">
        <v>235.9</v>
      </c>
      <c r="O792" s="13">
        <v>281.3</v>
      </c>
      <c r="P792" s="13">
        <v>268.7</v>
      </c>
      <c r="Q792" s="11">
        <v>294.10000000000002</v>
      </c>
      <c r="R792" s="11">
        <v>363.9</v>
      </c>
      <c r="S792" s="14">
        <v>428.3</v>
      </c>
      <c r="T792" s="11">
        <v>853.77</v>
      </c>
      <c r="U792" s="13">
        <f>IF('0.0%'!$N792&lt;$Z$3,0, '0.0%'!$O792/'0.0%'!$N792)</f>
        <v>1.1924544298431539</v>
      </c>
      <c r="V792" s="13">
        <f>IF('0.0%'!$N792&lt;$Z$3,0, '0.0%'!$P792/'0.0%'!$N792)</f>
        <v>1.1390419669351419</v>
      </c>
      <c r="W792" s="13">
        <f>IF('0.0%'!$N792&lt;$Z$3,0, '0.0%'!$Q792/'0.0%'!$N792)</f>
        <v>1.2467147096227216</v>
      </c>
      <c r="X792" s="13">
        <f>IF('0.0%'!$N792&lt;$Z$3,0, '0.0%'!$R792/'0.0%'!$N792)</f>
        <v>1.542602797795676</v>
      </c>
      <c r="Y792" s="13">
        <f>IF('0.0%'!$N792&lt;$Z$3,0, '0.0%'!$S792/'0.0%'!$N792)</f>
        <v>1.8155998304366257</v>
      </c>
    </row>
    <row r="793" spans="1:25" x14ac:dyDescent="0.3">
      <c r="A793" s="17">
        <v>854.77</v>
      </c>
      <c r="B793" s="10">
        <v>260.60000000000002</v>
      </c>
      <c r="C793" s="9">
        <v>854.77</v>
      </c>
      <c r="D793" s="10">
        <v>307.2</v>
      </c>
      <c r="E793" s="11">
        <v>854.77</v>
      </c>
      <c r="F793" s="12">
        <v>292.7</v>
      </c>
      <c r="G793" s="11">
        <v>854.77</v>
      </c>
      <c r="H793" s="12">
        <v>319.89999999999998</v>
      </c>
      <c r="I793" s="11">
        <v>854.77</v>
      </c>
      <c r="J793" s="12">
        <v>398.2</v>
      </c>
      <c r="K793" s="11">
        <v>854.77</v>
      </c>
      <c r="L793" s="12">
        <v>473</v>
      </c>
      <c r="M793" s="11">
        <v>854.77</v>
      </c>
      <c r="N793" s="13">
        <v>260.60000000000002</v>
      </c>
      <c r="O793" s="13">
        <v>307.2</v>
      </c>
      <c r="P793" s="13">
        <v>292.7</v>
      </c>
      <c r="Q793" s="11">
        <v>319.89999999999998</v>
      </c>
      <c r="R793" s="11">
        <v>398.2</v>
      </c>
      <c r="S793" s="14">
        <v>473</v>
      </c>
      <c r="T793" s="11">
        <v>854.77</v>
      </c>
      <c r="U793" s="13">
        <f>IF('0.0%'!$N793&lt;$Z$3,0, '0.0%'!$O793/'0.0%'!$N793)</f>
        <v>1.1788181120491172</v>
      </c>
      <c r="V793" s="13">
        <f>IF('0.0%'!$N793&lt;$Z$3,0, '0.0%'!$P793/'0.0%'!$N793)</f>
        <v>1.1231772831926323</v>
      </c>
      <c r="W793" s="13">
        <f>IF('0.0%'!$N793&lt;$Z$3,0, '0.0%'!$Q793/'0.0%'!$N793)</f>
        <v>1.2275518035303146</v>
      </c>
      <c r="X793" s="13">
        <f>IF('0.0%'!$N793&lt;$Z$3,0, '0.0%'!$R793/'0.0%'!$N793)</f>
        <v>1.5280122793553337</v>
      </c>
      <c r="Y793" s="13">
        <f>IF('0.0%'!$N793&lt;$Z$3,0, '0.0%'!$S793/'0.0%'!$N793)</f>
        <v>1.8150422102839598</v>
      </c>
    </row>
    <row r="794" spans="1:25" x14ac:dyDescent="0.3">
      <c r="A794" s="17">
        <v>855.76</v>
      </c>
      <c r="B794" s="10">
        <v>290.8</v>
      </c>
      <c r="C794" s="9">
        <v>855.76</v>
      </c>
      <c r="D794" s="10">
        <v>338.8</v>
      </c>
      <c r="E794" s="11">
        <v>855.76</v>
      </c>
      <c r="F794" s="12">
        <v>322.3</v>
      </c>
      <c r="G794" s="11">
        <v>855.76</v>
      </c>
      <c r="H794" s="12">
        <v>351.5</v>
      </c>
      <c r="I794" s="11">
        <v>855.76</v>
      </c>
      <c r="J794" s="12">
        <v>440.3</v>
      </c>
      <c r="K794" s="11">
        <v>855.76</v>
      </c>
      <c r="L794" s="12">
        <v>527.79999999999995</v>
      </c>
      <c r="M794" s="11">
        <v>855.76</v>
      </c>
      <c r="N794" s="13">
        <v>290.8</v>
      </c>
      <c r="O794" s="13">
        <v>338.8</v>
      </c>
      <c r="P794" s="13">
        <v>322.3</v>
      </c>
      <c r="Q794" s="11">
        <v>351.5</v>
      </c>
      <c r="R794" s="11">
        <v>440.3</v>
      </c>
      <c r="S794" s="14">
        <v>527.79999999999995</v>
      </c>
      <c r="T794" s="11">
        <v>855.76</v>
      </c>
      <c r="U794" s="13">
        <f>IF('0.0%'!$N794&lt;$Z$3,0, '0.0%'!$O794/'0.0%'!$N794)</f>
        <v>1.1650618982118295</v>
      </c>
      <c r="V794" s="13">
        <f>IF('0.0%'!$N794&lt;$Z$3,0, '0.0%'!$P794/'0.0%'!$N794)</f>
        <v>1.108321870701513</v>
      </c>
      <c r="W794" s="13">
        <f>IF('0.0%'!$N794&lt;$Z$3,0, '0.0%'!$Q794/'0.0%'!$N794)</f>
        <v>1.2087345254470425</v>
      </c>
      <c r="X794" s="13">
        <f>IF('0.0%'!$N794&lt;$Z$3,0, '0.0%'!$R794/'0.0%'!$N794)</f>
        <v>1.5140990371389271</v>
      </c>
      <c r="Y794" s="13">
        <f>IF('0.0%'!$N794&lt;$Z$3,0, '0.0%'!$S794/'0.0%'!$N794)</f>
        <v>1.8149931224209077</v>
      </c>
    </row>
    <row r="795" spans="1:25" x14ac:dyDescent="0.3">
      <c r="A795" s="17">
        <v>856.75</v>
      </c>
      <c r="B795" s="10">
        <v>326.2</v>
      </c>
      <c r="C795" s="9">
        <v>856.75</v>
      </c>
      <c r="D795" s="10">
        <v>375.8</v>
      </c>
      <c r="E795" s="11">
        <v>856.75</v>
      </c>
      <c r="F795" s="12">
        <v>356.8</v>
      </c>
      <c r="G795" s="11">
        <v>856.75</v>
      </c>
      <c r="H795" s="12">
        <v>388.5</v>
      </c>
      <c r="I795" s="11">
        <v>856.75</v>
      </c>
      <c r="J795" s="12">
        <v>490.2</v>
      </c>
      <c r="K795" s="11">
        <v>856.75</v>
      </c>
      <c r="L795" s="12">
        <v>594.20000000000005</v>
      </c>
      <c r="M795" s="11">
        <v>856.75</v>
      </c>
      <c r="N795" s="13">
        <v>326.2</v>
      </c>
      <c r="O795" s="13">
        <v>375.8</v>
      </c>
      <c r="P795" s="13">
        <v>356.8</v>
      </c>
      <c r="Q795" s="11">
        <v>388.5</v>
      </c>
      <c r="R795" s="11">
        <v>490.2</v>
      </c>
      <c r="S795" s="14">
        <v>594.20000000000005</v>
      </c>
      <c r="T795" s="11">
        <v>856.75</v>
      </c>
      <c r="U795" s="13">
        <f>IF('0.0%'!$N795&lt;$Z$3,0, '0.0%'!$O795/'0.0%'!$N795)</f>
        <v>1.152053954629062</v>
      </c>
      <c r="V795" s="13">
        <f>IF('0.0%'!$N795&lt;$Z$3,0, '0.0%'!$P795/'0.0%'!$N795)</f>
        <v>1.0938074800735746</v>
      </c>
      <c r="W795" s="13">
        <f>IF('0.0%'!$N795&lt;$Z$3,0, '0.0%'!$Q795/'0.0%'!$N795)</f>
        <v>1.1909871244635193</v>
      </c>
      <c r="X795" s="13">
        <f>IF('0.0%'!$N795&lt;$Z$3,0, '0.0%'!$R795/'0.0%'!$N795)</f>
        <v>1.5027590435315756</v>
      </c>
      <c r="Y795" s="13">
        <f>IF('0.0%'!$N795&lt;$Z$3,0, '0.0%'!$S795/'0.0%'!$N795)</f>
        <v>1.8215818516247704</v>
      </c>
    </row>
    <row r="796" spans="1:25" x14ac:dyDescent="0.3">
      <c r="A796" s="17">
        <v>857.74</v>
      </c>
      <c r="B796" s="10">
        <v>369.8</v>
      </c>
      <c r="C796" s="9">
        <v>857.74</v>
      </c>
      <c r="D796" s="10">
        <v>421.3</v>
      </c>
      <c r="E796" s="11">
        <v>857.74</v>
      </c>
      <c r="F796" s="12">
        <v>399.2</v>
      </c>
      <c r="G796" s="11">
        <v>857.74</v>
      </c>
      <c r="H796" s="12">
        <v>434.1</v>
      </c>
      <c r="I796" s="11">
        <v>857.74</v>
      </c>
      <c r="J796" s="12">
        <v>551.29999999999995</v>
      </c>
      <c r="K796" s="11">
        <v>857.74</v>
      </c>
      <c r="L796" s="12">
        <v>673.7</v>
      </c>
      <c r="M796" s="11">
        <v>857.74</v>
      </c>
      <c r="N796" s="13">
        <v>369.8</v>
      </c>
      <c r="O796" s="13">
        <v>421.3</v>
      </c>
      <c r="P796" s="13">
        <v>399.2</v>
      </c>
      <c r="Q796" s="11">
        <v>434.1</v>
      </c>
      <c r="R796" s="11">
        <v>551.29999999999995</v>
      </c>
      <c r="S796" s="14">
        <v>673.7</v>
      </c>
      <c r="T796" s="11">
        <v>857.74</v>
      </c>
      <c r="U796" s="13">
        <f>IF('0.0%'!$N796&lt;$Z$3,0, '0.0%'!$O796/'0.0%'!$N796)</f>
        <v>1.1392644672796106</v>
      </c>
      <c r="V796" s="13">
        <f>IF('0.0%'!$N796&lt;$Z$3,0, '0.0%'!$P796/'0.0%'!$N796)</f>
        <v>1.0795024337479717</v>
      </c>
      <c r="W796" s="13">
        <f>IF('0.0%'!$N796&lt;$Z$3,0, '0.0%'!$Q796/'0.0%'!$N796)</f>
        <v>1.1738777717685236</v>
      </c>
      <c r="X796" s="13">
        <f>IF('0.0%'!$N796&lt;$Z$3,0, '0.0%'!$R796/'0.0%'!$N796)</f>
        <v>1.4908058409951324</v>
      </c>
      <c r="Y796" s="13">
        <f>IF('0.0%'!$N796&lt;$Z$3,0, '0.0%'!$S796/'0.0%'!$N796)</f>
        <v>1.8217955651703623</v>
      </c>
    </row>
    <row r="797" spans="1:25" x14ac:dyDescent="0.3">
      <c r="A797" s="17">
        <v>858.73</v>
      </c>
      <c r="B797" s="10">
        <v>423.2</v>
      </c>
      <c r="C797" s="9">
        <v>858.73</v>
      </c>
      <c r="D797" s="10">
        <v>476.7</v>
      </c>
      <c r="E797" s="11">
        <v>858.73</v>
      </c>
      <c r="F797" s="12">
        <v>450.3</v>
      </c>
      <c r="G797" s="11">
        <v>858.73</v>
      </c>
      <c r="H797" s="12">
        <v>489.6</v>
      </c>
      <c r="I797" s="11">
        <v>858.73</v>
      </c>
      <c r="J797" s="12">
        <v>626.79999999999995</v>
      </c>
      <c r="K797" s="11">
        <v>858.73</v>
      </c>
      <c r="L797" s="12">
        <v>769.7</v>
      </c>
      <c r="M797" s="11">
        <v>858.73</v>
      </c>
      <c r="N797" s="13">
        <v>423.2</v>
      </c>
      <c r="O797" s="13">
        <v>476.7</v>
      </c>
      <c r="P797" s="13">
        <v>450.3</v>
      </c>
      <c r="Q797" s="11">
        <v>489.6</v>
      </c>
      <c r="R797" s="11">
        <v>626.79999999999995</v>
      </c>
      <c r="S797" s="14">
        <v>769.7</v>
      </c>
      <c r="T797" s="11">
        <v>858.73</v>
      </c>
      <c r="U797" s="13">
        <f>IF('0.0%'!$N797&lt;$Z$3,0, '0.0%'!$O797/'0.0%'!$N797)</f>
        <v>1.1264177693761814</v>
      </c>
      <c r="V797" s="13">
        <f>IF('0.0%'!$N797&lt;$Z$3,0, '0.0%'!$P797/'0.0%'!$N797)</f>
        <v>1.0640359168241966</v>
      </c>
      <c r="W797" s="13">
        <f>IF('0.0%'!$N797&lt;$Z$3,0, '0.0%'!$Q797/'0.0%'!$N797)</f>
        <v>1.1568998109640833</v>
      </c>
      <c r="X797" s="13">
        <f>IF('0.0%'!$N797&lt;$Z$3,0, '0.0%'!$R797/'0.0%'!$N797)</f>
        <v>1.4810964083175804</v>
      </c>
      <c r="Y797" s="13">
        <f>IF('0.0%'!$N797&lt;$Z$3,0, '0.0%'!$S797/'0.0%'!$N797)</f>
        <v>1.8187618147448017</v>
      </c>
    </row>
    <row r="798" spans="1:25" x14ac:dyDescent="0.3">
      <c r="A798" s="17">
        <v>859.73</v>
      </c>
      <c r="B798" s="10">
        <v>485.6</v>
      </c>
      <c r="C798" s="9">
        <v>859.73</v>
      </c>
      <c r="D798" s="10">
        <v>540.79999999999995</v>
      </c>
      <c r="E798" s="11">
        <v>859.73</v>
      </c>
      <c r="F798" s="12">
        <v>509.7</v>
      </c>
      <c r="G798" s="11">
        <v>859.73</v>
      </c>
      <c r="H798" s="12">
        <v>554.1</v>
      </c>
      <c r="I798" s="11">
        <v>859.73</v>
      </c>
      <c r="J798" s="12">
        <v>713.5</v>
      </c>
      <c r="K798" s="11">
        <v>859.73</v>
      </c>
      <c r="L798" s="12">
        <v>874.6</v>
      </c>
      <c r="M798" s="11">
        <v>859.73</v>
      </c>
      <c r="N798" s="13">
        <v>485.6</v>
      </c>
      <c r="O798" s="13">
        <v>540.79999999999995</v>
      </c>
      <c r="P798" s="13">
        <v>509.7</v>
      </c>
      <c r="Q798" s="11">
        <v>554.1</v>
      </c>
      <c r="R798" s="11">
        <v>713.5</v>
      </c>
      <c r="S798" s="14">
        <v>874.6</v>
      </c>
      <c r="T798" s="11">
        <v>859.73</v>
      </c>
      <c r="U798" s="13">
        <f>IF('0.0%'!$N798&lt;$Z$3,0, '0.0%'!$O798/'0.0%'!$N798)</f>
        <v>1.1136738056013178</v>
      </c>
      <c r="V798" s="13">
        <f>IF('0.0%'!$N798&lt;$Z$3,0, '0.0%'!$P798/'0.0%'!$N798)</f>
        <v>1.0496293245469521</v>
      </c>
      <c r="W798" s="13">
        <f>IF('0.0%'!$N798&lt;$Z$3,0, '0.0%'!$Q798/'0.0%'!$N798)</f>
        <v>1.1410626029654036</v>
      </c>
      <c r="X798" s="13">
        <f>IF('0.0%'!$N798&lt;$Z$3,0, '0.0%'!$R798/'0.0%'!$N798)</f>
        <v>1.469316309719934</v>
      </c>
      <c r="Y798" s="13">
        <f>IF('0.0%'!$N798&lt;$Z$3,0, '0.0%'!$S798/'0.0%'!$N798)</f>
        <v>1.8010708401976936</v>
      </c>
    </row>
    <row r="799" spans="1:25" x14ac:dyDescent="0.3">
      <c r="A799" s="17">
        <v>860.72</v>
      </c>
      <c r="B799" s="10">
        <v>556.79999999999995</v>
      </c>
      <c r="C799" s="9">
        <v>860.72</v>
      </c>
      <c r="D799" s="10">
        <v>613.20000000000005</v>
      </c>
      <c r="E799" s="11">
        <v>860.72</v>
      </c>
      <c r="F799" s="12">
        <v>576.29999999999995</v>
      </c>
      <c r="G799" s="11">
        <v>860.72</v>
      </c>
      <c r="H799" s="12">
        <v>627.70000000000005</v>
      </c>
      <c r="I799" s="11">
        <v>860.72</v>
      </c>
      <c r="J799" s="12">
        <v>816.2</v>
      </c>
      <c r="K799" s="11">
        <v>860.72</v>
      </c>
      <c r="L799" s="12">
        <v>989.5</v>
      </c>
      <c r="M799" s="11">
        <v>860.72</v>
      </c>
      <c r="N799" s="13">
        <v>556.79999999999995</v>
      </c>
      <c r="O799" s="13">
        <v>613.20000000000005</v>
      </c>
      <c r="P799" s="13">
        <v>576.29999999999995</v>
      </c>
      <c r="Q799" s="11">
        <v>627.70000000000005</v>
      </c>
      <c r="R799" s="11">
        <v>816.2</v>
      </c>
      <c r="S799" s="14">
        <v>989.5</v>
      </c>
      <c r="T799" s="11">
        <v>860.72</v>
      </c>
      <c r="U799" s="13">
        <f>IF('0.0%'!$N799&lt;$Z$3,0, '0.0%'!$O799/'0.0%'!$N799)</f>
        <v>1.101293103448276</v>
      </c>
      <c r="V799" s="13">
        <f>IF('0.0%'!$N799&lt;$Z$3,0, '0.0%'!$P799/'0.0%'!$N799)</f>
        <v>1.0350215517241379</v>
      </c>
      <c r="W799" s="13">
        <f>IF('0.0%'!$N799&lt;$Z$3,0, '0.0%'!$Q799/'0.0%'!$N799)</f>
        <v>1.1273347701149428</v>
      </c>
      <c r="X799" s="13">
        <f>IF('0.0%'!$N799&lt;$Z$3,0, '0.0%'!$R799/'0.0%'!$N799)</f>
        <v>1.4658764367816095</v>
      </c>
      <c r="Y799" s="13">
        <f>IF('0.0%'!$N799&lt;$Z$3,0, '0.0%'!$S799/'0.0%'!$N799)</f>
        <v>1.7771192528735633</v>
      </c>
    </row>
    <row r="800" spans="1:25" x14ac:dyDescent="0.3">
      <c r="A800" s="17">
        <v>861.71</v>
      </c>
      <c r="B800" s="10">
        <v>635.4</v>
      </c>
      <c r="C800" s="9">
        <v>861.71</v>
      </c>
      <c r="D800" s="10">
        <v>692.9</v>
      </c>
      <c r="E800" s="11">
        <v>861.71</v>
      </c>
      <c r="F800" s="12">
        <v>650</v>
      </c>
      <c r="G800" s="11">
        <v>861.71</v>
      </c>
      <c r="H800" s="12">
        <v>708.5</v>
      </c>
      <c r="I800" s="11">
        <v>861.71</v>
      </c>
      <c r="J800" s="12">
        <v>929.3</v>
      </c>
      <c r="K800" s="11">
        <v>861.71</v>
      </c>
      <c r="L800" s="12">
        <v>1107.3</v>
      </c>
      <c r="M800" s="11">
        <v>861.71</v>
      </c>
      <c r="N800" s="13">
        <v>635.4</v>
      </c>
      <c r="O800" s="13">
        <v>692.9</v>
      </c>
      <c r="P800" s="13">
        <v>650</v>
      </c>
      <c r="Q800" s="11">
        <v>708.5</v>
      </c>
      <c r="R800" s="11">
        <v>929.3</v>
      </c>
      <c r="S800" s="14">
        <v>1107.3</v>
      </c>
      <c r="T800" s="11">
        <v>861.71</v>
      </c>
      <c r="U800" s="13">
        <f>IF('0.0%'!$N800&lt;$Z$3,0, '0.0%'!$O800/'0.0%'!$N800)</f>
        <v>1.0904941768964431</v>
      </c>
      <c r="V800" s="13">
        <f>IF('0.0%'!$N800&lt;$Z$3,0, '0.0%'!$P800/'0.0%'!$N800)</f>
        <v>1.022977651872836</v>
      </c>
      <c r="W800" s="13">
        <f>IF('0.0%'!$N800&lt;$Z$3,0, '0.0%'!$Q800/'0.0%'!$N800)</f>
        <v>1.1150456405413913</v>
      </c>
      <c r="X800" s="13">
        <f>IF('0.0%'!$N800&lt;$Z$3,0, '0.0%'!$R800/'0.0%'!$N800)</f>
        <v>1.462543279823733</v>
      </c>
      <c r="Y800" s="13">
        <f>IF('0.0%'!$N800&lt;$Z$3,0, '0.0%'!$S800/'0.0%'!$N800)</f>
        <v>1.7426817752596788</v>
      </c>
    </row>
    <row r="801" spans="1:25" x14ac:dyDescent="0.3">
      <c r="A801" s="17">
        <v>862.7</v>
      </c>
      <c r="B801" s="10">
        <v>719.4</v>
      </c>
      <c r="C801" s="9">
        <v>862.7</v>
      </c>
      <c r="D801" s="10">
        <v>778.1</v>
      </c>
      <c r="E801" s="11">
        <v>862.7</v>
      </c>
      <c r="F801" s="12">
        <v>729.6</v>
      </c>
      <c r="G801" s="11">
        <v>862.7</v>
      </c>
      <c r="H801" s="12">
        <v>794.1</v>
      </c>
      <c r="I801" s="11">
        <v>862.7</v>
      </c>
      <c r="J801" s="12">
        <v>1041.0999999999999</v>
      </c>
      <c r="K801" s="11">
        <v>862.7</v>
      </c>
      <c r="L801" s="12">
        <v>1228.8</v>
      </c>
      <c r="M801" s="11">
        <v>862.7</v>
      </c>
      <c r="N801" s="13">
        <v>719.4</v>
      </c>
      <c r="O801" s="13">
        <v>778.1</v>
      </c>
      <c r="P801" s="13">
        <v>729.6</v>
      </c>
      <c r="Q801" s="11">
        <v>794.1</v>
      </c>
      <c r="R801" s="11">
        <v>1041.0999999999999</v>
      </c>
      <c r="S801" s="14">
        <v>1228.8</v>
      </c>
      <c r="T801" s="11">
        <v>862.7</v>
      </c>
      <c r="U801" s="13">
        <f>IF('0.0%'!$N801&lt;$Z$3,0, '0.0%'!$O801/'0.0%'!$N801)</f>
        <v>1.0815957742563247</v>
      </c>
      <c r="V801" s="13">
        <f>IF('0.0%'!$N801&lt;$Z$3,0, '0.0%'!$P801/'0.0%'!$N801)</f>
        <v>1.0141784820683903</v>
      </c>
      <c r="W801" s="13">
        <f>IF('0.0%'!$N801&lt;$Z$3,0, '0.0%'!$Q801/'0.0%'!$N801)</f>
        <v>1.103836530442035</v>
      </c>
      <c r="X801" s="13">
        <f>IF('0.0%'!$N801&lt;$Z$3,0, '0.0%'!$R801/'0.0%'!$N801)</f>
        <v>1.4471782040589378</v>
      </c>
      <c r="Y801" s="13">
        <f>IF('0.0%'!$N801&lt;$Z$3,0, '0.0%'!$S801/'0.0%'!$N801)</f>
        <v>1.7080900750625521</v>
      </c>
    </row>
    <row r="802" spans="1:25" x14ac:dyDescent="0.3">
      <c r="A802" s="17">
        <v>863.69</v>
      </c>
      <c r="B802" s="10">
        <v>804.6</v>
      </c>
      <c r="C802" s="9">
        <v>863.69</v>
      </c>
      <c r="D802" s="10">
        <v>864.2</v>
      </c>
      <c r="E802" s="11">
        <v>863.69</v>
      </c>
      <c r="F802" s="12">
        <v>810.6</v>
      </c>
      <c r="G802" s="11">
        <v>863.69</v>
      </c>
      <c r="H802" s="12">
        <v>880.9</v>
      </c>
      <c r="I802" s="11">
        <v>863.69</v>
      </c>
      <c r="J802" s="12">
        <v>1151.0999999999999</v>
      </c>
      <c r="K802" s="11">
        <v>863.69</v>
      </c>
      <c r="L802" s="12">
        <v>1348.5</v>
      </c>
      <c r="M802" s="11">
        <v>863.69</v>
      </c>
      <c r="N802" s="13">
        <v>804.6</v>
      </c>
      <c r="O802" s="13">
        <v>864.2</v>
      </c>
      <c r="P802" s="13">
        <v>810.6</v>
      </c>
      <c r="Q802" s="11">
        <v>880.9</v>
      </c>
      <c r="R802" s="11">
        <v>1151.0999999999999</v>
      </c>
      <c r="S802" s="14">
        <v>1348.5</v>
      </c>
      <c r="T802" s="11">
        <v>863.69</v>
      </c>
      <c r="U802" s="13">
        <f>IF('0.0%'!$N802&lt;$Z$3,0, '0.0%'!$O802/'0.0%'!$N802)</f>
        <v>1.0740740740740742</v>
      </c>
      <c r="V802" s="13">
        <f>IF('0.0%'!$N802&lt;$Z$3,0, '0.0%'!$P802/'0.0%'!$N802)</f>
        <v>1.0074571215510812</v>
      </c>
      <c r="W802" s="13">
        <f>IF('0.0%'!$N802&lt;$Z$3,0, '0.0%'!$Q802/'0.0%'!$N802)</f>
        <v>1.094829729057917</v>
      </c>
      <c r="X802" s="13">
        <f>IF('0.0%'!$N802&lt;$Z$3,0, '0.0%'!$R802/'0.0%'!$N802)</f>
        <v>1.4306487695749439</v>
      </c>
      <c r="Y802" s="13">
        <f>IF('0.0%'!$N802&lt;$Z$3,0, '0.0%'!$S802/'0.0%'!$N802)</f>
        <v>1.6759880686055182</v>
      </c>
    </row>
    <row r="803" spans="1:25" x14ac:dyDescent="0.3">
      <c r="A803" s="17">
        <v>864.68</v>
      </c>
      <c r="B803" s="10">
        <v>874.3</v>
      </c>
      <c r="C803" s="9">
        <v>864.68</v>
      </c>
      <c r="D803" s="10">
        <v>934.2</v>
      </c>
      <c r="E803" s="11">
        <v>864.68</v>
      </c>
      <c r="F803" s="12">
        <v>876.4</v>
      </c>
      <c r="G803" s="11">
        <v>864.68</v>
      </c>
      <c r="H803" s="12">
        <v>952.4</v>
      </c>
      <c r="I803" s="11">
        <v>864.68</v>
      </c>
      <c r="J803" s="12">
        <v>1244.0999999999999</v>
      </c>
      <c r="K803" s="11">
        <v>864.68</v>
      </c>
      <c r="L803" s="12">
        <v>1440.9</v>
      </c>
      <c r="M803" s="11">
        <v>864.68</v>
      </c>
      <c r="N803" s="13">
        <v>874.3</v>
      </c>
      <c r="O803" s="13">
        <v>934.2</v>
      </c>
      <c r="P803" s="13">
        <v>876.4</v>
      </c>
      <c r="Q803" s="11">
        <v>952.4</v>
      </c>
      <c r="R803" s="11">
        <v>1244.0999999999999</v>
      </c>
      <c r="S803" s="14">
        <v>1440.9</v>
      </c>
      <c r="T803" s="11">
        <v>864.68</v>
      </c>
      <c r="U803" s="13">
        <f>IF('0.0%'!$N803&lt;$Z$3,0, '0.0%'!$O803/'0.0%'!$N803)</f>
        <v>1.0685119524190783</v>
      </c>
      <c r="V803" s="13">
        <f>IF('0.0%'!$N803&lt;$Z$3,0, '0.0%'!$P803/'0.0%'!$N803)</f>
        <v>1.0024019215372297</v>
      </c>
      <c r="W803" s="13">
        <f>IF('0.0%'!$N803&lt;$Z$3,0, '0.0%'!$Q803/'0.0%'!$N803)</f>
        <v>1.0893286057417362</v>
      </c>
      <c r="X803" s="13">
        <f>IF('0.0%'!$N803&lt;$Z$3,0, '0.0%'!$R803/'0.0%'!$N803)</f>
        <v>1.422966944984559</v>
      </c>
      <c r="Y803" s="13">
        <f>IF('0.0%'!$N803&lt;$Z$3,0, '0.0%'!$S803/'0.0%'!$N803)</f>
        <v>1.6480613061878076</v>
      </c>
    </row>
    <row r="804" spans="1:25" x14ac:dyDescent="0.3">
      <c r="A804" s="17">
        <v>865.68</v>
      </c>
      <c r="B804" s="10">
        <v>962.3</v>
      </c>
      <c r="C804" s="9">
        <v>865.68</v>
      </c>
      <c r="D804" s="10">
        <v>1021.9</v>
      </c>
      <c r="E804" s="11">
        <v>865.68</v>
      </c>
      <c r="F804" s="12">
        <v>959</v>
      </c>
      <c r="G804" s="11">
        <v>865.68</v>
      </c>
      <c r="H804" s="12">
        <v>1042.3</v>
      </c>
      <c r="I804" s="11">
        <v>865.68</v>
      </c>
      <c r="J804" s="12">
        <v>1359.5</v>
      </c>
      <c r="K804" s="11">
        <v>865.68</v>
      </c>
      <c r="L804" s="12">
        <v>1554</v>
      </c>
      <c r="M804" s="11">
        <v>865.68</v>
      </c>
      <c r="N804" s="13">
        <v>962.3</v>
      </c>
      <c r="O804" s="13">
        <v>1021.9</v>
      </c>
      <c r="P804" s="13">
        <v>959</v>
      </c>
      <c r="Q804" s="11">
        <v>1042.3</v>
      </c>
      <c r="R804" s="11">
        <v>1359.5</v>
      </c>
      <c r="S804" s="14">
        <v>1554</v>
      </c>
      <c r="T804" s="11">
        <v>865.68</v>
      </c>
      <c r="U804" s="13">
        <f>IF('0.0%'!$N804&lt;$Z$3,0, '0.0%'!$O804/'0.0%'!$N804)</f>
        <v>1.0619349475215629</v>
      </c>
      <c r="V804" s="13">
        <f>IF('0.0%'!$N804&lt;$Z$3,0, '0.0%'!$P804/'0.0%'!$N804)</f>
        <v>0.99657071599293368</v>
      </c>
      <c r="W804" s="13">
        <f>IF('0.0%'!$N804&lt;$Z$3,0, '0.0%'!$Q804/'0.0%'!$N804)</f>
        <v>1.0831341577470643</v>
      </c>
      <c r="X804" s="13">
        <f>IF('0.0%'!$N804&lt;$Z$3,0, '0.0%'!$R804/'0.0%'!$N804)</f>
        <v>1.4127610932141745</v>
      </c>
      <c r="Y804" s="13">
        <f>IF('0.0%'!$N804&lt;$Z$3,0, '0.0%'!$S804/'0.0%'!$N804)</f>
        <v>1.6148810142367247</v>
      </c>
    </row>
    <row r="805" spans="1:25" x14ac:dyDescent="0.3">
      <c r="A805" s="17">
        <v>866.67</v>
      </c>
      <c r="B805" s="10">
        <v>1047.8</v>
      </c>
      <c r="C805" s="9">
        <v>866.67</v>
      </c>
      <c r="D805" s="10">
        <v>1106.8</v>
      </c>
      <c r="E805" s="11">
        <v>866.67</v>
      </c>
      <c r="F805" s="12">
        <v>1038.9000000000001</v>
      </c>
      <c r="G805" s="11">
        <v>866.67</v>
      </c>
      <c r="H805" s="12">
        <v>1130.0999999999999</v>
      </c>
      <c r="I805" s="11">
        <v>866.67</v>
      </c>
      <c r="J805" s="12">
        <v>1474.1</v>
      </c>
      <c r="K805" s="11">
        <v>866.67</v>
      </c>
      <c r="L805" s="12">
        <v>1656.5</v>
      </c>
      <c r="M805" s="11">
        <v>866.67</v>
      </c>
      <c r="N805" s="13">
        <v>1047.8</v>
      </c>
      <c r="O805" s="13">
        <v>1106.8</v>
      </c>
      <c r="P805" s="13">
        <v>1038.9000000000001</v>
      </c>
      <c r="Q805" s="11">
        <v>1130.0999999999999</v>
      </c>
      <c r="R805" s="11">
        <v>1474.1</v>
      </c>
      <c r="S805" s="14">
        <v>1656.5</v>
      </c>
      <c r="T805" s="11">
        <v>866.67</v>
      </c>
      <c r="U805" s="13">
        <f>IF('0.0%'!$N805&lt;$Z$3,0, '0.0%'!$O805/'0.0%'!$N805)</f>
        <v>1.0563084558121778</v>
      </c>
      <c r="V805" s="13">
        <f>IF('0.0%'!$N805&lt;$Z$3,0, '0.0%'!$P805/'0.0%'!$N805)</f>
        <v>0.99150601259782412</v>
      </c>
      <c r="W805" s="13">
        <f>IF('0.0%'!$N805&lt;$Z$3,0, '0.0%'!$Q805/'0.0%'!$N805)</f>
        <v>1.0785455239549533</v>
      </c>
      <c r="X805" s="13">
        <f>IF('0.0%'!$N805&lt;$Z$3,0, '0.0%'!$R805/'0.0%'!$N805)</f>
        <v>1.4068524527581598</v>
      </c>
      <c r="Y805" s="13">
        <f>IF('0.0%'!$N805&lt;$Z$3,0, '0.0%'!$S805/'0.0%'!$N805)</f>
        <v>1.5809314754724184</v>
      </c>
    </row>
    <row r="806" spans="1:25" x14ac:dyDescent="0.3">
      <c r="A806" s="17">
        <v>867.66</v>
      </c>
      <c r="B806" s="10">
        <v>1131.9000000000001</v>
      </c>
      <c r="C806" s="9">
        <v>867.66</v>
      </c>
      <c r="D806" s="10">
        <v>1189.8</v>
      </c>
      <c r="E806" s="11">
        <v>867.66</v>
      </c>
      <c r="F806" s="12">
        <v>1116.3</v>
      </c>
      <c r="G806" s="11">
        <v>867.66</v>
      </c>
      <c r="H806" s="12">
        <v>1216.9000000000001</v>
      </c>
      <c r="I806" s="11">
        <v>867.66</v>
      </c>
      <c r="J806" s="12">
        <v>1593.1</v>
      </c>
      <c r="K806" s="11">
        <v>867.66</v>
      </c>
      <c r="L806" s="12">
        <v>1747.8</v>
      </c>
      <c r="M806" s="11">
        <v>867.66</v>
      </c>
      <c r="N806" s="13">
        <v>1131.9000000000001</v>
      </c>
      <c r="O806" s="13">
        <v>1189.8</v>
      </c>
      <c r="P806" s="13">
        <v>1116.3</v>
      </c>
      <c r="Q806" s="11">
        <v>1216.9000000000001</v>
      </c>
      <c r="R806" s="11">
        <v>1593.1</v>
      </c>
      <c r="S806" s="14">
        <v>1747.8</v>
      </c>
      <c r="T806" s="11">
        <v>867.66</v>
      </c>
      <c r="U806" s="13">
        <f>IF('0.0%'!$N806&lt;$Z$3,0, '0.0%'!$O806/'0.0%'!$N806)</f>
        <v>1.0511529287039489</v>
      </c>
      <c r="V806" s="13">
        <f>IF('0.0%'!$N806&lt;$Z$3,0, '0.0%'!$P806/'0.0%'!$N806)</f>
        <v>0.9862178637688841</v>
      </c>
      <c r="W806" s="13">
        <f>IF('0.0%'!$N806&lt;$Z$3,0, '0.0%'!$Q806/'0.0%'!$N806)</f>
        <v>1.0750949730541568</v>
      </c>
      <c r="X806" s="13">
        <f>IF('0.0%'!$N806&lt;$Z$3,0, '0.0%'!$R806/'0.0%'!$N806)</f>
        <v>1.4074564890891419</v>
      </c>
      <c r="Y806" s="13">
        <f>IF('0.0%'!$N806&lt;$Z$3,0, '0.0%'!$S806/'0.0%'!$N806)</f>
        <v>1.5441293400477072</v>
      </c>
    </row>
    <row r="807" spans="1:25" x14ac:dyDescent="0.3">
      <c r="A807" s="17">
        <v>868.65</v>
      </c>
      <c r="B807" s="10">
        <v>1200.7</v>
      </c>
      <c r="C807" s="9">
        <v>868.65</v>
      </c>
      <c r="D807" s="10">
        <v>1258</v>
      </c>
      <c r="E807" s="11">
        <v>868.65</v>
      </c>
      <c r="F807" s="12">
        <v>1180.5999999999999</v>
      </c>
      <c r="G807" s="11">
        <v>868.65</v>
      </c>
      <c r="H807" s="12">
        <v>1287.8</v>
      </c>
      <c r="I807" s="11">
        <v>868.65</v>
      </c>
      <c r="J807" s="12">
        <v>1685</v>
      </c>
      <c r="K807" s="11">
        <v>868.65</v>
      </c>
      <c r="L807" s="12">
        <v>1815.1</v>
      </c>
      <c r="M807" s="11">
        <v>868.65</v>
      </c>
      <c r="N807" s="13">
        <v>1200.7</v>
      </c>
      <c r="O807" s="13">
        <v>1258</v>
      </c>
      <c r="P807" s="13">
        <v>1180.5999999999999</v>
      </c>
      <c r="Q807" s="11">
        <v>1287.8</v>
      </c>
      <c r="R807" s="11">
        <v>1685</v>
      </c>
      <c r="S807" s="14">
        <v>1815.1</v>
      </c>
      <c r="T807" s="11">
        <v>868.65</v>
      </c>
      <c r="U807" s="13">
        <f>IF('0.0%'!$N807&lt;$Z$3,0, '0.0%'!$O807/'0.0%'!$N807)</f>
        <v>1.0477221620721247</v>
      </c>
      <c r="V807" s="13">
        <f>IF('0.0%'!$N807&lt;$Z$3,0, '0.0%'!$P807/'0.0%'!$N807)</f>
        <v>0.98325976513700331</v>
      </c>
      <c r="W807" s="13">
        <f>IF('0.0%'!$N807&lt;$Z$3,0, '0.0%'!$Q807/'0.0%'!$N807)</f>
        <v>1.0725410177396517</v>
      </c>
      <c r="X807" s="13">
        <f>IF('0.0%'!$N807&lt;$Z$3,0, '0.0%'!$R807/'0.0%'!$N807)</f>
        <v>1.4033480469725992</v>
      </c>
      <c r="Y807" s="13">
        <f>IF('0.0%'!$N807&lt;$Z$3,0, '0.0%'!$S807/'0.0%'!$N807)</f>
        <v>1.511701507453985</v>
      </c>
    </row>
    <row r="808" spans="1:25" x14ac:dyDescent="0.3">
      <c r="A808" s="17">
        <v>869.64</v>
      </c>
      <c r="B808" s="10">
        <v>1243.4000000000001</v>
      </c>
      <c r="C808" s="9">
        <v>869.64</v>
      </c>
      <c r="D808" s="10">
        <v>1301.5999999999999</v>
      </c>
      <c r="E808" s="11">
        <v>869.64</v>
      </c>
      <c r="F808" s="12">
        <v>1223.7</v>
      </c>
      <c r="G808" s="11">
        <v>869.64</v>
      </c>
      <c r="H808" s="12">
        <v>1331.7</v>
      </c>
      <c r="I808" s="11">
        <v>869.64</v>
      </c>
      <c r="J808" s="12">
        <v>1740.6</v>
      </c>
      <c r="K808" s="11">
        <v>869.64</v>
      </c>
      <c r="L808" s="12">
        <v>1843.7</v>
      </c>
      <c r="M808" s="11">
        <v>869.64</v>
      </c>
      <c r="N808" s="13">
        <v>1243.4000000000001</v>
      </c>
      <c r="O808" s="13">
        <v>1301.5999999999999</v>
      </c>
      <c r="P808" s="13">
        <v>1223.7</v>
      </c>
      <c r="Q808" s="11">
        <v>1331.7</v>
      </c>
      <c r="R808" s="11">
        <v>1740.6</v>
      </c>
      <c r="S808" s="14">
        <v>1843.7</v>
      </c>
      <c r="T808" s="11">
        <v>869.64</v>
      </c>
      <c r="U808" s="13">
        <f>IF('0.0%'!$N808&lt;$Z$3,0, '0.0%'!$O808/'0.0%'!$N808)</f>
        <v>1.0468071417082192</v>
      </c>
      <c r="V808" s="13">
        <f>IF('0.0%'!$N808&lt;$Z$3,0, '0.0%'!$P808/'0.0%'!$N808)</f>
        <v>0.98415634550426245</v>
      </c>
      <c r="W808" s="13">
        <f>IF('0.0%'!$N808&lt;$Z$3,0, '0.0%'!$Q808/'0.0%'!$N808)</f>
        <v>1.0710149589834326</v>
      </c>
      <c r="X808" s="13">
        <f>IF('0.0%'!$N808&lt;$Z$3,0, '0.0%'!$R808/'0.0%'!$N808)</f>
        <v>1.3998713205726232</v>
      </c>
      <c r="Y808" s="13">
        <f>IF('0.0%'!$N808&lt;$Z$3,0, '0.0%'!$S808/'0.0%'!$N808)</f>
        <v>1.4827891265883866</v>
      </c>
    </row>
    <row r="809" spans="1:25" x14ac:dyDescent="0.3">
      <c r="A809" s="17">
        <v>870.63</v>
      </c>
      <c r="B809" s="10">
        <v>1250.5</v>
      </c>
      <c r="C809" s="9">
        <v>870.63</v>
      </c>
      <c r="D809" s="10">
        <v>1308.9000000000001</v>
      </c>
      <c r="E809" s="11">
        <v>870.63</v>
      </c>
      <c r="F809" s="12">
        <v>1234.8</v>
      </c>
      <c r="G809" s="11">
        <v>870.63</v>
      </c>
      <c r="H809" s="12">
        <v>1338.8</v>
      </c>
      <c r="I809" s="11">
        <v>870.63</v>
      </c>
      <c r="J809" s="12">
        <v>1738.8</v>
      </c>
      <c r="K809" s="11">
        <v>870.63</v>
      </c>
      <c r="L809" s="12">
        <v>1815.3</v>
      </c>
      <c r="M809" s="11">
        <v>870.63</v>
      </c>
      <c r="N809" s="13">
        <v>1250.5</v>
      </c>
      <c r="O809" s="13">
        <v>1308.9000000000001</v>
      </c>
      <c r="P809" s="13">
        <v>1234.8</v>
      </c>
      <c r="Q809" s="11">
        <v>1338.8</v>
      </c>
      <c r="R809" s="11">
        <v>1738.8</v>
      </c>
      <c r="S809" s="14">
        <v>1815.3</v>
      </c>
      <c r="T809" s="11">
        <v>870.63</v>
      </c>
      <c r="U809" s="13">
        <f>IF('0.0%'!$N809&lt;$Z$3,0, '0.0%'!$O809/'0.0%'!$N809)</f>
        <v>1.0467013194722112</v>
      </c>
      <c r="V809" s="13">
        <f>IF('0.0%'!$N809&lt;$Z$3,0, '0.0%'!$P809/'0.0%'!$N809)</f>
        <v>0.98744502199120343</v>
      </c>
      <c r="W809" s="13">
        <f>IF('0.0%'!$N809&lt;$Z$3,0, '0.0%'!$Q809/'0.0%'!$N809)</f>
        <v>1.0706117552978809</v>
      </c>
      <c r="X809" s="13">
        <f>IF('0.0%'!$N809&lt;$Z$3,0, '0.0%'!$R809/'0.0%'!$N809)</f>
        <v>1.390483806477409</v>
      </c>
      <c r="Y809" s="13">
        <f>IF('0.0%'!$N809&lt;$Z$3,0, '0.0%'!$S809/'0.0%'!$N809)</f>
        <v>1.4516593362654937</v>
      </c>
    </row>
    <row r="810" spans="1:25" x14ac:dyDescent="0.3">
      <c r="A810" s="17">
        <v>871.63</v>
      </c>
      <c r="B810" s="10">
        <v>1226.0999999999999</v>
      </c>
      <c r="C810" s="9">
        <v>871.63</v>
      </c>
      <c r="D810" s="10">
        <v>1284.0999999999999</v>
      </c>
      <c r="E810" s="11">
        <v>871.63</v>
      </c>
      <c r="F810" s="12">
        <v>1213.9000000000001</v>
      </c>
      <c r="G810" s="11">
        <v>871.63</v>
      </c>
      <c r="H810" s="12">
        <v>1315.3</v>
      </c>
      <c r="I810" s="11">
        <v>871.63</v>
      </c>
      <c r="J810" s="12">
        <v>1705.3</v>
      </c>
      <c r="K810" s="11">
        <v>871.63</v>
      </c>
      <c r="L810" s="12">
        <v>1743.1</v>
      </c>
      <c r="M810" s="11">
        <v>871.63</v>
      </c>
      <c r="N810" s="13">
        <v>1226.0999999999999</v>
      </c>
      <c r="O810" s="13">
        <v>1284.0999999999999</v>
      </c>
      <c r="P810" s="13">
        <v>1213.9000000000001</v>
      </c>
      <c r="Q810" s="11">
        <v>1315.3</v>
      </c>
      <c r="R810" s="11">
        <v>1705.3</v>
      </c>
      <c r="S810" s="14">
        <v>1743.1</v>
      </c>
      <c r="T810" s="11">
        <v>871.63</v>
      </c>
      <c r="U810" s="13">
        <f>IF('0.0%'!$N810&lt;$Z$3,0, '0.0%'!$O810/'0.0%'!$N810)</f>
        <v>1.0473044613000571</v>
      </c>
      <c r="V810" s="13">
        <f>IF('0.0%'!$N810&lt;$Z$3,0, '0.0%'!$P810/'0.0%'!$N810)</f>
        <v>0.99004975124378125</v>
      </c>
      <c r="W810" s="13">
        <f>IF('0.0%'!$N810&lt;$Z$3,0, '0.0%'!$Q810/'0.0%'!$N810)</f>
        <v>1.0727509991028465</v>
      </c>
      <c r="X810" s="13">
        <f>IF('0.0%'!$N810&lt;$Z$3,0, '0.0%'!$R810/'0.0%'!$N810)</f>
        <v>1.3908327216377132</v>
      </c>
      <c r="Y810" s="13">
        <f>IF('0.0%'!$N810&lt;$Z$3,0, '0.0%'!$S810/'0.0%'!$N810)</f>
        <v>1.4216621808987848</v>
      </c>
    </row>
    <row r="811" spans="1:25" x14ac:dyDescent="0.3">
      <c r="A811" s="17">
        <v>872.62</v>
      </c>
      <c r="B811" s="10">
        <v>1168.3</v>
      </c>
      <c r="C811" s="9">
        <v>872.62</v>
      </c>
      <c r="D811" s="10">
        <v>1227.5</v>
      </c>
      <c r="E811" s="11">
        <v>872.62</v>
      </c>
      <c r="F811" s="12">
        <v>1163.3</v>
      </c>
      <c r="G811" s="11">
        <v>872.62</v>
      </c>
      <c r="H811" s="12">
        <v>1257.5</v>
      </c>
      <c r="I811" s="11">
        <v>872.62</v>
      </c>
      <c r="J811" s="12">
        <v>1635.6</v>
      </c>
      <c r="K811" s="11">
        <v>872.62</v>
      </c>
      <c r="L811" s="12">
        <v>1636.9</v>
      </c>
      <c r="M811" s="11">
        <v>872.62</v>
      </c>
      <c r="N811" s="13">
        <v>1168.3</v>
      </c>
      <c r="O811" s="13">
        <v>1227.5</v>
      </c>
      <c r="P811" s="13">
        <v>1163.3</v>
      </c>
      <c r="Q811" s="11">
        <v>1257.5</v>
      </c>
      <c r="R811" s="11">
        <v>1635.6</v>
      </c>
      <c r="S811" s="14">
        <v>1636.9</v>
      </c>
      <c r="T811" s="11">
        <v>872.62</v>
      </c>
      <c r="U811" s="13">
        <f>IF('0.0%'!$N811&lt;$Z$3,0, '0.0%'!$O811/'0.0%'!$N811)</f>
        <v>1.0506719164598135</v>
      </c>
      <c r="V811" s="13">
        <f>IF('0.0%'!$N811&lt;$Z$3,0, '0.0%'!$P811/'0.0%'!$N811)</f>
        <v>0.9957202773260293</v>
      </c>
      <c r="W811" s="13">
        <f>IF('0.0%'!$N811&lt;$Z$3,0, '0.0%'!$Q811/'0.0%'!$N811)</f>
        <v>1.0763502525036379</v>
      </c>
      <c r="X811" s="13">
        <f>IF('0.0%'!$N811&lt;$Z$3,0, '0.0%'!$R811/'0.0%'!$N811)</f>
        <v>1.399982881109304</v>
      </c>
      <c r="Y811" s="13">
        <f>IF('0.0%'!$N811&lt;$Z$3,0, '0.0%'!$S811/'0.0%'!$N811)</f>
        <v>1.4010956090045366</v>
      </c>
    </row>
    <row r="812" spans="1:25" x14ac:dyDescent="0.3">
      <c r="A812" s="17">
        <v>873.61</v>
      </c>
      <c r="B812" s="10">
        <v>1075.3</v>
      </c>
      <c r="C812" s="9">
        <v>873.61</v>
      </c>
      <c r="D812" s="10">
        <v>1137.3</v>
      </c>
      <c r="E812" s="11">
        <v>873.61</v>
      </c>
      <c r="F812" s="12">
        <v>1084.5</v>
      </c>
      <c r="G812" s="11">
        <v>873.61</v>
      </c>
      <c r="H812" s="12">
        <v>1163.7</v>
      </c>
      <c r="I812" s="11">
        <v>873.61</v>
      </c>
      <c r="J812" s="12">
        <v>1509.4</v>
      </c>
      <c r="K812" s="11">
        <v>873.61</v>
      </c>
      <c r="L812" s="12">
        <v>1494.6</v>
      </c>
      <c r="M812" s="11">
        <v>873.61</v>
      </c>
      <c r="N812" s="13">
        <v>1075.3</v>
      </c>
      <c r="O812" s="13">
        <v>1137.3</v>
      </c>
      <c r="P812" s="13">
        <v>1084.5</v>
      </c>
      <c r="Q812" s="11">
        <v>1163.7</v>
      </c>
      <c r="R812" s="11">
        <v>1509.4</v>
      </c>
      <c r="S812" s="14">
        <v>1494.6</v>
      </c>
      <c r="T812" s="11">
        <v>873.61</v>
      </c>
      <c r="U812" s="13">
        <f>IF('0.0%'!$N812&lt;$Z$3,0, '0.0%'!$O812/'0.0%'!$N812)</f>
        <v>1.0576583279084906</v>
      </c>
      <c r="V812" s="13">
        <f>IF('0.0%'!$N812&lt;$Z$3,0, '0.0%'!$P812/'0.0%'!$N812)</f>
        <v>1.0085557518831954</v>
      </c>
      <c r="W812" s="13">
        <f>IF('0.0%'!$N812&lt;$Z$3,0, '0.0%'!$Q812/'0.0%'!$N812)</f>
        <v>1.0822096159211383</v>
      </c>
      <c r="X812" s="13">
        <f>IF('0.0%'!$N812&lt;$Z$3,0, '0.0%'!$R812/'0.0%'!$N812)</f>
        <v>1.403701292662513</v>
      </c>
      <c r="Y812" s="13">
        <f>IF('0.0%'!$N812&lt;$Z$3,0, '0.0%'!$S812/'0.0%'!$N812)</f>
        <v>1.3899376918069375</v>
      </c>
    </row>
    <row r="813" spans="1:25" x14ac:dyDescent="0.3">
      <c r="A813" s="17">
        <v>874.6</v>
      </c>
      <c r="B813" s="10">
        <v>961.4</v>
      </c>
      <c r="C813" s="9">
        <v>874.6</v>
      </c>
      <c r="D813" s="10">
        <v>1024.9000000000001</v>
      </c>
      <c r="E813" s="11">
        <v>874.6</v>
      </c>
      <c r="F813" s="12">
        <v>984.1</v>
      </c>
      <c r="G813" s="11">
        <v>874.6</v>
      </c>
      <c r="H813" s="12">
        <v>1047.2</v>
      </c>
      <c r="I813" s="11">
        <v>874.6</v>
      </c>
      <c r="J813" s="12">
        <v>1349.2</v>
      </c>
      <c r="K813" s="11">
        <v>874.6</v>
      </c>
      <c r="L813" s="12">
        <v>1332.7</v>
      </c>
      <c r="M813" s="11">
        <v>874.6</v>
      </c>
      <c r="N813" s="13">
        <v>961.4</v>
      </c>
      <c r="O813" s="13">
        <v>1024.9000000000001</v>
      </c>
      <c r="P813" s="13">
        <v>984.1</v>
      </c>
      <c r="Q813" s="11">
        <v>1047.2</v>
      </c>
      <c r="R813" s="11">
        <v>1349.2</v>
      </c>
      <c r="S813" s="14">
        <v>1332.7</v>
      </c>
      <c r="T813" s="11">
        <v>874.6</v>
      </c>
      <c r="U813" s="13">
        <f>IF('0.0%'!$N813&lt;$Z$3,0, '0.0%'!$O813/'0.0%'!$N813)</f>
        <v>1.0660495111296029</v>
      </c>
      <c r="V813" s="13">
        <f>IF('0.0%'!$N813&lt;$Z$3,0, '0.0%'!$P813/'0.0%'!$N813)</f>
        <v>1.0236114000416061</v>
      </c>
      <c r="W813" s="13">
        <f>IF('0.0%'!$N813&lt;$Z$3,0, '0.0%'!$Q813/'0.0%'!$N813)</f>
        <v>1.0892448512585813</v>
      </c>
      <c r="X813" s="13">
        <f>IF('0.0%'!$N813&lt;$Z$3,0, '0.0%'!$R813/'0.0%'!$N813)</f>
        <v>1.4033700852922821</v>
      </c>
      <c r="Y813" s="13">
        <f>IF('0.0%'!$N813&lt;$Z$3,0, '0.0%'!$S813/'0.0%'!$N813)</f>
        <v>1.3862076138964012</v>
      </c>
    </row>
    <row r="814" spans="1:25" x14ac:dyDescent="0.3">
      <c r="A814" s="17">
        <v>875.59</v>
      </c>
      <c r="B814" s="10">
        <v>851.5</v>
      </c>
      <c r="C814" s="9">
        <v>875.59</v>
      </c>
      <c r="D814" s="10">
        <v>916.6</v>
      </c>
      <c r="E814" s="11">
        <v>875.59</v>
      </c>
      <c r="F814" s="12">
        <v>882</v>
      </c>
      <c r="G814" s="11">
        <v>875.59</v>
      </c>
      <c r="H814" s="12">
        <v>935.3</v>
      </c>
      <c r="I814" s="11">
        <v>875.59</v>
      </c>
      <c r="J814" s="12">
        <v>1198.8</v>
      </c>
      <c r="K814" s="11">
        <v>875.59</v>
      </c>
      <c r="L814" s="12">
        <v>1186.4000000000001</v>
      </c>
      <c r="M814" s="11">
        <v>875.59</v>
      </c>
      <c r="N814" s="13">
        <v>851.5</v>
      </c>
      <c r="O814" s="13">
        <v>916.6</v>
      </c>
      <c r="P814" s="13">
        <v>882</v>
      </c>
      <c r="Q814" s="11">
        <v>935.3</v>
      </c>
      <c r="R814" s="11">
        <v>1198.8</v>
      </c>
      <c r="S814" s="14">
        <v>1186.4000000000001</v>
      </c>
      <c r="T814" s="11">
        <v>875.59</v>
      </c>
      <c r="U814" s="13">
        <f>IF('0.0%'!$N814&lt;$Z$3,0, '0.0%'!$O814/'0.0%'!$N814)</f>
        <v>1.0764533176746918</v>
      </c>
      <c r="V814" s="13">
        <f>IF('0.0%'!$N814&lt;$Z$3,0, '0.0%'!$P814/'0.0%'!$N814)</f>
        <v>1.0358191426893717</v>
      </c>
      <c r="W814" s="13">
        <f>IF('0.0%'!$N814&lt;$Z$3,0, '0.0%'!$Q814/'0.0%'!$N814)</f>
        <v>1.0984145625366999</v>
      </c>
      <c r="X814" s="13">
        <f>IF('0.0%'!$N814&lt;$Z$3,0, '0.0%'!$R814/'0.0%'!$N814)</f>
        <v>1.407868467410452</v>
      </c>
      <c r="Y814" s="13">
        <f>IF('0.0%'!$N814&lt;$Z$3,0, '0.0%'!$S814/'0.0%'!$N814)</f>
        <v>1.3933059307105109</v>
      </c>
    </row>
    <row r="815" spans="1:25" x14ac:dyDescent="0.3">
      <c r="A815" s="17">
        <v>876.59</v>
      </c>
      <c r="B815" s="10">
        <v>747.7</v>
      </c>
      <c r="C815" s="9">
        <v>876.59</v>
      </c>
      <c r="D815" s="10">
        <v>813.8</v>
      </c>
      <c r="E815" s="11">
        <v>876.59</v>
      </c>
      <c r="F815" s="12">
        <v>783.2</v>
      </c>
      <c r="G815" s="11">
        <v>876.59</v>
      </c>
      <c r="H815" s="12">
        <v>828.9</v>
      </c>
      <c r="I815" s="11">
        <v>876.59</v>
      </c>
      <c r="J815" s="12">
        <v>1059.7</v>
      </c>
      <c r="K815" s="11">
        <v>876.59</v>
      </c>
      <c r="L815" s="12">
        <v>1049</v>
      </c>
      <c r="M815" s="11">
        <v>876.59</v>
      </c>
      <c r="N815" s="13">
        <v>747.7</v>
      </c>
      <c r="O815" s="13">
        <v>813.8</v>
      </c>
      <c r="P815" s="13">
        <v>783.2</v>
      </c>
      <c r="Q815" s="11">
        <v>828.9</v>
      </c>
      <c r="R815" s="11">
        <v>1059.7</v>
      </c>
      <c r="S815" s="14">
        <v>1049</v>
      </c>
      <c r="T815" s="11">
        <v>876.59</v>
      </c>
      <c r="U815" s="13">
        <f>IF('0.0%'!$N815&lt;$Z$3,0, '0.0%'!$O815/'0.0%'!$N815)</f>
        <v>1.088404440283536</v>
      </c>
      <c r="V815" s="13">
        <f>IF('0.0%'!$N815&lt;$Z$3,0, '0.0%'!$P815/'0.0%'!$N815)</f>
        <v>1.0474789354018992</v>
      </c>
      <c r="W815" s="13">
        <f>IF('0.0%'!$N815&lt;$Z$3,0, '0.0%'!$Q815/'0.0%'!$N815)</f>
        <v>1.108599705764344</v>
      </c>
      <c r="X815" s="13">
        <f>IF('0.0%'!$N815&lt;$Z$3,0, '0.0%'!$R815/'0.0%'!$N815)</f>
        <v>1.4172796576166911</v>
      </c>
      <c r="Y815" s="13">
        <f>IF('0.0%'!$N815&lt;$Z$3,0, '0.0%'!$S815/'0.0%'!$N815)</f>
        <v>1.4029691052561186</v>
      </c>
    </row>
    <row r="816" spans="1:25" x14ac:dyDescent="0.3">
      <c r="A816" s="17">
        <v>877.58</v>
      </c>
      <c r="B816" s="10">
        <v>662.1</v>
      </c>
      <c r="C816" s="9">
        <v>877.58</v>
      </c>
      <c r="D816" s="10">
        <v>729.1</v>
      </c>
      <c r="E816" s="11">
        <v>877.58</v>
      </c>
      <c r="F816" s="12">
        <v>701</v>
      </c>
      <c r="G816" s="11">
        <v>877.58</v>
      </c>
      <c r="H816" s="12">
        <v>740.3</v>
      </c>
      <c r="I816" s="11">
        <v>877.58</v>
      </c>
      <c r="J816" s="12">
        <v>936.8</v>
      </c>
      <c r="K816" s="11">
        <v>877.58</v>
      </c>
      <c r="L816" s="12">
        <v>932.2</v>
      </c>
      <c r="M816" s="11">
        <v>877.58</v>
      </c>
      <c r="N816" s="13">
        <v>662.1</v>
      </c>
      <c r="O816" s="13">
        <v>729.1</v>
      </c>
      <c r="P816" s="13">
        <v>701</v>
      </c>
      <c r="Q816" s="11">
        <v>740.3</v>
      </c>
      <c r="R816" s="11">
        <v>936.8</v>
      </c>
      <c r="S816" s="14">
        <v>932.2</v>
      </c>
      <c r="T816" s="11">
        <v>877.58</v>
      </c>
      <c r="U816" s="13">
        <f>IF('0.0%'!$N816&lt;$Z$3,0, '0.0%'!$O816/'0.0%'!$N816)</f>
        <v>1.1011931732366711</v>
      </c>
      <c r="V816" s="13">
        <f>IF('0.0%'!$N816&lt;$Z$3,0, '0.0%'!$P816/'0.0%'!$N816)</f>
        <v>1.0587524543120375</v>
      </c>
      <c r="W816" s="13">
        <f>IF('0.0%'!$N816&lt;$Z$3,0, '0.0%'!$Q816/'0.0%'!$N816)</f>
        <v>1.1181090469717565</v>
      </c>
      <c r="X816" s="13">
        <f>IF('0.0%'!$N816&lt;$Z$3,0, '0.0%'!$R816/'0.0%'!$N816)</f>
        <v>1.4148920102703517</v>
      </c>
      <c r="Y816" s="13">
        <f>IF('0.0%'!$N816&lt;$Z$3,0, '0.0%'!$S816/'0.0%'!$N816)</f>
        <v>1.4079444192720134</v>
      </c>
    </row>
    <row r="817" spans="1:25" x14ac:dyDescent="0.3">
      <c r="A817" s="17">
        <v>878.57</v>
      </c>
      <c r="B817" s="10">
        <v>594.9</v>
      </c>
      <c r="C817" s="9">
        <v>878.57</v>
      </c>
      <c r="D817" s="10">
        <v>662.4</v>
      </c>
      <c r="E817" s="11">
        <v>878.57</v>
      </c>
      <c r="F817" s="12">
        <v>636</v>
      </c>
      <c r="G817" s="11">
        <v>878.57</v>
      </c>
      <c r="H817" s="12">
        <v>670.3</v>
      </c>
      <c r="I817" s="11">
        <v>878.57</v>
      </c>
      <c r="J817" s="12">
        <v>839.9</v>
      </c>
      <c r="K817" s="11">
        <v>878.57</v>
      </c>
      <c r="L817" s="12">
        <v>840</v>
      </c>
      <c r="M817" s="11">
        <v>878.57</v>
      </c>
      <c r="N817" s="13">
        <v>594.9</v>
      </c>
      <c r="O817" s="13">
        <v>662.4</v>
      </c>
      <c r="P817" s="13">
        <v>636</v>
      </c>
      <c r="Q817" s="11">
        <v>670.3</v>
      </c>
      <c r="R817" s="11">
        <v>839.9</v>
      </c>
      <c r="S817" s="14">
        <v>840</v>
      </c>
      <c r="T817" s="11">
        <v>878.57</v>
      </c>
      <c r="U817" s="13">
        <f>IF('0.0%'!$N817&lt;$Z$3,0, '0.0%'!$O817/'0.0%'!$N817)</f>
        <v>1.113464447806354</v>
      </c>
      <c r="V817" s="13">
        <f>IF('0.0%'!$N817&lt;$Z$3,0, '0.0%'!$P817/'0.0%'!$N817)</f>
        <v>1.0690872415532022</v>
      </c>
      <c r="W817" s="13">
        <f>IF('0.0%'!$N817&lt;$Z$3,0, '0.0%'!$Q817/'0.0%'!$N817)</f>
        <v>1.1267439905866532</v>
      </c>
      <c r="X817" s="13">
        <f>IF('0.0%'!$N817&lt;$Z$3,0, '0.0%'!$R817/'0.0%'!$N817)</f>
        <v>1.4118339216675071</v>
      </c>
      <c r="Y817" s="13">
        <f>IF('0.0%'!$N817&lt;$Z$3,0, '0.0%'!$S817/'0.0%'!$N817)</f>
        <v>1.4120020171457388</v>
      </c>
    </row>
    <row r="818" spans="1:25" x14ac:dyDescent="0.3">
      <c r="A818" s="17">
        <v>879.56</v>
      </c>
      <c r="B818" s="10">
        <v>541.4</v>
      </c>
      <c r="C818" s="9">
        <v>879.56</v>
      </c>
      <c r="D818" s="10">
        <v>609.29999999999995</v>
      </c>
      <c r="E818" s="11">
        <v>879.56</v>
      </c>
      <c r="F818" s="12">
        <v>584.20000000000005</v>
      </c>
      <c r="G818" s="11">
        <v>879.56</v>
      </c>
      <c r="H818" s="12">
        <v>614.9</v>
      </c>
      <c r="I818" s="11">
        <v>879.56</v>
      </c>
      <c r="J818" s="12">
        <v>764.6</v>
      </c>
      <c r="K818" s="11">
        <v>879.56</v>
      </c>
      <c r="L818" s="12">
        <v>766.8</v>
      </c>
      <c r="M818" s="11">
        <v>879.56</v>
      </c>
      <c r="N818" s="13">
        <v>541.4</v>
      </c>
      <c r="O818" s="13">
        <v>609.29999999999995</v>
      </c>
      <c r="P818" s="13">
        <v>584.20000000000005</v>
      </c>
      <c r="Q818" s="11">
        <v>614.9</v>
      </c>
      <c r="R818" s="11">
        <v>764.6</v>
      </c>
      <c r="S818" s="14">
        <v>766.8</v>
      </c>
      <c r="T818" s="11">
        <v>879.56</v>
      </c>
      <c r="U818" s="13">
        <f>IF('0.0%'!$N818&lt;$Z$3,0, '0.0%'!$O818/'0.0%'!$N818)</f>
        <v>1.125415589213151</v>
      </c>
      <c r="V818" s="13">
        <f>IF('0.0%'!$N818&lt;$Z$3,0, '0.0%'!$P818/'0.0%'!$N818)</f>
        <v>1.0790543036571851</v>
      </c>
      <c r="W818" s="13">
        <f>IF('0.0%'!$N818&lt;$Z$3,0, '0.0%'!$Q818/'0.0%'!$N818)</f>
        <v>1.1357591429626894</v>
      </c>
      <c r="X818" s="13">
        <f>IF('0.0%'!$N818&lt;$Z$3,0, '0.0%'!$R818/'0.0%'!$N818)</f>
        <v>1.4122644994458811</v>
      </c>
      <c r="Y818" s="13">
        <f>IF('0.0%'!$N818&lt;$Z$3,0, '0.0%'!$S818/'0.0%'!$N818)</f>
        <v>1.4163280384189139</v>
      </c>
    </row>
    <row r="819" spans="1:25" x14ac:dyDescent="0.3">
      <c r="A819" s="17">
        <v>880.55</v>
      </c>
      <c r="B819" s="10">
        <v>499.1</v>
      </c>
      <c r="C819" s="9">
        <v>880.55</v>
      </c>
      <c r="D819" s="10">
        <v>567.20000000000005</v>
      </c>
      <c r="E819" s="11">
        <v>880.55</v>
      </c>
      <c r="F819" s="12">
        <v>543</v>
      </c>
      <c r="G819" s="11">
        <v>880.55</v>
      </c>
      <c r="H819" s="12">
        <v>570.6</v>
      </c>
      <c r="I819" s="11">
        <v>880.55</v>
      </c>
      <c r="J819" s="12">
        <v>703.9</v>
      </c>
      <c r="K819" s="11">
        <v>880.55</v>
      </c>
      <c r="L819" s="12">
        <v>708.2</v>
      </c>
      <c r="M819" s="11">
        <v>880.55</v>
      </c>
      <c r="N819" s="13">
        <v>499.1</v>
      </c>
      <c r="O819" s="13">
        <v>567.20000000000005</v>
      </c>
      <c r="P819" s="13">
        <v>543</v>
      </c>
      <c r="Q819" s="11">
        <v>570.6</v>
      </c>
      <c r="R819" s="11">
        <v>703.9</v>
      </c>
      <c r="S819" s="14">
        <v>708.2</v>
      </c>
      <c r="T819" s="11">
        <v>880.55</v>
      </c>
      <c r="U819" s="13">
        <f>IF('0.0%'!$N819&lt;$Z$3,0, '0.0%'!$O819/'0.0%'!$N819)</f>
        <v>1.1364456020837508</v>
      </c>
      <c r="V819" s="13">
        <f>IF('0.0%'!$N819&lt;$Z$3,0, '0.0%'!$P819/'0.0%'!$N819)</f>
        <v>1.0879583249849729</v>
      </c>
      <c r="W819" s="13">
        <f>IF('0.0%'!$N819&lt;$Z$3,0, '0.0%'!$Q819/'0.0%'!$N819)</f>
        <v>1.1432578641554798</v>
      </c>
      <c r="X819" s="13">
        <f>IF('0.0%'!$N819&lt;$Z$3,0, '0.0%'!$R819/'0.0%'!$N819)</f>
        <v>1.4103386094970947</v>
      </c>
      <c r="Y819" s="13">
        <f>IF('0.0%'!$N819&lt;$Z$3,0, '0.0%'!$S819/'0.0%'!$N819)</f>
        <v>1.4189541174113405</v>
      </c>
    </row>
    <row r="820" spans="1:25" x14ac:dyDescent="0.3">
      <c r="A820" s="17">
        <v>881.54</v>
      </c>
      <c r="B820" s="10">
        <v>466</v>
      </c>
      <c r="C820" s="9">
        <v>881.54</v>
      </c>
      <c r="D820" s="10">
        <v>534.20000000000005</v>
      </c>
      <c r="E820" s="11">
        <v>881.54</v>
      </c>
      <c r="F820" s="12">
        <v>510.6</v>
      </c>
      <c r="G820" s="11">
        <v>881.54</v>
      </c>
      <c r="H820" s="12">
        <v>536</v>
      </c>
      <c r="I820" s="11">
        <v>881.54</v>
      </c>
      <c r="J820" s="12">
        <v>656</v>
      </c>
      <c r="K820" s="11">
        <v>881.54</v>
      </c>
      <c r="L820" s="12">
        <v>661.9</v>
      </c>
      <c r="M820" s="11">
        <v>881.54</v>
      </c>
      <c r="N820" s="13">
        <v>466</v>
      </c>
      <c r="O820" s="13">
        <v>534.20000000000005</v>
      </c>
      <c r="P820" s="13">
        <v>510.6</v>
      </c>
      <c r="Q820" s="11">
        <v>536</v>
      </c>
      <c r="R820" s="11">
        <v>656</v>
      </c>
      <c r="S820" s="14">
        <v>661.9</v>
      </c>
      <c r="T820" s="11">
        <v>881.54</v>
      </c>
      <c r="U820" s="13">
        <f>IF('0.0%'!$N820&lt;$Z$3,0, '0.0%'!$O820/'0.0%'!$N820)</f>
        <v>1.1463519313304722</v>
      </c>
      <c r="V820" s="13">
        <f>IF('0.0%'!$N820&lt;$Z$3,0, '0.0%'!$P820/'0.0%'!$N820)</f>
        <v>1.0957081545064378</v>
      </c>
      <c r="W820" s="13">
        <f>IF('0.0%'!$N820&lt;$Z$3,0, '0.0%'!$Q820/'0.0%'!$N820)</f>
        <v>1.150214592274678</v>
      </c>
      <c r="X820" s="13">
        <f>IF('0.0%'!$N820&lt;$Z$3,0, '0.0%'!$R820/'0.0%'!$N820)</f>
        <v>1.407725321888412</v>
      </c>
      <c r="Y820" s="13">
        <f>IF('0.0%'!$N820&lt;$Z$3,0, '0.0%'!$S820/'0.0%'!$N820)</f>
        <v>1.4203862660944206</v>
      </c>
    </row>
    <row r="821" spans="1:25" x14ac:dyDescent="0.3">
      <c r="A821" s="17">
        <v>882.54</v>
      </c>
      <c r="B821" s="10">
        <v>440.8</v>
      </c>
      <c r="C821" s="9">
        <v>882.54</v>
      </c>
      <c r="D821" s="10">
        <v>509.2</v>
      </c>
      <c r="E821" s="11">
        <v>882.54</v>
      </c>
      <c r="F821" s="12">
        <v>486</v>
      </c>
      <c r="G821" s="11">
        <v>882.54</v>
      </c>
      <c r="H821" s="12">
        <v>509.7</v>
      </c>
      <c r="I821" s="11">
        <v>882.54</v>
      </c>
      <c r="J821" s="12">
        <v>619</v>
      </c>
      <c r="K821" s="11">
        <v>882.54</v>
      </c>
      <c r="L821" s="12">
        <v>626.5</v>
      </c>
      <c r="M821" s="11">
        <v>882.54</v>
      </c>
      <c r="N821" s="13">
        <v>440.8</v>
      </c>
      <c r="O821" s="13">
        <v>509.2</v>
      </c>
      <c r="P821" s="13">
        <v>486</v>
      </c>
      <c r="Q821" s="11">
        <v>509.7</v>
      </c>
      <c r="R821" s="11">
        <v>619</v>
      </c>
      <c r="S821" s="14">
        <v>626.5</v>
      </c>
      <c r="T821" s="11">
        <v>882.54</v>
      </c>
      <c r="U821" s="13">
        <f>IF('0.0%'!$N821&lt;$Z$3,0, '0.0%'!$O821/'0.0%'!$N821)</f>
        <v>1.1551724137931034</v>
      </c>
      <c r="V821" s="13">
        <f>IF('0.0%'!$N821&lt;$Z$3,0, '0.0%'!$P821/'0.0%'!$N821)</f>
        <v>1.1025408348457351</v>
      </c>
      <c r="W821" s="13">
        <f>IF('0.0%'!$N821&lt;$Z$3,0, '0.0%'!$Q821/'0.0%'!$N821)</f>
        <v>1.1563067150635209</v>
      </c>
      <c r="X821" s="13">
        <f>IF('0.0%'!$N821&lt;$Z$3,0, '0.0%'!$R821/'0.0%'!$N821)</f>
        <v>1.4042649727767695</v>
      </c>
      <c r="Y821" s="13">
        <f>IF('0.0%'!$N821&lt;$Z$3,0, '0.0%'!$S821/'0.0%'!$N821)</f>
        <v>1.4212794918330307</v>
      </c>
    </row>
    <row r="822" spans="1:25" x14ac:dyDescent="0.3">
      <c r="A822" s="17">
        <v>883.53</v>
      </c>
      <c r="B822" s="10">
        <v>421.8</v>
      </c>
      <c r="C822" s="9">
        <v>883.53</v>
      </c>
      <c r="D822" s="10">
        <v>490.6</v>
      </c>
      <c r="E822" s="11">
        <v>883.53</v>
      </c>
      <c r="F822" s="12">
        <v>467.4</v>
      </c>
      <c r="G822" s="11">
        <v>883.53</v>
      </c>
      <c r="H822" s="12">
        <v>490</v>
      </c>
      <c r="I822" s="11">
        <v>883.53</v>
      </c>
      <c r="J822" s="12">
        <v>591</v>
      </c>
      <c r="K822" s="11">
        <v>883.53</v>
      </c>
      <c r="L822" s="12">
        <v>599.4</v>
      </c>
      <c r="M822" s="11">
        <v>883.53</v>
      </c>
      <c r="N822" s="13">
        <v>421.8</v>
      </c>
      <c r="O822" s="13">
        <v>490.6</v>
      </c>
      <c r="P822" s="13">
        <v>467.4</v>
      </c>
      <c r="Q822" s="11">
        <v>490</v>
      </c>
      <c r="R822" s="11">
        <v>591</v>
      </c>
      <c r="S822" s="14">
        <v>599.4</v>
      </c>
      <c r="T822" s="11">
        <v>883.53</v>
      </c>
      <c r="U822" s="13">
        <f>IF('0.0%'!$N822&lt;$Z$3,0, '0.0%'!$O822/'0.0%'!$N822)</f>
        <v>1.1631104788999527</v>
      </c>
      <c r="V822" s="13">
        <f>IF('0.0%'!$N822&lt;$Z$3,0, '0.0%'!$P822/'0.0%'!$N822)</f>
        <v>1.1081081081081081</v>
      </c>
      <c r="W822" s="13">
        <f>IF('0.0%'!$N822&lt;$Z$3,0, '0.0%'!$Q822/'0.0%'!$N822)</f>
        <v>1.1616880037932669</v>
      </c>
      <c r="X822" s="13">
        <f>IF('0.0%'!$N822&lt;$Z$3,0, '0.0%'!$R822/'0.0%'!$N822)</f>
        <v>1.4011379800853485</v>
      </c>
      <c r="Y822" s="13">
        <f>IF('0.0%'!$N822&lt;$Z$3,0, '0.0%'!$S822/'0.0%'!$N822)</f>
        <v>1.4210526315789473</v>
      </c>
    </row>
    <row r="823" spans="1:25" x14ac:dyDescent="0.3">
      <c r="A823" s="17">
        <v>884.52</v>
      </c>
      <c r="B823" s="10">
        <v>408</v>
      </c>
      <c r="C823" s="9">
        <v>884.52</v>
      </c>
      <c r="D823" s="10">
        <v>477.3</v>
      </c>
      <c r="E823" s="11">
        <v>884.52</v>
      </c>
      <c r="F823" s="12">
        <v>454.1</v>
      </c>
      <c r="G823" s="11">
        <v>884.52</v>
      </c>
      <c r="H823" s="12">
        <v>475.7</v>
      </c>
      <c r="I823" s="11">
        <v>884.52</v>
      </c>
      <c r="J823" s="12">
        <v>570.79999999999995</v>
      </c>
      <c r="K823" s="11">
        <v>884.52</v>
      </c>
      <c r="L823" s="12">
        <v>580.1</v>
      </c>
      <c r="M823" s="11">
        <v>884.52</v>
      </c>
      <c r="N823" s="13">
        <v>408</v>
      </c>
      <c r="O823" s="13">
        <v>477.3</v>
      </c>
      <c r="P823" s="13">
        <v>454.1</v>
      </c>
      <c r="Q823" s="11">
        <v>475.7</v>
      </c>
      <c r="R823" s="11">
        <v>570.79999999999995</v>
      </c>
      <c r="S823" s="14">
        <v>580.1</v>
      </c>
      <c r="T823" s="11">
        <v>884.52</v>
      </c>
      <c r="U823" s="13">
        <f>IF('0.0%'!$N823&lt;$Z$3,0, '0.0%'!$O823/'0.0%'!$N823)</f>
        <v>1.1698529411764707</v>
      </c>
      <c r="V823" s="13">
        <f>IF('0.0%'!$N823&lt;$Z$3,0, '0.0%'!$P823/'0.0%'!$N823)</f>
        <v>1.1129901960784314</v>
      </c>
      <c r="W823" s="13">
        <f>IF('0.0%'!$N823&lt;$Z$3,0, '0.0%'!$Q823/'0.0%'!$N823)</f>
        <v>1.1659313725490197</v>
      </c>
      <c r="X823" s="13">
        <f>IF('0.0%'!$N823&lt;$Z$3,0, '0.0%'!$R823/'0.0%'!$N823)</f>
        <v>1.3990196078431372</v>
      </c>
      <c r="Y823" s="13">
        <f>IF('0.0%'!$N823&lt;$Z$3,0, '0.0%'!$S823/'0.0%'!$N823)</f>
        <v>1.4218137254901961</v>
      </c>
    </row>
    <row r="824" spans="1:25" x14ac:dyDescent="0.3">
      <c r="A824" s="17">
        <v>885.51</v>
      </c>
      <c r="B824" s="10">
        <v>398.2</v>
      </c>
      <c r="C824" s="9">
        <v>885.51</v>
      </c>
      <c r="D824" s="10">
        <v>468.5</v>
      </c>
      <c r="E824" s="11">
        <v>885.51</v>
      </c>
      <c r="F824" s="12">
        <v>444.8</v>
      </c>
      <c r="G824" s="11">
        <v>885.51</v>
      </c>
      <c r="H824" s="12">
        <v>465.9</v>
      </c>
      <c r="I824" s="11">
        <v>885.51</v>
      </c>
      <c r="J824" s="12">
        <v>556.5</v>
      </c>
      <c r="K824" s="11">
        <v>885.51</v>
      </c>
      <c r="L824" s="12">
        <v>566.4</v>
      </c>
      <c r="M824" s="11">
        <v>885.51</v>
      </c>
      <c r="N824" s="13">
        <v>398.2</v>
      </c>
      <c r="O824" s="13">
        <v>468.5</v>
      </c>
      <c r="P824" s="13">
        <v>444.8</v>
      </c>
      <c r="Q824" s="11">
        <v>465.9</v>
      </c>
      <c r="R824" s="11">
        <v>556.5</v>
      </c>
      <c r="S824" s="14">
        <v>566.4</v>
      </c>
      <c r="T824" s="11">
        <v>885.51</v>
      </c>
      <c r="U824" s="13">
        <f>IF('0.0%'!$N824&lt;$Z$3,0, '0.0%'!$O824/'0.0%'!$N824)</f>
        <v>1.176544450025113</v>
      </c>
      <c r="V824" s="13">
        <f>IF('0.0%'!$N824&lt;$Z$3,0, '0.0%'!$P824/'0.0%'!$N824)</f>
        <v>1.1170266197890508</v>
      </c>
      <c r="W824" s="13">
        <f>IF('0.0%'!$N824&lt;$Z$3,0, '0.0%'!$Q824/'0.0%'!$N824)</f>
        <v>1.1700150678051231</v>
      </c>
      <c r="X824" s="13">
        <f>IF('0.0%'!$N824&lt;$Z$3,0, '0.0%'!$R824/'0.0%'!$N824)</f>
        <v>1.3975389251632346</v>
      </c>
      <c r="Y824" s="13">
        <f>IF('0.0%'!$N824&lt;$Z$3,0, '0.0%'!$S824/'0.0%'!$N824)</f>
        <v>1.4224008036162732</v>
      </c>
    </row>
    <row r="825" spans="1:25" x14ac:dyDescent="0.3">
      <c r="A825" s="17">
        <v>886.5</v>
      </c>
      <c r="B825" s="10">
        <v>392.1</v>
      </c>
      <c r="C825" s="9">
        <v>886.5</v>
      </c>
      <c r="D825" s="10">
        <v>463.5</v>
      </c>
      <c r="E825" s="11">
        <v>886.5</v>
      </c>
      <c r="F825" s="12">
        <v>439.2</v>
      </c>
      <c r="G825" s="11">
        <v>886.5</v>
      </c>
      <c r="H825" s="12">
        <v>460</v>
      </c>
      <c r="I825" s="11">
        <v>886.5</v>
      </c>
      <c r="J825" s="12">
        <v>547.9</v>
      </c>
      <c r="K825" s="11">
        <v>886.5</v>
      </c>
      <c r="L825" s="12">
        <v>558.5</v>
      </c>
      <c r="M825" s="11">
        <v>886.5</v>
      </c>
      <c r="N825" s="13">
        <v>392.1</v>
      </c>
      <c r="O825" s="13">
        <v>463.5</v>
      </c>
      <c r="P825" s="13">
        <v>439.2</v>
      </c>
      <c r="Q825" s="11">
        <v>460</v>
      </c>
      <c r="R825" s="11">
        <v>547.9</v>
      </c>
      <c r="S825" s="14">
        <v>558.5</v>
      </c>
      <c r="T825" s="11">
        <v>886.5</v>
      </c>
      <c r="U825" s="13">
        <f>IF('0.0%'!$N825&lt;$Z$3,0, '0.0%'!$O825/'0.0%'!$N825)</f>
        <v>1.1820964039785768</v>
      </c>
      <c r="V825" s="13">
        <f>IF('0.0%'!$N825&lt;$Z$3,0, '0.0%'!$P825/'0.0%'!$N825)</f>
        <v>1.1201224177505738</v>
      </c>
      <c r="W825" s="13">
        <f>IF('0.0%'!$N825&lt;$Z$3,0, '0.0%'!$Q825/'0.0%'!$N825)</f>
        <v>1.1731701096659015</v>
      </c>
      <c r="X825" s="13">
        <f>IF('0.0%'!$N825&lt;$Z$3,0, '0.0%'!$R825/'0.0%'!$N825)</f>
        <v>1.3973476154042335</v>
      </c>
      <c r="Y825" s="13">
        <f>IF('0.0%'!$N825&lt;$Z$3,0, '0.0%'!$S825/'0.0%'!$N825)</f>
        <v>1.4243815353226217</v>
      </c>
    </row>
    <row r="826" spans="1:25" x14ac:dyDescent="0.3">
      <c r="A826" s="17">
        <v>887.49</v>
      </c>
      <c r="B826" s="10">
        <v>389</v>
      </c>
      <c r="C826" s="9">
        <v>887.49</v>
      </c>
      <c r="D826" s="10">
        <v>461.7</v>
      </c>
      <c r="E826" s="11">
        <v>887.49</v>
      </c>
      <c r="F826" s="12">
        <v>436.7</v>
      </c>
      <c r="G826" s="11">
        <v>887.49</v>
      </c>
      <c r="H826" s="12">
        <v>457.4</v>
      </c>
      <c r="I826" s="11">
        <v>887.49</v>
      </c>
      <c r="J826" s="12">
        <v>543.6</v>
      </c>
      <c r="K826" s="11">
        <v>887.49</v>
      </c>
      <c r="L826" s="12">
        <v>554.6</v>
      </c>
      <c r="M826" s="11">
        <v>887.49</v>
      </c>
      <c r="N826" s="13">
        <v>389</v>
      </c>
      <c r="O826" s="13">
        <v>461.7</v>
      </c>
      <c r="P826" s="13">
        <v>436.7</v>
      </c>
      <c r="Q826" s="11">
        <v>457.4</v>
      </c>
      <c r="R826" s="11">
        <v>543.6</v>
      </c>
      <c r="S826" s="14">
        <v>554.6</v>
      </c>
      <c r="T826" s="11">
        <v>887.49</v>
      </c>
      <c r="U826" s="13">
        <f>IF('0.0%'!$N826&lt;$Z$3,0, '0.0%'!$O826/'0.0%'!$N826)</f>
        <v>1.1868894601542417</v>
      </c>
      <c r="V826" s="13">
        <f>IF('0.0%'!$N826&lt;$Z$3,0, '0.0%'!$P826/'0.0%'!$N826)</f>
        <v>1.1226221079691516</v>
      </c>
      <c r="W826" s="13">
        <f>IF('0.0%'!$N826&lt;$Z$3,0, '0.0%'!$Q826/'0.0%'!$N826)</f>
        <v>1.1758354755784062</v>
      </c>
      <c r="X826" s="13">
        <f>IF('0.0%'!$N826&lt;$Z$3,0, '0.0%'!$R826/'0.0%'!$N826)</f>
        <v>1.3974293059125964</v>
      </c>
      <c r="Y826" s="13">
        <f>IF('0.0%'!$N826&lt;$Z$3,0, '0.0%'!$S826/'0.0%'!$N826)</f>
        <v>1.4257069408740362</v>
      </c>
    </row>
    <row r="827" spans="1:25" x14ac:dyDescent="0.3">
      <c r="A827" s="17">
        <v>888.49</v>
      </c>
      <c r="B827" s="10">
        <v>388.5</v>
      </c>
      <c r="C827" s="9">
        <v>888.49</v>
      </c>
      <c r="D827" s="10">
        <v>462.8</v>
      </c>
      <c r="E827" s="11">
        <v>888.49</v>
      </c>
      <c r="F827" s="12">
        <v>436.8</v>
      </c>
      <c r="G827" s="11">
        <v>888.49</v>
      </c>
      <c r="H827" s="12">
        <v>457.6</v>
      </c>
      <c r="I827" s="11">
        <v>888.49</v>
      </c>
      <c r="J827" s="12">
        <v>543.29999999999995</v>
      </c>
      <c r="K827" s="11">
        <v>888.49</v>
      </c>
      <c r="L827" s="12">
        <v>554.9</v>
      </c>
      <c r="M827" s="11">
        <v>888.49</v>
      </c>
      <c r="N827" s="13">
        <v>388.5</v>
      </c>
      <c r="O827" s="13">
        <v>462.8</v>
      </c>
      <c r="P827" s="13">
        <v>436.8</v>
      </c>
      <c r="Q827" s="11">
        <v>457.6</v>
      </c>
      <c r="R827" s="11">
        <v>543.29999999999995</v>
      </c>
      <c r="S827" s="14">
        <v>554.9</v>
      </c>
      <c r="T827" s="11">
        <v>888.49</v>
      </c>
      <c r="U827" s="13">
        <f>IF('0.0%'!$N827&lt;$Z$3,0, '0.0%'!$O827/'0.0%'!$N827)</f>
        <v>1.1912483912483913</v>
      </c>
      <c r="V827" s="13">
        <f>IF('0.0%'!$N827&lt;$Z$3,0, '0.0%'!$P827/'0.0%'!$N827)</f>
        <v>1.1243243243243244</v>
      </c>
      <c r="W827" s="13">
        <f>IF('0.0%'!$N827&lt;$Z$3,0, '0.0%'!$Q827/'0.0%'!$N827)</f>
        <v>1.177863577863578</v>
      </c>
      <c r="X827" s="13">
        <f>IF('0.0%'!$N827&lt;$Z$3,0, '0.0%'!$R827/'0.0%'!$N827)</f>
        <v>1.3984555984555984</v>
      </c>
      <c r="Y827" s="13">
        <f>IF('0.0%'!$N827&lt;$Z$3,0, '0.0%'!$S827/'0.0%'!$N827)</f>
        <v>1.4283140283140283</v>
      </c>
    </row>
    <row r="828" spans="1:25" x14ac:dyDescent="0.3">
      <c r="A828" s="17">
        <v>889.48</v>
      </c>
      <c r="B828" s="10">
        <v>389.9</v>
      </c>
      <c r="C828" s="9">
        <v>889.48</v>
      </c>
      <c r="D828" s="10">
        <v>465.9</v>
      </c>
      <c r="E828" s="11">
        <v>889.48</v>
      </c>
      <c r="F828" s="12">
        <v>438.9</v>
      </c>
      <c r="G828" s="11">
        <v>889.48</v>
      </c>
      <c r="H828" s="12">
        <v>460</v>
      </c>
      <c r="I828" s="11">
        <v>889.48</v>
      </c>
      <c r="J828" s="12">
        <v>545.9</v>
      </c>
      <c r="K828" s="11">
        <v>889.48</v>
      </c>
      <c r="L828" s="12">
        <v>558</v>
      </c>
      <c r="M828" s="11">
        <v>889.48</v>
      </c>
      <c r="N828" s="13">
        <v>389.9</v>
      </c>
      <c r="O828" s="13">
        <v>465.9</v>
      </c>
      <c r="P828" s="13">
        <v>438.9</v>
      </c>
      <c r="Q828" s="11">
        <v>460</v>
      </c>
      <c r="R828" s="11">
        <v>545.9</v>
      </c>
      <c r="S828" s="14">
        <v>558</v>
      </c>
      <c r="T828" s="11">
        <v>889.48</v>
      </c>
      <c r="U828" s="13">
        <f>IF('0.0%'!$N828&lt;$Z$3,0, '0.0%'!$O828/'0.0%'!$N828)</f>
        <v>1.1949217748140548</v>
      </c>
      <c r="V828" s="13">
        <f>IF('0.0%'!$N828&lt;$Z$3,0, '0.0%'!$P828/'0.0%'!$N828)</f>
        <v>1.125673249551167</v>
      </c>
      <c r="W828" s="13">
        <f>IF('0.0%'!$N828&lt;$Z$3,0, '0.0%'!$Q828/'0.0%'!$N828)</f>
        <v>1.1797896896640165</v>
      </c>
      <c r="X828" s="13">
        <f>IF('0.0%'!$N828&lt;$Z$3,0, '0.0%'!$R828/'0.0%'!$N828)</f>
        <v>1.4001025904077968</v>
      </c>
      <c r="Y828" s="13">
        <f>IF('0.0%'!$N828&lt;$Z$3,0, '0.0%'!$S828/'0.0%'!$N828)</f>
        <v>1.4311361887663505</v>
      </c>
    </row>
    <row r="829" spans="1:25" x14ac:dyDescent="0.3">
      <c r="A829" s="17">
        <v>890.47</v>
      </c>
      <c r="B829" s="10">
        <v>393.1</v>
      </c>
      <c r="C829" s="9">
        <v>890.47</v>
      </c>
      <c r="D829" s="10">
        <v>470.9</v>
      </c>
      <c r="E829" s="11">
        <v>890.47</v>
      </c>
      <c r="F829" s="12">
        <v>443</v>
      </c>
      <c r="G829" s="11">
        <v>890.47</v>
      </c>
      <c r="H829" s="12">
        <v>464.4</v>
      </c>
      <c r="I829" s="11">
        <v>890.47</v>
      </c>
      <c r="J829" s="12">
        <v>551.5</v>
      </c>
      <c r="K829" s="11">
        <v>890.47</v>
      </c>
      <c r="L829" s="12">
        <v>564</v>
      </c>
      <c r="M829" s="11">
        <v>890.47</v>
      </c>
      <c r="N829" s="13">
        <v>393.1</v>
      </c>
      <c r="O829" s="13">
        <v>470.9</v>
      </c>
      <c r="P829" s="13">
        <v>443</v>
      </c>
      <c r="Q829" s="11">
        <v>464.4</v>
      </c>
      <c r="R829" s="11">
        <v>551.5</v>
      </c>
      <c r="S829" s="14">
        <v>564</v>
      </c>
      <c r="T829" s="11">
        <v>890.47</v>
      </c>
      <c r="U829" s="13">
        <f>IF('0.0%'!$N829&lt;$Z$3,0, '0.0%'!$O829/'0.0%'!$N829)</f>
        <v>1.1979140167896207</v>
      </c>
      <c r="V829" s="13">
        <f>IF('0.0%'!$N829&lt;$Z$3,0, '0.0%'!$P829/'0.0%'!$N829)</f>
        <v>1.1269397099974561</v>
      </c>
      <c r="W829" s="13">
        <f>IF('0.0%'!$N829&lt;$Z$3,0, '0.0%'!$Q829/'0.0%'!$N829)</f>
        <v>1.1813787840244212</v>
      </c>
      <c r="X829" s="13">
        <f>IF('0.0%'!$N829&lt;$Z$3,0, '0.0%'!$R829/'0.0%'!$N829)</f>
        <v>1.4029509030780971</v>
      </c>
      <c r="Y829" s="13">
        <f>IF('0.0%'!$N829&lt;$Z$3,0, '0.0%'!$S829/'0.0%'!$N829)</f>
        <v>1.434749427626558</v>
      </c>
    </row>
    <row r="830" spans="1:25" x14ac:dyDescent="0.3">
      <c r="A830" s="17">
        <v>891.46</v>
      </c>
      <c r="B830" s="10">
        <v>397.4</v>
      </c>
      <c r="C830" s="9">
        <v>891.46</v>
      </c>
      <c r="D830" s="10">
        <v>477.2</v>
      </c>
      <c r="E830" s="11">
        <v>891.46</v>
      </c>
      <c r="F830" s="12">
        <v>448.3</v>
      </c>
      <c r="G830" s="11">
        <v>891.46</v>
      </c>
      <c r="H830" s="12">
        <v>470.1</v>
      </c>
      <c r="I830" s="11">
        <v>891.46</v>
      </c>
      <c r="J830" s="12">
        <v>559</v>
      </c>
      <c r="K830" s="11">
        <v>891.46</v>
      </c>
      <c r="L830" s="12">
        <v>571.79999999999995</v>
      </c>
      <c r="M830" s="11">
        <v>891.46</v>
      </c>
      <c r="N830" s="13">
        <v>397.4</v>
      </c>
      <c r="O830" s="13">
        <v>477.2</v>
      </c>
      <c r="P830" s="13">
        <v>448.3</v>
      </c>
      <c r="Q830" s="11">
        <v>470.1</v>
      </c>
      <c r="R830" s="11">
        <v>559</v>
      </c>
      <c r="S830" s="14">
        <v>571.79999999999995</v>
      </c>
      <c r="T830" s="11">
        <v>891.46</v>
      </c>
      <c r="U830" s="13">
        <f>IF('0.0%'!$N830&lt;$Z$3,0, '0.0%'!$O830/'0.0%'!$N830)</f>
        <v>1.2008052340211375</v>
      </c>
      <c r="V830" s="13">
        <f>IF('0.0%'!$N830&lt;$Z$3,0, '0.0%'!$P830/'0.0%'!$N830)</f>
        <v>1.1280825364871667</v>
      </c>
      <c r="W830" s="13">
        <f>IF('0.0%'!$N830&lt;$Z$3,0, '0.0%'!$Q830/'0.0%'!$N830)</f>
        <v>1.1829391041771515</v>
      </c>
      <c r="X830" s="13">
        <f>IF('0.0%'!$N830&lt;$Z$3,0, '0.0%'!$R830/'0.0%'!$N830)</f>
        <v>1.4066431806743835</v>
      </c>
      <c r="Y830" s="13">
        <f>IF('0.0%'!$N830&lt;$Z$3,0, '0.0%'!$S830/'0.0%'!$N830)</f>
        <v>1.4388525415198792</v>
      </c>
    </row>
    <row r="831" spans="1:25" x14ac:dyDescent="0.3">
      <c r="A831" s="17">
        <v>892.45</v>
      </c>
      <c r="B831" s="10">
        <v>402.9</v>
      </c>
      <c r="C831" s="9">
        <v>892.45</v>
      </c>
      <c r="D831" s="10">
        <v>485</v>
      </c>
      <c r="E831" s="11">
        <v>892.45</v>
      </c>
      <c r="F831" s="12">
        <v>454.9</v>
      </c>
      <c r="G831" s="11">
        <v>892.45</v>
      </c>
      <c r="H831" s="12">
        <v>477.1</v>
      </c>
      <c r="I831" s="11">
        <v>892.45</v>
      </c>
      <c r="J831" s="12">
        <v>568.6</v>
      </c>
      <c r="K831" s="11">
        <v>892.45</v>
      </c>
      <c r="L831" s="12">
        <v>581.70000000000005</v>
      </c>
      <c r="M831" s="11">
        <v>892.45</v>
      </c>
      <c r="N831" s="13">
        <v>402.9</v>
      </c>
      <c r="O831" s="13">
        <v>485</v>
      </c>
      <c r="P831" s="13">
        <v>454.9</v>
      </c>
      <c r="Q831" s="11">
        <v>477.1</v>
      </c>
      <c r="R831" s="11">
        <v>568.6</v>
      </c>
      <c r="S831" s="14">
        <v>581.70000000000005</v>
      </c>
      <c r="T831" s="11">
        <v>892.45</v>
      </c>
      <c r="U831" s="13">
        <f>IF('0.0%'!$N831&lt;$Z$3,0, '0.0%'!$O831/'0.0%'!$N831)</f>
        <v>1.2037726482998263</v>
      </c>
      <c r="V831" s="13">
        <f>IF('0.0%'!$N831&lt;$Z$3,0, '0.0%'!$P831/'0.0%'!$N831)</f>
        <v>1.1290642839414247</v>
      </c>
      <c r="W831" s="13">
        <f>IF('0.0%'!$N831&lt;$Z$3,0, '0.0%'!$Q831/'0.0%'!$N831)</f>
        <v>1.1841648051625715</v>
      </c>
      <c r="X831" s="13">
        <f>IF('0.0%'!$N831&lt;$Z$3,0, '0.0%'!$R831/'0.0%'!$N831)</f>
        <v>1.4112683047902708</v>
      </c>
      <c r="Y831" s="13">
        <f>IF('0.0%'!$N831&lt;$Z$3,0, '0.0%'!$S831/'0.0%'!$N831)</f>
        <v>1.4437825763216681</v>
      </c>
    </row>
    <row r="832" spans="1:25" x14ac:dyDescent="0.3">
      <c r="A832" s="17">
        <v>893.45</v>
      </c>
      <c r="B832" s="10">
        <v>409.3</v>
      </c>
      <c r="C832" s="9">
        <v>893.45</v>
      </c>
      <c r="D832" s="10">
        <v>493.7</v>
      </c>
      <c r="E832" s="11">
        <v>893.45</v>
      </c>
      <c r="F832" s="12">
        <v>462.5</v>
      </c>
      <c r="G832" s="11">
        <v>893.45</v>
      </c>
      <c r="H832" s="12">
        <v>485.3</v>
      </c>
      <c r="I832" s="11">
        <v>893.45</v>
      </c>
      <c r="J832" s="12">
        <v>579.5</v>
      </c>
      <c r="K832" s="11">
        <v>893.45</v>
      </c>
      <c r="L832" s="12">
        <v>592.79999999999995</v>
      </c>
      <c r="M832" s="11">
        <v>893.45</v>
      </c>
      <c r="N832" s="13">
        <v>409.3</v>
      </c>
      <c r="O832" s="13">
        <v>493.7</v>
      </c>
      <c r="P832" s="13">
        <v>462.5</v>
      </c>
      <c r="Q832" s="11">
        <v>485.3</v>
      </c>
      <c r="R832" s="11">
        <v>579.5</v>
      </c>
      <c r="S832" s="14">
        <v>592.79999999999995</v>
      </c>
      <c r="T832" s="11">
        <v>893.45</v>
      </c>
      <c r="U832" s="13">
        <f>IF('0.0%'!$N832&lt;$Z$3,0, '0.0%'!$O832/'0.0%'!$N832)</f>
        <v>1.2062057170779379</v>
      </c>
      <c r="V832" s="13">
        <f>IF('0.0%'!$N832&lt;$Z$3,0, '0.0%'!$P832/'0.0%'!$N832)</f>
        <v>1.1299780112387001</v>
      </c>
      <c r="W832" s="13">
        <f>IF('0.0%'!$N832&lt;$Z$3,0, '0.0%'!$Q832/'0.0%'!$N832)</f>
        <v>1.1856828731981433</v>
      </c>
      <c r="X832" s="13">
        <f>IF('0.0%'!$N832&lt;$Z$3,0, '0.0%'!$R832/'0.0%'!$N832)</f>
        <v>1.4158319081358417</v>
      </c>
      <c r="Y832" s="13">
        <f>IF('0.0%'!$N832&lt;$Z$3,0, '0.0%'!$S832/'0.0%'!$N832)</f>
        <v>1.4483264109455165</v>
      </c>
    </row>
    <row r="833" spans="1:25" x14ac:dyDescent="0.3">
      <c r="A833" s="17">
        <v>894.44</v>
      </c>
      <c r="B833" s="10">
        <v>416.8</v>
      </c>
      <c r="C833" s="9">
        <v>894.44</v>
      </c>
      <c r="D833" s="10">
        <v>503.7</v>
      </c>
      <c r="E833" s="11">
        <v>894.44</v>
      </c>
      <c r="F833" s="12">
        <v>471.2</v>
      </c>
      <c r="G833" s="11">
        <v>894.44</v>
      </c>
      <c r="H833" s="12">
        <v>494.6</v>
      </c>
      <c r="I833" s="11">
        <v>894.44</v>
      </c>
      <c r="J833" s="12">
        <v>592.20000000000005</v>
      </c>
      <c r="K833" s="11">
        <v>894.44</v>
      </c>
      <c r="L833" s="12">
        <v>605.79999999999995</v>
      </c>
      <c r="M833" s="11">
        <v>894.44</v>
      </c>
      <c r="N833" s="13">
        <v>416.8</v>
      </c>
      <c r="O833" s="13">
        <v>503.7</v>
      </c>
      <c r="P833" s="13">
        <v>471.2</v>
      </c>
      <c r="Q833" s="11">
        <v>494.6</v>
      </c>
      <c r="R833" s="11">
        <v>592.20000000000005</v>
      </c>
      <c r="S833" s="14">
        <v>605.79999999999995</v>
      </c>
      <c r="T833" s="11">
        <v>894.44</v>
      </c>
      <c r="U833" s="13">
        <f>IF('0.0%'!$N833&lt;$Z$3,0, '0.0%'!$O833/'0.0%'!$N833)</f>
        <v>1.2084932821497121</v>
      </c>
      <c r="V833" s="13">
        <f>IF('0.0%'!$N833&lt;$Z$3,0, '0.0%'!$P833/'0.0%'!$N833)</f>
        <v>1.130518234165067</v>
      </c>
      <c r="W833" s="13">
        <f>IF('0.0%'!$N833&lt;$Z$3,0, '0.0%'!$Q833/'0.0%'!$N833)</f>
        <v>1.1866602687140115</v>
      </c>
      <c r="X833" s="13">
        <f>IF('0.0%'!$N833&lt;$Z$3,0, '0.0%'!$R833/'0.0%'!$N833)</f>
        <v>1.4208253358925145</v>
      </c>
      <c r="Y833" s="13">
        <f>IF('0.0%'!$N833&lt;$Z$3,0, '0.0%'!$S833/'0.0%'!$N833)</f>
        <v>1.4534548944337811</v>
      </c>
    </row>
    <row r="834" spans="1:25" x14ac:dyDescent="0.3">
      <c r="A834" s="17">
        <v>895.43</v>
      </c>
      <c r="B834" s="10">
        <v>425</v>
      </c>
      <c r="C834" s="9">
        <v>895.43</v>
      </c>
      <c r="D834" s="10">
        <v>514.5</v>
      </c>
      <c r="E834" s="11">
        <v>895.43</v>
      </c>
      <c r="F834" s="12">
        <v>480.6</v>
      </c>
      <c r="G834" s="11">
        <v>895.43</v>
      </c>
      <c r="H834" s="12">
        <v>504.7</v>
      </c>
      <c r="I834" s="11">
        <v>895.43</v>
      </c>
      <c r="J834" s="12">
        <v>605.9</v>
      </c>
      <c r="K834" s="11">
        <v>895.43</v>
      </c>
      <c r="L834" s="12">
        <v>619.79999999999995</v>
      </c>
      <c r="M834" s="11">
        <v>895.43</v>
      </c>
      <c r="N834" s="13">
        <v>425</v>
      </c>
      <c r="O834" s="13">
        <v>514.5</v>
      </c>
      <c r="P834" s="13">
        <v>480.6</v>
      </c>
      <c r="Q834" s="11">
        <v>504.7</v>
      </c>
      <c r="R834" s="11">
        <v>605.9</v>
      </c>
      <c r="S834" s="14">
        <v>619.79999999999995</v>
      </c>
      <c r="T834" s="11">
        <v>895.43</v>
      </c>
      <c r="U834" s="13">
        <f>IF('0.0%'!$N834&lt;$Z$3,0, '0.0%'!$O834/'0.0%'!$N834)</f>
        <v>1.2105882352941177</v>
      </c>
      <c r="V834" s="13">
        <f>IF('0.0%'!$N834&lt;$Z$3,0, '0.0%'!$P834/'0.0%'!$N834)</f>
        <v>1.1308235294117648</v>
      </c>
      <c r="W834" s="13">
        <f>IF('0.0%'!$N834&lt;$Z$3,0, '0.0%'!$Q834/'0.0%'!$N834)</f>
        <v>1.1875294117647059</v>
      </c>
      <c r="X834" s="13">
        <f>IF('0.0%'!$N834&lt;$Z$3,0, '0.0%'!$R834/'0.0%'!$N834)</f>
        <v>1.4256470588235293</v>
      </c>
      <c r="Y834" s="13">
        <f>IF('0.0%'!$N834&lt;$Z$3,0, '0.0%'!$S834/'0.0%'!$N834)</f>
        <v>1.4583529411764704</v>
      </c>
    </row>
    <row r="835" spans="1:25" x14ac:dyDescent="0.3">
      <c r="A835" s="17">
        <v>896.42</v>
      </c>
      <c r="B835" s="10">
        <v>433.9</v>
      </c>
      <c r="C835" s="9">
        <v>896.42</v>
      </c>
      <c r="D835" s="10">
        <v>526.29999999999995</v>
      </c>
      <c r="E835" s="11">
        <v>896.42</v>
      </c>
      <c r="F835" s="12">
        <v>490.8</v>
      </c>
      <c r="G835" s="11">
        <v>896.42</v>
      </c>
      <c r="H835" s="12">
        <v>515.9</v>
      </c>
      <c r="I835" s="11">
        <v>896.42</v>
      </c>
      <c r="J835" s="12">
        <v>621</v>
      </c>
      <c r="K835" s="11">
        <v>896.42</v>
      </c>
      <c r="L835" s="12">
        <v>635.6</v>
      </c>
      <c r="M835" s="11">
        <v>896.42</v>
      </c>
      <c r="N835" s="13">
        <v>433.9</v>
      </c>
      <c r="O835" s="13">
        <v>526.29999999999995</v>
      </c>
      <c r="P835" s="13">
        <v>490.8</v>
      </c>
      <c r="Q835" s="11">
        <v>515.9</v>
      </c>
      <c r="R835" s="11">
        <v>621</v>
      </c>
      <c r="S835" s="14">
        <v>635.6</v>
      </c>
      <c r="T835" s="11">
        <v>896.42</v>
      </c>
      <c r="U835" s="13">
        <f>IF('0.0%'!$N835&lt;$Z$3,0, '0.0%'!$O835/'0.0%'!$N835)</f>
        <v>1.2129522931551049</v>
      </c>
      <c r="V835" s="13">
        <f>IF('0.0%'!$N835&lt;$Z$3,0, '0.0%'!$P835/'0.0%'!$N835)</f>
        <v>1.1311362064991934</v>
      </c>
      <c r="W835" s="13">
        <f>IF('0.0%'!$N835&lt;$Z$3,0, '0.0%'!$Q835/'0.0%'!$N835)</f>
        <v>1.1889836367826687</v>
      </c>
      <c r="X835" s="13">
        <f>IF('0.0%'!$N835&lt;$Z$3,0, '0.0%'!$R835/'0.0%'!$N835)</f>
        <v>1.4312053468541139</v>
      </c>
      <c r="Y835" s="13">
        <f>IF('0.0%'!$N835&lt;$Z$3,0, '0.0%'!$S835/'0.0%'!$N835)</f>
        <v>1.4648536529154184</v>
      </c>
    </row>
    <row r="836" spans="1:25" x14ac:dyDescent="0.3">
      <c r="A836" s="17">
        <v>897.41</v>
      </c>
      <c r="B836" s="10">
        <v>443.4</v>
      </c>
      <c r="C836" s="9">
        <v>897.41</v>
      </c>
      <c r="D836" s="10">
        <v>538.70000000000005</v>
      </c>
      <c r="E836" s="11">
        <v>897.41</v>
      </c>
      <c r="F836" s="12">
        <v>501.5</v>
      </c>
      <c r="G836" s="11">
        <v>897.41</v>
      </c>
      <c r="H836" s="12">
        <v>527.5</v>
      </c>
      <c r="I836" s="11">
        <v>897.41</v>
      </c>
      <c r="J836" s="12">
        <v>636.9</v>
      </c>
      <c r="K836" s="11">
        <v>897.41</v>
      </c>
      <c r="L836" s="12">
        <v>652.1</v>
      </c>
      <c r="M836" s="11">
        <v>897.41</v>
      </c>
      <c r="N836" s="13">
        <v>443.4</v>
      </c>
      <c r="O836" s="13">
        <v>538.70000000000005</v>
      </c>
      <c r="P836" s="13">
        <v>501.5</v>
      </c>
      <c r="Q836" s="11">
        <v>527.5</v>
      </c>
      <c r="R836" s="11">
        <v>636.9</v>
      </c>
      <c r="S836" s="14">
        <v>652.1</v>
      </c>
      <c r="T836" s="11">
        <v>897.41</v>
      </c>
      <c r="U836" s="13">
        <f>IF('0.0%'!$N836&lt;$Z$3,0, '0.0%'!$O836/'0.0%'!$N836)</f>
        <v>1.2149300857013985</v>
      </c>
      <c r="V836" s="13">
        <f>IF('0.0%'!$N836&lt;$Z$3,0, '0.0%'!$P836/'0.0%'!$N836)</f>
        <v>1.1310329273793416</v>
      </c>
      <c r="W836" s="13">
        <f>IF('0.0%'!$N836&lt;$Z$3,0, '0.0%'!$Q836/'0.0%'!$N836)</f>
        <v>1.1896707262065855</v>
      </c>
      <c r="X836" s="13">
        <f>IF('0.0%'!$N836&lt;$Z$3,0, '0.0%'!$R836/'0.0%'!$N836)</f>
        <v>1.4364005412719891</v>
      </c>
      <c r="Y836" s="13">
        <f>IF('0.0%'!$N836&lt;$Z$3,0, '0.0%'!$S836/'0.0%'!$N836)</f>
        <v>1.470681100586378</v>
      </c>
    </row>
    <row r="837" spans="1:25" x14ac:dyDescent="0.3">
      <c r="A837" s="17">
        <v>898.4</v>
      </c>
      <c r="B837" s="10">
        <v>453.6</v>
      </c>
      <c r="C837" s="9">
        <v>898.4</v>
      </c>
      <c r="D837" s="10">
        <v>552.1</v>
      </c>
      <c r="E837" s="11">
        <v>898.4</v>
      </c>
      <c r="F837" s="12">
        <v>513.20000000000005</v>
      </c>
      <c r="G837" s="11">
        <v>898.4</v>
      </c>
      <c r="H837" s="12">
        <v>540</v>
      </c>
      <c r="I837" s="11">
        <v>898.4</v>
      </c>
      <c r="J837" s="12">
        <v>654.1</v>
      </c>
      <c r="K837" s="11">
        <v>898.4</v>
      </c>
      <c r="L837" s="12">
        <v>670.2</v>
      </c>
      <c r="M837" s="11">
        <v>898.4</v>
      </c>
      <c r="N837" s="13">
        <v>453.6</v>
      </c>
      <c r="O837" s="13">
        <v>552.1</v>
      </c>
      <c r="P837" s="13">
        <v>513.20000000000005</v>
      </c>
      <c r="Q837" s="11">
        <v>540</v>
      </c>
      <c r="R837" s="11">
        <v>654.1</v>
      </c>
      <c r="S837" s="14">
        <v>670.2</v>
      </c>
      <c r="T837" s="11">
        <v>898.4</v>
      </c>
      <c r="U837" s="13">
        <f>IF('0.0%'!$N837&lt;$Z$3,0, '0.0%'!$O837/'0.0%'!$N837)</f>
        <v>1.2171516754850089</v>
      </c>
      <c r="V837" s="13">
        <f>IF('0.0%'!$N837&lt;$Z$3,0, '0.0%'!$P837/'0.0%'!$N837)</f>
        <v>1.1313932980599648</v>
      </c>
      <c r="W837" s="13">
        <f>IF('0.0%'!$N837&lt;$Z$3,0, '0.0%'!$Q837/'0.0%'!$N837)</f>
        <v>1.1904761904761905</v>
      </c>
      <c r="X837" s="13">
        <f>IF('0.0%'!$N837&lt;$Z$3,0, '0.0%'!$R837/'0.0%'!$N837)</f>
        <v>1.4420194003527336</v>
      </c>
      <c r="Y837" s="13">
        <f>IF('0.0%'!$N837&lt;$Z$3,0, '0.0%'!$S837/'0.0%'!$N837)</f>
        <v>1.4775132275132274</v>
      </c>
    </row>
    <row r="838" spans="1:25" x14ac:dyDescent="0.3">
      <c r="A838" s="17">
        <v>899.4</v>
      </c>
      <c r="B838" s="10">
        <v>462.8</v>
      </c>
      <c r="C838" s="9">
        <v>899.4</v>
      </c>
      <c r="D838" s="10">
        <v>564.20000000000005</v>
      </c>
      <c r="E838" s="11">
        <v>899.4</v>
      </c>
      <c r="F838" s="12">
        <v>523.6</v>
      </c>
      <c r="G838" s="11">
        <v>899.4</v>
      </c>
      <c r="H838" s="12">
        <v>551.1</v>
      </c>
      <c r="I838" s="11">
        <v>899.4</v>
      </c>
      <c r="J838" s="12">
        <v>669.7</v>
      </c>
      <c r="K838" s="11">
        <v>899.4</v>
      </c>
      <c r="L838" s="12">
        <v>686.6</v>
      </c>
      <c r="M838" s="11">
        <v>899.4</v>
      </c>
      <c r="N838" s="13">
        <v>462.8</v>
      </c>
      <c r="O838" s="13">
        <v>564.20000000000005</v>
      </c>
      <c r="P838" s="13">
        <v>523.6</v>
      </c>
      <c r="Q838" s="11">
        <v>551.1</v>
      </c>
      <c r="R838" s="11">
        <v>669.7</v>
      </c>
      <c r="S838" s="14">
        <v>686.6</v>
      </c>
      <c r="T838" s="11">
        <v>899.4</v>
      </c>
      <c r="U838" s="13">
        <f>IF('0.0%'!$N838&lt;$Z$3,0, '0.0%'!$O838/'0.0%'!$N838)</f>
        <v>1.2191011235955056</v>
      </c>
      <c r="V838" s="13">
        <f>IF('0.0%'!$N838&lt;$Z$3,0, '0.0%'!$P838/'0.0%'!$N838)</f>
        <v>1.1313742437337944</v>
      </c>
      <c r="W838" s="13">
        <f>IF('0.0%'!$N838&lt;$Z$3,0, '0.0%'!$Q838/'0.0%'!$N838)</f>
        <v>1.1907951598962836</v>
      </c>
      <c r="X838" s="13">
        <f>IF('0.0%'!$N838&lt;$Z$3,0, '0.0%'!$R838/'0.0%'!$N838)</f>
        <v>1.4470613656006914</v>
      </c>
      <c r="Y838" s="13">
        <f>IF('0.0%'!$N838&lt;$Z$3,0, '0.0%'!$S838/'0.0%'!$N838)</f>
        <v>1.4835782195332756</v>
      </c>
    </row>
    <row r="839" spans="1:25" x14ac:dyDescent="0.3">
      <c r="A839" s="17">
        <v>900.39</v>
      </c>
      <c r="B839" s="10">
        <v>473.8</v>
      </c>
      <c r="C839" s="9">
        <v>900.39</v>
      </c>
      <c r="D839" s="10">
        <v>578.6</v>
      </c>
      <c r="E839" s="11">
        <v>900.39</v>
      </c>
      <c r="F839" s="12">
        <v>536</v>
      </c>
      <c r="G839" s="11">
        <v>900.39</v>
      </c>
      <c r="H839" s="12">
        <v>564.4</v>
      </c>
      <c r="I839" s="11">
        <v>900.39</v>
      </c>
      <c r="J839" s="12">
        <v>688.2</v>
      </c>
      <c r="K839" s="11">
        <v>900.39</v>
      </c>
      <c r="L839" s="12">
        <v>706.2</v>
      </c>
      <c r="M839" s="11">
        <v>900.39</v>
      </c>
      <c r="N839" s="13">
        <v>473.8</v>
      </c>
      <c r="O839" s="13">
        <v>578.6</v>
      </c>
      <c r="P839" s="13">
        <v>536</v>
      </c>
      <c r="Q839" s="11">
        <v>564.4</v>
      </c>
      <c r="R839" s="11">
        <v>688.2</v>
      </c>
      <c r="S839" s="14">
        <v>706.2</v>
      </c>
      <c r="T839" s="11">
        <v>900.39</v>
      </c>
      <c r="U839" s="13">
        <f>IF('0.0%'!$N839&lt;$Z$3,0, '0.0%'!$O839/'0.0%'!$N839)</f>
        <v>1.2211903756859435</v>
      </c>
      <c r="V839" s="13">
        <f>IF('0.0%'!$N839&lt;$Z$3,0, '0.0%'!$P839/'0.0%'!$N839)</f>
        <v>1.1312790206838328</v>
      </c>
      <c r="W839" s="13">
        <f>IF('0.0%'!$N839&lt;$Z$3,0, '0.0%'!$Q839/'0.0%'!$N839)</f>
        <v>1.1912199240185732</v>
      </c>
      <c r="X839" s="13">
        <f>IF('0.0%'!$N839&lt;$Z$3,0, '0.0%'!$R839/'0.0%'!$N839)</f>
        <v>1.4525116082735332</v>
      </c>
      <c r="Y839" s="13">
        <f>IF('0.0%'!$N839&lt;$Z$3,0, '0.0%'!$S839/'0.0%'!$N839)</f>
        <v>1.4905023216547066</v>
      </c>
    </row>
    <row r="840" spans="1:25" x14ac:dyDescent="0.3">
      <c r="A840" s="17">
        <v>901.38</v>
      </c>
      <c r="B840" s="10">
        <v>485.6</v>
      </c>
      <c r="C840" s="9">
        <v>901.38</v>
      </c>
      <c r="D840" s="10">
        <v>594.4</v>
      </c>
      <c r="E840" s="11">
        <v>901.38</v>
      </c>
      <c r="F840" s="12">
        <v>549.5</v>
      </c>
      <c r="G840" s="11">
        <v>901.38</v>
      </c>
      <c r="H840" s="12">
        <v>578.79999999999995</v>
      </c>
      <c r="I840" s="11">
        <v>901.38</v>
      </c>
      <c r="J840" s="12">
        <v>708.5</v>
      </c>
      <c r="K840" s="11">
        <v>901.38</v>
      </c>
      <c r="L840" s="12">
        <v>727.7</v>
      </c>
      <c r="M840" s="11">
        <v>901.38</v>
      </c>
      <c r="N840" s="13">
        <v>485.6</v>
      </c>
      <c r="O840" s="13">
        <v>594.4</v>
      </c>
      <c r="P840" s="13">
        <v>549.5</v>
      </c>
      <c r="Q840" s="11">
        <v>578.79999999999995</v>
      </c>
      <c r="R840" s="11">
        <v>708.5</v>
      </c>
      <c r="S840" s="14">
        <v>727.7</v>
      </c>
      <c r="T840" s="11">
        <v>901.38</v>
      </c>
      <c r="U840" s="13">
        <f>IF('0.0%'!$N840&lt;$Z$3,0, '0.0%'!$O840/'0.0%'!$N840)</f>
        <v>1.2240527182866556</v>
      </c>
      <c r="V840" s="13">
        <f>IF('0.0%'!$N840&lt;$Z$3,0, '0.0%'!$P840/'0.0%'!$N840)</f>
        <v>1.1315897858319603</v>
      </c>
      <c r="W840" s="13">
        <f>IF('0.0%'!$N840&lt;$Z$3,0, '0.0%'!$Q840/'0.0%'!$N840)</f>
        <v>1.1919275123558484</v>
      </c>
      <c r="X840" s="13">
        <f>IF('0.0%'!$N840&lt;$Z$3,0, '0.0%'!$R840/'0.0%'!$N840)</f>
        <v>1.4590197693574958</v>
      </c>
      <c r="Y840" s="13">
        <f>IF('0.0%'!$N840&lt;$Z$3,0, '0.0%'!$S840/'0.0%'!$N840)</f>
        <v>1.4985584843492588</v>
      </c>
    </row>
    <row r="841" spans="1:25" x14ac:dyDescent="0.3">
      <c r="A841" s="17">
        <v>902.37</v>
      </c>
      <c r="B841" s="10">
        <v>497.7</v>
      </c>
      <c r="C841" s="9">
        <v>902.37</v>
      </c>
      <c r="D841" s="10">
        <v>610.5</v>
      </c>
      <c r="E841" s="11">
        <v>902.37</v>
      </c>
      <c r="F841" s="12">
        <v>563.29999999999995</v>
      </c>
      <c r="G841" s="11">
        <v>902.37</v>
      </c>
      <c r="H841" s="12">
        <v>593.4</v>
      </c>
      <c r="I841" s="11">
        <v>902.37</v>
      </c>
      <c r="J841" s="12">
        <v>729.4</v>
      </c>
      <c r="K841" s="11">
        <v>902.37</v>
      </c>
      <c r="L841" s="12">
        <v>750.1</v>
      </c>
      <c r="M841" s="11">
        <v>902.37</v>
      </c>
      <c r="N841" s="13">
        <v>497.7</v>
      </c>
      <c r="O841" s="13">
        <v>610.5</v>
      </c>
      <c r="P841" s="13">
        <v>563.29999999999995</v>
      </c>
      <c r="Q841" s="11">
        <v>593.4</v>
      </c>
      <c r="R841" s="11">
        <v>729.4</v>
      </c>
      <c r="S841" s="14">
        <v>750.1</v>
      </c>
      <c r="T841" s="11">
        <v>902.37</v>
      </c>
      <c r="U841" s="13">
        <f>IF('0.0%'!$N841&lt;$Z$3,0, '0.0%'!$O841/'0.0%'!$N841)</f>
        <v>1.2266425557564797</v>
      </c>
      <c r="V841" s="13">
        <f>IF('0.0%'!$N841&lt;$Z$3,0, '0.0%'!$P841/'0.0%'!$N841)</f>
        <v>1.1318063090214989</v>
      </c>
      <c r="W841" s="13">
        <f>IF('0.0%'!$N841&lt;$Z$3,0, '0.0%'!$Q841/'0.0%'!$N841)</f>
        <v>1.192284508740205</v>
      </c>
      <c r="X841" s="13">
        <f>IF('0.0%'!$N841&lt;$Z$3,0, '0.0%'!$R841/'0.0%'!$N841)</f>
        <v>1.4655414908579465</v>
      </c>
      <c r="Y841" s="13">
        <f>IF('0.0%'!$N841&lt;$Z$3,0, '0.0%'!$S841/'0.0%'!$N841)</f>
        <v>1.5071328109302793</v>
      </c>
    </row>
    <row r="842" spans="1:25" x14ac:dyDescent="0.3">
      <c r="A842" s="17">
        <v>903.36</v>
      </c>
      <c r="B842" s="10">
        <v>510.7</v>
      </c>
      <c r="C842" s="9">
        <v>903.36</v>
      </c>
      <c r="D842" s="10">
        <v>628</v>
      </c>
      <c r="E842" s="11">
        <v>903.36</v>
      </c>
      <c r="F842" s="12">
        <v>578.20000000000005</v>
      </c>
      <c r="G842" s="11">
        <v>903.36</v>
      </c>
      <c r="H842" s="12">
        <v>609.1</v>
      </c>
      <c r="I842" s="11">
        <v>903.36</v>
      </c>
      <c r="J842" s="12">
        <v>752.2</v>
      </c>
      <c r="K842" s="11">
        <v>903.36</v>
      </c>
      <c r="L842" s="12">
        <v>774.5</v>
      </c>
      <c r="M842" s="11">
        <v>903.36</v>
      </c>
      <c r="N842" s="13">
        <v>510.7</v>
      </c>
      <c r="O842" s="13">
        <v>628</v>
      </c>
      <c r="P842" s="13">
        <v>578.20000000000005</v>
      </c>
      <c r="Q842" s="11">
        <v>609.1</v>
      </c>
      <c r="R842" s="11">
        <v>752.2</v>
      </c>
      <c r="S842" s="14">
        <v>774.5</v>
      </c>
      <c r="T842" s="11">
        <v>903.36</v>
      </c>
      <c r="U842" s="13">
        <f>IF('0.0%'!$N842&lt;$Z$3,0, '0.0%'!$O842/'0.0%'!$N842)</f>
        <v>1.2296847464264735</v>
      </c>
      <c r="V842" s="13">
        <f>IF('0.0%'!$N842&lt;$Z$3,0, '0.0%'!$P842/'0.0%'!$N842)</f>
        <v>1.1321715292735461</v>
      </c>
      <c r="W842" s="13">
        <f>IF('0.0%'!$N842&lt;$Z$3,0, '0.0%'!$Q842/'0.0%'!$N842)</f>
        <v>1.1926767182298805</v>
      </c>
      <c r="X842" s="13">
        <f>IF('0.0%'!$N842&lt;$Z$3,0, '0.0%'!$R842/'0.0%'!$N842)</f>
        <v>1.4728803602897984</v>
      </c>
      <c r="Y842" s="13">
        <f>IF('0.0%'!$N842&lt;$Z$3,0, '0.0%'!$S842/'0.0%'!$N842)</f>
        <v>1.516545917368318</v>
      </c>
    </row>
    <row r="843" spans="1:25" x14ac:dyDescent="0.3">
      <c r="A843" s="17">
        <v>904.35</v>
      </c>
      <c r="B843" s="10">
        <v>523.79999999999995</v>
      </c>
      <c r="C843" s="9">
        <v>904.35</v>
      </c>
      <c r="D843" s="10">
        <v>645.9</v>
      </c>
      <c r="E843" s="11">
        <v>904.35</v>
      </c>
      <c r="F843" s="12">
        <v>593.20000000000005</v>
      </c>
      <c r="G843" s="11">
        <v>904.35</v>
      </c>
      <c r="H843" s="12">
        <v>624.9</v>
      </c>
      <c r="I843" s="11">
        <v>904.35</v>
      </c>
      <c r="J843" s="12">
        <v>775.4</v>
      </c>
      <c r="K843" s="11">
        <v>904.35</v>
      </c>
      <c r="L843" s="12">
        <v>799.7</v>
      </c>
      <c r="M843" s="11">
        <v>904.35</v>
      </c>
      <c r="N843" s="13">
        <v>523.79999999999995</v>
      </c>
      <c r="O843" s="13">
        <v>645.9</v>
      </c>
      <c r="P843" s="13">
        <v>593.20000000000005</v>
      </c>
      <c r="Q843" s="11">
        <v>624.9</v>
      </c>
      <c r="R843" s="11">
        <v>775.4</v>
      </c>
      <c r="S843" s="14">
        <v>799.7</v>
      </c>
      <c r="T843" s="11">
        <v>904.35</v>
      </c>
      <c r="U843" s="13">
        <f>IF('0.0%'!$N843&lt;$Z$3,0, '0.0%'!$O843/'0.0%'!$N843)</f>
        <v>1.2331042382588775</v>
      </c>
      <c r="V843" s="13">
        <f>IF('0.0%'!$N843&lt;$Z$3,0, '0.0%'!$P843/'0.0%'!$N843)</f>
        <v>1.1324933180603285</v>
      </c>
      <c r="W843" s="13">
        <f>IF('0.0%'!$N843&lt;$Z$3,0, '0.0%'!$Q843/'0.0%'!$N843)</f>
        <v>1.1930126002290951</v>
      </c>
      <c r="X843" s="13">
        <f>IF('0.0%'!$N843&lt;$Z$3,0, '0.0%'!$R843/'0.0%'!$N843)</f>
        <v>1.4803360061092021</v>
      </c>
      <c r="Y843" s="13">
        <f>IF('0.0%'!$N843&lt;$Z$3,0, '0.0%'!$S843/'0.0%'!$N843)</f>
        <v>1.5267277586865218</v>
      </c>
    </row>
    <row r="844" spans="1:25" x14ac:dyDescent="0.3">
      <c r="A844" s="17">
        <v>905.35</v>
      </c>
      <c r="B844" s="10">
        <v>537.70000000000005</v>
      </c>
      <c r="C844" s="9">
        <v>905.35</v>
      </c>
      <c r="D844" s="10">
        <v>664.8</v>
      </c>
      <c r="E844" s="11">
        <v>905.35</v>
      </c>
      <c r="F844" s="12">
        <v>609.1</v>
      </c>
      <c r="G844" s="11">
        <v>905.35</v>
      </c>
      <c r="H844" s="12">
        <v>641.70000000000005</v>
      </c>
      <c r="I844" s="11">
        <v>905.35</v>
      </c>
      <c r="J844" s="12">
        <v>800.1</v>
      </c>
      <c r="K844" s="11">
        <v>905.35</v>
      </c>
      <c r="L844" s="12">
        <v>826.5</v>
      </c>
      <c r="M844" s="11">
        <v>905.35</v>
      </c>
      <c r="N844" s="13">
        <v>537.70000000000005</v>
      </c>
      <c r="O844" s="13">
        <v>664.8</v>
      </c>
      <c r="P844" s="13">
        <v>609.1</v>
      </c>
      <c r="Q844" s="11">
        <v>641.70000000000005</v>
      </c>
      <c r="R844" s="11">
        <v>800.1</v>
      </c>
      <c r="S844" s="14">
        <v>826.5</v>
      </c>
      <c r="T844" s="11">
        <v>905.35</v>
      </c>
      <c r="U844" s="13">
        <f>IF('0.0%'!$N844&lt;$Z$3,0, '0.0%'!$O844/'0.0%'!$N844)</f>
        <v>1.2363771619862376</v>
      </c>
      <c r="V844" s="13">
        <f>IF('0.0%'!$N844&lt;$Z$3,0, '0.0%'!$P844/'0.0%'!$N844)</f>
        <v>1.1327877998884135</v>
      </c>
      <c r="W844" s="13">
        <f>IF('0.0%'!$N844&lt;$Z$3,0, '0.0%'!$Q844/'0.0%'!$N844)</f>
        <v>1.1934164031988097</v>
      </c>
      <c r="X844" s="13">
        <f>IF('0.0%'!$N844&lt;$Z$3,0, '0.0%'!$R844/'0.0%'!$N844)</f>
        <v>1.4880044634554583</v>
      </c>
      <c r="Y844" s="13">
        <f>IF('0.0%'!$N844&lt;$Z$3,0, '0.0%'!$S844/'0.0%'!$N844)</f>
        <v>1.537102473498233</v>
      </c>
    </row>
    <row r="845" spans="1:25" x14ac:dyDescent="0.3">
      <c r="A845" s="17">
        <v>906.34</v>
      </c>
      <c r="B845" s="10">
        <v>551.6</v>
      </c>
      <c r="C845" s="9">
        <v>906.34</v>
      </c>
      <c r="D845" s="10">
        <v>683.9</v>
      </c>
      <c r="E845" s="11">
        <v>906.34</v>
      </c>
      <c r="F845" s="12">
        <v>624.70000000000005</v>
      </c>
      <c r="G845" s="11">
        <v>906.34</v>
      </c>
      <c r="H845" s="12">
        <v>658.4</v>
      </c>
      <c r="I845" s="11">
        <v>906.34</v>
      </c>
      <c r="J845" s="12">
        <v>825.1</v>
      </c>
      <c r="K845" s="11">
        <v>906.34</v>
      </c>
      <c r="L845" s="12">
        <v>853.9</v>
      </c>
      <c r="M845" s="11">
        <v>906.34</v>
      </c>
      <c r="N845" s="13">
        <v>551.6</v>
      </c>
      <c r="O845" s="13">
        <v>683.9</v>
      </c>
      <c r="P845" s="13">
        <v>624.70000000000005</v>
      </c>
      <c r="Q845" s="11">
        <v>658.4</v>
      </c>
      <c r="R845" s="11">
        <v>825.1</v>
      </c>
      <c r="S845" s="14">
        <v>853.9</v>
      </c>
      <c r="T845" s="11">
        <v>906.34</v>
      </c>
      <c r="U845" s="13">
        <f>IF('0.0%'!$N845&lt;$Z$3,0, '0.0%'!$O845/'0.0%'!$N845)</f>
        <v>1.2398477157360406</v>
      </c>
      <c r="V845" s="13">
        <f>IF('0.0%'!$N845&lt;$Z$3,0, '0.0%'!$P845/'0.0%'!$N845)</f>
        <v>1.1325235678027556</v>
      </c>
      <c r="W845" s="13">
        <f>IF('0.0%'!$N845&lt;$Z$3,0, '0.0%'!$Q845/'0.0%'!$N845)</f>
        <v>1.1936185641769397</v>
      </c>
      <c r="X845" s="13">
        <f>IF('0.0%'!$N845&lt;$Z$3,0, '0.0%'!$R845/'0.0%'!$N845)</f>
        <v>1.4958303118201595</v>
      </c>
      <c r="Y845" s="13">
        <f>IF('0.0%'!$N845&lt;$Z$3,0, '0.0%'!$S845/'0.0%'!$N845)</f>
        <v>1.5480420594633792</v>
      </c>
    </row>
    <row r="846" spans="1:25" x14ac:dyDescent="0.3">
      <c r="A846" s="17">
        <v>907.33</v>
      </c>
      <c r="B846" s="10">
        <v>566.29999999999995</v>
      </c>
      <c r="C846" s="9">
        <v>907.33</v>
      </c>
      <c r="D846" s="10">
        <v>704.5</v>
      </c>
      <c r="E846" s="11">
        <v>907.33</v>
      </c>
      <c r="F846" s="12">
        <v>641.29999999999995</v>
      </c>
      <c r="G846" s="11">
        <v>907.33</v>
      </c>
      <c r="H846" s="12">
        <v>676.2</v>
      </c>
      <c r="I846" s="11">
        <v>907.33</v>
      </c>
      <c r="J846" s="12">
        <v>851.6</v>
      </c>
      <c r="K846" s="11">
        <v>907.33</v>
      </c>
      <c r="L846" s="12">
        <v>882.9</v>
      </c>
      <c r="M846" s="11">
        <v>907.33</v>
      </c>
      <c r="N846" s="13">
        <v>566.29999999999995</v>
      </c>
      <c r="O846" s="13">
        <v>704.5</v>
      </c>
      <c r="P846" s="13">
        <v>641.29999999999995</v>
      </c>
      <c r="Q846" s="11">
        <v>676.2</v>
      </c>
      <c r="R846" s="11">
        <v>851.6</v>
      </c>
      <c r="S846" s="14">
        <v>882.9</v>
      </c>
      <c r="T846" s="11">
        <v>907.33</v>
      </c>
      <c r="U846" s="13">
        <f>IF('0.0%'!$N846&lt;$Z$3,0, '0.0%'!$O846/'0.0%'!$N846)</f>
        <v>1.2440402613455765</v>
      </c>
      <c r="V846" s="13">
        <f>IF('0.0%'!$N846&lt;$Z$3,0, '0.0%'!$P846/'0.0%'!$N846)</f>
        <v>1.1324386367649655</v>
      </c>
      <c r="W846" s="13">
        <f>IF('0.0%'!$N846&lt;$Z$3,0, '0.0%'!$Q846/'0.0%'!$N846)</f>
        <v>1.1940667490729298</v>
      </c>
      <c r="X846" s="13">
        <f>IF('0.0%'!$N846&lt;$Z$3,0, '0.0%'!$R846/'0.0%'!$N846)</f>
        <v>1.5037965742539292</v>
      </c>
      <c r="Y846" s="13">
        <f>IF('0.0%'!$N846&lt;$Z$3,0, '0.0%'!$S846/'0.0%'!$N846)</f>
        <v>1.5590676319971748</v>
      </c>
    </row>
    <row r="847" spans="1:25" x14ac:dyDescent="0.3">
      <c r="A847" s="17">
        <v>908.32</v>
      </c>
      <c r="B847" s="10">
        <v>580.79999999999995</v>
      </c>
      <c r="C847" s="9">
        <v>908.32</v>
      </c>
      <c r="D847" s="10">
        <v>725.3</v>
      </c>
      <c r="E847" s="11">
        <v>908.32</v>
      </c>
      <c r="F847" s="12">
        <v>657.4</v>
      </c>
      <c r="G847" s="11">
        <v>908.32</v>
      </c>
      <c r="H847" s="12">
        <v>693.7</v>
      </c>
      <c r="I847" s="11">
        <v>908.32</v>
      </c>
      <c r="J847" s="12">
        <v>878</v>
      </c>
      <c r="K847" s="11">
        <v>908.32</v>
      </c>
      <c r="L847" s="12">
        <v>912.3</v>
      </c>
      <c r="M847" s="11">
        <v>908.32</v>
      </c>
      <c r="N847" s="13">
        <v>580.79999999999995</v>
      </c>
      <c r="O847" s="13">
        <v>725.3</v>
      </c>
      <c r="P847" s="13">
        <v>657.4</v>
      </c>
      <c r="Q847" s="11">
        <v>693.7</v>
      </c>
      <c r="R847" s="11">
        <v>878</v>
      </c>
      <c r="S847" s="14">
        <v>912.3</v>
      </c>
      <c r="T847" s="11">
        <v>908.32</v>
      </c>
      <c r="U847" s="13">
        <f>IF('0.0%'!$N847&lt;$Z$3,0, '0.0%'!$O847/'0.0%'!$N847)</f>
        <v>1.2487947658402203</v>
      </c>
      <c r="V847" s="13">
        <f>IF('0.0%'!$N847&lt;$Z$3,0, '0.0%'!$P847/'0.0%'!$N847)</f>
        <v>1.1318870523415978</v>
      </c>
      <c r="W847" s="13">
        <f>IF('0.0%'!$N847&lt;$Z$3,0, '0.0%'!$Q847/'0.0%'!$N847)</f>
        <v>1.194387052341598</v>
      </c>
      <c r="X847" s="13">
        <f>IF('0.0%'!$N847&lt;$Z$3,0, '0.0%'!$R847/'0.0%'!$N847)</f>
        <v>1.5117079889807163</v>
      </c>
      <c r="Y847" s="13">
        <f>IF('0.0%'!$N847&lt;$Z$3,0, '0.0%'!$S847/'0.0%'!$N847)</f>
        <v>1.5707644628099173</v>
      </c>
    </row>
    <row r="848" spans="1:25" x14ac:dyDescent="0.3">
      <c r="A848" s="17">
        <v>909.31</v>
      </c>
      <c r="B848" s="10">
        <v>596.1</v>
      </c>
      <c r="C848" s="9">
        <v>909.31</v>
      </c>
      <c r="D848" s="10">
        <v>747.5</v>
      </c>
      <c r="E848" s="11">
        <v>909.31</v>
      </c>
      <c r="F848" s="12">
        <v>674.5</v>
      </c>
      <c r="G848" s="11">
        <v>909.31</v>
      </c>
      <c r="H848" s="12">
        <v>712.2</v>
      </c>
      <c r="I848" s="11">
        <v>909.31</v>
      </c>
      <c r="J848" s="12">
        <v>905.8</v>
      </c>
      <c r="K848" s="11">
        <v>909.31</v>
      </c>
      <c r="L848" s="12">
        <v>943.1</v>
      </c>
      <c r="M848" s="11">
        <v>909.31</v>
      </c>
      <c r="N848" s="13">
        <v>596.1</v>
      </c>
      <c r="O848" s="13">
        <v>747.5</v>
      </c>
      <c r="P848" s="13">
        <v>674.5</v>
      </c>
      <c r="Q848" s="11">
        <v>712.2</v>
      </c>
      <c r="R848" s="11">
        <v>905.8</v>
      </c>
      <c r="S848" s="14">
        <v>943.1</v>
      </c>
      <c r="T848" s="11">
        <v>909.31</v>
      </c>
      <c r="U848" s="13">
        <f>IF('0.0%'!$N848&lt;$Z$3,0, '0.0%'!$O848/'0.0%'!$N848)</f>
        <v>1.2539842308337528</v>
      </c>
      <c r="V848" s="13">
        <f>IF('0.0%'!$N848&lt;$Z$3,0, '0.0%'!$P848/'0.0%'!$N848)</f>
        <v>1.1315215567857742</v>
      </c>
      <c r="W848" s="13">
        <f>IF('0.0%'!$N848&lt;$Z$3,0, '0.0%'!$Q848/'0.0%'!$N848)</f>
        <v>1.194765978862607</v>
      </c>
      <c r="X848" s="13">
        <f>IF('0.0%'!$N848&lt;$Z$3,0, '0.0%'!$R848/'0.0%'!$N848)</f>
        <v>1.5195437007213553</v>
      </c>
      <c r="Y848" s="13">
        <f>IF('0.0%'!$N848&lt;$Z$3,0, '0.0%'!$S848/'0.0%'!$N848)</f>
        <v>1.5821170944472405</v>
      </c>
    </row>
    <row r="849" spans="1:25" x14ac:dyDescent="0.3">
      <c r="A849" s="17">
        <v>910.31</v>
      </c>
      <c r="B849" s="10">
        <v>611.1</v>
      </c>
      <c r="C849" s="9">
        <v>910.31</v>
      </c>
      <c r="D849" s="10">
        <v>769.9</v>
      </c>
      <c r="E849" s="11">
        <v>910.31</v>
      </c>
      <c r="F849" s="12">
        <v>691.1</v>
      </c>
      <c r="G849" s="11">
        <v>910.31</v>
      </c>
      <c r="H849" s="12">
        <v>730.5</v>
      </c>
      <c r="I849" s="11">
        <v>910.31</v>
      </c>
      <c r="J849" s="12">
        <v>933.6</v>
      </c>
      <c r="K849" s="11">
        <v>910.31</v>
      </c>
      <c r="L849" s="12">
        <v>974</v>
      </c>
      <c r="M849" s="11">
        <v>910.31</v>
      </c>
      <c r="N849" s="13">
        <v>611.1</v>
      </c>
      <c r="O849" s="13">
        <v>769.9</v>
      </c>
      <c r="P849" s="13">
        <v>691.1</v>
      </c>
      <c r="Q849" s="11">
        <v>730.5</v>
      </c>
      <c r="R849" s="11">
        <v>933.6</v>
      </c>
      <c r="S849" s="14">
        <v>974</v>
      </c>
      <c r="T849" s="11">
        <v>910.31</v>
      </c>
      <c r="U849" s="13">
        <f>IF('0.0%'!$N849&lt;$Z$3,0, '0.0%'!$O849/'0.0%'!$N849)</f>
        <v>1.2598592701685485</v>
      </c>
      <c r="V849" s="13">
        <f>IF('0.0%'!$N849&lt;$Z$3,0, '0.0%'!$P849/'0.0%'!$N849)</f>
        <v>1.1309114711176567</v>
      </c>
      <c r="W849" s="13">
        <f>IF('0.0%'!$N849&lt;$Z$3,0, '0.0%'!$Q849/'0.0%'!$N849)</f>
        <v>1.1953853706431026</v>
      </c>
      <c r="X849" s="13">
        <f>IF('0.0%'!$N849&lt;$Z$3,0, '0.0%'!$R849/'0.0%'!$N849)</f>
        <v>1.5277368679430534</v>
      </c>
      <c r="Y849" s="13">
        <f>IF('0.0%'!$N849&lt;$Z$3,0, '0.0%'!$S849/'0.0%'!$N849)</f>
        <v>1.59384716085747</v>
      </c>
    </row>
    <row r="850" spans="1:25" x14ac:dyDescent="0.3">
      <c r="A850" s="17">
        <v>911.3</v>
      </c>
      <c r="B850" s="10">
        <v>627.1</v>
      </c>
      <c r="C850" s="9">
        <v>911.3</v>
      </c>
      <c r="D850" s="10">
        <v>793.9</v>
      </c>
      <c r="E850" s="11">
        <v>911.3</v>
      </c>
      <c r="F850" s="12">
        <v>708.7</v>
      </c>
      <c r="G850" s="11">
        <v>911.3</v>
      </c>
      <c r="H850" s="12">
        <v>749.9</v>
      </c>
      <c r="I850" s="11">
        <v>911.3</v>
      </c>
      <c r="J850" s="12">
        <v>962.8</v>
      </c>
      <c r="K850" s="11">
        <v>911.3</v>
      </c>
      <c r="L850" s="12">
        <v>1006.3</v>
      </c>
      <c r="M850" s="11">
        <v>911.3</v>
      </c>
      <c r="N850" s="13">
        <v>627.1</v>
      </c>
      <c r="O850" s="13">
        <v>793.9</v>
      </c>
      <c r="P850" s="13">
        <v>708.7</v>
      </c>
      <c r="Q850" s="11">
        <v>749.9</v>
      </c>
      <c r="R850" s="11">
        <v>962.8</v>
      </c>
      <c r="S850" s="14">
        <v>1006.3</v>
      </c>
      <c r="T850" s="11">
        <v>911.3</v>
      </c>
      <c r="U850" s="13">
        <f>IF('0.0%'!$N850&lt;$Z$3,0, '0.0%'!$O850/'0.0%'!$N850)</f>
        <v>1.2659862860787752</v>
      </c>
      <c r="V850" s="13">
        <f>IF('0.0%'!$N850&lt;$Z$3,0, '0.0%'!$P850/'0.0%'!$N850)</f>
        <v>1.130122787434221</v>
      </c>
      <c r="W850" s="13">
        <f>IF('0.0%'!$N850&lt;$Z$3,0, '0.0%'!$Q850/'0.0%'!$N850)</f>
        <v>1.1958220379524795</v>
      </c>
      <c r="X850" s="13">
        <f>IF('0.0%'!$N850&lt;$Z$3,0, '0.0%'!$R850/'0.0%'!$N850)</f>
        <v>1.5353213203635783</v>
      </c>
      <c r="Y850" s="13">
        <f>IF('0.0%'!$N850&lt;$Z$3,0, '0.0%'!$S850/'0.0%'!$N850)</f>
        <v>1.6046882474884387</v>
      </c>
    </row>
    <row r="851" spans="1:25" x14ac:dyDescent="0.3">
      <c r="A851" s="17">
        <v>912.29</v>
      </c>
      <c r="B851" s="10">
        <v>642.70000000000005</v>
      </c>
      <c r="C851" s="9">
        <v>912.29</v>
      </c>
      <c r="D851" s="10">
        <v>818.1</v>
      </c>
      <c r="E851" s="11">
        <v>912.29</v>
      </c>
      <c r="F851" s="12">
        <v>725.8</v>
      </c>
      <c r="G851" s="11">
        <v>912.29</v>
      </c>
      <c r="H851" s="12">
        <v>769</v>
      </c>
      <c r="I851" s="11">
        <v>912.29</v>
      </c>
      <c r="J851" s="12">
        <v>992.1</v>
      </c>
      <c r="K851" s="11">
        <v>912.29</v>
      </c>
      <c r="L851" s="12">
        <v>1038.5999999999999</v>
      </c>
      <c r="M851" s="11">
        <v>912.29</v>
      </c>
      <c r="N851" s="13">
        <v>642.70000000000005</v>
      </c>
      <c r="O851" s="13">
        <v>818.1</v>
      </c>
      <c r="P851" s="13">
        <v>725.8</v>
      </c>
      <c r="Q851" s="11">
        <v>769</v>
      </c>
      <c r="R851" s="11">
        <v>992.1</v>
      </c>
      <c r="S851" s="14">
        <v>1038.5999999999999</v>
      </c>
      <c r="T851" s="11">
        <v>912.29</v>
      </c>
      <c r="U851" s="13">
        <f>IF('0.0%'!$N851&lt;$Z$3,0, '0.0%'!$O851/'0.0%'!$N851)</f>
        <v>1.2729111560603703</v>
      </c>
      <c r="V851" s="13">
        <f>IF('0.0%'!$N851&lt;$Z$3,0, '0.0%'!$P851/'0.0%'!$N851)</f>
        <v>1.1292982729111558</v>
      </c>
      <c r="W851" s="13">
        <f>IF('0.0%'!$N851&lt;$Z$3,0, '0.0%'!$Q851/'0.0%'!$N851)</f>
        <v>1.1965147035942119</v>
      </c>
      <c r="X851" s="13">
        <f>IF('0.0%'!$N851&lt;$Z$3,0, '0.0%'!$R851/'0.0%'!$N851)</f>
        <v>1.5436440018671229</v>
      </c>
      <c r="Y851" s="13">
        <f>IF('0.0%'!$N851&lt;$Z$3,0, '0.0%'!$S851/'0.0%'!$N851)</f>
        <v>1.6159950210051344</v>
      </c>
    </row>
    <row r="852" spans="1:25" x14ac:dyDescent="0.3">
      <c r="A852" s="17">
        <v>913.28</v>
      </c>
      <c r="B852" s="10">
        <v>659.4</v>
      </c>
      <c r="C852" s="9">
        <v>913.28</v>
      </c>
      <c r="D852" s="10">
        <v>844.1</v>
      </c>
      <c r="E852" s="11">
        <v>913.28</v>
      </c>
      <c r="F852" s="12">
        <v>744.1</v>
      </c>
      <c r="G852" s="11">
        <v>913.28</v>
      </c>
      <c r="H852" s="12">
        <v>789.6</v>
      </c>
      <c r="I852" s="11">
        <v>913.28</v>
      </c>
      <c r="J852" s="12">
        <v>1022.7</v>
      </c>
      <c r="K852" s="11">
        <v>913.28</v>
      </c>
      <c r="L852" s="12">
        <v>1072.3</v>
      </c>
      <c r="M852" s="11">
        <v>913.28</v>
      </c>
      <c r="N852" s="13">
        <v>659.4</v>
      </c>
      <c r="O852" s="13">
        <v>844.1</v>
      </c>
      <c r="P852" s="13">
        <v>744.1</v>
      </c>
      <c r="Q852" s="11">
        <v>789.6</v>
      </c>
      <c r="R852" s="11">
        <v>1022.7</v>
      </c>
      <c r="S852" s="14">
        <v>1072.3</v>
      </c>
      <c r="T852" s="11">
        <v>913.28</v>
      </c>
      <c r="U852" s="13">
        <f>IF('0.0%'!$N852&lt;$Z$3,0, '0.0%'!$O852/'0.0%'!$N852)</f>
        <v>1.2801031240521688</v>
      </c>
      <c r="V852" s="13">
        <f>IF('0.0%'!$N852&lt;$Z$3,0, '0.0%'!$P852/'0.0%'!$N852)</f>
        <v>1.1284501061571126</v>
      </c>
      <c r="W852" s="13">
        <f>IF('0.0%'!$N852&lt;$Z$3,0, '0.0%'!$Q852/'0.0%'!$N852)</f>
        <v>1.1974522292993632</v>
      </c>
      <c r="X852" s="13">
        <f>IF('0.0%'!$N852&lt;$Z$3,0, '0.0%'!$R852/'0.0%'!$N852)</f>
        <v>1.5509554140127391</v>
      </c>
      <c r="Y852" s="13">
        <f>IF('0.0%'!$N852&lt;$Z$3,0, '0.0%'!$S852/'0.0%'!$N852)</f>
        <v>1.6261753108886867</v>
      </c>
    </row>
    <row r="853" spans="1:25" x14ac:dyDescent="0.3">
      <c r="A853" s="17">
        <v>914.27</v>
      </c>
      <c r="B853" s="10">
        <v>675.8</v>
      </c>
      <c r="C853" s="9">
        <v>914.27</v>
      </c>
      <c r="D853" s="10">
        <v>870.3</v>
      </c>
      <c r="E853" s="11">
        <v>914.27</v>
      </c>
      <c r="F853" s="12">
        <v>762</v>
      </c>
      <c r="G853" s="11">
        <v>914.27</v>
      </c>
      <c r="H853" s="12">
        <v>809.8</v>
      </c>
      <c r="I853" s="11">
        <v>914.27</v>
      </c>
      <c r="J853" s="12">
        <v>1052.9000000000001</v>
      </c>
      <c r="K853" s="11">
        <v>914.27</v>
      </c>
      <c r="L853" s="12">
        <v>1105.7</v>
      </c>
      <c r="M853" s="11">
        <v>914.27</v>
      </c>
      <c r="N853" s="13">
        <v>675.8</v>
      </c>
      <c r="O853" s="13">
        <v>870.3</v>
      </c>
      <c r="P853" s="13">
        <v>762</v>
      </c>
      <c r="Q853" s="11">
        <v>809.8</v>
      </c>
      <c r="R853" s="11">
        <v>1052.9000000000001</v>
      </c>
      <c r="S853" s="14">
        <v>1105.7</v>
      </c>
      <c r="T853" s="11">
        <v>914.27</v>
      </c>
      <c r="U853" s="13">
        <f>IF('0.0%'!$N853&lt;$Z$3,0, '0.0%'!$O853/'0.0%'!$N853)</f>
        <v>1.2878070435039952</v>
      </c>
      <c r="V853" s="13">
        <f>IF('0.0%'!$N853&lt;$Z$3,0, '0.0%'!$P853/'0.0%'!$N853)</f>
        <v>1.1275525303344185</v>
      </c>
      <c r="W853" s="13">
        <f>IF('0.0%'!$N853&lt;$Z$3,0, '0.0%'!$Q853/'0.0%'!$N853)</f>
        <v>1.1982835158330867</v>
      </c>
      <c r="X853" s="13">
        <f>IF('0.0%'!$N853&lt;$Z$3,0, '0.0%'!$R853/'0.0%'!$N853)</f>
        <v>1.5580053270198286</v>
      </c>
      <c r="Y853" s="13">
        <f>IF('0.0%'!$N853&lt;$Z$3,0, '0.0%'!$S853/'0.0%'!$N853)</f>
        <v>1.6361349511689851</v>
      </c>
    </row>
    <row r="854" spans="1:25" x14ac:dyDescent="0.3">
      <c r="A854" s="17">
        <v>915.26</v>
      </c>
      <c r="B854" s="10">
        <v>693.5</v>
      </c>
      <c r="C854" s="9">
        <v>915.26</v>
      </c>
      <c r="D854" s="10">
        <v>898.3</v>
      </c>
      <c r="E854" s="11">
        <v>915.26</v>
      </c>
      <c r="F854" s="12">
        <v>781.4</v>
      </c>
      <c r="G854" s="11">
        <v>915.26</v>
      </c>
      <c r="H854" s="12">
        <v>831.5</v>
      </c>
      <c r="I854" s="11">
        <v>915.26</v>
      </c>
      <c r="J854" s="12">
        <v>1084.0999999999999</v>
      </c>
      <c r="K854" s="11">
        <v>915.26</v>
      </c>
      <c r="L854" s="12">
        <v>1140.0999999999999</v>
      </c>
      <c r="M854" s="11">
        <v>915.26</v>
      </c>
      <c r="N854" s="13">
        <v>693.5</v>
      </c>
      <c r="O854" s="13">
        <v>898.3</v>
      </c>
      <c r="P854" s="13">
        <v>781.4</v>
      </c>
      <c r="Q854" s="11">
        <v>831.5</v>
      </c>
      <c r="R854" s="11">
        <v>1084.0999999999999</v>
      </c>
      <c r="S854" s="14">
        <v>1140.0999999999999</v>
      </c>
      <c r="T854" s="11">
        <v>915.26</v>
      </c>
      <c r="U854" s="13">
        <f>IF('0.0%'!$N854&lt;$Z$3,0, '0.0%'!$O854/'0.0%'!$N854)</f>
        <v>1.2953136265320835</v>
      </c>
      <c r="V854" s="13">
        <f>IF('0.0%'!$N854&lt;$Z$3,0, '0.0%'!$P854/'0.0%'!$N854)</f>
        <v>1.1267483777937994</v>
      </c>
      <c r="W854" s="13">
        <f>IF('0.0%'!$N854&lt;$Z$3,0, '0.0%'!$Q854/'0.0%'!$N854)</f>
        <v>1.1989906272530642</v>
      </c>
      <c r="X854" s="13">
        <f>IF('0.0%'!$N854&lt;$Z$3,0, '0.0%'!$R854/'0.0%'!$N854)</f>
        <v>1.5632299927901945</v>
      </c>
      <c r="Y854" s="13">
        <f>IF('0.0%'!$N854&lt;$Z$3,0, '0.0%'!$S854/'0.0%'!$N854)</f>
        <v>1.6439798125450611</v>
      </c>
    </row>
    <row r="855" spans="1:25" x14ac:dyDescent="0.3">
      <c r="A855" s="17">
        <v>916.26</v>
      </c>
      <c r="B855" s="10">
        <v>710.7</v>
      </c>
      <c r="C855" s="9">
        <v>916.26</v>
      </c>
      <c r="D855" s="10">
        <v>926.2</v>
      </c>
      <c r="E855" s="11">
        <v>916.26</v>
      </c>
      <c r="F855" s="12">
        <v>800.1</v>
      </c>
      <c r="G855" s="11">
        <v>916.26</v>
      </c>
      <c r="H855" s="12">
        <v>852.7</v>
      </c>
      <c r="I855" s="11">
        <v>916.26</v>
      </c>
      <c r="J855" s="12">
        <v>1114.7</v>
      </c>
      <c r="K855" s="11">
        <v>916.26</v>
      </c>
      <c r="L855" s="12">
        <v>1174</v>
      </c>
      <c r="M855" s="11">
        <v>916.26</v>
      </c>
      <c r="N855" s="13">
        <v>710.7</v>
      </c>
      <c r="O855" s="13">
        <v>926.2</v>
      </c>
      <c r="P855" s="13">
        <v>800.1</v>
      </c>
      <c r="Q855" s="11">
        <v>852.7</v>
      </c>
      <c r="R855" s="11">
        <v>1114.7</v>
      </c>
      <c r="S855" s="14">
        <v>1174</v>
      </c>
      <c r="T855" s="11">
        <v>916.26</v>
      </c>
      <c r="U855" s="13">
        <f>IF('0.0%'!$N855&lt;$Z$3,0, '0.0%'!$O855/'0.0%'!$N855)</f>
        <v>1.303222175320107</v>
      </c>
      <c r="V855" s="13">
        <f>IF('0.0%'!$N855&lt;$Z$3,0, '0.0%'!$P855/'0.0%'!$N855)</f>
        <v>1.125791473195441</v>
      </c>
      <c r="W855" s="13">
        <f>IF('0.0%'!$N855&lt;$Z$3,0, '0.0%'!$Q855/'0.0%'!$N855)</f>
        <v>1.1998030111158013</v>
      </c>
      <c r="X855" s="13">
        <f>IF('0.0%'!$N855&lt;$Z$3,0, '0.0%'!$R855/'0.0%'!$N855)</f>
        <v>1.5684536372590403</v>
      </c>
      <c r="Y855" s="13">
        <f>IF('0.0%'!$N855&lt;$Z$3,0, '0.0%'!$S855/'0.0%'!$N855)</f>
        <v>1.6518925003517657</v>
      </c>
    </row>
    <row r="856" spans="1:25" x14ac:dyDescent="0.3">
      <c r="A856" s="17">
        <v>917.25</v>
      </c>
      <c r="B856" s="10">
        <v>729.5</v>
      </c>
      <c r="C856" s="9">
        <v>917.25</v>
      </c>
      <c r="D856" s="10">
        <v>955.8</v>
      </c>
      <c r="E856" s="11">
        <v>917.25</v>
      </c>
      <c r="F856" s="12">
        <v>820.5</v>
      </c>
      <c r="G856" s="11">
        <v>917.25</v>
      </c>
      <c r="H856" s="12">
        <v>875.5</v>
      </c>
      <c r="I856" s="11">
        <v>917.25</v>
      </c>
      <c r="J856" s="12">
        <v>1146.3</v>
      </c>
      <c r="K856" s="11">
        <v>917.25</v>
      </c>
      <c r="L856" s="12">
        <v>1208.5999999999999</v>
      </c>
      <c r="M856" s="11">
        <v>917.25</v>
      </c>
      <c r="N856" s="13">
        <v>729.5</v>
      </c>
      <c r="O856" s="13">
        <v>955.8</v>
      </c>
      <c r="P856" s="13">
        <v>820.5</v>
      </c>
      <c r="Q856" s="11">
        <v>875.5</v>
      </c>
      <c r="R856" s="11">
        <v>1146.3</v>
      </c>
      <c r="S856" s="14">
        <v>1208.5999999999999</v>
      </c>
      <c r="T856" s="11">
        <v>917.25</v>
      </c>
      <c r="U856" s="13">
        <f>IF('0.0%'!$N856&lt;$Z$3,0, '0.0%'!$O856/'0.0%'!$N856)</f>
        <v>1.3102124742974639</v>
      </c>
      <c r="V856" s="13">
        <f>IF('0.0%'!$N856&lt;$Z$3,0, '0.0%'!$P856/'0.0%'!$N856)</f>
        <v>1.1247429746401645</v>
      </c>
      <c r="W856" s="13">
        <f>IF('0.0%'!$N856&lt;$Z$3,0, '0.0%'!$Q856/'0.0%'!$N856)</f>
        <v>1.2001370801919122</v>
      </c>
      <c r="X856" s="13">
        <f>IF('0.0%'!$N856&lt;$Z$3,0, '0.0%'!$R856/'0.0%'!$N856)</f>
        <v>1.5713502398903358</v>
      </c>
      <c r="Y856" s="13">
        <f>IF('0.0%'!$N856&lt;$Z$3,0, '0.0%'!$S856/'0.0%'!$N856)</f>
        <v>1.656751199451679</v>
      </c>
    </row>
    <row r="857" spans="1:25" x14ac:dyDescent="0.3">
      <c r="A857" s="17">
        <v>918.24</v>
      </c>
      <c r="B857" s="10">
        <v>747.7</v>
      </c>
      <c r="C857" s="9">
        <v>918.24</v>
      </c>
      <c r="D857" s="10">
        <v>985</v>
      </c>
      <c r="E857" s="11">
        <v>918.24</v>
      </c>
      <c r="F857" s="12">
        <v>840.4</v>
      </c>
      <c r="G857" s="11">
        <v>918.24</v>
      </c>
      <c r="H857" s="12">
        <v>897.9</v>
      </c>
      <c r="I857" s="11">
        <v>918.24</v>
      </c>
      <c r="J857" s="12">
        <v>1176.9000000000001</v>
      </c>
      <c r="K857" s="11">
        <v>918.24</v>
      </c>
      <c r="L857" s="12">
        <v>1242.4000000000001</v>
      </c>
      <c r="M857" s="11">
        <v>918.24</v>
      </c>
      <c r="N857" s="13">
        <v>747.7</v>
      </c>
      <c r="O857" s="13">
        <v>985</v>
      </c>
      <c r="P857" s="13">
        <v>840.4</v>
      </c>
      <c r="Q857" s="11">
        <v>897.9</v>
      </c>
      <c r="R857" s="11">
        <v>1176.9000000000001</v>
      </c>
      <c r="S857" s="14">
        <v>1242.4000000000001</v>
      </c>
      <c r="T857" s="11">
        <v>918.24</v>
      </c>
      <c r="U857" s="13">
        <f>IF('0.0%'!$N857&lt;$Z$3,0, '0.0%'!$O857/'0.0%'!$N857)</f>
        <v>1.3173732780526948</v>
      </c>
      <c r="V857" s="13">
        <f>IF('0.0%'!$N857&lt;$Z$3,0, '0.0%'!$P857/'0.0%'!$N857)</f>
        <v>1.1239802059649591</v>
      </c>
      <c r="W857" s="13">
        <f>IF('0.0%'!$N857&lt;$Z$3,0, '0.0%'!$Q857/'0.0%'!$N857)</f>
        <v>1.2008827069680352</v>
      </c>
      <c r="X857" s="13">
        <f>IF('0.0%'!$N857&lt;$Z$3,0, '0.0%'!$R857/'0.0%'!$N857)</f>
        <v>1.574027016182961</v>
      </c>
      <c r="Y857" s="13">
        <f>IF('0.0%'!$N857&lt;$Z$3,0, '0.0%'!$S857/'0.0%'!$N857)</f>
        <v>1.6616289955864652</v>
      </c>
    </row>
    <row r="858" spans="1:25" x14ac:dyDescent="0.3">
      <c r="A858" s="17">
        <v>919.23</v>
      </c>
      <c r="B858" s="10">
        <v>767.6</v>
      </c>
      <c r="C858" s="9">
        <v>919.23</v>
      </c>
      <c r="D858" s="10">
        <v>1015.4</v>
      </c>
      <c r="E858" s="11">
        <v>919.23</v>
      </c>
      <c r="F858" s="12">
        <v>862</v>
      </c>
      <c r="G858" s="11">
        <v>919.23</v>
      </c>
      <c r="H858" s="12">
        <v>921.8</v>
      </c>
      <c r="I858" s="11">
        <v>919.23</v>
      </c>
      <c r="J858" s="12">
        <v>1208.3</v>
      </c>
      <c r="K858" s="11">
        <v>919.23</v>
      </c>
      <c r="L858" s="12">
        <v>1276.7</v>
      </c>
      <c r="M858" s="11">
        <v>919.23</v>
      </c>
      <c r="N858" s="13">
        <v>767.6</v>
      </c>
      <c r="O858" s="13">
        <v>1015.4</v>
      </c>
      <c r="P858" s="13">
        <v>862</v>
      </c>
      <c r="Q858" s="11">
        <v>921.8</v>
      </c>
      <c r="R858" s="11">
        <v>1208.3</v>
      </c>
      <c r="S858" s="14">
        <v>1276.7</v>
      </c>
      <c r="T858" s="11">
        <v>919.23</v>
      </c>
      <c r="U858" s="13">
        <f>IF('0.0%'!$N858&lt;$Z$3,0, '0.0%'!$O858/'0.0%'!$N858)</f>
        <v>1.3228243877019281</v>
      </c>
      <c r="V858" s="13">
        <f>IF('0.0%'!$N858&lt;$Z$3,0, '0.0%'!$P858/'0.0%'!$N858)</f>
        <v>1.122980719124544</v>
      </c>
      <c r="W858" s="13">
        <f>IF('0.0%'!$N858&lt;$Z$3,0, '0.0%'!$Q858/'0.0%'!$N858)</f>
        <v>1.2008858780614902</v>
      </c>
      <c r="X858" s="13">
        <f>IF('0.0%'!$N858&lt;$Z$3,0, '0.0%'!$R858/'0.0%'!$N858)</f>
        <v>1.5741271495570608</v>
      </c>
      <c r="Y858" s="13">
        <f>IF('0.0%'!$N858&lt;$Z$3,0, '0.0%'!$S858/'0.0%'!$N858)</f>
        <v>1.66323606044815</v>
      </c>
    </row>
    <row r="859" spans="1:25" x14ac:dyDescent="0.3">
      <c r="A859" s="17">
        <v>920.22</v>
      </c>
      <c r="B859" s="10">
        <v>786.8</v>
      </c>
      <c r="C859" s="9">
        <v>920.22</v>
      </c>
      <c r="D859" s="10">
        <v>1044.9000000000001</v>
      </c>
      <c r="E859" s="11">
        <v>920.22</v>
      </c>
      <c r="F859" s="12">
        <v>882.6</v>
      </c>
      <c r="G859" s="11">
        <v>920.22</v>
      </c>
      <c r="H859" s="12">
        <v>944.8</v>
      </c>
      <c r="I859" s="11">
        <v>920.22</v>
      </c>
      <c r="J859" s="12">
        <v>1238.3</v>
      </c>
      <c r="K859" s="11">
        <v>920.22</v>
      </c>
      <c r="L859" s="12">
        <v>1309.8</v>
      </c>
      <c r="M859" s="11">
        <v>920.22</v>
      </c>
      <c r="N859" s="13">
        <v>786.8</v>
      </c>
      <c r="O859" s="13">
        <v>1044.9000000000001</v>
      </c>
      <c r="P859" s="13">
        <v>882.6</v>
      </c>
      <c r="Q859" s="11">
        <v>944.8</v>
      </c>
      <c r="R859" s="11">
        <v>1238.3</v>
      </c>
      <c r="S859" s="14">
        <v>1309.8</v>
      </c>
      <c r="T859" s="11">
        <v>920.22</v>
      </c>
      <c r="U859" s="13">
        <f>IF('0.0%'!$N859&lt;$Z$3,0, '0.0%'!$O859/'0.0%'!$N859)</f>
        <v>1.3280376207422473</v>
      </c>
      <c r="V859" s="13">
        <f>IF('0.0%'!$N859&lt;$Z$3,0, '0.0%'!$P859/'0.0%'!$N859)</f>
        <v>1.1217590238942554</v>
      </c>
      <c r="W859" s="13">
        <f>IF('0.0%'!$N859&lt;$Z$3,0, '0.0%'!$Q859/'0.0%'!$N859)</f>
        <v>1.2008134214539909</v>
      </c>
      <c r="X859" s="13">
        <f>IF('0.0%'!$N859&lt;$Z$3,0, '0.0%'!$R859/'0.0%'!$N859)</f>
        <v>1.5738434163701067</v>
      </c>
      <c r="Y859" s="13">
        <f>IF('0.0%'!$N859&lt;$Z$3,0, '0.0%'!$S859/'0.0%'!$N859)</f>
        <v>1.664717844433147</v>
      </c>
    </row>
    <row r="860" spans="1:25" x14ac:dyDescent="0.3">
      <c r="A860" s="17">
        <v>921.21</v>
      </c>
      <c r="B860" s="10">
        <v>807.5</v>
      </c>
      <c r="C860" s="9">
        <v>921.21</v>
      </c>
      <c r="D860" s="10">
        <v>1075.2</v>
      </c>
      <c r="E860" s="11">
        <v>921.21</v>
      </c>
      <c r="F860" s="12">
        <v>904.6</v>
      </c>
      <c r="G860" s="11">
        <v>921.21</v>
      </c>
      <c r="H860" s="12">
        <v>969</v>
      </c>
      <c r="I860" s="11">
        <v>921.21</v>
      </c>
      <c r="J860" s="12">
        <v>1268.5999999999999</v>
      </c>
      <c r="K860" s="11">
        <v>921.21</v>
      </c>
      <c r="L860" s="12">
        <v>1342.8</v>
      </c>
      <c r="M860" s="11">
        <v>921.21</v>
      </c>
      <c r="N860" s="13">
        <v>807.5</v>
      </c>
      <c r="O860" s="13">
        <v>1075.2</v>
      </c>
      <c r="P860" s="13">
        <v>904.6</v>
      </c>
      <c r="Q860" s="11">
        <v>969</v>
      </c>
      <c r="R860" s="11">
        <v>1268.5999999999999</v>
      </c>
      <c r="S860" s="14">
        <v>1342.8</v>
      </c>
      <c r="T860" s="11">
        <v>921.21</v>
      </c>
      <c r="U860" s="13">
        <f>IF('0.0%'!$N860&lt;$Z$3,0, '0.0%'!$O860/'0.0%'!$N860)</f>
        <v>1.3315170278637771</v>
      </c>
      <c r="V860" s="13">
        <f>IF('0.0%'!$N860&lt;$Z$3,0, '0.0%'!$P860/'0.0%'!$N860)</f>
        <v>1.1202476780185759</v>
      </c>
      <c r="W860" s="13">
        <f>IF('0.0%'!$N860&lt;$Z$3,0, '0.0%'!$Q860/'0.0%'!$N860)</f>
        <v>1.2</v>
      </c>
      <c r="X860" s="13">
        <f>IF('0.0%'!$N860&lt;$Z$3,0, '0.0%'!$R860/'0.0%'!$N860)</f>
        <v>1.5710216718266252</v>
      </c>
      <c r="Y860" s="13">
        <f>IF('0.0%'!$N860&lt;$Z$3,0, '0.0%'!$S860/'0.0%'!$N860)</f>
        <v>1.6629102167182661</v>
      </c>
    </row>
    <row r="861" spans="1:25" x14ac:dyDescent="0.3">
      <c r="A861" s="17">
        <v>922.21</v>
      </c>
      <c r="B861" s="10">
        <v>827.5</v>
      </c>
      <c r="C861" s="9">
        <v>922.21</v>
      </c>
      <c r="D861" s="10">
        <v>1104.5</v>
      </c>
      <c r="E861" s="11">
        <v>922.21</v>
      </c>
      <c r="F861" s="12">
        <v>925.5</v>
      </c>
      <c r="G861" s="11">
        <v>922.21</v>
      </c>
      <c r="H861" s="12">
        <v>992.1</v>
      </c>
      <c r="I861" s="11">
        <v>922.21</v>
      </c>
      <c r="J861" s="12">
        <v>1297.7</v>
      </c>
      <c r="K861" s="11">
        <v>922.21</v>
      </c>
      <c r="L861" s="12">
        <v>1374.6</v>
      </c>
      <c r="M861" s="11">
        <v>922.21</v>
      </c>
      <c r="N861" s="13">
        <v>827.5</v>
      </c>
      <c r="O861" s="13">
        <v>1104.5</v>
      </c>
      <c r="P861" s="13">
        <v>925.5</v>
      </c>
      <c r="Q861" s="11">
        <v>992.1</v>
      </c>
      <c r="R861" s="11">
        <v>1297.7</v>
      </c>
      <c r="S861" s="14">
        <v>1374.6</v>
      </c>
      <c r="T861" s="11">
        <v>922.21</v>
      </c>
      <c r="U861" s="13">
        <f>IF('0.0%'!$N861&lt;$Z$3,0, '0.0%'!$O861/'0.0%'!$N861)</f>
        <v>1.3347432024169184</v>
      </c>
      <c r="V861" s="13">
        <f>IF('0.0%'!$N861&lt;$Z$3,0, '0.0%'!$P861/'0.0%'!$N861)</f>
        <v>1.1184290030211481</v>
      </c>
      <c r="W861" s="13">
        <f>IF('0.0%'!$N861&lt;$Z$3,0, '0.0%'!$Q861/'0.0%'!$N861)</f>
        <v>1.1989123867069487</v>
      </c>
      <c r="X861" s="13">
        <f>IF('0.0%'!$N861&lt;$Z$3,0, '0.0%'!$R861/'0.0%'!$N861)</f>
        <v>1.5682175226586104</v>
      </c>
      <c r="Y861" s="13">
        <f>IF('0.0%'!$N861&lt;$Z$3,0, '0.0%'!$S861/'0.0%'!$N861)</f>
        <v>1.6611480362537763</v>
      </c>
    </row>
    <row r="862" spans="1:25" x14ac:dyDescent="0.3">
      <c r="A862" s="17">
        <v>923.2</v>
      </c>
      <c r="B862" s="10">
        <v>849.4</v>
      </c>
      <c r="C862" s="9">
        <v>923.2</v>
      </c>
      <c r="D862" s="10">
        <v>1134.8</v>
      </c>
      <c r="E862" s="11">
        <v>923.2</v>
      </c>
      <c r="F862" s="12">
        <v>948.1</v>
      </c>
      <c r="G862" s="11">
        <v>923.2</v>
      </c>
      <c r="H862" s="12">
        <v>1016.9</v>
      </c>
      <c r="I862" s="11">
        <v>923.2</v>
      </c>
      <c r="J862" s="12">
        <v>1327.6</v>
      </c>
      <c r="K862" s="11">
        <v>923.2</v>
      </c>
      <c r="L862" s="12">
        <v>1406.9</v>
      </c>
      <c r="M862" s="11">
        <v>923.2</v>
      </c>
      <c r="N862" s="13">
        <v>849.4</v>
      </c>
      <c r="O862" s="13">
        <v>1134.8</v>
      </c>
      <c r="P862" s="13">
        <v>948.1</v>
      </c>
      <c r="Q862" s="11">
        <v>1016.9</v>
      </c>
      <c r="R862" s="11">
        <v>1327.6</v>
      </c>
      <c r="S862" s="14">
        <v>1406.9</v>
      </c>
      <c r="T862" s="11">
        <v>923.2</v>
      </c>
      <c r="U862" s="13">
        <f>IF('0.0%'!$N862&lt;$Z$3,0, '0.0%'!$O862/'0.0%'!$N862)</f>
        <v>1.3360018836825995</v>
      </c>
      <c r="V862" s="13">
        <f>IF('0.0%'!$N862&lt;$Z$3,0, '0.0%'!$P862/'0.0%'!$N862)</f>
        <v>1.1161996703555452</v>
      </c>
      <c r="W862" s="13">
        <f>IF('0.0%'!$N862&lt;$Z$3,0, '0.0%'!$Q862/'0.0%'!$N862)</f>
        <v>1.1971980221332705</v>
      </c>
      <c r="X862" s="13">
        <f>IF('0.0%'!$N862&lt;$Z$3,0, '0.0%'!$R862/'0.0%'!$N862)</f>
        <v>1.5629856369201789</v>
      </c>
      <c r="Y862" s="13">
        <f>IF('0.0%'!$N862&lt;$Z$3,0, '0.0%'!$S862/'0.0%'!$N862)</f>
        <v>1.6563456557570051</v>
      </c>
    </row>
    <row r="863" spans="1:25" x14ac:dyDescent="0.3">
      <c r="A863" s="17">
        <v>924.19</v>
      </c>
      <c r="B863" s="10">
        <v>870.6</v>
      </c>
      <c r="C863" s="9">
        <v>924.19</v>
      </c>
      <c r="D863" s="10">
        <v>1164.2</v>
      </c>
      <c r="E863" s="11">
        <v>924.19</v>
      </c>
      <c r="F863" s="12">
        <v>969.8</v>
      </c>
      <c r="G863" s="11">
        <v>924.19</v>
      </c>
      <c r="H863" s="12">
        <v>1040.8</v>
      </c>
      <c r="I863" s="11">
        <v>924.19</v>
      </c>
      <c r="J863" s="12">
        <v>1356.7</v>
      </c>
      <c r="K863" s="11">
        <v>924.19</v>
      </c>
      <c r="L863" s="12">
        <v>1438.5</v>
      </c>
      <c r="M863" s="11">
        <v>924.19</v>
      </c>
      <c r="N863" s="13">
        <v>870.6</v>
      </c>
      <c r="O863" s="13">
        <v>1164.2</v>
      </c>
      <c r="P863" s="13">
        <v>969.8</v>
      </c>
      <c r="Q863" s="11">
        <v>1040.8</v>
      </c>
      <c r="R863" s="11">
        <v>1356.7</v>
      </c>
      <c r="S863" s="14">
        <v>1438.5</v>
      </c>
      <c r="T863" s="11">
        <v>924.19</v>
      </c>
      <c r="U863" s="13">
        <f>IF('0.0%'!$N863&lt;$Z$3,0, '0.0%'!$O863/'0.0%'!$N863)</f>
        <v>1.3372386859637031</v>
      </c>
      <c r="V863" s="13">
        <f>IF('0.0%'!$N863&lt;$Z$3,0, '0.0%'!$P863/'0.0%'!$N863)</f>
        <v>1.1139444061566735</v>
      </c>
      <c r="W863" s="13">
        <f>IF('0.0%'!$N863&lt;$Z$3,0, '0.0%'!$Q863/'0.0%'!$N863)</f>
        <v>1.1954973581438089</v>
      </c>
      <c r="X863" s="13">
        <f>IF('0.0%'!$N863&lt;$Z$3,0, '0.0%'!$R863/'0.0%'!$N863)</f>
        <v>1.5583505628302321</v>
      </c>
      <c r="Y863" s="13">
        <f>IF('0.0%'!$N863&lt;$Z$3,0, '0.0%'!$S863/'0.0%'!$N863)</f>
        <v>1.6523087525844244</v>
      </c>
    </row>
    <row r="864" spans="1:25" x14ac:dyDescent="0.3">
      <c r="A864" s="17">
        <v>925.18</v>
      </c>
      <c r="B864" s="10">
        <v>893.8</v>
      </c>
      <c r="C864" s="9">
        <v>925.18</v>
      </c>
      <c r="D864" s="10">
        <v>1194.7</v>
      </c>
      <c r="E864" s="11">
        <v>925.18</v>
      </c>
      <c r="F864" s="12">
        <v>993.3</v>
      </c>
      <c r="G864" s="11">
        <v>925.18</v>
      </c>
      <c r="H864" s="12">
        <v>1066.2</v>
      </c>
      <c r="I864" s="11">
        <v>925.18</v>
      </c>
      <c r="J864" s="12">
        <v>1386.8</v>
      </c>
      <c r="K864" s="11">
        <v>925.18</v>
      </c>
      <c r="L864" s="12">
        <v>1470.8</v>
      </c>
      <c r="M864" s="11">
        <v>925.18</v>
      </c>
      <c r="N864" s="13">
        <v>893.8</v>
      </c>
      <c r="O864" s="13">
        <v>1194.7</v>
      </c>
      <c r="P864" s="13">
        <v>993.3</v>
      </c>
      <c r="Q864" s="11">
        <v>1066.2</v>
      </c>
      <c r="R864" s="11">
        <v>1386.8</v>
      </c>
      <c r="S864" s="14">
        <v>1470.8</v>
      </c>
      <c r="T864" s="11">
        <v>925.18</v>
      </c>
      <c r="U864" s="13">
        <f>IF('0.0%'!$N864&lt;$Z$3,0, '0.0%'!$O864/'0.0%'!$N864)</f>
        <v>1.3366524949653167</v>
      </c>
      <c r="V864" s="13">
        <f>IF('0.0%'!$N864&lt;$Z$3,0, '0.0%'!$P864/'0.0%'!$N864)</f>
        <v>1.1113224434996645</v>
      </c>
      <c r="W864" s="13">
        <f>IF('0.0%'!$N864&lt;$Z$3,0, '0.0%'!$Q864/'0.0%'!$N864)</f>
        <v>1.1928843141642427</v>
      </c>
      <c r="X864" s="13">
        <f>IF('0.0%'!$N864&lt;$Z$3,0, '0.0%'!$R864/'0.0%'!$N864)</f>
        <v>1.551577534123965</v>
      </c>
      <c r="Y864" s="13">
        <f>IF('0.0%'!$N864&lt;$Z$3,0, '0.0%'!$S864/'0.0%'!$N864)</f>
        <v>1.6455582904452899</v>
      </c>
    </row>
    <row r="865" spans="1:25" x14ac:dyDescent="0.3">
      <c r="A865" s="17">
        <v>926.17</v>
      </c>
      <c r="B865" s="10">
        <v>916</v>
      </c>
      <c r="C865" s="9">
        <v>926.17</v>
      </c>
      <c r="D865" s="10">
        <v>1224.5</v>
      </c>
      <c r="E865" s="11">
        <v>926.17</v>
      </c>
      <c r="F865" s="12">
        <v>1015.7</v>
      </c>
      <c r="G865" s="11">
        <v>926.17</v>
      </c>
      <c r="H865" s="12">
        <v>1090.3</v>
      </c>
      <c r="I865" s="11">
        <v>926.17</v>
      </c>
      <c r="J865" s="12">
        <v>1415.7</v>
      </c>
      <c r="K865" s="11">
        <v>926.17</v>
      </c>
      <c r="L865" s="12">
        <v>1502.1</v>
      </c>
      <c r="M865" s="11">
        <v>926.17</v>
      </c>
      <c r="N865" s="13">
        <v>916</v>
      </c>
      <c r="O865" s="13">
        <v>1224.5</v>
      </c>
      <c r="P865" s="13">
        <v>1015.7</v>
      </c>
      <c r="Q865" s="11">
        <v>1090.3</v>
      </c>
      <c r="R865" s="11">
        <v>1415.7</v>
      </c>
      <c r="S865" s="14">
        <v>1502.1</v>
      </c>
      <c r="T865" s="11">
        <v>926.17</v>
      </c>
      <c r="U865" s="13">
        <f>IF('0.0%'!$N865&lt;$Z$3,0, '0.0%'!$O865/'0.0%'!$N865)</f>
        <v>1.3367903930131004</v>
      </c>
      <c r="V865" s="13">
        <f>IF('0.0%'!$N865&lt;$Z$3,0, '0.0%'!$P865/'0.0%'!$N865)</f>
        <v>1.1088427947598254</v>
      </c>
      <c r="W865" s="13">
        <f>IF('0.0%'!$N865&lt;$Z$3,0, '0.0%'!$Q865/'0.0%'!$N865)</f>
        <v>1.1902838427947597</v>
      </c>
      <c r="X865" s="13">
        <f>IF('0.0%'!$N865&lt;$Z$3,0, '0.0%'!$R865/'0.0%'!$N865)</f>
        <v>1.5455240174672489</v>
      </c>
      <c r="Y865" s="13">
        <f>IF('0.0%'!$N865&lt;$Z$3,0, '0.0%'!$S865/'0.0%'!$N865)</f>
        <v>1.6398471615720522</v>
      </c>
    </row>
    <row r="866" spans="1:25" x14ac:dyDescent="0.3">
      <c r="A866" s="17">
        <v>927.17</v>
      </c>
      <c r="B866" s="10">
        <v>939.6</v>
      </c>
      <c r="C866" s="9">
        <v>927.17</v>
      </c>
      <c r="D866" s="10">
        <v>1254.9000000000001</v>
      </c>
      <c r="E866" s="11">
        <v>927.17</v>
      </c>
      <c r="F866" s="12">
        <v>1039.4000000000001</v>
      </c>
      <c r="G866" s="11">
        <v>927.17</v>
      </c>
      <c r="H866" s="12">
        <v>1115.2</v>
      </c>
      <c r="I866" s="11">
        <v>927.17</v>
      </c>
      <c r="J866" s="12">
        <v>1445.3</v>
      </c>
      <c r="K866" s="11">
        <v>927.17</v>
      </c>
      <c r="L866" s="12">
        <v>1533.5</v>
      </c>
      <c r="M866" s="11">
        <v>927.17</v>
      </c>
      <c r="N866" s="13">
        <v>939.6</v>
      </c>
      <c r="O866" s="13">
        <v>1254.9000000000001</v>
      </c>
      <c r="P866" s="13">
        <v>1039.4000000000001</v>
      </c>
      <c r="Q866" s="11">
        <v>1115.2</v>
      </c>
      <c r="R866" s="11">
        <v>1445.3</v>
      </c>
      <c r="S866" s="14">
        <v>1533.5</v>
      </c>
      <c r="T866" s="11">
        <v>927.17</v>
      </c>
      <c r="U866" s="13">
        <f>IF('0.0%'!$N866&lt;$Z$3,0, '0.0%'!$O866/'0.0%'!$N866)</f>
        <v>1.3355683269476373</v>
      </c>
      <c r="V866" s="13">
        <f>IF('0.0%'!$N866&lt;$Z$3,0, '0.0%'!$P866/'0.0%'!$N866)</f>
        <v>1.1062154108131121</v>
      </c>
      <c r="W866" s="13">
        <f>IF('0.0%'!$N866&lt;$Z$3,0, '0.0%'!$Q866/'0.0%'!$N866)</f>
        <v>1.1868880374627502</v>
      </c>
      <c r="X866" s="13">
        <f>IF('0.0%'!$N866&lt;$Z$3,0, '0.0%'!$R866/'0.0%'!$N866)</f>
        <v>1.5382077479778629</v>
      </c>
      <c r="Y866" s="13">
        <f>IF('0.0%'!$N866&lt;$Z$3,0, '0.0%'!$S866/'0.0%'!$N866)</f>
        <v>1.6320774797786293</v>
      </c>
    </row>
    <row r="867" spans="1:25" x14ac:dyDescent="0.3">
      <c r="A867" s="17">
        <v>928.16</v>
      </c>
      <c r="B867" s="10">
        <v>961.7</v>
      </c>
      <c r="C867" s="9">
        <v>928.16</v>
      </c>
      <c r="D867" s="10">
        <v>1283.9000000000001</v>
      </c>
      <c r="E867" s="11">
        <v>928.16</v>
      </c>
      <c r="F867" s="12">
        <v>1061.5</v>
      </c>
      <c r="G867" s="11">
        <v>928.16</v>
      </c>
      <c r="H867" s="12">
        <v>1138.4000000000001</v>
      </c>
      <c r="I867" s="11">
        <v>928.16</v>
      </c>
      <c r="J867" s="12">
        <v>1473.4</v>
      </c>
      <c r="K867" s="11">
        <v>928.16</v>
      </c>
      <c r="L867" s="12">
        <v>1563.2</v>
      </c>
      <c r="M867" s="11">
        <v>928.16</v>
      </c>
      <c r="N867" s="13">
        <v>961.7</v>
      </c>
      <c r="O867" s="13">
        <v>1283.9000000000001</v>
      </c>
      <c r="P867" s="13">
        <v>1061.5</v>
      </c>
      <c r="Q867" s="11">
        <v>1138.4000000000001</v>
      </c>
      <c r="R867" s="11">
        <v>1473.4</v>
      </c>
      <c r="S867" s="14">
        <v>1563.2</v>
      </c>
      <c r="T867" s="11">
        <v>928.16</v>
      </c>
      <c r="U867" s="13">
        <f>IF('0.0%'!$N867&lt;$Z$3,0, '0.0%'!$O867/'0.0%'!$N867)</f>
        <v>1.335031714671935</v>
      </c>
      <c r="V867" s="13">
        <f>IF('0.0%'!$N867&lt;$Z$3,0, '0.0%'!$P867/'0.0%'!$N867)</f>
        <v>1.1037745658729332</v>
      </c>
      <c r="W867" s="13">
        <f>IF('0.0%'!$N867&lt;$Z$3,0, '0.0%'!$Q867/'0.0%'!$N867)</f>
        <v>1.1837371321617969</v>
      </c>
      <c r="X867" s="13">
        <f>IF('0.0%'!$N867&lt;$Z$3,0, '0.0%'!$R867/'0.0%'!$N867)</f>
        <v>1.5320786107933868</v>
      </c>
      <c r="Y867" s="13">
        <f>IF('0.0%'!$N867&lt;$Z$3,0, '0.0%'!$S867/'0.0%'!$N867)</f>
        <v>1.6254549235728397</v>
      </c>
    </row>
    <row r="868" spans="1:25" x14ac:dyDescent="0.3">
      <c r="A868" s="17">
        <v>929.15</v>
      </c>
      <c r="B868" s="10">
        <v>984.6</v>
      </c>
      <c r="C868" s="9">
        <v>929.15</v>
      </c>
      <c r="D868" s="10">
        <v>1313</v>
      </c>
      <c r="E868" s="11">
        <v>929.15</v>
      </c>
      <c r="F868" s="12">
        <v>1084.0999999999999</v>
      </c>
      <c r="G868" s="11">
        <v>929.15</v>
      </c>
      <c r="H868" s="12">
        <v>1162</v>
      </c>
      <c r="I868" s="11">
        <v>929.15</v>
      </c>
      <c r="J868" s="12">
        <v>1501.6</v>
      </c>
      <c r="K868" s="11">
        <v>929.15</v>
      </c>
      <c r="L868" s="12">
        <v>1592.5</v>
      </c>
      <c r="M868" s="11">
        <v>929.15</v>
      </c>
      <c r="N868" s="13">
        <v>984.6</v>
      </c>
      <c r="O868" s="13">
        <v>1313</v>
      </c>
      <c r="P868" s="13">
        <v>1084.0999999999999</v>
      </c>
      <c r="Q868" s="11">
        <v>1162</v>
      </c>
      <c r="R868" s="11">
        <v>1501.6</v>
      </c>
      <c r="S868" s="14">
        <v>1592.5</v>
      </c>
      <c r="T868" s="11">
        <v>929.15</v>
      </c>
      <c r="U868" s="13">
        <f>IF('0.0%'!$N868&lt;$Z$3,0, '0.0%'!$O868/'0.0%'!$N868)</f>
        <v>1.3335364615072109</v>
      </c>
      <c r="V868" s="13">
        <f>IF('0.0%'!$N868&lt;$Z$3,0, '0.0%'!$P868/'0.0%'!$N868)</f>
        <v>1.1010562665041641</v>
      </c>
      <c r="W868" s="13">
        <f>IF('0.0%'!$N868&lt;$Z$3,0, '0.0%'!$Q868/'0.0%'!$N868)</f>
        <v>1.1801746902295349</v>
      </c>
      <c r="X868" s="13">
        <f>IF('0.0%'!$N868&lt;$Z$3,0, '0.0%'!$R868/'0.0%'!$N868)</f>
        <v>1.5250863294738979</v>
      </c>
      <c r="Y868" s="13">
        <f>IF('0.0%'!$N868&lt;$Z$3,0, '0.0%'!$S868/'0.0%'!$N868)</f>
        <v>1.6174080845013203</v>
      </c>
    </row>
    <row r="869" spans="1:25" x14ac:dyDescent="0.3">
      <c r="A869" s="17">
        <v>930.14</v>
      </c>
      <c r="B869" s="10">
        <v>1005.8</v>
      </c>
      <c r="C869" s="9">
        <v>930.14</v>
      </c>
      <c r="D869" s="10">
        <v>1340.7</v>
      </c>
      <c r="E869" s="11">
        <v>930.14</v>
      </c>
      <c r="F869" s="12">
        <v>1105.0999999999999</v>
      </c>
      <c r="G869" s="11">
        <v>930.14</v>
      </c>
      <c r="H869" s="12">
        <v>1184</v>
      </c>
      <c r="I869" s="11">
        <v>930.14</v>
      </c>
      <c r="J869" s="12">
        <v>1528</v>
      </c>
      <c r="K869" s="11">
        <v>930.14</v>
      </c>
      <c r="L869" s="12">
        <v>1620.1</v>
      </c>
      <c r="M869" s="11">
        <v>930.14</v>
      </c>
      <c r="N869" s="13">
        <v>1005.8</v>
      </c>
      <c r="O869" s="13">
        <v>1340.7</v>
      </c>
      <c r="P869" s="13">
        <v>1105.0999999999999</v>
      </c>
      <c r="Q869" s="11">
        <v>1184</v>
      </c>
      <c r="R869" s="11">
        <v>1528</v>
      </c>
      <c r="S869" s="14">
        <v>1620.1</v>
      </c>
      <c r="T869" s="11">
        <v>930.14</v>
      </c>
      <c r="U869" s="13">
        <f>IF('0.0%'!$N869&lt;$Z$3,0, '0.0%'!$O869/'0.0%'!$N869)</f>
        <v>1.3329687810697952</v>
      </c>
      <c r="V869" s="13">
        <f>IF('0.0%'!$N869&lt;$Z$3,0, '0.0%'!$P869/'0.0%'!$N869)</f>
        <v>1.0987273811891032</v>
      </c>
      <c r="W869" s="13">
        <f>IF('0.0%'!$N869&lt;$Z$3,0, '0.0%'!$Q869/'0.0%'!$N869)</f>
        <v>1.1771724000795387</v>
      </c>
      <c r="X869" s="13">
        <f>IF('0.0%'!$N869&lt;$Z$3,0, '0.0%'!$R869/'0.0%'!$N869)</f>
        <v>1.5191887055080533</v>
      </c>
      <c r="Y869" s="13">
        <f>IF('0.0%'!$N869&lt;$Z$3,0, '0.0%'!$S869/'0.0%'!$N869)</f>
        <v>1.6107576058858619</v>
      </c>
    </row>
    <row r="870" spans="1:25" x14ac:dyDescent="0.3">
      <c r="A870" s="17">
        <v>931.13</v>
      </c>
      <c r="B870" s="10">
        <v>1027.8</v>
      </c>
      <c r="C870" s="9">
        <v>931.13</v>
      </c>
      <c r="D870" s="10">
        <v>1368.8</v>
      </c>
      <c r="E870" s="11">
        <v>931.13</v>
      </c>
      <c r="F870" s="12">
        <v>1126.8</v>
      </c>
      <c r="G870" s="11">
        <v>931.13</v>
      </c>
      <c r="H870" s="12">
        <v>1206.5999999999999</v>
      </c>
      <c r="I870" s="11">
        <v>931.13</v>
      </c>
      <c r="J870" s="12">
        <v>1554.4</v>
      </c>
      <c r="K870" s="11">
        <v>931.13</v>
      </c>
      <c r="L870" s="12">
        <v>1647.2</v>
      </c>
      <c r="M870" s="11">
        <v>931.13</v>
      </c>
      <c r="N870" s="13">
        <v>1027.8</v>
      </c>
      <c r="O870" s="13">
        <v>1368.8</v>
      </c>
      <c r="P870" s="13">
        <v>1126.8</v>
      </c>
      <c r="Q870" s="11">
        <v>1206.5999999999999</v>
      </c>
      <c r="R870" s="11">
        <v>1554.4</v>
      </c>
      <c r="S870" s="14">
        <v>1647.2</v>
      </c>
      <c r="T870" s="11">
        <v>931.13</v>
      </c>
      <c r="U870" s="13">
        <f>IF('0.0%'!$N870&lt;$Z$3,0, '0.0%'!$O870/'0.0%'!$N870)</f>
        <v>1.3317766102354545</v>
      </c>
      <c r="V870" s="13">
        <f>IF('0.0%'!$N870&lt;$Z$3,0, '0.0%'!$P870/'0.0%'!$N870)</f>
        <v>1.096322241681261</v>
      </c>
      <c r="W870" s="13">
        <f>IF('0.0%'!$N870&lt;$Z$3,0, '0.0%'!$Q870/'0.0%'!$N870)</f>
        <v>1.1739638061879742</v>
      </c>
      <c r="X870" s="13">
        <f>IF('0.0%'!$N870&lt;$Z$3,0, '0.0%'!$R870/'0.0%'!$N870)</f>
        <v>1.5123564895894144</v>
      </c>
      <c r="Y870" s="13">
        <f>IF('0.0%'!$N870&lt;$Z$3,0, '0.0%'!$S870/'0.0%'!$N870)</f>
        <v>1.6026464292663944</v>
      </c>
    </row>
    <row r="871" spans="1:25" x14ac:dyDescent="0.3">
      <c r="A871" s="17">
        <v>932.12</v>
      </c>
      <c r="B871" s="10">
        <v>1048</v>
      </c>
      <c r="C871" s="9">
        <v>932.12</v>
      </c>
      <c r="D871" s="10">
        <v>1395.3</v>
      </c>
      <c r="E871" s="11">
        <v>932.12</v>
      </c>
      <c r="F871" s="12">
        <v>1146.9000000000001</v>
      </c>
      <c r="G871" s="11">
        <v>932.12</v>
      </c>
      <c r="H871" s="12">
        <v>1227.8</v>
      </c>
      <c r="I871" s="11">
        <v>932.12</v>
      </c>
      <c r="J871" s="12">
        <v>1578.9</v>
      </c>
      <c r="K871" s="11">
        <v>932.12</v>
      </c>
      <c r="L871" s="12">
        <v>1672.5</v>
      </c>
      <c r="M871" s="11">
        <v>932.12</v>
      </c>
      <c r="N871" s="13">
        <v>1048</v>
      </c>
      <c r="O871" s="13">
        <v>1395.3</v>
      </c>
      <c r="P871" s="13">
        <v>1146.9000000000001</v>
      </c>
      <c r="Q871" s="11">
        <v>1227.8</v>
      </c>
      <c r="R871" s="11">
        <v>1578.9</v>
      </c>
      <c r="S871" s="14">
        <v>1672.5</v>
      </c>
      <c r="T871" s="11">
        <v>932.12</v>
      </c>
      <c r="U871" s="13">
        <f>IF('0.0%'!$N871&lt;$Z$3,0, '0.0%'!$O871/'0.0%'!$N871)</f>
        <v>1.3313931297709922</v>
      </c>
      <c r="V871" s="13">
        <f>IF('0.0%'!$N871&lt;$Z$3,0, '0.0%'!$P871/'0.0%'!$N871)</f>
        <v>1.0943702290076336</v>
      </c>
      <c r="W871" s="13">
        <f>IF('0.0%'!$N871&lt;$Z$3,0, '0.0%'!$Q871/'0.0%'!$N871)</f>
        <v>1.1715648854961831</v>
      </c>
      <c r="X871" s="13">
        <f>IF('0.0%'!$N871&lt;$Z$3,0, '0.0%'!$R871/'0.0%'!$N871)</f>
        <v>1.5065839694656489</v>
      </c>
      <c r="Y871" s="13">
        <f>IF('0.0%'!$N871&lt;$Z$3,0, '0.0%'!$S871/'0.0%'!$N871)</f>
        <v>1.5958969465648856</v>
      </c>
    </row>
    <row r="872" spans="1:25" x14ac:dyDescent="0.3">
      <c r="A872" s="17">
        <v>933.12</v>
      </c>
      <c r="B872" s="10">
        <v>1068.5999999999999</v>
      </c>
      <c r="C872" s="9">
        <v>933.12</v>
      </c>
      <c r="D872" s="10">
        <v>1421.7</v>
      </c>
      <c r="E872" s="11">
        <v>933.12</v>
      </c>
      <c r="F872" s="12">
        <v>1167.5999999999999</v>
      </c>
      <c r="G872" s="11">
        <v>933.12</v>
      </c>
      <c r="H872" s="12">
        <v>1249.4000000000001</v>
      </c>
      <c r="I872" s="11">
        <v>933.12</v>
      </c>
      <c r="J872" s="12">
        <v>1603</v>
      </c>
      <c r="K872" s="11">
        <v>933.12</v>
      </c>
      <c r="L872" s="12">
        <v>1697.2</v>
      </c>
      <c r="M872" s="11">
        <v>933.12</v>
      </c>
      <c r="N872" s="13">
        <v>1068.5999999999999</v>
      </c>
      <c r="O872" s="13">
        <v>1421.7</v>
      </c>
      <c r="P872" s="13">
        <v>1167.5999999999999</v>
      </c>
      <c r="Q872" s="11">
        <v>1249.4000000000001</v>
      </c>
      <c r="R872" s="11">
        <v>1603</v>
      </c>
      <c r="S872" s="14">
        <v>1697.2</v>
      </c>
      <c r="T872" s="11">
        <v>933.12</v>
      </c>
      <c r="U872" s="13">
        <f>IF('0.0%'!$N872&lt;$Z$3,0, '0.0%'!$O872/'0.0%'!$N872)</f>
        <v>1.3304323413812467</v>
      </c>
      <c r="V872" s="13">
        <f>IF('0.0%'!$N872&lt;$Z$3,0, '0.0%'!$P872/'0.0%'!$N872)</f>
        <v>1.0926445816956767</v>
      </c>
      <c r="W872" s="13">
        <f>IF('0.0%'!$N872&lt;$Z$3,0, '0.0%'!$Q872/'0.0%'!$N872)</f>
        <v>1.169193337076549</v>
      </c>
      <c r="X872" s="13">
        <f>IF('0.0%'!$N872&lt;$Z$3,0, '0.0%'!$R872/'0.0%'!$N872)</f>
        <v>1.5000935803855513</v>
      </c>
      <c r="Y872" s="13">
        <f>IF('0.0%'!$N872&lt;$Z$3,0, '0.0%'!$S872/'0.0%'!$N872)</f>
        <v>1.5882463035747709</v>
      </c>
    </row>
    <row r="873" spans="1:25" x14ac:dyDescent="0.3">
      <c r="A873" s="17">
        <v>934.11</v>
      </c>
      <c r="B873" s="10">
        <v>1087.8</v>
      </c>
      <c r="C873" s="9">
        <v>934.11</v>
      </c>
      <c r="D873" s="10">
        <v>1446.4</v>
      </c>
      <c r="E873" s="11">
        <v>934.11</v>
      </c>
      <c r="F873" s="12">
        <v>1186.5999999999999</v>
      </c>
      <c r="G873" s="11">
        <v>934.11</v>
      </c>
      <c r="H873" s="12">
        <v>1269.5</v>
      </c>
      <c r="I873" s="11">
        <v>934.11</v>
      </c>
      <c r="J873" s="12">
        <v>1625.4</v>
      </c>
      <c r="K873" s="11">
        <v>934.11</v>
      </c>
      <c r="L873" s="12">
        <v>1720.1</v>
      </c>
      <c r="M873" s="11">
        <v>934.11</v>
      </c>
      <c r="N873" s="13">
        <v>1087.8</v>
      </c>
      <c r="O873" s="13">
        <v>1446.4</v>
      </c>
      <c r="P873" s="13">
        <v>1186.5999999999999</v>
      </c>
      <c r="Q873" s="11">
        <v>1269.5</v>
      </c>
      <c r="R873" s="11">
        <v>1625.4</v>
      </c>
      <c r="S873" s="14">
        <v>1720.1</v>
      </c>
      <c r="T873" s="11">
        <v>934.11</v>
      </c>
      <c r="U873" s="13">
        <f>IF('0.0%'!$N873&lt;$Z$3,0, '0.0%'!$O873/'0.0%'!$N873)</f>
        <v>1.3296561867990442</v>
      </c>
      <c r="V873" s="13">
        <f>IF('0.0%'!$N873&lt;$Z$3,0, '0.0%'!$P873/'0.0%'!$N873)</f>
        <v>1.0908255193969478</v>
      </c>
      <c r="W873" s="13">
        <f>IF('0.0%'!$N873&lt;$Z$3,0, '0.0%'!$Q873/'0.0%'!$N873)</f>
        <v>1.1670343813200956</v>
      </c>
      <c r="X873" s="13">
        <f>IF('0.0%'!$N873&lt;$Z$3,0, '0.0%'!$R873/'0.0%'!$N873)</f>
        <v>1.4942084942084943</v>
      </c>
      <c r="Y873" s="13">
        <f>IF('0.0%'!$N873&lt;$Z$3,0, '0.0%'!$S873/'0.0%'!$N873)</f>
        <v>1.5812649384077955</v>
      </c>
    </row>
    <row r="874" spans="1:25" x14ac:dyDescent="0.3">
      <c r="A874" s="17">
        <v>935.1</v>
      </c>
      <c r="B874" s="10">
        <v>1104.8</v>
      </c>
      <c r="C874" s="9">
        <v>935.1</v>
      </c>
      <c r="D874" s="10">
        <v>1467.9</v>
      </c>
      <c r="E874" s="11">
        <v>935.1</v>
      </c>
      <c r="F874" s="12">
        <v>1203.5</v>
      </c>
      <c r="G874" s="11">
        <v>935.1</v>
      </c>
      <c r="H874" s="12">
        <v>1287.3</v>
      </c>
      <c r="I874" s="11">
        <v>935.1</v>
      </c>
      <c r="J874" s="12">
        <v>1644.9</v>
      </c>
      <c r="K874" s="11">
        <v>935.1</v>
      </c>
      <c r="L874" s="12">
        <v>1740</v>
      </c>
      <c r="M874" s="11">
        <v>935.1</v>
      </c>
      <c r="N874" s="13">
        <v>1104.8</v>
      </c>
      <c r="O874" s="13">
        <v>1467.9</v>
      </c>
      <c r="P874" s="13">
        <v>1203.5</v>
      </c>
      <c r="Q874" s="11">
        <v>1287.3</v>
      </c>
      <c r="R874" s="11">
        <v>1644.9</v>
      </c>
      <c r="S874" s="14">
        <v>1740</v>
      </c>
      <c r="T874" s="11">
        <v>935.1</v>
      </c>
      <c r="U874" s="13">
        <f>IF('0.0%'!$N874&lt;$Z$3,0, '0.0%'!$O874/'0.0%'!$N874)</f>
        <v>1.3286567704561913</v>
      </c>
      <c r="V874" s="13">
        <f>IF('0.0%'!$N874&lt;$Z$3,0, '0.0%'!$P874/'0.0%'!$N874)</f>
        <v>1.0893374366401158</v>
      </c>
      <c r="W874" s="13">
        <f>IF('0.0%'!$N874&lt;$Z$3,0, '0.0%'!$Q874/'0.0%'!$N874)</f>
        <v>1.1651882693700217</v>
      </c>
      <c r="X874" s="13">
        <f>IF('0.0%'!$N874&lt;$Z$3,0, '0.0%'!$R874/'0.0%'!$N874)</f>
        <v>1.4888667632150616</v>
      </c>
      <c r="Y874" s="13">
        <f>IF('0.0%'!$N874&lt;$Z$3,0, '0.0%'!$S874/'0.0%'!$N874)</f>
        <v>1.5749456915278783</v>
      </c>
    </row>
    <row r="875" spans="1:25" x14ac:dyDescent="0.3">
      <c r="A875" s="17">
        <v>936.09</v>
      </c>
      <c r="B875" s="10">
        <v>1124.7</v>
      </c>
      <c r="C875" s="9">
        <v>936.09</v>
      </c>
      <c r="D875" s="10">
        <v>1492.5</v>
      </c>
      <c r="E875" s="11">
        <v>936.09</v>
      </c>
      <c r="F875" s="12">
        <v>1223.2</v>
      </c>
      <c r="G875" s="11">
        <v>936.09</v>
      </c>
      <c r="H875" s="12">
        <v>1307.8</v>
      </c>
      <c r="I875" s="11">
        <v>936.09</v>
      </c>
      <c r="J875" s="12">
        <v>1666.9</v>
      </c>
      <c r="K875" s="11">
        <v>936.09</v>
      </c>
      <c r="L875" s="12">
        <v>1762.2</v>
      </c>
      <c r="M875" s="11">
        <v>936.09</v>
      </c>
      <c r="N875" s="13">
        <v>1124.7</v>
      </c>
      <c r="O875" s="13">
        <v>1492.5</v>
      </c>
      <c r="P875" s="13">
        <v>1223.2</v>
      </c>
      <c r="Q875" s="11">
        <v>1307.8</v>
      </c>
      <c r="R875" s="11">
        <v>1666.9</v>
      </c>
      <c r="S875" s="14">
        <v>1762.2</v>
      </c>
      <c r="T875" s="11">
        <v>936.09</v>
      </c>
      <c r="U875" s="13">
        <f>IF('0.0%'!$N875&lt;$Z$3,0, '0.0%'!$O875/'0.0%'!$N875)</f>
        <v>1.3270205388103493</v>
      </c>
      <c r="V875" s="13">
        <f>IF('0.0%'!$N875&lt;$Z$3,0, '0.0%'!$P875/'0.0%'!$N875)</f>
        <v>1.0875789099315374</v>
      </c>
      <c r="W875" s="13">
        <f>IF('0.0%'!$N875&lt;$Z$3,0, '0.0%'!$Q875/'0.0%'!$N875)</f>
        <v>1.1627989686138525</v>
      </c>
      <c r="X875" s="13">
        <f>IF('0.0%'!$N875&lt;$Z$3,0, '0.0%'!$R875/'0.0%'!$N875)</f>
        <v>1.4820841113185739</v>
      </c>
      <c r="Y875" s="13">
        <f>IF('0.0%'!$N875&lt;$Z$3,0, '0.0%'!$S875/'0.0%'!$N875)</f>
        <v>1.5668178180848227</v>
      </c>
    </row>
    <row r="876" spans="1:25" x14ac:dyDescent="0.3">
      <c r="A876" s="17">
        <v>937.08</v>
      </c>
      <c r="B876" s="10">
        <v>1143.7</v>
      </c>
      <c r="C876" s="9">
        <v>937.08</v>
      </c>
      <c r="D876" s="10">
        <v>1516.2</v>
      </c>
      <c r="E876" s="11">
        <v>937.08</v>
      </c>
      <c r="F876" s="12">
        <v>1242.0999999999999</v>
      </c>
      <c r="G876" s="11">
        <v>937.08</v>
      </c>
      <c r="H876" s="12">
        <v>1327.6</v>
      </c>
      <c r="I876" s="11">
        <v>937.08</v>
      </c>
      <c r="J876" s="12">
        <v>1687.9</v>
      </c>
      <c r="K876" s="11">
        <v>937.08</v>
      </c>
      <c r="L876" s="12">
        <v>1783.6</v>
      </c>
      <c r="M876" s="11">
        <v>937.08</v>
      </c>
      <c r="N876" s="13">
        <v>1143.7</v>
      </c>
      <c r="O876" s="13">
        <v>1516.2</v>
      </c>
      <c r="P876" s="13">
        <v>1242.0999999999999</v>
      </c>
      <c r="Q876" s="11">
        <v>1327.6</v>
      </c>
      <c r="R876" s="11">
        <v>1687.9</v>
      </c>
      <c r="S876" s="14">
        <v>1783.6</v>
      </c>
      <c r="T876" s="11">
        <v>937.08</v>
      </c>
      <c r="U876" s="13">
        <f>IF('0.0%'!$N876&lt;$Z$3,0, '0.0%'!$O876/'0.0%'!$N876)</f>
        <v>1.3256972982425461</v>
      </c>
      <c r="V876" s="13">
        <f>IF('0.0%'!$N876&lt;$Z$3,0, '0.0%'!$P876/'0.0%'!$N876)</f>
        <v>1.0860365480458161</v>
      </c>
      <c r="W876" s="13">
        <f>IF('0.0%'!$N876&lt;$Z$3,0, '0.0%'!$Q876/'0.0%'!$N876)</f>
        <v>1.160793914488065</v>
      </c>
      <c r="X876" s="13">
        <f>IF('0.0%'!$N876&lt;$Z$3,0, '0.0%'!$R876/'0.0%'!$N876)</f>
        <v>1.4758240797411908</v>
      </c>
      <c r="Y876" s="13">
        <f>IF('0.0%'!$N876&lt;$Z$3,0, '0.0%'!$S876/'0.0%'!$N876)</f>
        <v>1.5594998688467254</v>
      </c>
    </row>
    <row r="877" spans="1:25" x14ac:dyDescent="0.3">
      <c r="A877" s="17">
        <v>938.07</v>
      </c>
      <c r="B877" s="10">
        <v>1163.5</v>
      </c>
      <c r="C877" s="9">
        <v>938.07</v>
      </c>
      <c r="D877" s="10">
        <v>1539.8</v>
      </c>
      <c r="E877" s="11">
        <v>938.07</v>
      </c>
      <c r="F877" s="12">
        <v>1261.7</v>
      </c>
      <c r="G877" s="11">
        <v>938.07</v>
      </c>
      <c r="H877" s="12">
        <v>1347.8</v>
      </c>
      <c r="I877" s="11">
        <v>938.07</v>
      </c>
      <c r="J877" s="12">
        <v>1708.9</v>
      </c>
      <c r="K877" s="11">
        <v>938.07</v>
      </c>
      <c r="L877" s="12">
        <v>1805</v>
      </c>
      <c r="M877" s="11">
        <v>938.07</v>
      </c>
      <c r="N877" s="13">
        <v>1163.5</v>
      </c>
      <c r="O877" s="13">
        <v>1539.8</v>
      </c>
      <c r="P877" s="13">
        <v>1261.7</v>
      </c>
      <c r="Q877" s="11">
        <v>1347.8</v>
      </c>
      <c r="R877" s="11">
        <v>1708.9</v>
      </c>
      <c r="S877" s="14">
        <v>1805</v>
      </c>
      <c r="T877" s="11">
        <v>938.07</v>
      </c>
      <c r="U877" s="13">
        <f>IF('0.0%'!$N877&lt;$Z$3,0, '0.0%'!$O877/'0.0%'!$N877)</f>
        <v>1.3234207133648475</v>
      </c>
      <c r="V877" s="13">
        <f>IF('0.0%'!$N877&lt;$Z$3,0, '0.0%'!$P877/'0.0%'!$N877)</f>
        <v>1.0844005156854319</v>
      </c>
      <c r="W877" s="13">
        <f>IF('0.0%'!$N877&lt;$Z$3,0, '0.0%'!$Q877/'0.0%'!$N877)</f>
        <v>1.1584013751611517</v>
      </c>
      <c r="X877" s="13">
        <f>IF('0.0%'!$N877&lt;$Z$3,0, '0.0%'!$R877/'0.0%'!$N877)</f>
        <v>1.4687580575848733</v>
      </c>
      <c r="Y877" s="13">
        <f>IF('0.0%'!$N877&lt;$Z$3,0, '0.0%'!$S877/'0.0%'!$N877)</f>
        <v>1.5513536742587022</v>
      </c>
    </row>
    <row r="878" spans="1:25" x14ac:dyDescent="0.3">
      <c r="A878" s="17">
        <v>939.07</v>
      </c>
      <c r="B878" s="10">
        <v>1182.3</v>
      </c>
      <c r="C878" s="9">
        <v>939.07</v>
      </c>
      <c r="D878" s="10">
        <v>1562.2</v>
      </c>
      <c r="E878" s="11">
        <v>939.07</v>
      </c>
      <c r="F878" s="12">
        <v>1280.3</v>
      </c>
      <c r="G878" s="11">
        <v>939.07</v>
      </c>
      <c r="H878" s="12">
        <v>1367</v>
      </c>
      <c r="I878" s="11">
        <v>939.07</v>
      </c>
      <c r="J878" s="12">
        <v>1728.8</v>
      </c>
      <c r="K878" s="11">
        <v>939.07</v>
      </c>
      <c r="L878" s="12">
        <v>1825.3</v>
      </c>
      <c r="M878" s="11">
        <v>939.07</v>
      </c>
      <c r="N878" s="13">
        <v>1182.3</v>
      </c>
      <c r="O878" s="13">
        <v>1562.2</v>
      </c>
      <c r="P878" s="13">
        <v>1280.3</v>
      </c>
      <c r="Q878" s="11">
        <v>1367</v>
      </c>
      <c r="R878" s="11">
        <v>1728.8</v>
      </c>
      <c r="S878" s="14">
        <v>1825.3</v>
      </c>
      <c r="T878" s="11">
        <v>939.07</v>
      </c>
      <c r="U878" s="13">
        <f>IF('0.0%'!$N878&lt;$Z$3,0, '0.0%'!$O878/'0.0%'!$N878)</f>
        <v>1.3213228453015311</v>
      </c>
      <c r="V878" s="13">
        <f>IF('0.0%'!$N878&lt;$Z$3,0, '0.0%'!$P878/'0.0%'!$N878)</f>
        <v>1.0828892835997632</v>
      </c>
      <c r="W878" s="13">
        <f>IF('0.0%'!$N878&lt;$Z$3,0, '0.0%'!$Q878/'0.0%'!$N878)</f>
        <v>1.1562209253150639</v>
      </c>
      <c r="X878" s="13">
        <f>IF('0.0%'!$N878&lt;$Z$3,0, '0.0%'!$R878/'0.0%'!$N878)</f>
        <v>1.4622346274211284</v>
      </c>
      <c r="Y878" s="13">
        <f>IF('0.0%'!$N878&lt;$Z$3,0, '0.0%'!$S878/'0.0%'!$N878)</f>
        <v>1.5438551974964054</v>
      </c>
    </row>
    <row r="879" spans="1:25" x14ac:dyDescent="0.3">
      <c r="A879" s="17">
        <v>940.06</v>
      </c>
      <c r="B879" s="10">
        <v>1201.5</v>
      </c>
      <c r="C879" s="9">
        <v>940.06</v>
      </c>
      <c r="D879" s="10">
        <v>1584.2</v>
      </c>
      <c r="E879" s="11">
        <v>940.06</v>
      </c>
      <c r="F879" s="12">
        <v>1299.3</v>
      </c>
      <c r="G879" s="11">
        <v>940.06</v>
      </c>
      <c r="H879" s="12">
        <v>1386.3</v>
      </c>
      <c r="I879" s="11">
        <v>940.06</v>
      </c>
      <c r="J879" s="12">
        <v>1748.3</v>
      </c>
      <c r="K879" s="11">
        <v>940.06</v>
      </c>
      <c r="L879" s="12">
        <v>1845.2</v>
      </c>
      <c r="M879" s="11">
        <v>940.06</v>
      </c>
      <c r="N879" s="13">
        <v>1201.5</v>
      </c>
      <c r="O879" s="13">
        <v>1584.2</v>
      </c>
      <c r="P879" s="13">
        <v>1299.3</v>
      </c>
      <c r="Q879" s="11">
        <v>1386.3</v>
      </c>
      <c r="R879" s="11">
        <v>1748.3</v>
      </c>
      <c r="S879" s="14">
        <v>1845.2</v>
      </c>
      <c r="T879" s="11">
        <v>940.06</v>
      </c>
      <c r="U879" s="13">
        <f>IF('0.0%'!$N879&lt;$Z$3,0, '0.0%'!$O879/'0.0%'!$N879)</f>
        <v>1.3185185185185186</v>
      </c>
      <c r="V879" s="13">
        <f>IF('0.0%'!$N879&lt;$Z$3,0, '0.0%'!$P879/'0.0%'!$N879)</f>
        <v>1.0813982521847689</v>
      </c>
      <c r="W879" s="13">
        <f>IF('0.0%'!$N879&lt;$Z$3,0, '0.0%'!$Q879/'0.0%'!$N879)</f>
        <v>1.1538077403245943</v>
      </c>
      <c r="X879" s="13">
        <f>IF('0.0%'!$N879&lt;$Z$3,0, '0.0%'!$R879/'0.0%'!$N879)</f>
        <v>1.4550977944236372</v>
      </c>
      <c r="Y879" s="13">
        <f>IF('0.0%'!$N879&lt;$Z$3,0, '0.0%'!$S879/'0.0%'!$N879)</f>
        <v>1.5357469829379942</v>
      </c>
    </row>
    <row r="880" spans="1:25" x14ac:dyDescent="0.3">
      <c r="A880" s="17">
        <v>941.05</v>
      </c>
      <c r="B880" s="10">
        <v>1219.5999999999999</v>
      </c>
      <c r="C880" s="9">
        <v>941.05</v>
      </c>
      <c r="D880" s="10">
        <v>1604.7</v>
      </c>
      <c r="E880" s="11">
        <v>941.05</v>
      </c>
      <c r="F880" s="12">
        <v>1317.1</v>
      </c>
      <c r="G880" s="11">
        <v>941.05</v>
      </c>
      <c r="H880" s="12">
        <v>1404.5</v>
      </c>
      <c r="I880" s="11">
        <v>941.05</v>
      </c>
      <c r="J880" s="12">
        <v>1766.4</v>
      </c>
      <c r="K880" s="11">
        <v>941.05</v>
      </c>
      <c r="L880" s="12">
        <v>1863.9</v>
      </c>
      <c r="M880" s="11">
        <v>941.05</v>
      </c>
      <c r="N880" s="13">
        <v>1219.5999999999999</v>
      </c>
      <c r="O880" s="13">
        <v>1604.7</v>
      </c>
      <c r="P880" s="13">
        <v>1317.1</v>
      </c>
      <c r="Q880" s="11">
        <v>1404.5</v>
      </c>
      <c r="R880" s="11">
        <v>1766.4</v>
      </c>
      <c r="S880" s="14">
        <v>1863.9</v>
      </c>
      <c r="T880" s="11">
        <v>941.05</v>
      </c>
      <c r="U880" s="13">
        <f>IF('0.0%'!$N880&lt;$Z$3,0, '0.0%'!$O880/'0.0%'!$N880)</f>
        <v>1.3157592653328962</v>
      </c>
      <c r="V880" s="13">
        <f>IF('0.0%'!$N880&lt;$Z$3,0, '0.0%'!$P880/'0.0%'!$N880)</f>
        <v>1.0799442440144309</v>
      </c>
      <c r="W880" s="13">
        <f>IF('0.0%'!$N880&lt;$Z$3,0, '0.0%'!$Q880/'0.0%'!$N880)</f>
        <v>1.1516070842899313</v>
      </c>
      <c r="X880" s="13">
        <f>IF('0.0%'!$N880&lt;$Z$3,0, '0.0%'!$R880/'0.0%'!$N880)</f>
        <v>1.4483437192522139</v>
      </c>
      <c r="Y880" s="13">
        <f>IF('0.0%'!$N880&lt;$Z$3,0, '0.0%'!$S880/'0.0%'!$N880)</f>
        <v>1.5282879632666451</v>
      </c>
    </row>
    <row r="881" spans="1:25" x14ac:dyDescent="0.3">
      <c r="A881" s="17">
        <v>942.04</v>
      </c>
      <c r="B881" s="10">
        <v>1237.4000000000001</v>
      </c>
      <c r="C881" s="9">
        <v>942.04</v>
      </c>
      <c r="D881" s="10">
        <v>1624.2</v>
      </c>
      <c r="E881" s="11">
        <v>942.04</v>
      </c>
      <c r="F881" s="12">
        <v>1334.7</v>
      </c>
      <c r="G881" s="11">
        <v>942.04</v>
      </c>
      <c r="H881" s="12">
        <v>1422.3</v>
      </c>
      <c r="I881" s="11">
        <v>942.04</v>
      </c>
      <c r="J881" s="12">
        <v>1783.2</v>
      </c>
      <c r="K881" s="11">
        <v>942.04</v>
      </c>
      <c r="L881" s="12">
        <v>1881.4</v>
      </c>
      <c r="M881" s="11">
        <v>942.04</v>
      </c>
      <c r="N881" s="13">
        <v>1237.4000000000001</v>
      </c>
      <c r="O881" s="13">
        <v>1624.2</v>
      </c>
      <c r="P881" s="13">
        <v>1334.7</v>
      </c>
      <c r="Q881" s="11">
        <v>1422.3</v>
      </c>
      <c r="R881" s="11">
        <v>1783.2</v>
      </c>
      <c r="S881" s="14">
        <v>1881.4</v>
      </c>
      <c r="T881" s="11">
        <v>942.04</v>
      </c>
      <c r="U881" s="13">
        <f>IF('0.0%'!$N881&lt;$Z$3,0, '0.0%'!$O881/'0.0%'!$N881)</f>
        <v>1.3125909164376919</v>
      </c>
      <c r="V881" s="13">
        <f>IF('0.0%'!$N881&lt;$Z$3,0, '0.0%'!$P881/'0.0%'!$N881)</f>
        <v>1.0786326167771132</v>
      </c>
      <c r="W881" s="13">
        <f>IF('0.0%'!$N881&lt;$Z$3,0, '0.0%'!$Q881/'0.0%'!$N881)</f>
        <v>1.1494262162598996</v>
      </c>
      <c r="X881" s="13">
        <f>IF('0.0%'!$N881&lt;$Z$3,0, '0.0%'!$R881/'0.0%'!$N881)</f>
        <v>1.4410861483756263</v>
      </c>
      <c r="Y881" s="13">
        <f>IF('0.0%'!$N881&lt;$Z$3,0, '0.0%'!$S881/'0.0%'!$N881)</f>
        <v>1.520446096654275</v>
      </c>
    </row>
    <row r="882" spans="1:25" x14ac:dyDescent="0.3">
      <c r="A882" s="17">
        <v>943.03</v>
      </c>
      <c r="B882" s="10">
        <v>1253.9000000000001</v>
      </c>
      <c r="C882" s="9">
        <v>943.03</v>
      </c>
      <c r="D882" s="10">
        <v>1642.2</v>
      </c>
      <c r="E882" s="11">
        <v>943.03</v>
      </c>
      <c r="F882" s="12">
        <v>1350.9</v>
      </c>
      <c r="G882" s="11">
        <v>943.03</v>
      </c>
      <c r="H882" s="12">
        <v>1438.6</v>
      </c>
      <c r="I882" s="11">
        <v>943.03</v>
      </c>
      <c r="J882" s="12">
        <v>1798.6</v>
      </c>
      <c r="K882" s="11">
        <v>943.03</v>
      </c>
      <c r="L882" s="12">
        <v>1897.6</v>
      </c>
      <c r="M882" s="11">
        <v>943.03</v>
      </c>
      <c r="N882" s="13">
        <v>1253.9000000000001</v>
      </c>
      <c r="O882" s="13">
        <v>1642.2</v>
      </c>
      <c r="P882" s="13">
        <v>1350.9</v>
      </c>
      <c r="Q882" s="11">
        <v>1438.6</v>
      </c>
      <c r="R882" s="11">
        <v>1798.6</v>
      </c>
      <c r="S882" s="14">
        <v>1897.6</v>
      </c>
      <c r="T882" s="11">
        <v>943.03</v>
      </c>
      <c r="U882" s="13">
        <f>IF('0.0%'!$N882&lt;$Z$3,0, '0.0%'!$O882/'0.0%'!$N882)</f>
        <v>1.3096738176888107</v>
      </c>
      <c r="V882" s="13">
        <f>IF('0.0%'!$N882&lt;$Z$3,0, '0.0%'!$P882/'0.0%'!$N882)</f>
        <v>1.0773586410399554</v>
      </c>
      <c r="W882" s="13">
        <f>IF('0.0%'!$N882&lt;$Z$3,0, '0.0%'!$Q882/'0.0%'!$N882)</f>
        <v>1.1473004226812344</v>
      </c>
      <c r="X882" s="13">
        <f>IF('0.0%'!$N882&lt;$Z$3,0, '0.0%'!$R882/'0.0%'!$N882)</f>
        <v>1.4344046574686975</v>
      </c>
      <c r="Y882" s="13">
        <f>IF('0.0%'!$N882&lt;$Z$3,0, '0.0%'!$S882/'0.0%'!$N882)</f>
        <v>1.5133583220352498</v>
      </c>
    </row>
    <row r="883" spans="1:25" x14ac:dyDescent="0.3">
      <c r="A883" s="17">
        <v>944.03</v>
      </c>
      <c r="B883" s="10">
        <v>1270</v>
      </c>
      <c r="C883" s="9">
        <v>944.03</v>
      </c>
      <c r="D883" s="10">
        <v>1659.3</v>
      </c>
      <c r="E883" s="11">
        <v>944.03</v>
      </c>
      <c r="F883" s="12">
        <v>1366.9</v>
      </c>
      <c r="G883" s="11">
        <v>944.03</v>
      </c>
      <c r="H883" s="12">
        <v>1454.4</v>
      </c>
      <c r="I883" s="11">
        <v>944.03</v>
      </c>
      <c r="J883" s="12">
        <v>1813</v>
      </c>
      <c r="K883" s="11">
        <v>944.03</v>
      </c>
      <c r="L883" s="12">
        <v>1912.7</v>
      </c>
      <c r="M883" s="11">
        <v>944.03</v>
      </c>
      <c r="N883" s="13">
        <v>1270</v>
      </c>
      <c r="O883" s="13">
        <v>1659.3</v>
      </c>
      <c r="P883" s="13">
        <v>1366.9</v>
      </c>
      <c r="Q883" s="11">
        <v>1454.4</v>
      </c>
      <c r="R883" s="11">
        <v>1813</v>
      </c>
      <c r="S883" s="14">
        <v>1912.7</v>
      </c>
      <c r="T883" s="11">
        <v>944.03</v>
      </c>
      <c r="U883" s="13">
        <f>IF('0.0%'!$N883&lt;$Z$3,0, '0.0%'!$O883/'0.0%'!$N883)</f>
        <v>1.3065354330708661</v>
      </c>
      <c r="V883" s="13">
        <f>IF('0.0%'!$N883&lt;$Z$3,0, '0.0%'!$P883/'0.0%'!$N883)</f>
        <v>1.0762992125984252</v>
      </c>
      <c r="W883" s="13">
        <f>IF('0.0%'!$N883&lt;$Z$3,0, '0.0%'!$Q883/'0.0%'!$N883)</f>
        <v>1.1451968503937009</v>
      </c>
      <c r="X883" s="13">
        <f>IF('0.0%'!$N883&lt;$Z$3,0, '0.0%'!$R883/'0.0%'!$N883)</f>
        <v>1.4275590551181103</v>
      </c>
      <c r="Y883" s="13">
        <f>IF('0.0%'!$N883&lt;$Z$3,0, '0.0%'!$S883/'0.0%'!$N883)</f>
        <v>1.5060629921259843</v>
      </c>
    </row>
    <row r="884" spans="1:25" x14ac:dyDescent="0.3">
      <c r="A884" s="17">
        <v>945.02</v>
      </c>
      <c r="B884" s="10">
        <v>1284.8</v>
      </c>
      <c r="C884" s="9">
        <v>945.02</v>
      </c>
      <c r="D884" s="10">
        <v>1675.1</v>
      </c>
      <c r="E884" s="11">
        <v>945.02</v>
      </c>
      <c r="F884" s="12">
        <v>1381.4</v>
      </c>
      <c r="G884" s="11">
        <v>945.02</v>
      </c>
      <c r="H884" s="12">
        <v>1468.9</v>
      </c>
      <c r="I884" s="11">
        <v>945.02</v>
      </c>
      <c r="J884" s="12">
        <v>1826.2</v>
      </c>
      <c r="K884" s="11">
        <v>945.02</v>
      </c>
      <c r="L884" s="12">
        <v>1926.8</v>
      </c>
      <c r="M884" s="11">
        <v>945.02</v>
      </c>
      <c r="N884" s="13">
        <v>1284.8</v>
      </c>
      <c r="O884" s="13">
        <v>1675.1</v>
      </c>
      <c r="P884" s="13">
        <v>1381.4</v>
      </c>
      <c r="Q884" s="11">
        <v>1468.9</v>
      </c>
      <c r="R884" s="11">
        <v>1826.2</v>
      </c>
      <c r="S884" s="14">
        <v>1926.8</v>
      </c>
      <c r="T884" s="11">
        <v>945.02</v>
      </c>
      <c r="U884" s="13">
        <f>IF('0.0%'!$N884&lt;$Z$3,0, '0.0%'!$O884/'0.0%'!$N884)</f>
        <v>1.3037826899128269</v>
      </c>
      <c r="V884" s="13">
        <f>IF('0.0%'!$N884&lt;$Z$3,0, '0.0%'!$P884/'0.0%'!$N884)</f>
        <v>1.075186799501868</v>
      </c>
      <c r="W884" s="13">
        <f>IF('0.0%'!$N884&lt;$Z$3,0, '0.0%'!$Q884/'0.0%'!$N884)</f>
        <v>1.1432907845579079</v>
      </c>
      <c r="X884" s="13">
        <f>IF('0.0%'!$N884&lt;$Z$3,0, '0.0%'!$R884/'0.0%'!$N884)</f>
        <v>1.4213885429638855</v>
      </c>
      <c r="Y884" s="13">
        <f>IF('0.0%'!$N884&lt;$Z$3,0, '0.0%'!$S884/'0.0%'!$N884)</f>
        <v>1.4996886674968868</v>
      </c>
    </row>
    <row r="885" spans="1:25" x14ac:dyDescent="0.3">
      <c r="A885" s="17">
        <v>946.01</v>
      </c>
      <c r="B885" s="10">
        <v>1298.8</v>
      </c>
      <c r="C885" s="9">
        <v>946.01</v>
      </c>
      <c r="D885" s="10">
        <v>1689.5</v>
      </c>
      <c r="E885" s="11">
        <v>946.01</v>
      </c>
      <c r="F885" s="12">
        <v>1395</v>
      </c>
      <c r="G885" s="11">
        <v>946.01</v>
      </c>
      <c r="H885" s="12">
        <v>1482.3</v>
      </c>
      <c r="I885" s="11">
        <v>946.01</v>
      </c>
      <c r="J885" s="12">
        <v>1838</v>
      </c>
      <c r="K885" s="11">
        <v>946.01</v>
      </c>
      <c r="L885" s="12">
        <v>1939.4</v>
      </c>
      <c r="M885" s="11">
        <v>946.01</v>
      </c>
      <c r="N885" s="13">
        <v>1298.8</v>
      </c>
      <c r="O885" s="13">
        <v>1689.5</v>
      </c>
      <c r="P885" s="13">
        <v>1395</v>
      </c>
      <c r="Q885" s="11">
        <v>1482.3</v>
      </c>
      <c r="R885" s="11">
        <v>1838</v>
      </c>
      <c r="S885" s="14">
        <v>1939.4</v>
      </c>
      <c r="T885" s="11">
        <v>946.01</v>
      </c>
      <c r="U885" s="13">
        <f>IF('0.0%'!$N885&lt;$Z$3,0, '0.0%'!$O885/'0.0%'!$N885)</f>
        <v>1.3008161379735141</v>
      </c>
      <c r="V885" s="13">
        <f>IF('0.0%'!$N885&lt;$Z$3,0, '0.0%'!$P885/'0.0%'!$N885)</f>
        <v>1.074068370803819</v>
      </c>
      <c r="W885" s="13">
        <f>IF('0.0%'!$N885&lt;$Z$3,0, '0.0%'!$Q885/'0.0%'!$N885)</f>
        <v>1.141284262396058</v>
      </c>
      <c r="X885" s="13">
        <f>IF('0.0%'!$N885&lt;$Z$3,0, '0.0%'!$R885/'0.0%'!$N885)</f>
        <v>1.4151524484139206</v>
      </c>
      <c r="Y885" s="13">
        <f>IF('0.0%'!$N885&lt;$Z$3,0, '0.0%'!$S885/'0.0%'!$N885)</f>
        <v>1.4932245149368648</v>
      </c>
    </row>
    <row r="886" spans="1:25" x14ac:dyDescent="0.3">
      <c r="A886" s="17">
        <v>947</v>
      </c>
      <c r="B886" s="10">
        <v>1311.2</v>
      </c>
      <c r="C886" s="9">
        <v>947</v>
      </c>
      <c r="D886" s="10">
        <v>1702.4</v>
      </c>
      <c r="E886" s="11">
        <v>947</v>
      </c>
      <c r="F886" s="12">
        <v>1406.9</v>
      </c>
      <c r="G886" s="11">
        <v>947</v>
      </c>
      <c r="H886" s="12">
        <v>1494.1</v>
      </c>
      <c r="I886" s="11">
        <v>947</v>
      </c>
      <c r="J886" s="12">
        <v>1848.3</v>
      </c>
      <c r="K886" s="11">
        <v>947</v>
      </c>
      <c r="L886" s="12">
        <v>1950.8</v>
      </c>
      <c r="M886" s="11">
        <v>947</v>
      </c>
      <c r="N886" s="13">
        <v>1311.2</v>
      </c>
      <c r="O886" s="13">
        <v>1702.4</v>
      </c>
      <c r="P886" s="13">
        <v>1406.9</v>
      </c>
      <c r="Q886" s="11">
        <v>1494.1</v>
      </c>
      <c r="R886" s="11">
        <v>1848.3</v>
      </c>
      <c r="S886" s="14">
        <v>1950.8</v>
      </c>
      <c r="T886" s="11">
        <v>947</v>
      </c>
      <c r="U886" s="13">
        <f>IF('0.0%'!$N886&lt;$Z$3,0, '0.0%'!$O886/'0.0%'!$N886)</f>
        <v>1.298352654057352</v>
      </c>
      <c r="V886" s="13">
        <f>IF('0.0%'!$N886&lt;$Z$3,0, '0.0%'!$P886/'0.0%'!$N886)</f>
        <v>1.0729865771812082</v>
      </c>
      <c r="W886" s="13">
        <f>IF('0.0%'!$N886&lt;$Z$3,0, '0.0%'!$Q886/'0.0%'!$N886)</f>
        <v>1.1394905430140327</v>
      </c>
      <c r="X886" s="13">
        <f>IF('0.0%'!$N886&lt;$Z$3,0, '0.0%'!$R886/'0.0%'!$N886)</f>
        <v>1.4096247712019523</v>
      </c>
      <c r="Y886" s="13">
        <f>IF('0.0%'!$N886&lt;$Z$3,0, '0.0%'!$S886/'0.0%'!$N886)</f>
        <v>1.487797437461867</v>
      </c>
    </row>
    <row r="887" spans="1:25" x14ac:dyDescent="0.3">
      <c r="A887" s="17">
        <v>947.99</v>
      </c>
      <c r="B887" s="10">
        <v>1322.6</v>
      </c>
      <c r="C887" s="9">
        <v>947.99</v>
      </c>
      <c r="D887" s="10">
        <v>1714.1</v>
      </c>
      <c r="E887" s="11">
        <v>947.99</v>
      </c>
      <c r="F887" s="12">
        <v>1418</v>
      </c>
      <c r="G887" s="11">
        <v>947.99</v>
      </c>
      <c r="H887" s="12">
        <v>1504.8</v>
      </c>
      <c r="I887" s="11">
        <v>947.99</v>
      </c>
      <c r="J887" s="12">
        <v>1857.1</v>
      </c>
      <c r="K887" s="11">
        <v>947.99</v>
      </c>
      <c r="L887" s="12">
        <v>1960.8</v>
      </c>
      <c r="M887" s="11">
        <v>947.99</v>
      </c>
      <c r="N887" s="13">
        <v>1322.6</v>
      </c>
      <c r="O887" s="13">
        <v>1714.1</v>
      </c>
      <c r="P887" s="13">
        <v>1418</v>
      </c>
      <c r="Q887" s="11">
        <v>1504.8</v>
      </c>
      <c r="R887" s="11">
        <v>1857.1</v>
      </c>
      <c r="S887" s="14">
        <v>1960.8</v>
      </c>
      <c r="T887" s="11">
        <v>947.99</v>
      </c>
      <c r="U887" s="13">
        <f>IF('0.0%'!$N887&lt;$Z$3,0, '0.0%'!$O887/'0.0%'!$N887)</f>
        <v>1.2960078632995615</v>
      </c>
      <c r="V887" s="13">
        <f>IF('0.0%'!$N887&lt;$Z$3,0, '0.0%'!$P887/'0.0%'!$N887)</f>
        <v>1.0721306517465599</v>
      </c>
      <c r="W887" s="13">
        <f>IF('0.0%'!$N887&lt;$Z$3,0, '0.0%'!$Q887/'0.0%'!$N887)</f>
        <v>1.1377589596249811</v>
      </c>
      <c r="X887" s="13">
        <f>IF('0.0%'!$N887&lt;$Z$3,0, '0.0%'!$R887/'0.0%'!$N887)</f>
        <v>1.4041282322697717</v>
      </c>
      <c r="Y887" s="13">
        <f>IF('0.0%'!$N887&lt;$Z$3,0, '0.0%'!$S887/'0.0%'!$N887)</f>
        <v>1.4825344019355815</v>
      </c>
    </row>
    <row r="888" spans="1:25" x14ac:dyDescent="0.3">
      <c r="A888" s="17">
        <v>948.98</v>
      </c>
      <c r="B888" s="10">
        <v>1332.7</v>
      </c>
      <c r="C888" s="9">
        <v>948.98</v>
      </c>
      <c r="D888" s="10">
        <v>1724.6</v>
      </c>
      <c r="E888" s="11">
        <v>948.98</v>
      </c>
      <c r="F888" s="12">
        <v>1427.6</v>
      </c>
      <c r="G888" s="11">
        <v>948.98</v>
      </c>
      <c r="H888" s="12">
        <v>1514</v>
      </c>
      <c r="I888" s="11">
        <v>948.98</v>
      </c>
      <c r="J888" s="12">
        <v>1864.7</v>
      </c>
      <c r="K888" s="11">
        <v>948.98</v>
      </c>
      <c r="L888" s="12">
        <v>1969.7</v>
      </c>
      <c r="M888" s="11">
        <v>948.98</v>
      </c>
      <c r="N888" s="13">
        <v>1332.7</v>
      </c>
      <c r="O888" s="13">
        <v>1724.6</v>
      </c>
      <c r="P888" s="13">
        <v>1427.6</v>
      </c>
      <c r="Q888" s="11">
        <v>1514</v>
      </c>
      <c r="R888" s="11">
        <v>1864.7</v>
      </c>
      <c r="S888" s="14">
        <v>1969.7</v>
      </c>
      <c r="T888" s="11">
        <v>948.98</v>
      </c>
      <c r="U888" s="13">
        <f>IF('0.0%'!$N888&lt;$Z$3,0, '0.0%'!$O888/'0.0%'!$N888)</f>
        <v>1.2940646807233436</v>
      </c>
      <c r="V888" s="13">
        <f>IF('0.0%'!$N888&lt;$Z$3,0, '0.0%'!$P888/'0.0%'!$N888)</f>
        <v>1.0712088241914908</v>
      </c>
      <c r="W888" s="13">
        <f>IF('0.0%'!$N888&lt;$Z$3,0, '0.0%'!$Q888/'0.0%'!$N888)</f>
        <v>1.136039618818939</v>
      </c>
      <c r="X888" s="13">
        <f>IF('0.0%'!$N888&lt;$Z$3,0, '0.0%'!$R888/'0.0%'!$N888)</f>
        <v>1.3991896150671568</v>
      </c>
      <c r="Y888" s="13">
        <f>IF('0.0%'!$N888&lt;$Z$3,0, '0.0%'!$S888/'0.0%'!$N888)</f>
        <v>1.4779770390935694</v>
      </c>
    </row>
    <row r="889" spans="1:25" x14ac:dyDescent="0.3">
      <c r="A889" s="17">
        <v>949.98</v>
      </c>
      <c r="B889" s="10">
        <v>1342</v>
      </c>
      <c r="C889" s="9">
        <v>949.98</v>
      </c>
      <c r="D889" s="10">
        <v>1734.1</v>
      </c>
      <c r="E889" s="11">
        <v>949.98</v>
      </c>
      <c r="F889" s="12">
        <v>1436.5</v>
      </c>
      <c r="G889" s="11">
        <v>949.98</v>
      </c>
      <c r="H889" s="12">
        <v>1522.2</v>
      </c>
      <c r="I889" s="11">
        <v>949.98</v>
      </c>
      <c r="J889" s="12">
        <v>1871.3</v>
      </c>
      <c r="K889" s="11">
        <v>949.98</v>
      </c>
      <c r="L889" s="12">
        <v>1977.6</v>
      </c>
      <c r="M889" s="11">
        <v>949.98</v>
      </c>
      <c r="N889" s="13">
        <v>1342</v>
      </c>
      <c r="O889" s="13">
        <v>1734.1</v>
      </c>
      <c r="P889" s="13">
        <v>1436.5</v>
      </c>
      <c r="Q889" s="11">
        <v>1522.2</v>
      </c>
      <c r="R889" s="11">
        <v>1871.3</v>
      </c>
      <c r="S889" s="14">
        <v>1977.6</v>
      </c>
      <c r="T889" s="11">
        <v>949.98</v>
      </c>
      <c r="U889" s="13">
        <f>IF('0.0%'!$N889&lt;$Z$3,0, '0.0%'!$O889/'0.0%'!$N889)</f>
        <v>1.2921758569299553</v>
      </c>
      <c r="V889" s="13">
        <f>IF('0.0%'!$N889&lt;$Z$3,0, '0.0%'!$P889/'0.0%'!$N889)</f>
        <v>1.0704172876304023</v>
      </c>
      <c r="W889" s="13">
        <f>IF('0.0%'!$N889&lt;$Z$3,0, '0.0%'!$Q889/'0.0%'!$N889)</f>
        <v>1.1342771982116244</v>
      </c>
      <c r="X889" s="13">
        <f>IF('0.0%'!$N889&lt;$Z$3,0, '0.0%'!$R889/'0.0%'!$N889)</f>
        <v>1.3944113263785394</v>
      </c>
      <c r="Y889" s="13">
        <f>IF('0.0%'!$N889&lt;$Z$3,0, '0.0%'!$S889/'0.0%'!$N889)</f>
        <v>1.4736214605067064</v>
      </c>
    </row>
    <row r="890" spans="1:25" x14ac:dyDescent="0.3">
      <c r="A890" s="17">
        <v>950.97</v>
      </c>
      <c r="B890" s="10">
        <v>1350.5</v>
      </c>
      <c r="C890" s="9">
        <v>950.97</v>
      </c>
      <c r="D890" s="10">
        <v>1742.8</v>
      </c>
      <c r="E890" s="11">
        <v>950.97</v>
      </c>
      <c r="F890" s="12">
        <v>1444.5</v>
      </c>
      <c r="G890" s="11">
        <v>950.97</v>
      </c>
      <c r="H890" s="12">
        <v>1529.5</v>
      </c>
      <c r="I890" s="11">
        <v>950.97</v>
      </c>
      <c r="J890" s="12">
        <v>1877.3</v>
      </c>
      <c r="K890" s="11">
        <v>950.97</v>
      </c>
      <c r="L890" s="12">
        <v>1985</v>
      </c>
      <c r="M890" s="11">
        <v>950.97</v>
      </c>
      <c r="N890" s="13">
        <v>1350.5</v>
      </c>
      <c r="O890" s="13">
        <v>1742.8</v>
      </c>
      <c r="P890" s="13">
        <v>1444.5</v>
      </c>
      <c r="Q890" s="11">
        <v>1529.5</v>
      </c>
      <c r="R890" s="11">
        <v>1877.3</v>
      </c>
      <c r="S890" s="14">
        <v>1985</v>
      </c>
      <c r="T890" s="11">
        <v>950.97</v>
      </c>
      <c r="U890" s="13">
        <f>IF('0.0%'!$N890&lt;$Z$3,0, '0.0%'!$O890/'0.0%'!$N890)</f>
        <v>1.2904850055534987</v>
      </c>
      <c r="V890" s="13">
        <f>IF('0.0%'!$N890&lt;$Z$3,0, '0.0%'!$P890/'0.0%'!$N890)</f>
        <v>1.0696038504257683</v>
      </c>
      <c r="W890" s="13">
        <f>IF('0.0%'!$N890&lt;$Z$3,0, '0.0%'!$Q890/'0.0%'!$N890)</f>
        <v>1.132543502406516</v>
      </c>
      <c r="X890" s="13">
        <f>IF('0.0%'!$N890&lt;$Z$3,0, '0.0%'!$R890/'0.0%'!$N890)</f>
        <v>1.3900777489818585</v>
      </c>
      <c r="Y890" s="13">
        <f>IF('0.0%'!$N890&lt;$Z$3,0, '0.0%'!$S890/'0.0%'!$N890)</f>
        <v>1.4698259903739357</v>
      </c>
    </row>
    <row r="891" spans="1:25" x14ac:dyDescent="0.3">
      <c r="A891" s="17">
        <v>951.96</v>
      </c>
      <c r="B891" s="10">
        <v>1358.7</v>
      </c>
      <c r="C891" s="9">
        <v>951.96</v>
      </c>
      <c r="D891" s="10">
        <v>1750.9</v>
      </c>
      <c r="E891" s="11">
        <v>951.96</v>
      </c>
      <c r="F891" s="12">
        <v>1452.2</v>
      </c>
      <c r="G891" s="11">
        <v>951.96</v>
      </c>
      <c r="H891" s="12">
        <v>1536.4</v>
      </c>
      <c r="I891" s="11">
        <v>951.96</v>
      </c>
      <c r="J891" s="12">
        <v>1882.7</v>
      </c>
      <c r="K891" s="11">
        <v>951.96</v>
      </c>
      <c r="L891" s="12">
        <v>1991.7</v>
      </c>
      <c r="M891" s="11">
        <v>951.96</v>
      </c>
      <c r="N891" s="13">
        <v>1358.7</v>
      </c>
      <c r="O891" s="13">
        <v>1750.9</v>
      </c>
      <c r="P891" s="13">
        <v>1452.2</v>
      </c>
      <c r="Q891" s="11">
        <v>1536.4</v>
      </c>
      <c r="R891" s="11">
        <v>1882.7</v>
      </c>
      <c r="S891" s="14">
        <v>1991.7</v>
      </c>
      <c r="T891" s="11">
        <v>951.96</v>
      </c>
      <c r="U891" s="13">
        <f>IF('0.0%'!$N891&lt;$Z$3,0, '0.0%'!$O891/'0.0%'!$N891)</f>
        <v>1.2886582762935159</v>
      </c>
      <c r="V891" s="13">
        <f>IF('0.0%'!$N891&lt;$Z$3,0, '0.0%'!$P891/'0.0%'!$N891)</f>
        <v>1.0688157797895046</v>
      </c>
      <c r="W891" s="13">
        <f>IF('0.0%'!$N891&lt;$Z$3,0, '0.0%'!$Q891/'0.0%'!$N891)</f>
        <v>1.1307867814822994</v>
      </c>
      <c r="X891" s="13">
        <f>IF('0.0%'!$N891&lt;$Z$3,0, '0.0%'!$R891/'0.0%'!$N891)</f>
        <v>1.3856627658791492</v>
      </c>
      <c r="Y891" s="13">
        <f>IF('0.0%'!$N891&lt;$Z$3,0, '0.0%'!$S891/'0.0%'!$N891)</f>
        <v>1.4658865091631708</v>
      </c>
    </row>
    <row r="892" spans="1:25" x14ac:dyDescent="0.3">
      <c r="A892" s="17">
        <v>952.95</v>
      </c>
      <c r="B892" s="10">
        <v>1366.2</v>
      </c>
      <c r="C892" s="9">
        <v>952.95</v>
      </c>
      <c r="D892" s="10">
        <v>1758.5</v>
      </c>
      <c r="E892" s="11">
        <v>952.95</v>
      </c>
      <c r="F892" s="12">
        <v>1459</v>
      </c>
      <c r="G892" s="11">
        <v>952.95</v>
      </c>
      <c r="H892" s="12">
        <v>1542.6</v>
      </c>
      <c r="I892" s="11">
        <v>952.95</v>
      </c>
      <c r="J892" s="12">
        <v>1887.6</v>
      </c>
      <c r="K892" s="11">
        <v>952.95</v>
      </c>
      <c r="L892" s="12">
        <v>1998</v>
      </c>
      <c r="M892" s="11">
        <v>952.95</v>
      </c>
      <c r="N892" s="13">
        <v>1366.2</v>
      </c>
      <c r="O892" s="13">
        <v>1758.5</v>
      </c>
      <c r="P892" s="13">
        <v>1459</v>
      </c>
      <c r="Q892" s="11">
        <v>1542.6</v>
      </c>
      <c r="R892" s="11">
        <v>1887.6</v>
      </c>
      <c r="S892" s="14">
        <v>1998</v>
      </c>
      <c r="T892" s="11">
        <v>952.95</v>
      </c>
      <c r="U892" s="13">
        <f>IF('0.0%'!$N892&lt;$Z$3,0, '0.0%'!$O892/'0.0%'!$N892)</f>
        <v>1.2871468306250915</v>
      </c>
      <c r="V892" s="13">
        <f>IF('0.0%'!$N892&lt;$Z$3,0, '0.0%'!$P892/'0.0%'!$N892)</f>
        <v>1.0679256331430245</v>
      </c>
      <c r="W892" s="13">
        <f>IF('0.0%'!$N892&lt;$Z$3,0, '0.0%'!$Q892/'0.0%'!$N892)</f>
        <v>1.129117259552042</v>
      </c>
      <c r="X892" s="13">
        <f>IF('0.0%'!$N892&lt;$Z$3,0, '0.0%'!$R892/'0.0%'!$N892)</f>
        <v>1.3816425120772946</v>
      </c>
      <c r="Y892" s="13">
        <f>IF('0.0%'!$N892&lt;$Z$3,0, '0.0%'!$S892/'0.0%'!$N892)</f>
        <v>1.4624505928853755</v>
      </c>
    </row>
    <row r="893" spans="1:25" x14ac:dyDescent="0.3">
      <c r="A893" s="17">
        <v>953.94</v>
      </c>
      <c r="B893" s="10">
        <v>1373.1</v>
      </c>
      <c r="C893" s="9">
        <v>953.94</v>
      </c>
      <c r="D893" s="10">
        <v>1765.4</v>
      </c>
      <c r="E893" s="11">
        <v>953.94</v>
      </c>
      <c r="F893" s="12">
        <v>1465.2</v>
      </c>
      <c r="G893" s="11">
        <v>953.94</v>
      </c>
      <c r="H893" s="12">
        <v>1548.1</v>
      </c>
      <c r="I893" s="11">
        <v>953.94</v>
      </c>
      <c r="J893" s="12">
        <v>1891.6</v>
      </c>
      <c r="K893" s="11">
        <v>953.94</v>
      </c>
      <c r="L893" s="12">
        <v>2003.4</v>
      </c>
      <c r="M893" s="11">
        <v>953.94</v>
      </c>
      <c r="N893" s="13">
        <v>1373.1</v>
      </c>
      <c r="O893" s="13">
        <v>1765.4</v>
      </c>
      <c r="P893" s="13">
        <v>1465.2</v>
      </c>
      <c r="Q893" s="11">
        <v>1548.1</v>
      </c>
      <c r="R893" s="11">
        <v>1891.6</v>
      </c>
      <c r="S893" s="14">
        <v>2003.4</v>
      </c>
      <c r="T893" s="11">
        <v>953.94</v>
      </c>
      <c r="U893" s="13">
        <f>IF('0.0%'!$N893&lt;$Z$3,0, '0.0%'!$O893/'0.0%'!$N893)</f>
        <v>1.2857038817274782</v>
      </c>
      <c r="V893" s="13">
        <f>IF('0.0%'!$N893&lt;$Z$3,0, '0.0%'!$P893/'0.0%'!$N893)</f>
        <v>1.0670745029495303</v>
      </c>
      <c r="W893" s="13">
        <f>IF('0.0%'!$N893&lt;$Z$3,0, '0.0%'!$Q893/'0.0%'!$N893)</f>
        <v>1.1274488383948729</v>
      </c>
      <c r="X893" s="13">
        <f>IF('0.0%'!$N893&lt;$Z$3,0, '0.0%'!$R893/'0.0%'!$N893)</f>
        <v>1.3776127011870949</v>
      </c>
      <c r="Y893" s="13">
        <f>IF('0.0%'!$N893&lt;$Z$3,0, '0.0%'!$S893/'0.0%'!$N893)</f>
        <v>1.4590343019445053</v>
      </c>
    </row>
    <row r="894" spans="1:25" x14ac:dyDescent="0.3">
      <c r="A894" s="17">
        <v>954.93</v>
      </c>
      <c r="B894" s="10">
        <v>1379.2</v>
      </c>
      <c r="C894" s="9">
        <v>954.93</v>
      </c>
      <c r="D894" s="10">
        <v>1771.9</v>
      </c>
      <c r="E894" s="11">
        <v>954.93</v>
      </c>
      <c r="F894" s="12">
        <v>1470.5</v>
      </c>
      <c r="G894" s="11">
        <v>954.93</v>
      </c>
      <c r="H894" s="12">
        <v>1552.7</v>
      </c>
      <c r="I894" s="11">
        <v>954.93</v>
      </c>
      <c r="J894" s="12">
        <v>1895.2</v>
      </c>
      <c r="K894" s="11">
        <v>954.93</v>
      </c>
      <c r="L894" s="12">
        <v>2008.4</v>
      </c>
      <c r="M894" s="11">
        <v>954.93</v>
      </c>
      <c r="N894" s="13">
        <v>1379.2</v>
      </c>
      <c r="O894" s="13">
        <v>1771.9</v>
      </c>
      <c r="P894" s="13">
        <v>1470.5</v>
      </c>
      <c r="Q894" s="11">
        <v>1552.7</v>
      </c>
      <c r="R894" s="11">
        <v>1895.2</v>
      </c>
      <c r="S894" s="14">
        <v>2008.4</v>
      </c>
      <c r="T894" s="11">
        <v>954.93</v>
      </c>
      <c r="U894" s="13">
        <f>IF('0.0%'!$N894&lt;$Z$3,0, '0.0%'!$O894/'0.0%'!$N894)</f>
        <v>1.2847302784222738</v>
      </c>
      <c r="V894" s="13">
        <f>IF('0.0%'!$N894&lt;$Z$3,0, '0.0%'!$P894/'0.0%'!$N894)</f>
        <v>1.0661977958236659</v>
      </c>
      <c r="W894" s="13">
        <f>IF('0.0%'!$N894&lt;$Z$3,0, '0.0%'!$Q894/'0.0%'!$N894)</f>
        <v>1.1257975638051043</v>
      </c>
      <c r="X894" s="13">
        <f>IF('0.0%'!$N894&lt;$Z$3,0, '0.0%'!$R894/'0.0%'!$N894)</f>
        <v>1.3741299303944314</v>
      </c>
      <c r="Y894" s="13">
        <f>IF('0.0%'!$N894&lt;$Z$3,0, '0.0%'!$S894/'0.0%'!$N894)</f>
        <v>1.4562064965197217</v>
      </c>
    </row>
    <row r="895" spans="1:25" x14ac:dyDescent="0.3">
      <c r="A895" s="17">
        <v>955.93</v>
      </c>
      <c r="B895" s="10">
        <v>1384.6</v>
      </c>
      <c r="C895" s="9">
        <v>955.93</v>
      </c>
      <c r="D895" s="10">
        <v>1777.7</v>
      </c>
      <c r="E895" s="11">
        <v>955.93</v>
      </c>
      <c r="F895" s="12">
        <v>1475.2</v>
      </c>
      <c r="G895" s="11">
        <v>955.93</v>
      </c>
      <c r="H895" s="12">
        <v>1556.8</v>
      </c>
      <c r="I895" s="11">
        <v>955.93</v>
      </c>
      <c r="J895" s="12">
        <v>1898</v>
      </c>
      <c r="K895" s="11">
        <v>955.93</v>
      </c>
      <c r="L895" s="12">
        <v>2012.2</v>
      </c>
      <c r="M895" s="11">
        <v>955.93</v>
      </c>
      <c r="N895" s="13">
        <v>1384.6</v>
      </c>
      <c r="O895" s="13">
        <v>1777.7</v>
      </c>
      <c r="P895" s="13">
        <v>1475.2</v>
      </c>
      <c r="Q895" s="11">
        <v>1556.8</v>
      </c>
      <c r="R895" s="11">
        <v>1898</v>
      </c>
      <c r="S895" s="14">
        <v>2012.2</v>
      </c>
      <c r="T895" s="11">
        <v>955.93</v>
      </c>
      <c r="U895" s="13">
        <f>IF('0.0%'!$N895&lt;$Z$3,0, '0.0%'!$O895/'0.0%'!$N895)</f>
        <v>1.283908710096779</v>
      </c>
      <c r="V895" s="13">
        <f>IF('0.0%'!$N895&lt;$Z$3,0, '0.0%'!$P895/'0.0%'!$N895)</f>
        <v>1.0654340603784487</v>
      </c>
      <c r="W895" s="13">
        <f>IF('0.0%'!$N895&lt;$Z$3,0, '0.0%'!$Q895/'0.0%'!$N895)</f>
        <v>1.1243680485338727</v>
      </c>
      <c r="X895" s="13">
        <f>IF('0.0%'!$N895&lt;$Z$3,0, '0.0%'!$R895/'0.0%'!$N895)</f>
        <v>1.370793008811209</v>
      </c>
      <c r="Y895" s="13">
        <f>IF('0.0%'!$N895&lt;$Z$3,0, '0.0%'!$S895/'0.0%'!$N895)</f>
        <v>1.4532717030189226</v>
      </c>
    </row>
    <row r="896" spans="1:25" x14ac:dyDescent="0.3">
      <c r="A896" s="17">
        <v>956.92</v>
      </c>
      <c r="B896" s="10">
        <v>1389.1</v>
      </c>
      <c r="C896" s="9">
        <v>956.92</v>
      </c>
      <c r="D896" s="10">
        <v>1783</v>
      </c>
      <c r="E896" s="11">
        <v>956.92</v>
      </c>
      <c r="F896" s="12">
        <v>1478.8</v>
      </c>
      <c r="G896" s="11">
        <v>956.92</v>
      </c>
      <c r="H896" s="12">
        <v>1560.1</v>
      </c>
      <c r="I896" s="11">
        <v>956.92</v>
      </c>
      <c r="J896" s="12">
        <v>1900.2</v>
      </c>
      <c r="K896" s="11">
        <v>956.92</v>
      </c>
      <c r="L896" s="12">
        <v>2015.6</v>
      </c>
      <c r="M896" s="11">
        <v>956.92</v>
      </c>
      <c r="N896" s="13">
        <v>1389.1</v>
      </c>
      <c r="O896" s="13">
        <v>1783</v>
      </c>
      <c r="P896" s="13">
        <v>1478.8</v>
      </c>
      <c r="Q896" s="11">
        <v>1560.1</v>
      </c>
      <c r="R896" s="11">
        <v>1900.2</v>
      </c>
      <c r="S896" s="14">
        <v>2015.6</v>
      </c>
      <c r="T896" s="11">
        <v>956.92</v>
      </c>
      <c r="U896" s="13">
        <f>IF('0.0%'!$N896&lt;$Z$3,0, '0.0%'!$O896/'0.0%'!$N896)</f>
        <v>1.2835648981354835</v>
      </c>
      <c r="V896" s="13">
        <f>IF('0.0%'!$N896&lt;$Z$3,0, '0.0%'!$P896/'0.0%'!$N896)</f>
        <v>1.0645741847239221</v>
      </c>
      <c r="W896" s="13">
        <f>IF('0.0%'!$N896&lt;$Z$3,0, '0.0%'!$Q896/'0.0%'!$N896)</f>
        <v>1.1231012886041323</v>
      </c>
      <c r="X896" s="13">
        <f>IF('0.0%'!$N896&lt;$Z$3,0, '0.0%'!$R896/'0.0%'!$N896)</f>
        <v>1.3679360737167952</v>
      </c>
      <c r="Y896" s="13">
        <f>IF('0.0%'!$N896&lt;$Z$3,0, '0.0%'!$S896/'0.0%'!$N896)</f>
        <v>1.4510114462601684</v>
      </c>
    </row>
    <row r="897" spans="1:25" x14ac:dyDescent="0.3">
      <c r="A897" s="17">
        <v>957.91</v>
      </c>
      <c r="B897" s="10">
        <v>1392.7</v>
      </c>
      <c r="C897" s="9">
        <v>957.91</v>
      </c>
      <c r="D897" s="10">
        <v>1787</v>
      </c>
      <c r="E897" s="11">
        <v>957.91</v>
      </c>
      <c r="F897" s="12">
        <v>1481.5</v>
      </c>
      <c r="G897" s="11">
        <v>957.91</v>
      </c>
      <c r="H897" s="12">
        <v>1562.4</v>
      </c>
      <c r="I897" s="11">
        <v>957.91</v>
      </c>
      <c r="J897" s="12">
        <v>1901.3</v>
      </c>
      <c r="K897" s="11">
        <v>957.91</v>
      </c>
      <c r="L897" s="12">
        <v>2017.4</v>
      </c>
      <c r="M897" s="11">
        <v>957.91</v>
      </c>
      <c r="N897" s="13">
        <v>1392.7</v>
      </c>
      <c r="O897" s="13">
        <v>1787</v>
      </c>
      <c r="P897" s="13">
        <v>1481.5</v>
      </c>
      <c r="Q897" s="11">
        <v>1562.4</v>
      </c>
      <c r="R897" s="11">
        <v>1901.3</v>
      </c>
      <c r="S897" s="14">
        <v>2017.4</v>
      </c>
      <c r="T897" s="11">
        <v>957.91</v>
      </c>
      <c r="U897" s="13">
        <f>IF('0.0%'!$N897&lt;$Z$3,0, '0.0%'!$O897/'0.0%'!$N897)</f>
        <v>1.2831191211316149</v>
      </c>
      <c r="V897" s="13">
        <f>IF('0.0%'!$N897&lt;$Z$3,0, '0.0%'!$P897/'0.0%'!$N897)</f>
        <v>1.0637610397070438</v>
      </c>
      <c r="W897" s="13">
        <f>IF('0.0%'!$N897&lt;$Z$3,0, '0.0%'!$Q897/'0.0%'!$N897)</f>
        <v>1.1218496445752855</v>
      </c>
      <c r="X897" s="13">
        <f>IF('0.0%'!$N897&lt;$Z$3,0, '0.0%'!$R897/'0.0%'!$N897)</f>
        <v>1.3651899188626408</v>
      </c>
      <c r="Y897" s="13">
        <f>IF('0.0%'!$N897&lt;$Z$3,0, '0.0%'!$S897/'0.0%'!$N897)</f>
        <v>1.4485531701012422</v>
      </c>
    </row>
    <row r="898" spans="1:25" x14ac:dyDescent="0.3">
      <c r="A898" s="17">
        <v>958.9</v>
      </c>
      <c r="B898" s="10">
        <v>1395.3</v>
      </c>
      <c r="C898" s="9">
        <v>958.9</v>
      </c>
      <c r="D898" s="10">
        <v>1790.3</v>
      </c>
      <c r="E898" s="11">
        <v>958.9</v>
      </c>
      <c r="F898" s="12">
        <v>1483.2</v>
      </c>
      <c r="G898" s="11">
        <v>958.9</v>
      </c>
      <c r="H898" s="12">
        <v>1563.7</v>
      </c>
      <c r="I898" s="11">
        <v>958.9</v>
      </c>
      <c r="J898" s="12">
        <v>1901.6</v>
      </c>
      <c r="K898" s="11">
        <v>958.9</v>
      </c>
      <c r="L898" s="12">
        <v>2018.5</v>
      </c>
      <c r="M898" s="11">
        <v>958.9</v>
      </c>
      <c r="N898" s="13">
        <v>1395.3</v>
      </c>
      <c r="O898" s="13">
        <v>1790.3</v>
      </c>
      <c r="P898" s="13">
        <v>1483.2</v>
      </c>
      <c r="Q898" s="11">
        <v>1563.7</v>
      </c>
      <c r="R898" s="11">
        <v>1901.6</v>
      </c>
      <c r="S898" s="14">
        <v>2018.5</v>
      </c>
      <c r="T898" s="11">
        <v>958.9</v>
      </c>
      <c r="U898" s="13">
        <f>IF('0.0%'!$N898&lt;$Z$3,0, '0.0%'!$O898/'0.0%'!$N898)</f>
        <v>1.2830932415967893</v>
      </c>
      <c r="V898" s="13">
        <f>IF('0.0%'!$N898&lt;$Z$3,0, '0.0%'!$P898/'0.0%'!$N898)</f>
        <v>1.0629972049021716</v>
      </c>
      <c r="W898" s="13">
        <f>IF('0.0%'!$N898&lt;$Z$3,0, '0.0%'!$Q898/'0.0%'!$N898)</f>
        <v>1.1206908908478463</v>
      </c>
      <c r="X898" s="13">
        <f>IF('0.0%'!$N898&lt;$Z$3,0, '0.0%'!$R898/'0.0%'!$N898)</f>
        <v>1.3628610334695048</v>
      </c>
      <c r="Y898" s="13">
        <f>IF('0.0%'!$N898&lt;$Z$3,0, '0.0%'!$S898/'0.0%'!$N898)</f>
        <v>1.4466422991471368</v>
      </c>
    </row>
    <row r="899" spans="1:25" x14ac:dyDescent="0.3">
      <c r="A899" s="17">
        <v>959.89</v>
      </c>
      <c r="B899" s="10">
        <v>1397.1</v>
      </c>
      <c r="C899" s="9">
        <v>959.89</v>
      </c>
      <c r="D899" s="10">
        <v>1792.6</v>
      </c>
      <c r="E899" s="11">
        <v>959.89</v>
      </c>
      <c r="F899" s="12">
        <v>1484.3</v>
      </c>
      <c r="G899" s="11">
        <v>959.89</v>
      </c>
      <c r="H899" s="12">
        <v>1564.3</v>
      </c>
      <c r="I899" s="11">
        <v>959.89</v>
      </c>
      <c r="J899" s="12">
        <v>1900.8</v>
      </c>
      <c r="K899" s="11">
        <v>959.89</v>
      </c>
      <c r="L899" s="12">
        <v>2018.4</v>
      </c>
      <c r="M899" s="11">
        <v>959.89</v>
      </c>
      <c r="N899" s="13">
        <v>1397.1</v>
      </c>
      <c r="O899" s="13">
        <v>1792.6</v>
      </c>
      <c r="P899" s="13">
        <v>1484.3</v>
      </c>
      <c r="Q899" s="11">
        <v>1564.3</v>
      </c>
      <c r="R899" s="11">
        <v>1900.8</v>
      </c>
      <c r="S899" s="14">
        <v>2018.4</v>
      </c>
      <c r="T899" s="11">
        <v>959.89</v>
      </c>
      <c r="U899" s="13">
        <f>IF('0.0%'!$N899&lt;$Z$3,0, '0.0%'!$O899/'0.0%'!$N899)</f>
        <v>1.2830863932431464</v>
      </c>
      <c r="V899" s="13">
        <f>IF('0.0%'!$N899&lt;$Z$3,0, '0.0%'!$P899/'0.0%'!$N899)</f>
        <v>1.0624150025051893</v>
      </c>
      <c r="W899" s="13">
        <f>IF('0.0%'!$N899&lt;$Z$3,0, '0.0%'!$Q899/'0.0%'!$N899)</f>
        <v>1.1196764726934365</v>
      </c>
      <c r="X899" s="13">
        <f>IF('0.0%'!$N899&lt;$Z$3,0, '0.0%'!$R899/'0.0%'!$N899)</f>
        <v>1.3605325316727508</v>
      </c>
      <c r="Y899" s="13">
        <f>IF('0.0%'!$N899&lt;$Z$3,0, '0.0%'!$S899/'0.0%'!$N899)</f>
        <v>1.4447068928494742</v>
      </c>
    </row>
    <row r="900" spans="1:25" x14ac:dyDescent="0.3">
      <c r="A900" s="17">
        <v>960.89</v>
      </c>
      <c r="B900" s="10">
        <v>1398.3</v>
      </c>
      <c r="C900" s="9">
        <v>960.89</v>
      </c>
      <c r="D900" s="10">
        <v>1794.6</v>
      </c>
      <c r="E900" s="11">
        <v>960.89</v>
      </c>
      <c r="F900" s="12">
        <v>1484.6</v>
      </c>
      <c r="G900" s="11">
        <v>960.89</v>
      </c>
      <c r="H900" s="12">
        <v>1564.4</v>
      </c>
      <c r="I900" s="11">
        <v>960.89</v>
      </c>
      <c r="J900" s="12">
        <v>1899.6</v>
      </c>
      <c r="K900" s="11">
        <v>960.89</v>
      </c>
      <c r="L900" s="12">
        <v>2017.9</v>
      </c>
      <c r="M900" s="11">
        <v>960.89</v>
      </c>
      <c r="N900" s="13">
        <v>1398.3</v>
      </c>
      <c r="O900" s="13">
        <v>1794.6</v>
      </c>
      <c r="P900" s="13">
        <v>1484.6</v>
      </c>
      <c r="Q900" s="11">
        <v>1564.4</v>
      </c>
      <c r="R900" s="11">
        <v>1899.6</v>
      </c>
      <c r="S900" s="14">
        <v>2017.9</v>
      </c>
      <c r="T900" s="11">
        <v>960.89</v>
      </c>
      <c r="U900" s="13">
        <f>IF('0.0%'!$N900&lt;$Z$3,0, '0.0%'!$O900/'0.0%'!$N900)</f>
        <v>1.2834155760566401</v>
      </c>
      <c r="V900" s="13">
        <f>IF('0.0%'!$N900&lt;$Z$3,0, '0.0%'!$P900/'0.0%'!$N900)</f>
        <v>1.06171780018594</v>
      </c>
      <c r="W900" s="13">
        <f>IF('0.0%'!$N900&lt;$Z$3,0, '0.0%'!$Q900/'0.0%'!$N900)</f>
        <v>1.1187870986197526</v>
      </c>
      <c r="X900" s="13">
        <f>IF('0.0%'!$N900&lt;$Z$3,0, '0.0%'!$R900/'0.0%'!$N900)</f>
        <v>1.3585067582063934</v>
      </c>
      <c r="Y900" s="13">
        <f>IF('0.0%'!$N900&lt;$Z$3,0, '0.0%'!$S900/'0.0%'!$N900)</f>
        <v>1.4431094900951156</v>
      </c>
    </row>
    <row r="901" spans="1:25" x14ac:dyDescent="0.3">
      <c r="A901" s="17">
        <v>961.88</v>
      </c>
      <c r="B901" s="10">
        <v>1399.2</v>
      </c>
      <c r="C901" s="9">
        <v>961.88</v>
      </c>
      <c r="D901" s="10">
        <v>1796</v>
      </c>
      <c r="E901" s="11">
        <v>961.88</v>
      </c>
      <c r="F901" s="12">
        <v>1484.7</v>
      </c>
      <c r="G901" s="11">
        <v>961.88</v>
      </c>
      <c r="H901" s="12">
        <v>1563.9</v>
      </c>
      <c r="I901" s="11">
        <v>961.88</v>
      </c>
      <c r="J901" s="12">
        <v>1897.9</v>
      </c>
      <c r="K901" s="11">
        <v>961.88</v>
      </c>
      <c r="L901" s="12">
        <v>2016.6</v>
      </c>
      <c r="M901" s="11">
        <v>961.88</v>
      </c>
      <c r="N901" s="13">
        <v>1399.2</v>
      </c>
      <c r="O901" s="13">
        <v>1796</v>
      </c>
      <c r="P901" s="13">
        <v>1484.7</v>
      </c>
      <c r="Q901" s="11">
        <v>1563.9</v>
      </c>
      <c r="R901" s="11">
        <v>1897.9</v>
      </c>
      <c r="S901" s="14">
        <v>2016.6</v>
      </c>
      <c r="T901" s="11">
        <v>961.88</v>
      </c>
      <c r="U901" s="13">
        <f>IF('0.0%'!$N901&lt;$Z$3,0, '0.0%'!$O901/'0.0%'!$N901)</f>
        <v>1.2835906232132648</v>
      </c>
      <c r="V901" s="13">
        <f>IF('0.0%'!$N901&lt;$Z$3,0, '0.0%'!$P901/'0.0%'!$N901)</f>
        <v>1.0611063464837049</v>
      </c>
      <c r="W901" s="13">
        <f>IF('0.0%'!$N901&lt;$Z$3,0, '0.0%'!$Q901/'0.0%'!$N901)</f>
        <v>1.1177101200686106</v>
      </c>
      <c r="X901" s="13">
        <f>IF('0.0%'!$N901&lt;$Z$3,0, '0.0%'!$R901/'0.0%'!$N901)</f>
        <v>1.3564179531160663</v>
      </c>
      <c r="Y901" s="13">
        <f>IF('0.0%'!$N901&lt;$Z$3,0, '0.0%'!$S901/'0.0%'!$N901)</f>
        <v>1.4412521440823327</v>
      </c>
    </row>
    <row r="902" spans="1:25" x14ac:dyDescent="0.3">
      <c r="A902" s="17">
        <v>962.87</v>
      </c>
      <c r="B902" s="10">
        <v>1399.8</v>
      </c>
      <c r="C902" s="9">
        <v>962.87</v>
      </c>
      <c r="D902" s="10">
        <v>1797.5</v>
      </c>
      <c r="E902" s="11">
        <v>962.87</v>
      </c>
      <c r="F902" s="12">
        <v>1484.3</v>
      </c>
      <c r="G902" s="11">
        <v>962.87</v>
      </c>
      <c r="H902" s="12">
        <v>1563.1</v>
      </c>
      <c r="I902" s="11">
        <v>962.87</v>
      </c>
      <c r="J902" s="12">
        <v>1896.2</v>
      </c>
      <c r="K902" s="11">
        <v>962.87</v>
      </c>
      <c r="L902" s="12">
        <v>2015.3</v>
      </c>
      <c r="M902" s="11">
        <v>962.87</v>
      </c>
      <c r="N902" s="13">
        <v>1399.8</v>
      </c>
      <c r="O902" s="13">
        <v>1797.5</v>
      </c>
      <c r="P902" s="13">
        <v>1484.3</v>
      </c>
      <c r="Q902" s="11">
        <v>1563.1</v>
      </c>
      <c r="R902" s="11">
        <v>1896.2</v>
      </c>
      <c r="S902" s="14">
        <v>2015.3</v>
      </c>
      <c r="T902" s="11">
        <v>962.87</v>
      </c>
      <c r="U902" s="13">
        <f>IF('0.0%'!$N902&lt;$Z$3,0, '0.0%'!$O902/'0.0%'!$N902)</f>
        <v>1.2841120160022861</v>
      </c>
      <c r="V902" s="13">
        <f>IF('0.0%'!$N902&lt;$Z$3,0, '0.0%'!$P902/'0.0%'!$N902)</f>
        <v>1.0603657665380768</v>
      </c>
      <c r="W902" s="13">
        <f>IF('0.0%'!$N902&lt;$Z$3,0, '0.0%'!$Q902/'0.0%'!$N902)</f>
        <v>1.1166595227889697</v>
      </c>
      <c r="X902" s="13">
        <f>IF('0.0%'!$N902&lt;$Z$3,0, '0.0%'!$R902/'0.0%'!$N902)</f>
        <v>1.3546220888698386</v>
      </c>
      <c r="Y902" s="13">
        <f>IF('0.0%'!$N902&lt;$Z$3,0, '0.0%'!$S902/'0.0%'!$N902)</f>
        <v>1.4397056722388912</v>
      </c>
    </row>
    <row r="903" spans="1:25" x14ac:dyDescent="0.3">
      <c r="A903" s="17">
        <v>963.86</v>
      </c>
      <c r="B903" s="10">
        <v>1400.2</v>
      </c>
      <c r="C903" s="9">
        <v>963.86</v>
      </c>
      <c r="D903" s="10">
        <v>1798.5</v>
      </c>
      <c r="E903" s="11">
        <v>963.86</v>
      </c>
      <c r="F903" s="12">
        <v>1484.1</v>
      </c>
      <c r="G903" s="11">
        <v>963.86</v>
      </c>
      <c r="H903" s="12">
        <v>1562</v>
      </c>
      <c r="I903" s="11">
        <v>963.86</v>
      </c>
      <c r="J903" s="12">
        <v>1894.1</v>
      </c>
      <c r="K903" s="11">
        <v>963.86</v>
      </c>
      <c r="L903" s="12">
        <v>2013.3</v>
      </c>
      <c r="M903" s="11">
        <v>963.86</v>
      </c>
      <c r="N903" s="13">
        <v>1400.2</v>
      </c>
      <c r="O903" s="13">
        <v>1798.5</v>
      </c>
      <c r="P903" s="13">
        <v>1484.1</v>
      </c>
      <c r="Q903" s="11">
        <v>1562</v>
      </c>
      <c r="R903" s="11">
        <v>1894.1</v>
      </c>
      <c r="S903" s="14">
        <v>2013.3</v>
      </c>
      <c r="T903" s="11">
        <v>963.86</v>
      </c>
      <c r="U903" s="13">
        <f>IF('0.0%'!$N903&lt;$Z$3,0, '0.0%'!$O903/'0.0%'!$N903)</f>
        <v>1.2844593629481502</v>
      </c>
      <c r="V903" s="13">
        <f>IF('0.0%'!$N903&lt;$Z$3,0, '0.0%'!$P903/'0.0%'!$N903)</f>
        <v>1.0599200114269389</v>
      </c>
      <c r="W903" s="13">
        <f>IF('0.0%'!$N903&lt;$Z$3,0, '0.0%'!$Q903/'0.0%'!$N903)</f>
        <v>1.1155549207256106</v>
      </c>
      <c r="X903" s="13">
        <f>IF('0.0%'!$N903&lt;$Z$3,0, '0.0%'!$R903/'0.0%'!$N903)</f>
        <v>1.3527353235252106</v>
      </c>
      <c r="Y903" s="13">
        <f>IF('0.0%'!$N903&lt;$Z$3,0, '0.0%'!$S903/'0.0%'!$N903)</f>
        <v>1.4378660191401227</v>
      </c>
    </row>
    <row r="904" spans="1:25" x14ac:dyDescent="0.3">
      <c r="A904" s="17">
        <v>964.85</v>
      </c>
      <c r="B904" s="10">
        <v>1400.4</v>
      </c>
      <c r="C904" s="9">
        <v>964.85</v>
      </c>
      <c r="D904" s="10">
        <v>1799.5</v>
      </c>
      <c r="E904" s="11">
        <v>964.85</v>
      </c>
      <c r="F904" s="12">
        <v>1483.5</v>
      </c>
      <c r="G904" s="11">
        <v>964.85</v>
      </c>
      <c r="H904" s="12">
        <v>1560.9</v>
      </c>
      <c r="I904" s="11">
        <v>964.85</v>
      </c>
      <c r="J904" s="12">
        <v>1892</v>
      </c>
      <c r="K904" s="11">
        <v>964.85</v>
      </c>
      <c r="L904" s="12">
        <v>2011.4</v>
      </c>
      <c r="M904" s="11">
        <v>964.85</v>
      </c>
      <c r="N904" s="13">
        <v>1400.4</v>
      </c>
      <c r="O904" s="13">
        <v>1799.5</v>
      </c>
      <c r="P904" s="13">
        <v>1483.5</v>
      </c>
      <c r="Q904" s="11">
        <v>1560.9</v>
      </c>
      <c r="R904" s="11">
        <v>1892</v>
      </c>
      <c r="S904" s="14">
        <v>2011.4</v>
      </c>
      <c r="T904" s="11">
        <v>964.85</v>
      </c>
      <c r="U904" s="13">
        <f>IF('0.0%'!$N904&lt;$Z$3,0, '0.0%'!$O904/'0.0%'!$N904)</f>
        <v>1.2849900028563266</v>
      </c>
      <c r="V904" s="13">
        <f>IF('0.0%'!$N904&lt;$Z$3,0, '0.0%'!$P904/'0.0%'!$N904)</f>
        <v>1.0593401885175664</v>
      </c>
      <c r="W904" s="13">
        <f>IF('0.0%'!$N904&lt;$Z$3,0, '0.0%'!$Q904/'0.0%'!$N904)</f>
        <v>1.1146101113967437</v>
      </c>
      <c r="X904" s="13">
        <f>IF('0.0%'!$N904&lt;$Z$3,0, '0.0%'!$R904/'0.0%'!$N904)</f>
        <v>1.3510425592687803</v>
      </c>
      <c r="Y904" s="13">
        <f>IF('0.0%'!$N904&lt;$Z$3,0, '0.0%'!$S904/'0.0%'!$N904)</f>
        <v>1.4363039131676663</v>
      </c>
    </row>
    <row r="905" spans="1:25" x14ac:dyDescent="0.3">
      <c r="A905" s="17">
        <v>965.84</v>
      </c>
      <c r="B905" s="10">
        <v>1400</v>
      </c>
      <c r="C905" s="9">
        <v>965.84</v>
      </c>
      <c r="D905" s="10">
        <v>1799.5</v>
      </c>
      <c r="E905" s="11">
        <v>965.84</v>
      </c>
      <c r="F905" s="12">
        <v>1482.7</v>
      </c>
      <c r="G905" s="11">
        <v>965.84</v>
      </c>
      <c r="H905" s="12">
        <v>1559.2</v>
      </c>
      <c r="I905" s="11">
        <v>965.84</v>
      </c>
      <c r="J905" s="12">
        <v>1889.2</v>
      </c>
      <c r="K905" s="11">
        <v>965.84</v>
      </c>
      <c r="L905" s="12">
        <v>2008.5</v>
      </c>
      <c r="M905" s="11">
        <v>965.84</v>
      </c>
      <c r="N905" s="13">
        <v>1400</v>
      </c>
      <c r="O905" s="13">
        <v>1799.5</v>
      </c>
      <c r="P905" s="13">
        <v>1482.7</v>
      </c>
      <c r="Q905" s="11">
        <v>1559.2</v>
      </c>
      <c r="R905" s="11">
        <v>1889.2</v>
      </c>
      <c r="S905" s="14">
        <v>2008.5</v>
      </c>
      <c r="T905" s="11">
        <v>965.84</v>
      </c>
      <c r="U905" s="13">
        <f>IF('0.0%'!$N905&lt;$Z$3,0, '0.0%'!$O905/'0.0%'!$N905)</f>
        <v>1.2853571428571429</v>
      </c>
      <c r="V905" s="13">
        <f>IF('0.0%'!$N905&lt;$Z$3,0, '0.0%'!$P905/'0.0%'!$N905)</f>
        <v>1.0590714285714287</v>
      </c>
      <c r="W905" s="13">
        <f>IF('0.0%'!$N905&lt;$Z$3,0, '0.0%'!$Q905/'0.0%'!$N905)</f>
        <v>1.1137142857142857</v>
      </c>
      <c r="X905" s="13">
        <f>IF('0.0%'!$N905&lt;$Z$3,0, '0.0%'!$R905/'0.0%'!$N905)</f>
        <v>1.3494285714285714</v>
      </c>
      <c r="Y905" s="13">
        <f>IF('0.0%'!$N905&lt;$Z$3,0, '0.0%'!$S905/'0.0%'!$N905)</f>
        <v>1.4346428571428571</v>
      </c>
    </row>
    <row r="906" spans="1:25" x14ac:dyDescent="0.3">
      <c r="A906" s="17">
        <v>966.84</v>
      </c>
      <c r="B906" s="10">
        <v>1398.7</v>
      </c>
      <c r="C906" s="9">
        <v>966.84</v>
      </c>
      <c r="D906" s="10">
        <v>1798.9</v>
      </c>
      <c r="E906" s="11">
        <v>966.84</v>
      </c>
      <c r="F906" s="12">
        <v>1480.9</v>
      </c>
      <c r="G906" s="11">
        <v>966.84</v>
      </c>
      <c r="H906" s="12">
        <v>1556.8</v>
      </c>
      <c r="I906" s="11">
        <v>966.84</v>
      </c>
      <c r="J906" s="12">
        <v>1885.8</v>
      </c>
      <c r="K906" s="11">
        <v>966.84</v>
      </c>
      <c r="L906" s="12">
        <v>2004.8</v>
      </c>
      <c r="M906" s="11">
        <v>966.84</v>
      </c>
      <c r="N906" s="13">
        <v>1398.7</v>
      </c>
      <c r="O906" s="13">
        <v>1798.9</v>
      </c>
      <c r="P906" s="13">
        <v>1480.9</v>
      </c>
      <c r="Q906" s="11">
        <v>1556.8</v>
      </c>
      <c r="R906" s="11">
        <v>1885.8</v>
      </c>
      <c r="S906" s="14">
        <v>2004.8</v>
      </c>
      <c r="T906" s="11">
        <v>966.84</v>
      </c>
      <c r="U906" s="13">
        <f>IF('0.0%'!$N906&lt;$Z$3,0, '0.0%'!$O906/'0.0%'!$N906)</f>
        <v>1.2861228283406021</v>
      </c>
      <c r="V906" s="13">
        <f>IF('0.0%'!$N906&lt;$Z$3,0, '0.0%'!$P906/'0.0%'!$N906)</f>
        <v>1.058768856795596</v>
      </c>
      <c r="W906" s="13">
        <f>IF('0.0%'!$N906&lt;$Z$3,0, '0.0%'!$Q906/'0.0%'!$N906)</f>
        <v>1.1130335311360549</v>
      </c>
      <c r="X906" s="13">
        <f>IF('0.0%'!$N906&lt;$Z$3,0, '0.0%'!$R906/'0.0%'!$N906)</f>
        <v>1.3482519482376492</v>
      </c>
      <c r="Y906" s="13">
        <f>IF('0.0%'!$N906&lt;$Z$3,0, '0.0%'!$S906/'0.0%'!$N906)</f>
        <v>1.4333309501680132</v>
      </c>
    </row>
    <row r="907" spans="1:25" x14ac:dyDescent="0.3">
      <c r="A907" s="17">
        <v>967.83</v>
      </c>
      <c r="B907" s="10">
        <v>1396.7</v>
      </c>
      <c r="C907" s="9">
        <v>967.83</v>
      </c>
      <c r="D907" s="10">
        <v>1797.3</v>
      </c>
      <c r="E907" s="11">
        <v>967.83</v>
      </c>
      <c r="F907" s="12">
        <v>1478.4</v>
      </c>
      <c r="G907" s="11">
        <v>967.83</v>
      </c>
      <c r="H907" s="12">
        <v>1553.6</v>
      </c>
      <c r="I907" s="11">
        <v>967.83</v>
      </c>
      <c r="J907" s="12">
        <v>1881.4</v>
      </c>
      <c r="K907" s="11">
        <v>967.83</v>
      </c>
      <c r="L907" s="12">
        <v>1999.8</v>
      </c>
      <c r="M907" s="11">
        <v>967.83</v>
      </c>
      <c r="N907" s="13">
        <v>1396.7</v>
      </c>
      <c r="O907" s="13">
        <v>1797.3</v>
      </c>
      <c r="P907" s="13">
        <v>1478.4</v>
      </c>
      <c r="Q907" s="11">
        <v>1553.6</v>
      </c>
      <c r="R907" s="11">
        <v>1881.4</v>
      </c>
      <c r="S907" s="14">
        <v>1999.8</v>
      </c>
      <c r="T907" s="11">
        <v>967.83</v>
      </c>
      <c r="U907" s="13">
        <f>IF('0.0%'!$N907&lt;$Z$3,0, '0.0%'!$O907/'0.0%'!$N907)</f>
        <v>1.2868189303357915</v>
      </c>
      <c r="V907" s="13">
        <f>IF('0.0%'!$N907&lt;$Z$3,0, '0.0%'!$P907/'0.0%'!$N907)</f>
        <v>1.0584950239851079</v>
      </c>
      <c r="W907" s="13">
        <f>IF('0.0%'!$N907&lt;$Z$3,0, '0.0%'!$Q907/'0.0%'!$N907)</f>
        <v>1.1123362210925754</v>
      </c>
      <c r="X907" s="13">
        <f>IF('0.0%'!$N907&lt;$Z$3,0, '0.0%'!$R907/'0.0%'!$N907)</f>
        <v>1.3470322903987972</v>
      </c>
      <c r="Y907" s="13">
        <f>IF('0.0%'!$N907&lt;$Z$3,0, '0.0%'!$S907/'0.0%'!$N907)</f>
        <v>1.431803536908427</v>
      </c>
    </row>
    <row r="908" spans="1:25" x14ac:dyDescent="0.3">
      <c r="A908" s="17">
        <v>968.82</v>
      </c>
      <c r="B908" s="10">
        <v>1394.1</v>
      </c>
      <c r="C908" s="9">
        <v>968.82</v>
      </c>
      <c r="D908" s="10">
        <v>1795.2</v>
      </c>
      <c r="E908" s="11">
        <v>968.82</v>
      </c>
      <c r="F908" s="12">
        <v>1475.3</v>
      </c>
      <c r="G908" s="11">
        <v>968.82</v>
      </c>
      <c r="H908" s="12">
        <v>1550</v>
      </c>
      <c r="I908" s="11">
        <v>968.82</v>
      </c>
      <c r="J908" s="12">
        <v>1876.5</v>
      </c>
      <c r="K908" s="11">
        <v>968.82</v>
      </c>
      <c r="L908" s="12">
        <v>1994.4</v>
      </c>
      <c r="M908" s="11">
        <v>968.82</v>
      </c>
      <c r="N908" s="13">
        <v>1394.1</v>
      </c>
      <c r="O908" s="13">
        <v>1795.2</v>
      </c>
      <c r="P908" s="13">
        <v>1475.3</v>
      </c>
      <c r="Q908" s="11">
        <v>1550</v>
      </c>
      <c r="R908" s="11">
        <v>1876.5</v>
      </c>
      <c r="S908" s="14">
        <v>1994.4</v>
      </c>
      <c r="T908" s="11">
        <v>968.82</v>
      </c>
      <c r="U908" s="13">
        <f>IF('0.0%'!$N908&lt;$Z$3,0, '0.0%'!$O908/'0.0%'!$N908)</f>
        <v>1.2877125026899077</v>
      </c>
      <c r="V908" s="13">
        <f>IF('0.0%'!$N908&lt;$Z$3,0, '0.0%'!$P908/'0.0%'!$N908)</f>
        <v>1.0582454630227387</v>
      </c>
      <c r="W908" s="13">
        <f>IF('0.0%'!$N908&lt;$Z$3,0, '0.0%'!$Q908/'0.0%'!$N908)</f>
        <v>1.1118284197690267</v>
      </c>
      <c r="X908" s="13">
        <f>IF('0.0%'!$N908&lt;$Z$3,0, '0.0%'!$R908/'0.0%'!$N908)</f>
        <v>1.3460296965784377</v>
      </c>
      <c r="Y908" s="13">
        <f>IF('0.0%'!$N908&lt;$Z$3,0, '0.0%'!$S908/'0.0%'!$N908)</f>
        <v>1.4306003873466755</v>
      </c>
    </row>
    <row r="909" spans="1:25" x14ac:dyDescent="0.3">
      <c r="A909" s="17">
        <v>969.81</v>
      </c>
      <c r="B909" s="10">
        <v>1391.3</v>
      </c>
      <c r="C909" s="9">
        <v>969.81</v>
      </c>
      <c r="D909" s="10">
        <v>1792.5</v>
      </c>
      <c r="E909" s="11">
        <v>969.81</v>
      </c>
      <c r="F909" s="12">
        <v>1472.1</v>
      </c>
      <c r="G909" s="11">
        <v>969.81</v>
      </c>
      <c r="H909" s="12">
        <v>1546.2</v>
      </c>
      <c r="I909" s="11">
        <v>969.81</v>
      </c>
      <c r="J909" s="12">
        <v>1871.3</v>
      </c>
      <c r="K909" s="11">
        <v>969.81</v>
      </c>
      <c r="L909" s="12">
        <v>1988.7</v>
      </c>
      <c r="M909" s="11">
        <v>969.81</v>
      </c>
      <c r="N909" s="13">
        <v>1391.3</v>
      </c>
      <c r="O909" s="13">
        <v>1792.5</v>
      </c>
      <c r="P909" s="13">
        <v>1472.1</v>
      </c>
      <c r="Q909" s="11">
        <v>1546.2</v>
      </c>
      <c r="R909" s="11">
        <v>1871.3</v>
      </c>
      <c r="S909" s="14">
        <v>1988.7</v>
      </c>
      <c r="T909" s="11">
        <v>969.81</v>
      </c>
      <c r="U909" s="13">
        <f>IF('0.0%'!$N909&lt;$Z$3,0, '0.0%'!$O909/'0.0%'!$N909)</f>
        <v>1.2883634011356286</v>
      </c>
      <c r="V909" s="13">
        <f>IF('0.0%'!$N909&lt;$Z$3,0, '0.0%'!$P909/'0.0%'!$N909)</f>
        <v>1.0580751814849421</v>
      </c>
      <c r="W909" s="13">
        <f>IF('0.0%'!$N909&lt;$Z$3,0, '0.0%'!$Q909/'0.0%'!$N909)</f>
        <v>1.1113347229210091</v>
      </c>
      <c r="X909" s="13">
        <f>IF('0.0%'!$N909&lt;$Z$3,0, '0.0%'!$R909/'0.0%'!$N909)</f>
        <v>1.3450010781283692</v>
      </c>
      <c r="Y909" s="13">
        <f>IF('0.0%'!$N909&lt;$Z$3,0, '0.0%'!$S909/'0.0%'!$N909)</f>
        <v>1.4293825918205996</v>
      </c>
    </row>
    <row r="910" spans="1:25" x14ac:dyDescent="0.3">
      <c r="A910" s="17">
        <v>970.8</v>
      </c>
      <c r="B910" s="10">
        <v>1387.3</v>
      </c>
      <c r="C910" s="9">
        <v>970.8</v>
      </c>
      <c r="D910" s="10">
        <v>1788.5</v>
      </c>
      <c r="E910" s="11">
        <v>970.8</v>
      </c>
      <c r="F910" s="12">
        <v>1467.8</v>
      </c>
      <c r="G910" s="11">
        <v>970.8</v>
      </c>
      <c r="H910" s="12">
        <v>1541.1</v>
      </c>
      <c r="I910" s="11">
        <v>970.8</v>
      </c>
      <c r="J910" s="12">
        <v>1864.4</v>
      </c>
      <c r="K910" s="11">
        <v>970.8</v>
      </c>
      <c r="L910" s="12">
        <v>1981.1</v>
      </c>
      <c r="M910" s="11">
        <v>970.8</v>
      </c>
      <c r="N910" s="13">
        <v>1387.3</v>
      </c>
      <c r="O910" s="13">
        <v>1788.5</v>
      </c>
      <c r="P910" s="13">
        <v>1467.8</v>
      </c>
      <c r="Q910" s="11">
        <v>1541.1</v>
      </c>
      <c r="R910" s="11">
        <v>1864.4</v>
      </c>
      <c r="S910" s="14">
        <v>1981.1</v>
      </c>
      <c r="T910" s="11">
        <v>970.8</v>
      </c>
      <c r="U910" s="13">
        <f>IF('0.0%'!$N910&lt;$Z$3,0, '0.0%'!$O910/'0.0%'!$N910)</f>
        <v>1.2891948388956966</v>
      </c>
      <c r="V910" s="13">
        <f>IF('0.0%'!$N910&lt;$Z$3,0, '0.0%'!$P910/'0.0%'!$N910)</f>
        <v>1.0580263821812153</v>
      </c>
      <c r="W910" s="13">
        <f>IF('0.0%'!$N910&lt;$Z$3,0, '0.0%'!$Q910/'0.0%'!$N910)</f>
        <v>1.1108628270741727</v>
      </c>
      <c r="X910" s="13">
        <f>IF('0.0%'!$N910&lt;$Z$3,0, '0.0%'!$R910/'0.0%'!$N910)</f>
        <v>1.343905427809414</v>
      </c>
      <c r="Y910" s="13">
        <f>IF('0.0%'!$N910&lt;$Z$3,0, '0.0%'!$S910/'0.0%'!$N910)</f>
        <v>1.4280256613565918</v>
      </c>
    </row>
    <row r="911" spans="1:25" x14ac:dyDescent="0.3">
      <c r="A911" s="17">
        <v>971.79</v>
      </c>
      <c r="B911" s="10">
        <v>1382.8</v>
      </c>
      <c r="C911" s="9">
        <v>971.79</v>
      </c>
      <c r="D911" s="10">
        <v>1784</v>
      </c>
      <c r="E911" s="11">
        <v>971.79</v>
      </c>
      <c r="F911" s="12">
        <v>1462.8</v>
      </c>
      <c r="G911" s="11">
        <v>971.79</v>
      </c>
      <c r="H911" s="12">
        <v>1535.5</v>
      </c>
      <c r="I911" s="11">
        <v>971.79</v>
      </c>
      <c r="J911" s="12">
        <v>1857</v>
      </c>
      <c r="K911" s="11">
        <v>971.79</v>
      </c>
      <c r="L911" s="12">
        <v>1973.1</v>
      </c>
      <c r="M911" s="11">
        <v>971.79</v>
      </c>
      <c r="N911" s="13">
        <v>1382.8</v>
      </c>
      <c r="O911" s="13">
        <v>1784</v>
      </c>
      <c r="P911" s="13">
        <v>1462.8</v>
      </c>
      <c r="Q911" s="11">
        <v>1535.5</v>
      </c>
      <c r="R911" s="11">
        <v>1857</v>
      </c>
      <c r="S911" s="14">
        <v>1973.1</v>
      </c>
      <c r="T911" s="11">
        <v>971.79</v>
      </c>
      <c r="U911" s="13">
        <f>IF('0.0%'!$N911&lt;$Z$3,0, '0.0%'!$O911/'0.0%'!$N911)</f>
        <v>1.2901359560312411</v>
      </c>
      <c r="V911" s="13">
        <f>IF('0.0%'!$N911&lt;$Z$3,0, '0.0%'!$P911/'0.0%'!$N911)</f>
        <v>1.0578536303153023</v>
      </c>
      <c r="W911" s="13">
        <f>IF('0.0%'!$N911&lt;$Z$3,0, '0.0%'!$Q911/'0.0%'!$N911)</f>
        <v>1.1104281168643333</v>
      </c>
      <c r="X911" s="13">
        <f>IF('0.0%'!$N911&lt;$Z$3,0, '0.0%'!$R911/'0.0%'!$N911)</f>
        <v>1.3429273936939543</v>
      </c>
      <c r="Y911" s="13">
        <f>IF('0.0%'!$N911&lt;$Z$3,0, '0.0%'!$S911/'0.0%'!$N911)</f>
        <v>1.4268874746890368</v>
      </c>
    </row>
    <row r="912" spans="1:25" x14ac:dyDescent="0.3">
      <c r="A912" s="17">
        <v>972.79</v>
      </c>
      <c r="B912" s="10">
        <v>1377.7</v>
      </c>
      <c r="C912" s="9">
        <v>972.79</v>
      </c>
      <c r="D912" s="10">
        <v>1778.3</v>
      </c>
      <c r="E912" s="11">
        <v>972.79</v>
      </c>
      <c r="F912" s="12">
        <v>1457.4</v>
      </c>
      <c r="G912" s="11">
        <v>972.79</v>
      </c>
      <c r="H912" s="12">
        <v>1529.1</v>
      </c>
      <c r="I912" s="11">
        <v>972.79</v>
      </c>
      <c r="J912" s="12">
        <v>1848.4</v>
      </c>
      <c r="K912" s="11">
        <v>972.79</v>
      </c>
      <c r="L912" s="12">
        <v>1963.7</v>
      </c>
      <c r="M912" s="11">
        <v>972.79</v>
      </c>
      <c r="N912" s="13">
        <v>1377.7</v>
      </c>
      <c r="O912" s="13">
        <v>1778.3</v>
      </c>
      <c r="P912" s="13">
        <v>1457.4</v>
      </c>
      <c r="Q912" s="11">
        <v>1529.1</v>
      </c>
      <c r="R912" s="11">
        <v>1848.4</v>
      </c>
      <c r="S912" s="14">
        <v>1963.7</v>
      </c>
      <c r="T912" s="11">
        <v>972.79</v>
      </c>
      <c r="U912" s="13">
        <f>IF('0.0%'!$N912&lt;$Z$3,0, '0.0%'!$O912/'0.0%'!$N912)</f>
        <v>1.2907744792044711</v>
      </c>
      <c r="V912" s="13">
        <f>IF('0.0%'!$N912&lt;$Z$3,0, '0.0%'!$P912/'0.0%'!$N912)</f>
        <v>1.0578500399216084</v>
      </c>
      <c r="W912" s="13">
        <f>IF('0.0%'!$N912&lt;$Z$3,0, '0.0%'!$Q912/'0.0%'!$N912)</f>
        <v>1.1098933004282499</v>
      </c>
      <c r="X912" s="13">
        <f>IF('0.0%'!$N912&lt;$Z$3,0, '0.0%'!$R912/'0.0%'!$N912)</f>
        <v>1.3416563838281192</v>
      </c>
      <c r="Y912" s="13">
        <f>IF('0.0%'!$N912&lt;$Z$3,0, '0.0%'!$S912/'0.0%'!$N912)</f>
        <v>1.4253465921463309</v>
      </c>
    </row>
    <row r="913" spans="1:25" x14ac:dyDescent="0.3">
      <c r="A913" s="17">
        <v>973.78</v>
      </c>
      <c r="B913" s="10">
        <v>1371.8</v>
      </c>
      <c r="C913" s="9">
        <v>973.78</v>
      </c>
      <c r="D913" s="10">
        <v>1772.1</v>
      </c>
      <c r="E913" s="11">
        <v>973.78</v>
      </c>
      <c r="F913" s="12">
        <v>1451.2</v>
      </c>
      <c r="G913" s="11">
        <v>973.78</v>
      </c>
      <c r="H913" s="12">
        <v>1522.1</v>
      </c>
      <c r="I913" s="11">
        <v>973.78</v>
      </c>
      <c r="J913" s="12">
        <v>1839</v>
      </c>
      <c r="K913" s="11">
        <v>973.78</v>
      </c>
      <c r="L913" s="12">
        <v>1953.5</v>
      </c>
      <c r="M913" s="11">
        <v>973.78</v>
      </c>
      <c r="N913" s="13">
        <v>1371.8</v>
      </c>
      <c r="O913" s="13">
        <v>1772.1</v>
      </c>
      <c r="P913" s="13">
        <v>1451.2</v>
      </c>
      <c r="Q913" s="11">
        <v>1522.1</v>
      </c>
      <c r="R913" s="11">
        <v>1839</v>
      </c>
      <c r="S913" s="14">
        <v>1953.5</v>
      </c>
      <c r="T913" s="11">
        <v>973.78</v>
      </c>
      <c r="U913" s="13">
        <f>IF('0.0%'!$N913&lt;$Z$3,0, '0.0%'!$O913/'0.0%'!$N913)</f>
        <v>1.2918063857705204</v>
      </c>
      <c r="V913" s="13">
        <f>IF('0.0%'!$N913&lt;$Z$3,0, '0.0%'!$P913/'0.0%'!$N913)</f>
        <v>1.0578801574573553</v>
      </c>
      <c r="W913" s="13">
        <f>IF('0.0%'!$N913&lt;$Z$3,0, '0.0%'!$Q913/'0.0%'!$N913)</f>
        <v>1.109564076395976</v>
      </c>
      <c r="X913" s="13">
        <f>IF('0.0%'!$N913&lt;$Z$3,0, '0.0%'!$R913/'0.0%'!$N913)</f>
        <v>1.3405744277591487</v>
      </c>
      <c r="Y913" s="13">
        <f>IF('0.0%'!$N913&lt;$Z$3,0, '0.0%'!$S913/'0.0%'!$N913)</f>
        <v>1.42404140545269</v>
      </c>
    </row>
    <row r="914" spans="1:25" x14ac:dyDescent="0.3">
      <c r="A914" s="17">
        <v>974.77</v>
      </c>
      <c r="B914" s="10">
        <v>1365.2</v>
      </c>
      <c r="C914" s="9">
        <v>974.77</v>
      </c>
      <c r="D914" s="10">
        <v>1764.6</v>
      </c>
      <c r="E914" s="11">
        <v>974.77</v>
      </c>
      <c r="F914" s="12">
        <v>1444.2</v>
      </c>
      <c r="G914" s="11">
        <v>974.77</v>
      </c>
      <c r="H914" s="12">
        <v>1514.1</v>
      </c>
      <c r="I914" s="11">
        <v>974.77</v>
      </c>
      <c r="J914" s="12">
        <v>1828.4</v>
      </c>
      <c r="K914" s="11">
        <v>974.77</v>
      </c>
      <c r="L914" s="12">
        <v>1942</v>
      </c>
      <c r="M914" s="11">
        <v>974.77</v>
      </c>
      <c r="N914" s="13">
        <v>1365.2</v>
      </c>
      <c r="O914" s="13">
        <v>1764.6</v>
      </c>
      <c r="P914" s="13">
        <v>1444.2</v>
      </c>
      <c r="Q914" s="11">
        <v>1514.1</v>
      </c>
      <c r="R914" s="11">
        <v>1828.4</v>
      </c>
      <c r="S914" s="14">
        <v>1942</v>
      </c>
      <c r="T914" s="11">
        <v>974.77</v>
      </c>
      <c r="U914" s="13">
        <f>IF('0.0%'!$N914&lt;$Z$3,0, '0.0%'!$O914/'0.0%'!$N914)</f>
        <v>1.2925578669791971</v>
      </c>
      <c r="V914" s="13">
        <f>IF('0.0%'!$N914&lt;$Z$3,0, '0.0%'!$P914/'0.0%'!$N914)</f>
        <v>1.0578669791971873</v>
      </c>
      <c r="W914" s="13">
        <f>IF('0.0%'!$N914&lt;$Z$3,0, '0.0%'!$Q914/'0.0%'!$N914)</f>
        <v>1.1090682683855844</v>
      </c>
      <c r="X914" s="13">
        <f>IF('0.0%'!$N914&lt;$Z$3,0, '0.0%'!$R914/'0.0%'!$N914)</f>
        <v>1.3392909463814826</v>
      </c>
      <c r="Y914" s="13">
        <f>IF('0.0%'!$N914&lt;$Z$3,0, '0.0%'!$S914/'0.0%'!$N914)</f>
        <v>1.4225021974802226</v>
      </c>
    </row>
    <row r="915" spans="1:25" x14ac:dyDescent="0.3">
      <c r="A915" s="17">
        <v>975.76</v>
      </c>
      <c r="B915" s="10">
        <v>1357.6</v>
      </c>
      <c r="C915" s="9">
        <v>975.76</v>
      </c>
      <c r="D915" s="10">
        <v>1756.4</v>
      </c>
      <c r="E915" s="11">
        <v>975.76</v>
      </c>
      <c r="F915" s="12">
        <v>1436.3</v>
      </c>
      <c r="G915" s="11">
        <v>975.76</v>
      </c>
      <c r="H915" s="12">
        <v>1505.4</v>
      </c>
      <c r="I915" s="11">
        <v>975.76</v>
      </c>
      <c r="J915" s="12">
        <v>1817</v>
      </c>
      <c r="K915" s="11">
        <v>975.76</v>
      </c>
      <c r="L915" s="12">
        <v>1929.5</v>
      </c>
      <c r="M915" s="11">
        <v>975.76</v>
      </c>
      <c r="N915" s="13">
        <v>1357.6</v>
      </c>
      <c r="O915" s="13">
        <v>1756.4</v>
      </c>
      <c r="P915" s="13">
        <v>1436.3</v>
      </c>
      <c r="Q915" s="11">
        <v>1505.4</v>
      </c>
      <c r="R915" s="11">
        <v>1817</v>
      </c>
      <c r="S915" s="14">
        <v>1929.5</v>
      </c>
      <c r="T915" s="11">
        <v>975.76</v>
      </c>
      <c r="U915" s="13">
        <f>IF('0.0%'!$N915&lt;$Z$3,0, '0.0%'!$O915/'0.0%'!$N915)</f>
        <v>1.2937536829699472</v>
      </c>
      <c r="V915" s="13">
        <f>IF('0.0%'!$N915&lt;$Z$3,0, '0.0%'!$P915/'0.0%'!$N915)</f>
        <v>1.0579699469652328</v>
      </c>
      <c r="W915" s="13">
        <f>IF('0.0%'!$N915&lt;$Z$3,0, '0.0%'!$Q915/'0.0%'!$N915)</f>
        <v>1.1088685916322925</v>
      </c>
      <c r="X915" s="13">
        <f>IF('0.0%'!$N915&lt;$Z$3,0, '0.0%'!$R915/'0.0%'!$N915)</f>
        <v>1.3383912787271657</v>
      </c>
      <c r="Y915" s="13">
        <f>IF('0.0%'!$N915&lt;$Z$3,0, '0.0%'!$S915/'0.0%'!$N915)</f>
        <v>1.4212581025338835</v>
      </c>
    </row>
    <row r="916" spans="1:25" x14ac:dyDescent="0.3">
      <c r="A916" s="17">
        <v>976.75</v>
      </c>
      <c r="B916" s="10">
        <v>1349.1</v>
      </c>
      <c r="C916" s="9">
        <v>976.75</v>
      </c>
      <c r="D916" s="10">
        <v>1746.6</v>
      </c>
      <c r="E916" s="11">
        <v>976.75</v>
      </c>
      <c r="F916" s="12">
        <v>1427.4</v>
      </c>
      <c r="G916" s="11">
        <v>976.75</v>
      </c>
      <c r="H916" s="12">
        <v>1495.5</v>
      </c>
      <c r="I916" s="11">
        <v>976.75</v>
      </c>
      <c r="J916" s="12">
        <v>1804</v>
      </c>
      <c r="K916" s="11">
        <v>976.75</v>
      </c>
      <c r="L916" s="12">
        <v>1915.3</v>
      </c>
      <c r="M916" s="11">
        <v>976.75</v>
      </c>
      <c r="N916" s="13">
        <v>1349.1</v>
      </c>
      <c r="O916" s="13">
        <v>1746.6</v>
      </c>
      <c r="P916" s="13">
        <v>1427.4</v>
      </c>
      <c r="Q916" s="11">
        <v>1495.5</v>
      </c>
      <c r="R916" s="11">
        <v>1804</v>
      </c>
      <c r="S916" s="14">
        <v>1915.3</v>
      </c>
      <c r="T916" s="11">
        <v>976.75</v>
      </c>
      <c r="U916" s="13">
        <f>IF('0.0%'!$N916&lt;$Z$3,0, '0.0%'!$O916/'0.0%'!$N916)</f>
        <v>1.2946408716922393</v>
      </c>
      <c r="V916" s="13">
        <f>IF('0.0%'!$N916&lt;$Z$3,0, '0.0%'!$P916/'0.0%'!$N916)</f>
        <v>1.0580386924616412</v>
      </c>
      <c r="W916" s="13">
        <f>IF('0.0%'!$N916&lt;$Z$3,0, '0.0%'!$Q916/'0.0%'!$N916)</f>
        <v>1.1085167889704248</v>
      </c>
      <c r="X916" s="13">
        <f>IF('0.0%'!$N916&lt;$Z$3,0, '0.0%'!$R916/'0.0%'!$N916)</f>
        <v>1.3371877547994961</v>
      </c>
      <c r="Y916" s="13">
        <f>IF('0.0%'!$N916&lt;$Z$3,0, '0.0%'!$S916/'0.0%'!$N916)</f>
        <v>1.4196871988733231</v>
      </c>
    </row>
    <row r="917" spans="1:25" x14ac:dyDescent="0.3">
      <c r="A917" s="17">
        <v>977.75</v>
      </c>
      <c r="B917" s="10">
        <v>1339.2</v>
      </c>
      <c r="C917" s="9">
        <v>977.75</v>
      </c>
      <c r="D917" s="10">
        <v>1735.6</v>
      </c>
      <c r="E917" s="11">
        <v>977.75</v>
      </c>
      <c r="F917" s="12">
        <v>1417.1</v>
      </c>
      <c r="G917" s="11">
        <v>977.75</v>
      </c>
      <c r="H917" s="12">
        <v>1484.3</v>
      </c>
      <c r="I917" s="11">
        <v>977.75</v>
      </c>
      <c r="J917" s="12">
        <v>1789.6</v>
      </c>
      <c r="K917" s="11">
        <v>977.75</v>
      </c>
      <c r="L917" s="12">
        <v>1899.7</v>
      </c>
      <c r="M917" s="11">
        <v>977.75</v>
      </c>
      <c r="N917" s="13">
        <v>1339.2</v>
      </c>
      <c r="O917" s="13">
        <v>1735.6</v>
      </c>
      <c r="P917" s="13">
        <v>1417.1</v>
      </c>
      <c r="Q917" s="11">
        <v>1484.3</v>
      </c>
      <c r="R917" s="11">
        <v>1789.6</v>
      </c>
      <c r="S917" s="14">
        <v>1899.7</v>
      </c>
      <c r="T917" s="11">
        <v>977.75</v>
      </c>
      <c r="U917" s="13">
        <f>IF('0.0%'!$N917&lt;$Z$3,0, '0.0%'!$O917/'0.0%'!$N917)</f>
        <v>1.2959976105137394</v>
      </c>
      <c r="V917" s="13">
        <f>IF('0.0%'!$N917&lt;$Z$3,0, '0.0%'!$P917/'0.0%'!$N917)</f>
        <v>1.0581690561529271</v>
      </c>
      <c r="W917" s="13">
        <f>IF('0.0%'!$N917&lt;$Z$3,0, '0.0%'!$Q917/'0.0%'!$N917)</f>
        <v>1.1083482676224612</v>
      </c>
      <c r="X917" s="13">
        <f>IF('0.0%'!$N917&lt;$Z$3,0, '0.0%'!$R917/'0.0%'!$N917)</f>
        <v>1.3363201911589007</v>
      </c>
      <c r="Y917" s="13">
        <f>IF('0.0%'!$N917&lt;$Z$3,0, '0.0%'!$S917/'0.0%'!$N917)</f>
        <v>1.4185334528076463</v>
      </c>
    </row>
    <row r="918" spans="1:25" x14ac:dyDescent="0.3">
      <c r="A918" s="17">
        <v>978.74</v>
      </c>
      <c r="B918" s="10">
        <v>1328.1</v>
      </c>
      <c r="C918" s="9">
        <v>978.74</v>
      </c>
      <c r="D918" s="10">
        <v>1722.9</v>
      </c>
      <c r="E918" s="11">
        <v>978.74</v>
      </c>
      <c r="F918" s="12">
        <v>1406</v>
      </c>
      <c r="G918" s="11">
        <v>978.74</v>
      </c>
      <c r="H918" s="12">
        <v>1471.9</v>
      </c>
      <c r="I918" s="11">
        <v>978.74</v>
      </c>
      <c r="J918" s="12">
        <v>1773.5</v>
      </c>
      <c r="K918" s="11">
        <v>978.74</v>
      </c>
      <c r="L918" s="12">
        <v>1882.3</v>
      </c>
      <c r="M918" s="11">
        <v>978.74</v>
      </c>
      <c r="N918" s="13">
        <v>1328.1</v>
      </c>
      <c r="O918" s="13">
        <v>1722.9</v>
      </c>
      <c r="P918" s="13">
        <v>1406</v>
      </c>
      <c r="Q918" s="11">
        <v>1471.9</v>
      </c>
      <c r="R918" s="11">
        <v>1773.5</v>
      </c>
      <c r="S918" s="14">
        <v>1882.3</v>
      </c>
      <c r="T918" s="11">
        <v>978.74</v>
      </c>
      <c r="U918" s="13">
        <f>IF('0.0%'!$N918&lt;$Z$3,0, '0.0%'!$O918/'0.0%'!$N918)</f>
        <v>1.2972667720804159</v>
      </c>
      <c r="V918" s="13">
        <f>IF('0.0%'!$N918&lt;$Z$3,0, '0.0%'!$P918/'0.0%'!$N918)</f>
        <v>1.0586552217453506</v>
      </c>
      <c r="W918" s="13">
        <f>IF('0.0%'!$N918&lt;$Z$3,0, '0.0%'!$Q918/'0.0%'!$N918)</f>
        <v>1.1082749792937281</v>
      </c>
      <c r="X918" s="13">
        <f>IF('0.0%'!$N918&lt;$Z$3,0, '0.0%'!$R918/'0.0%'!$N918)</f>
        <v>1.3353663127776523</v>
      </c>
      <c r="Y918" s="13">
        <f>IF('0.0%'!$N918&lt;$Z$3,0, '0.0%'!$S918/'0.0%'!$N918)</f>
        <v>1.4172878548302086</v>
      </c>
    </row>
    <row r="919" spans="1:25" x14ac:dyDescent="0.3">
      <c r="A919" s="17">
        <v>979.73</v>
      </c>
      <c r="B919" s="10">
        <v>1316</v>
      </c>
      <c r="C919" s="9">
        <v>979.73</v>
      </c>
      <c r="D919" s="10">
        <v>1709.5</v>
      </c>
      <c r="E919" s="11">
        <v>979.73</v>
      </c>
      <c r="F919" s="12">
        <v>1394</v>
      </c>
      <c r="G919" s="11">
        <v>979.73</v>
      </c>
      <c r="H919" s="12">
        <v>1458.7</v>
      </c>
      <c r="I919" s="11">
        <v>979.73</v>
      </c>
      <c r="J919" s="12">
        <v>1756.7</v>
      </c>
      <c r="K919" s="11">
        <v>979.73</v>
      </c>
      <c r="L919" s="12">
        <v>1864.1</v>
      </c>
      <c r="M919" s="11">
        <v>979.73</v>
      </c>
      <c r="N919" s="13">
        <v>1316</v>
      </c>
      <c r="O919" s="13">
        <v>1709.5</v>
      </c>
      <c r="P919" s="13">
        <v>1394</v>
      </c>
      <c r="Q919" s="11">
        <v>1458.7</v>
      </c>
      <c r="R919" s="11">
        <v>1756.7</v>
      </c>
      <c r="S919" s="14">
        <v>1864.1</v>
      </c>
      <c r="T919" s="11">
        <v>979.73</v>
      </c>
      <c r="U919" s="13">
        <f>IF('0.0%'!$N919&lt;$Z$3,0, '0.0%'!$O919/'0.0%'!$N919)</f>
        <v>1.2990121580547112</v>
      </c>
      <c r="V919" s="13">
        <f>IF('0.0%'!$N919&lt;$Z$3,0, '0.0%'!$P919/'0.0%'!$N919)</f>
        <v>1.0592705167173253</v>
      </c>
      <c r="W919" s="13">
        <f>IF('0.0%'!$N919&lt;$Z$3,0, '0.0%'!$Q919/'0.0%'!$N919)</f>
        <v>1.108434650455927</v>
      </c>
      <c r="X919" s="13">
        <f>IF('0.0%'!$N919&lt;$Z$3,0, '0.0%'!$R919/'0.0%'!$N919)</f>
        <v>1.3348784194528875</v>
      </c>
      <c r="Y919" s="13">
        <f>IF('0.0%'!$N919&lt;$Z$3,0, '0.0%'!$S919/'0.0%'!$N919)</f>
        <v>1.4164893617021277</v>
      </c>
    </row>
    <row r="920" spans="1:25" x14ac:dyDescent="0.3">
      <c r="A920" s="17">
        <v>980.72</v>
      </c>
      <c r="B920" s="10">
        <v>1303.4000000000001</v>
      </c>
      <c r="C920" s="9">
        <v>980.72</v>
      </c>
      <c r="D920" s="10">
        <v>1695.4</v>
      </c>
      <c r="E920" s="11">
        <v>980.72</v>
      </c>
      <c r="F920" s="12">
        <v>1381.6</v>
      </c>
      <c r="G920" s="11">
        <v>980.72</v>
      </c>
      <c r="H920" s="12">
        <v>1444.8</v>
      </c>
      <c r="I920" s="11">
        <v>980.72</v>
      </c>
      <c r="J920" s="12">
        <v>1739.2</v>
      </c>
      <c r="K920" s="11">
        <v>980.72</v>
      </c>
      <c r="L920" s="12">
        <v>1845.2</v>
      </c>
      <c r="M920" s="11">
        <v>980.72</v>
      </c>
      <c r="N920" s="13">
        <v>1303.4000000000001</v>
      </c>
      <c r="O920" s="13">
        <v>1695.4</v>
      </c>
      <c r="P920" s="13">
        <v>1381.6</v>
      </c>
      <c r="Q920" s="11">
        <v>1444.8</v>
      </c>
      <c r="R920" s="11">
        <v>1739.2</v>
      </c>
      <c r="S920" s="14">
        <v>1845.2</v>
      </c>
      <c r="T920" s="11">
        <v>980.72</v>
      </c>
      <c r="U920" s="13">
        <f>IF('0.0%'!$N920&lt;$Z$3,0, '0.0%'!$O920/'0.0%'!$N920)</f>
        <v>1.3007518796992481</v>
      </c>
      <c r="V920" s="13">
        <f>IF('0.0%'!$N920&lt;$Z$3,0, '0.0%'!$P920/'0.0%'!$N920)</f>
        <v>1.0599969311032682</v>
      </c>
      <c r="W920" s="13">
        <f>IF('0.0%'!$N920&lt;$Z$3,0, '0.0%'!$Q920/'0.0%'!$N920)</f>
        <v>1.1084854994629429</v>
      </c>
      <c r="X920" s="13">
        <f>IF('0.0%'!$N920&lt;$Z$3,0, '0.0%'!$R920/'0.0%'!$N920)</f>
        <v>1.3343562989105415</v>
      </c>
      <c r="Y920" s="13">
        <f>IF('0.0%'!$N920&lt;$Z$3,0, '0.0%'!$S920/'0.0%'!$N920)</f>
        <v>1.4156820622986035</v>
      </c>
    </row>
    <row r="921" spans="1:25" x14ac:dyDescent="0.3">
      <c r="A921" s="17">
        <v>981.71</v>
      </c>
      <c r="B921" s="10">
        <v>1290.3</v>
      </c>
      <c r="C921" s="9">
        <v>981.71</v>
      </c>
      <c r="D921" s="10">
        <v>1681.1</v>
      </c>
      <c r="E921" s="11">
        <v>981.71</v>
      </c>
      <c r="F921" s="12">
        <v>1368.7</v>
      </c>
      <c r="G921" s="11">
        <v>981.71</v>
      </c>
      <c r="H921" s="12">
        <v>1430.7</v>
      </c>
      <c r="I921" s="11">
        <v>981.71</v>
      </c>
      <c r="J921" s="12">
        <v>1721.6</v>
      </c>
      <c r="K921" s="11">
        <v>981.71</v>
      </c>
      <c r="L921" s="12">
        <v>1826.2</v>
      </c>
      <c r="M921" s="11">
        <v>981.71</v>
      </c>
      <c r="N921" s="13">
        <v>1290.3</v>
      </c>
      <c r="O921" s="13">
        <v>1681.1</v>
      </c>
      <c r="P921" s="13">
        <v>1368.7</v>
      </c>
      <c r="Q921" s="11">
        <v>1430.7</v>
      </c>
      <c r="R921" s="11">
        <v>1721.6</v>
      </c>
      <c r="S921" s="14">
        <v>1826.2</v>
      </c>
      <c r="T921" s="11">
        <v>981.71</v>
      </c>
      <c r="U921" s="13">
        <f>IF('0.0%'!$N921&lt;$Z$3,0, '0.0%'!$O921/'0.0%'!$N921)</f>
        <v>1.3028753003177556</v>
      </c>
      <c r="V921" s="13">
        <f>IF('0.0%'!$N921&lt;$Z$3,0, '0.0%'!$P921/'0.0%'!$N921)</f>
        <v>1.0607610633186082</v>
      </c>
      <c r="W921" s="13">
        <f>IF('0.0%'!$N921&lt;$Z$3,0, '0.0%'!$Q921/'0.0%'!$N921)</f>
        <v>1.1088119042083238</v>
      </c>
      <c r="X921" s="13">
        <f>IF('0.0%'!$N921&lt;$Z$3,0, '0.0%'!$R921/'0.0%'!$N921)</f>
        <v>1.334263349608618</v>
      </c>
      <c r="Y921" s="13">
        <f>IF('0.0%'!$N921&lt;$Z$3,0, '0.0%'!$S921/'0.0%'!$N921)</f>
        <v>1.4153297682709449</v>
      </c>
    </row>
    <row r="922" spans="1:25" x14ac:dyDescent="0.3">
      <c r="A922" s="17">
        <v>982.7</v>
      </c>
      <c r="B922" s="10">
        <v>1277</v>
      </c>
      <c r="C922" s="9">
        <v>982.7</v>
      </c>
      <c r="D922" s="10">
        <v>1666.2</v>
      </c>
      <c r="E922" s="11">
        <v>982.7</v>
      </c>
      <c r="F922" s="12">
        <v>1355.6</v>
      </c>
      <c r="G922" s="11">
        <v>982.7</v>
      </c>
      <c r="H922" s="12">
        <v>1416.2</v>
      </c>
      <c r="I922" s="11">
        <v>982.7</v>
      </c>
      <c r="J922" s="12">
        <v>1703.6</v>
      </c>
      <c r="K922" s="11">
        <v>982.7</v>
      </c>
      <c r="L922" s="12">
        <v>1806.7</v>
      </c>
      <c r="M922" s="11">
        <v>982.7</v>
      </c>
      <c r="N922" s="13">
        <v>1277</v>
      </c>
      <c r="O922" s="13">
        <v>1666.2</v>
      </c>
      <c r="P922" s="13">
        <v>1355.6</v>
      </c>
      <c r="Q922" s="11">
        <v>1416.2</v>
      </c>
      <c r="R922" s="11">
        <v>1703.6</v>
      </c>
      <c r="S922" s="14">
        <v>1806.7</v>
      </c>
      <c r="T922" s="11">
        <v>982.7</v>
      </c>
      <c r="U922" s="13">
        <f>IF('0.0%'!$N922&lt;$Z$3,0, '0.0%'!$O922/'0.0%'!$N922)</f>
        <v>1.3047768206734534</v>
      </c>
      <c r="V922" s="13">
        <f>IF('0.0%'!$N922&lt;$Z$3,0, '0.0%'!$P922/'0.0%'!$N922)</f>
        <v>1.0615505090054815</v>
      </c>
      <c r="W922" s="13">
        <f>IF('0.0%'!$N922&lt;$Z$3,0, '0.0%'!$Q922/'0.0%'!$N922)</f>
        <v>1.1090054815974941</v>
      </c>
      <c r="X922" s="13">
        <f>IF('0.0%'!$N922&lt;$Z$3,0, '0.0%'!$R922/'0.0%'!$N922)</f>
        <v>1.3340642129992168</v>
      </c>
      <c r="Y922" s="13">
        <f>IF('0.0%'!$N922&lt;$Z$3,0, '0.0%'!$S922/'0.0%'!$N922)</f>
        <v>1.4148003132341425</v>
      </c>
    </row>
    <row r="923" spans="1:25" x14ac:dyDescent="0.3">
      <c r="A923" s="17">
        <v>983.7</v>
      </c>
      <c r="B923" s="10">
        <v>1263.3</v>
      </c>
      <c r="C923" s="9">
        <v>983.7</v>
      </c>
      <c r="D923" s="10">
        <v>1651.4</v>
      </c>
      <c r="E923" s="11">
        <v>983.7</v>
      </c>
      <c r="F923" s="12">
        <v>1342.3</v>
      </c>
      <c r="G923" s="11">
        <v>983.7</v>
      </c>
      <c r="H923" s="12">
        <v>1401.7</v>
      </c>
      <c r="I923" s="11">
        <v>983.7</v>
      </c>
      <c r="J923" s="12">
        <v>1685.7</v>
      </c>
      <c r="K923" s="11">
        <v>983.7</v>
      </c>
      <c r="L923" s="12">
        <v>1787.3</v>
      </c>
      <c r="M923" s="11">
        <v>983.7</v>
      </c>
      <c r="N923" s="13">
        <v>1263.3</v>
      </c>
      <c r="O923" s="13">
        <v>1651.4</v>
      </c>
      <c r="P923" s="13">
        <v>1342.3</v>
      </c>
      <c r="Q923" s="11">
        <v>1401.7</v>
      </c>
      <c r="R923" s="11">
        <v>1685.7</v>
      </c>
      <c r="S923" s="14">
        <v>1787.3</v>
      </c>
      <c r="T923" s="11">
        <v>983.7</v>
      </c>
      <c r="U923" s="13">
        <f>IF('0.0%'!$N923&lt;$Z$3,0, '0.0%'!$O923/'0.0%'!$N923)</f>
        <v>1.307211272065226</v>
      </c>
      <c r="V923" s="13">
        <f>IF('0.0%'!$N923&lt;$Z$3,0, '0.0%'!$P923/'0.0%'!$N923)</f>
        <v>1.0625346315206206</v>
      </c>
      <c r="W923" s="13">
        <f>IF('0.0%'!$N923&lt;$Z$3,0, '0.0%'!$Q923/'0.0%'!$N923)</f>
        <v>1.1095543418032139</v>
      </c>
      <c r="X923" s="13">
        <f>IF('0.0%'!$N923&lt;$Z$3,0, '0.0%'!$R923/'0.0%'!$N923)</f>
        <v>1.334362384231774</v>
      </c>
      <c r="Y923" s="13">
        <f>IF('0.0%'!$N923&lt;$Z$3,0, '0.0%'!$S923/'0.0%'!$N923)</f>
        <v>1.4147866698329772</v>
      </c>
    </row>
    <row r="924" spans="1:25" x14ac:dyDescent="0.3">
      <c r="A924" s="17">
        <v>984.69</v>
      </c>
      <c r="B924" s="10">
        <v>1249.5</v>
      </c>
      <c r="C924" s="9">
        <v>984.69</v>
      </c>
      <c r="D924" s="10">
        <v>1636.2</v>
      </c>
      <c r="E924" s="11">
        <v>984.69</v>
      </c>
      <c r="F924" s="12">
        <v>1329.1</v>
      </c>
      <c r="G924" s="11">
        <v>984.69</v>
      </c>
      <c r="H924" s="12">
        <v>1386.9</v>
      </c>
      <c r="I924" s="11">
        <v>984.69</v>
      </c>
      <c r="J924" s="12">
        <v>1667.4</v>
      </c>
      <c r="K924" s="11">
        <v>984.69</v>
      </c>
      <c r="L924" s="12">
        <v>1767.6</v>
      </c>
      <c r="M924" s="11">
        <v>984.69</v>
      </c>
      <c r="N924" s="13">
        <v>1249.5</v>
      </c>
      <c r="O924" s="13">
        <v>1636.2</v>
      </c>
      <c r="P924" s="13">
        <v>1329.1</v>
      </c>
      <c r="Q924" s="11">
        <v>1386.9</v>
      </c>
      <c r="R924" s="11">
        <v>1667.4</v>
      </c>
      <c r="S924" s="14">
        <v>1767.6</v>
      </c>
      <c r="T924" s="11">
        <v>984.69</v>
      </c>
      <c r="U924" s="13">
        <f>IF('0.0%'!$N924&lt;$Z$3,0, '0.0%'!$O924/'0.0%'!$N924)</f>
        <v>1.3094837935174071</v>
      </c>
      <c r="V924" s="13">
        <f>IF('0.0%'!$N924&lt;$Z$3,0, '0.0%'!$P924/'0.0%'!$N924)</f>
        <v>1.0637054821928771</v>
      </c>
      <c r="W924" s="13">
        <f>IF('0.0%'!$N924&lt;$Z$3,0, '0.0%'!$Q924/'0.0%'!$N924)</f>
        <v>1.1099639855942378</v>
      </c>
      <c r="X924" s="13">
        <f>IF('0.0%'!$N924&lt;$Z$3,0, '0.0%'!$R924/'0.0%'!$N924)</f>
        <v>1.3344537815126052</v>
      </c>
      <c r="Y924" s="13">
        <f>IF('0.0%'!$N924&lt;$Z$3,0, '0.0%'!$S924/'0.0%'!$N924)</f>
        <v>1.4146458583433372</v>
      </c>
    </row>
    <row r="925" spans="1:25" x14ac:dyDescent="0.3">
      <c r="A925" s="17">
        <v>985.68</v>
      </c>
      <c r="B925" s="10">
        <v>1235.5999999999999</v>
      </c>
      <c r="C925" s="9">
        <v>985.68</v>
      </c>
      <c r="D925" s="10">
        <v>1621.1</v>
      </c>
      <c r="E925" s="11">
        <v>985.68</v>
      </c>
      <c r="F925" s="12">
        <v>1315.5</v>
      </c>
      <c r="G925" s="11">
        <v>985.68</v>
      </c>
      <c r="H925" s="12">
        <v>1372</v>
      </c>
      <c r="I925" s="11">
        <v>985.68</v>
      </c>
      <c r="J925" s="12">
        <v>1649.2</v>
      </c>
      <c r="K925" s="11">
        <v>985.68</v>
      </c>
      <c r="L925" s="12">
        <v>1748.1</v>
      </c>
      <c r="M925" s="11">
        <v>985.68</v>
      </c>
      <c r="N925" s="13">
        <v>1235.5999999999999</v>
      </c>
      <c r="O925" s="13">
        <v>1621.1</v>
      </c>
      <c r="P925" s="13">
        <v>1315.5</v>
      </c>
      <c r="Q925" s="11">
        <v>1372</v>
      </c>
      <c r="R925" s="11">
        <v>1649.2</v>
      </c>
      <c r="S925" s="14">
        <v>1748.1</v>
      </c>
      <c r="T925" s="11">
        <v>985.68</v>
      </c>
      <c r="U925" s="13">
        <f>IF('0.0%'!$N925&lt;$Z$3,0, '0.0%'!$O925/'0.0%'!$N925)</f>
        <v>1.3119941728714795</v>
      </c>
      <c r="V925" s="13">
        <f>IF('0.0%'!$N925&lt;$Z$3,0, '0.0%'!$P925/'0.0%'!$N925)</f>
        <v>1.0646649401100681</v>
      </c>
      <c r="W925" s="13">
        <f>IF('0.0%'!$N925&lt;$Z$3,0, '0.0%'!$Q925/'0.0%'!$N925)</f>
        <v>1.1103917125283265</v>
      </c>
      <c r="X925" s="13">
        <f>IF('0.0%'!$N925&lt;$Z$3,0, '0.0%'!$R925/'0.0%'!$N925)</f>
        <v>1.3347361605697639</v>
      </c>
      <c r="Y925" s="13">
        <f>IF('0.0%'!$N925&lt;$Z$3,0, '0.0%'!$S925/'0.0%'!$N925)</f>
        <v>1.4147782453868567</v>
      </c>
    </row>
    <row r="926" spans="1:25" x14ac:dyDescent="0.3">
      <c r="A926" s="17">
        <v>986.67</v>
      </c>
      <c r="B926" s="10">
        <v>1221.3</v>
      </c>
      <c r="C926" s="9">
        <v>986.67</v>
      </c>
      <c r="D926" s="10">
        <v>1605.3</v>
      </c>
      <c r="E926" s="11">
        <v>986.67</v>
      </c>
      <c r="F926" s="12">
        <v>1301.7</v>
      </c>
      <c r="G926" s="11">
        <v>986.67</v>
      </c>
      <c r="H926" s="12">
        <v>1356.5</v>
      </c>
      <c r="I926" s="11">
        <v>986.67</v>
      </c>
      <c r="J926" s="12">
        <v>1630.3</v>
      </c>
      <c r="K926" s="11">
        <v>986.67</v>
      </c>
      <c r="L926" s="12">
        <v>1728</v>
      </c>
      <c r="M926" s="11">
        <v>986.67</v>
      </c>
      <c r="N926" s="13">
        <v>1221.3</v>
      </c>
      <c r="O926" s="13">
        <v>1605.3</v>
      </c>
      <c r="P926" s="13">
        <v>1301.7</v>
      </c>
      <c r="Q926" s="11">
        <v>1356.5</v>
      </c>
      <c r="R926" s="11">
        <v>1630.3</v>
      </c>
      <c r="S926" s="14">
        <v>1728</v>
      </c>
      <c r="T926" s="11">
        <v>986.67</v>
      </c>
      <c r="U926" s="13">
        <f>IF('0.0%'!$N926&lt;$Z$3,0, '0.0%'!$O926/'0.0%'!$N926)</f>
        <v>1.3144190616556128</v>
      </c>
      <c r="V926" s="13">
        <f>IF('0.0%'!$N926&lt;$Z$3,0, '0.0%'!$P926/'0.0%'!$N926)</f>
        <v>1.065831491034144</v>
      </c>
      <c r="W926" s="13">
        <f>IF('0.0%'!$N926&lt;$Z$3,0, '0.0%'!$Q926/'0.0%'!$N926)</f>
        <v>1.1107017112912472</v>
      </c>
      <c r="X926" s="13">
        <f>IF('0.0%'!$N926&lt;$Z$3,0, '0.0%'!$R926/'0.0%'!$N926)</f>
        <v>1.3348890526488169</v>
      </c>
      <c r="Y926" s="13">
        <f>IF('0.0%'!$N926&lt;$Z$3,0, '0.0%'!$S926/'0.0%'!$N926)</f>
        <v>1.4148857774502579</v>
      </c>
    </row>
    <row r="927" spans="1:25" x14ac:dyDescent="0.3">
      <c r="A927" s="17">
        <v>987.66</v>
      </c>
      <c r="B927" s="10">
        <v>1206.4000000000001</v>
      </c>
      <c r="C927" s="9">
        <v>987.66</v>
      </c>
      <c r="D927" s="10">
        <v>1589.1</v>
      </c>
      <c r="E927" s="11">
        <v>987.66</v>
      </c>
      <c r="F927" s="12">
        <v>1287.2</v>
      </c>
      <c r="G927" s="11">
        <v>987.66</v>
      </c>
      <c r="H927" s="12">
        <v>1340.5</v>
      </c>
      <c r="I927" s="11">
        <v>987.66</v>
      </c>
      <c r="J927" s="12">
        <v>1611</v>
      </c>
      <c r="K927" s="11">
        <v>987.66</v>
      </c>
      <c r="L927" s="12">
        <v>1707.7</v>
      </c>
      <c r="M927" s="11">
        <v>987.66</v>
      </c>
      <c r="N927" s="13">
        <v>1206.4000000000001</v>
      </c>
      <c r="O927" s="13">
        <v>1589.1</v>
      </c>
      <c r="P927" s="13">
        <v>1287.2</v>
      </c>
      <c r="Q927" s="11">
        <v>1340.5</v>
      </c>
      <c r="R927" s="11">
        <v>1611</v>
      </c>
      <c r="S927" s="14">
        <v>1707.7</v>
      </c>
      <c r="T927" s="11">
        <v>987.66</v>
      </c>
      <c r="U927" s="13">
        <f>IF('0.0%'!$N927&lt;$Z$3,0, '0.0%'!$O927/'0.0%'!$N927)</f>
        <v>1.3172248010610077</v>
      </c>
      <c r="V927" s="13">
        <f>IF('0.0%'!$N927&lt;$Z$3,0, '0.0%'!$P927/'0.0%'!$N927)</f>
        <v>1.0669761273209548</v>
      </c>
      <c r="W927" s="13">
        <f>IF('0.0%'!$N927&lt;$Z$3,0, '0.0%'!$Q927/'0.0%'!$N927)</f>
        <v>1.1111571618037135</v>
      </c>
      <c r="X927" s="13">
        <f>IF('0.0%'!$N927&lt;$Z$3,0, '0.0%'!$R927/'0.0%'!$N927)</f>
        <v>1.3353779840848805</v>
      </c>
      <c r="Y927" s="13">
        <f>IF('0.0%'!$N927&lt;$Z$3,0, '0.0%'!$S927/'0.0%'!$N927)</f>
        <v>1.4155338196286471</v>
      </c>
    </row>
    <row r="928" spans="1:25" x14ac:dyDescent="0.3">
      <c r="A928" s="17">
        <v>988.65</v>
      </c>
      <c r="B928" s="10">
        <v>1191.0999999999999</v>
      </c>
      <c r="C928" s="9">
        <v>988.65</v>
      </c>
      <c r="D928" s="10">
        <v>1572.4</v>
      </c>
      <c r="E928" s="11">
        <v>988.65</v>
      </c>
      <c r="F928" s="12">
        <v>1272.5</v>
      </c>
      <c r="G928" s="11">
        <v>988.65</v>
      </c>
      <c r="H928" s="12">
        <v>1324.2</v>
      </c>
      <c r="I928" s="11">
        <v>988.65</v>
      </c>
      <c r="J928" s="12">
        <v>1591.4</v>
      </c>
      <c r="K928" s="11">
        <v>988.65</v>
      </c>
      <c r="L928" s="12">
        <v>1686.8</v>
      </c>
      <c r="M928" s="11">
        <v>988.65</v>
      </c>
      <c r="N928" s="13">
        <v>1191.0999999999999</v>
      </c>
      <c r="O928" s="13">
        <v>1572.4</v>
      </c>
      <c r="P928" s="13">
        <v>1272.5</v>
      </c>
      <c r="Q928" s="11">
        <v>1324.2</v>
      </c>
      <c r="R928" s="11">
        <v>1591.4</v>
      </c>
      <c r="S928" s="14">
        <v>1686.8</v>
      </c>
      <c r="T928" s="11">
        <v>988.65</v>
      </c>
      <c r="U928" s="13">
        <f>IF('0.0%'!$N928&lt;$Z$3,0, '0.0%'!$O928/'0.0%'!$N928)</f>
        <v>1.3201242548904375</v>
      </c>
      <c r="V928" s="13">
        <f>IF('0.0%'!$N928&lt;$Z$3,0, '0.0%'!$P928/'0.0%'!$N928)</f>
        <v>1.068340189740576</v>
      </c>
      <c r="W928" s="13">
        <f>IF('0.0%'!$N928&lt;$Z$3,0, '0.0%'!$Q928/'0.0%'!$N928)</f>
        <v>1.1117454453866176</v>
      </c>
      <c r="X928" s="13">
        <f>IF('0.0%'!$N928&lt;$Z$3,0, '0.0%'!$R928/'0.0%'!$N928)</f>
        <v>1.3360758962303754</v>
      </c>
      <c r="Y928" s="13">
        <f>IF('0.0%'!$N928&lt;$Z$3,0, '0.0%'!$S928/'0.0%'!$N928)</f>
        <v>1.4161699269582739</v>
      </c>
    </row>
    <row r="929" spans="1:25" x14ac:dyDescent="0.3">
      <c r="A929" s="17">
        <v>989.65</v>
      </c>
      <c r="B929" s="10">
        <v>1175.5</v>
      </c>
      <c r="C929" s="9">
        <v>989.65</v>
      </c>
      <c r="D929" s="10">
        <v>1555.6</v>
      </c>
      <c r="E929" s="11">
        <v>989.65</v>
      </c>
      <c r="F929" s="12">
        <v>1257.4000000000001</v>
      </c>
      <c r="G929" s="11">
        <v>989.65</v>
      </c>
      <c r="H929" s="12">
        <v>1307.7</v>
      </c>
      <c r="I929" s="11">
        <v>989.65</v>
      </c>
      <c r="J929" s="12">
        <v>1571.6</v>
      </c>
      <c r="K929" s="11">
        <v>989.65</v>
      </c>
      <c r="L929" s="12">
        <v>1665.7</v>
      </c>
      <c r="M929" s="11">
        <v>989.65</v>
      </c>
      <c r="N929" s="13">
        <v>1175.5</v>
      </c>
      <c r="O929" s="13">
        <v>1555.6</v>
      </c>
      <c r="P929" s="13">
        <v>1257.4000000000001</v>
      </c>
      <c r="Q929" s="11">
        <v>1307.7</v>
      </c>
      <c r="R929" s="11">
        <v>1571.6</v>
      </c>
      <c r="S929" s="14">
        <v>1665.7</v>
      </c>
      <c r="T929" s="11">
        <v>989.65</v>
      </c>
      <c r="U929" s="13">
        <f>IF('0.0%'!$N929&lt;$Z$3,0, '0.0%'!$O929/'0.0%'!$N929)</f>
        <v>1.3233517652062952</v>
      </c>
      <c r="V929" s="13">
        <f>IF('0.0%'!$N929&lt;$Z$3,0, '0.0%'!$P929/'0.0%'!$N929)</f>
        <v>1.0696724797958317</v>
      </c>
      <c r="W929" s="13">
        <f>IF('0.0%'!$N929&lt;$Z$3,0, '0.0%'!$Q929/'0.0%'!$N929)</f>
        <v>1.1124627817949808</v>
      </c>
      <c r="X929" s="13">
        <f>IF('0.0%'!$N929&lt;$Z$3,0, '0.0%'!$R929/'0.0%'!$N929)</f>
        <v>1.336962994470438</v>
      </c>
      <c r="Y929" s="13">
        <f>IF('0.0%'!$N929&lt;$Z$3,0, '0.0%'!$S929/'0.0%'!$N929)</f>
        <v>1.4170140365801787</v>
      </c>
    </row>
    <row r="930" spans="1:25" x14ac:dyDescent="0.3">
      <c r="A930" s="17">
        <v>990.64</v>
      </c>
      <c r="B930" s="10">
        <v>1159.7</v>
      </c>
      <c r="C930" s="9">
        <v>990.64</v>
      </c>
      <c r="D930" s="10">
        <v>1538.3</v>
      </c>
      <c r="E930" s="11">
        <v>990.64</v>
      </c>
      <c r="F930" s="12">
        <v>1242.3</v>
      </c>
      <c r="G930" s="11">
        <v>990.64</v>
      </c>
      <c r="H930" s="12">
        <v>1290.9000000000001</v>
      </c>
      <c r="I930" s="11">
        <v>990.64</v>
      </c>
      <c r="J930" s="12">
        <v>1551.5</v>
      </c>
      <c r="K930" s="11">
        <v>990.64</v>
      </c>
      <c r="L930" s="12">
        <v>1644.3</v>
      </c>
      <c r="M930" s="11">
        <v>990.64</v>
      </c>
      <c r="N930" s="13">
        <v>1159.7</v>
      </c>
      <c r="O930" s="13">
        <v>1538.3</v>
      </c>
      <c r="P930" s="13">
        <v>1242.3</v>
      </c>
      <c r="Q930" s="11">
        <v>1290.9000000000001</v>
      </c>
      <c r="R930" s="11">
        <v>1551.5</v>
      </c>
      <c r="S930" s="14">
        <v>1644.3</v>
      </c>
      <c r="T930" s="11">
        <v>990.64</v>
      </c>
      <c r="U930" s="13">
        <f>IF('0.0%'!$N930&lt;$Z$3,0, '0.0%'!$O930/'0.0%'!$N930)</f>
        <v>1.3264637406225748</v>
      </c>
      <c r="V930" s="13">
        <f>IF('0.0%'!$N930&lt;$Z$3,0, '0.0%'!$P930/'0.0%'!$N930)</f>
        <v>1.0712253168922996</v>
      </c>
      <c r="W930" s="13">
        <f>IF('0.0%'!$N930&lt;$Z$3,0, '0.0%'!$Q930/'0.0%'!$N930)</f>
        <v>1.1131327067345003</v>
      </c>
      <c r="X930" s="13">
        <f>IF('0.0%'!$N930&lt;$Z$3,0, '0.0%'!$R930/'0.0%'!$N930)</f>
        <v>1.3378459946537897</v>
      </c>
      <c r="Y930" s="13">
        <f>IF('0.0%'!$N930&lt;$Z$3,0, '0.0%'!$S930/'0.0%'!$N930)</f>
        <v>1.4178666896611192</v>
      </c>
    </row>
    <row r="931" spans="1:25" x14ac:dyDescent="0.3">
      <c r="A931" s="17">
        <v>991.63</v>
      </c>
      <c r="B931" s="10">
        <v>1143.2</v>
      </c>
      <c r="C931" s="9">
        <v>991.63</v>
      </c>
      <c r="D931" s="10">
        <v>1520.5</v>
      </c>
      <c r="E931" s="11">
        <v>991.63</v>
      </c>
      <c r="F931" s="12">
        <v>1226.3</v>
      </c>
      <c r="G931" s="11">
        <v>991.63</v>
      </c>
      <c r="H931" s="12">
        <v>1273.5999999999999</v>
      </c>
      <c r="I931" s="11">
        <v>991.63</v>
      </c>
      <c r="J931" s="12">
        <v>1530.9</v>
      </c>
      <c r="K931" s="11">
        <v>991.63</v>
      </c>
      <c r="L931" s="12">
        <v>1622.3</v>
      </c>
      <c r="M931" s="11">
        <v>991.63</v>
      </c>
      <c r="N931" s="13">
        <v>1143.2</v>
      </c>
      <c r="O931" s="13">
        <v>1520.5</v>
      </c>
      <c r="P931" s="13">
        <v>1226.3</v>
      </c>
      <c r="Q931" s="11">
        <v>1273.5999999999999</v>
      </c>
      <c r="R931" s="11">
        <v>1530.9</v>
      </c>
      <c r="S931" s="14">
        <v>1622.3</v>
      </c>
      <c r="T931" s="11">
        <v>991.63</v>
      </c>
      <c r="U931" s="13">
        <f>IF('0.0%'!$N931&lt;$Z$3,0, '0.0%'!$O931/'0.0%'!$N931)</f>
        <v>1.330038488453464</v>
      </c>
      <c r="V931" s="13">
        <f>IF('0.0%'!$N931&lt;$Z$3,0, '0.0%'!$P931/'0.0%'!$N931)</f>
        <v>1.0726906927921622</v>
      </c>
      <c r="W931" s="13">
        <f>IF('0.0%'!$N931&lt;$Z$3,0, '0.0%'!$Q931/'0.0%'!$N931)</f>
        <v>1.1140657802659202</v>
      </c>
      <c r="X931" s="13">
        <f>IF('0.0%'!$N931&lt;$Z$3,0, '0.0%'!$R931/'0.0%'!$N931)</f>
        <v>1.3391357592722184</v>
      </c>
      <c r="Y931" s="13">
        <f>IF('0.0%'!$N931&lt;$Z$3,0, '0.0%'!$S931/'0.0%'!$N931)</f>
        <v>1.4190867739678095</v>
      </c>
    </row>
    <row r="932" spans="1:25" x14ac:dyDescent="0.3">
      <c r="A932" s="17">
        <v>992.62</v>
      </c>
      <c r="B932" s="10">
        <v>1126.3</v>
      </c>
      <c r="C932" s="9">
        <v>992.62</v>
      </c>
      <c r="D932" s="10">
        <v>1501.9</v>
      </c>
      <c r="E932" s="11">
        <v>992.62</v>
      </c>
      <c r="F932" s="12">
        <v>1210</v>
      </c>
      <c r="G932" s="11">
        <v>992.62</v>
      </c>
      <c r="H932" s="12">
        <v>1255.9000000000001</v>
      </c>
      <c r="I932" s="11">
        <v>992.62</v>
      </c>
      <c r="J932" s="12">
        <v>1509.7</v>
      </c>
      <c r="K932" s="11">
        <v>992.62</v>
      </c>
      <c r="L932" s="12">
        <v>1599.6</v>
      </c>
      <c r="M932" s="11">
        <v>992.62</v>
      </c>
      <c r="N932" s="13">
        <v>1126.3</v>
      </c>
      <c r="O932" s="13">
        <v>1501.9</v>
      </c>
      <c r="P932" s="13">
        <v>1210</v>
      </c>
      <c r="Q932" s="11">
        <v>1255.9000000000001</v>
      </c>
      <c r="R932" s="11">
        <v>1509.7</v>
      </c>
      <c r="S932" s="14">
        <v>1599.6</v>
      </c>
      <c r="T932" s="11">
        <v>992.62</v>
      </c>
      <c r="U932" s="13">
        <f>IF('0.0%'!$N932&lt;$Z$3,0, '0.0%'!$O932/'0.0%'!$N932)</f>
        <v>1.3334813104856611</v>
      </c>
      <c r="V932" s="13">
        <f>IF('0.0%'!$N932&lt;$Z$3,0, '0.0%'!$P932/'0.0%'!$N932)</f>
        <v>1.0743141258989612</v>
      </c>
      <c r="W932" s="13">
        <f>IF('0.0%'!$N932&lt;$Z$3,0, '0.0%'!$Q932/'0.0%'!$N932)</f>
        <v>1.1150670336500046</v>
      </c>
      <c r="X932" s="13">
        <f>IF('0.0%'!$N932&lt;$Z$3,0, '0.0%'!$R932/'0.0%'!$N932)</f>
        <v>1.3404066412145965</v>
      </c>
      <c r="Y932" s="13">
        <f>IF('0.0%'!$N932&lt;$Z$3,0, '0.0%'!$S932/'0.0%'!$N932)</f>
        <v>1.4202255171801474</v>
      </c>
    </row>
    <row r="933" spans="1:25" x14ac:dyDescent="0.3">
      <c r="A933" s="17">
        <v>993.61</v>
      </c>
      <c r="B933" s="10">
        <v>1108.8</v>
      </c>
      <c r="C933" s="9">
        <v>993.61</v>
      </c>
      <c r="D933" s="10">
        <v>1482.9</v>
      </c>
      <c r="E933" s="11">
        <v>993.61</v>
      </c>
      <c r="F933" s="12">
        <v>1193.0999999999999</v>
      </c>
      <c r="G933" s="11">
        <v>993.61</v>
      </c>
      <c r="H933" s="12">
        <v>1237.5999999999999</v>
      </c>
      <c r="I933" s="11">
        <v>993.61</v>
      </c>
      <c r="J933" s="12">
        <v>1488.1</v>
      </c>
      <c r="K933" s="11">
        <v>993.61</v>
      </c>
      <c r="L933" s="12">
        <v>1576.5</v>
      </c>
      <c r="M933" s="11">
        <v>993.61</v>
      </c>
      <c r="N933" s="13">
        <v>1108.8</v>
      </c>
      <c r="O933" s="13">
        <v>1482.9</v>
      </c>
      <c r="P933" s="13">
        <v>1193.0999999999999</v>
      </c>
      <c r="Q933" s="11">
        <v>1237.5999999999999</v>
      </c>
      <c r="R933" s="11">
        <v>1488.1</v>
      </c>
      <c r="S933" s="14">
        <v>1576.5</v>
      </c>
      <c r="T933" s="11">
        <v>993.61</v>
      </c>
      <c r="U933" s="13">
        <f>IF('0.0%'!$N933&lt;$Z$3,0, '0.0%'!$O933/'0.0%'!$N933)</f>
        <v>1.337391774891775</v>
      </c>
      <c r="V933" s="13">
        <f>IF('0.0%'!$N933&lt;$Z$3,0, '0.0%'!$P933/'0.0%'!$N933)</f>
        <v>1.0760281385281385</v>
      </c>
      <c r="W933" s="13">
        <f>IF('0.0%'!$N933&lt;$Z$3,0, '0.0%'!$Q933/'0.0%'!$N933)</f>
        <v>1.1161616161616161</v>
      </c>
      <c r="X933" s="13">
        <f>IF('0.0%'!$N933&lt;$Z$3,0, '0.0%'!$R933/'0.0%'!$N933)</f>
        <v>1.3420815295815296</v>
      </c>
      <c r="Y933" s="13">
        <f>IF('0.0%'!$N933&lt;$Z$3,0, '0.0%'!$S933/'0.0%'!$N933)</f>
        <v>1.4218073593073595</v>
      </c>
    </row>
    <row r="934" spans="1:25" x14ac:dyDescent="0.3">
      <c r="A934" s="17">
        <v>994.61</v>
      </c>
      <c r="B934" s="10">
        <v>1091.2</v>
      </c>
      <c r="C934" s="9">
        <v>994.61</v>
      </c>
      <c r="D934" s="10">
        <v>1463.3</v>
      </c>
      <c r="E934" s="11">
        <v>994.61</v>
      </c>
      <c r="F934" s="12">
        <v>1176.2</v>
      </c>
      <c r="G934" s="11">
        <v>994.61</v>
      </c>
      <c r="H934" s="12">
        <v>1219.0999999999999</v>
      </c>
      <c r="I934" s="11">
        <v>994.61</v>
      </c>
      <c r="J934" s="12">
        <v>1466</v>
      </c>
      <c r="K934" s="11">
        <v>994.61</v>
      </c>
      <c r="L934" s="12">
        <v>1552.9</v>
      </c>
      <c r="M934" s="11">
        <v>994.61</v>
      </c>
      <c r="N934" s="13">
        <v>1091.2</v>
      </c>
      <c r="O934" s="13">
        <v>1463.3</v>
      </c>
      <c r="P934" s="13">
        <v>1176.2</v>
      </c>
      <c r="Q934" s="11">
        <v>1219.0999999999999</v>
      </c>
      <c r="R934" s="11">
        <v>1466</v>
      </c>
      <c r="S934" s="14">
        <v>1552.9</v>
      </c>
      <c r="T934" s="11">
        <v>994.61</v>
      </c>
      <c r="U934" s="13">
        <f>IF('0.0%'!$N934&lt;$Z$3,0, '0.0%'!$O934/'0.0%'!$N934)</f>
        <v>1.3410007331378297</v>
      </c>
      <c r="V934" s="13">
        <f>IF('0.0%'!$N934&lt;$Z$3,0, '0.0%'!$P934/'0.0%'!$N934)</f>
        <v>1.0778958944281525</v>
      </c>
      <c r="W934" s="13">
        <f>IF('0.0%'!$N934&lt;$Z$3,0, '0.0%'!$Q934/'0.0%'!$N934)</f>
        <v>1.1172104105571847</v>
      </c>
      <c r="X934" s="13">
        <f>IF('0.0%'!$N934&lt;$Z$3,0, '0.0%'!$R934/'0.0%'!$N934)</f>
        <v>1.343475073313783</v>
      </c>
      <c r="Y934" s="13">
        <f>IF('0.0%'!$N934&lt;$Z$3,0, '0.0%'!$S934/'0.0%'!$N934)</f>
        <v>1.4231121700879765</v>
      </c>
    </row>
    <row r="935" spans="1:25" x14ac:dyDescent="0.3">
      <c r="A935" s="17">
        <v>995.6</v>
      </c>
      <c r="B935" s="10">
        <v>1073.0999999999999</v>
      </c>
      <c r="C935" s="9">
        <v>995.6</v>
      </c>
      <c r="D935" s="10">
        <v>1443.4</v>
      </c>
      <c r="E935" s="11">
        <v>995.6</v>
      </c>
      <c r="F935" s="12">
        <v>1158.7</v>
      </c>
      <c r="G935" s="11">
        <v>995.6</v>
      </c>
      <c r="H935" s="12">
        <v>1200.3</v>
      </c>
      <c r="I935" s="11">
        <v>995.6</v>
      </c>
      <c r="J935" s="12">
        <v>1443.4</v>
      </c>
      <c r="K935" s="11">
        <v>995.6</v>
      </c>
      <c r="L935" s="12">
        <v>1529.1</v>
      </c>
      <c r="M935" s="11">
        <v>995.6</v>
      </c>
      <c r="N935" s="13">
        <v>1073.0999999999999</v>
      </c>
      <c r="O935" s="13">
        <v>1443.4</v>
      </c>
      <c r="P935" s="13">
        <v>1158.7</v>
      </c>
      <c r="Q935" s="11">
        <v>1200.3</v>
      </c>
      <c r="R935" s="11">
        <v>1443.4</v>
      </c>
      <c r="S935" s="14">
        <v>1529.1</v>
      </c>
      <c r="T935" s="11">
        <v>995.6</v>
      </c>
      <c r="U935" s="13">
        <f>IF('0.0%'!$N935&lt;$Z$3,0, '0.0%'!$O935/'0.0%'!$N935)</f>
        <v>1.3450750163078933</v>
      </c>
      <c r="V935" s="13">
        <f>IF('0.0%'!$N935&lt;$Z$3,0, '0.0%'!$P935/'0.0%'!$N935)</f>
        <v>1.0797688938589136</v>
      </c>
      <c r="W935" s="13">
        <f>IF('0.0%'!$N935&lt;$Z$3,0, '0.0%'!$Q935/'0.0%'!$N935)</f>
        <v>1.1185350852669835</v>
      </c>
      <c r="X935" s="13">
        <f>IF('0.0%'!$N935&lt;$Z$3,0, '0.0%'!$R935/'0.0%'!$N935)</f>
        <v>1.3450750163078933</v>
      </c>
      <c r="Y935" s="13">
        <f>IF('0.0%'!$N935&lt;$Z$3,0, '0.0%'!$S935/'0.0%'!$N935)</f>
        <v>1.424937098126922</v>
      </c>
    </row>
    <row r="936" spans="1:25" x14ac:dyDescent="0.3">
      <c r="A936" s="17">
        <v>996.59</v>
      </c>
      <c r="B936" s="10">
        <v>1055.0999999999999</v>
      </c>
      <c r="C936" s="9">
        <v>996.59</v>
      </c>
      <c r="D936" s="10">
        <v>1423.2</v>
      </c>
      <c r="E936" s="11">
        <v>996.59</v>
      </c>
      <c r="F936" s="12">
        <v>1141.4000000000001</v>
      </c>
      <c r="G936" s="11">
        <v>996.59</v>
      </c>
      <c r="H936" s="12">
        <v>1181.7</v>
      </c>
      <c r="I936" s="11">
        <v>996.59</v>
      </c>
      <c r="J936" s="12">
        <v>1420.5</v>
      </c>
      <c r="K936" s="11">
        <v>996.59</v>
      </c>
      <c r="L936" s="12">
        <v>1505.1</v>
      </c>
      <c r="M936" s="11">
        <v>996.59</v>
      </c>
      <c r="N936" s="13">
        <v>1055.0999999999999</v>
      </c>
      <c r="O936" s="13">
        <v>1423.2</v>
      </c>
      <c r="P936" s="13">
        <v>1141.4000000000001</v>
      </c>
      <c r="Q936" s="11">
        <v>1181.7</v>
      </c>
      <c r="R936" s="11">
        <v>1420.5</v>
      </c>
      <c r="S936" s="14">
        <v>1505.1</v>
      </c>
      <c r="T936" s="11">
        <v>996.59</v>
      </c>
      <c r="U936" s="13">
        <f>IF('0.0%'!$N936&lt;$Z$3,0, '0.0%'!$O936/'0.0%'!$N936)</f>
        <v>1.3488768837077056</v>
      </c>
      <c r="V936" s="13">
        <f>IF('0.0%'!$N936&lt;$Z$3,0, '0.0%'!$P936/'0.0%'!$N936)</f>
        <v>1.0817931949578241</v>
      </c>
      <c r="W936" s="13">
        <f>IF('0.0%'!$N936&lt;$Z$3,0, '0.0%'!$Q936/'0.0%'!$N936)</f>
        <v>1.119988626670458</v>
      </c>
      <c r="X936" s="13">
        <f>IF('0.0%'!$N936&lt;$Z$3,0, '0.0%'!$R936/'0.0%'!$N936)</f>
        <v>1.3463178845607053</v>
      </c>
      <c r="Y936" s="13">
        <f>IF('0.0%'!$N936&lt;$Z$3,0, '0.0%'!$S936/'0.0%'!$N936)</f>
        <v>1.4264998578333807</v>
      </c>
    </row>
    <row r="937" spans="1:25" x14ac:dyDescent="0.3">
      <c r="A937" s="17">
        <v>997.58</v>
      </c>
      <c r="B937" s="10">
        <v>1037.0999999999999</v>
      </c>
      <c r="C937" s="9">
        <v>997.58</v>
      </c>
      <c r="D937" s="10">
        <v>1403.2</v>
      </c>
      <c r="E937" s="11">
        <v>997.58</v>
      </c>
      <c r="F937" s="12">
        <v>1123.9000000000001</v>
      </c>
      <c r="G937" s="11">
        <v>997.58</v>
      </c>
      <c r="H937" s="12">
        <v>1163</v>
      </c>
      <c r="I937" s="11">
        <v>997.58</v>
      </c>
      <c r="J937" s="12">
        <v>1397.7</v>
      </c>
      <c r="K937" s="11">
        <v>997.58</v>
      </c>
      <c r="L937" s="12">
        <v>1481.4</v>
      </c>
      <c r="M937" s="11">
        <v>997.58</v>
      </c>
      <c r="N937" s="13">
        <v>1037.0999999999999</v>
      </c>
      <c r="O937" s="13">
        <v>1403.2</v>
      </c>
      <c r="P937" s="13">
        <v>1123.9000000000001</v>
      </c>
      <c r="Q937" s="11">
        <v>1163</v>
      </c>
      <c r="R937" s="11">
        <v>1397.7</v>
      </c>
      <c r="S937" s="14">
        <v>1481.4</v>
      </c>
      <c r="T937" s="11">
        <v>997.58</v>
      </c>
      <c r="U937" s="13">
        <f>IF('0.0%'!$N937&lt;$Z$3,0, '0.0%'!$O937/'0.0%'!$N937)</f>
        <v>1.3530035676405363</v>
      </c>
      <c r="V937" s="13">
        <f>IF('0.0%'!$N937&lt;$Z$3,0, '0.0%'!$P937/'0.0%'!$N937)</f>
        <v>1.0836949185228042</v>
      </c>
      <c r="W937" s="13">
        <f>IF('0.0%'!$N937&lt;$Z$3,0, '0.0%'!$Q937/'0.0%'!$N937)</f>
        <v>1.1213962009449427</v>
      </c>
      <c r="X937" s="13">
        <f>IF('0.0%'!$N937&lt;$Z$3,0, '0.0%'!$R937/'0.0%'!$N937)</f>
        <v>1.3477003181949669</v>
      </c>
      <c r="Y937" s="13">
        <f>IF('0.0%'!$N937&lt;$Z$3,0, '0.0%'!$S937/'0.0%'!$N937)</f>
        <v>1.4284061324848136</v>
      </c>
    </row>
    <row r="938" spans="1:25" x14ac:dyDescent="0.3">
      <c r="A938" s="17">
        <v>998.57</v>
      </c>
      <c r="B938" s="10">
        <v>1019.7</v>
      </c>
      <c r="C938" s="9">
        <v>998.57</v>
      </c>
      <c r="D938" s="10">
        <v>1383.3</v>
      </c>
      <c r="E938" s="11">
        <v>998.57</v>
      </c>
      <c r="F938" s="12">
        <v>1107</v>
      </c>
      <c r="G938" s="11">
        <v>998.57</v>
      </c>
      <c r="H938" s="12">
        <v>1144.8</v>
      </c>
      <c r="I938" s="11">
        <v>998.57</v>
      </c>
      <c r="J938" s="12">
        <v>1375.1</v>
      </c>
      <c r="K938" s="11">
        <v>998.57</v>
      </c>
      <c r="L938" s="12">
        <v>1457.9</v>
      </c>
      <c r="M938" s="11">
        <v>998.57</v>
      </c>
      <c r="N938" s="13">
        <v>1019.7</v>
      </c>
      <c r="O938" s="13">
        <v>1383.3</v>
      </c>
      <c r="P938" s="13">
        <v>1107</v>
      </c>
      <c r="Q938" s="11">
        <v>1144.8</v>
      </c>
      <c r="R938" s="11">
        <v>1375.1</v>
      </c>
      <c r="S938" s="14">
        <v>1457.9</v>
      </c>
      <c r="T938" s="11">
        <v>998.57</v>
      </c>
      <c r="U938" s="13">
        <f>IF('0.0%'!$N938&lt;$Z$3,0, '0.0%'!$O938/'0.0%'!$N938)</f>
        <v>1.3565754633715799</v>
      </c>
      <c r="V938" s="13">
        <f>IF('0.0%'!$N938&lt;$Z$3,0, '0.0%'!$P938/'0.0%'!$N938)</f>
        <v>1.0856134157105031</v>
      </c>
      <c r="W938" s="13">
        <f>IF('0.0%'!$N938&lt;$Z$3,0, '0.0%'!$Q938/'0.0%'!$N938)</f>
        <v>1.1226831421006178</v>
      </c>
      <c r="X938" s="13">
        <f>IF('0.0%'!$N938&lt;$Z$3,0, '0.0%'!$R938/'0.0%'!$N938)</f>
        <v>1.3485338825144648</v>
      </c>
      <c r="Y938" s="13">
        <f>IF('0.0%'!$N938&lt;$Z$3,0, '0.0%'!$S938/'0.0%'!$N938)</f>
        <v>1.4297342355594782</v>
      </c>
    </row>
    <row r="939" spans="1:25" x14ac:dyDescent="0.3">
      <c r="A939" s="17">
        <v>999.56</v>
      </c>
      <c r="B939" s="10">
        <v>1002.3</v>
      </c>
      <c r="C939" s="9">
        <v>999.56</v>
      </c>
      <c r="D939" s="10">
        <v>1363.7</v>
      </c>
      <c r="E939" s="11">
        <v>999.56</v>
      </c>
      <c r="F939" s="12">
        <v>1090.0999999999999</v>
      </c>
      <c r="G939" s="11">
        <v>999.56</v>
      </c>
      <c r="H939" s="12">
        <v>1126.8</v>
      </c>
      <c r="I939" s="11">
        <v>999.56</v>
      </c>
      <c r="J939" s="12">
        <v>1352.7</v>
      </c>
      <c r="K939" s="11">
        <v>999.56</v>
      </c>
      <c r="L939" s="12">
        <v>1434.6</v>
      </c>
      <c r="M939" s="11">
        <v>999.56</v>
      </c>
      <c r="N939" s="13">
        <v>1002.3</v>
      </c>
      <c r="O939" s="13">
        <v>1363.7</v>
      </c>
      <c r="P939" s="13">
        <v>1090.0999999999999</v>
      </c>
      <c r="Q939" s="11">
        <v>1126.8</v>
      </c>
      <c r="R939" s="11">
        <v>1352.7</v>
      </c>
      <c r="S939" s="14">
        <v>1434.6</v>
      </c>
      <c r="T939" s="11">
        <v>999.56</v>
      </c>
      <c r="U939" s="13">
        <f>IF('0.0%'!$N939&lt;$Z$3,0, '0.0%'!$O939/'0.0%'!$N939)</f>
        <v>1.3605706874189365</v>
      </c>
      <c r="V939" s="13">
        <f>IF('0.0%'!$N939&lt;$Z$3,0, '0.0%'!$P939/'0.0%'!$N939)</f>
        <v>1.0875985233961887</v>
      </c>
      <c r="W939" s="13">
        <f>IF('0.0%'!$N939&lt;$Z$3,0, '0.0%'!$Q939/'0.0%'!$N939)</f>
        <v>1.1242143070936845</v>
      </c>
      <c r="X939" s="13">
        <f>IF('0.0%'!$N939&lt;$Z$3,0, '0.0%'!$R939/'0.0%'!$N939)</f>
        <v>1.3495959293624664</v>
      </c>
      <c r="Y939" s="13">
        <f>IF('0.0%'!$N939&lt;$Z$3,0, '0.0%'!$S939/'0.0%'!$N939)</f>
        <v>1.4313079916192757</v>
      </c>
    </row>
    <row r="940" spans="1:25" x14ac:dyDescent="0.3">
      <c r="A940" s="17">
        <v>1000.56</v>
      </c>
      <c r="B940" s="10">
        <v>985.6</v>
      </c>
      <c r="C940" s="9">
        <v>1000.56</v>
      </c>
      <c r="D940" s="10">
        <v>1344</v>
      </c>
      <c r="E940" s="11">
        <v>1000.56</v>
      </c>
      <c r="F940" s="12">
        <v>1073.9000000000001</v>
      </c>
      <c r="G940" s="11">
        <v>1000.56</v>
      </c>
      <c r="H940" s="12">
        <v>1109.3</v>
      </c>
      <c r="I940" s="11">
        <v>1000.56</v>
      </c>
      <c r="J940" s="12">
        <v>1330.5</v>
      </c>
      <c r="K940" s="11">
        <v>1000.56</v>
      </c>
      <c r="L940" s="12">
        <v>1411.5</v>
      </c>
      <c r="M940" s="11">
        <v>1000.56</v>
      </c>
      <c r="N940" s="13">
        <v>985.6</v>
      </c>
      <c r="O940" s="13">
        <v>1344</v>
      </c>
      <c r="P940" s="13">
        <v>1073.9000000000001</v>
      </c>
      <c r="Q940" s="11">
        <v>1109.3</v>
      </c>
      <c r="R940" s="11">
        <v>1330.5</v>
      </c>
      <c r="S940" s="14">
        <v>1411.5</v>
      </c>
      <c r="T940" s="11">
        <v>1000.56</v>
      </c>
      <c r="U940" s="13">
        <f>IF('0.0%'!$N940&lt;$Z$3,0, '0.0%'!$O940/'0.0%'!$N940)</f>
        <v>1.3636363636363635</v>
      </c>
      <c r="V940" s="13">
        <f>IF('0.0%'!$N940&lt;$Z$3,0, '0.0%'!$P940/'0.0%'!$N940)</f>
        <v>1.0895900974025974</v>
      </c>
      <c r="W940" s="13">
        <f>IF('0.0%'!$N940&lt;$Z$3,0, '0.0%'!$Q940/'0.0%'!$N940)</f>
        <v>1.125507305194805</v>
      </c>
      <c r="X940" s="13">
        <f>IF('0.0%'!$N940&lt;$Z$3,0, '0.0%'!$R940/'0.0%'!$N940)</f>
        <v>1.3499391233766234</v>
      </c>
      <c r="Y940" s="13">
        <f>IF('0.0%'!$N940&lt;$Z$3,0, '0.0%'!$S940/'0.0%'!$N940)</f>
        <v>1.4321225649350648</v>
      </c>
    </row>
    <row r="941" spans="1:25" x14ac:dyDescent="0.3">
      <c r="A941" s="17">
        <v>1001.55</v>
      </c>
      <c r="B941" s="10">
        <v>968.9</v>
      </c>
      <c r="C941" s="9">
        <v>1001.55</v>
      </c>
      <c r="D941" s="10">
        <v>1324.2</v>
      </c>
      <c r="E941" s="11">
        <v>1001.55</v>
      </c>
      <c r="F941" s="12">
        <v>1057.7</v>
      </c>
      <c r="G941" s="11">
        <v>1001.55</v>
      </c>
      <c r="H941" s="12">
        <v>1091.8</v>
      </c>
      <c r="I941" s="11">
        <v>1001.55</v>
      </c>
      <c r="J941" s="12">
        <v>1308.5</v>
      </c>
      <c r="K941" s="11">
        <v>1001.55</v>
      </c>
      <c r="L941" s="12">
        <v>1388.4</v>
      </c>
      <c r="M941" s="11">
        <v>1001.55</v>
      </c>
      <c r="N941" s="13">
        <v>968.9</v>
      </c>
      <c r="O941" s="13">
        <v>1324.2</v>
      </c>
      <c r="P941" s="13">
        <v>1057.7</v>
      </c>
      <c r="Q941" s="11">
        <v>1091.8</v>
      </c>
      <c r="R941" s="11">
        <v>1308.5</v>
      </c>
      <c r="S941" s="14">
        <v>1388.4</v>
      </c>
      <c r="T941" s="11">
        <v>1001.55</v>
      </c>
      <c r="U941" s="13">
        <f>IF('0.0%'!$N941&lt;$Z$3,0, '0.0%'!$O941/'0.0%'!$N941)</f>
        <v>1.3667045102693778</v>
      </c>
      <c r="V941" s="13">
        <f>IF('0.0%'!$N941&lt;$Z$3,0, '0.0%'!$P941/'0.0%'!$N941)</f>
        <v>1.0916503251109506</v>
      </c>
      <c r="W941" s="13">
        <f>IF('0.0%'!$N941&lt;$Z$3,0, '0.0%'!$Q941/'0.0%'!$N941)</f>
        <v>1.1268448756321601</v>
      </c>
      <c r="X941" s="13">
        <f>IF('0.0%'!$N941&lt;$Z$3,0, '0.0%'!$R941/'0.0%'!$N941)</f>
        <v>1.3505005676540407</v>
      </c>
      <c r="Y941" s="13">
        <f>IF('0.0%'!$N941&lt;$Z$3,0, '0.0%'!$S941/'0.0%'!$N941)</f>
        <v>1.4329652182887813</v>
      </c>
    </row>
    <row r="942" spans="1:25" x14ac:dyDescent="0.3">
      <c r="A942" s="17">
        <v>1002.54</v>
      </c>
      <c r="B942" s="10">
        <v>952.6</v>
      </c>
      <c r="C942" s="9">
        <v>1002.54</v>
      </c>
      <c r="D942" s="10">
        <v>1304.2</v>
      </c>
      <c r="E942" s="11">
        <v>1002.54</v>
      </c>
      <c r="F942" s="12">
        <v>1041.9000000000001</v>
      </c>
      <c r="G942" s="11">
        <v>1002.54</v>
      </c>
      <c r="H942" s="12">
        <v>1074.8</v>
      </c>
      <c r="I942" s="11">
        <v>1002.54</v>
      </c>
      <c r="J942" s="12">
        <v>1286.5</v>
      </c>
      <c r="K942" s="11">
        <v>1002.54</v>
      </c>
      <c r="L942" s="12">
        <v>1365.4</v>
      </c>
      <c r="M942" s="11">
        <v>1002.54</v>
      </c>
      <c r="N942" s="13">
        <v>952.6</v>
      </c>
      <c r="O942" s="13">
        <v>1304.2</v>
      </c>
      <c r="P942" s="13">
        <v>1041.9000000000001</v>
      </c>
      <c r="Q942" s="11">
        <v>1074.8</v>
      </c>
      <c r="R942" s="11">
        <v>1286.5</v>
      </c>
      <c r="S942" s="14">
        <v>1365.4</v>
      </c>
      <c r="T942" s="11">
        <v>1002.54</v>
      </c>
      <c r="U942" s="13">
        <f>IF('0.0%'!$N942&lt;$Z$3,0, '0.0%'!$O942/'0.0%'!$N942)</f>
        <v>1.3690951081251312</v>
      </c>
      <c r="V942" s="13">
        <f>IF('0.0%'!$N942&lt;$Z$3,0, '0.0%'!$P942/'0.0%'!$N942)</f>
        <v>1.0937434390090279</v>
      </c>
      <c r="W942" s="13">
        <f>IF('0.0%'!$N942&lt;$Z$3,0, '0.0%'!$Q942/'0.0%'!$N942)</f>
        <v>1.1282804954860381</v>
      </c>
      <c r="X942" s="13">
        <f>IF('0.0%'!$N942&lt;$Z$3,0, '0.0%'!$R942/'0.0%'!$N942)</f>
        <v>1.3505143816922107</v>
      </c>
      <c r="Y942" s="13">
        <f>IF('0.0%'!$N942&lt;$Z$3,0, '0.0%'!$S942/'0.0%'!$N942)</f>
        <v>1.4333403317237037</v>
      </c>
    </row>
    <row r="943" spans="1:25" x14ac:dyDescent="0.3">
      <c r="A943" s="17">
        <v>1003.53</v>
      </c>
      <c r="B943" s="10">
        <v>935.9</v>
      </c>
      <c r="C943" s="9">
        <v>1003.53</v>
      </c>
      <c r="D943" s="10">
        <v>1283.9000000000001</v>
      </c>
      <c r="E943" s="11">
        <v>1003.53</v>
      </c>
      <c r="F943" s="12">
        <v>1025.8</v>
      </c>
      <c r="G943" s="11">
        <v>1003.53</v>
      </c>
      <c r="H943" s="12">
        <v>1057.7</v>
      </c>
      <c r="I943" s="11">
        <v>1003.53</v>
      </c>
      <c r="J943" s="12">
        <v>1264.3</v>
      </c>
      <c r="K943" s="11">
        <v>1003.53</v>
      </c>
      <c r="L943" s="12">
        <v>1342.2</v>
      </c>
      <c r="M943" s="11">
        <v>1003.53</v>
      </c>
      <c r="N943" s="13">
        <v>935.9</v>
      </c>
      <c r="O943" s="13">
        <v>1283.9000000000001</v>
      </c>
      <c r="P943" s="13">
        <v>1025.8</v>
      </c>
      <c r="Q943" s="11">
        <v>1057.7</v>
      </c>
      <c r="R943" s="11">
        <v>1264.3</v>
      </c>
      <c r="S943" s="14">
        <v>1342.2</v>
      </c>
      <c r="T943" s="11">
        <v>1003.53</v>
      </c>
      <c r="U943" s="13">
        <f>IF('0.0%'!$N943&lt;$Z$3,0, '0.0%'!$O943/'0.0%'!$N943)</f>
        <v>1.371834597713431</v>
      </c>
      <c r="V943" s="13">
        <f>IF('0.0%'!$N943&lt;$Z$3,0, '0.0%'!$P943/'0.0%'!$N943)</f>
        <v>1.0960572710759697</v>
      </c>
      <c r="W943" s="13">
        <f>IF('0.0%'!$N943&lt;$Z$3,0, '0.0%'!$Q943/'0.0%'!$N943)</f>
        <v>1.1301421091997008</v>
      </c>
      <c r="X943" s="13">
        <f>IF('0.0%'!$N943&lt;$Z$3,0, '0.0%'!$R943/'0.0%'!$N943)</f>
        <v>1.3508921893364676</v>
      </c>
      <c r="Y943" s="13">
        <f>IF('0.0%'!$N943&lt;$Z$3,0, '0.0%'!$S943/'0.0%'!$N943)</f>
        <v>1.4341275777326639</v>
      </c>
    </row>
    <row r="944" spans="1:25" x14ac:dyDescent="0.3">
      <c r="A944" s="17">
        <v>1004.52</v>
      </c>
      <c r="B944" s="10">
        <v>919.7</v>
      </c>
      <c r="C944" s="9">
        <v>1004.52</v>
      </c>
      <c r="D944" s="10">
        <v>1263.4000000000001</v>
      </c>
      <c r="E944" s="11">
        <v>1004.52</v>
      </c>
      <c r="F944" s="12">
        <v>1010.2</v>
      </c>
      <c r="G944" s="11">
        <v>1004.52</v>
      </c>
      <c r="H944" s="12">
        <v>1040.9000000000001</v>
      </c>
      <c r="I944" s="11">
        <v>1004.52</v>
      </c>
      <c r="J944" s="12">
        <v>1242.3</v>
      </c>
      <c r="K944" s="11">
        <v>1004.52</v>
      </c>
      <c r="L944" s="12">
        <v>1319.1</v>
      </c>
      <c r="M944" s="11">
        <v>1004.52</v>
      </c>
      <c r="N944" s="13">
        <v>919.7</v>
      </c>
      <c r="O944" s="13">
        <v>1263.4000000000001</v>
      </c>
      <c r="P944" s="13">
        <v>1010.2</v>
      </c>
      <c r="Q944" s="11">
        <v>1040.9000000000001</v>
      </c>
      <c r="R944" s="11">
        <v>1242.3</v>
      </c>
      <c r="S944" s="14">
        <v>1319.1</v>
      </c>
      <c r="T944" s="11">
        <v>1004.52</v>
      </c>
      <c r="U944" s="13">
        <f>IF('0.0%'!$N944&lt;$Z$3,0, '0.0%'!$O944/'0.0%'!$N944)</f>
        <v>1.3737088180928565</v>
      </c>
      <c r="V944" s="13">
        <f>IF('0.0%'!$N944&lt;$Z$3,0, '0.0%'!$P944/'0.0%'!$N944)</f>
        <v>1.0984016527128411</v>
      </c>
      <c r="W944" s="13">
        <f>IF('0.0%'!$N944&lt;$Z$3,0, '0.0%'!$Q944/'0.0%'!$N944)</f>
        <v>1.1317821028596282</v>
      </c>
      <c r="X944" s="13">
        <f>IF('0.0%'!$N944&lt;$Z$3,0, '0.0%'!$R944/'0.0%'!$N944)</f>
        <v>1.3507665543111884</v>
      </c>
      <c r="Y944" s="13">
        <f>IF('0.0%'!$N944&lt;$Z$3,0, '0.0%'!$S944/'0.0%'!$N944)</f>
        <v>1.4342720452321407</v>
      </c>
    </row>
    <row r="945" spans="1:25" x14ac:dyDescent="0.3">
      <c r="A945" s="17">
        <v>1005.51</v>
      </c>
      <c r="B945" s="10">
        <v>905.3</v>
      </c>
      <c r="C945" s="9">
        <v>1005.51</v>
      </c>
      <c r="D945" s="10">
        <v>1245.3</v>
      </c>
      <c r="E945" s="11">
        <v>1005.51</v>
      </c>
      <c r="F945" s="12">
        <v>996.2</v>
      </c>
      <c r="G945" s="11">
        <v>1005.51</v>
      </c>
      <c r="H945" s="12">
        <v>1026</v>
      </c>
      <c r="I945" s="11">
        <v>1005.51</v>
      </c>
      <c r="J945" s="12">
        <v>1223</v>
      </c>
      <c r="K945" s="11">
        <v>1005.51</v>
      </c>
      <c r="L945" s="12">
        <v>1298.7</v>
      </c>
      <c r="M945" s="11">
        <v>1005.51</v>
      </c>
      <c r="N945" s="13">
        <v>905.3</v>
      </c>
      <c r="O945" s="13">
        <v>1245.3</v>
      </c>
      <c r="P945" s="13">
        <v>996.2</v>
      </c>
      <c r="Q945" s="11">
        <v>1026</v>
      </c>
      <c r="R945" s="11">
        <v>1223</v>
      </c>
      <c r="S945" s="14">
        <v>1298.7</v>
      </c>
      <c r="T945" s="11">
        <v>1005.51</v>
      </c>
      <c r="U945" s="13">
        <f>IF('0.0%'!$N945&lt;$Z$3,0, '0.0%'!$O945/'0.0%'!$N945)</f>
        <v>1.375566110681542</v>
      </c>
      <c r="V945" s="13">
        <f>IF('0.0%'!$N945&lt;$Z$3,0, '0.0%'!$P945/'0.0%'!$N945)</f>
        <v>1.1004087042969182</v>
      </c>
      <c r="W945" s="13">
        <f>IF('0.0%'!$N945&lt;$Z$3,0, '0.0%'!$Q945/'0.0%'!$N945)</f>
        <v>1.1333259692919475</v>
      </c>
      <c r="X945" s="13">
        <f>IF('0.0%'!$N945&lt;$Z$3,0, '0.0%'!$R945/'0.0%'!$N945)</f>
        <v>1.3509333922456646</v>
      </c>
      <c r="Y945" s="13">
        <f>IF('0.0%'!$N945&lt;$Z$3,0, '0.0%'!$S945/'0.0%'!$N945)</f>
        <v>1.434552082182702</v>
      </c>
    </row>
    <row r="946" spans="1:25" x14ac:dyDescent="0.3">
      <c r="A946" s="17">
        <v>1006.51</v>
      </c>
      <c r="B946" s="10">
        <v>888.7</v>
      </c>
      <c r="C946" s="9">
        <v>1006.51</v>
      </c>
      <c r="D946" s="10">
        <v>1224.3</v>
      </c>
      <c r="E946" s="11">
        <v>1006.51</v>
      </c>
      <c r="F946" s="12">
        <v>980</v>
      </c>
      <c r="G946" s="11">
        <v>1006.51</v>
      </c>
      <c r="H946" s="12">
        <v>1008.8</v>
      </c>
      <c r="I946" s="11">
        <v>1006.51</v>
      </c>
      <c r="J946" s="12">
        <v>1200.7</v>
      </c>
      <c r="K946" s="11">
        <v>1006.51</v>
      </c>
      <c r="L946" s="12">
        <v>1275.0999999999999</v>
      </c>
      <c r="M946" s="11">
        <v>1006.51</v>
      </c>
      <c r="N946" s="13">
        <v>888.7</v>
      </c>
      <c r="O946" s="13">
        <v>1224.3</v>
      </c>
      <c r="P946" s="13">
        <v>980</v>
      </c>
      <c r="Q946" s="11">
        <v>1008.8</v>
      </c>
      <c r="R946" s="11">
        <v>1200.7</v>
      </c>
      <c r="S946" s="14">
        <v>1275.0999999999999</v>
      </c>
      <c r="T946" s="11">
        <v>1006.51</v>
      </c>
      <c r="U946" s="13">
        <f>IF('0.0%'!$N946&lt;$Z$3,0, '0.0%'!$O946/'0.0%'!$N946)</f>
        <v>1.3776302464273658</v>
      </c>
      <c r="V946" s="13">
        <f>IF('0.0%'!$N946&lt;$Z$3,0, '0.0%'!$P946/'0.0%'!$N946)</f>
        <v>1.102734331045347</v>
      </c>
      <c r="W946" s="13">
        <f>IF('0.0%'!$N946&lt;$Z$3,0, '0.0%'!$Q946/'0.0%'!$N946)</f>
        <v>1.1351412175087205</v>
      </c>
      <c r="X946" s="13">
        <f>IF('0.0%'!$N946&lt;$Z$3,0, '0.0%'!$R946/'0.0%'!$N946)</f>
        <v>1.3510746033532126</v>
      </c>
      <c r="Y946" s="13">
        <f>IF('0.0%'!$N946&lt;$Z$3,0, '0.0%'!$S946/'0.0%'!$N946)</f>
        <v>1.4347923933835938</v>
      </c>
    </row>
    <row r="947" spans="1:25" x14ac:dyDescent="0.3">
      <c r="A947" s="17">
        <v>1007.5</v>
      </c>
      <c r="B947" s="10">
        <v>872.2</v>
      </c>
      <c r="C947" s="9">
        <v>1007.5</v>
      </c>
      <c r="D947" s="10">
        <v>1202.7</v>
      </c>
      <c r="E947" s="11">
        <v>1007.5</v>
      </c>
      <c r="F947" s="12">
        <v>963.8</v>
      </c>
      <c r="G947" s="11">
        <v>1007.5</v>
      </c>
      <c r="H947" s="12">
        <v>991.6</v>
      </c>
      <c r="I947" s="11">
        <v>1007.5</v>
      </c>
      <c r="J947" s="12">
        <v>1178.0999999999999</v>
      </c>
      <c r="K947" s="11">
        <v>1007.5</v>
      </c>
      <c r="L947" s="12">
        <v>1251.0999999999999</v>
      </c>
      <c r="M947" s="11">
        <v>1007.5</v>
      </c>
      <c r="N947" s="13">
        <v>872.2</v>
      </c>
      <c r="O947" s="13">
        <v>1202.7</v>
      </c>
      <c r="P947" s="13">
        <v>963.8</v>
      </c>
      <c r="Q947" s="11">
        <v>991.6</v>
      </c>
      <c r="R947" s="11">
        <v>1178.0999999999999</v>
      </c>
      <c r="S947" s="14">
        <v>1251.0999999999999</v>
      </c>
      <c r="T947" s="11">
        <v>1007.5</v>
      </c>
      <c r="U947" s="13">
        <f>IF('0.0%'!$N947&lt;$Z$3,0, '0.0%'!$O947/'0.0%'!$N947)</f>
        <v>1.3789268516395321</v>
      </c>
      <c r="V947" s="13">
        <f>IF('0.0%'!$N947&lt;$Z$3,0, '0.0%'!$P947/'0.0%'!$N947)</f>
        <v>1.1050217839944965</v>
      </c>
      <c r="W947" s="13">
        <f>IF('0.0%'!$N947&lt;$Z$3,0, '0.0%'!$Q947/'0.0%'!$N947)</f>
        <v>1.1368952075212106</v>
      </c>
      <c r="X947" s="13">
        <f>IF('0.0%'!$N947&lt;$Z$3,0, '0.0%'!$R947/'0.0%'!$N947)</f>
        <v>1.3507223113964686</v>
      </c>
      <c r="Y947" s="13">
        <f>IF('0.0%'!$N947&lt;$Z$3,0, '0.0%'!$S947/'0.0%'!$N947)</f>
        <v>1.4344187113047464</v>
      </c>
    </row>
    <row r="948" spans="1:25" x14ac:dyDescent="0.3">
      <c r="A948" s="17">
        <v>1008.49</v>
      </c>
      <c r="B948" s="10">
        <v>855.1</v>
      </c>
      <c r="C948" s="9">
        <v>1008.49</v>
      </c>
      <c r="D948" s="10">
        <v>1180.5</v>
      </c>
      <c r="E948" s="11">
        <v>1008.49</v>
      </c>
      <c r="F948" s="12">
        <v>946.8</v>
      </c>
      <c r="G948" s="11">
        <v>1008.49</v>
      </c>
      <c r="H948" s="12">
        <v>973.8</v>
      </c>
      <c r="I948" s="11">
        <v>1008.49</v>
      </c>
      <c r="J948" s="12">
        <v>1155</v>
      </c>
      <c r="K948" s="11">
        <v>1008.49</v>
      </c>
      <c r="L948" s="12">
        <v>1226.4000000000001</v>
      </c>
      <c r="M948" s="11">
        <v>1008.49</v>
      </c>
      <c r="N948" s="13">
        <v>855.1</v>
      </c>
      <c r="O948" s="13">
        <v>1180.5</v>
      </c>
      <c r="P948" s="13">
        <v>946.8</v>
      </c>
      <c r="Q948" s="11">
        <v>973.8</v>
      </c>
      <c r="R948" s="11">
        <v>1155</v>
      </c>
      <c r="S948" s="14">
        <v>1226.4000000000001</v>
      </c>
      <c r="T948" s="11">
        <v>1008.49</v>
      </c>
      <c r="U948" s="13">
        <f>IF('0.0%'!$N948&lt;$Z$3,0, '0.0%'!$O948/'0.0%'!$N948)</f>
        <v>1.3805402876856507</v>
      </c>
      <c r="V948" s="13">
        <f>IF('0.0%'!$N948&lt;$Z$3,0, '0.0%'!$P948/'0.0%'!$N948)</f>
        <v>1.1072389194246286</v>
      </c>
      <c r="W948" s="13">
        <f>IF('0.0%'!$N948&lt;$Z$3,0, '0.0%'!$Q948/'0.0%'!$N948)</f>
        <v>1.1388141737808442</v>
      </c>
      <c r="X948" s="13">
        <f>IF('0.0%'!$N948&lt;$Z$3,0, '0.0%'!$R948/'0.0%'!$N948)</f>
        <v>1.3507192141270026</v>
      </c>
      <c r="Y948" s="13">
        <f>IF('0.0%'!$N948&lt;$Z$3,0, '0.0%'!$S948/'0.0%'!$N948)</f>
        <v>1.4342182200912175</v>
      </c>
    </row>
    <row r="949" spans="1:25" x14ac:dyDescent="0.3">
      <c r="A949" s="17">
        <v>1009.48</v>
      </c>
      <c r="B949" s="10">
        <v>838</v>
      </c>
      <c r="C949" s="9">
        <v>1009.48</v>
      </c>
      <c r="D949" s="10">
        <v>1157.9000000000001</v>
      </c>
      <c r="E949" s="11">
        <v>1009.48</v>
      </c>
      <c r="F949" s="12">
        <v>930.1</v>
      </c>
      <c r="G949" s="11">
        <v>1009.48</v>
      </c>
      <c r="H949" s="12">
        <v>956.1</v>
      </c>
      <c r="I949" s="11">
        <v>1009.48</v>
      </c>
      <c r="J949" s="12">
        <v>1131.5999999999999</v>
      </c>
      <c r="K949" s="11">
        <v>1009.48</v>
      </c>
      <c r="L949" s="12">
        <v>1201.5</v>
      </c>
      <c r="M949" s="11">
        <v>1009.48</v>
      </c>
      <c r="N949" s="13">
        <v>838</v>
      </c>
      <c r="O949" s="13">
        <v>1157.9000000000001</v>
      </c>
      <c r="P949" s="13">
        <v>930.1</v>
      </c>
      <c r="Q949" s="11">
        <v>956.1</v>
      </c>
      <c r="R949" s="11">
        <v>1131.5999999999999</v>
      </c>
      <c r="S949" s="14">
        <v>1201.5</v>
      </c>
      <c r="T949" s="11">
        <v>1009.48</v>
      </c>
      <c r="U949" s="13">
        <f>IF('0.0%'!$N949&lt;$Z$3,0, '0.0%'!$O949/'0.0%'!$N949)</f>
        <v>1.3817422434367543</v>
      </c>
      <c r="V949" s="13">
        <f>IF('0.0%'!$N949&lt;$Z$3,0, '0.0%'!$P949/'0.0%'!$N949)</f>
        <v>1.1099045346062053</v>
      </c>
      <c r="W949" s="13">
        <f>IF('0.0%'!$N949&lt;$Z$3,0, '0.0%'!$Q949/'0.0%'!$N949)</f>
        <v>1.1409307875894987</v>
      </c>
      <c r="X949" s="13">
        <f>IF('0.0%'!$N949&lt;$Z$3,0, '0.0%'!$R949/'0.0%'!$N949)</f>
        <v>1.3503579952267302</v>
      </c>
      <c r="Y949" s="13">
        <f>IF('0.0%'!$N949&lt;$Z$3,0, '0.0%'!$S949/'0.0%'!$N949)</f>
        <v>1.4337708830548925</v>
      </c>
    </row>
    <row r="950" spans="1:25" x14ac:dyDescent="0.3">
      <c r="A950" s="17">
        <v>1010.47</v>
      </c>
      <c r="B950" s="10">
        <v>820.4</v>
      </c>
      <c r="C950" s="9">
        <v>1010.47</v>
      </c>
      <c r="D950" s="10">
        <v>1134.9000000000001</v>
      </c>
      <c r="E950" s="11">
        <v>1010.47</v>
      </c>
      <c r="F950" s="12">
        <v>912.7</v>
      </c>
      <c r="G950" s="11">
        <v>1010.47</v>
      </c>
      <c r="H950" s="12">
        <v>937.7</v>
      </c>
      <c r="I950" s="11">
        <v>1010.47</v>
      </c>
      <c r="J950" s="12">
        <v>1107.8</v>
      </c>
      <c r="K950" s="11">
        <v>1010.47</v>
      </c>
      <c r="L950" s="12">
        <v>1176.0999999999999</v>
      </c>
      <c r="M950" s="11">
        <v>1010.47</v>
      </c>
      <c r="N950" s="13">
        <v>820.4</v>
      </c>
      <c r="O950" s="13">
        <v>1134.9000000000001</v>
      </c>
      <c r="P950" s="13">
        <v>912.7</v>
      </c>
      <c r="Q950" s="11">
        <v>937.7</v>
      </c>
      <c r="R950" s="11">
        <v>1107.8</v>
      </c>
      <c r="S950" s="14">
        <v>1176.0999999999999</v>
      </c>
      <c r="T950" s="11">
        <v>1010.47</v>
      </c>
      <c r="U950" s="13">
        <f>IF('0.0%'!$N950&lt;$Z$3,0, '0.0%'!$O950/'0.0%'!$N950)</f>
        <v>1.3833495855680158</v>
      </c>
      <c r="V950" s="13">
        <f>IF('0.0%'!$N950&lt;$Z$3,0, '0.0%'!$P950/'0.0%'!$N950)</f>
        <v>1.1125060945880059</v>
      </c>
      <c r="W950" s="13">
        <f>IF('0.0%'!$N950&lt;$Z$3,0, '0.0%'!$Q950/'0.0%'!$N950)</f>
        <v>1.1429790346172599</v>
      </c>
      <c r="X950" s="13">
        <f>IF('0.0%'!$N950&lt;$Z$3,0, '0.0%'!$R950/'0.0%'!$N950)</f>
        <v>1.3503169185763042</v>
      </c>
      <c r="Y950" s="13">
        <f>IF('0.0%'!$N950&lt;$Z$3,0, '0.0%'!$S950/'0.0%'!$N950)</f>
        <v>1.4335689907362261</v>
      </c>
    </row>
    <row r="951" spans="1:25" x14ac:dyDescent="0.3">
      <c r="A951" s="17">
        <v>1011.47</v>
      </c>
      <c r="B951" s="10">
        <v>803.2</v>
      </c>
      <c r="C951" s="9">
        <v>1011.47</v>
      </c>
      <c r="D951" s="10">
        <v>1111.9000000000001</v>
      </c>
      <c r="E951" s="11">
        <v>1011.47</v>
      </c>
      <c r="F951" s="12">
        <v>895.8</v>
      </c>
      <c r="G951" s="11">
        <v>1011.47</v>
      </c>
      <c r="H951" s="12">
        <v>919.6</v>
      </c>
      <c r="I951" s="11">
        <v>1011.47</v>
      </c>
      <c r="J951" s="12">
        <v>1084.0999999999999</v>
      </c>
      <c r="K951" s="11">
        <v>1011.47</v>
      </c>
      <c r="L951" s="12">
        <v>1151.0999999999999</v>
      </c>
      <c r="M951" s="11">
        <v>1011.47</v>
      </c>
      <c r="N951" s="13">
        <v>803.2</v>
      </c>
      <c r="O951" s="13">
        <v>1111.9000000000001</v>
      </c>
      <c r="P951" s="13">
        <v>895.8</v>
      </c>
      <c r="Q951" s="11">
        <v>919.6</v>
      </c>
      <c r="R951" s="11">
        <v>1084.0999999999999</v>
      </c>
      <c r="S951" s="14">
        <v>1151.0999999999999</v>
      </c>
      <c r="T951" s="11">
        <v>1011.47</v>
      </c>
      <c r="U951" s="13">
        <f>IF('0.0%'!$N951&lt;$Z$3,0, '0.0%'!$O951/'0.0%'!$N951)</f>
        <v>1.3843376494023905</v>
      </c>
      <c r="V951" s="13">
        <f>IF('0.0%'!$N951&lt;$Z$3,0, '0.0%'!$P951/'0.0%'!$N951)</f>
        <v>1.1152888446215139</v>
      </c>
      <c r="W951" s="13">
        <f>IF('0.0%'!$N951&lt;$Z$3,0, '0.0%'!$Q951/'0.0%'!$N951)</f>
        <v>1.1449203187250996</v>
      </c>
      <c r="X951" s="13">
        <f>IF('0.0%'!$N951&lt;$Z$3,0, '0.0%'!$R951/'0.0%'!$N951)</f>
        <v>1.3497260956175297</v>
      </c>
      <c r="Y951" s="13">
        <f>IF('0.0%'!$N951&lt;$Z$3,0, '0.0%'!$S951/'0.0%'!$N951)</f>
        <v>1.4331424302788842</v>
      </c>
    </row>
    <row r="952" spans="1:25" x14ac:dyDescent="0.3">
      <c r="A952" s="17">
        <v>1012.46</v>
      </c>
      <c r="B952" s="10">
        <v>785.4</v>
      </c>
      <c r="C952" s="9">
        <v>1012.46</v>
      </c>
      <c r="D952" s="10">
        <v>1088.5</v>
      </c>
      <c r="E952" s="11">
        <v>1012.46</v>
      </c>
      <c r="F952" s="12">
        <v>878.3</v>
      </c>
      <c r="G952" s="11">
        <v>1012.46</v>
      </c>
      <c r="H952" s="12">
        <v>901</v>
      </c>
      <c r="I952" s="11">
        <v>1012.46</v>
      </c>
      <c r="J952" s="12">
        <v>1060.2</v>
      </c>
      <c r="K952" s="11">
        <v>1012.46</v>
      </c>
      <c r="L952" s="12">
        <v>1125.9000000000001</v>
      </c>
      <c r="M952" s="11">
        <v>1012.46</v>
      </c>
      <c r="N952" s="13">
        <v>785.4</v>
      </c>
      <c r="O952" s="13">
        <v>1088.5</v>
      </c>
      <c r="P952" s="13">
        <v>878.3</v>
      </c>
      <c r="Q952" s="11">
        <v>901</v>
      </c>
      <c r="R952" s="11">
        <v>1060.2</v>
      </c>
      <c r="S952" s="14">
        <v>1125.9000000000001</v>
      </c>
      <c r="T952" s="11">
        <v>1012.46</v>
      </c>
      <c r="U952" s="13">
        <f>IF('0.0%'!$N952&lt;$Z$3,0, '0.0%'!$O952/'0.0%'!$N952)</f>
        <v>1.3859180035650625</v>
      </c>
      <c r="V952" s="13">
        <f>IF('0.0%'!$N952&lt;$Z$3,0, '0.0%'!$P952/'0.0%'!$N952)</f>
        <v>1.1182836771072064</v>
      </c>
      <c r="W952" s="13">
        <f>IF('0.0%'!$N952&lt;$Z$3,0, '0.0%'!$Q952/'0.0%'!$N952)</f>
        <v>1.1471861471861473</v>
      </c>
      <c r="X952" s="13">
        <f>IF('0.0%'!$N952&lt;$Z$3,0, '0.0%'!$R952/'0.0%'!$N952)</f>
        <v>1.3498854087089383</v>
      </c>
      <c r="Y952" s="13">
        <f>IF('0.0%'!$N952&lt;$Z$3,0, '0.0%'!$S952/'0.0%'!$N952)</f>
        <v>1.4335370511841101</v>
      </c>
    </row>
    <row r="953" spans="1:25" x14ac:dyDescent="0.3">
      <c r="A953" s="17">
        <v>1013.45</v>
      </c>
      <c r="B953" s="10">
        <v>768</v>
      </c>
      <c r="C953" s="9">
        <v>1013.45</v>
      </c>
      <c r="D953" s="10">
        <v>1065.3</v>
      </c>
      <c r="E953" s="11">
        <v>1013.45</v>
      </c>
      <c r="F953" s="12">
        <v>861.4</v>
      </c>
      <c r="G953" s="11">
        <v>1013.45</v>
      </c>
      <c r="H953" s="12">
        <v>882.7</v>
      </c>
      <c r="I953" s="11">
        <v>1013.45</v>
      </c>
      <c r="J953" s="12">
        <v>1036.5</v>
      </c>
      <c r="K953" s="11">
        <v>1013.45</v>
      </c>
      <c r="L953" s="12">
        <v>1101.0999999999999</v>
      </c>
      <c r="M953" s="11">
        <v>1013.45</v>
      </c>
      <c r="N953" s="13">
        <v>768</v>
      </c>
      <c r="O953" s="13">
        <v>1065.3</v>
      </c>
      <c r="P953" s="13">
        <v>861.4</v>
      </c>
      <c r="Q953" s="11">
        <v>882.7</v>
      </c>
      <c r="R953" s="11">
        <v>1036.5</v>
      </c>
      <c r="S953" s="14">
        <v>1101.0999999999999</v>
      </c>
      <c r="T953" s="11">
        <v>1013.45</v>
      </c>
      <c r="U953" s="13">
        <f>IF('0.0%'!$N953&lt;$Z$3,0, '0.0%'!$O953/'0.0%'!$N953)</f>
        <v>1.3871093749999999</v>
      </c>
      <c r="V953" s="13">
        <f>IF('0.0%'!$N953&lt;$Z$3,0, '0.0%'!$P953/'0.0%'!$N953)</f>
        <v>1.1216145833333333</v>
      </c>
      <c r="W953" s="13">
        <f>IF('0.0%'!$N953&lt;$Z$3,0, '0.0%'!$Q953/'0.0%'!$N953)</f>
        <v>1.1493489583333334</v>
      </c>
      <c r="X953" s="13">
        <f>IF('0.0%'!$N953&lt;$Z$3,0, '0.0%'!$R953/'0.0%'!$N953)</f>
        <v>1.349609375</v>
      </c>
      <c r="Y953" s="13">
        <f>IF('0.0%'!$N953&lt;$Z$3,0, '0.0%'!$S953/'0.0%'!$N953)</f>
        <v>1.4337239583333332</v>
      </c>
    </row>
    <row r="954" spans="1:25" x14ac:dyDescent="0.3">
      <c r="A954" s="17">
        <v>1014.44</v>
      </c>
      <c r="B954" s="10">
        <v>749.8</v>
      </c>
      <c r="C954" s="9">
        <v>1014.44</v>
      </c>
      <c r="D954" s="10">
        <v>1041.5</v>
      </c>
      <c r="E954" s="11">
        <v>1014.44</v>
      </c>
      <c r="F954" s="12">
        <v>843.8</v>
      </c>
      <c r="G954" s="11">
        <v>1014.44</v>
      </c>
      <c r="H954" s="12">
        <v>863.8</v>
      </c>
      <c r="I954" s="11">
        <v>1014.44</v>
      </c>
      <c r="J954" s="12">
        <v>1012.3</v>
      </c>
      <c r="K954" s="11">
        <v>1014.44</v>
      </c>
      <c r="L954" s="12">
        <v>1076</v>
      </c>
      <c r="M954" s="11">
        <v>1014.44</v>
      </c>
      <c r="N954" s="13">
        <v>749.8</v>
      </c>
      <c r="O954" s="13">
        <v>1041.5</v>
      </c>
      <c r="P954" s="13">
        <v>843.8</v>
      </c>
      <c r="Q954" s="11">
        <v>863.8</v>
      </c>
      <c r="R954" s="11">
        <v>1012.3</v>
      </c>
      <c r="S954" s="14">
        <v>1076</v>
      </c>
      <c r="T954" s="11">
        <v>1014.44</v>
      </c>
      <c r="U954" s="13">
        <f>IF('0.0%'!$N954&lt;$Z$3,0, '0.0%'!$O954/'0.0%'!$N954)</f>
        <v>1.3890370765537476</v>
      </c>
      <c r="V954" s="13">
        <f>IF('0.0%'!$N954&lt;$Z$3,0, '0.0%'!$P954/'0.0%'!$N954)</f>
        <v>1.1253667644705254</v>
      </c>
      <c r="W954" s="13">
        <f>IF('0.0%'!$N954&lt;$Z$3,0, '0.0%'!$Q954/'0.0%'!$N954)</f>
        <v>1.1520405441451054</v>
      </c>
      <c r="X954" s="13">
        <f>IF('0.0%'!$N954&lt;$Z$3,0, '0.0%'!$R954/'0.0%'!$N954)</f>
        <v>1.350093358228861</v>
      </c>
      <c r="Y954" s="13">
        <f>IF('0.0%'!$N954&lt;$Z$3,0, '0.0%'!$S954/'0.0%'!$N954)</f>
        <v>1.4350493464923981</v>
      </c>
    </row>
    <row r="955" spans="1:25" x14ac:dyDescent="0.3">
      <c r="A955" s="17">
        <v>1015.43</v>
      </c>
      <c r="B955" s="10">
        <v>731.9</v>
      </c>
      <c r="C955" s="9">
        <v>1015.43</v>
      </c>
      <c r="D955" s="10">
        <v>1017.6</v>
      </c>
      <c r="E955" s="11">
        <v>1015.43</v>
      </c>
      <c r="F955" s="12">
        <v>826.5</v>
      </c>
      <c r="G955" s="11">
        <v>1015.43</v>
      </c>
      <c r="H955" s="12">
        <v>845</v>
      </c>
      <c r="I955" s="11">
        <v>1015.43</v>
      </c>
      <c r="J955" s="12">
        <v>988.2</v>
      </c>
      <c r="K955" s="11">
        <v>1015.43</v>
      </c>
      <c r="L955" s="12">
        <v>1051</v>
      </c>
      <c r="M955" s="11">
        <v>1015.43</v>
      </c>
      <c r="N955" s="13">
        <v>731.9</v>
      </c>
      <c r="O955" s="13">
        <v>1017.6</v>
      </c>
      <c r="P955" s="13">
        <v>826.5</v>
      </c>
      <c r="Q955" s="11">
        <v>845</v>
      </c>
      <c r="R955" s="11">
        <v>988.2</v>
      </c>
      <c r="S955" s="14">
        <v>1051</v>
      </c>
      <c r="T955" s="11">
        <v>1015.43</v>
      </c>
      <c r="U955" s="13">
        <f>IF('0.0%'!$N955&lt;$Z$3,0, '0.0%'!$O955/'0.0%'!$N955)</f>
        <v>1.3903538734799836</v>
      </c>
      <c r="V955" s="13">
        <f>IF('0.0%'!$N955&lt;$Z$3,0, '0.0%'!$P955/'0.0%'!$N955)</f>
        <v>1.1292526301407297</v>
      </c>
      <c r="W955" s="13">
        <f>IF('0.0%'!$N955&lt;$Z$3,0, '0.0%'!$Q955/'0.0%'!$N955)</f>
        <v>1.1545293072824157</v>
      </c>
      <c r="X955" s="13">
        <f>IF('0.0%'!$N955&lt;$Z$3,0, '0.0%'!$R955/'0.0%'!$N955)</f>
        <v>1.3501844514277908</v>
      </c>
      <c r="Y955" s="13">
        <f>IF('0.0%'!$N955&lt;$Z$3,0, '0.0%'!$S955/'0.0%'!$N955)</f>
        <v>1.4359885230222709</v>
      </c>
    </row>
    <row r="956" spans="1:25" x14ac:dyDescent="0.3">
      <c r="A956" s="17">
        <v>1016.42</v>
      </c>
      <c r="B956" s="10">
        <v>713.1</v>
      </c>
      <c r="C956" s="9">
        <v>1016.42</v>
      </c>
      <c r="D956" s="10">
        <v>993.3</v>
      </c>
      <c r="E956" s="11">
        <v>1016.42</v>
      </c>
      <c r="F956" s="12">
        <v>808.3</v>
      </c>
      <c r="G956" s="11">
        <v>1016.42</v>
      </c>
      <c r="H956" s="12">
        <v>825.7</v>
      </c>
      <c r="I956" s="11">
        <v>1016.42</v>
      </c>
      <c r="J956" s="12">
        <v>963.6</v>
      </c>
      <c r="K956" s="11">
        <v>1016.42</v>
      </c>
      <c r="L956" s="12">
        <v>1025.5</v>
      </c>
      <c r="M956" s="11">
        <v>1016.42</v>
      </c>
      <c r="N956" s="13">
        <v>713.1</v>
      </c>
      <c r="O956" s="13">
        <v>993.3</v>
      </c>
      <c r="P956" s="13">
        <v>808.3</v>
      </c>
      <c r="Q956" s="11">
        <v>825.7</v>
      </c>
      <c r="R956" s="11">
        <v>963.6</v>
      </c>
      <c r="S956" s="14">
        <v>1025.5</v>
      </c>
      <c r="T956" s="11">
        <v>1016.42</v>
      </c>
      <c r="U956" s="13">
        <f>IF('0.0%'!$N956&lt;$Z$3,0, '0.0%'!$O956/'0.0%'!$N956)</f>
        <v>1.3929322675641564</v>
      </c>
      <c r="V956" s="13">
        <f>IF('0.0%'!$N956&lt;$Z$3,0, '0.0%'!$P956/'0.0%'!$N956)</f>
        <v>1.1335016126770439</v>
      </c>
      <c r="W956" s="13">
        <f>IF('0.0%'!$N956&lt;$Z$3,0, '0.0%'!$Q956/'0.0%'!$N956)</f>
        <v>1.157902117515075</v>
      </c>
      <c r="X956" s="13">
        <f>IF('0.0%'!$N956&lt;$Z$3,0, '0.0%'!$R956/'0.0%'!$N956)</f>
        <v>1.351283129995793</v>
      </c>
      <c r="Y956" s="13">
        <f>IF('0.0%'!$N956&lt;$Z$3,0, '0.0%'!$S956/'0.0%'!$N956)</f>
        <v>1.4380872247931566</v>
      </c>
    </row>
    <row r="957" spans="1:25" x14ac:dyDescent="0.3">
      <c r="A957" s="17">
        <v>1017.42</v>
      </c>
      <c r="B957" s="10">
        <v>695</v>
      </c>
      <c r="C957" s="9">
        <v>1017.42</v>
      </c>
      <c r="D957" s="10">
        <v>969.1</v>
      </c>
      <c r="E957" s="11">
        <v>1017.42</v>
      </c>
      <c r="F957" s="12">
        <v>790.6</v>
      </c>
      <c r="G957" s="11">
        <v>1017.42</v>
      </c>
      <c r="H957" s="12">
        <v>806.7</v>
      </c>
      <c r="I957" s="11">
        <v>1017.42</v>
      </c>
      <c r="J957" s="12">
        <v>939.3</v>
      </c>
      <c r="K957" s="11">
        <v>1017.42</v>
      </c>
      <c r="L957" s="12">
        <v>1000.4</v>
      </c>
      <c r="M957" s="11">
        <v>1017.42</v>
      </c>
      <c r="N957" s="13">
        <v>695</v>
      </c>
      <c r="O957" s="13">
        <v>969.1</v>
      </c>
      <c r="P957" s="13">
        <v>790.6</v>
      </c>
      <c r="Q957" s="11">
        <v>806.7</v>
      </c>
      <c r="R957" s="11">
        <v>939.3</v>
      </c>
      <c r="S957" s="14">
        <v>1000.4</v>
      </c>
      <c r="T957" s="11">
        <v>1017.42</v>
      </c>
      <c r="U957" s="13">
        <f>IF('0.0%'!$N957&lt;$Z$3,0, '0.0%'!$O957/'0.0%'!$N957)</f>
        <v>1.3943884892086331</v>
      </c>
      <c r="V957" s="13">
        <f>IF('0.0%'!$N957&lt;$Z$3,0, '0.0%'!$P957/'0.0%'!$N957)</f>
        <v>1.1375539568345323</v>
      </c>
      <c r="W957" s="13">
        <f>IF('0.0%'!$N957&lt;$Z$3,0, '0.0%'!$Q957/'0.0%'!$N957)</f>
        <v>1.1607194244604317</v>
      </c>
      <c r="X957" s="13">
        <f>IF('0.0%'!$N957&lt;$Z$3,0, '0.0%'!$R957/'0.0%'!$N957)</f>
        <v>1.3515107913669064</v>
      </c>
      <c r="Y957" s="13">
        <f>IF('0.0%'!$N957&lt;$Z$3,0, '0.0%'!$S957/'0.0%'!$N957)</f>
        <v>1.4394244604316546</v>
      </c>
    </row>
    <row r="958" spans="1:25" x14ac:dyDescent="0.3">
      <c r="A958" s="17">
        <v>1018.41</v>
      </c>
      <c r="B958" s="10">
        <v>676.6</v>
      </c>
      <c r="C958" s="9">
        <v>1018.41</v>
      </c>
      <c r="D958" s="10">
        <v>944.9</v>
      </c>
      <c r="E958" s="11">
        <v>1018.41</v>
      </c>
      <c r="F958" s="12">
        <v>772.5</v>
      </c>
      <c r="G958" s="11">
        <v>1018.41</v>
      </c>
      <c r="H958" s="12">
        <v>787.6</v>
      </c>
      <c r="I958" s="11">
        <v>1018.41</v>
      </c>
      <c r="J958" s="12">
        <v>914.9</v>
      </c>
      <c r="K958" s="11">
        <v>1018.41</v>
      </c>
      <c r="L958" s="12">
        <v>975.2</v>
      </c>
      <c r="M958" s="11">
        <v>1018.41</v>
      </c>
      <c r="N958" s="13">
        <v>676.6</v>
      </c>
      <c r="O958" s="13">
        <v>944.9</v>
      </c>
      <c r="P958" s="13">
        <v>772.5</v>
      </c>
      <c r="Q958" s="11">
        <v>787.6</v>
      </c>
      <c r="R958" s="11">
        <v>914.9</v>
      </c>
      <c r="S958" s="14">
        <v>975.2</v>
      </c>
      <c r="T958" s="11">
        <v>1018.41</v>
      </c>
      <c r="U958" s="13">
        <f>IF('0.0%'!$N958&lt;$Z$3,0, '0.0%'!$O958/'0.0%'!$N958)</f>
        <v>1.3965415311853384</v>
      </c>
      <c r="V958" s="13">
        <f>IF('0.0%'!$N958&lt;$Z$3,0, '0.0%'!$P958/'0.0%'!$N958)</f>
        <v>1.1417381022760862</v>
      </c>
      <c r="W958" s="13">
        <f>IF('0.0%'!$N958&lt;$Z$3,0, '0.0%'!$Q958/'0.0%'!$N958)</f>
        <v>1.1640555719775347</v>
      </c>
      <c r="X958" s="13">
        <f>IF('0.0%'!$N958&lt;$Z$3,0, '0.0%'!$R958/'0.0%'!$N958)</f>
        <v>1.3522021874076262</v>
      </c>
      <c r="Y958" s="13">
        <f>IF('0.0%'!$N958&lt;$Z$3,0, '0.0%'!$S958/'0.0%'!$N958)</f>
        <v>1.4413242684008276</v>
      </c>
    </row>
    <row r="959" spans="1:25" x14ac:dyDescent="0.3">
      <c r="A959" s="17">
        <v>1019.4</v>
      </c>
      <c r="B959" s="10">
        <v>659.3</v>
      </c>
      <c r="C959" s="9">
        <v>1019.4</v>
      </c>
      <c r="D959" s="10">
        <v>921.3</v>
      </c>
      <c r="E959" s="11">
        <v>1019.4</v>
      </c>
      <c r="F959" s="12">
        <v>755.4</v>
      </c>
      <c r="G959" s="11">
        <v>1019.4</v>
      </c>
      <c r="H959" s="12">
        <v>769.5</v>
      </c>
      <c r="I959" s="11">
        <v>1019.4</v>
      </c>
      <c r="J959" s="12">
        <v>891.4</v>
      </c>
      <c r="K959" s="11">
        <v>1019.4</v>
      </c>
      <c r="L959" s="12">
        <v>950.8</v>
      </c>
      <c r="M959" s="11">
        <v>1019.4</v>
      </c>
      <c r="N959" s="13">
        <v>659.3</v>
      </c>
      <c r="O959" s="13">
        <v>921.3</v>
      </c>
      <c r="P959" s="13">
        <v>755.4</v>
      </c>
      <c r="Q959" s="11">
        <v>769.5</v>
      </c>
      <c r="R959" s="11">
        <v>891.4</v>
      </c>
      <c r="S959" s="14">
        <v>950.8</v>
      </c>
      <c r="T959" s="11">
        <v>1019.4</v>
      </c>
      <c r="U959" s="13">
        <f>IF('0.0%'!$N959&lt;$Z$3,0, '0.0%'!$O959/'0.0%'!$N959)</f>
        <v>1.3973911724556347</v>
      </c>
      <c r="V959" s="13">
        <f>IF('0.0%'!$N959&lt;$Z$3,0, '0.0%'!$P959/'0.0%'!$N959)</f>
        <v>1.1457606552404065</v>
      </c>
      <c r="W959" s="13">
        <f>IF('0.0%'!$N959&lt;$Z$3,0, '0.0%'!$Q959/'0.0%'!$N959)</f>
        <v>1.1671469740634006</v>
      </c>
      <c r="X959" s="13">
        <f>IF('0.0%'!$N959&lt;$Z$3,0, '0.0%'!$R959/'0.0%'!$N959)</f>
        <v>1.3520400424692858</v>
      </c>
      <c r="Y959" s="13">
        <f>IF('0.0%'!$N959&lt;$Z$3,0, '0.0%'!$S959/'0.0%'!$N959)</f>
        <v>1.4421355983618991</v>
      </c>
    </row>
    <row r="960" spans="1:25" x14ac:dyDescent="0.3">
      <c r="A960" s="17">
        <v>1020.39</v>
      </c>
      <c r="B960" s="10">
        <v>642.20000000000005</v>
      </c>
      <c r="C960" s="9">
        <v>1020.39</v>
      </c>
      <c r="D960" s="10">
        <v>897.7</v>
      </c>
      <c r="E960" s="11">
        <v>1020.39</v>
      </c>
      <c r="F960" s="12">
        <v>738.2</v>
      </c>
      <c r="G960" s="11">
        <v>1020.39</v>
      </c>
      <c r="H960" s="12">
        <v>751.7</v>
      </c>
      <c r="I960" s="11">
        <v>1020.39</v>
      </c>
      <c r="J960" s="12">
        <v>868</v>
      </c>
      <c r="K960" s="11">
        <v>1020.39</v>
      </c>
      <c r="L960" s="12">
        <v>926.5</v>
      </c>
      <c r="M960" s="11">
        <v>1020.39</v>
      </c>
      <c r="N960" s="13">
        <v>642.20000000000005</v>
      </c>
      <c r="O960" s="13">
        <v>897.7</v>
      </c>
      <c r="P960" s="13">
        <v>738.2</v>
      </c>
      <c r="Q960" s="11">
        <v>751.7</v>
      </c>
      <c r="R960" s="11">
        <v>868</v>
      </c>
      <c r="S960" s="14">
        <v>926.5</v>
      </c>
      <c r="T960" s="11">
        <v>1020.39</v>
      </c>
      <c r="U960" s="13">
        <f>IF('0.0%'!$N960&lt;$Z$3,0, '0.0%'!$O960/'0.0%'!$N960)</f>
        <v>1.3978511367175335</v>
      </c>
      <c r="V960" s="13">
        <f>IF('0.0%'!$N960&lt;$Z$3,0, '0.0%'!$P960/'0.0%'!$N960)</f>
        <v>1.1494861413889754</v>
      </c>
      <c r="W960" s="13">
        <f>IF('0.0%'!$N960&lt;$Z$3,0, '0.0%'!$Q960/'0.0%'!$N960)</f>
        <v>1.1705076300218</v>
      </c>
      <c r="X960" s="13">
        <f>IF('0.0%'!$N960&lt;$Z$3,0, '0.0%'!$R960/'0.0%'!$N960)</f>
        <v>1.3516038617253192</v>
      </c>
      <c r="Y960" s="13">
        <f>IF('0.0%'!$N960&lt;$Z$3,0, '0.0%'!$S960/'0.0%'!$N960)</f>
        <v>1.4426969791342259</v>
      </c>
    </row>
    <row r="961" spans="1:25" x14ac:dyDescent="0.3">
      <c r="A961" s="17">
        <v>1021.38</v>
      </c>
      <c r="B961" s="10">
        <v>626.5</v>
      </c>
      <c r="C961" s="9">
        <v>1021.38</v>
      </c>
      <c r="D961" s="10">
        <v>875.1</v>
      </c>
      <c r="E961" s="11">
        <v>1021.38</v>
      </c>
      <c r="F961" s="12">
        <v>722.3</v>
      </c>
      <c r="G961" s="11">
        <v>1021.38</v>
      </c>
      <c r="H961" s="12">
        <v>735</v>
      </c>
      <c r="I961" s="11">
        <v>1021.38</v>
      </c>
      <c r="J961" s="12">
        <v>845.6</v>
      </c>
      <c r="K961" s="11">
        <v>1021.38</v>
      </c>
      <c r="L961" s="12">
        <v>903.4</v>
      </c>
      <c r="M961" s="11">
        <v>1021.38</v>
      </c>
      <c r="N961" s="13">
        <v>626.5</v>
      </c>
      <c r="O961" s="13">
        <v>875.1</v>
      </c>
      <c r="P961" s="13">
        <v>722.3</v>
      </c>
      <c r="Q961" s="11">
        <v>735</v>
      </c>
      <c r="R961" s="11">
        <v>845.6</v>
      </c>
      <c r="S961" s="14">
        <v>903.4</v>
      </c>
      <c r="T961" s="11">
        <v>1021.38</v>
      </c>
      <c r="U961" s="13">
        <f>IF('0.0%'!$N961&lt;$Z$3,0, '0.0%'!$O961/'0.0%'!$N961)</f>
        <v>1.396807661612131</v>
      </c>
      <c r="V961" s="13">
        <f>IF('0.0%'!$N961&lt;$Z$3,0, '0.0%'!$P961/'0.0%'!$N961)</f>
        <v>1.1529130087789305</v>
      </c>
      <c r="W961" s="13">
        <f>IF('0.0%'!$N961&lt;$Z$3,0, '0.0%'!$Q961/'0.0%'!$N961)</f>
        <v>1.1731843575418994</v>
      </c>
      <c r="X961" s="13">
        <f>IF('0.0%'!$N961&lt;$Z$3,0, '0.0%'!$R961/'0.0%'!$N961)</f>
        <v>1.3497206703910616</v>
      </c>
      <c r="Y961" s="13">
        <f>IF('0.0%'!$N961&lt;$Z$3,0, '0.0%'!$S961/'0.0%'!$N961)</f>
        <v>1.4419792498004789</v>
      </c>
    </row>
    <row r="962" spans="1:25" x14ac:dyDescent="0.3">
      <c r="A962" s="17">
        <v>1022.37</v>
      </c>
      <c r="B962" s="10">
        <v>610.79999999999995</v>
      </c>
      <c r="C962" s="9">
        <v>1022.37</v>
      </c>
      <c r="D962" s="10">
        <v>852.7</v>
      </c>
      <c r="E962" s="11">
        <v>1022.37</v>
      </c>
      <c r="F962" s="12">
        <v>706.4</v>
      </c>
      <c r="G962" s="11">
        <v>1022.37</v>
      </c>
      <c r="H962" s="12">
        <v>718.6</v>
      </c>
      <c r="I962" s="11">
        <v>1022.37</v>
      </c>
      <c r="J962" s="12">
        <v>823.5</v>
      </c>
      <c r="K962" s="11">
        <v>1022.37</v>
      </c>
      <c r="L962" s="12">
        <v>880.5</v>
      </c>
      <c r="M962" s="11">
        <v>1022.37</v>
      </c>
      <c r="N962" s="13">
        <v>610.79999999999995</v>
      </c>
      <c r="O962" s="13">
        <v>852.7</v>
      </c>
      <c r="P962" s="13">
        <v>706.4</v>
      </c>
      <c r="Q962" s="11">
        <v>718.6</v>
      </c>
      <c r="R962" s="11">
        <v>823.5</v>
      </c>
      <c r="S962" s="14">
        <v>880.5</v>
      </c>
      <c r="T962" s="11">
        <v>1022.37</v>
      </c>
      <c r="U962" s="13">
        <f>IF('0.0%'!$N962&lt;$Z$3,0, '0.0%'!$O962/'0.0%'!$N962)</f>
        <v>1.3960379829731502</v>
      </c>
      <c r="V962" s="13">
        <f>IF('0.0%'!$N962&lt;$Z$3,0, '0.0%'!$P962/'0.0%'!$N962)</f>
        <v>1.1565160445317617</v>
      </c>
      <c r="W962" s="13">
        <f>IF('0.0%'!$N962&lt;$Z$3,0, '0.0%'!$Q962/'0.0%'!$N962)</f>
        <v>1.1764898493778653</v>
      </c>
      <c r="X962" s="13">
        <f>IF('0.0%'!$N962&lt;$Z$3,0, '0.0%'!$R962/'0.0%'!$N962)</f>
        <v>1.3482318271119844</v>
      </c>
      <c r="Y962" s="13">
        <f>IF('0.0%'!$N962&lt;$Z$3,0, '0.0%'!$S962/'0.0%'!$N962)</f>
        <v>1.4415520628683696</v>
      </c>
    </row>
    <row r="963" spans="1:25" x14ac:dyDescent="0.3">
      <c r="A963" s="17">
        <v>1023.37</v>
      </c>
      <c r="B963" s="10">
        <v>596.4</v>
      </c>
      <c r="C963" s="9">
        <v>1023.37</v>
      </c>
      <c r="D963" s="10">
        <v>831.4</v>
      </c>
      <c r="E963" s="11">
        <v>1023.37</v>
      </c>
      <c r="F963" s="12">
        <v>691.5</v>
      </c>
      <c r="G963" s="11">
        <v>1023.37</v>
      </c>
      <c r="H963" s="12">
        <v>703.3</v>
      </c>
      <c r="I963" s="11">
        <v>1023.37</v>
      </c>
      <c r="J963" s="12">
        <v>802.6</v>
      </c>
      <c r="K963" s="11">
        <v>1023.37</v>
      </c>
      <c r="L963" s="12">
        <v>858.8</v>
      </c>
      <c r="M963" s="11">
        <v>1023.37</v>
      </c>
      <c r="N963" s="13">
        <v>596.4</v>
      </c>
      <c r="O963" s="13">
        <v>831.4</v>
      </c>
      <c r="P963" s="13">
        <v>691.5</v>
      </c>
      <c r="Q963" s="11">
        <v>703.3</v>
      </c>
      <c r="R963" s="11">
        <v>802.6</v>
      </c>
      <c r="S963" s="14">
        <v>858.8</v>
      </c>
      <c r="T963" s="11">
        <v>1023.37</v>
      </c>
      <c r="U963" s="13">
        <f>IF('0.0%'!$N963&lt;$Z$3,0, '0.0%'!$O963/'0.0%'!$N963)</f>
        <v>1.3940308517773308</v>
      </c>
      <c r="V963" s="13">
        <f>IF('0.0%'!$N963&lt;$Z$3,0, '0.0%'!$P963/'0.0%'!$N963)</f>
        <v>1.1594567404426559</v>
      </c>
      <c r="W963" s="13">
        <f>IF('0.0%'!$N963&lt;$Z$3,0, '0.0%'!$Q963/'0.0%'!$N963)</f>
        <v>1.1792421193829645</v>
      </c>
      <c r="X963" s="13">
        <f>IF('0.0%'!$N963&lt;$Z$3,0, '0.0%'!$R963/'0.0%'!$N963)</f>
        <v>1.3457411133467472</v>
      </c>
      <c r="Y963" s="13">
        <f>IF('0.0%'!$N963&lt;$Z$3,0, '0.0%'!$S963/'0.0%'!$N963)</f>
        <v>1.4399731723675386</v>
      </c>
    </row>
    <row r="964" spans="1:25" x14ac:dyDescent="0.3">
      <c r="A964" s="17">
        <v>1024.3599999999999</v>
      </c>
      <c r="B964" s="10">
        <v>582.1</v>
      </c>
      <c r="C964" s="9">
        <v>1024.3599999999999</v>
      </c>
      <c r="D964" s="10">
        <v>810.4</v>
      </c>
      <c r="E964" s="11">
        <v>1024.3599999999999</v>
      </c>
      <c r="F964" s="12">
        <v>676.7</v>
      </c>
      <c r="G964" s="11">
        <v>1024.3599999999999</v>
      </c>
      <c r="H964" s="12">
        <v>688.2</v>
      </c>
      <c r="I964" s="11">
        <v>1024.3599999999999</v>
      </c>
      <c r="J964" s="12">
        <v>781.9</v>
      </c>
      <c r="K964" s="11">
        <v>1024.3599999999999</v>
      </c>
      <c r="L964" s="12">
        <v>837.3</v>
      </c>
      <c r="M964" s="11">
        <v>1024.3599999999999</v>
      </c>
      <c r="N964" s="13">
        <v>582.1</v>
      </c>
      <c r="O964" s="13">
        <v>810.4</v>
      </c>
      <c r="P964" s="13">
        <v>676.7</v>
      </c>
      <c r="Q964" s="11">
        <v>688.2</v>
      </c>
      <c r="R964" s="11">
        <v>781.9</v>
      </c>
      <c r="S964" s="14">
        <v>837.3</v>
      </c>
      <c r="T964" s="11">
        <v>1024.3599999999999</v>
      </c>
      <c r="U964" s="13">
        <f>IF('0.0%'!$N964&lt;$Z$3,0, '0.0%'!$O964/'0.0%'!$N964)</f>
        <v>1.3922006528087956</v>
      </c>
      <c r="V964" s="13">
        <f>IF('0.0%'!$N964&lt;$Z$3,0, '0.0%'!$P964/'0.0%'!$N964)</f>
        <v>1.162515031781481</v>
      </c>
      <c r="W964" s="13">
        <f>IF('0.0%'!$N964&lt;$Z$3,0, '0.0%'!$Q964/'0.0%'!$N964)</f>
        <v>1.1822710874420204</v>
      </c>
      <c r="X964" s="13">
        <f>IF('0.0%'!$N964&lt;$Z$3,0, '0.0%'!$R964/'0.0%'!$N964)</f>
        <v>1.3432399931283283</v>
      </c>
      <c r="Y964" s="13">
        <f>IF('0.0%'!$N964&lt;$Z$3,0, '0.0%'!$S964/'0.0%'!$N964)</f>
        <v>1.4384126438756226</v>
      </c>
    </row>
    <row r="965" spans="1:25" x14ac:dyDescent="0.3">
      <c r="A965" s="17">
        <v>1025.3499999999999</v>
      </c>
      <c r="B965" s="10">
        <v>569.20000000000005</v>
      </c>
      <c r="C965" s="9">
        <v>1025.3499999999999</v>
      </c>
      <c r="D965" s="10">
        <v>790.7</v>
      </c>
      <c r="E965" s="11">
        <v>1025.3499999999999</v>
      </c>
      <c r="F965" s="12">
        <v>663.3</v>
      </c>
      <c r="G965" s="11">
        <v>1025.3499999999999</v>
      </c>
      <c r="H965" s="12">
        <v>674.3</v>
      </c>
      <c r="I965" s="11">
        <v>1025.3499999999999</v>
      </c>
      <c r="J965" s="12">
        <v>762.5</v>
      </c>
      <c r="K965" s="11">
        <v>1025.3499999999999</v>
      </c>
      <c r="L965" s="12">
        <v>817.2</v>
      </c>
      <c r="M965" s="11">
        <v>1025.3499999999999</v>
      </c>
      <c r="N965" s="13">
        <v>569.20000000000005</v>
      </c>
      <c r="O965" s="13">
        <v>790.7</v>
      </c>
      <c r="P965" s="13">
        <v>663.3</v>
      </c>
      <c r="Q965" s="11">
        <v>674.3</v>
      </c>
      <c r="R965" s="11">
        <v>762.5</v>
      </c>
      <c r="S965" s="14">
        <v>817.2</v>
      </c>
      <c r="T965" s="11">
        <v>1025.3499999999999</v>
      </c>
      <c r="U965" s="13">
        <f>IF('0.0%'!$N965&lt;$Z$3,0, '0.0%'!$O965/'0.0%'!$N965)</f>
        <v>1.3891426563598033</v>
      </c>
      <c r="V965" s="13">
        <f>IF('0.0%'!$N965&lt;$Z$3,0, '0.0%'!$P965/'0.0%'!$N965)</f>
        <v>1.1653197470133518</v>
      </c>
      <c r="W965" s="13">
        <f>IF('0.0%'!$N965&lt;$Z$3,0, '0.0%'!$Q965/'0.0%'!$N965)</f>
        <v>1.1846451159522136</v>
      </c>
      <c r="X965" s="13">
        <f>IF('0.0%'!$N965&lt;$Z$3,0, '0.0%'!$R965/'0.0%'!$N965)</f>
        <v>1.3395994378074489</v>
      </c>
      <c r="Y965" s="13">
        <f>IF('0.0%'!$N965&lt;$Z$3,0, '0.0%'!$S965/'0.0%'!$N965)</f>
        <v>1.4356992269852424</v>
      </c>
    </row>
    <row r="966" spans="1:25" x14ac:dyDescent="0.3">
      <c r="A966" s="17">
        <v>1026.3399999999999</v>
      </c>
      <c r="B966" s="10">
        <v>556.4</v>
      </c>
      <c r="C966" s="9">
        <v>1026.3399999999999</v>
      </c>
      <c r="D966" s="10">
        <v>771.3</v>
      </c>
      <c r="E966" s="11">
        <v>1026.3399999999999</v>
      </c>
      <c r="F966" s="12">
        <v>649.9</v>
      </c>
      <c r="G966" s="11">
        <v>1026.3399999999999</v>
      </c>
      <c r="H966" s="12">
        <v>660.5</v>
      </c>
      <c r="I966" s="11">
        <v>1026.3399999999999</v>
      </c>
      <c r="J966" s="12">
        <v>743.4</v>
      </c>
      <c r="K966" s="11">
        <v>1026.3399999999999</v>
      </c>
      <c r="L966" s="12">
        <v>797.2</v>
      </c>
      <c r="M966" s="11">
        <v>1026.3399999999999</v>
      </c>
      <c r="N966" s="13">
        <v>556.4</v>
      </c>
      <c r="O966" s="13">
        <v>771.3</v>
      </c>
      <c r="P966" s="13">
        <v>649.9</v>
      </c>
      <c r="Q966" s="11">
        <v>660.5</v>
      </c>
      <c r="R966" s="11">
        <v>743.4</v>
      </c>
      <c r="S966" s="14">
        <v>797.2</v>
      </c>
      <c r="T966" s="11">
        <v>1026.3399999999999</v>
      </c>
      <c r="U966" s="13">
        <f>IF('0.0%'!$N966&lt;$Z$3,0, '0.0%'!$O966/'0.0%'!$N966)</f>
        <v>1.3862329259525521</v>
      </c>
      <c r="V966" s="13">
        <f>IF('0.0%'!$N966&lt;$Z$3,0, '0.0%'!$P966/'0.0%'!$N966)</f>
        <v>1.1680445722501798</v>
      </c>
      <c r="W966" s="13">
        <f>IF('0.0%'!$N966&lt;$Z$3,0, '0.0%'!$Q966/'0.0%'!$N966)</f>
        <v>1.1870956146657081</v>
      </c>
      <c r="X966" s="13">
        <f>IF('0.0%'!$N966&lt;$Z$3,0, '0.0%'!$R966/'0.0%'!$N966)</f>
        <v>1.3360891445003595</v>
      </c>
      <c r="Y966" s="13">
        <f>IF('0.0%'!$N966&lt;$Z$3,0, '0.0%'!$S966/'0.0%'!$N966)</f>
        <v>1.4327821710999282</v>
      </c>
    </row>
    <row r="967" spans="1:25" x14ac:dyDescent="0.3">
      <c r="A967" s="17">
        <v>1027.33</v>
      </c>
      <c r="B967" s="10">
        <v>544.79999999999995</v>
      </c>
      <c r="C967" s="9">
        <v>1027.33</v>
      </c>
      <c r="D967" s="10">
        <v>753</v>
      </c>
      <c r="E967" s="11">
        <v>1027.33</v>
      </c>
      <c r="F967" s="12">
        <v>637.79999999999995</v>
      </c>
      <c r="G967" s="11">
        <v>1027.33</v>
      </c>
      <c r="H967" s="12">
        <v>647.70000000000005</v>
      </c>
      <c r="I967" s="11">
        <v>1027.33</v>
      </c>
      <c r="J967" s="12">
        <v>725.6</v>
      </c>
      <c r="K967" s="11">
        <v>1027.33</v>
      </c>
      <c r="L967" s="12">
        <v>778.5</v>
      </c>
      <c r="M967" s="11">
        <v>1027.33</v>
      </c>
      <c r="N967" s="13">
        <v>544.79999999999995</v>
      </c>
      <c r="O967" s="13">
        <v>753</v>
      </c>
      <c r="P967" s="13">
        <v>637.79999999999995</v>
      </c>
      <c r="Q967" s="11">
        <v>647.70000000000005</v>
      </c>
      <c r="R967" s="11">
        <v>725.6</v>
      </c>
      <c r="S967" s="14">
        <v>778.5</v>
      </c>
      <c r="T967" s="11">
        <v>1027.33</v>
      </c>
      <c r="U967" s="13">
        <f>IF('0.0%'!$N967&lt;$Z$3,0, '0.0%'!$O967/'0.0%'!$N967)</f>
        <v>1.3821585903083702</v>
      </c>
      <c r="V967" s="13">
        <f>IF('0.0%'!$N967&lt;$Z$3,0, '0.0%'!$P967/'0.0%'!$N967)</f>
        <v>1.170704845814978</v>
      </c>
      <c r="W967" s="13">
        <f>IF('0.0%'!$N967&lt;$Z$3,0, '0.0%'!$Q967/'0.0%'!$N967)</f>
        <v>1.188876651982379</v>
      </c>
      <c r="X967" s="13">
        <f>IF('0.0%'!$N967&lt;$Z$3,0, '0.0%'!$R967/'0.0%'!$N967)</f>
        <v>1.3318649045521294</v>
      </c>
      <c r="Y967" s="13">
        <f>IF('0.0%'!$N967&lt;$Z$3,0, '0.0%'!$S967/'0.0%'!$N967)</f>
        <v>1.4289647577092512</v>
      </c>
    </row>
    <row r="968" spans="1:25" x14ac:dyDescent="0.3">
      <c r="A968" s="17">
        <v>1028.33</v>
      </c>
      <c r="B968" s="10">
        <v>533.29999999999995</v>
      </c>
      <c r="C968" s="9">
        <v>1028.33</v>
      </c>
      <c r="D968" s="10">
        <v>735</v>
      </c>
      <c r="E968" s="11">
        <v>1028.33</v>
      </c>
      <c r="F968" s="12">
        <v>625.70000000000005</v>
      </c>
      <c r="G968" s="11">
        <v>1028.33</v>
      </c>
      <c r="H968" s="12">
        <v>635</v>
      </c>
      <c r="I968" s="11">
        <v>1028.33</v>
      </c>
      <c r="J968" s="12">
        <v>708.1</v>
      </c>
      <c r="K968" s="11">
        <v>1028.33</v>
      </c>
      <c r="L968" s="12">
        <v>759.9</v>
      </c>
      <c r="M968" s="11">
        <v>1028.33</v>
      </c>
      <c r="N968" s="13">
        <v>533.29999999999995</v>
      </c>
      <c r="O968" s="13">
        <v>735</v>
      </c>
      <c r="P968" s="13">
        <v>625.70000000000005</v>
      </c>
      <c r="Q968" s="11">
        <v>635</v>
      </c>
      <c r="R968" s="11">
        <v>708.1</v>
      </c>
      <c r="S968" s="14">
        <v>759.9</v>
      </c>
      <c r="T968" s="11">
        <v>1028.33</v>
      </c>
      <c r="U968" s="13">
        <f>IF('0.0%'!$N968&lt;$Z$3,0, '0.0%'!$O968/'0.0%'!$N968)</f>
        <v>1.3782111381961373</v>
      </c>
      <c r="V968" s="13">
        <f>IF('0.0%'!$N968&lt;$Z$3,0, '0.0%'!$P968/'0.0%'!$N968)</f>
        <v>1.1732608288018003</v>
      </c>
      <c r="W968" s="13">
        <f>IF('0.0%'!$N968&lt;$Z$3,0, '0.0%'!$Q968/'0.0%'!$N968)</f>
        <v>1.1906994187136697</v>
      </c>
      <c r="X968" s="13">
        <f>IF('0.0%'!$N968&lt;$Z$3,0, '0.0%'!$R968/'0.0%'!$N968)</f>
        <v>1.3277704856553536</v>
      </c>
      <c r="Y968" s="13">
        <f>IF('0.0%'!$N968&lt;$Z$3,0, '0.0%'!$S968/'0.0%'!$N968)</f>
        <v>1.4249015563472718</v>
      </c>
    </row>
    <row r="969" spans="1:25" x14ac:dyDescent="0.3">
      <c r="A969" s="17">
        <v>1029.32</v>
      </c>
      <c r="B969" s="10">
        <v>523</v>
      </c>
      <c r="C969" s="9">
        <v>1029.32</v>
      </c>
      <c r="D969" s="10">
        <v>718.4</v>
      </c>
      <c r="E969" s="11">
        <v>1029.32</v>
      </c>
      <c r="F969" s="12">
        <v>614.79999999999995</v>
      </c>
      <c r="G969" s="11">
        <v>1029.32</v>
      </c>
      <c r="H969" s="12">
        <v>623.5</v>
      </c>
      <c r="I969" s="11">
        <v>1029.32</v>
      </c>
      <c r="J969" s="12">
        <v>691.9</v>
      </c>
      <c r="K969" s="11">
        <v>1029.32</v>
      </c>
      <c r="L969" s="12">
        <v>742.8</v>
      </c>
      <c r="M969" s="11">
        <v>1029.32</v>
      </c>
      <c r="N969" s="13">
        <v>523</v>
      </c>
      <c r="O969" s="13">
        <v>718.4</v>
      </c>
      <c r="P969" s="13">
        <v>614.79999999999995</v>
      </c>
      <c r="Q969" s="11">
        <v>623.5</v>
      </c>
      <c r="R969" s="11">
        <v>691.9</v>
      </c>
      <c r="S969" s="14">
        <v>742.8</v>
      </c>
      <c r="T969" s="11">
        <v>1029.32</v>
      </c>
      <c r="U969" s="13">
        <f>IF('0.0%'!$N969&lt;$Z$3,0, '0.0%'!$O969/'0.0%'!$N969)</f>
        <v>1.3736137667304016</v>
      </c>
      <c r="V969" s="13">
        <f>IF('0.0%'!$N969&lt;$Z$3,0, '0.0%'!$P969/'0.0%'!$N969)</f>
        <v>1.1755258126195027</v>
      </c>
      <c r="W969" s="13">
        <f>IF('0.0%'!$N969&lt;$Z$3,0, '0.0%'!$Q969/'0.0%'!$N969)</f>
        <v>1.1921606118546846</v>
      </c>
      <c r="X969" s="13">
        <f>IF('0.0%'!$N969&lt;$Z$3,0, '0.0%'!$R969/'0.0%'!$N969)</f>
        <v>1.3229445506692161</v>
      </c>
      <c r="Y969" s="13">
        <f>IF('0.0%'!$N969&lt;$Z$3,0, '0.0%'!$S969/'0.0%'!$N969)</f>
        <v>1.4202676864244741</v>
      </c>
    </row>
    <row r="970" spans="1:25" x14ac:dyDescent="0.3">
      <c r="A970" s="17">
        <v>1030.31</v>
      </c>
      <c r="B970" s="10">
        <v>512.9</v>
      </c>
      <c r="C970" s="9">
        <v>1030.31</v>
      </c>
      <c r="D970" s="10">
        <v>702.1</v>
      </c>
      <c r="E970" s="11">
        <v>1030.31</v>
      </c>
      <c r="F970" s="12">
        <v>604.1</v>
      </c>
      <c r="G970" s="11">
        <v>1030.31</v>
      </c>
      <c r="H970" s="12">
        <v>612.20000000000005</v>
      </c>
      <c r="I970" s="11">
        <v>1030.31</v>
      </c>
      <c r="J970" s="12">
        <v>675.9</v>
      </c>
      <c r="K970" s="11">
        <v>1030.31</v>
      </c>
      <c r="L970" s="12">
        <v>726.1</v>
      </c>
      <c r="M970" s="11">
        <v>1030.31</v>
      </c>
      <c r="N970" s="13">
        <v>512.9</v>
      </c>
      <c r="O970" s="13">
        <v>702.1</v>
      </c>
      <c r="P970" s="13">
        <v>604.1</v>
      </c>
      <c r="Q970" s="11">
        <v>612.20000000000005</v>
      </c>
      <c r="R970" s="11">
        <v>675.9</v>
      </c>
      <c r="S970" s="14">
        <v>726.1</v>
      </c>
      <c r="T970" s="11">
        <v>1030.31</v>
      </c>
      <c r="U970" s="13">
        <f>IF('0.0%'!$N970&lt;$Z$3,0, '0.0%'!$O970/'0.0%'!$N970)</f>
        <v>1.3688828231624099</v>
      </c>
      <c r="V970" s="13">
        <f>IF('0.0%'!$N970&lt;$Z$3,0, '0.0%'!$P970/'0.0%'!$N970)</f>
        <v>1.177812439071944</v>
      </c>
      <c r="W970" s="13">
        <f>IF('0.0%'!$N970&lt;$Z$3,0, '0.0%'!$Q970/'0.0%'!$N970)</f>
        <v>1.19360499122636</v>
      </c>
      <c r="X970" s="13">
        <f>IF('0.0%'!$N970&lt;$Z$3,0, '0.0%'!$R970/'0.0%'!$N970)</f>
        <v>1.3178007408851629</v>
      </c>
      <c r="Y970" s="13">
        <f>IF('0.0%'!$N970&lt;$Z$3,0, '0.0%'!$S970/'0.0%'!$N970)</f>
        <v>1.4156755702866057</v>
      </c>
    </row>
    <row r="971" spans="1:25" x14ac:dyDescent="0.3">
      <c r="A971" s="17">
        <v>1031.3</v>
      </c>
      <c r="B971" s="10">
        <v>504.1</v>
      </c>
      <c r="C971" s="9">
        <v>1031.3</v>
      </c>
      <c r="D971" s="10">
        <v>687.2</v>
      </c>
      <c r="E971" s="11">
        <v>1031.3</v>
      </c>
      <c r="F971" s="12">
        <v>594.5</v>
      </c>
      <c r="G971" s="11">
        <v>1031.3</v>
      </c>
      <c r="H971" s="12">
        <v>602.20000000000005</v>
      </c>
      <c r="I971" s="11">
        <v>1031.3</v>
      </c>
      <c r="J971" s="12">
        <v>661.4</v>
      </c>
      <c r="K971" s="11">
        <v>1031.3</v>
      </c>
      <c r="L971" s="12">
        <v>710.9</v>
      </c>
      <c r="M971" s="11">
        <v>1031.3</v>
      </c>
      <c r="N971" s="13">
        <v>504.1</v>
      </c>
      <c r="O971" s="13">
        <v>687.2</v>
      </c>
      <c r="P971" s="13">
        <v>594.5</v>
      </c>
      <c r="Q971" s="11">
        <v>602.20000000000005</v>
      </c>
      <c r="R971" s="11">
        <v>661.4</v>
      </c>
      <c r="S971" s="14">
        <v>710.9</v>
      </c>
      <c r="T971" s="11">
        <v>1031.3</v>
      </c>
      <c r="U971" s="13">
        <f>IF('0.0%'!$N971&lt;$Z$3,0, '0.0%'!$O971/'0.0%'!$N971)</f>
        <v>1.3632215830192422</v>
      </c>
      <c r="V971" s="13">
        <f>IF('0.0%'!$N971&lt;$Z$3,0, '0.0%'!$P971/'0.0%'!$N971)</f>
        <v>1.1793294981154532</v>
      </c>
      <c r="W971" s="13">
        <f>IF('0.0%'!$N971&lt;$Z$3,0, '0.0%'!$Q971/'0.0%'!$N971)</f>
        <v>1.1946042451894465</v>
      </c>
      <c r="X971" s="13">
        <f>IF('0.0%'!$N971&lt;$Z$3,0, '0.0%'!$R971/'0.0%'!$N971)</f>
        <v>1.3120412616544335</v>
      </c>
      <c r="Y971" s="13">
        <f>IF('0.0%'!$N971&lt;$Z$3,0, '0.0%'!$S971/'0.0%'!$N971)</f>
        <v>1.4102360642729617</v>
      </c>
    </row>
    <row r="972" spans="1:25" x14ac:dyDescent="0.3">
      <c r="A972" s="17">
        <v>1032.29</v>
      </c>
      <c r="B972" s="10">
        <v>495.5</v>
      </c>
      <c r="C972" s="9">
        <v>1032.29</v>
      </c>
      <c r="D972" s="10">
        <v>672.8</v>
      </c>
      <c r="E972" s="11">
        <v>1032.29</v>
      </c>
      <c r="F972" s="12">
        <v>585.29999999999995</v>
      </c>
      <c r="G972" s="11">
        <v>1032.29</v>
      </c>
      <c r="H972" s="12">
        <v>592.4</v>
      </c>
      <c r="I972" s="11">
        <v>1032.29</v>
      </c>
      <c r="J972" s="12">
        <v>647.29999999999995</v>
      </c>
      <c r="K972" s="11">
        <v>1032.29</v>
      </c>
      <c r="L972" s="12">
        <v>696.3</v>
      </c>
      <c r="M972" s="11">
        <v>1032.29</v>
      </c>
      <c r="N972" s="13">
        <v>495.5</v>
      </c>
      <c r="O972" s="13">
        <v>672.8</v>
      </c>
      <c r="P972" s="13">
        <v>585.29999999999995</v>
      </c>
      <c r="Q972" s="11">
        <v>592.4</v>
      </c>
      <c r="R972" s="11">
        <v>647.29999999999995</v>
      </c>
      <c r="S972" s="14">
        <v>696.3</v>
      </c>
      <c r="T972" s="11">
        <v>1032.29</v>
      </c>
      <c r="U972" s="13">
        <f>IF('0.0%'!$N972&lt;$Z$3,0, '0.0%'!$O972/'0.0%'!$N972)</f>
        <v>1.3578203834510594</v>
      </c>
      <c r="V972" s="13">
        <f>IF('0.0%'!$N972&lt;$Z$3,0, '0.0%'!$P972/'0.0%'!$N972)</f>
        <v>1.181231079717457</v>
      </c>
      <c r="W972" s="13">
        <f>IF('0.0%'!$N972&lt;$Z$3,0, '0.0%'!$Q972/'0.0%'!$N972)</f>
        <v>1.1955600403632693</v>
      </c>
      <c r="X972" s="13">
        <f>IF('0.0%'!$N972&lt;$Z$3,0, '0.0%'!$R972/'0.0%'!$N972)</f>
        <v>1.3063572149344096</v>
      </c>
      <c r="Y972" s="13">
        <f>IF('0.0%'!$N972&lt;$Z$3,0, '0.0%'!$S972/'0.0%'!$N972)</f>
        <v>1.405247225025227</v>
      </c>
    </row>
    <row r="973" spans="1:25" x14ac:dyDescent="0.3">
      <c r="A973" s="17">
        <v>1033.28</v>
      </c>
      <c r="B973" s="10">
        <v>488.4</v>
      </c>
      <c r="C973" s="9">
        <v>1033.28</v>
      </c>
      <c r="D973" s="10">
        <v>660</v>
      </c>
      <c r="E973" s="11">
        <v>1033.28</v>
      </c>
      <c r="F973" s="12">
        <v>577.5</v>
      </c>
      <c r="G973" s="11">
        <v>1033.28</v>
      </c>
      <c r="H973" s="12">
        <v>584.1</v>
      </c>
      <c r="I973" s="11">
        <v>1033.28</v>
      </c>
      <c r="J973" s="12">
        <v>634.70000000000005</v>
      </c>
      <c r="K973" s="11">
        <v>1033.28</v>
      </c>
      <c r="L973" s="12">
        <v>683.3</v>
      </c>
      <c r="M973" s="11">
        <v>1033.28</v>
      </c>
      <c r="N973" s="13">
        <v>488.4</v>
      </c>
      <c r="O973" s="13">
        <v>660</v>
      </c>
      <c r="P973" s="13">
        <v>577.5</v>
      </c>
      <c r="Q973" s="11">
        <v>584.1</v>
      </c>
      <c r="R973" s="11">
        <v>634.70000000000005</v>
      </c>
      <c r="S973" s="14">
        <v>683.3</v>
      </c>
      <c r="T973" s="11">
        <v>1033.28</v>
      </c>
      <c r="U973" s="13">
        <f>IF('0.0%'!$N973&lt;$Z$3,0, '0.0%'!$O973/'0.0%'!$N973)</f>
        <v>1.3513513513513513</v>
      </c>
      <c r="V973" s="13">
        <f>IF('0.0%'!$N973&lt;$Z$3,0, '0.0%'!$P973/'0.0%'!$N973)</f>
        <v>1.1824324324324325</v>
      </c>
      <c r="W973" s="13">
        <f>IF('0.0%'!$N973&lt;$Z$3,0, '0.0%'!$Q973/'0.0%'!$N973)</f>
        <v>1.1959459459459461</v>
      </c>
      <c r="X973" s="13">
        <f>IF('0.0%'!$N973&lt;$Z$3,0, '0.0%'!$R973/'0.0%'!$N973)</f>
        <v>1.2995495495495497</v>
      </c>
      <c r="Y973" s="13">
        <f>IF('0.0%'!$N973&lt;$Z$3,0, '0.0%'!$S973/'0.0%'!$N973)</f>
        <v>1.3990581490581491</v>
      </c>
    </row>
    <row r="974" spans="1:25" x14ac:dyDescent="0.3">
      <c r="A974" s="17">
        <v>1034.28</v>
      </c>
      <c r="B974" s="10">
        <v>481.5</v>
      </c>
      <c r="C974" s="9">
        <v>1034.28</v>
      </c>
      <c r="D974" s="10">
        <v>647.9</v>
      </c>
      <c r="E974" s="11">
        <v>1034.28</v>
      </c>
      <c r="F974" s="12">
        <v>569.9</v>
      </c>
      <c r="G974" s="11">
        <v>1034.28</v>
      </c>
      <c r="H974" s="12">
        <v>576.1</v>
      </c>
      <c r="I974" s="11">
        <v>1034.28</v>
      </c>
      <c r="J974" s="12">
        <v>622.70000000000005</v>
      </c>
      <c r="K974" s="11">
        <v>1034.28</v>
      </c>
      <c r="L974" s="12">
        <v>670.8</v>
      </c>
      <c r="M974" s="11">
        <v>1034.28</v>
      </c>
      <c r="N974" s="13">
        <v>481.5</v>
      </c>
      <c r="O974" s="13">
        <v>647.9</v>
      </c>
      <c r="P974" s="13">
        <v>569.9</v>
      </c>
      <c r="Q974" s="11">
        <v>576.1</v>
      </c>
      <c r="R974" s="11">
        <v>622.70000000000005</v>
      </c>
      <c r="S974" s="14">
        <v>670.8</v>
      </c>
      <c r="T974" s="11">
        <v>1034.28</v>
      </c>
      <c r="U974" s="13">
        <f>IF('0.0%'!$N974&lt;$Z$3,0, '0.0%'!$O974/'0.0%'!$N974)</f>
        <v>1.3455867082035307</v>
      </c>
      <c r="V974" s="13">
        <f>IF('0.0%'!$N974&lt;$Z$3,0, '0.0%'!$P974/'0.0%'!$N974)</f>
        <v>1.1835929387331257</v>
      </c>
      <c r="W974" s="13">
        <f>IF('0.0%'!$N974&lt;$Z$3,0, '0.0%'!$Q974/'0.0%'!$N974)</f>
        <v>1.1964693665628245</v>
      </c>
      <c r="X974" s="13">
        <f>IF('0.0%'!$N974&lt;$Z$3,0, '0.0%'!$R974/'0.0%'!$N974)</f>
        <v>1.2932502596053999</v>
      </c>
      <c r="Y974" s="13">
        <f>IF('0.0%'!$N974&lt;$Z$3,0, '0.0%'!$S974/'0.0%'!$N974)</f>
        <v>1.3931464174454828</v>
      </c>
    </row>
    <row r="975" spans="1:25" x14ac:dyDescent="0.3">
      <c r="A975" s="17">
        <v>1035.27</v>
      </c>
      <c r="B975" s="10">
        <v>475.7</v>
      </c>
      <c r="C975" s="9">
        <v>1035.27</v>
      </c>
      <c r="D975" s="10">
        <v>637</v>
      </c>
      <c r="E975" s="11">
        <v>1035.27</v>
      </c>
      <c r="F975" s="12">
        <v>563.70000000000005</v>
      </c>
      <c r="G975" s="11">
        <v>1035.27</v>
      </c>
      <c r="H975" s="12">
        <v>569.29999999999995</v>
      </c>
      <c r="I975" s="11">
        <v>1035.27</v>
      </c>
      <c r="J975" s="12">
        <v>612.1</v>
      </c>
      <c r="K975" s="11">
        <v>1035.27</v>
      </c>
      <c r="L975" s="12">
        <v>659.8</v>
      </c>
      <c r="M975" s="11">
        <v>1035.27</v>
      </c>
      <c r="N975" s="13">
        <v>475.7</v>
      </c>
      <c r="O975" s="13">
        <v>637</v>
      </c>
      <c r="P975" s="13">
        <v>563.70000000000005</v>
      </c>
      <c r="Q975" s="11">
        <v>569.29999999999995</v>
      </c>
      <c r="R975" s="11">
        <v>612.1</v>
      </c>
      <c r="S975" s="14">
        <v>659.8</v>
      </c>
      <c r="T975" s="11">
        <v>1035.27</v>
      </c>
      <c r="U975" s="13">
        <f>IF('0.0%'!$N975&lt;$Z$3,0, '0.0%'!$O975/'0.0%'!$N975)</f>
        <v>1.3390792516291781</v>
      </c>
      <c r="V975" s="13">
        <f>IF('0.0%'!$N975&lt;$Z$3,0, '0.0%'!$P975/'0.0%'!$N975)</f>
        <v>1.1849905402564642</v>
      </c>
      <c r="W975" s="13">
        <f>IF('0.0%'!$N975&lt;$Z$3,0, '0.0%'!$Q975/'0.0%'!$N975)</f>
        <v>1.1967626655455119</v>
      </c>
      <c r="X975" s="13">
        <f>IF('0.0%'!$N975&lt;$Z$3,0, '0.0%'!$R975/'0.0%'!$N975)</f>
        <v>1.2867353373975194</v>
      </c>
      <c r="Y975" s="13">
        <f>IF('0.0%'!$N975&lt;$Z$3,0, '0.0%'!$S975/'0.0%'!$N975)</f>
        <v>1.3870086188774438</v>
      </c>
    </row>
    <row r="976" spans="1:25" x14ac:dyDescent="0.3">
      <c r="A976" s="17">
        <v>1036.26</v>
      </c>
      <c r="B976" s="10">
        <v>470.2</v>
      </c>
      <c r="C976" s="9">
        <v>1036.26</v>
      </c>
      <c r="D976" s="10">
        <v>626.79999999999995</v>
      </c>
      <c r="E976" s="11">
        <v>1036.26</v>
      </c>
      <c r="F976" s="12">
        <v>557.6</v>
      </c>
      <c r="G976" s="11">
        <v>1036.26</v>
      </c>
      <c r="H976" s="12">
        <v>562.70000000000005</v>
      </c>
      <c r="I976" s="11">
        <v>1036.26</v>
      </c>
      <c r="J976" s="12">
        <v>602</v>
      </c>
      <c r="K976" s="11">
        <v>1036.26</v>
      </c>
      <c r="L976" s="12">
        <v>649.1</v>
      </c>
      <c r="M976" s="11">
        <v>1036.26</v>
      </c>
      <c r="N976" s="13">
        <v>470.2</v>
      </c>
      <c r="O976" s="13">
        <v>626.79999999999995</v>
      </c>
      <c r="P976" s="13">
        <v>557.6</v>
      </c>
      <c r="Q976" s="11">
        <v>562.70000000000005</v>
      </c>
      <c r="R976" s="11">
        <v>602</v>
      </c>
      <c r="S976" s="14">
        <v>649.1</v>
      </c>
      <c r="T976" s="11">
        <v>1036.26</v>
      </c>
      <c r="U976" s="13">
        <f>IF('0.0%'!$N976&lt;$Z$3,0, '0.0%'!$O976/'0.0%'!$N976)</f>
        <v>1.3330497660569969</v>
      </c>
      <c r="V976" s="13">
        <f>IF('0.0%'!$N976&lt;$Z$3,0, '0.0%'!$P976/'0.0%'!$N976)</f>
        <v>1.1858783496384517</v>
      </c>
      <c r="W976" s="13">
        <f>IF('0.0%'!$N976&lt;$Z$3,0, '0.0%'!$Q976/'0.0%'!$N976)</f>
        <v>1.1967247979583158</v>
      </c>
      <c r="X976" s="13">
        <f>IF('0.0%'!$N976&lt;$Z$3,0, '0.0%'!$R976/'0.0%'!$N976)</f>
        <v>1.2803062526584432</v>
      </c>
      <c r="Y976" s="13">
        <f>IF('0.0%'!$N976&lt;$Z$3,0, '0.0%'!$S976/'0.0%'!$N976)</f>
        <v>1.3804763930242452</v>
      </c>
    </row>
    <row r="977" spans="1:25" x14ac:dyDescent="0.3">
      <c r="A977" s="17">
        <v>1037.25</v>
      </c>
      <c r="B977" s="10">
        <v>465.9</v>
      </c>
      <c r="C977" s="9">
        <v>1037.25</v>
      </c>
      <c r="D977" s="10">
        <v>618.20000000000005</v>
      </c>
      <c r="E977" s="11">
        <v>1037.25</v>
      </c>
      <c r="F977" s="12">
        <v>552.79999999999995</v>
      </c>
      <c r="G977" s="11">
        <v>1037.25</v>
      </c>
      <c r="H977" s="12">
        <v>557.4</v>
      </c>
      <c r="I977" s="11">
        <v>1037.25</v>
      </c>
      <c r="J977" s="12">
        <v>593.4</v>
      </c>
      <c r="K977" s="11">
        <v>1037.25</v>
      </c>
      <c r="L977" s="12">
        <v>640</v>
      </c>
      <c r="M977" s="11">
        <v>1037.25</v>
      </c>
      <c r="N977" s="13">
        <v>465.9</v>
      </c>
      <c r="O977" s="13">
        <v>618.20000000000005</v>
      </c>
      <c r="P977" s="13">
        <v>552.79999999999995</v>
      </c>
      <c r="Q977" s="11">
        <v>557.4</v>
      </c>
      <c r="R977" s="11">
        <v>593.4</v>
      </c>
      <c r="S977" s="14">
        <v>640</v>
      </c>
      <c r="T977" s="11">
        <v>1037.25</v>
      </c>
      <c r="U977" s="13">
        <f>IF('0.0%'!$N977&lt;$Z$3,0, '0.0%'!$O977/'0.0%'!$N977)</f>
        <v>1.3268941833011378</v>
      </c>
      <c r="V977" s="13">
        <f>IF('0.0%'!$N977&lt;$Z$3,0, '0.0%'!$P977/'0.0%'!$N977)</f>
        <v>1.1865207125992703</v>
      </c>
      <c r="W977" s="13">
        <f>IF('0.0%'!$N977&lt;$Z$3,0, '0.0%'!$Q977/'0.0%'!$N977)</f>
        <v>1.1963940759819705</v>
      </c>
      <c r="X977" s="13">
        <f>IF('0.0%'!$N977&lt;$Z$3,0, '0.0%'!$R977/'0.0%'!$N977)</f>
        <v>1.2736638763683195</v>
      </c>
      <c r="Y977" s="13">
        <f>IF('0.0%'!$N977&lt;$Z$3,0, '0.0%'!$S977/'0.0%'!$N977)</f>
        <v>1.3736853402017601</v>
      </c>
    </row>
    <row r="978" spans="1:25" x14ac:dyDescent="0.3">
      <c r="A978" s="17">
        <v>1038.24</v>
      </c>
      <c r="B978" s="10">
        <v>462</v>
      </c>
      <c r="C978" s="9">
        <v>1038.24</v>
      </c>
      <c r="D978" s="10">
        <v>610.29999999999995</v>
      </c>
      <c r="E978" s="11">
        <v>1038.24</v>
      </c>
      <c r="F978" s="12">
        <v>548.4</v>
      </c>
      <c r="G978" s="11">
        <v>1038.24</v>
      </c>
      <c r="H978" s="12">
        <v>552.70000000000005</v>
      </c>
      <c r="I978" s="11">
        <v>1038.24</v>
      </c>
      <c r="J978" s="12">
        <v>585.6</v>
      </c>
      <c r="K978" s="11">
        <v>1038.24</v>
      </c>
      <c r="L978" s="12">
        <v>631.6</v>
      </c>
      <c r="M978" s="11">
        <v>1038.24</v>
      </c>
      <c r="N978" s="13">
        <v>462</v>
      </c>
      <c r="O978" s="13">
        <v>610.29999999999995</v>
      </c>
      <c r="P978" s="13">
        <v>548.4</v>
      </c>
      <c r="Q978" s="11">
        <v>552.70000000000005</v>
      </c>
      <c r="R978" s="11">
        <v>585.6</v>
      </c>
      <c r="S978" s="14">
        <v>631.6</v>
      </c>
      <c r="T978" s="11">
        <v>1038.24</v>
      </c>
      <c r="U978" s="13">
        <f>IF('0.0%'!$N978&lt;$Z$3,0, '0.0%'!$O978/'0.0%'!$N978)</f>
        <v>1.3209956709956709</v>
      </c>
      <c r="V978" s="13">
        <f>IF('0.0%'!$N978&lt;$Z$3,0, '0.0%'!$P978/'0.0%'!$N978)</f>
        <v>1.1870129870129869</v>
      </c>
      <c r="W978" s="13">
        <f>IF('0.0%'!$N978&lt;$Z$3,0, '0.0%'!$Q978/'0.0%'!$N978)</f>
        <v>1.1963203463203465</v>
      </c>
      <c r="X978" s="13">
        <f>IF('0.0%'!$N978&lt;$Z$3,0, '0.0%'!$R978/'0.0%'!$N978)</f>
        <v>1.2675324675324675</v>
      </c>
      <c r="Y978" s="13">
        <f>IF('0.0%'!$N978&lt;$Z$3,0, '0.0%'!$S978/'0.0%'!$N978)</f>
        <v>1.3670995670995671</v>
      </c>
    </row>
    <row r="979" spans="1:25" x14ac:dyDescent="0.3">
      <c r="A979" s="17">
        <v>1039.23</v>
      </c>
      <c r="B979" s="10">
        <v>459.3</v>
      </c>
      <c r="C979" s="9">
        <v>1039.23</v>
      </c>
      <c r="D979" s="10">
        <v>603.79999999999995</v>
      </c>
      <c r="E979" s="11">
        <v>1039.23</v>
      </c>
      <c r="F979" s="12">
        <v>545.29999999999995</v>
      </c>
      <c r="G979" s="11">
        <v>1039.23</v>
      </c>
      <c r="H979" s="12">
        <v>549</v>
      </c>
      <c r="I979" s="11">
        <v>1039.23</v>
      </c>
      <c r="J979" s="12">
        <v>579.29999999999995</v>
      </c>
      <c r="K979" s="11">
        <v>1039.23</v>
      </c>
      <c r="L979" s="12">
        <v>624.79999999999995</v>
      </c>
      <c r="M979" s="11">
        <v>1039.23</v>
      </c>
      <c r="N979" s="13">
        <v>459.3</v>
      </c>
      <c r="O979" s="13">
        <v>603.79999999999995</v>
      </c>
      <c r="P979" s="13">
        <v>545.29999999999995</v>
      </c>
      <c r="Q979" s="11">
        <v>549</v>
      </c>
      <c r="R979" s="11">
        <v>579.29999999999995</v>
      </c>
      <c r="S979" s="14">
        <v>624.79999999999995</v>
      </c>
      <c r="T979" s="11">
        <v>1039.23</v>
      </c>
      <c r="U979" s="13">
        <f>IF('0.0%'!$N979&lt;$Z$3,0, '0.0%'!$O979/'0.0%'!$N979)</f>
        <v>1.3146091878946222</v>
      </c>
      <c r="V979" s="13">
        <f>IF('0.0%'!$N979&lt;$Z$3,0, '0.0%'!$P979/'0.0%'!$N979)</f>
        <v>1.1872414543871106</v>
      </c>
      <c r="W979" s="13">
        <f>IF('0.0%'!$N979&lt;$Z$3,0, '0.0%'!$Q979/'0.0%'!$N979)</f>
        <v>1.1952971913781842</v>
      </c>
      <c r="X979" s="13">
        <f>IF('0.0%'!$N979&lt;$Z$3,0, '0.0%'!$R979/'0.0%'!$N979)</f>
        <v>1.2612671456564335</v>
      </c>
      <c r="Y979" s="13">
        <f>IF('0.0%'!$N979&lt;$Z$3,0, '0.0%'!$S979/'0.0%'!$N979)</f>
        <v>1.3603309383844979</v>
      </c>
    </row>
    <row r="980" spans="1:25" x14ac:dyDescent="0.3">
      <c r="A980" s="17">
        <v>1040.23</v>
      </c>
      <c r="B980" s="10">
        <v>457.2</v>
      </c>
      <c r="C980" s="9">
        <v>1040.23</v>
      </c>
      <c r="D980" s="10">
        <v>598.5</v>
      </c>
      <c r="E980" s="11">
        <v>1040.23</v>
      </c>
      <c r="F980" s="12">
        <v>542.9</v>
      </c>
      <c r="G980" s="11">
        <v>1040.23</v>
      </c>
      <c r="H980" s="12">
        <v>546.20000000000005</v>
      </c>
      <c r="I980" s="11">
        <v>1040.23</v>
      </c>
      <c r="J980" s="12">
        <v>574</v>
      </c>
      <c r="K980" s="11">
        <v>1040.23</v>
      </c>
      <c r="L980" s="12">
        <v>619</v>
      </c>
      <c r="M980" s="11">
        <v>1040.23</v>
      </c>
      <c r="N980" s="13">
        <v>457.2</v>
      </c>
      <c r="O980" s="13">
        <v>598.5</v>
      </c>
      <c r="P980" s="13">
        <v>542.9</v>
      </c>
      <c r="Q980" s="11">
        <v>546.20000000000005</v>
      </c>
      <c r="R980" s="11">
        <v>574</v>
      </c>
      <c r="S980" s="14">
        <v>619</v>
      </c>
      <c r="T980" s="11">
        <v>1040.23</v>
      </c>
      <c r="U980" s="13">
        <f>IF('0.0%'!$N980&lt;$Z$3,0, '0.0%'!$O980/'0.0%'!$N980)</f>
        <v>1.3090551181102363</v>
      </c>
      <c r="V980" s="13">
        <f>IF('0.0%'!$N980&lt;$Z$3,0, '0.0%'!$P980/'0.0%'!$N980)</f>
        <v>1.1874453193350831</v>
      </c>
      <c r="W980" s="13">
        <f>IF('0.0%'!$N980&lt;$Z$3,0, '0.0%'!$Q980/'0.0%'!$N980)</f>
        <v>1.1946631671041121</v>
      </c>
      <c r="X980" s="13">
        <f>IF('0.0%'!$N980&lt;$Z$3,0, '0.0%'!$R980/'0.0%'!$N980)</f>
        <v>1.2554680664916886</v>
      </c>
      <c r="Y980" s="13">
        <f>IF('0.0%'!$N980&lt;$Z$3,0, '0.0%'!$S980/'0.0%'!$N980)</f>
        <v>1.3538932633420824</v>
      </c>
    </row>
    <row r="981" spans="1:25" x14ac:dyDescent="0.3">
      <c r="A981" s="17">
        <v>1041.22</v>
      </c>
      <c r="B981" s="10">
        <v>455.4</v>
      </c>
      <c r="C981" s="9">
        <v>1041.22</v>
      </c>
      <c r="D981" s="10">
        <v>593.9</v>
      </c>
      <c r="E981" s="11">
        <v>1041.22</v>
      </c>
      <c r="F981" s="12">
        <v>540.79999999999995</v>
      </c>
      <c r="G981" s="11">
        <v>1041.22</v>
      </c>
      <c r="H981" s="12">
        <v>543.70000000000005</v>
      </c>
      <c r="I981" s="11">
        <v>1041.22</v>
      </c>
      <c r="J981" s="12">
        <v>569.4</v>
      </c>
      <c r="K981" s="11">
        <v>1041.22</v>
      </c>
      <c r="L981" s="12">
        <v>614.20000000000005</v>
      </c>
      <c r="M981" s="11">
        <v>1041.22</v>
      </c>
      <c r="N981" s="13">
        <v>455.4</v>
      </c>
      <c r="O981" s="13">
        <v>593.9</v>
      </c>
      <c r="P981" s="13">
        <v>540.79999999999995</v>
      </c>
      <c r="Q981" s="11">
        <v>543.70000000000005</v>
      </c>
      <c r="R981" s="11">
        <v>569.4</v>
      </c>
      <c r="S981" s="14">
        <v>614.20000000000005</v>
      </c>
      <c r="T981" s="11">
        <v>1041.22</v>
      </c>
      <c r="U981" s="13">
        <f>IF('0.0%'!$N981&lt;$Z$3,0, '0.0%'!$O981/'0.0%'!$N981)</f>
        <v>1.3041282389108477</v>
      </c>
      <c r="V981" s="13">
        <f>IF('0.0%'!$N981&lt;$Z$3,0, '0.0%'!$P981/'0.0%'!$N981)</f>
        <v>1.1875274483970135</v>
      </c>
      <c r="W981" s="13">
        <f>IF('0.0%'!$N981&lt;$Z$3,0, '0.0%'!$Q981/'0.0%'!$N981)</f>
        <v>1.1938954765041723</v>
      </c>
      <c r="X981" s="13">
        <f>IF('0.0%'!$N981&lt;$Z$3,0, '0.0%'!$R981/'0.0%'!$N981)</f>
        <v>1.2503293807641633</v>
      </c>
      <c r="Y981" s="13">
        <f>IF('0.0%'!$N981&lt;$Z$3,0, '0.0%'!$S981/'0.0%'!$N981)</f>
        <v>1.3487044356609577</v>
      </c>
    </row>
    <row r="982" spans="1:25" x14ac:dyDescent="0.3">
      <c r="A982" s="17">
        <v>1042.21</v>
      </c>
      <c r="B982" s="10">
        <v>454.5</v>
      </c>
      <c r="C982" s="9">
        <v>1042.21</v>
      </c>
      <c r="D982" s="10">
        <v>590</v>
      </c>
      <c r="E982" s="11">
        <v>1042.21</v>
      </c>
      <c r="F982" s="12">
        <v>539.70000000000005</v>
      </c>
      <c r="G982" s="11">
        <v>1042.21</v>
      </c>
      <c r="H982" s="12">
        <v>542.20000000000005</v>
      </c>
      <c r="I982" s="11">
        <v>1042.21</v>
      </c>
      <c r="J982" s="12">
        <v>565.6</v>
      </c>
      <c r="K982" s="11">
        <v>1042.21</v>
      </c>
      <c r="L982" s="12">
        <v>610.20000000000005</v>
      </c>
      <c r="M982" s="11">
        <v>1042.21</v>
      </c>
      <c r="N982" s="13">
        <v>454.5</v>
      </c>
      <c r="O982" s="13">
        <v>590</v>
      </c>
      <c r="P982" s="13">
        <v>539.70000000000005</v>
      </c>
      <c r="Q982" s="11">
        <v>542.20000000000005</v>
      </c>
      <c r="R982" s="11">
        <v>565.6</v>
      </c>
      <c r="S982" s="14">
        <v>610.20000000000005</v>
      </c>
      <c r="T982" s="11">
        <v>1042.21</v>
      </c>
      <c r="U982" s="13">
        <f>IF('0.0%'!$N982&lt;$Z$3,0, '0.0%'!$O982/'0.0%'!$N982)</f>
        <v>1.2981298129812981</v>
      </c>
      <c r="V982" s="13">
        <f>IF('0.0%'!$N982&lt;$Z$3,0, '0.0%'!$P982/'0.0%'!$N982)</f>
        <v>1.1874587458745876</v>
      </c>
      <c r="W982" s="13">
        <f>IF('0.0%'!$N982&lt;$Z$3,0, '0.0%'!$Q982/'0.0%'!$N982)</f>
        <v>1.1929592959295932</v>
      </c>
      <c r="X982" s="13">
        <f>IF('0.0%'!$N982&lt;$Z$3,0, '0.0%'!$R982/'0.0%'!$N982)</f>
        <v>1.2444444444444445</v>
      </c>
      <c r="Y982" s="13">
        <f>IF('0.0%'!$N982&lt;$Z$3,0, '0.0%'!$S982/'0.0%'!$N982)</f>
        <v>1.3425742574257427</v>
      </c>
    </row>
    <row r="983" spans="1:25" x14ac:dyDescent="0.3">
      <c r="A983" s="17">
        <v>1043.2</v>
      </c>
      <c r="B983" s="10">
        <v>453.5</v>
      </c>
      <c r="C983" s="9">
        <v>1043.2</v>
      </c>
      <c r="D983" s="10">
        <v>586.4</v>
      </c>
      <c r="E983" s="11">
        <v>1043.2</v>
      </c>
      <c r="F983" s="12">
        <v>538.4</v>
      </c>
      <c r="G983" s="11">
        <v>1043.2</v>
      </c>
      <c r="H983" s="12">
        <v>540.70000000000005</v>
      </c>
      <c r="I983" s="11">
        <v>1043.2</v>
      </c>
      <c r="J983" s="12">
        <v>561.79999999999995</v>
      </c>
      <c r="K983" s="11">
        <v>1043.2</v>
      </c>
      <c r="L983" s="12">
        <v>606.29999999999995</v>
      </c>
      <c r="M983" s="11">
        <v>1043.2</v>
      </c>
      <c r="N983" s="13">
        <v>453.5</v>
      </c>
      <c r="O983" s="13">
        <v>586.4</v>
      </c>
      <c r="P983" s="13">
        <v>538.4</v>
      </c>
      <c r="Q983" s="11">
        <v>540.70000000000005</v>
      </c>
      <c r="R983" s="11">
        <v>561.79999999999995</v>
      </c>
      <c r="S983" s="14">
        <v>606.29999999999995</v>
      </c>
      <c r="T983" s="11">
        <v>1043.2</v>
      </c>
      <c r="U983" s="13">
        <f>IF('0.0%'!$N983&lt;$Z$3,0, '0.0%'!$O983/'0.0%'!$N983)</f>
        <v>1.2930540242557882</v>
      </c>
      <c r="V983" s="13">
        <f>IF('0.0%'!$N983&lt;$Z$3,0, '0.0%'!$P983/'0.0%'!$N983)</f>
        <v>1.1872105843439911</v>
      </c>
      <c r="W983" s="13">
        <f>IF('0.0%'!$N983&lt;$Z$3,0, '0.0%'!$Q983/'0.0%'!$N983)</f>
        <v>1.1922822491730982</v>
      </c>
      <c r="X983" s="13">
        <f>IF('0.0%'!$N983&lt;$Z$3,0, '0.0%'!$R983/'0.0%'!$N983)</f>
        <v>1.2388092613009922</v>
      </c>
      <c r="Y983" s="13">
        <f>IF('0.0%'!$N983&lt;$Z$3,0, '0.0%'!$S983/'0.0%'!$N983)</f>
        <v>1.3369349503858874</v>
      </c>
    </row>
    <row r="984" spans="1:25" x14ac:dyDescent="0.3">
      <c r="A984" s="17">
        <v>1044.19</v>
      </c>
      <c r="B984" s="10">
        <v>452.3</v>
      </c>
      <c r="C984" s="9">
        <v>1044.19</v>
      </c>
      <c r="D984" s="10">
        <v>582.5</v>
      </c>
      <c r="E984" s="11">
        <v>1044.19</v>
      </c>
      <c r="F984" s="12">
        <v>536.9</v>
      </c>
      <c r="G984" s="11">
        <v>1044.19</v>
      </c>
      <c r="H984" s="12">
        <v>538.9</v>
      </c>
      <c r="I984" s="11">
        <v>1044.19</v>
      </c>
      <c r="J984" s="12">
        <v>558</v>
      </c>
      <c r="K984" s="11">
        <v>1044.19</v>
      </c>
      <c r="L984" s="12">
        <v>602.4</v>
      </c>
      <c r="M984" s="11">
        <v>1044.19</v>
      </c>
      <c r="N984" s="13">
        <v>452.3</v>
      </c>
      <c r="O984" s="13">
        <v>582.5</v>
      </c>
      <c r="P984" s="13">
        <v>536.9</v>
      </c>
      <c r="Q984" s="11">
        <v>538.9</v>
      </c>
      <c r="R984" s="11">
        <v>558</v>
      </c>
      <c r="S984" s="14">
        <v>602.4</v>
      </c>
      <c r="T984" s="11">
        <v>1044.19</v>
      </c>
      <c r="U984" s="13">
        <f>IF('0.0%'!$N984&lt;$Z$3,0, '0.0%'!$O984/'0.0%'!$N984)</f>
        <v>1.2878620384700419</v>
      </c>
      <c r="V984" s="13">
        <f>IF('0.0%'!$N984&lt;$Z$3,0, '0.0%'!$P984/'0.0%'!$N984)</f>
        <v>1.1870439973468936</v>
      </c>
      <c r="W984" s="13">
        <f>IF('0.0%'!$N984&lt;$Z$3,0, '0.0%'!$Q984/'0.0%'!$N984)</f>
        <v>1.1914658412558037</v>
      </c>
      <c r="X984" s="13">
        <f>IF('0.0%'!$N984&lt;$Z$3,0, '0.0%'!$R984/'0.0%'!$N984)</f>
        <v>1.2336944505858942</v>
      </c>
      <c r="Y984" s="13">
        <f>IF('0.0%'!$N984&lt;$Z$3,0, '0.0%'!$S984/'0.0%'!$N984)</f>
        <v>1.3318593853636966</v>
      </c>
    </row>
    <row r="985" spans="1:25" x14ac:dyDescent="0.3">
      <c r="A985" s="17">
        <v>1045.19</v>
      </c>
      <c r="B985" s="10">
        <v>449.9</v>
      </c>
      <c r="C985" s="9">
        <v>1045.19</v>
      </c>
      <c r="D985" s="10">
        <v>577.70000000000005</v>
      </c>
      <c r="E985" s="11">
        <v>1045.19</v>
      </c>
      <c r="F985" s="12">
        <v>534.20000000000005</v>
      </c>
      <c r="G985" s="11">
        <v>1045.19</v>
      </c>
      <c r="H985" s="12">
        <v>535.9</v>
      </c>
      <c r="I985" s="11">
        <v>1045.19</v>
      </c>
      <c r="J985" s="12">
        <v>553.20000000000005</v>
      </c>
      <c r="K985" s="11">
        <v>1045.19</v>
      </c>
      <c r="L985" s="12">
        <v>597.4</v>
      </c>
      <c r="M985" s="11">
        <v>1045.19</v>
      </c>
      <c r="N985" s="13">
        <v>449.9</v>
      </c>
      <c r="O985" s="13">
        <v>577.70000000000005</v>
      </c>
      <c r="P985" s="13">
        <v>534.20000000000005</v>
      </c>
      <c r="Q985" s="11">
        <v>535.9</v>
      </c>
      <c r="R985" s="11">
        <v>553.20000000000005</v>
      </c>
      <c r="S985" s="14">
        <v>597.4</v>
      </c>
      <c r="T985" s="11">
        <v>1045.19</v>
      </c>
      <c r="U985" s="13">
        <f>IF('0.0%'!$N985&lt;$Z$3,0, '0.0%'!$O985/'0.0%'!$N985)</f>
        <v>1.2840631251389198</v>
      </c>
      <c r="V985" s="13">
        <f>IF('0.0%'!$N985&lt;$Z$3,0, '0.0%'!$P985/'0.0%'!$N985)</f>
        <v>1.1873749722160483</v>
      </c>
      <c r="W985" s="13">
        <f>IF('0.0%'!$N985&lt;$Z$3,0, '0.0%'!$Q985/'0.0%'!$N985)</f>
        <v>1.191153589686597</v>
      </c>
      <c r="X985" s="13">
        <f>IF('0.0%'!$N985&lt;$Z$3,0, '0.0%'!$R985/'0.0%'!$N985)</f>
        <v>1.2296065792398312</v>
      </c>
      <c r="Y985" s="13">
        <f>IF('0.0%'!$N985&lt;$Z$3,0, '0.0%'!$S985/'0.0%'!$N985)</f>
        <v>1.3278506334741054</v>
      </c>
    </row>
    <row r="986" spans="1:25" x14ac:dyDescent="0.3">
      <c r="A986" s="17">
        <v>1046.18</v>
      </c>
      <c r="B986" s="10">
        <v>447.1</v>
      </c>
      <c r="C986" s="9">
        <v>1046.18</v>
      </c>
      <c r="D986" s="10">
        <v>572.6</v>
      </c>
      <c r="E986" s="11">
        <v>1046.18</v>
      </c>
      <c r="F986" s="12">
        <v>531</v>
      </c>
      <c r="G986" s="11">
        <v>1046.18</v>
      </c>
      <c r="H986" s="12">
        <v>532.6</v>
      </c>
      <c r="I986" s="11">
        <v>1046.18</v>
      </c>
      <c r="J986" s="12">
        <v>548.20000000000005</v>
      </c>
      <c r="K986" s="11">
        <v>1046.18</v>
      </c>
      <c r="L986" s="12">
        <v>592.29999999999995</v>
      </c>
      <c r="M986" s="11">
        <v>1046.18</v>
      </c>
      <c r="N986" s="13">
        <v>447.1</v>
      </c>
      <c r="O986" s="13">
        <v>572.6</v>
      </c>
      <c r="P986" s="13">
        <v>531</v>
      </c>
      <c r="Q986" s="11">
        <v>532.6</v>
      </c>
      <c r="R986" s="11">
        <v>548.20000000000005</v>
      </c>
      <c r="S986" s="14">
        <v>592.29999999999995</v>
      </c>
      <c r="T986" s="11">
        <v>1046.18</v>
      </c>
      <c r="U986" s="13">
        <f>IF('0.0%'!$N986&lt;$Z$3,0, '0.0%'!$O986/'0.0%'!$N986)</f>
        <v>1.2806978304629837</v>
      </c>
      <c r="V986" s="13">
        <f>IF('0.0%'!$N986&lt;$Z$3,0, '0.0%'!$P986/'0.0%'!$N986)</f>
        <v>1.1876537687318274</v>
      </c>
      <c r="W986" s="13">
        <f>IF('0.0%'!$N986&lt;$Z$3,0, '0.0%'!$Q986/'0.0%'!$N986)</f>
        <v>1.1912323864907179</v>
      </c>
      <c r="X986" s="13">
        <f>IF('0.0%'!$N986&lt;$Z$3,0, '0.0%'!$R986/'0.0%'!$N986)</f>
        <v>1.2261239096399017</v>
      </c>
      <c r="Y986" s="13">
        <f>IF('0.0%'!$N986&lt;$Z$3,0, '0.0%'!$S986/'0.0%'!$N986)</f>
        <v>1.3247595616193244</v>
      </c>
    </row>
    <row r="987" spans="1:25" x14ac:dyDescent="0.3">
      <c r="A987" s="17">
        <v>1047.17</v>
      </c>
      <c r="B987" s="10">
        <v>442.3</v>
      </c>
      <c r="C987" s="9">
        <v>1047.17</v>
      </c>
      <c r="D987" s="10">
        <v>565.6</v>
      </c>
      <c r="E987" s="11">
        <v>1047.17</v>
      </c>
      <c r="F987" s="12">
        <v>525.79999999999995</v>
      </c>
      <c r="G987" s="11">
        <v>1047.17</v>
      </c>
      <c r="H987" s="12">
        <v>527.29999999999995</v>
      </c>
      <c r="I987" s="11">
        <v>1047.17</v>
      </c>
      <c r="J987" s="12">
        <v>541.4</v>
      </c>
      <c r="K987" s="11">
        <v>1047.17</v>
      </c>
      <c r="L987" s="12">
        <v>585.5</v>
      </c>
      <c r="M987" s="11">
        <v>1047.17</v>
      </c>
      <c r="N987" s="13">
        <v>442.3</v>
      </c>
      <c r="O987" s="13">
        <v>565.6</v>
      </c>
      <c r="P987" s="13">
        <v>525.79999999999995</v>
      </c>
      <c r="Q987" s="11">
        <v>527.29999999999995</v>
      </c>
      <c r="R987" s="11">
        <v>541.4</v>
      </c>
      <c r="S987" s="14">
        <v>585.5</v>
      </c>
      <c r="T987" s="11">
        <v>1047.17</v>
      </c>
      <c r="U987" s="13">
        <f>IF('0.0%'!$N987&lt;$Z$3,0, '0.0%'!$O987/'0.0%'!$N987)</f>
        <v>1.2787700655663576</v>
      </c>
      <c r="V987" s="13">
        <f>IF('0.0%'!$N987&lt;$Z$3,0, '0.0%'!$P987/'0.0%'!$N987)</f>
        <v>1.1887858919285552</v>
      </c>
      <c r="W987" s="13">
        <f>IF('0.0%'!$N987&lt;$Z$3,0, '0.0%'!$Q987/'0.0%'!$N987)</f>
        <v>1.192177255256613</v>
      </c>
      <c r="X987" s="13">
        <f>IF('0.0%'!$N987&lt;$Z$3,0, '0.0%'!$R987/'0.0%'!$N987)</f>
        <v>1.2240560705403571</v>
      </c>
      <c r="Y987" s="13">
        <f>IF('0.0%'!$N987&lt;$Z$3,0, '0.0%'!$S987/'0.0%'!$N987)</f>
        <v>1.3237621523852587</v>
      </c>
    </row>
    <row r="988" spans="1:25" x14ac:dyDescent="0.3">
      <c r="A988" s="17">
        <v>1048.1600000000001</v>
      </c>
      <c r="B988" s="10">
        <v>437.5</v>
      </c>
      <c r="C988" s="9">
        <v>1048.1600000000001</v>
      </c>
      <c r="D988" s="10">
        <v>558.79999999999995</v>
      </c>
      <c r="E988" s="11">
        <v>1048.1600000000001</v>
      </c>
      <c r="F988" s="12">
        <v>520.70000000000005</v>
      </c>
      <c r="G988" s="11">
        <v>1048.1600000000001</v>
      </c>
      <c r="H988" s="12">
        <v>522</v>
      </c>
      <c r="I988" s="11">
        <v>1048.1600000000001</v>
      </c>
      <c r="J988" s="12">
        <v>534.9</v>
      </c>
      <c r="K988" s="11">
        <v>1048.1600000000001</v>
      </c>
      <c r="L988" s="12">
        <v>579</v>
      </c>
      <c r="M988" s="11">
        <v>1048.1600000000001</v>
      </c>
      <c r="N988" s="13">
        <v>437.5</v>
      </c>
      <c r="O988" s="13">
        <v>558.79999999999995</v>
      </c>
      <c r="P988" s="13">
        <v>520.70000000000005</v>
      </c>
      <c r="Q988" s="11">
        <v>522</v>
      </c>
      <c r="R988" s="11">
        <v>534.9</v>
      </c>
      <c r="S988" s="14">
        <v>579</v>
      </c>
      <c r="T988" s="11">
        <v>1048.1600000000001</v>
      </c>
      <c r="U988" s="13">
        <f>IF('0.0%'!$N988&lt;$Z$3,0, '0.0%'!$O988/'0.0%'!$N988)</f>
        <v>1.2772571428571426</v>
      </c>
      <c r="V988" s="13">
        <f>IF('0.0%'!$N988&lt;$Z$3,0, '0.0%'!$P988/'0.0%'!$N988)</f>
        <v>1.1901714285714287</v>
      </c>
      <c r="W988" s="13">
        <f>IF('0.0%'!$N988&lt;$Z$3,0, '0.0%'!$Q988/'0.0%'!$N988)</f>
        <v>1.1931428571428571</v>
      </c>
      <c r="X988" s="13">
        <f>IF('0.0%'!$N988&lt;$Z$3,0, '0.0%'!$R988/'0.0%'!$N988)</f>
        <v>1.2226285714285714</v>
      </c>
      <c r="Y988" s="13">
        <f>IF('0.0%'!$N988&lt;$Z$3,0, '0.0%'!$S988/'0.0%'!$N988)</f>
        <v>1.3234285714285714</v>
      </c>
    </row>
    <row r="989" spans="1:25" x14ac:dyDescent="0.3">
      <c r="A989" s="17">
        <v>1049.1500000000001</v>
      </c>
      <c r="B989" s="10">
        <v>431.4</v>
      </c>
      <c r="C989" s="9">
        <v>1049.1500000000001</v>
      </c>
      <c r="D989" s="10">
        <v>550.6</v>
      </c>
      <c r="E989" s="11">
        <v>1049.1500000000001</v>
      </c>
      <c r="F989" s="12">
        <v>514.1</v>
      </c>
      <c r="G989" s="11">
        <v>1049.1500000000001</v>
      </c>
      <c r="H989" s="12">
        <v>515.29999999999995</v>
      </c>
      <c r="I989" s="11">
        <v>1049.1500000000001</v>
      </c>
      <c r="J989" s="12">
        <v>527.1</v>
      </c>
      <c r="K989" s="11">
        <v>1049.1500000000001</v>
      </c>
      <c r="L989" s="12">
        <v>571.29999999999995</v>
      </c>
      <c r="M989" s="11">
        <v>1049.1500000000001</v>
      </c>
      <c r="N989" s="13">
        <v>431.4</v>
      </c>
      <c r="O989" s="13">
        <v>550.6</v>
      </c>
      <c r="P989" s="13">
        <v>514.1</v>
      </c>
      <c r="Q989" s="11">
        <v>515.29999999999995</v>
      </c>
      <c r="R989" s="11">
        <v>527.1</v>
      </c>
      <c r="S989" s="14">
        <v>571.29999999999995</v>
      </c>
      <c r="T989" s="11">
        <v>1049.1500000000001</v>
      </c>
      <c r="U989" s="13">
        <f>IF('0.0%'!$N989&lt;$Z$3,0, '0.0%'!$O989/'0.0%'!$N989)</f>
        <v>1.2763096893834029</v>
      </c>
      <c r="V989" s="13">
        <f>IF('0.0%'!$N989&lt;$Z$3,0, '0.0%'!$P989/'0.0%'!$N989)</f>
        <v>1.1917014371812704</v>
      </c>
      <c r="W989" s="13">
        <f>IF('0.0%'!$N989&lt;$Z$3,0, '0.0%'!$Q989/'0.0%'!$N989)</f>
        <v>1.1944830783495595</v>
      </c>
      <c r="X989" s="13">
        <f>IF('0.0%'!$N989&lt;$Z$3,0, '0.0%'!$R989/'0.0%'!$N989)</f>
        <v>1.2218358831710709</v>
      </c>
      <c r="Y989" s="13">
        <f>IF('0.0%'!$N989&lt;$Z$3,0, '0.0%'!$S989/'0.0%'!$N989)</f>
        <v>1.324292999536393</v>
      </c>
    </row>
    <row r="990" spans="1:25" x14ac:dyDescent="0.3">
      <c r="A990" s="17">
        <v>1050.1400000000001</v>
      </c>
      <c r="B990" s="10">
        <v>426.1</v>
      </c>
      <c r="C990" s="9">
        <v>1050.1400000000001</v>
      </c>
      <c r="D990" s="10">
        <v>543.6</v>
      </c>
      <c r="E990" s="11">
        <v>1050.1400000000001</v>
      </c>
      <c r="F990" s="12">
        <v>508.6</v>
      </c>
      <c r="G990" s="11">
        <v>1050.1400000000001</v>
      </c>
      <c r="H990" s="12">
        <v>509.4</v>
      </c>
      <c r="I990" s="11">
        <v>1050.1400000000001</v>
      </c>
      <c r="J990" s="12">
        <v>520.29999999999995</v>
      </c>
      <c r="K990" s="11">
        <v>1050.1400000000001</v>
      </c>
      <c r="L990" s="12">
        <v>564.9</v>
      </c>
      <c r="M990" s="11">
        <v>1050.1400000000001</v>
      </c>
      <c r="N990" s="13">
        <v>426.1</v>
      </c>
      <c r="O990" s="13">
        <v>543.6</v>
      </c>
      <c r="P990" s="13">
        <v>508.6</v>
      </c>
      <c r="Q990" s="11">
        <v>509.4</v>
      </c>
      <c r="R990" s="11">
        <v>520.29999999999995</v>
      </c>
      <c r="S990" s="14">
        <v>564.9</v>
      </c>
      <c r="T990" s="11">
        <v>1050.1400000000001</v>
      </c>
      <c r="U990" s="13">
        <f>IF('0.0%'!$N990&lt;$Z$3,0, '0.0%'!$O990/'0.0%'!$N990)</f>
        <v>1.275756864585778</v>
      </c>
      <c r="V990" s="13">
        <f>IF('0.0%'!$N990&lt;$Z$3,0, '0.0%'!$P990/'0.0%'!$N990)</f>
        <v>1.1936165219432058</v>
      </c>
      <c r="W990" s="13">
        <f>IF('0.0%'!$N990&lt;$Z$3,0, '0.0%'!$Q990/'0.0%'!$N990)</f>
        <v>1.1954940154893217</v>
      </c>
      <c r="X990" s="13">
        <f>IF('0.0%'!$N990&lt;$Z$3,0, '0.0%'!$R990/'0.0%'!$N990)</f>
        <v>1.2210748650551513</v>
      </c>
      <c r="Y990" s="13">
        <f>IF('0.0%'!$N990&lt;$Z$3,0, '0.0%'!$S990/'0.0%'!$N990)</f>
        <v>1.3257451302511147</v>
      </c>
    </row>
    <row r="991" spans="1:25" x14ac:dyDescent="0.3">
      <c r="A991" s="17">
        <v>1051.1400000000001</v>
      </c>
      <c r="B991" s="10">
        <v>419.9</v>
      </c>
      <c r="C991" s="9">
        <v>1051.1400000000001</v>
      </c>
      <c r="D991" s="10">
        <v>535.70000000000005</v>
      </c>
      <c r="E991" s="11">
        <v>1051.1400000000001</v>
      </c>
      <c r="F991" s="12">
        <v>501.9</v>
      </c>
      <c r="G991" s="11">
        <v>1051.1400000000001</v>
      </c>
      <c r="H991" s="12">
        <v>502.5</v>
      </c>
      <c r="I991" s="11">
        <v>1051.1400000000001</v>
      </c>
      <c r="J991" s="12">
        <v>512.6</v>
      </c>
      <c r="K991" s="11">
        <v>1051.1400000000001</v>
      </c>
      <c r="L991" s="12">
        <v>557.4</v>
      </c>
      <c r="M991" s="11">
        <v>1051.1400000000001</v>
      </c>
      <c r="N991" s="13">
        <v>419.9</v>
      </c>
      <c r="O991" s="13">
        <v>535.70000000000005</v>
      </c>
      <c r="P991" s="13">
        <v>501.9</v>
      </c>
      <c r="Q991" s="11">
        <v>502.5</v>
      </c>
      <c r="R991" s="11">
        <v>512.6</v>
      </c>
      <c r="S991" s="14">
        <v>557.4</v>
      </c>
      <c r="T991" s="11">
        <v>1051.1400000000001</v>
      </c>
      <c r="U991" s="13">
        <f>IF('0.0%'!$N991&lt;$Z$3,0, '0.0%'!$O991/'0.0%'!$N991)</f>
        <v>1.2757799476065732</v>
      </c>
      <c r="V991" s="13">
        <f>IF('0.0%'!$N991&lt;$Z$3,0, '0.0%'!$P991/'0.0%'!$N991)</f>
        <v>1.1952845915694212</v>
      </c>
      <c r="W991" s="13">
        <f>IF('0.0%'!$N991&lt;$Z$3,0, '0.0%'!$Q991/'0.0%'!$N991)</f>
        <v>1.1967135032150513</v>
      </c>
      <c r="X991" s="13">
        <f>IF('0.0%'!$N991&lt;$Z$3,0, '0.0%'!$R991/'0.0%'!$N991)</f>
        <v>1.2207668492498216</v>
      </c>
      <c r="Y991" s="13">
        <f>IF('0.0%'!$N991&lt;$Z$3,0, '0.0%'!$S991/'0.0%'!$N991)</f>
        <v>1.3274589187901882</v>
      </c>
    </row>
    <row r="992" spans="1:25" x14ac:dyDescent="0.3">
      <c r="A992" s="17">
        <v>1052.1300000000001</v>
      </c>
      <c r="B992" s="10">
        <v>414.6</v>
      </c>
      <c r="C992" s="9">
        <v>1052.1300000000001</v>
      </c>
      <c r="D992" s="10">
        <v>529</v>
      </c>
      <c r="E992" s="11">
        <v>1052.1300000000001</v>
      </c>
      <c r="F992" s="12">
        <v>496.4</v>
      </c>
      <c r="G992" s="11">
        <v>1052.1300000000001</v>
      </c>
      <c r="H992" s="12">
        <v>496.8</v>
      </c>
      <c r="I992" s="11">
        <v>1052.1300000000001</v>
      </c>
      <c r="J992" s="12">
        <v>506.2</v>
      </c>
      <c r="K992" s="11">
        <v>1052.1300000000001</v>
      </c>
      <c r="L992" s="12">
        <v>551.29999999999995</v>
      </c>
      <c r="M992" s="11">
        <v>1052.1300000000001</v>
      </c>
      <c r="N992" s="13">
        <v>414.6</v>
      </c>
      <c r="O992" s="13">
        <v>529</v>
      </c>
      <c r="P992" s="13">
        <v>496.4</v>
      </c>
      <c r="Q992" s="11">
        <v>496.8</v>
      </c>
      <c r="R992" s="11">
        <v>506.2</v>
      </c>
      <c r="S992" s="14">
        <v>551.29999999999995</v>
      </c>
      <c r="T992" s="11">
        <v>1052.1300000000001</v>
      </c>
      <c r="U992" s="13">
        <f>IF('0.0%'!$N992&lt;$Z$3,0, '0.0%'!$O992/'0.0%'!$N992)</f>
        <v>1.2759286058851904</v>
      </c>
      <c r="V992" s="13">
        <f>IF('0.0%'!$N992&lt;$Z$3,0, '0.0%'!$P992/'0.0%'!$N992)</f>
        <v>1.1972986010612638</v>
      </c>
      <c r="W992" s="13">
        <f>IF('0.0%'!$N992&lt;$Z$3,0, '0.0%'!$Q992/'0.0%'!$N992)</f>
        <v>1.1982633863965266</v>
      </c>
      <c r="X992" s="13">
        <f>IF('0.0%'!$N992&lt;$Z$3,0, '0.0%'!$R992/'0.0%'!$N992)</f>
        <v>1.220935841775205</v>
      </c>
      <c r="Y992" s="13">
        <f>IF('0.0%'!$N992&lt;$Z$3,0, '0.0%'!$S992/'0.0%'!$N992)</f>
        <v>1.3297153883260973</v>
      </c>
    </row>
    <row r="993" spans="1:25" x14ac:dyDescent="0.3">
      <c r="A993" s="17">
        <v>1053.1199999999999</v>
      </c>
      <c r="B993" s="10">
        <v>408.8</v>
      </c>
      <c r="C993" s="9">
        <v>1053.1199999999999</v>
      </c>
      <c r="D993" s="10">
        <v>521.9</v>
      </c>
      <c r="E993" s="11">
        <v>1053.1199999999999</v>
      </c>
      <c r="F993" s="12">
        <v>490.2</v>
      </c>
      <c r="G993" s="11">
        <v>1053.1199999999999</v>
      </c>
      <c r="H993" s="12">
        <v>490.5</v>
      </c>
      <c r="I993" s="11">
        <v>1053.1199999999999</v>
      </c>
      <c r="J993" s="12">
        <v>499.3</v>
      </c>
      <c r="K993" s="11">
        <v>1053.1199999999999</v>
      </c>
      <c r="L993" s="12">
        <v>544.70000000000005</v>
      </c>
      <c r="M993" s="11">
        <v>1053.1199999999999</v>
      </c>
      <c r="N993" s="13">
        <v>408.8</v>
      </c>
      <c r="O993" s="13">
        <v>521.9</v>
      </c>
      <c r="P993" s="13">
        <v>490.2</v>
      </c>
      <c r="Q993" s="11">
        <v>490.5</v>
      </c>
      <c r="R993" s="11">
        <v>499.3</v>
      </c>
      <c r="S993" s="14">
        <v>544.70000000000005</v>
      </c>
      <c r="T993" s="11">
        <v>1053.1199999999999</v>
      </c>
      <c r="U993" s="13">
        <f>IF('0.0%'!$N993&lt;$Z$3,0, '0.0%'!$O993/'0.0%'!$N993)</f>
        <v>1.2766634050880625</v>
      </c>
      <c r="V993" s="13">
        <f>IF('0.0%'!$N993&lt;$Z$3,0, '0.0%'!$P993/'0.0%'!$N993)</f>
        <v>1.1991193737769079</v>
      </c>
      <c r="W993" s="13">
        <f>IF('0.0%'!$N993&lt;$Z$3,0, '0.0%'!$Q993/'0.0%'!$N993)</f>
        <v>1.1998532289628179</v>
      </c>
      <c r="X993" s="13">
        <f>IF('0.0%'!$N993&lt;$Z$3,0, '0.0%'!$R993/'0.0%'!$N993)</f>
        <v>1.2213796477495107</v>
      </c>
      <c r="Y993" s="13">
        <f>IF('0.0%'!$N993&lt;$Z$3,0, '0.0%'!$S993/'0.0%'!$N993)</f>
        <v>1.3324363992172212</v>
      </c>
    </row>
    <row r="994" spans="1:25" x14ac:dyDescent="0.3">
      <c r="A994" s="17">
        <v>1054.1099999999999</v>
      </c>
      <c r="B994" s="10">
        <v>404.1</v>
      </c>
      <c r="C994" s="9">
        <v>1054.1099999999999</v>
      </c>
      <c r="D994" s="10">
        <v>516.1</v>
      </c>
      <c r="E994" s="11">
        <v>1054.1099999999999</v>
      </c>
      <c r="F994" s="12">
        <v>485.3</v>
      </c>
      <c r="G994" s="11">
        <v>1054.1099999999999</v>
      </c>
      <c r="H994" s="12">
        <v>485.3</v>
      </c>
      <c r="I994" s="11">
        <v>1054.1099999999999</v>
      </c>
      <c r="J994" s="12">
        <v>493.6</v>
      </c>
      <c r="K994" s="11">
        <v>1054.1099999999999</v>
      </c>
      <c r="L994" s="12">
        <v>539.20000000000005</v>
      </c>
      <c r="M994" s="11">
        <v>1054.1099999999999</v>
      </c>
      <c r="N994" s="13">
        <v>404.1</v>
      </c>
      <c r="O994" s="13">
        <v>516.1</v>
      </c>
      <c r="P994" s="13">
        <v>485.3</v>
      </c>
      <c r="Q994" s="11">
        <v>485.3</v>
      </c>
      <c r="R994" s="11">
        <v>493.6</v>
      </c>
      <c r="S994" s="14">
        <v>539.20000000000005</v>
      </c>
      <c r="T994" s="11">
        <v>1054.1099999999999</v>
      </c>
      <c r="U994" s="13">
        <f>IF('0.0%'!$N994&lt;$Z$3,0, '0.0%'!$O994/'0.0%'!$N994)</f>
        <v>1.2771591190299432</v>
      </c>
      <c r="V994" s="13">
        <f>IF('0.0%'!$N994&lt;$Z$3,0, '0.0%'!$P994/'0.0%'!$N994)</f>
        <v>1.2009403612967087</v>
      </c>
      <c r="W994" s="13">
        <f>IF('0.0%'!$N994&lt;$Z$3,0, '0.0%'!$Q994/'0.0%'!$N994)</f>
        <v>1.2009403612967087</v>
      </c>
      <c r="X994" s="13">
        <f>IF('0.0%'!$N994&lt;$Z$3,0, '0.0%'!$R994/'0.0%'!$N994)</f>
        <v>1.2214798317248206</v>
      </c>
      <c r="Y994" s="13">
        <f>IF('0.0%'!$N994&lt;$Z$3,0, '0.0%'!$S994/'0.0%'!$N994)</f>
        <v>1.3343231873298689</v>
      </c>
    </row>
    <row r="995" spans="1:25" x14ac:dyDescent="0.3">
      <c r="A995" s="17">
        <v>1055.0999999999999</v>
      </c>
      <c r="B995" s="10">
        <v>398.9</v>
      </c>
      <c r="C995" s="9">
        <v>1055.0999999999999</v>
      </c>
      <c r="D995" s="10">
        <v>509.8</v>
      </c>
      <c r="E995" s="11">
        <v>1055.0999999999999</v>
      </c>
      <c r="F995" s="12">
        <v>479.7</v>
      </c>
      <c r="G995" s="11">
        <v>1055.0999999999999</v>
      </c>
      <c r="H995" s="12">
        <v>479.7</v>
      </c>
      <c r="I995" s="11">
        <v>1055.0999999999999</v>
      </c>
      <c r="J995" s="12">
        <v>487.5</v>
      </c>
      <c r="K995" s="11">
        <v>1055.0999999999999</v>
      </c>
      <c r="L995" s="12">
        <v>533.1</v>
      </c>
      <c r="M995" s="11">
        <v>1055.0999999999999</v>
      </c>
      <c r="N995" s="13">
        <v>398.9</v>
      </c>
      <c r="O995" s="13">
        <v>509.8</v>
      </c>
      <c r="P995" s="13">
        <v>479.7</v>
      </c>
      <c r="Q995" s="11">
        <v>479.7</v>
      </c>
      <c r="R995" s="11">
        <v>487.5</v>
      </c>
      <c r="S995" s="14">
        <v>533.1</v>
      </c>
      <c r="T995" s="11">
        <v>1055.0999999999999</v>
      </c>
      <c r="U995" s="13">
        <f>IF('0.0%'!$N995&lt;$Z$3,0, '0.0%'!$O995/'0.0%'!$N995)</f>
        <v>1.2780145399849587</v>
      </c>
      <c r="V995" s="13">
        <f>IF('0.0%'!$N995&lt;$Z$3,0, '0.0%'!$P995/'0.0%'!$N995)</f>
        <v>1.2025570318375534</v>
      </c>
      <c r="W995" s="13">
        <f>IF('0.0%'!$N995&lt;$Z$3,0, '0.0%'!$Q995/'0.0%'!$N995)</f>
        <v>1.2025570318375534</v>
      </c>
      <c r="X995" s="13">
        <f>IF('0.0%'!$N995&lt;$Z$3,0, '0.0%'!$R995/'0.0%'!$N995)</f>
        <v>1.2221108047129607</v>
      </c>
      <c r="Y995" s="13">
        <f>IF('0.0%'!$N995&lt;$Z$3,0, '0.0%'!$S995/'0.0%'!$N995)</f>
        <v>1.3364251692153424</v>
      </c>
    </row>
    <row r="996" spans="1:25" x14ac:dyDescent="0.3">
      <c r="A996" s="17">
        <v>1056.0899999999999</v>
      </c>
      <c r="B996" s="10">
        <v>394.9</v>
      </c>
      <c r="C996" s="9">
        <v>1056.0899999999999</v>
      </c>
      <c r="D996" s="10">
        <v>504.8</v>
      </c>
      <c r="E996" s="11">
        <v>1056.0899999999999</v>
      </c>
      <c r="F996" s="12">
        <v>475.2</v>
      </c>
      <c r="G996" s="11">
        <v>1056.0899999999999</v>
      </c>
      <c r="H996" s="12">
        <v>475.3</v>
      </c>
      <c r="I996" s="11">
        <v>1056.0899999999999</v>
      </c>
      <c r="J996" s="12">
        <v>482.6</v>
      </c>
      <c r="K996" s="11">
        <v>1056.0899999999999</v>
      </c>
      <c r="L996" s="12">
        <v>528.29999999999995</v>
      </c>
      <c r="M996" s="11">
        <v>1056.0899999999999</v>
      </c>
      <c r="N996" s="13">
        <v>394.9</v>
      </c>
      <c r="O996" s="13">
        <v>504.8</v>
      </c>
      <c r="P996" s="13">
        <v>475.2</v>
      </c>
      <c r="Q996" s="11">
        <v>475.3</v>
      </c>
      <c r="R996" s="11">
        <v>482.6</v>
      </c>
      <c r="S996" s="14">
        <v>528.29999999999995</v>
      </c>
      <c r="T996" s="11">
        <v>1056.0899999999999</v>
      </c>
      <c r="U996" s="13">
        <f>IF('0.0%'!$N996&lt;$Z$3,0, '0.0%'!$O996/'0.0%'!$N996)</f>
        <v>1.2782983033679414</v>
      </c>
      <c r="V996" s="13">
        <f>IF('0.0%'!$N996&lt;$Z$3,0, '0.0%'!$P996/'0.0%'!$N996)</f>
        <v>1.2033426183844012</v>
      </c>
      <c r="W996" s="13">
        <f>IF('0.0%'!$N996&lt;$Z$3,0, '0.0%'!$Q996/'0.0%'!$N996)</f>
        <v>1.2035958470498862</v>
      </c>
      <c r="X996" s="13">
        <f>IF('0.0%'!$N996&lt;$Z$3,0, '0.0%'!$R996/'0.0%'!$N996)</f>
        <v>1.2220815396302862</v>
      </c>
      <c r="Y996" s="13">
        <f>IF('0.0%'!$N996&lt;$Z$3,0, '0.0%'!$S996/'0.0%'!$N996)</f>
        <v>1.3378070397569004</v>
      </c>
    </row>
    <row r="997" spans="1:25" x14ac:dyDescent="0.3">
      <c r="A997" s="17">
        <v>1057.0899999999999</v>
      </c>
      <c r="B997" s="10">
        <v>390.6</v>
      </c>
      <c r="C997" s="9">
        <v>1057.0899999999999</v>
      </c>
      <c r="D997" s="10">
        <v>499.5</v>
      </c>
      <c r="E997" s="11">
        <v>1057.0899999999999</v>
      </c>
      <c r="F997" s="12">
        <v>470.4</v>
      </c>
      <c r="G997" s="11">
        <v>1057.0899999999999</v>
      </c>
      <c r="H997" s="12">
        <v>470.5</v>
      </c>
      <c r="I997" s="11">
        <v>1057.0899999999999</v>
      </c>
      <c r="J997" s="12">
        <v>477.4</v>
      </c>
      <c r="K997" s="11">
        <v>1057.0899999999999</v>
      </c>
      <c r="L997" s="12">
        <v>523.1</v>
      </c>
      <c r="M997" s="11">
        <v>1057.0899999999999</v>
      </c>
      <c r="N997" s="13">
        <v>390.6</v>
      </c>
      <c r="O997" s="13">
        <v>499.5</v>
      </c>
      <c r="P997" s="13">
        <v>470.4</v>
      </c>
      <c r="Q997" s="11">
        <v>470.5</v>
      </c>
      <c r="R997" s="11">
        <v>477.4</v>
      </c>
      <c r="S997" s="14">
        <v>523.1</v>
      </c>
      <c r="T997" s="11">
        <v>1057.0899999999999</v>
      </c>
      <c r="U997" s="13">
        <f>IF('0.0%'!$N997&lt;$Z$3,0, '0.0%'!$O997/'0.0%'!$N997)</f>
        <v>1.2788018433179722</v>
      </c>
      <c r="V997" s="13">
        <f>IF('0.0%'!$N997&lt;$Z$3,0, '0.0%'!$P997/'0.0%'!$N997)</f>
        <v>1.204301075268817</v>
      </c>
      <c r="W997" s="13">
        <f>IF('0.0%'!$N997&lt;$Z$3,0, '0.0%'!$Q997/'0.0%'!$N997)</f>
        <v>1.2045570916538657</v>
      </c>
      <c r="X997" s="13">
        <f>IF('0.0%'!$N997&lt;$Z$3,0, '0.0%'!$R997/'0.0%'!$N997)</f>
        <v>1.2222222222222221</v>
      </c>
      <c r="Y997" s="13">
        <f>IF('0.0%'!$N997&lt;$Z$3,0, '0.0%'!$S997/'0.0%'!$N997)</f>
        <v>1.3392217101894521</v>
      </c>
    </row>
    <row r="998" spans="1:25" x14ac:dyDescent="0.3">
      <c r="A998" s="17">
        <v>1058.08</v>
      </c>
      <c r="B998" s="10">
        <v>387.5</v>
      </c>
      <c r="C998" s="9">
        <v>1058.08</v>
      </c>
      <c r="D998" s="10">
        <v>495.6</v>
      </c>
      <c r="E998" s="11">
        <v>1058.08</v>
      </c>
      <c r="F998" s="12">
        <v>466.9</v>
      </c>
      <c r="G998" s="11">
        <v>1058.08</v>
      </c>
      <c r="H998" s="12">
        <v>467.1</v>
      </c>
      <c r="I998" s="11">
        <v>1058.08</v>
      </c>
      <c r="J998" s="12">
        <v>473.6</v>
      </c>
      <c r="K998" s="11">
        <v>1058.08</v>
      </c>
      <c r="L998" s="12">
        <v>519.29999999999995</v>
      </c>
      <c r="M998" s="11">
        <v>1058.08</v>
      </c>
      <c r="N998" s="13">
        <v>387.5</v>
      </c>
      <c r="O998" s="13">
        <v>495.6</v>
      </c>
      <c r="P998" s="13">
        <v>466.9</v>
      </c>
      <c r="Q998" s="11">
        <v>467.1</v>
      </c>
      <c r="R998" s="11">
        <v>473.6</v>
      </c>
      <c r="S998" s="14">
        <v>519.29999999999995</v>
      </c>
      <c r="T998" s="11">
        <v>1058.08</v>
      </c>
      <c r="U998" s="13">
        <f>IF('0.0%'!$N998&lt;$Z$3,0, '0.0%'!$O998/'0.0%'!$N998)</f>
        <v>1.2789677419354839</v>
      </c>
      <c r="V998" s="13">
        <f>IF('0.0%'!$N998&lt;$Z$3,0, '0.0%'!$P998/'0.0%'!$N998)</f>
        <v>1.2049032258064516</v>
      </c>
      <c r="W998" s="13">
        <f>IF('0.0%'!$N998&lt;$Z$3,0, '0.0%'!$Q998/'0.0%'!$N998)</f>
        <v>1.2054193548387098</v>
      </c>
      <c r="X998" s="13">
        <f>IF('0.0%'!$N998&lt;$Z$3,0, '0.0%'!$R998/'0.0%'!$N998)</f>
        <v>1.2221935483870969</v>
      </c>
      <c r="Y998" s="13">
        <f>IF('0.0%'!$N998&lt;$Z$3,0, '0.0%'!$S998/'0.0%'!$N998)</f>
        <v>1.3401290322580643</v>
      </c>
    </row>
    <row r="999" spans="1:25" x14ac:dyDescent="0.3">
      <c r="A999" s="17">
        <v>1059.07</v>
      </c>
      <c r="B999" s="10">
        <v>384.3</v>
      </c>
      <c r="C999" s="9">
        <v>1059.07</v>
      </c>
      <c r="D999" s="10">
        <v>491.5</v>
      </c>
      <c r="E999" s="11">
        <v>1059.07</v>
      </c>
      <c r="F999" s="12">
        <v>463.2</v>
      </c>
      <c r="G999" s="11">
        <v>1059.07</v>
      </c>
      <c r="H999" s="12">
        <v>463.5</v>
      </c>
      <c r="I999" s="11">
        <v>1059.07</v>
      </c>
      <c r="J999" s="12">
        <v>469.7</v>
      </c>
      <c r="K999" s="11">
        <v>1059.07</v>
      </c>
      <c r="L999" s="12">
        <v>515.29999999999995</v>
      </c>
      <c r="M999" s="11">
        <v>1059.07</v>
      </c>
      <c r="N999" s="13">
        <v>384.3</v>
      </c>
      <c r="O999" s="13">
        <v>491.5</v>
      </c>
      <c r="P999" s="13">
        <v>463.2</v>
      </c>
      <c r="Q999" s="11">
        <v>463.5</v>
      </c>
      <c r="R999" s="11">
        <v>469.7</v>
      </c>
      <c r="S999" s="14">
        <v>515.29999999999995</v>
      </c>
      <c r="T999" s="11">
        <v>1059.07</v>
      </c>
      <c r="U999" s="13">
        <f>IF('0.0%'!$N999&lt;$Z$3,0, '0.0%'!$O999/'0.0%'!$N999)</f>
        <v>1.2789487379651314</v>
      </c>
      <c r="V999" s="13">
        <f>IF('0.0%'!$N999&lt;$Z$3,0, '0.0%'!$P999/'0.0%'!$N999)</f>
        <v>1.2053083528493365</v>
      </c>
      <c r="W999" s="13">
        <f>IF('0.0%'!$N999&lt;$Z$3,0, '0.0%'!$Q999/'0.0%'!$N999)</f>
        <v>1.2060889929742389</v>
      </c>
      <c r="X999" s="13">
        <f>IF('0.0%'!$N999&lt;$Z$3,0, '0.0%'!$R999/'0.0%'!$N999)</f>
        <v>1.2222222222222221</v>
      </c>
      <c r="Y999" s="13">
        <f>IF('0.0%'!$N999&lt;$Z$3,0, '0.0%'!$S999/'0.0%'!$N999)</f>
        <v>1.3408795212073898</v>
      </c>
    </row>
    <row r="1000" spans="1:25" x14ac:dyDescent="0.3">
      <c r="A1000" s="17">
        <v>1060.06</v>
      </c>
      <c r="B1000" s="10">
        <v>382.2</v>
      </c>
      <c r="C1000" s="9">
        <v>1060.06</v>
      </c>
      <c r="D1000" s="10">
        <v>488.7</v>
      </c>
      <c r="E1000" s="11">
        <v>1060.06</v>
      </c>
      <c r="F1000" s="12">
        <v>460.7</v>
      </c>
      <c r="G1000" s="11">
        <v>1060.06</v>
      </c>
      <c r="H1000" s="12">
        <v>461</v>
      </c>
      <c r="I1000" s="11">
        <v>1060.06</v>
      </c>
      <c r="J1000" s="12">
        <v>467</v>
      </c>
      <c r="K1000" s="11">
        <v>1060.06</v>
      </c>
      <c r="L1000" s="12">
        <v>512.6</v>
      </c>
      <c r="M1000" s="11">
        <v>1060.06</v>
      </c>
      <c r="N1000" s="13">
        <v>382.2</v>
      </c>
      <c r="O1000" s="13">
        <v>488.7</v>
      </c>
      <c r="P1000" s="13">
        <v>460.7</v>
      </c>
      <c r="Q1000" s="11">
        <v>461</v>
      </c>
      <c r="R1000" s="11">
        <v>467</v>
      </c>
      <c r="S1000" s="14">
        <v>512.6</v>
      </c>
      <c r="T1000" s="11">
        <v>1060.06</v>
      </c>
      <c r="U1000" s="13">
        <f>IF('0.0%'!$N1000&lt;$Z$3,0, '0.0%'!$O1000/'0.0%'!$N1000)</f>
        <v>1.2786499215070644</v>
      </c>
      <c r="V1000" s="13">
        <f>IF('0.0%'!$N1000&lt;$Z$3,0, '0.0%'!$P1000/'0.0%'!$N1000)</f>
        <v>1.2053898482469911</v>
      </c>
      <c r="W1000" s="13">
        <f>IF('0.0%'!$N1000&lt;$Z$3,0, '0.0%'!$Q1000/'0.0%'!$N1000)</f>
        <v>1.2061747776033491</v>
      </c>
      <c r="X1000" s="13">
        <f>IF('0.0%'!$N1000&lt;$Z$3,0, '0.0%'!$R1000/'0.0%'!$N1000)</f>
        <v>1.2218733647305076</v>
      </c>
      <c r="Y1000" s="13">
        <f>IF('0.0%'!$N1000&lt;$Z$3,0, '0.0%'!$S1000/'0.0%'!$N1000)</f>
        <v>1.3411826268969127</v>
      </c>
    </row>
    <row r="1001" spans="1:25" x14ac:dyDescent="0.3">
      <c r="A1001" s="17">
        <v>1061.05</v>
      </c>
      <c r="B1001" s="10">
        <v>379.7</v>
      </c>
      <c r="C1001" s="9">
        <v>1061.05</v>
      </c>
      <c r="D1001" s="10">
        <v>485.7</v>
      </c>
      <c r="E1001" s="11">
        <v>1061.05</v>
      </c>
      <c r="F1001" s="12">
        <v>457.9</v>
      </c>
      <c r="G1001" s="11">
        <v>1061.05</v>
      </c>
      <c r="H1001" s="12">
        <v>458.3</v>
      </c>
      <c r="I1001" s="11">
        <v>1061.05</v>
      </c>
      <c r="J1001" s="12">
        <v>464</v>
      </c>
      <c r="K1001" s="11">
        <v>1061.05</v>
      </c>
      <c r="L1001" s="12">
        <v>509.5</v>
      </c>
      <c r="M1001" s="11">
        <v>1061.05</v>
      </c>
      <c r="N1001" s="13">
        <v>379.7</v>
      </c>
      <c r="O1001" s="13">
        <v>485.7</v>
      </c>
      <c r="P1001" s="13">
        <v>457.9</v>
      </c>
      <c r="Q1001" s="11">
        <v>458.3</v>
      </c>
      <c r="R1001" s="11">
        <v>464</v>
      </c>
      <c r="S1001" s="14">
        <v>509.5</v>
      </c>
      <c r="T1001" s="11">
        <v>1061.05</v>
      </c>
      <c r="U1001" s="13">
        <f>IF('0.0%'!$N1001&lt;$Z$3,0, '0.0%'!$O1001/'0.0%'!$N1001)</f>
        <v>1.2791677640242296</v>
      </c>
      <c r="V1001" s="13">
        <f>IF('0.0%'!$N1001&lt;$Z$3,0, '0.0%'!$P1001/'0.0%'!$N1001)</f>
        <v>1.2059520674216486</v>
      </c>
      <c r="W1001" s="13">
        <f>IF('0.0%'!$N1001&lt;$Z$3,0, '0.0%'!$Q1001/'0.0%'!$N1001)</f>
        <v>1.2070055306821175</v>
      </c>
      <c r="X1001" s="13">
        <f>IF('0.0%'!$N1001&lt;$Z$3,0, '0.0%'!$R1001/'0.0%'!$N1001)</f>
        <v>1.2220173821437978</v>
      </c>
      <c r="Y1001" s="13">
        <f>IF('0.0%'!$N1001&lt;$Z$3,0, '0.0%'!$S1001/'0.0%'!$N1001)</f>
        <v>1.3418488280221228</v>
      </c>
    </row>
    <row r="1002" spans="1:25" x14ac:dyDescent="0.3">
      <c r="A1002" s="17">
        <v>1062.05</v>
      </c>
      <c r="B1002" s="10">
        <v>378</v>
      </c>
      <c r="C1002" s="9">
        <v>1062.05</v>
      </c>
      <c r="D1002" s="10">
        <v>483.6</v>
      </c>
      <c r="E1002" s="11">
        <v>1062.05</v>
      </c>
      <c r="F1002" s="12">
        <v>456</v>
      </c>
      <c r="G1002" s="11">
        <v>1062.05</v>
      </c>
      <c r="H1002" s="12">
        <v>456.5</v>
      </c>
      <c r="I1002" s="11">
        <v>1062.05</v>
      </c>
      <c r="J1002" s="12">
        <v>461.9</v>
      </c>
      <c r="K1002" s="11">
        <v>1062.05</v>
      </c>
      <c r="L1002" s="12">
        <v>507.5</v>
      </c>
      <c r="M1002" s="11">
        <v>1062.05</v>
      </c>
      <c r="N1002" s="13">
        <v>378</v>
      </c>
      <c r="O1002" s="13">
        <v>483.6</v>
      </c>
      <c r="P1002" s="13">
        <v>456</v>
      </c>
      <c r="Q1002" s="11">
        <v>456.5</v>
      </c>
      <c r="R1002" s="11">
        <v>461.9</v>
      </c>
      <c r="S1002" s="14">
        <v>507.5</v>
      </c>
      <c r="T1002" s="11">
        <v>1062.05</v>
      </c>
      <c r="U1002" s="13">
        <f>IF('0.0%'!$N1002&lt;$Z$3,0, '0.0%'!$O1002/'0.0%'!$N1002)</f>
        <v>1.2793650793650795</v>
      </c>
      <c r="V1002" s="13">
        <f>IF('0.0%'!$N1002&lt;$Z$3,0, '0.0%'!$P1002/'0.0%'!$N1002)</f>
        <v>1.2063492063492063</v>
      </c>
      <c r="W1002" s="13">
        <f>IF('0.0%'!$N1002&lt;$Z$3,0, '0.0%'!$Q1002/'0.0%'!$N1002)</f>
        <v>1.2076719576719577</v>
      </c>
      <c r="X1002" s="13">
        <f>IF('0.0%'!$N1002&lt;$Z$3,0, '0.0%'!$R1002/'0.0%'!$N1002)</f>
        <v>1.2219576719576719</v>
      </c>
      <c r="Y1002" s="13">
        <f>IF('0.0%'!$N1002&lt;$Z$3,0, '0.0%'!$S1002/'0.0%'!$N1002)</f>
        <v>1.3425925925925926</v>
      </c>
    </row>
    <row r="1003" spans="1:25" x14ac:dyDescent="0.3">
      <c r="A1003" s="17">
        <v>1063.04</v>
      </c>
      <c r="B1003" s="10">
        <v>375.7</v>
      </c>
      <c r="C1003" s="9">
        <v>1063.04</v>
      </c>
      <c r="D1003" s="10">
        <v>480.9</v>
      </c>
      <c r="E1003" s="11">
        <v>1063.04</v>
      </c>
      <c r="F1003" s="12">
        <v>453.2</v>
      </c>
      <c r="G1003" s="11">
        <v>1063.04</v>
      </c>
      <c r="H1003" s="12">
        <v>453.9</v>
      </c>
      <c r="I1003" s="11">
        <v>1063.04</v>
      </c>
      <c r="J1003" s="12">
        <v>459</v>
      </c>
      <c r="K1003" s="11">
        <v>1063.04</v>
      </c>
      <c r="L1003" s="12">
        <v>504.5</v>
      </c>
      <c r="M1003" s="11">
        <v>1063.04</v>
      </c>
      <c r="N1003" s="13">
        <v>375.7</v>
      </c>
      <c r="O1003" s="13">
        <v>480.9</v>
      </c>
      <c r="P1003" s="13">
        <v>453.2</v>
      </c>
      <c r="Q1003" s="11">
        <v>453.9</v>
      </c>
      <c r="R1003" s="11">
        <v>459</v>
      </c>
      <c r="S1003" s="14">
        <v>504.5</v>
      </c>
      <c r="T1003" s="11">
        <v>1063.04</v>
      </c>
      <c r="U1003" s="13">
        <f>IF('0.0%'!$N1003&lt;$Z$3,0, '0.0%'!$O1003/'0.0%'!$N1003)</f>
        <v>1.2800106467926538</v>
      </c>
      <c r="V1003" s="13">
        <f>IF('0.0%'!$N1003&lt;$Z$3,0, '0.0%'!$P1003/'0.0%'!$N1003)</f>
        <v>1.2062816076656908</v>
      </c>
      <c r="W1003" s="13">
        <f>IF('0.0%'!$N1003&lt;$Z$3,0, '0.0%'!$Q1003/'0.0%'!$N1003)</f>
        <v>1.2081447963800904</v>
      </c>
      <c r="X1003" s="13">
        <f>IF('0.0%'!$N1003&lt;$Z$3,0, '0.0%'!$R1003/'0.0%'!$N1003)</f>
        <v>1.2217194570135748</v>
      </c>
      <c r="Y1003" s="13">
        <f>IF('0.0%'!$N1003&lt;$Z$3,0, '0.0%'!$S1003/'0.0%'!$N1003)</f>
        <v>1.3428267234495608</v>
      </c>
    </row>
    <row r="1004" spans="1:25" x14ac:dyDescent="0.3">
      <c r="A1004" s="17">
        <v>1064.03</v>
      </c>
      <c r="B1004" s="10">
        <v>374</v>
      </c>
      <c r="C1004" s="9">
        <v>1064.03</v>
      </c>
      <c r="D1004" s="10">
        <v>478.7</v>
      </c>
      <c r="E1004" s="11">
        <v>1064.03</v>
      </c>
      <c r="F1004" s="12">
        <v>451.2</v>
      </c>
      <c r="G1004" s="11">
        <v>1064.03</v>
      </c>
      <c r="H1004" s="12">
        <v>451.9</v>
      </c>
      <c r="I1004" s="11">
        <v>1064.03</v>
      </c>
      <c r="J1004" s="12">
        <v>456.8</v>
      </c>
      <c r="K1004" s="11">
        <v>1064.03</v>
      </c>
      <c r="L1004" s="12">
        <v>502.3</v>
      </c>
      <c r="M1004" s="11">
        <v>1064.03</v>
      </c>
      <c r="N1004" s="13">
        <v>374</v>
      </c>
      <c r="O1004" s="13">
        <v>478.7</v>
      </c>
      <c r="P1004" s="13">
        <v>451.2</v>
      </c>
      <c r="Q1004" s="11">
        <v>451.9</v>
      </c>
      <c r="R1004" s="11">
        <v>456.8</v>
      </c>
      <c r="S1004" s="14">
        <v>502.3</v>
      </c>
      <c r="T1004" s="11">
        <v>1064.03</v>
      </c>
      <c r="U1004" s="13">
        <f>IF('0.0%'!$N1004&lt;$Z$3,0, '0.0%'!$O1004/'0.0%'!$N1004)</f>
        <v>1.2799465240641712</v>
      </c>
      <c r="V1004" s="13">
        <f>IF('0.0%'!$N1004&lt;$Z$3,0, '0.0%'!$P1004/'0.0%'!$N1004)</f>
        <v>1.2064171122994651</v>
      </c>
      <c r="W1004" s="13">
        <f>IF('0.0%'!$N1004&lt;$Z$3,0, '0.0%'!$Q1004/'0.0%'!$N1004)</f>
        <v>1.2082887700534759</v>
      </c>
      <c r="X1004" s="13">
        <f>IF('0.0%'!$N1004&lt;$Z$3,0, '0.0%'!$R1004/'0.0%'!$N1004)</f>
        <v>1.2213903743315508</v>
      </c>
      <c r="Y1004" s="13">
        <f>IF('0.0%'!$N1004&lt;$Z$3,0, '0.0%'!$S1004/'0.0%'!$N1004)</f>
        <v>1.343048128342246</v>
      </c>
    </row>
    <row r="1005" spans="1:25" x14ac:dyDescent="0.3">
      <c r="A1005" s="17">
        <v>1065.02</v>
      </c>
      <c r="B1005" s="10">
        <v>371.8</v>
      </c>
      <c r="C1005" s="9">
        <v>1065.02</v>
      </c>
      <c r="D1005" s="10">
        <v>475.9</v>
      </c>
      <c r="E1005" s="11">
        <v>1065.02</v>
      </c>
      <c r="F1005" s="12">
        <v>448.6</v>
      </c>
      <c r="G1005" s="11">
        <v>1065.02</v>
      </c>
      <c r="H1005" s="12">
        <v>449.3</v>
      </c>
      <c r="I1005" s="11">
        <v>1065.02</v>
      </c>
      <c r="J1005" s="12">
        <v>454</v>
      </c>
      <c r="K1005" s="11">
        <v>1065.02</v>
      </c>
      <c r="L1005" s="12">
        <v>499.4</v>
      </c>
      <c r="M1005" s="11">
        <v>1065.02</v>
      </c>
      <c r="N1005" s="13">
        <v>371.8</v>
      </c>
      <c r="O1005" s="13">
        <v>475.9</v>
      </c>
      <c r="P1005" s="13">
        <v>448.6</v>
      </c>
      <c r="Q1005" s="11">
        <v>449.3</v>
      </c>
      <c r="R1005" s="11">
        <v>454</v>
      </c>
      <c r="S1005" s="14">
        <v>499.4</v>
      </c>
      <c r="T1005" s="11">
        <v>1065.02</v>
      </c>
      <c r="U1005" s="13">
        <f>IF('0.0%'!$N1005&lt;$Z$3,0, '0.0%'!$O1005/'0.0%'!$N1005)</f>
        <v>1.279989241527703</v>
      </c>
      <c r="V1005" s="13">
        <f>IF('0.0%'!$N1005&lt;$Z$3,0, '0.0%'!$P1005/'0.0%'!$N1005)</f>
        <v>1.2065626681011297</v>
      </c>
      <c r="W1005" s="13">
        <f>IF('0.0%'!$N1005&lt;$Z$3,0, '0.0%'!$Q1005/'0.0%'!$N1005)</f>
        <v>1.2084454007530931</v>
      </c>
      <c r="X1005" s="13">
        <f>IF('0.0%'!$N1005&lt;$Z$3,0, '0.0%'!$R1005/'0.0%'!$N1005)</f>
        <v>1.2210866057019902</v>
      </c>
      <c r="Y1005" s="13">
        <f>IF('0.0%'!$N1005&lt;$Z$3,0, '0.0%'!$S1005/'0.0%'!$N1005)</f>
        <v>1.3431952662721893</v>
      </c>
    </row>
    <row r="1006" spans="1:25" x14ac:dyDescent="0.3">
      <c r="A1006" s="17">
        <v>1066.01</v>
      </c>
      <c r="B1006" s="10">
        <v>370.3</v>
      </c>
      <c r="C1006" s="9">
        <v>1066.01</v>
      </c>
      <c r="D1006" s="10">
        <v>473.8</v>
      </c>
      <c r="E1006" s="11">
        <v>1066.01</v>
      </c>
      <c r="F1006" s="12">
        <v>446.7</v>
      </c>
      <c r="G1006" s="11">
        <v>1066.01</v>
      </c>
      <c r="H1006" s="12">
        <v>447.6</v>
      </c>
      <c r="I1006" s="11">
        <v>1066.01</v>
      </c>
      <c r="J1006" s="12">
        <v>452</v>
      </c>
      <c r="K1006" s="11">
        <v>1066.01</v>
      </c>
      <c r="L1006" s="12">
        <v>497.5</v>
      </c>
      <c r="M1006" s="11">
        <v>1066.01</v>
      </c>
      <c r="N1006" s="13">
        <v>370.3</v>
      </c>
      <c r="O1006" s="13">
        <v>473.8</v>
      </c>
      <c r="P1006" s="13">
        <v>446.7</v>
      </c>
      <c r="Q1006" s="11">
        <v>447.6</v>
      </c>
      <c r="R1006" s="11">
        <v>452</v>
      </c>
      <c r="S1006" s="14">
        <v>497.5</v>
      </c>
      <c r="T1006" s="11">
        <v>1066.01</v>
      </c>
      <c r="U1006" s="13">
        <f>IF('0.0%'!$N1006&lt;$Z$3,0, '0.0%'!$O1006/'0.0%'!$N1006)</f>
        <v>1.2795031055900621</v>
      </c>
      <c r="V1006" s="13">
        <f>IF('0.0%'!$N1006&lt;$Z$3,0, '0.0%'!$P1006/'0.0%'!$N1006)</f>
        <v>1.2063192006481231</v>
      </c>
      <c r="W1006" s="13">
        <f>IF('0.0%'!$N1006&lt;$Z$3,0, '0.0%'!$Q1006/'0.0%'!$N1006)</f>
        <v>1.2087496624358629</v>
      </c>
      <c r="X1006" s="13">
        <f>IF('0.0%'!$N1006&lt;$Z$3,0, '0.0%'!$R1006/'0.0%'!$N1006)</f>
        <v>1.2206319200648124</v>
      </c>
      <c r="Y1006" s="13">
        <f>IF('0.0%'!$N1006&lt;$Z$3,0, '0.0%'!$S1006/'0.0%'!$N1006)</f>
        <v>1.34350526600054</v>
      </c>
    </row>
    <row r="1007" spans="1:25" x14ac:dyDescent="0.3">
      <c r="A1007" s="17">
        <v>1067</v>
      </c>
      <c r="B1007" s="10">
        <v>368.2</v>
      </c>
      <c r="C1007" s="9">
        <v>1067</v>
      </c>
      <c r="D1007" s="10">
        <v>471.3</v>
      </c>
      <c r="E1007" s="11">
        <v>1067</v>
      </c>
      <c r="F1007" s="12">
        <v>444.2</v>
      </c>
      <c r="G1007" s="11">
        <v>1067</v>
      </c>
      <c r="H1007" s="12">
        <v>445.2</v>
      </c>
      <c r="I1007" s="11">
        <v>1067</v>
      </c>
      <c r="J1007" s="12">
        <v>449.4</v>
      </c>
      <c r="K1007" s="11">
        <v>1067</v>
      </c>
      <c r="L1007" s="12">
        <v>494.8</v>
      </c>
      <c r="M1007" s="11">
        <v>1067</v>
      </c>
      <c r="N1007" s="13">
        <v>368.2</v>
      </c>
      <c r="O1007" s="13">
        <v>471.3</v>
      </c>
      <c r="P1007" s="13">
        <v>444.2</v>
      </c>
      <c r="Q1007" s="11">
        <v>445.2</v>
      </c>
      <c r="R1007" s="11">
        <v>449.4</v>
      </c>
      <c r="S1007" s="14">
        <v>494.8</v>
      </c>
      <c r="T1007" s="11">
        <v>1067</v>
      </c>
      <c r="U1007" s="13">
        <f>IF('0.0%'!$N1007&lt;$Z$3,0, '0.0%'!$O1007/'0.0%'!$N1007)</f>
        <v>1.2800108636610539</v>
      </c>
      <c r="V1007" s="13">
        <f>IF('0.0%'!$N1007&lt;$Z$3,0, '0.0%'!$P1007/'0.0%'!$N1007)</f>
        <v>1.2064095600217273</v>
      </c>
      <c r="W1007" s="13">
        <f>IF('0.0%'!$N1007&lt;$Z$3,0, '0.0%'!$Q1007/'0.0%'!$N1007)</f>
        <v>1.209125475285171</v>
      </c>
      <c r="X1007" s="13">
        <f>IF('0.0%'!$N1007&lt;$Z$3,0, '0.0%'!$R1007/'0.0%'!$N1007)</f>
        <v>1.2205323193916349</v>
      </c>
      <c r="Y1007" s="13">
        <f>IF('0.0%'!$N1007&lt;$Z$3,0, '0.0%'!$S1007/'0.0%'!$N1007)</f>
        <v>1.3438348723519826</v>
      </c>
    </row>
    <row r="1008" spans="1:25" x14ac:dyDescent="0.3">
      <c r="A1008" s="17">
        <v>1068</v>
      </c>
      <c r="B1008" s="10">
        <v>366.9</v>
      </c>
      <c r="C1008" s="9">
        <v>1068</v>
      </c>
      <c r="D1008" s="10">
        <v>469.5</v>
      </c>
      <c r="E1008" s="11">
        <v>1068</v>
      </c>
      <c r="F1008" s="12">
        <v>442.7</v>
      </c>
      <c r="G1008" s="11">
        <v>1068</v>
      </c>
      <c r="H1008" s="12">
        <v>443.7</v>
      </c>
      <c r="I1008" s="11">
        <v>1068</v>
      </c>
      <c r="J1008" s="12">
        <v>447.7</v>
      </c>
      <c r="K1008" s="11">
        <v>1068</v>
      </c>
      <c r="L1008" s="12">
        <v>493.2</v>
      </c>
      <c r="M1008" s="11">
        <v>1068</v>
      </c>
      <c r="N1008" s="13">
        <v>366.9</v>
      </c>
      <c r="O1008" s="13">
        <v>469.5</v>
      </c>
      <c r="P1008" s="13">
        <v>442.7</v>
      </c>
      <c r="Q1008" s="11">
        <v>443.7</v>
      </c>
      <c r="R1008" s="11">
        <v>447.7</v>
      </c>
      <c r="S1008" s="14">
        <v>493.2</v>
      </c>
      <c r="T1008" s="11">
        <v>1068</v>
      </c>
      <c r="U1008" s="13">
        <f>IF('0.0%'!$N1008&lt;$Z$3,0, '0.0%'!$O1008/'0.0%'!$N1008)</f>
        <v>1.2796402289452167</v>
      </c>
      <c r="V1008" s="13">
        <f>IF('0.0%'!$N1008&lt;$Z$3,0, '0.0%'!$P1008/'0.0%'!$N1008)</f>
        <v>1.2065958026710275</v>
      </c>
      <c r="W1008" s="13">
        <f>IF('0.0%'!$N1008&lt;$Z$3,0, '0.0%'!$Q1008/'0.0%'!$N1008)</f>
        <v>1.2093213409648407</v>
      </c>
      <c r="X1008" s="13">
        <f>IF('0.0%'!$N1008&lt;$Z$3,0, '0.0%'!$R1008/'0.0%'!$N1008)</f>
        <v>1.2202234941400927</v>
      </c>
      <c r="Y1008" s="13">
        <f>IF('0.0%'!$N1008&lt;$Z$3,0, '0.0%'!$S1008/'0.0%'!$N1008)</f>
        <v>1.3442354865085855</v>
      </c>
    </row>
    <row r="1009" spans="1:25" x14ac:dyDescent="0.3">
      <c r="A1009" s="17">
        <v>1068.99</v>
      </c>
      <c r="B1009" s="10">
        <v>365.1</v>
      </c>
      <c r="C1009" s="9">
        <v>1068.99</v>
      </c>
      <c r="D1009" s="10">
        <v>467.4</v>
      </c>
      <c r="E1009" s="11">
        <v>1068.99</v>
      </c>
      <c r="F1009" s="12">
        <v>440.7</v>
      </c>
      <c r="G1009" s="11">
        <v>1068.99</v>
      </c>
      <c r="H1009" s="12">
        <v>441.6</v>
      </c>
      <c r="I1009" s="11">
        <v>1068.99</v>
      </c>
      <c r="J1009" s="12">
        <v>445.4</v>
      </c>
      <c r="K1009" s="11">
        <v>1068.99</v>
      </c>
      <c r="L1009" s="12">
        <v>491</v>
      </c>
      <c r="M1009" s="11">
        <v>1068.99</v>
      </c>
      <c r="N1009" s="13">
        <v>365.1</v>
      </c>
      <c r="O1009" s="13">
        <v>467.4</v>
      </c>
      <c r="P1009" s="13">
        <v>440.7</v>
      </c>
      <c r="Q1009" s="11">
        <v>441.6</v>
      </c>
      <c r="R1009" s="11">
        <v>445.4</v>
      </c>
      <c r="S1009" s="14">
        <v>491</v>
      </c>
      <c r="T1009" s="11">
        <v>1068.99</v>
      </c>
      <c r="U1009" s="13">
        <f>IF('0.0%'!$N1009&lt;$Z$3,0, '0.0%'!$O1009/'0.0%'!$N1009)</f>
        <v>1.2801972062448643</v>
      </c>
      <c r="V1009" s="13">
        <f>IF('0.0%'!$N1009&lt;$Z$3,0, '0.0%'!$P1009/'0.0%'!$N1009)</f>
        <v>1.2070665571076415</v>
      </c>
      <c r="W1009" s="13">
        <f>IF('0.0%'!$N1009&lt;$Z$3,0, '0.0%'!$Q1009/'0.0%'!$N1009)</f>
        <v>1.2095316351684471</v>
      </c>
      <c r="X1009" s="13">
        <f>IF('0.0%'!$N1009&lt;$Z$3,0, '0.0%'!$R1009/'0.0%'!$N1009)</f>
        <v>1.2199397425362912</v>
      </c>
      <c r="Y1009" s="13">
        <f>IF('0.0%'!$N1009&lt;$Z$3,0, '0.0%'!$S1009/'0.0%'!$N1009)</f>
        <v>1.3448370309504245</v>
      </c>
    </row>
    <row r="1010" spans="1:25" x14ac:dyDescent="0.3">
      <c r="A1010" s="17">
        <v>1069.98</v>
      </c>
      <c r="B1010" s="10">
        <v>364.1</v>
      </c>
      <c r="C1010" s="9">
        <v>1069.98</v>
      </c>
      <c r="D1010" s="10">
        <v>465.9</v>
      </c>
      <c r="E1010" s="11">
        <v>1069.98</v>
      </c>
      <c r="F1010" s="12">
        <v>439.5</v>
      </c>
      <c r="G1010" s="11">
        <v>1069.98</v>
      </c>
      <c r="H1010" s="12">
        <v>440.3</v>
      </c>
      <c r="I1010" s="11">
        <v>1069.98</v>
      </c>
      <c r="J1010" s="12">
        <v>443.9</v>
      </c>
      <c r="K1010" s="11">
        <v>1069.98</v>
      </c>
      <c r="L1010" s="12">
        <v>489.7</v>
      </c>
      <c r="M1010" s="11">
        <v>1069.98</v>
      </c>
      <c r="N1010" s="13">
        <v>364.1</v>
      </c>
      <c r="O1010" s="13">
        <v>465.9</v>
      </c>
      <c r="P1010" s="13">
        <v>439.5</v>
      </c>
      <c r="Q1010" s="11">
        <v>440.3</v>
      </c>
      <c r="R1010" s="11">
        <v>443.9</v>
      </c>
      <c r="S1010" s="14">
        <v>489.7</v>
      </c>
      <c r="T1010" s="11">
        <v>1069.98</v>
      </c>
      <c r="U1010" s="13">
        <f>IF('0.0%'!$N1010&lt;$Z$3,0, '0.0%'!$O1010/'0.0%'!$N1010)</f>
        <v>1.2795935182642131</v>
      </c>
      <c r="V1010" s="13">
        <f>IF('0.0%'!$N1010&lt;$Z$3,0, '0.0%'!$P1010/'0.0%'!$N1010)</f>
        <v>1.2070859653941224</v>
      </c>
      <c r="W1010" s="13">
        <f>IF('0.0%'!$N1010&lt;$Z$3,0, '0.0%'!$Q1010/'0.0%'!$N1010)</f>
        <v>1.2092831639659434</v>
      </c>
      <c r="X1010" s="13">
        <f>IF('0.0%'!$N1010&lt;$Z$3,0, '0.0%'!$R1010/'0.0%'!$N1010)</f>
        <v>1.2191705575391374</v>
      </c>
      <c r="Y1010" s="13">
        <f>IF('0.0%'!$N1010&lt;$Z$3,0, '0.0%'!$S1010/'0.0%'!$N1010)</f>
        <v>1.3449601757758856</v>
      </c>
    </row>
    <row r="1011" spans="1:25" x14ac:dyDescent="0.3">
      <c r="A1011" s="17">
        <v>1070.97</v>
      </c>
      <c r="B1011" s="10">
        <v>362.4</v>
      </c>
      <c r="C1011" s="9">
        <v>1070.97</v>
      </c>
      <c r="D1011" s="10">
        <v>463.8</v>
      </c>
      <c r="E1011" s="11">
        <v>1070.97</v>
      </c>
      <c r="F1011" s="12">
        <v>437.5</v>
      </c>
      <c r="G1011" s="11">
        <v>1070.97</v>
      </c>
      <c r="H1011" s="12">
        <v>438.2</v>
      </c>
      <c r="I1011" s="11">
        <v>1070.97</v>
      </c>
      <c r="J1011" s="12">
        <v>441.7</v>
      </c>
      <c r="K1011" s="11">
        <v>1070.97</v>
      </c>
      <c r="L1011" s="12">
        <v>487.5</v>
      </c>
      <c r="M1011" s="11">
        <v>1070.97</v>
      </c>
      <c r="N1011" s="13">
        <v>362.4</v>
      </c>
      <c r="O1011" s="13">
        <v>463.8</v>
      </c>
      <c r="P1011" s="13">
        <v>437.5</v>
      </c>
      <c r="Q1011" s="11">
        <v>438.2</v>
      </c>
      <c r="R1011" s="11">
        <v>441.7</v>
      </c>
      <c r="S1011" s="14">
        <v>487.5</v>
      </c>
      <c r="T1011" s="11">
        <v>1070.97</v>
      </c>
      <c r="U1011" s="13">
        <f>IF('0.0%'!$N1011&lt;$Z$3,0, '0.0%'!$O1011/'0.0%'!$N1011)</f>
        <v>1.2798013245033113</v>
      </c>
      <c r="V1011" s="13">
        <f>IF('0.0%'!$N1011&lt;$Z$3,0, '0.0%'!$P1011/'0.0%'!$N1011)</f>
        <v>1.2072295805739515</v>
      </c>
      <c r="W1011" s="13">
        <f>IF('0.0%'!$N1011&lt;$Z$3,0, '0.0%'!$Q1011/'0.0%'!$N1011)</f>
        <v>1.2091611479028699</v>
      </c>
      <c r="X1011" s="13">
        <f>IF('0.0%'!$N1011&lt;$Z$3,0, '0.0%'!$R1011/'0.0%'!$N1011)</f>
        <v>1.2188189845474615</v>
      </c>
      <c r="Y1011" s="13">
        <f>IF('0.0%'!$N1011&lt;$Z$3,0, '0.0%'!$S1011/'0.0%'!$N1011)</f>
        <v>1.3451986754966889</v>
      </c>
    </row>
    <row r="1012" spans="1:25" x14ac:dyDescent="0.3">
      <c r="A1012" s="17">
        <v>1071.96</v>
      </c>
      <c r="B1012" s="10">
        <v>361.3</v>
      </c>
      <c r="C1012" s="9">
        <v>1071.96</v>
      </c>
      <c r="D1012" s="10">
        <v>462.3</v>
      </c>
      <c r="E1012" s="11">
        <v>1071.96</v>
      </c>
      <c r="F1012" s="12">
        <v>436.2</v>
      </c>
      <c r="G1012" s="11">
        <v>1071.96</v>
      </c>
      <c r="H1012" s="12">
        <v>436.8</v>
      </c>
      <c r="I1012" s="11">
        <v>1071.96</v>
      </c>
      <c r="J1012" s="12">
        <v>440.2</v>
      </c>
      <c r="K1012" s="11">
        <v>1071.96</v>
      </c>
      <c r="L1012" s="12">
        <v>486.1</v>
      </c>
      <c r="M1012" s="11">
        <v>1071.96</v>
      </c>
      <c r="N1012" s="13">
        <v>361.3</v>
      </c>
      <c r="O1012" s="13">
        <v>462.3</v>
      </c>
      <c r="P1012" s="13">
        <v>436.2</v>
      </c>
      <c r="Q1012" s="11">
        <v>436.8</v>
      </c>
      <c r="R1012" s="11">
        <v>440.2</v>
      </c>
      <c r="S1012" s="14">
        <v>486.1</v>
      </c>
      <c r="T1012" s="11">
        <v>1071.96</v>
      </c>
      <c r="U1012" s="13">
        <f>IF('0.0%'!$N1012&lt;$Z$3,0, '0.0%'!$O1012/'0.0%'!$N1012)</f>
        <v>1.2795460835870467</v>
      </c>
      <c r="V1012" s="13">
        <f>IF('0.0%'!$N1012&lt;$Z$3,0, '0.0%'!$P1012/'0.0%'!$N1012)</f>
        <v>1.2073069471353446</v>
      </c>
      <c r="W1012" s="13">
        <f>IF('0.0%'!$N1012&lt;$Z$3,0, '0.0%'!$Q1012/'0.0%'!$N1012)</f>
        <v>1.2089676169388319</v>
      </c>
      <c r="X1012" s="13">
        <f>IF('0.0%'!$N1012&lt;$Z$3,0, '0.0%'!$R1012/'0.0%'!$N1012)</f>
        <v>1.2183780791585939</v>
      </c>
      <c r="Y1012" s="13">
        <f>IF('0.0%'!$N1012&lt;$Z$3,0, '0.0%'!$S1012/'0.0%'!$N1012)</f>
        <v>1.3454193191253805</v>
      </c>
    </row>
    <row r="1013" spans="1:25" x14ac:dyDescent="0.3">
      <c r="A1013" s="17">
        <v>1072.95</v>
      </c>
      <c r="B1013" s="10">
        <v>359.7</v>
      </c>
      <c r="C1013" s="9">
        <v>1072.95</v>
      </c>
      <c r="D1013" s="10">
        <v>460.4</v>
      </c>
      <c r="E1013" s="11">
        <v>1072.95</v>
      </c>
      <c r="F1013" s="12">
        <v>434.3</v>
      </c>
      <c r="G1013" s="11">
        <v>1072.95</v>
      </c>
      <c r="H1013" s="12">
        <v>434.8</v>
      </c>
      <c r="I1013" s="11">
        <v>1072.95</v>
      </c>
      <c r="J1013" s="12">
        <v>438.1</v>
      </c>
      <c r="K1013" s="11">
        <v>1072.95</v>
      </c>
      <c r="L1013" s="12">
        <v>484</v>
      </c>
      <c r="M1013" s="11">
        <v>1072.95</v>
      </c>
      <c r="N1013" s="13">
        <v>359.7</v>
      </c>
      <c r="O1013" s="13">
        <v>460.4</v>
      </c>
      <c r="P1013" s="13">
        <v>434.3</v>
      </c>
      <c r="Q1013" s="11">
        <v>434.8</v>
      </c>
      <c r="R1013" s="11">
        <v>438.1</v>
      </c>
      <c r="S1013" s="14">
        <v>484</v>
      </c>
      <c r="T1013" s="11">
        <v>1072.95</v>
      </c>
      <c r="U1013" s="13">
        <f>IF('0.0%'!$N1013&lt;$Z$3,0, '0.0%'!$O1013/'0.0%'!$N1013)</f>
        <v>1.2799555184876286</v>
      </c>
      <c r="V1013" s="13">
        <f>IF('0.0%'!$N1013&lt;$Z$3,0, '0.0%'!$P1013/'0.0%'!$N1013)</f>
        <v>1.2073950514317489</v>
      </c>
      <c r="W1013" s="13">
        <f>IF('0.0%'!$N1013&lt;$Z$3,0, '0.0%'!$Q1013/'0.0%'!$N1013)</f>
        <v>1.2087850986933557</v>
      </c>
      <c r="X1013" s="13">
        <f>IF('0.0%'!$N1013&lt;$Z$3,0, '0.0%'!$R1013/'0.0%'!$N1013)</f>
        <v>1.2179594106199612</v>
      </c>
      <c r="Y1013" s="13">
        <f>IF('0.0%'!$N1013&lt;$Z$3,0, '0.0%'!$S1013/'0.0%'!$N1013)</f>
        <v>1.345565749235474</v>
      </c>
    </row>
    <row r="1014" spans="1:25" x14ac:dyDescent="0.3">
      <c r="A1014" s="17">
        <v>1073.95</v>
      </c>
      <c r="B1014" s="10">
        <v>358.8</v>
      </c>
      <c r="C1014" s="9">
        <v>1073.95</v>
      </c>
      <c r="D1014" s="10">
        <v>459.2</v>
      </c>
      <c r="E1014" s="11">
        <v>1073.95</v>
      </c>
      <c r="F1014" s="12">
        <v>433</v>
      </c>
      <c r="G1014" s="11">
        <v>1073.95</v>
      </c>
      <c r="H1014" s="12">
        <v>433.6</v>
      </c>
      <c r="I1014" s="11">
        <v>1073.95</v>
      </c>
      <c r="J1014" s="12">
        <v>436.8</v>
      </c>
      <c r="K1014" s="11">
        <v>1073.95</v>
      </c>
      <c r="L1014" s="12">
        <v>482.7</v>
      </c>
      <c r="M1014" s="11">
        <v>1073.95</v>
      </c>
      <c r="N1014" s="13">
        <v>358.8</v>
      </c>
      <c r="O1014" s="13">
        <v>459.2</v>
      </c>
      <c r="P1014" s="13">
        <v>433</v>
      </c>
      <c r="Q1014" s="11">
        <v>433.6</v>
      </c>
      <c r="R1014" s="11">
        <v>436.8</v>
      </c>
      <c r="S1014" s="14">
        <v>482.7</v>
      </c>
      <c r="T1014" s="11">
        <v>1073.95</v>
      </c>
      <c r="U1014" s="13">
        <f>IF('0.0%'!$N1014&lt;$Z$3,0, '0.0%'!$O1014/'0.0%'!$N1014)</f>
        <v>1.2798216276477146</v>
      </c>
      <c r="V1014" s="13">
        <f>IF('0.0%'!$N1014&lt;$Z$3,0, '0.0%'!$P1014/'0.0%'!$N1014)</f>
        <v>1.2068004459308808</v>
      </c>
      <c r="W1014" s="13">
        <f>IF('0.0%'!$N1014&lt;$Z$3,0, '0.0%'!$Q1014/'0.0%'!$N1014)</f>
        <v>1.2084726867335562</v>
      </c>
      <c r="X1014" s="13">
        <f>IF('0.0%'!$N1014&lt;$Z$3,0, '0.0%'!$R1014/'0.0%'!$N1014)</f>
        <v>1.2173913043478262</v>
      </c>
      <c r="Y1014" s="13">
        <f>IF('0.0%'!$N1014&lt;$Z$3,0, '0.0%'!$S1014/'0.0%'!$N1014)</f>
        <v>1.3453177257525082</v>
      </c>
    </row>
    <row r="1015" spans="1:25" x14ac:dyDescent="0.3">
      <c r="A1015" s="17">
        <v>1074.94</v>
      </c>
      <c r="B1015" s="10">
        <v>357.1</v>
      </c>
      <c r="C1015" s="9">
        <v>1074.94</v>
      </c>
      <c r="D1015" s="10">
        <v>457.1</v>
      </c>
      <c r="E1015" s="11">
        <v>1074.94</v>
      </c>
      <c r="F1015" s="12">
        <v>430.9</v>
      </c>
      <c r="G1015" s="11">
        <v>1074.94</v>
      </c>
      <c r="H1015" s="12">
        <v>431.6</v>
      </c>
      <c r="I1015" s="11">
        <v>1074.94</v>
      </c>
      <c r="J1015" s="12">
        <v>434.5</v>
      </c>
      <c r="K1015" s="11">
        <v>1074.94</v>
      </c>
      <c r="L1015" s="12">
        <v>480.5</v>
      </c>
      <c r="M1015" s="11">
        <v>1074.94</v>
      </c>
      <c r="N1015" s="13">
        <v>357.1</v>
      </c>
      <c r="O1015" s="13">
        <v>457.1</v>
      </c>
      <c r="P1015" s="13">
        <v>430.9</v>
      </c>
      <c r="Q1015" s="11">
        <v>431.6</v>
      </c>
      <c r="R1015" s="11">
        <v>434.5</v>
      </c>
      <c r="S1015" s="14">
        <v>480.5</v>
      </c>
      <c r="T1015" s="11">
        <v>1074.94</v>
      </c>
      <c r="U1015" s="13">
        <f>IF('0.0%'!$N1015&lt;$Z$3,0, '0.0%'!$O1015/'0.0%'!$N1015)</f>
        <v>1.2800336040324838</v>
      </c>
      <c r="V1015" s="13">
        <f>IF('0.0%'!$N1015&lt;$Z$3,0, '0.0%'!$P1015/'0.0%'!$N1015)</f>
        <v>1.206664799775973</v>
      </c>
      <c r="W1015" s="13">
        <f>IF('0.0%'!$N1015&lt;$Z$3,0, '0.0%'!$Q1015/'0.0%'!$N1015)</f>
        <v>1.2086250350042005</v>
      </c>
      <c r="X1015" s="13">
        <f>IF('0.0%'!$N1015&lt;$Z$3,0, '0.0%'!$R1015/'0.0%'!$N1015)</f>
        <v>1.2167460095211424</v>
      </c>
      <c r="Y1015" s="13">
        <f>IF('0.0%'!$N1015&lt;$Z$3,0, '0.0%'!$S1015/'0.0%'!$N1015)</f>
        <v>1.345561467376085</v>
      </c>
    </row>
    <row r="1016" spans="1:25" x14ac:dyDescent="0.3">
      <c r="A1016" s="17">
        <v>1075.93</v>
      </c>
      <c r="B1016" s="10">
        <v>355.8</v>
      </c>
      <c r="C1016" s="9">
        <v>1075.93</v>
      </c>
      <c r="D1016" s="10">
        <v>455.5</v>
      </c>
      <c r="E1016" s="11">
        <v>1075.93</v>
      </c>
      <c r="F1016" s="12">
        <v>429.2</v>
      </c>
      <c r="G1016" s="11">
        <v>1075.93</v>
      </c>
      <c r="H1016" s="12">
        <v>430</v>
      </c>
      <c r="I1016" s="11">
        <v>1075.93</v>
      </c>
      <c r="J1016" s="12">
        <v>432.8</v>
      </c>
      <c r="K1016" s="11">
        <v>1075.93</v>
      </c>
      <c r="L1016" s="12">
        <v>478.7</v>
      </c>
      <c r="M1016" s="11">
        <v>1075.93</v>
      </c>
      <c r="N1016" s="13">
        <v>355.8</v>
      </c>
      <c r="O1016" s="13">
        <v>455.5</v>
      </c>
      <c r="P1016" s="13">
        <v>429.2</v>
      </c>
      <c r="Q1016" s="11">
        <v>430</v>
      </c>
      <c r="R1016" s="11">
        <v>432.8</v>
      </c>
      <c r="S1016" s="14">
        <v>478.7</v>
      </c>
      <c r="T1016" s="11">
        <v>1075.93</v>
      </c>
      <c r="U1016" s="13">
        <f>IF('0.0%'!$N1016&lt;$Z$3,0, '0.0%'!$O1016/'0.0%'!$N1016)</f>
        <v>1.2802136031478357</v>
      </c>
      <c r="V1016" s="13">
        <f>IF('0.0%'!$N1016&lt;$Z$3,0, '0.0%'!$P1016/'0.0%'!$N1016)</f>
        <v>1.2062956717256885</v>
      </c>
      <c r="W1016" s="13">
        <f>IF('0.0%'!$N1016&lt;$Z$3,0, '0.0%'!$Q1016/'0.0%'!$N1016)</f>
        <v>1.2085441259134344</v>
      </c>
      <c r="X1016" s="13">
        <f>IF('0.0%'!$N1016&lt;$Z$3,0, '0.0%'!$R1016/'0.0%'!$N1016)</f>
        <v>1.2164137155705452</v>
      </c>
      <c r="Y1016" s="13">
        <f>IF('0.0%'!$N1016&lt;$Z$3,0, '0.0%'!$S1016/'0.0%'!$N1016)</f>
        <v>1.3454187745924675</v>
      </c>
    </row>
    <row r="1017" spans="1:25" x14ac:dyDescent="0.3">
      <c r="A1017" s="17">
        <v>1076.92</v>
      </c>
      <c r="B1017" s="10">
        <v>354.4</v>
      </c>
      <c r="C1017" s="9">
        <v>1076.92</v>
      </c>
      <c r="D1017" s="10">
        <v>453.7</v>
      </c>
      <c r="E1017" s="11">
        <v>1076.92</v>
      </c>
      <c r="F1017" s="12">
        <v>427.5</v>
      </c>
      <c r="G1017" s="11">
        <v>1076.92</v>
      </c>
      <c r="H1017" s="12">
        <v>428.3</v>
      </c>
      <c r="I1017" s="11">
        <v>1076.92</v>
      </c>
      <c r="J1017" s="12">
        <v>431.1</v>
      </c>
      <c r="K1017" s="11">
        <v>1076.92</v>
      </c>
      <c r="L1017" s="12">
        <v>476.8</v>
      </c>
      <c r="M1017" s="11">
        <v>1076.92</v>
      </c>
      <c r="N1017" s="13">
        <v>354.4</v>
      </c>
      <c r="O1017" s="13">
        <v>453.7</v>
      </c>
      <c r="P1017" s="13">
        <v>427.5</v>
      </c>
      <c r="Q1017" s="11">
        <v>428.3</v>
      </c>
      <c r="R1017" s="11">
        <v>431.1</v>
      </c>
      <c r="S1017" s="14">
        <v>476.8</v>
      </c>
      <c r="T1017" s="11">
        <v>1076.92</v>
      </c>
      <c r="U1017" s="13">
        <f>IF('0.0%'!$N1017&lt;$Z$3,0, '0.0%'!$O1017/'0.0%'!$N1017)</f>
        <v>1.2801918735891649</v>
      </c>
      <c r="V1017" s="13">
        <f>IF('0.0%'!$N1017&lt;$Z$3,0, '0.0%'!$P1017/'0.0%'!$N1017)</f>
        <v>1.2062641083521446</v>
      </c>
      <c r="W1017" s="13">
        <f>IF('0.0%'!$N1017&lt;$Z$3,0, '0.0%'!$Q1017/'0.0%'!$N1017)</f>
        <v>1.2085214446952597</v>
      </c>
      <c r="X1017" s="13">
        <f>IF('0.0%'!$N1017&lt;$Z$3,0, '0.0%'!$R1017/'0.0%'!$N1017)</f>
        <v>1.2164221218961626</v>
      </c>
      <c r="Y1017" s="13">
        <f>IF('0.0%'!$N1017&lt;$Z$3,0, '0.0%'!$S1017/'0.0%'!$N1017)</f>
        <v>1.3453724604966142</v>
      </c>
    </row>
    <row r="1018" spans="1:25" x14ac:dyDescent="0.3">
      <c r="A1018" s="17">
        <v>1077.9100000000001</v>
      </c>
      <c r="B1018" s="10">
        <v>352.4</v>
      </c>
      <c r="C1018" s="9">
        <v>1077.9100000000001</v>
      </c>
      <c r="D1018" s="10">
        <v>451.3</v>
      </c>
      <c r="E1018" s="11">
        <v>1077.9100000000001</v>
      </c>
      <c r="F1018" s="12">
        <v>424.9</v>
      </c>
      <c r="G1018" s="11">
        <v>1077.9100000000001</v>
      </c>
      <c r="H1018" s="12">
        <v>425.8</v>
      </c>
      <c r="I1018" s="11">
        <v>1077.9100000000001</v>
      </c>
      <c r="J1018" s="12">
        <v>428.5</v>
      </c>
      <c r="K1018" s="11">
        <v>1077.9100000000001</v>
      </c>
      <c r="L1018" s="12">
        <v>474</v>
      </c>
      <c r="M1018" s="11">
        <v>1077.9100000000001</v>
      </c>
      <c r="N1018" s="13">
        <v>352.4</v>
      </c>
      <c r="O1018" s="13">
        <v>451.3</v>
      </c>
      <c r="P1018" s="13">
        <v>424.9</v>
      </c>
      <c r="Q1018" s="11">
        <v>425.8</v>
      </c>
      <c r="R1018" s="11">
        <v>428.5</v>
      </c>
      <c r="S1018" s="14">
        <v>474</v>
      </c>
      <c r="T1018" s="11">
        <v>1077.9100000000001</v>
      </c>
      <c r="U1018" s="13">
        <f>IF('0.0%'!$N1018&lt;$Z$3,0, '0.0%'!$O1018/'0.0%'!$N1018)</f>
        <v>1.2806469920544836</v>
      </c>
      <c r="V1018" s="13">
        <f>IF('0.0%'!$N1018&lt;$Z$3,0, '0.0%'!$P1018/'0.0%'!$N1018)</f>
        <v>1.2057321225879682</v>
      </c>
      <c r="W1018" s="13">
        <f>IF('0.0%'!$N1018&lt;$Z$3,0, '0.0%'!$Q1018/'0.0%'!$N1018)</f>
        <v>1.2082860385925087</v>
      </c>
      <c r="X1018" s="13">
        <f>IF('0.0%'!$N1018&lt;$Z$3,0, '0.0%'!$R1018/'0.0%'!$N1018)</f>
        <v>1.2159477866061295</v>
      </c>
      <c r="Y1018" s="13">
        <f>IF('0.0%'!$N1018&lt;$Z$3,0, '0.0%'!$S1018/'0.0%'!$N1018)</f>
        <v>1.3450624290578888</v>
      </c>
    </row>
    <row r="1019" spans="1:25" x14ac:dyDescent="0.3">
      <c r="A1019" s="17">
        <v>1078.9000000000001</v>
      </c>
      <c r="B1019" s="10">
        <v>351</v>
      </c>
      <c r="C1019" s="9">
        <v>1078.9000000000001</v>
      </c>
      <c r="D1019" s="10">
        <v>449.6</v>
      </c>
      <c r="E1019" s="11">
        <v>1078.9000000000001</v>
      </c>
      <c r="F1019" s="12">
        <v>423.2</v>
      </c>
      <c r="G1019" s="11">
        <v>1078.9000000000001</v>
      </c>
      <c r="H1019" s="12">
        <v>424.1</v>
      </c>
      <c r="I1019" s="11">
        <v>1078.9000000000001</v>
      </c>
      <c r="J1019" s="12">
        <v>426.8</v>
      </c>
      <c r="K1019" s="11">
        <v>1078.9000000000001</v>
      </c>
      <c r="L1019" s="12">
        <v>472.1</v>
      </c>
      <c r="M1019" s="11">
        <v>1078.9000000000001</v>
      </c>
      <c r="N1019" s="13">
        <v>351</v>
      </c>
      <c r="O1019" s="13">
        <v>449.6</v>
      </c>
      <c r="P1019" s="13">
        <v>423.2</v>
      </c>
      <c r="Q1019" s="11">
        <v>424.1</v>
      </c>
      <c r="R1019" s="11">
        <v>426.8</v>
      </c>
      <c r="S1019" s="14">
        <v>472.1</v>
      </c>
      <c r="T1019" s="11">
        <v>1078.9000000000001</v>
      </c>
      <c r="U1019" s="13">
        <f>IF('0.0%'!$N1019&lt;$Z$3,0, '0.0%'!$O1019/'0.0%'!$N1019)</f>
        <v>1.2809116809116809</v>
      </c>
      <c r="V1019" s="13">
        <f>IF('0.0%'!$N1019&lt;$Z$3,0, '0.0%'!$P1019/'0.0%'!$N1019)</f>
        <v>1.2056980056980056</v>
      </c>
      <c r="W1019" s="13">
        <f>IF('0.0%'!$N1019&lt;$Z$3,0, '0.0%'!$Q1019/'0.0%'!$N1019)</f>
        <v>1.2082621082621083</v>
      </c>
      <c r="X1019" s="13">
        <f>IF('0.0%'!$N1019&lt;$Z$3,0, '0.0%'!$R1019/'0.0%'!$N1019)</f>
        <v>1.215954415954416</v>
      </c>
      <c r="Y1019" s="13">
        <f>IF('0.0%'!$N1019&lt;$Z$3,0, '0.0%'!$S1019/'0.0%'!$N1019)</f>
        <v>1.345014245014245</v>
      </c>
    </row>
    <row r="1020" spans="1:25" x14ac:dyDescent="0.3">
      <c r="A1020" s="17">
        <v>1079.9000000000001</v>
      </c>
      <c r="B1020" s="10">
        <v>349.3</v>
      </c>
      <c r="C1020" s="9">
        <v>1079.9000000000001</v>
      </c>
      <c r="D1020" s="10">
        <v>447.5</v>
      </c>
      <c r="E1020" s="11">
        <v>1079.9000000000001</v>
      </c>
      <c r="F1020" s="12">
        <v>420.9</v>
      </c>
      <c r="G1020" s="11">
        <v>1079.9000000000001</v>
      </c>
      <c r="H1020" s="12">
        <v>421.9</v>
      </c>
      <c r="I1020" s="11">
        <v>1079.9000000000001</v>
      </c>
      <c r="J1020" s="12">
        <v>424.5</v>
      </c>
      <c r="K1020" s="11">
        <v>1079.9000000000001</v>
      </c>
      <c r="L1020" s="12">
        <v>469.5</v>
      </c>
      <c r="M1020" s="11">
        <v>1079.9000000000001</v>
      </c>
      <c r="N1020" s="13">
        <v>349.3</v>
      </c>
      <c r="O1020" s="13">
        <v>447.5</v>
      </c>
      <c r="P1020" s="13">
        <v>420.9</v>
      </c>
      <c r="Q1020" s="11">
        <v>421.9</v>
      </c>
      <c r="R1020" s="11">
        <v>424.5</v>
      </c>
      <c r="S1020" s="14">
        <v>469.5</v>
      </c>
      <c r="T1020" s="11">
        <v>1079.9000000000001</v>
      </c>
      <c r="U1020" s="13">
        <f>IF('0.0%'!$N1020&lt;$Z$3,0, '0.0%'!$O1020/'0.0%'!$N1020)</f>
        <v>1.2811336959633552</v>
      </c>
      <c r="V1020" s="13">
        <f>IF('0.0%'!$N1020&lt;$Z$3,0, '0.0%'!$P1020/'0.0%'!$N1020)</f>
        <v>1.2049813913541367</v>
      </c>
      <c r="W1020" s="13">
        <f>IF('0.0%'!$N1020&lt;$Z$3,0, '0.0%'!$Q1020/'0.0%'!$N1020)</f>
        <v>1.2078442599484682</v>
      </c>
      <c r="X1020" s="13">
        <f>IF('0.0%'!$N1020&lt;$Z$3,0, '0.0%'!$R1020/'0.0%'!$N1020)</f>
        <v>1.2152877182937303</v>
      </c>
      <c r="Y1020" s="13">
        <f>IF('0.0%'!$N1020&lt;$Z$3,0, '0.0%'!$S1020/'0.0%'!$N1020)</f>
        <v>1.3441168050386487</v>
      </c>
    </row>
    <row r="1021" spans="1:25" x14ac:dyDescent="0.3">
      <c r="A1021" s="17">
        <v>1080.8900000000001</v>
      </c>
      <c r="B1021" s="10">
        <v>348.4</v>
      </c>
      <c r="C1021" s="9">
        <v>1080.8900000000001</v>
      </c>
      <c r="D1021" s="10">
        <v>446.2</v>
      </c>
      <c r="E1021" s="11">
        <v>1080.8900000000001</v>
      </c>
      <c r="F1021" s="12">
        <v>419.6</v>
      </c>
      <c r="G1021" s="11">
        <v>1080.8900000000001</v>
      </c>
      <c r="H1021" s="12">
        <v>420.5</v>
      </c>
      <c r="I1021" s="11">
        <v>1080.8900000000001</v>
      </c>
      <c r="J1021" s="12">
        <v>423.2</v>
      </c>
      <c r="K1021" s="11">
        <v>1080.8900000000001</v>
      </c>
      <c r="L1021" s="12">
        <v>468</v>
      </c>
      <c r="M1021" s="11">
        <v>1080.8900000000001</v>
      </c>
      <c r="N1021" s="13">
        <v>348.4</v>
      </c>
      <c r="O1021" s="13">
        <v>446.2</v>
      </c>
      <c r="P1021" s="13">
        <v>419.6</v>
      </c>
      <c r="Q1021" s="11">
        <v>420.5</v>
      </c>
      <c r="R1021" s="11">
        <v>423.2</v>
      </c>
      <c r="S1021" s="14">
        <v>468</v>
      </c>
      <c r="T1021" s="11">
        <v>1080.8900000000001</v>
      </c>
      <c r="U1021" s="13">
        <f>IF('0.0%'!$N1021&lt;$Z$3,0, '0.0%'!$O1021/'0.0%'!$N1021)</f>
        <v>1.280711825487945</v>
      </c>
      <c r="V1021" s="13">
        <f>IF('0.0%'!$N1021&lt;$Z$3,0, '0.0%'!$P1021/'0.0%'!$N1021)</f>
        <v>1.204362801377727</v>
      </c>
      <c r="W1021" s="13">
        <f>IF('0.0%'!$N1021&lt;$Z$3,0, '0.0%'!$Q1021/'0.0%'!$N1021)</f>
        <v>1.2069460390355913</v>
      </c>
      <c r="X1021" s="13">
        <f>IF('0.0%'!$N1021&lt;$Z$3,0, '0.0%'!$R1021/'0.0%'!$N1021)</f>
        <v>1.2146957520091848</v>
      </c>
      <c r="Y1021" s="13">
        <f>IF('0.0%'!$N1021&lt;$Z$3,0, '0.0%'!$S1021/'0.0%'!$N1021)</f>
        <v>1.3432835820895523</v>
      </c>
    </row>
    <row r="1022" spans="1:25" x14ac:dyDescent="0.3">
      <c r="A1022" s="17">
        <v>1081.8800000000001</v>
      </c>
      <c r="B1022" s="10">
        <v>347</v>
      </c>
      <c r="C1022" s="9">
        <v>1081.8800000000001</v>
      </c>
      <c r="D1022" s="10">
        <v>444.5</v>
      </c>
      <c r="E1022" s="11">
        <v>1081.8800000000001</v>
      </c>
      <c r="F1022" s="12">
        <v>417.7</v>
      </c>
      <c r="G1022" s="11">
        <v>1081.8800000000001</v>
      </c>
      <c r="H1022" s="12">
        <v>418.6</v>
      </c>
      <c r="I1022" s="11">
        <v>1081.8800000000001</v>
      </c>
      <c r="J1022" s="12">
        <v>421.3</v>
      </c>
      <c r="K1022" s="11">
        <v>1081.8800000000001</v>
      </c>
      <c r="L1022" s="12">
        <v>465.9</v>
      </c>
      <c r="M1022" s="11">
        <v>1081.8800000000001</v>
      </c>
      <c r="N1022" s="13">
        <v>347</v>
      </c>
      <c r="O1022" s="13">
        <v>444.5</v>
      </c>
      <c r="P1022" s="13">
        <v>417.7</v>
      </c>
      <c r="Q1022" s="11">
        <v>418.6</v>
      </c>
      <c r="R1022" s="11">
        <v>421.3</v>
      </c>
      <c r="S1022" s="14">
        <v>465.9</v>
      </c>
      <c r="T1022" s="11">
        <v>1081.8800000000001</v>
      </c>
      <c r="U1022" s="13">
        <f>IF('0.0%'!$N1022&lt;$Z$3,0, '0.0%'!$O1022/'0.0%'!$N1022)</f>
        <v>1.2809798270893371</v>
      </c>
      <c r="V1022" s="13">
        <f>IF('0.0%'!$N1022&lt;$Z$3,0, '0.0%'!$P1022/'0.0%'!$N1022)</f>
        <v>1.2037463976945244</v>
      </c>
      <c r="W1022" s="13">
        <f>IF('0.0%'!$N1022&lt;$Z$3,0, '0.0%'!$Q1022/'0.0%'!$N1022)</f>
        <v>1.2063400576368877</v>
      </c>
      <c r="X1022" s="13">
        <f>IF('0.0%'!$N1022&lt;$Z$3,0, '0.0%'!$R1022/'0.0%'!$N1022)</f>
        <v>1.214121037463977</v>
      </c>
      <c r="Y1022" s="13">
        <f>IF('0.0%'!$N1022&lt;$Z$3,0, '0.0%'!$S1022/'0.0%'!$N1022)</f>
        <v>1.3426512968299711</v>
      </c>
    </row>
    <row r="1023" spans="1:25" x14ac:dyDescent="0.3">
      <c r="A1023" s="17">
        <v>1082.8699999999999</v>
      </c>
      <c r="B1023" s="10">
        <v>346.2</v>
      </c>
      <c r="C1023" s="9">
        <v>1082.8699999999999</v>
      </c>
      <c r="D1023" s="10">
        <v>443.5</v>
      </c>
      <c r="E1023" s="11">
        <v>1082.8699999999999</v>
      </c>
      <c r="F1023" s="12">
        <v>416.7</v>
      </c>
      <c r="G1023" s="11">
        <v>1082.8699999999999</v>
      </c>
      <c r="H1023" s="12">
        <v>417.5</v>
      </c>
      <c r="I1023" s="11">
        <v>1082.8699999999999</v>
      </c>
      <c r="J1023" s="12">
        <v>420.2</v>
      </c>
      <c r="K1023" s="11">
        <v>1082.8699999999999</v>
      </c>
      <c r="L1023" s="12">
        <v>464.6</v>
      </c>
      <c r="M1023" s="11">
        <v>1082.8699999999999</v>
      </c>
      <c r="N1023" s="13">
        <v>346.2</v>
      </c>
      <c r="O1023" s="13">
        <v>443.5</v>
      </c>
      <c r="P1023" s="13">
        <v>416.7</v>
      </c>
      <c r="Q1023" s="11">
        <v>417.5</v>
      </c>
      <c r="R1023" s="11">
        <v>420.2</v>
      </c>
      <c r="S1023" s="14">
        <v>464.6</v>
      </c>
      <c r="T1023" s="11">
        <v>1082.8699999999999</v>
      </c>
      <c r="U1023" s="13">
        <f>IF('0.0%'!$N1023&lt;$Z$3,0, '0.0%'!$O1023/'0.0%'!$N1023)</f>
        <v>1.28105141536684</v>
      </c>
      <c r="V1023" s="13">
        <f>IF('0.0%'!$N1023&lt;$Z$3,0, '0.0%'!$P1023/'0.0%'!$N1023)</f>
        <v>1.2036395147313692</v>
      </c>
      <c r="W1023" s="13">
        <f>IF('0.0%'!$N1023&lt;$Z$3,0, '0.0%'!$Q1023/'0.0%'!$N1023)</f>
        <v>1.2059503177354132</v>
      </c>
      <c r="X1023" s="13">
        <f>IF('0.0%'!$N1023&lt;$Z$3,0, '0.0%'!$R1023/'0.0%'!$N1023)</f>
        <v>1.2137492778740613</v>
      </c>
      <c r="Y1023" s="13">
        <f>IF('0.0%'!$N1023&lt;$Z$3,0, '0.0%'!$S1023/'0.0%'!$N1023)</f>
        <v>1.3419988445984981</v>
      </c>
    </row>
    <row r="1024" spans="1:25" x14ac:dyDescent="0.3">
      <c r="A1024" s="17">
        <v>1083.8599999999999</v>
      </c>
      <c r="B1024" s="10">
        <v>344.8</v>
      </c>
      <c r="C1024" s="9">
        <v>1083.8599999999999</v>
      </c>
      <c r="D1024" s="10">
        <v>441.6</v>
      </c>
      <c r="E1024" s="11">
        <v>1083.8599999999999</v>
      </c>
      <c r="F1024" s="12">
        <v>414.8</v>
      </c>
      <c r="G1024" s="11">
        <v>1083.8599999999999</v>
      </c>
      <c r="H1024" s="12">
        <v>415.5</v>
      </c>
      <c r="I1024" s="11">
        <v>1083.8599999999999</v>
      </c>
      <c r="J1024" s="12">
        <v>418.2</v>
      </c>
      <c r="K1024" s="11">
        <v>1083.8599999999999</v>
      </c>
      <c r="L1024" s="12">
        <v>462.4</v>
      </c>
      <c r="M1024" s="11">
        <v>1083.8599999999999</v>
      </c>
      <c r="N1024" s="13">
        <v>344.8</v>
      </c>
      <c r="O1024" s="13">
        <v>441.6</v>
      </c>
      <c r="P1024" s="13">
        <v>414.8</v>
      </c>
      <c r="Q1024" s="11">
        <v>415.5</v>
      </c>
      <c r="R1024" s="11">
        <v>418.2</v>
      </c>
      <c r="S1024" s="14">
        <v>462.4</v>
      </c>
      <c r="T1024" s="11">
        <v>1083.8599999999999</v>
      </c>
      <c r="U1024" s="13">
        <f>IF('0.0%'!$N1024&lt;$Z$3,0, '0.0%'!$O1024/'0.0%'!$N1024)</f>
        <v>1.2807424593967518</v>
      </c>
      <c r="V1024" s="13">
        <f>IF('0.0%'!$N1024&lt;$Z$3,0, '0.0%'!$P1024/'0.0%'!$N1024)</f>
        <v>1.203016241299304</v>
      </c>
      <c r="W1024" s="13">
        <f>IF('0.0%'!$N1024&lt;$Z$3,0, '0.0%'!$Q1024/'0.0%'!$N1024)</f>
        <v>1.205046403712297</v>
      </c>
      <c r="X1024" s="13">
        <f>IF('0.0%'!$N1024&lt;$Z$3,0, '0.0%'!$R1024/'0.0%'!$N1024)</f>
        <v>1.212877030162413</v>
      </c>
      <c r="Y1024" s="13">
        <f>IF('0.0%'!$N1024&lt;$Z$3,0, '0.0%'!$S1024/'0.0%'!$N1024)</f>
        <v>1.3410672853828305</v>
      </c>
    </row>
    <row r="1025" spans="1:25" x14ac:dyDescent="0.3">
      <c r="A1025" s="17">
        <v>1084.8599999999999</v>
      </c>
      <c r="B1025" s="10">
        <v>343.8</v>
      </c>
      <c r="C1025" s="9">
        <v>1084.8599999999999</v>
      </c>
      <c r="D1025" s="10">
        <v>440.3</v>
      </c>
      <c r="E1025" s="11">
        <v>1084.8599999999999</v>
      </c>
      <c r="F1025" s="12">
        <v>413.5</v>
      </c>
      <c r="G1025" s="11">
        <v>1084.8599999999999</v>
      </c>
      <c r="H1025" s="12">
        <v>414</v>
      </c>
      <c r="I1025" s="11">
        <v>1084.8599999999999</v>
      </c>
      <c r="J1025" s="12">
        <v>416.9</v>
      </c>
      <c r="K1025" s="11">
        <v>1084.8599999999999</v>
      </c>
      <c r="L1025" s="12">
        <v>460.9</v>
      </c>
      <c r="M1025" s="11">
        <v>1084.8599999999999</v>
      </c>
      <c r="N1025" s="13">
        <v>343.8</v>
      </c>
      <c r="O1025" s="13">
        <v>440.3</v>
      </c>
      <c r="P1025" s="13">
        <v>413.5</v>
      </c>
      <c r="Q1025" s="11">
        <v>414</v>
      </c>
      <c r="R1025" s="11">
        <v>416.9</v>
      </c>
      <c r="S1025" s="14">
        <v>460.9</v>
      </c>
      <c r="T1025" s="11">
        <v>1084.8599999999999</v>
      </c>
      <c r="U1025" s="13">
        <f>IF('0.0%'!$N1025&lt;$Z$3,0, '0.0%'!$O1025/'0.0%'!$N1025)</f>
        <v>1.2806864456079117</v>
      </c>
      <c r="V1025" s="13">
        <f>IF('0.0%'!$N1025&lt;$Z$3,0, '0.0%'!$P1025/'0.0%'!$N1025)</f>
        <v>1.2027341477603257</v>
      </c>
      <c r="W1025" s="13">
        <f>IF('0.0%'!$N1025&lt;$Z$3,0, '0.0%'!$Q1025/'0.0%'!$N1025)</f>
        <v>1.2041884816753927</v>
      </c>
      <c r="X1025" s="13">
        <f>IF('0.0%'!$N1025&lt;$Z$3,0, '0.0%'!$R1025/'0.0%'!$N1025)</f>
        <v>1.2126236183827805</v>
      </c>
      <c r="Y1025" s="13">
        <f>IF('0.0%'!$N1025&lt;$Z$3,0, '0.0%'!$S1025/'0.0%'!$N1025)</f>
        <v>1.3406050029086678</v>
      </c>
    </row>
    <row r="1026" spans="1:25" x14ac:dyDescent="0.3">
      <c r="A1026" s="17">
        <v>1085.8499999999999</v>
      </c>
      <c r="B1026" s="10">
        <v>342.2</v>
      </c>
      <c r="C1026" s="9">
        <v>1085.8499999999999</v>
      </c>
      <c r="D1026" s="10">
        <v>438.4</v>
      </c>
      <c r="E1026" s="11">
        <v>1085.8499999999999</v>
      </c>
      <c r="F1026" s="12">
        <v>411.4</v>
      </c>
      <c r="G1026" s="11">
        <v>1085.8499999999999</v>
      </c>
      <c r="H1026" s="12">
        <v>411.9</v>
      </c>
      <c r="I1026" s="11">
        <v>1085.8499999999999</v>
      </c>
      <c r="J1026" s="12">
        <v>414.8</v>
      </c>
      <c r="K1026" s="11">
        <v>1085.8499999999999</v>
      </c>
      <c r="L1026" s="12">
        <v>458.6</v>
      </c>
      <c r="M1026" s="11">
        <v>1085.8499999999999</v>
      </c>
      <c r="N1026" s="13">
        <v>342.2</v>
      </c>
      <c r="O1026" s="13">
        <v>438.4</v>
      </c>
      <c r="P1026" s="13">
        <v>411.4</v>
      </c>
      <c r="Q1026" s="11">
        <v>411.9</v>
      </c>
      <c r="R1026" s="11">
        <v>414.8</v>
      </c>
      <c r="S1026" s="14">
        <v>458.6</v>
      </c>
      <c r="T1026" s="11">
        <v>1085.8499999999999</v>
      </c>
      <c r="U1026" s="13">
        <f>IF('0.0%'!$N1026&lt;$Z$3,0, '0.0%'!$O1026/'0.0%'!$N1026)</f>
        <v>1.2811221507890123</v>
      </c>
      <c r="V1026" s="13">
        <f>IF('0.0%'!$N1026&lt;$Z$3,0, '0.0%'!$P1026/'0.0%'!$N1026)</f>
        <v>1.2022209234365868</v>
      </c>
      <c r="W1026" s="13">
        <f>IF('0.0%'!$N1026&lt;$Z$3,0, '0.0%'!$Q1026/'0.0%'!$N1026)</f>
        <v>1.2036820572764464</v>
      </c>
      <c r="X1026" s="13">
        <f>IF('0.0%'!$N1026&lt;$Z$3,0, '0.0%'!$R1026/'0.0%'!$N1026)</f>
        <v>1.212156633547633</v>
      </c>
      <c r="Y1026" s="13">
        <f>IF('0.0%'!$N1026&lt;$Z$3,0, '0.0%'!$S1026/'0.0%'!$N1026)</f>
        <v>1.3401519579193455</v>
      </c>
    </row>
    <row r="1027" spans="1:25" x14ac:dyDescent="0.3">
      <c r="A1027" s="17">
        <v>1086.8399999999999</v>
      </c>
      <c r="B1027" s="10">
        <v>341.2</v>
      </c>
      <c r="C1027" s="9">
        <v>1086.8399999999999</v>
      </c>
      <c r="D1027" s="10">
        <v>437</v>
      </c>
      <c r="E1027" s="11">
        <v>1086.8399999999999</v>
      </c>
      <c r="F1027" s="12">
        <v>410</v>
      </c>
      <c r="G1027" s="11">
        <v>1086.8399999999999</v>
      </c>
      <c r="H1027" s="12">
        <v>410.4</v>
      </c>
      <c r="I1027" s="11">
        <v>1086.8399999999999</v>
      </c>
      <c r="J1027" s="12">
        <v>413.4</v>
      </c>
      <c r="K1027" s="11">
        <v>1086.8399999999999</v>
      </c>
      <c r="L1027" s="12">
        <v>457.1</v>
      </c>
      <c r="M1027" s="11">
        <v>1086.8399999999999</v>
      </c>
      <c r="N1027" s="13">
        <v>341.2</v>
      </c>
      <c r="O1027" s="13">
        <v>437</v>
      </c>
      <c r="P1027" s="13">
        <v>410</v>
      </c>
      <c r="Q1027" s="11">
        <v>410.4</v>
      </c>
      <c r="R1027" s="11">
        <v>413.4</v>
      </c>
      <c r="S1027" s="14">
        <v>457.1</v>
      </c>
      <c r="T1027" s="11">
        <v>1086.8399999999999</v>
      </c>
      <c r="U1027" s="13">
        <f>IF('0.0%'!$N1027&lt;$Z$3,0, '0.0%'!$O1027/'0.0%'!$N1027)</f>
        <v>1.2807737397420869</v>
      </c>
      <c r="V1027" s="13">
        <f>IF('0.0%'!$N1027&lt;$Z$3,0, '0.0%'!$P1027/'0.0%'!$N1027)</f>
        <v>1.2016412661195781</v>
      </c>
      <c r="W1027" s="13">
        <f>IF('0.0%'!$N1027&lt;$Z$3,0, '0.0%'!$Q1027/'0.0%'!$N1027)</f>
        <v>1.2028135990621336</v>
      </c>
      <c r="X1027" s="13">
        <f>IF('0.0%'!$N1027&lt;$Z$3,0, '0.0%'!$R1027/'0.0%'!$N1027)</f>
        <v>1.2116060961313013</v>
      </c>
      <c r="Y1027" s="13">
        <f>IF('0.0%'!$N1027&lt;$Z$3,0, '0.0%'!$S1027/'0.0%'!$N1027)</f>
        <v>1.33968347010551</v>
      </c>
    </row>
    <row r="1028" spans="1:25" x14ac:dyDescent="0.3">
      <c r="A1028" s="17">
        <v>1087.83</v>
      </c>
      <c r="B1028" s="10">
        <v>339.4</v>
      </c>
      <c r="C1028" s="9">
        <v>1087.83</v>
      </c>
      <c r="D1028" s="10">
        <v>434.7</v>
      </c>
      <c r="E1028" s="11">
        <v>1087.83</v>
      </c>
      <c r="F1028" s="12">
        <v>407.6</v>
      </c>
      <c r="G1028" s="11">
        <v>1087.83</v>
      </c>
      <c r="H1028" s="12">
        <v>408.1</v>
      </c>
      <c r="I1028" s="11">
        <v>1087.83</v>
      </c>
      <c r="J1028" s="12">
        <v>411.1</v>
      </c>
      <c r="K1028" s="11">
        <v>1087.83</v>
      </c>
      <c r="L1028" s="12">
        <v>454.7</v>
      </c>
      <c r="M1028" s="11">
        <v>1087.83</v>
      </c>
      <c r="N1028" s="13">
        <v>339.4</v>
      </c>
      <c r="O1028" s="13">
        <v>434.7</v>
      </c>
      <c r="P1028" s="13">
        <v>407.6</v>
      </c>
      <c r="Q1028" s="11">
        <v>408.1</v>
      </c>
      <c r="R1028" s="11">
        <v>411.1</v>
      </c>
      <c r="S1028" s="14">
        <v>454.7</v>
      </c>
      <c r="T1028" s="11">
        <v>1087.83</v>
      </c>
      <c r="U1028" s="13">
        <f>IF('0.0%'!$N1028&lt;$Z$3,0, '0.0%'!$O1028/'0.0%'!$N1028)</f>
        <v>1.2807896287566294</v>
      </c>
      <c r="V1028" s="13">
        <f>IF('0.0%'!$N1028&lt;$Z$3,0, '0.0%'!$P1028/'0.0%'!$N1028)</f>
        <v>1.2009428403064233</v>
      </c>
      <c r="W1028" s="13">
        <f>IF('0.0%'!$N1028&lt;$Z$3,0, '0.0%'!$Q1028/'0.0%'!$N1028)</f>
        <v>1.2024160282852094</v>
      </c>
      <c r="X1028" s="13">
        <f>IF('0.0%'!$N1028&lt;$Z$3,0, '0.0%'!$R1028/'0.0%'!$N1028)</f>
        <v>1.2112551561579259</v>
      </c>
      <c r="Y1028" s="13">
        <f>IF('0.0%'!$N1028&lt;$Z$3,0, '0.0%'!$S1028/'0.0%'!$N1028)</f>
        <v>1.3397171479080732</v>
      </c>
    </row>
    <row r="1029" spans="1:25" x14ac:dyDescent="0.3">
      <c r="A1029" s="17">
        <v>1088.82</v>
      </c>
      <c r="B1029" s="10">
        <v>338.1</v>
      </c>
      <c r="C1029" s="9">
        <v>1088.82</v>
      </c>
      <c r="D1029" s="10">
        <v>432.9</v>
      </c>
      <c r="E1029" s="11">
        <v>1088.82</v>
      </c>
      <c r="F1029" s="12">
        <v>405.8</v>
      </c>
      <c r="G1029" s="11">
        <v>1088.82</v>
      </c>
      <c r="H1029" s="12">
        <v>406.3</v>
      </c>
      <c r="I1029" s="11">
        <v>1088.82</v>
      </c>
      <c r="J1029" s="12">
        <v>409.4</v>
      </c>
      <c r="K1029" s="11">
        <v>1088.82</v>
      </c>
      <c r="L1029" s="12">
        <v>452.9</v>
      </c>
      <c r="M1029" s="11">
        <v>1088.82</v>
      </c>
      <c r="N1029" s="13">
        <v>338.1</v>
      </c>
      <c r="O1029" s="13">
        <v>432.9</v>
      </c>
      <c r="P1029" s="13">
        <v>405.8</v>
      </c>
      <c r="Q1029" s="11">
        <v>406.3</v>
      </c>
      <c r="R1029" s="11">
        <v>409.4</v>
      </c>
      <c r="S1029" s="14">
        <v>452.9</v>
      </c>
      <c r="T1029" s="11">
        <v>1088.82</v>
      </c>
      <c r="U1029" s="13">
        <f>IF('0.0%'!$N1029&lt;$Z$3,0, '0.0%'!$O1029/'0.0%'!$N1029)</f>
        <v>1.2803904170363796</v>
      </c>
      <c r="V1029" s="13">
        <f>IF('0.0%'!$N1029&lt;$Z$3,0, '0.0%'!$P1029/'0.0%'!$N1029)</f>
        <v>1.2002366163856846</v>
      </c>
      <c r="W1029" s="13">
        <f>IF('0.0%'!$N1029&lt;$Z$3,0, '0.0%'!$Q1029/'0.0%'!$N1029)</f>
        <v>1.2017154687962142</v>
      </c>
      <c r="X1029" s="13">
        <f>IF('0.0%'!$N1029&lt;$Z$3,0, '0.0%'!$R1029/'0.0%'!$N1029)</f>
        <v>1.2108843537414964</v>
      </c>
      <c r="Y1029" s="13">
        <f>IF('0.0%'!$N1029&lt;$Z$3,0, '0.0%'!$S1029/'0.0%'!$N1029)</f>
        <v>1.3395445134575568</v>
      </c>
    </row>
    <row r="1030" spans="1:25" x14ac:dyDescent="0.3">
      <c r="A1030" s="17">
        <v>1089.81</v>
      </c>
      <c r="B1030" s="10">
        <v>336.1</v>
      </c>
      <c r="C1030" s="9">
        <v>1089.81</v>
      </c>
      <c r="D1030" s="10">
        <v>430.5</v>
      </c>
      <c r="E1030" s="11">
        <v>1089.81</v>
      </c>
      <c r="F1030" s="12">
        <v>403.4</v>
      </c>
      <c r="G1030" s="11">
        <v>1089.81</v>
      </c>
      <c r="H1030" s="12">
        <v>403.8</v>
      </c>
      <c r="I1030" s="11">
        <v>1089.81</v>
      </c>
      <c r="J1030" s="12">
        <v>406.9</v>
      </c>
      <c r="K1030" s="11">
        <v>1089.81</v>
      </c>
      <c r="L1030" s="12">
        <v>450.4</v>
      </c>
      <c r="M1030" s="11">
        <v>1089.81</v>
      </c>
      <c r="N1030" s="13">
        <v>336.1</v>
      </c>
      <c r="O1030" s="13">
        <v>430.5</v>
      </c>
      <c r="P1030" s="13">
        <v>403.4</v>
      </c>
      <c r="Q1030" s="11">
        <v>403.8</v>
      </c>
      <c r="R1030" s="11">
        <v>406.9</v>
      </c>
      <c r="S1030" s="14">
        <v>450.4</v>
      </c>
      <c r="T1030" s="11">
        <v>1089.81</v>
      </c>
      <c r="U1030" s="13">
        <f>IF('0.0%'!$N1030&lt;$Z$3,0, '0.0%'!$O1030/'0.0%'!$N1030)</f>
        <v>1.2808687890508776</v>
      </c>
      <c r="V1030" s="13">
        <f>IF('0.0%'!$N1030&lt;$Z$3,0, '0.0%'!$P1030/'0.0%'!$N1030)</f>
        <v>1.2002380243975006</v>
      </c>
      <c r="W1030" s="13">
        <f>IF('0.0%'!$N1030&lt;$Z$3,0, '0.0%'!$Q1030/'0.0%'!$N1030)</f>
        <v>1.2014281463850045</v>
      </c>
      <c r="X1030" s="13">
        <f>IF('0.0%'!$N1030&lt;$Z$3,0, '0.0%'!$R1030/'0.0%'!$N1030)</f>
        <v>1.2106515917881582</v>
      </c>
      <c r="Y1030" s="13">
        <f>IF('0.0%'!$N1030&lt;$Z$3,0, '0.0%'!$S1030/'0.0%'!$N1030)</f>
        <v>1.3400773579291876</v>
      </c>
    </row>
    <row r="1031" spans="1:25" x14ac:dyDescent="0.3">
      <c r="A1031" s="17">
        <v>1090.81</v>
      </c>
      <c r="B1031" s="10">
        <v>334.8</v>
      </c>
      <c r="C1031" s="9">
        <v>1090.81</v>
      </c>
      <c r="D1031" s="10">
        <v>428.7</v>
      </c>
      <c r="E1031" s="11">
        <v>1090.81</v>
      </c>
      <c r="F1031" s="12">
        <v>401.8</v>
      </c>
      <c r="G1031" s="11">
        <v>1090.81</v>
      </c>
      <c r="H1031" s="12">
        <v>402.1</v>
      </c>
      <c r="I1031" s="11">
        <v>1090.81</v>
      </c>
      <c r="J1031" s="12">
        <v>405.3</v>
      </c>
      <c r="K1031" s="11">
        <v>1090.81</v>
      </c>
      <c r="L1031" s="12">
        <v>448.7</v>
      </c>
      <c r="M1031" s="11">
        <v>1090.81</v>
      </c>
      <c r="N1031" s="13">
        <v>334.8</v>
      </c>
      <c r="O1031" s="13">
        <v>428.7</v>
      </c>
      <c r="P1031" s="13">
        <v>401.8</v>
      </c>
      <c r="Q1031" s="11">
        <v>402.1</v>
      </c>
      <c r="R1031" s="11">
        <v>405.3</v>
      </c>
      <c r="S1031" s="14">
        <v>448.7</v>
      </c>
      <c r="T1031" s="11">
        <v>1090.81</v>
      </c>
      <c r="U1031" s="13">
        <f>IF('0.0%'!$N1031&lt;$Z$3,0, '0.0%'!$O1031/'0.0%'!$N1031)</f>
        <v>1.2804659498207884</v>
      </c>
      <c r="V1031" s="13">
        <f>IF('0.0%'!$N1031&lt;$Z$3,0, '0.0%'!$P1031/'0.0%'!$N1031)</f>
        <v>1.2001194743130228</v>
      </c>
      <c r="W1031" s="13">
        <f>IF('0.0%'!$N1031&lt;$Z$3,0, '0.0%'!$Q1031/'0.0%'!$N1031)</f>
        <v>1.201015531660693</v>
      </c>
      <c r="X1031" s="13">
        <f>IF('0.0%'!$N1031&lt;$Z$3,0, '0.0%'!$R1031/'0.0%'!$N1031)</f>
        <v>1.2105734767025089</v>
      </c>
      <c r="Y1031" s="13">
        <f>IF('0.0%'!$N1031&lt;$Z$3,0, '0.0%'!$S1031/'0.0%'!$N1031)</f>
        <v>1.3402031063321385</v>
      </c>
    </row>
    <row r="1032" spans="1:25" x14ac:dyDescent="0.3">
      <c r="A1032" s="17">
        <v>1091.8</v>
      </c>
      <c r="B1032" s="10">
        <v>332.8</v>
      </c>
      <c r="C1032" s="9">
        <v>1091.8</v>
      </c>
      <c r="D1032" s="10">
        <v>426.1</v>
      </c>
      <c r="E1032" s="11">
        <v>1091.8</v>
      </c>
      <c r="F1032" s="12">
        <v>399.5</v>
      </c>
      <c r="G1032" s="11">
        <v>1091.8</v>
      </c>
      <c r="H1032" s="12">
        <v>399.7</v>
      </c>
      <c r="I1032" s="11">
        <v>1091.8</v>
      </c>
      <c r="J1032" s="12">
        <v>402.8</v>
      </c>
      <c r="K1032" s="11">
        <v>1091.8</v>
      </c>
      <c r="L1032" s="12">
        <v>446.3</v>
      </c>
      <c r="M1032" s="11">
        <v>1091.8</v>
      </c>
      <c r="N1032" s="13">
        <v>332.8</v>
      </c>
      <c r="O1032" s="13">
        <v>426.1</v>
      </c>
      <c r="P1032" s="13">
        <v>399.5</v>
      </c>
      <c r="Q1032" s="11">
        <v>399.7</v>
      </c>
      <c r="R1032" s="11">
        <v>402.8</v>
      </c>
      <c r="S1032" s="14">
        <v>446.3</v>
      </c>
      <c r="T1032" s="11">
        <v>1091.8</v>
      </c>
      <c r="U1032" s="13">
        <f>IF('0.0%'!$N1032&lt;$Z$3,0, '0.0%'!$O1032/'0.0%'!$N1032)</f>
        <v>1.2803485576923077</v>
      </c>
      <c r="V1032" s="13">
        <f>IF('0.0%'!$N1032&lt;$Z$3,0, '0.0%'!$P1032/'0.0%'!$N1032)</f>
        <v>1.2004206730769231</v>
      </c>
      <c r="W1032" s="13">
        <f>IF('0.0%'!$N1032&lt;$Z$3,0, '0.0%'!$Q1032/'0.0%'!$N1032)</f>
        <v>1.2010216346153846</v>
      </c>
      <c r="X1032" s="13">
        <f>IF('0.0%'!$N1032&lt;$Z$3,0, '0.0%'!$R1032/'0.0%'!$N1032)</f>
        <v>1.2103365384615385</v>
      </c>
      <c r="Y1032" s="13">
        <f>IF('0.0%'!$N1032&lt;$Z$3,0, '0.0%'!$S1032/'0.0%'!$N1032)</f>
        <v>1.3410456730769231</v>
      </c>
    </row>
    <row r="1033" spans="1:25" x14ac:dyDescent="0.3">
      <c r="A1033" s="17">
        <v>1092.79</v>
      </c>
      <c r="B1033" s="10">
        <v>331.4</v>
      </c>
      <c r="C1033" s="9">
        <v>1092.79</v>
      </c>
      <c r="D1033" s="10">
        <v>424.4</v>
      </c>
      <c r="E1033" s="11">
        <v>1092.79</v>
      </c>
      <c r="F1033" s="12">
        <v>398</v>
      </c>
      <c r="G1033" s="11">
        <v>1092.79</v>
      </c>
      <c r="H1033" s="12">
        <v>398.1</v>
      </c>
      <c r="I1033" s="11">
        <v>1092.79</v>
      </c>
      <c r="J1033" s="12">
        <v>401.1</v>
      </c>
      <c r="K1033" s="11">
        <v>1092.79</v>
      </c>
      <c r="L1033" s="12">
        <v>444.8</v>
      </c>
      <c r="M1033" s="11">
        <v>1092.79</v>
      </c>
      <c r="N1033" s="13">
        <v>331.4</v>
      </c>
      <c r="O1033" s="13">
        <v>424.4</v>
      </c>
      <c r="P1033" s="13">
        <v>398</v>
      </c>
      <c r="Q1033" s="11">
        <v>398.1</v>
      </c>
      <c r="R1033" s="11">
        <v>401.1</v>
      </c>
      <c r="S1033" s="14">
        <v>444.8</v>
      </c>
      <c r="T1033" s="11">
        <v>1092.79</v>
      </c>
      <c r="U1033" s="13">
        <f>IF('0.0%'!$N1033&lt;$Z$3,0, '0.0%'!$O1033/'0.0%'!$N1033)</f>
        <v>1.2806276403138201</v>
      </c>
      <c r="V1033" s="13">
        <f>IF('0.0%'!$N1033&lt;$Z$3,0, '0.0%'!$P1033/'0.0%'!$N1033)</f>
        <v>1.2009656004828004</v>
      </c>
      <c r="W1033" s="13">
        <f>IF('0.0%'!$N1033&lt;$Z$3,0, '0.0%'!$Q1033/'0.0%'!$N1033)</f>
        <v>1.2012673506336755</v>
      </c>
      <c r="X1033" s="13">
        <f>IF('0.0%'!$N1033&lt;$Z$3,0, '0.0%'!$R1033/'0.0%'!$N1033)</f>
        <v>1.2103198551599277</v>
      </c>
      <c r="Y1033" s="13">
        <f>IF('0.0%'!$N1033&lt;$Z$3,0, '0.0%'!$S1033/'0.0%'!$N1033)</f>
        <v>1.3421846710923357</v>
      </c>
    </row>
    <row r="1034" spans="1:25" x14ac:dyDescent="0.3">
      <c r="A1034" s="17">
        <v>1093.78</v>
      </c>
      <c r="B1034" s="10">
        <v>329.4</v>
      </c>
      <c r="C1034" s="9">
        <v>1093.78</v>
      </c>
      <c r="D1034" s="10">
        <v>422</v>
      </c>
      <c r="E1034" s="11">
        <v>1093.78</v>
      </c>
      <c r="F1034" s="12">
        <v>395.9</v>
      </c>
      <c r="G1034" s="11">
        <v>1093.78</v>
      </c>
      <c r="H1034" s="12">
        <v>395.9</v>
      </c>
      <c r="I1034" s="11">
        <v>1093.78</v>
      </c>
      <c r="J1034" s="12">
        <v>398.8</v>
      </c>
      <c r="K1034" s="11">
        <v>1093.78</v>
      </c>
      <c r="L1034" s="12">
        <v>442.6</v>
      </c>
      <c r="M1034" s="11">
        <v>1093.78</v>
      </c>
      <c r="N1034" s="13">
        <v>329.4</v>
      </c>
      <c r="O1034" s="13">
        <v>422</v>
      </c>
      <c r="P1034" s="13">
        <v>395.9</v>
      </c>
      <c r="Q1034" s="11">
        <v>395.9</v>
      </c>
      <c r="R1034" s="11">
        <v>398.8</v>
      </c>
      <c r="S1034" s="14">
        <v>442.6</v>
      </c>
      <c r="T1034" s="11">
        <v>1093.78</v>
      </c>
      <c r="U1034" s="13">
        <f>IF('0.0%'!$N1034&lt;$Z$3,0, '0.0%'!$O1034/'0.0%'!$N1034)</f>
        <v>1.2811171827565271</v>
      </c>
      <c r="V1034" s="13">
        <f>IF('0.0%'!$N1034&lt;$Z$3,0, '0.0%'!$P1034/'0.0%'!$N1034)</f>
        <v>1.2018822100789315</v>
      </c>
      <c r="W1034" s="13">
        <f>IF('0.0%'!$N1034&lt;$Z$3,0, '0.0%'!$Q1034/'0.0%'!$N1034)</f>
        <v>1.2018822100789315</v>
      </c>
      <c r="X1034" s="13">
        <f>IF('0.0%'!$N1034&lt;$Z$3,0, '0.0%'!$R1034/'0.0%'!$N1034)</f>
        <v>1.2106860959319976</v>
      </c>
      <c r="Y1034" s="13">
        <f>IF('0.0%'!$N1034&lt;$Z$3,0, '0.0%'!$S1034/'0.0%'!$N1034)</f>
        <v>1.3436551305403766</v>
      </c>
    </row>
    <row r="1035" spans="1:25" x14ac:dyDescent="0.3">
      <c r="A1035" s="17">
        <v>1094.77</v>
      </c>
      <c r="B1035" s="10">
        <v>328.3</v>
      </c>
      <c r="C1035" s="9">
        <v>1094.77</v>
      </c>
      <c r="D1035" s="10">
        <v>420.5</v>
      </c>
      <c r="E1035" s="11">
        <v>1094.77</v>
      </c>
      <c r="F1035" s="12">
        <v>394.6</v>
      </c>
      <c r="G1035" s="11">
        <v>1094.77</v>
      </c>
      <c r="H1035" s="12">
        <v>394.5</v>
      </c>
      <c r="I1035" s="11">
        <v>1094.77</v>
      </c>
      <c r="J1035" s="12">
        <v>397.4</v>
      </c>
      <c r="K1035" s="11">
        <v>1094.77</v>
      </c>
      <c r="L1035" s="12">
        <v>441.3</v>
      </c>
      <c r="M1035" s="11">
        <v>1094.77</v>
      </c>
      <c r="N1035" s="13">
        <v>328.3</v>
      </c>
      <c r="O1035" s="13">
        <v>420.5</v>
      </c>
      <c r="P1035" s="13">
        <v>394.6</v>
      </c>
      <c r="Q1035" s="11">
        <v>394.5</v>
      </c>
      <c r="R1035" s="11">
        <v>397.4</v>
      </c>
      <c r="S1035" s="14">
        <v>441.3</v>
      </c>
      <c r="T1035" s="11">
        <v>1094.77</v>
      </c>
      <c r="U1035" s="13">
        <f>IF('0.0%'!$N1035&lt;$Z$3,0, '0.0%'!$O1035/'0.0%'!$N1035)</f>
        <v>1.2808406944867499</v>
      </c>
      <c r="V1035" s="13">
        <f>IF('0.0%'!$N1035&lt;$Z$3,0, '0.0%'!$P1035/'0.0%'!$N1035)</f>
        <v>1.2019494364910144</v>
      </c>
      <c r="W1035" s="13">
        <f>IF('0.0%'!$N1035&lt;$Z$3,0, '0.0%'!$Q1035/'0.0%'!$N1035)</f>
        <v>1.2016448370392934</v>
      </c>
      <c r="X1035" s="13">
        <f>IF('0.0%'!$N1035&lt;$Z$3,0, '0.0%'!$R1035/'0.0%'!$N1035)</f>
        <v>1.2104782211392018</v>
      </c>
      <c r="Y1035" s="13">
        <f>IF('0.0%'!$N1035&lt;$Z$3,0, '0.0%'!$S1035/'0.0%'!$N1035)</f>
        <v>1.3441973804447152</v>
      </c>
    </row>
    <row r="1036" spans="1:25" x14ac:dyDescent="0.3">
      <c r="A1036" s="17">
        <v>1095.76</v>
      </c>
      <c r="B1036" s="10">
        <v>326.60000000000002</v>
      </c>
      <c r="C1036" s="9">
        <v>1095.76</v>
      </c>
      <c r="D1036" s="10">
        <v>418.2</v>
      </c>
      <c r="E1036" s="11">
        <v>1095.76</v>
      </c>
      <c r="F1036" s="12">
        <v>392.6</v>
      </c>
      <c r="G1036" s="11">
        <v>1095.76</v>
      </c>
      <c r="H1036" s="12">
        <v>392.4</v>
      </c>
      <c r="I1036" s="11">
        <v>1095.76</v>
      </c>
      <c r="J1036" s="12">
        <v>395.3</v>
      </c>
      <c r="K1036" s="11">
        <v>1095.76</v>
      </c>
      <c r="L1036" s="12">
        <v>439</v>
      </c>
      <c r="M1036" s="11">
        <v>1095.76</v>
      </c>
      <c r="N1036" s="13">
        <v>326.60000000000002</v>
      </c>
      <c r="O1036" s="13">
        <v>418.2</v>
      </c>
      <c r="P1036" s="13">
        <v>392.6</v>
      </c>
      <c r="Q1036" s="11">
        <v>392.4</v>
      </c>
      <c r="R1036" s="11">
        <v>395.3</v>
      </c>
      <c r="S1036" s="14">
        <v>439</v>
      </c>
      <c r="T1036" s="11">
        <v>1095.76</v>
      </c>
      <c r="U1036" s="13">
        <f>IF('0.0%'!$N1036&lt;$Z$3,0, '0.0%'!$O1036/'0.0%'!$N1036)</f>
        <v>1.2804654011022656</v>
      </c>
      <c r="V1036" s="13">
        <f>IF('0.0%'!$N1036&lt;$Z$3,0, '0.0%'!$P1036/'0.0%'!$N1036)</f>
        <v>1.202082057562768</v>
      </c>
      <c r="W1036" s="13">
        <f>IF('0.0%'!$N1036&lt;$Z$3,0, '0.0%'!$Q1036/'0.0%'!$N1036)</f>
        <v>1.2014696876913655</v>
      </c>
      <c r="X1036" s="13">
        <f>IF('0.0%'!$N1036&lt;$Z$3,0, '0.0%'!$R1036/'0.0%'!$N1036)</f>
        <v>1.2103490508266992</v>
      </c>
      <c r="Y1036" s="13">
        <f>IF('0.0%'!$N1036&lt;$Z$3,0, '0.0%'!$S1036/'0.0%'!$N1036)</f>
        <v>1.3441518677281077</v>
      </c>
    </row>
    <row r="1037" spans="1:25" x14ac:dyDescent="0.3">
      <c r="A1037" s="17">
        <v>1096.76</v>
      </c>
      <c r="B1037" s="10">
        <v>325.5</v>
      </c>
      <c r="C1037" s="9">
        <v>1096.76</v>
      </c>
      <c r="D1037" s="10">
        <v>416.6</v>
      </c>
      <c r="E1037" s="11">
        <v>1096.76</v>
      </c>
      <c r="F1037" s="12">
        <v>391.2</v>
      </c>
      <c r="G1037" s="11">
        <v>1096.76</v>
      </c>
      <c r="H1037" s="12">
        <v>390.8</v>
      </c>
      <c r="I1037" s="11">
        <v>1096.76</v>
      </c>
      <c r="J1037" s="12">
        <v>393.9</v>
      </c>
      <c r="K1037" s="11">
        <v>1096.76</v>
      </c>
      <c r="L1037" s="12">
        <v>437.5</v>
      </c>
      <c r="M1037" s="11">
        <v>1096.76</v>
      </c>
      <c r="N1037" s="13">
        <v>325.5</v>
      </c>
      <c r="O1037" s="13">
        <v>416.6</v>
      </c>
      <c r="P1037" s="13">
        <v>391.2</v>
      </c>
      <c r="Q1037" s="11">
        <v>390.8</v>
      </c>
      <c r="R1037" s="11">
        <v>393.9</v>
      </c>
      <c r="S1037" s="14">
        <v>437.5</v>
      </c>
      <c r="T1037" s="11">
        <v>1096.76</v>
      </c>
      <c r="U1037" s="13">
        <f>IF('0.0%'!$N1037&lt;$Z$3,0, '0.0%'!$O1037/'0.0%'!$N1037)</f>
        <v>1.2798771121351766</v>
      </c>
      <c r="V1037" s="13">
        <f>IF('0.0%'!$N1037&lt;$Z$3,0, '0.0%'!$P1037/'0.0%'!$N1037)</f>
        <v>1.2018433179723502</v>
      </c>
      <c r="W1037" s="13">
        <f>IF('0.0%'!$N1037&lt;$Z$3,0, '0.0%'!$Q1037/'0.0%'!$N1037)</f>
        <v>1.2006144393241167</v>
      </c>
      <c r="X1037" s="13">
        <f>IF('0.0%'!$N1037&lt;$Z$3,0, '0.0%'!$R1037/'0.0%'!$N1037)</f>
        <v>1.2101382488479262</v>
      </c>
      <c r="Y1037" s="13">
        <f>IF('0.0%'!$N1037&lt;$Z$3,0, '0.0%'!$S1037/'0.0%'!$N1037)</f>
        <v>1.3440860215053763</v>
      </c>
    </row>
    <row r="1038" spans="1:25" x14ac:dyDescent="0.3">
      <c r="A1038" s="17">
        <v>1097.75</v>
      </c>
      <c r="B1038" s="10">
        <v>323.5</v>
      </c>
      <c r="C1038" s="9">
        <v>1097.75</v>
      </c>
      <c r="D1038" s="10">
        <v>414.1</v>
      </c>
      <c r="E1038" s="11">
        <v>1097.75</v>
      </c>
      <c r="F1038" s="12">
        <v>389</v>
      </c>
      <c r="G1038" s="11">
        <v>1097.75</v>
      </c>
      <c r="H1038" s="12">
        <v>388.4</v>
      </c>
      <c r="I1038" s="11">
        <v>1097.75</v>
      </c>
      <c r="J1038" s="12">
        <v>391.7</v>
      </c>
      <c r="K1038" s="11">
        <v>1097.75</v>
      </c>
      <c r="L1038" s="12">
        <v>435</v>
      </c>
      <c r="M1038" s="11">
        <v>1097.75</v>
      </c>
      <c r="N1038" s="13">
        <v>323.5</v>
      </c>
      <c r="O1038" s="13">
        <v>414.1</v>
      </c>
      <c r="P1038" s="13">
        <v>389</v>
      </c>
      <c r="Q1038" s="11">
        <v>388.4</v>
      </c>
      <c r="R1038" s="11">
        <v>391.7</v>
      </c>
      <c r="S1038" s="14">
        <v>435</v>
      </c>
      <c r="T1038" s="11">
        <v>1097.75</v>
      </c>
      <c r="U1038" s="13">
        <f>IF('0.0%'!$N1038&lt;$Z$3,0, '0.0%'!$O1038/'0.0%'!$N1038)</f>
        <v>1.2800618238021639</v>
      </c>
      <c r="V1038" s="13">
        <f>IF('0.0%'!$N1038&lt;$Z$3,0, '0.0%'!$P1038/'0.0%'!$N1038)</f>
        <v>1.2024729520865534</v>
      </c>
      <c r="W1038" s="13">
        <f>IF('0.0%'!$N1038&lt;$Z$3,0, '0.0%'!$Q1038/'0.0%'!$N1038)</f>
        <v>1.2006182380216384</v>
      </c>
      <c r="X1038" s="13">
        <f>IF('0.0%'!$N1038&lt;$Z$3,0, '0.0%'!$R1038/'0.0%'!$N1038)</f>
        <v>1.2108191653786708</v>
      </c>
      <c r="Y1038" s="13">
        <f>IF('0.0%'!$N1038&lt;$Z$3,0, '0.0%'!$S1038/'0.0%'!$N1038)</f>
        <v>1.3446676970633693</v>
      </c>
    </row>
    <row r="1039" spans="1:25" x14ac:dyDescent="0.3">
      <c r="A1039" s="17">
        <v>1098.74</v>
      </c>
      <c r="B1039" s="10">
        <v>322</v>
      </c>
      <c r="C1039" s="9">
        <v>1098.74</v>
      </c>
      <c r="D1039" s="10">
        <v>412.3</v>
      </c>
      <c r="E1039" s="11">
        <v>1098.74</v>
      </c>
      <c r="F1039" s="12">
        <v>387.4</v>
      </c>
      <c r="G1039" s="11">
        <v>1098.74</v>
      </c>
      <c r="H1039" s="12">
        <v>386.5</v>
      </c>
      <c r="I1039" s="11">
        <v>1098.74</v>
      </c>
      <c r="J1039" s="12">
        <v>390.1</v>
      </c>
      <c r="K1039" s="11">
        <v>1098.74</v>
      </c>
      <c r="L1039" s="12">
        <v>433.1</v>
      </c>
      <c r="M1039" s="11">
        <v>1098.74</v>
      </c>
      <c r="N1039" s="13">
        <v>322</v>
      </c>
      <c r="O1039" s="13">
        <v>412.3</v>
      </c>
      <c r="P1039" s="13">
        <v>387.4</v>
      </c>
      <c r="Q1039" s="11">
        <v>386.5</v>
      </c>
      <c r="R1039" s="11">
        <v>390.1</v>
      </c>
      <c r="S1039" s="14">
        <v>433.1</v>
      </c>
      <c r="T1039" s="11">
        <v>1098.74</v>
      </c>
      <c r="U1039" s="13">
        <f>IF('0.0%'!$N1039&lt;$Z$3,0, '0.0%'!$O1039/'0.0%'!$N1039)</f>
        <v>1.2804347826086957</v>
      </c>
      <c r="V1039" s="13">
        <f>IF('0.0%'!$N1039&lt;$Z$3,0, '0.0%'!$P1039/'0.0%'!$N1039)</f>
        <v>1.2031055900621117</v>
      </c>
      <c r="W1039" s="13">
        <f>IF('0.0%'!$N1039&lt;$Z$3,0, '0.0%'!$Q1039/'0.0%'!$N1039)</f>
        <v>1.2003105590062111</v>
      </c>
      <c r="X1039" s="13">
        <f>IF('0.0%'!$N1039&lt;$Z$3,0, '0.0%'!$R1039/'0.0%'!$N1039)</f>
        <v>1.2114906832298138</v>
      </c>
      <c r="Y1039" s="13">
        <f>IF('0.0%'!$N1039&lt;$Z$3,0, '0.0%'!$S1039/'0.0%'!$N1039)</f>
        <v>1.3450310559006211</v>
      </c>
    </row>
    <row r="1040" spans="1:25" x14ac:dyDescent="0.3">
      <c r="A1040" s="17">
        <v>1099.73</v>
      </c>
      <c r="B1040" s="10">
        <v>319.7</v>
      </c>
      <c r="C1040" s="9">
        <v>1099.73</v>
      </c>
      <c r="D1040" s="10">
        <v>409.4</v>
      </c>
      <c r="E1040" s="11">
        <v>1099.73</v>
      </c>
      <c r="F1040" s="12">
        <v>384.8</v>
      </c>
      <c r="G1040" s="11">
        <v>1099.73</v>
      </c>
      <c r="H1040" s="12">
        <v>383.7</v>
      </c>
      <c r="I1040" s="11">
        <v>1099.73</v>
      </c>
      <c r="J1040" s="12">
        <v>387.3</v>
      </c>
      <c r="K1040" s="11">
        <v>1099.73</v>
      </c>
      <c r="L1040" s="12">
        <v>430.2</v>
      </c>
      <c r="M1040" s="11">
        <v>1099.73</v>
      </c>
      <c r="N1040" s="13">
        <v>319.7</v>
      </c>
      <c r="O1040" s="13">
        <v>409.4</v>
      </c>
      <c r="P1040" s="13">
        <v>384.8</v>
      </c>
      <c r="Q1040" s="11">
        <v>383.7</v>
      </c>
      <c r="R1040" s="11">
        <v>387.3</v>
      </c>
      <c r="S1040" s="14">
        <v>430.2</v>
      </c>
      <c r="T1040" s="11">
        <v>1099.73</v>
      </c>
      <c r="U1040" s="13">
        <f>IF('0.0%'!$N1040&lt;$Z$3,0, '0.0%'!$O1040/'0.0%'!$N1040)</f>
        <v>1.2805755395683454</v>
      </c>
      <c r="V1040" s="13">
        <f>IF('0.0%'!$N1040&lt;$Z$3,0, '0.0%'!$P1040/'0.0%'!$N1040)</f>
        <v>1.2036284016265248</v>
      </c>
      <c r="W1040" s="13">
        <f>IF('0.0%'!$N1040&lt;$Z$3,0, '0.0%'!$Q1040/'0.0%'!$N1040)</f>
        <v>1.2001876759461996</v>
      </c>
      <c r="X1040" s="13">
        <f>IF('0.0%'!$N1040&lt;$Z$3,0, '0.0%'!$R1040/'0.0%'!$N1040)</f>
        <v>1.2114482327181733</v>
      </c>
      <c r="Y1040" s="13">
        <f>IF('0.0%'!$N1040&lt;$Z$3,0, '0.0%'!$S1040/'0.0%'!$N1040)</f>
        <v>1.3456365342508603</v>
      </c>
    </row>
    <row r="1041" spans="1:25" x14ac:dyDescent="0.3">
      <c r="A1041" s="17">
        <v>1100.72</v>
      </c>
      <c r="B1041" s="10">
        <v>318</v>
      </c>
      <c r="C1041" s="9">
        <v>1100.72</v>
      </c>
      <c r="D1041" s="10">
        <v>407.2</v>
      </c>
      <c r="E1041" s="11">
        <v>1100.72</v>
      </c>
      <c r="F1041" s="12">
        <v>382.8</v>
      </c>
      <c r="G1041" s="11">
        <v>1100.72</v>
      </c>
      <c r="H1041" s="12">
        <v>381.6</v>
      </c>
      <c r="I1041" s="11">
        <v>1100.72</v>
      </c>
      <c r="J1041" s="12">
        <v>385.3</v>
      </c>
      <c r="K1041" s="11">
        <v>1100.72</v>
      </c>
      <c r="L1041" s="12">
        <v>428</v>
      </c>
      <c r="M1041" s="11">
        <v>1100.72</v>
      </c>
      <c r="N1041" s="13">
        <v>318</v>
      </c>
      <c r="O1041" s="13">
        <v>407.2</v>
      </c>
      <c r="P1041" s="13">
        <v>382.8</v>
      </c>
      <c r="Q1041" s="11">
        <v>381.6</v>
      </c>
      <c r="R1041" s="11">
        <v>385.3</v>
      </c>
      <c r="S1041" s="14">
        <v>428</v>
      </c>
      <c r="T1041" s="11">
        <v>1100.72</v>
      </c>
      <c r="U1041" s="13">
        <f>IF('0.0%'!$N1041&lt;$Z$3,0, '0.0%'!$O1041/'0.0%'!$N1041)</f>
        <v>1.280503144654088</v>
      </c>
      <c r="V1041" s="13">
        <f>IF('0.0%'!$N1041&lt;$Z$3,0, '0.0%'!$P1041/'0.0%'!$N1041)</f>
        <v>1.2037735849056603</v>
      </c>
      <c r="W1041" s="13">
        <f>IF('0.0%'!$N1041&lt;$Z$3,0, '0.0%'!$Q1041/'0.0%'!$N1041)</f>
        <v>1.2000000000000002</v>
      </c>
      <c r="X1041" s="13">
        <f>IF('0.0%'!$N1041&lt;$Z$3,0, '0.0%'!$R1041/'0.0%'!$N1041)</f>
        <v>1.2116352201257863</v>
      </c>
      <c r="Y1041" s="13">
        <f>IF('0.0%'!$N1041&lt;$Z$3,0, '0.0%'!$S1041/'0.0%'!$N1041)</f>
        <v>1.3459119496855345</v>
      </c>
    </row>
    <row r="1042" spans="1:25" x14ac:dyDescent="0.3">
      <c r="A1042" s="17">
        <v>1101.72</v>
      </c>
      <c r="B1042" s="10">
        <v>315.60000000000002</v>
      </c>
      <c r="C1042" s="9">
        <v>1101.72</v>
      </c>
      <c r="D1042" s="10">
        <v>404.2</v>
      </c>
      <c r="E1042" s="11">
        <v>1101.72</v>
      </c>
      <c r="F1042" s="12">
        <v>380.1</v>
      </c>
      <c r="G1042" s="11">
        <v>1101.72</v>
      </c>
      <c r="H1042" s="12">
        <v>378.9</v>
      </c>
      <c r="I1042" s="11">
        <v>1101.72</v>
      </c>
      <c r="J1042" s="12">
        <v>382.5</v>
      </c>
      <c r="K1042" s="11">
        <v>1101.72</v>
      </c>
      <c r="L1042" s="12">
        <v>425.1</v>
      </c>
      <c r="M1042" s="11">
        <v>1101.72</v>
      </c>
      <c r="N1042" s="13">
        <v>315.60000000000002</v>
      </c>
      <c r="O1042" s="13">
        <v>404.2</v>
      </c>
      <c r="P1042" s="13">
        <v>380.1</v>
      </c>
      <c r="Q1042" s="11">
        <v>378.9</v>
      </c>
      <c r="R1042" s="11">
        <v>382.5</v>
      </c>
      <c r="S1042" s="14">
        <v>425.1</v>
      </c>
      <c r="T1042" s="11">
        <v>1101.72</v>
      </c>
      <c r="U1042" s="13">
        <f>IF('0.0%'!$N1042&lt;$Z$3,0, '0.0%'!$O1042/'0.0%'!$N1042)</f>
        <v>1.2807351077313054</v>
      </c>
      <c r="V1042" s="13">
        <f>IF('0.0%'!$N1042&lt;$Z$3,0, '0.0%'!$P1042/'0.0%'!$N1042)</f>
        <v>1.2043726235741445</v>
      </c>
      <c r="W1042" s="13">
        <f>IF('0.0%'!$N1042&lt;$Z$3,0, '0.0%'!$Q1042/'0.0%'!$N1042)</f>
        <v>1.2005703422053231</v>
      </c>
      <c r="X1042" s="13">
        <f>IF('0.0%'!$N1042&lt;$Z$3,0, '0.0%'!$R1042/'0.0%'!$N1042)</f>
        <v>1.211977186311787</v>
      </c>
      <c r="Y1042" s="13">
        <f>IF('0.0%'!$N1042&lt;$Z$3,0, '0.0%'!$S1042/'0.0%'!$N1042)</f>
        <v>1.3469581749049429</v>
      </c>
    </row>
    <row r="1043" spans="1:25" x14ac:dyDescent="0.3">
      <c r="A1043" s="17">
        <v>1102.71</v>
      </c>
      <c r="B1043" s="10">
        <v>314.10000000000002</v>
      </c>
      <c r="C1043" s="9">
        <v>1102.71</v>
      </c>
      <c r="D1043" s="10">
        <v>402.2</v>
      </c>
      <c r="E1043" s="11">
        <v>1102.71</v>
      </c>
      <c r="F1043" s="12">
        <v>378.2</v>
      </c>
      <c r="G1043" s="11">
        <v>1102.71</v>
      </c>
      <c r="H1043" s="12">
        <v>377</v>
      </c>
      <c r="I1043" s="11">
        <v>1102.71</v>
      </c>
      <c r="J1043" s="12">
        <v>380.7</v>
      </c>
      <c r="K1043" s="11">
        <v>1102.71</v>
      </c>
      <c r="L1043" s="12">
        <v>423.2</v>
      </c>
      <c r="M1043" s="11">
        <v>1102.71</v>
      </c>
      <c r="N1043" s="13">
        <v>314.10000000000002</v>
      </c>
      <c r="O1043" s="13">
        <v>402.2</v>
      </c>
      <c r="P1043" s="13">
        <v>378.2</v>
      </c>
      <c r="Q1043" s="11">
        <v>377</v>
      </c>
      <c r="R1043" s="11">
        <v>380.7</v>
      </c>
      <c r="S1043" s="14">
        <v>423.2</v>
      </c>
      <c r="T1043" s="11">
        <v>1102.71</v>
      </c>
      <c r="U1043" s="13">
        <f>IF('0.0%'!$N1043&lt;$Z$3,0, '0.0%'!$O1043/'0.0%'!$N1043)</f>
        <v>1.2804839223177331</v>
      </c>
      <c r="V1043" s="13">
        <f>IF('0.0%'!$N1043&lt;$Z$3,0, '0.0%'!$P1043/'0.0%'!$N1043)</f>
        <v>1.204075135307227</v>
      </c>
      <c r="W1043" s="13">
        <f>IF('0.0%'!$N1043&lt;$Z$3,0, '0.0%'!$Q1043/'0.0%'!$N1043)</f>
        <v>1.2002546959567015</v>
      </c>
      <c r="X1043" s="13">
        <f>IF('0.0%'!$N1043&lt;$Z$3,0, '0.0%'!$R1043/'0.0%'!$N1043)</f>
        <v>1.2120343839541545</v>
      </c>
      <c r="Y1043" s="13">
        <f>IF('0.0%'!$N1043&lt;$Z$3,0, '0.0%'!$S1043/'0.0%'!$N1043)</f>
        <v>1.3473416109519261</v>
      </c>
    </row>
    <row r="1044" spans="1:25" x14ac:dyDescent="0.3">
      <c r="A1044" s="17">
        <v>1103.7</v>
      </c>
      <c r="B1044" s="10">
        <v>312</v>
      </c>
      <c r="C1044" s="9">
        <v>1103.7</v>
      </c>
      <c r="D1044" s="10">
        <v>399.6</v>
      </c>
      <c r="E1044" s="11">
        <v>1103.7</v>
      </c>
      <c r="F1044" s="12">
        <v>375.8</v>
      </c>
      <c r="G1044" s="11">
        <v>1103.7</v>
      </c>
      <c r="H1044" s="12">
        <v>374.5</v>
      </c>
      <c r="I1044" s="11">
        <v>1103.7</v>
      </c>
      <c r="J1044" s="12">
        <v>378.2</v>
      </c>
      <c r="K1044" s="11">
        <v>1103.7</v>
      </c>
      <c r="L1044" s="12">
        <v>420.7</v>
      </c>
      <c r="M1044" s="11">
        <v>1103.7</v>
      </c>
      <c r="N1044" s="13">
        <v>312</v>
      </c>
      <c r="O1044" s="13">
        <v>399.6</v>
      </c>
      <c r="P1044" s="13">
        <v>375.8</v>
      </c>
      <c r="Q1044" s="11">
        <v>374.5</v>
      </c>
      <c r="R1044" s="11">
        <v>378.2</v>
      </c>
      <c r="S1044" s="14">
        <v>420.7</v>
      </c>
      <c r="T1044" s="11">
        <v>1103.7</v>
      </c>
      <c r="U1044" s="13">
        <f>IF('0.0%'!$N1044&lt;$Z$3,0, '0.0%'!$O1044/'0.0%'!$N1044)</f>
        <v>1.2807692307692309</v>
      </c>
      <c r="V1044" s="13">
        <f>IF('0.0%'!$N1044&lt;$Z$3,0, '0.0%'!$P1044/'0.0%'!$N1044)</f>
        <v>1.2044871794871794</v>
      </c>
      <c r="W1044" s="13">
        <f>IF('0.0%'!$N1044&lt;$Z$3,0, '0.0%'!$Q1044/'0.0%'!$N1044)</f>
        <v>1.2003205128205128</v>
      </c>
      <c r="X1044" s="13">
        <f>IF('0.0%'!$N1044&lt;$Z$3,0, '0.0%'!$R1044/'0.0%'!$N1044)</f>
        <v>1.2121794871794871</v>
      </c>
      <c r="Y1044" s="13">
        <f>IF('0.0%'!$N1044&lt;$Z$3,0, '0.0%'!$S1044/'0.0%'!$N1044)</f>
        <v>1.3483974358974358</v>
      </c>
    </row>
    <row r="1045" spans="1:25" x14ac:dyDescent="0.3">
      <c r="A1045" s="17">
        <v>1104.69</v>
      </c>
      <c r="B1045" s="10">
        <v>310.7</v>
      </c>
      <c r="C1045" s="9">
        <v>1104.69</v>
      </c>
      <c r="D1045" s="10">
        <v>397.8</v>
      </c>
      <c r="E1045" s="11">
        <v>1104.69</v>
      </c>
      <c r="F1045" s="12">
        <v>374.3</v>
      </c>
      <c r="G1045" s="11">
        <v>1104.69</v>
      </c>
      <c r="H1045" s="12">
        <v>372.9</v>
      </c>
      <c r="I1045" s="11">
        <v>1104.69</v>
      </c>
      <c r="J1045" s="12">
        <v>376.7</v>
      </c>
      <c r="K1045" s="11">
        <v>1104.69</v>
      </c>
      <c r="L1045" s="12">
        <v>419.1</v>
      </c>
      <c r="M1045" s="11">
        <v>1104.69</v>
      </c>
      <c r="N1045" s="13">
        <v>310.7</v>
      </c>
      <c r="O1045" s="13">
        <v>397.8</v>
      </c>
      <c r="P1045" s="13">
        <v>374.3</v>
      </c>
      <c r="Q1045" s="11">
        <v>372.9</v>
      </c>
      <c r="R1045" s="11">
        <v>376.7</v>
      </c>
      <c r="S1045" s="14">
        <v>419.1</v>
      </c>
      <c r="T1045" s="11">
        <v>1104.69</v>
      </c>
      <c r="U1045" s="13">
        <f>IF('0.0%'!$N1045&lt;$Z$3,0, '0.0%'!$O1045/'0.0%'!$N1045)</f>
        <v>1.2803347280334729</v>
      </c>
      <c r="V1045" s="13">
        <f>IF('0.0%'!$N1045&lt;$Z$3,0, '0.0%'!$P1045/'0.0%'!$N1045)</f>
        <v>1.2046990666237529</v>
      </c>
      <c r="W1045" s="13">
        <f>IF('0.0%'!$N1045&lt;$Z$3,0, '0.0%'!$Q1045/'0.0%'!$N1045)</f>
        <v>1.2001931123270035</v>
      </c>
      <c r="X1045" s="13">
        <f>IF('0.0%'!$N1045&lt;$Z$3,0, '0.0%'!$R1045/'0.0%'!$N1045)</f>
        <v>1.2124235597038944</v>
      </c>
      <c r="Y1045" s="13">
        <f>IF('0.0%'!$N1045&lt;$Z$3,0, '0.0%'!$S1045/'0.0%'!$N1045)</f>
        <v>1.3488896041197298</v>
      </c>
    </row>
    <row r="1046" spans="1:25" x14ac:dyDescent="0.3">
      <c r="A1046" s="17">
        <v>1105.68</v>
      </c>
      <c r="B1046" s="10">
        <v>308.7</v>
      </c>
      <c r="C1046" s="9">
        <v>1105.68</v>
      </c>
      <c r="D1046" s="10">
        <v>395.5</v>
      </c>
      <c r="E1046" s="11">
        <v>1105.68</v>
      </c>
      <c r="F1046" s="12">
        <v>372.3</v>
      </c>
      <c r="G1046" s="11">
        <v>1105.68</v>
      </c>
      <c r="H1046" s="12">
        <v>370.7</v>
      </c>
      <c r="I1046" s="11">
        <v>1105.68</v>
      </c>
      <c r="J1046" s="12">
        <v>374.5</v>
      </c>
      <c r="K1046" s="11">
        <v>1105.68</v>
      </c>
      <c r="L1046" s="12">
        <v>416.9</v>
      </c>
      <c r="M1046" s="11">
        <v>1105.68</v>
      </c>
      <c r="N1046" s="13">
        <v>308.7</v>
      </c>
      <c r="O1046" s="13">
        <v>395.5</v>
      </c>
      <c r="P1046" s="13">
        <v>372.3</v>
      </c>
      <c r="Q1046" s="11">
        <v>370.7</v>
      </c>
      <c r="R1046" s="11">
        <v>374.5</v>
      </c>
      <c r="S1046" s="14">
        <v>416.9</v>
      </c>
      <c r="T1046" s="11">
        <v>1105.68</v>
      </c>
      <c r="U1046" s="13">
        <f>IF('0.0%'!$N1046&lt;$Z$3,0, '0.0%'!$O1046/'0.0%'!$N1046)</f>
        <v>1.2811791383219955</v>
      </c>
      <c r="V1046" s="13">
        <f>IF('0.0%'!$N1046&lt;$Z$3,0, '0.0%'!$P1046/'0.0%'!$N1046)</f>
        <v>1.2060252672497571</v>
      </c>
      <c r="W1046" s="13">
        <f>IF('0.0%'!$N1046&lt;$Z$3,0, '0.0%'!$Q1046/'0.0%'!$N1046)</f>
        <v>1.2008422416585682</v>
      </c>
      <c r="X1046" s="13">
        <f>IF('0.0%'!$N1046&lt;$Z$3,0, '0.0%'!$R1046/'0.0%'!$N1046)</f>
        <v>1.2131519274376417</v>
      </c>
      <c r="Y1046" s="13">
        <f>IF('0.0%'!$N1046&lt;$Z$3,0, '0.0%'!$S1046/'0.0%'!$N1046)</f>
        <v>1.3505021056041464</v>
      </c>
    </row>
    <row r="1047" spans="1:25" x14ac:dyDescent="0.3">
      <c r="A1047" s="17">
        <v>1106.67</v>
      </c>
      <c r="B1047" s="10">
        <v>307.60000000000002</v>
      </c>
      <c r="C1047" s="9">
        <v>1106.67</v>
      </c>
      <c r="D1047" s="10">
        <v>394</v>
      </c>
      <c r="E1047" s="11">
        <v>1106.67</v>
      </c>
      <c r="F1047" s="12">
        <v>370.9</v>
      </c>
      <c r="G1047" s="11">
        <v>1106.67</v>
      </c>
      <c r="H1047" s="12">
        <v>369.2</v>
      </c>
      <c r="I1047" s="11">
        <v>1106.67</v>
      </c>
      <c r="J1047" s="12">
        <v>373.2</v>
      </c>
      <c r="K1047" s="11">
        <v>1106.67</v>
      </c>
      <c r="L1047" s="12">
        <v>415.6</v>
      </c>
      <c r="M1047" s="11">
        <v>1106.67</v>
      </c>
      <c r="N1047" s="13">
        <v>307.60000000000002</v>
      </c>
      <c r="O1047" s="13">
        <v>394</v>
      </c>
      <c r="P1047" s="13">
        <v>370.9</v>
      </c>
      <c r="Q1047" s="11">
        <v>369.2</v>
      </c>
      <c r="R1047" s="11">
        <v>373.2</v>
      </c>
      <c r="S1047" s="14">
        <v>415.6</v>
      </c>
      <c r="T1047" s="11">
        <v>1106.67</v>
      </c>
      <c r="U1047" s="13">
        <f>IF('0.0%'!$N1047&lt;$Z$3,0, '0.0%'!$O1047/'0.0%'!$N1047)</f>
        <v>1.2808842652795838</v>
      </c>
      <c r="V1047" s="13">
        <f>IF('0.0%'!$N1047&lt;$Z$3,0, '0.0%'!$P1047/'0.0%'!$N1047)</f>
        <v>1.2057867360208061</v>
      </c>
      <c r="W1047" s="13">
        <f>IF('0.0%'!$N1047&lt;$Z$3,0, '0.0%'!$Q1047/'0.0%'!$N1047)</f>
        <v>1.200260078023407</v>
      </c>
      <c r="X1047" s="13">
        <f>IF('0.0%'!$N1047&lt;$Z$3,0, '0.0%'!$R1047/'0.0%'!$N1047)</f>
        <v>1.2132639791937581</v>
      </c>
      <c r="Y1047" s="13">
        <f>IF('0.0%'!$N1047&lt;$Z$3,0, '0.0%'!$S1047/'0.0%'!$N1047)</f>
        <v>1.3511053315994799</v>
      </c>
    </row>
    <row r="1048" spans="1:25" x14ac:dyDescent="0.3">
      <c r="A1048" s="17">
        <v>1107.67</v>
      </c>
      <c r="B1048" s="10">
        <v>305.39999999999998</v>
      </c>
      <c r="C1048" s="9">
        <v>1107.67</v>
      </c>
      <c r="D1048" s="10">
        <v>391.5</v>
      </c>
      <c r="E1048" s="11">
        <v>1107.67</v>
      </c>
      <c r="F1048" s="12">
        <v>368.6</v>
      </c>
      <c r="G1048" s="11">
        <v>1107.67</v>
      </c>
      <c r="H1048" s="12">
        <v>366.8</v>
      </c>
      <c r="I1048" s="11">
        <v>1107.67</v>
      </c>
      <c r="J1048" s="12">
        <v>370.6</v>
      </c>
      <c r="K1048" s="11">
        <v>1107.67</v>
      </c>
      <c r="L1048" s="12">
        <v>413.2</v>
      </c>
      <c r="M1048" s="11">
        <v>1107.67</v>
      </c>
      <c r="N1048" s="13">
        <v>305.39999999999998</v>
      </c>
      <c r="O1048" s="13">
        <v>391.5</v>
      </c>
      <c r="P1048" s="13">
        <v>368.6</v>
      </c>
      <c r="Q1048" s="11">
        <v>366.8</v>
      </c>
      <c r="R1048" s="11">
        <v>370.6</v>
      </c>
      <c r="S1048" s="14">
        <v>413.2</v>
      </c>
      <c r="T1048" s="11">
        <v>1107.67</v>
      </c>
      <c r="U1048" s="13">
        <f>IF('0.0%'!$N1048&lt;$Z$3,0, '0.0%'!$O1048/'0.0%'!$N1048)</f>
        <v>1.2819253438113949</v>
      </c>
      <c r="V1048" s="13">
        <f>IF('0.0%'!$N1048&lt;$Z$3,0, '0.0%'!$P1048/'0.0%'!$N1048)</f>
        <v>1.2069417157825804</v>
      </c>
      <c r="W1048" s="13">
        <f>IF('0.0%'!$N1048&lt;$Z$3,0, '0.0%'!$Q1048/'0.0%'!$N1048)</f>
        <v>1.2010478061558614</v>
      </c>
      <c r="X1048" s="13">
        <f>IF('0.0%'!$N1048&lt;$Z$3,0, '0.0%'!$R1048/'0.0%'!$N1048)</f>
        <v>1.2134905042567126</v>
      </c>
      <c r="Y1048" s="13">
        <f>IF('0.0%'!$N1048&lt;$Z$3,0, '0.0%'!$S1048/'0.0%'!$N1048)</f>
        <v>1.3529796987557303</v>
      </c>
    </row>
    <row r="1049" spans="1:25" x14ac:dyDescent="0.3">
      <c r="A1049" s="17">
        <v>1108.6600000000001</v>
      </c>
      <c r="B1049" s="10">
        <v>303.8</v>
      </c>
      <c r="C1049" s="9">
        <v>1108.6600000000001</v>
      </c>
      <c r="D1049" s="10">
        <v>389.5</v>
      </c>
      <c r="E1049" s="11">
        <v>1108.6600000000001</v>
      </c>
      <c r="F1049" s="12">
        <v>366.8</v>
      </c>
      <c r="G1049" s="11">
        <v>1108.6600000000001</v>
      </c>
      <c r="H1049" s="12">
        <v>364.8</v>
      </c>
      <c r="I1049" s="11">
        <v>1108.6600000000001</v>
      </c>
      <c r="J1049" s="12">
        <v>368.7</v>
      </c>
      <c r="K1049" s="11">
        <v>1108.6600000000001</v>
      </c>
      <c r="L1049" s="12">
        <v>411.4</v>
      </c>
      <c r="M1049" s="11">
        <v>1108.6600000000001</v>
      </c>
      <c r="N1049" s="13">
        <v>303.8</v>
      </c>
      <c r="O1049" s="13">
        <v>389.5</v>
      </c>
      <c r="P1049" s="13">
        <v>366.8</v>
      </c>
      <c r="Q1049" s="11">
        <v>364.8</v>
      </c>
      <c r="R1049" s="11">
        <v>368.7</v>
      </c>
      <c r="S1049" s="14">
        <v>411.4</v>
      </c>
      <c r="T1049" s="11">
        <v>1108.6600000000001</v>
      </c>
      <c r="U1049" s="13">
        <f>IF('0.0%'!$N1049&lt;$Z$3,0, '0.0%'!$O1049/'0.0%'!$N1049)</f>
        <v>1.282093482554312</v>
      </c>
      <c r="V1049" s="13">
        <f>IF('0.0%'!$N1049&lt;$Z$3,0, '0.0%'!$P1049/'0.0%'!$N1049)</f>
        <v>1.207373271889401</v>
      </c>
      <c r="W1049" s="13">
        <f>IF('0.0%'!$N1049&lt;$Z$3,0, '0.0%'!$Q1049/'0.0%'!$N1049)</f>
        <v>1.2007899934167214</v>
      </c>
      <c r="X1049" s="13">
        <f>IF('0.0%'!$N1049&lt;$Z$3,0, '0.0%'!$R1049/'0.0%'!$N1049)</f>
        <v>1.2136273864384464</v>
      </c>
      <c r="Y1049" s="13">
        <f>IF('0.0%'!$N1049&lt;$Z$3,0, '0.0%'!$S1049/'0.0%'!$N1049)</f>
        <v>1.3541803818301512</v>
      </c>
    </row>
    <row r="1050" spans="1:25" x14ac:dyDescent="0.3">
      <c r="A1050" s="17">
        <v>1109.6500000000001</v>
      </c>
      <c r="B1050" s="10">
        <v>301.39999999999998</v>
      </c>
      <c r="C1050" s="9">
        <v>1109.6500000000001</v>
      </c>
      <c r="D1050" s="10">
        <v>386.7</v>
      </c>
      <c r="E1050" s="11">
        <v>1109.6500000000001</v>
      </c>
      <c r="F1050" s="12">
        <v>364.3</v>
      </c>
      <c r="G1050" s="11">
        <v>1109.6500000000001</v>
      </c>
      <c r="H1050" s="12">
        <v>362.1</v>
      </c>
      <c r="I1050" s="11">
        <v>1109.6500000000001</v>
      </c>
      <c r="J1050" s="12">
        <v>365.9</v>
      </c>
      <c r="K1050" s="11">
        <v>1109.6500000000001</v>
      </c>
      <c r="L1050" s="12">
        <v>408.6</v>
      </c>
      <c r="M1050" s="11">
        <v>1109.6500000000001</v>
      </c>
      <c r="N1050" s="13">
        <v>301.39999999999998</v>
      </c>
      <c r="O1050" s="13">
        <v>386.7</v>
      </c>
      <c r="P1050" s="13">
        <v>364.3</v>
      </c>
      <c r="Q1050" s="11">
        <v>362.1</v>
      </c>
      <c r="R1050" s="11">
        <v>365.9</v>
      </c>
      <c r="S1050" s="14">
        <v>408.6</v>
      </c>
      <c r="T1050" s="11">
        <v>1109.6500000000001</v>
      </c>
      <c r="U1050" s="13">
        <f>IF('0.0%'!$N1050&lt;$Z$3,0, '0.0%'!$O1050/'0.0%'!$N1050)</f>
        <v>1.2830126078301261</v>
      </c>
      <c r="V1050" s="13">
        <f>IF('0.0%'!$N1050&lt;$Z$3,0, '0.0%'!$P1050/'0.0%'!$N1050)</f>
        <v>1.2086927670869279</v>
      </c>
      <c r="W1050" s="13">
        <f>IF('0.0%'!$N1050&lt;$Z$3,0, '0.0%'!$Q1050/'0.0%'!$N1050)</f>
        <v>1.2013934970139351</v>
      </c>
      <c r="X1050" s="13">
        <f>IF('0.0%'!$N1050&lt;$Z$3,0, '0.0%'!$R1050/'0.0%'!$N1050)</f>
        <v>1.2140013271400132</v>
      </c>
      <c r="Y1050" s="13">
        <f>IF('0.0%'!$N1050&lt;$Z$3,0, '0.0%'!$S1050/'0.0%'!$N1050)</f>
        <v>1.3556735235567354</v>
      </c>
    </row>
    <row r="1051" spans="1:25" x14ac:dyDescent="0.3">
      <c r="A1051" s="17">
        <v>1110.6400000000001</v>
      </c>
      <c r="B1051" s="10">
        <v>299.7</v>
      </c>
      <c r="C1051" s="9">
        <v>1110.6400000000001</v>
      </c>
      <c r="D1051" s="10">
        <v>384.7</v>
      </c>
      <c r="E1051" s="11">
        <v>1110.6400000000001</v>
      </c>
      <c r="F1051" s="12">
        <v>362.4</v>
      </c>
      <c r="G1051" s="11">
        <v>1110.6400000000001</v>
      </c>
      <c r="H1051" s="12">
        <v>360.2</v>
      </c>
      <c r="I1051" s="11">
        <v>1110.6400000000001</v>
      </c>
      <c r="J1051" s="12">
        <v>363.8</v>
      </c>
      <c r="K1051" s="11">
        <v>1110.6400000000001</v>
      </c>
      <c r="L1051" s="12">
        <v>406.8</v>
      </c>
      <c r="M1051" s="11">
        <v>1110.6400000000001</v>
      </c>
      <c r="N1051" s="13">
        <v>299.7</v>
      </c>
      <c r="O1051" s="13">
        <v>384.7</v>
      </c>
      <c r="P1051" s="13">
        <v>362.4</v>
      </c>
      <c r="Q1051" s="11">
        <v>360.2</v>
      </c>
      <c r="R1051" s="11">
        <v>363.8</v>
      </c>
      <c r="S1051" s="14">
        <v>406.8</v>
      </c>
      <c r="T1051" s="11">
        <v>1110.6400000000001</v>
      </c>
      <c r="U1051" s="13">
        <f>IF('0.0%'!$N1051&lt;$Z$3,0, '0.0%'!$O1051/'0.0%'!$N1051)</f>
        <v>1.283616950283617</v>
      </c>
      <c r="V1051" s="13">
        <f>IF('0.0%'!$N1051&lt;$Z$3,0, '0.0%'!$P1051/'0.0%'!$N1051)</f>
        <v>1.2092092092092093</v>
      </c>
      <c r="W1051" s="13">
        <f>IF('0.0%'!$N1051&lt;$Z$3,0, '0.0%'!$Q1051/'0.0%'!$N1051)</f>
        <v>1.2018685352018685</v>
      </c>
      <c r="X1051" s="13">
        <f>IF('0.0%'!$N1051&lt;$Z$3,0, '0.0%'!$R1051/'0.0%'!$N1051)</f>
        <v>1.2138805472138807</v>
      </c>
      <c r="Y1051" s="13">
        <f>IF('0.0%'!$N1051&lt;$Z$3,0, '0.0%'!$S1051/'0.0%'!$N1051)</f>
        <v>1.3573573573573574</v>
      </c>
    </row>
    <row r="1052" spans="1:25" x14ac:dyDescent="0.3">
      <c r="A1052" s="17">
        <v>1111.6300000000001</v>
      </c>
      <c r="B1052" s="10">
        <v>297.8</v>
      </c>
      <c r="C1052" s="9">
        <v>1111.6300000000001</v>
      </c>
      <c r="D1052" s="10">
        <v>382.5</v>
      </c>
      <c r="E1052" s="11">
        <v>1111.6300000000001</v>
      </c>
      <c r="F1052" s="12">
        <v>360.4</v>
      </c>
      <c r="G1052" s="11">
        <v>1111.6300000000001</v>
      </c>
      <c r="H1052" s="12">
        <v>358</v>
      </c>
      <c r="I1052" s="11">
        <v>1111.6300000000001</v>
      </c>
      <c r="J1052" s="12">
        <v>361.6</v>
      </c>
      <c r="K1052" s="11">
        <v>1111.6300000000001</v>
      </c>
      <c r="L1052" s="12">
        <v>404.7</v>
      </c>
      <c r="M1052" s="11">
        <v>1111.6300000000001</v>
      </c>
      <c r="N1052" s="13">
        <v>297.8</v>
      </c>
      <c r="O1052" s="13">
        <v>382.5</v>
      </c>
      <c r="P1052" s="13">
        <v>360.4</v>
      </c>
      <c r="Q1052" s="11">
        <v>358</v>
      </c>
      <c r="R1052" s="11">
        <v>361.6</v>
      </c>
      <c r="S1052" s="14">
        <v>404.7</v>
      </c>
      <c r="T1052" s="11">
        <v>1111.6300000000001</v>
      </c>
      <c r="U1052" s="13">
        <f>IF('0.0%'!$N1052&lt;$Z$3,0, '0.0%'!$O1052/'0.0%'!$N1052)</f>
        <v>1.2844190732034921</v>
      </c>
      <c r="V1052" s="13">
        <f>IF('0.0%'!$N1052&lt;$Z$3,0, '0.0%'!$P1052/'0.0%'!$N1052)</f>
        <v>1.2102081934184015</v>
      </c>
      <c r="W1052" s="13">
        <f>IF('0.0%'!$N1052&lt;$Z$3,0, '0.0%'!$Q1052/'0.0%'!$N1052)</f>
        <v>1.2021490933512424</v>
      </c>
      <c r="X1052" s="13">
        <f>IF('0.0%'!$N1052&lt;$Z$3,0, '0.0%'!$R1052/'0.0%'!$N1052)</f>
        <v>1.2142377434519813</v>
      </c>
      <c r="Y1052" s="13">
        <f>IF('0.0%'!$N1052&lt;$Z$3,0, '0.0%'!$S1052/'0.0%'!$N1052)</f>
        <v>1.3589657488247144</v>
      </c>
    </row>
    <row r="1053" spans="1:25" x14ac:dyDescent="0.3">
      <c r="A1053" s="17">
        <v>1112.6199999999999</v>
      </c>
      <c r="B1053" s="10">
        <v>295.3</v>
      </c>
      <c r="C1053" s="9">
        <v>1112.6199999999999</v>
      </c>
      <c r="D1053" s="10">
        <v>379.6</v>
      </c>
      <c r="E1053" s="11">
        <v>1112.6199999999999</v>
      </c>
      <c r="F1053" s="12">
        <v>357.5</v>
      </c>
      <c r="G1053" s="11">
        <v>1112.6199999999999</v>
      </c>
      <c r="H1053" s="12">
        <v>355.2</v>
      </c>
      <c r="I1053" s="11">
        <v>1112.6199999999999</v>
      </c>
      <c r="J1053" s="12">
        <v>358.5</v>
      </c>
      <c r="K1053" s="11">
        <v>1112.6199999999999</v>
      </c>
      <c r="L1053" s="12">
        <v>401.7</v>
      </c>
      <c r="M1053" s="11">
        <v>1112.6199999999999</v>
      </c>
      <c r="N1053" s="13">
        <v>295.3</v>
      </c>
      <c r="O1053" s="13">
        <v>379.6</v>
      </c>
      <c r="P1053" s="13">
        <v>357.5</v>
      </c>
      <c r="Q1053" s="11">
        <v>355.2</v>
      </c>
      <c r="R1053" s="11">
        <v>358.5</v>
      </c>
      <c r="S1053" s="14">
        <v>401.7</v>
      </c>
      <c r="T1053" s="11">
        <v>1112.6199999999999</v>
      </c>
      <c r="U1053" s="13">
        <f>IF('0.0%'!$N1053&lt;$Z$3,0, '0.0%'!$O1053/'0.0%'!$N1053)</f>
        <v>1.2854724009481884</v>
      </c>
      <c r="V1053" s="13">
        <f>IF('0.0%'!$N1053&lt;$Z$3,0, '0.0%'!$P1053/'0.0%'!$N1053)</f>
        <v>1.210633254317643</v>
      </c>
      <c r="W1053" s="13">
        <f>IF('0.0%'!$N1053&lt;$Z$3,0, '0.0%'!$Q1053/'0.0%'!$N1053)</f>
        <v>1.2028445648493058</v>
      </c>
      <c r="X1053" s="13">
        <f>IF('0.0%'!$N1053&lt;$Z$3,0, '0.0%'!$R1053/'0.0%'!$N1053)</f>
        <v>1.2140196410430071</v>
      </c>
      <c r="Y1053" s="13">
        <f>IF('0.0%'!$N1053&lt;$Z$3,0, '0.0%'!$S1053/'0.0%'!$N1053)</f>
        <v>1.3603115475787333</v>
      </c>
    </row>
    <row r="1054" spans="1:25" x14ac:dyDescent="0.3">
      <c r="A1054" s="17">
        <v>1113.6199999999999</v>
      </c>
      <c r="B1054" s="10">
        <v>293.3</v>
      </c>
      <c r="C1054" s="9">
        <v>1113.6199999999999</v>
      </c>
      <c r="D1054" s="10">
        <v>377.3</v>
      </c>
      <c r="E1054" s="11">
        <v>1113.6199999999999</v>
      </c>
      <c r="F1054" s="12">
        <v>355.3</v>
      </c>
      <c r="G1054" s="11">
        <v>1113.6199999999999</v>
      </c>
      <c r="H1054" s="12">
        <v>352.9</v>
      </c>
      <c r="I1054" s="11">
        <v>1113.6199999999999</v>
      </c>
      <c r="J1054" s="12">
        <v>356.1</v>
      </c>
      <c r="K1054" s="11">
        <v>1113.6199999999999</v>
      </c>
      <c r="L1054" s="12">
        <v>399.4</v>
      </c>
      <c r="M1054" s="11">
        <v>1113.6199999999999</v>
      </c>
      <c r="N1054" s="13">
        <v>293.3</v>
      </c>
      <c r="O1054" s="13">
        <v>377.3</v>
      </c>
      <c r="P1054" s="13">
        <v>355.3</v>
      </c>
      <c r="Q1054" s="11">
        <v>352.9</v>
      </c>
      <c r="R1054" s="11">
        <v>356.1</v>
      </c>
      <c r="S1054" s="14">
        <v>399.4</v>
      </c>
      <c r="T1054" s="11">
        <v>1113.6199999999999</v>
      </c>
      <c r="U1054" s="13">
        <f>IF('0.0%'!$N1054&lt;$Z$3,0, '0.0%'!$O1054/'0.0%'!$N1054)</f>
        <v>1.2863961813842482</v>
      </c>
      <c r="V1054" s="13">
        <f>IF('0.0%'!$N1054&lt;$Z$3,0, '0.0%'!$P1054/'0.0%'!$N1054)</f>
        <v>1.2113876576883738</v>
      </c>
      <c r="W1054" s="13">
        <f>IF('0.0%'!$N1054&lt;$Z$3,0, '0.0%'!$Q1054/'0.0%'!$N1054)</f>
        <v>1.2032049096488235</v>
      </c>
      <c r="X1054" s="13">
        <f>IF('0.0%'!$N1054&lt;$Z$3,0, '0.0%'!$R1054/'0.0%'!$N1054)</f>
        <v>1.2141152403682236</v>
      </c>
      <c r="Y1054" s="13">
        <f>IF('0.0%'!$N1054&lt;$Z$3,0, '0.0%'!$S1054/'0.0%'!$N1054)</f>
        <v>1.361745652915104</v>
      </c>
    </row>
    <row r="1055" spans="1:25" x14ac:dyDescent="0.3">
      <c r="A1055" s="17">
        <v>1114.6099999999999</v>
      </c>
      <c r="B1055" s="10">
        <v>290.5</v>
      </c>
      <c r="C1055" s="9">
        <v>1114.6099999999999</v>
      </c>
      <c r="D1055" s="10">
        <v>374.2</v>
      </c>
      <c r="E1055" s="11">
        <v>1114.6099999999999</v>
      </c>
      <c r="F1055" s="12">
        <v>352.2</v>
      </c>
      <c r="G1055" s="11">
        <v>1114.6099999999999</v>
      </c>
      <c r="H1055" s="12">
        <v>349.7</v>
      </c>
      <c r="I1055" s="11">
        <v>1114.6099999999999</v>
      </c>
      <c r="J1055" s="12">
        <v>352.8</v>
      </c>
      <c r="K1055" s="11">
        <v>1114.6099999999999</v>
      </c>
      <c r="L1055" s="12">
        <v>396.3</v>
      </c>
      <c r="M1055" s="11">
        <v>1114.6099999999999</v>
      </c>
      <c r="N1055" s="13">
        <v>290.5</v>
      </c>
      <c r="O1055" s="13">
        <v>374.2</v>
      </c>
      <c r="P1055" s="13">
        <v>352.2</v>
      </c>
      <c r="Q1055" s="11">
        <v>349.7</v>
      </c>
      <c r="R1055" s="11">
        <v>352.8</v>
      </c>
      <c r="S1055" s="14">
        <v>396.3</v>
      </c>
      <c r="T1055" s="11">
        <v>1114.6099999999999</v>
      </c>
      <c r="U1055" s="13">
        <f>IF('0.0%'!$N1055&lt;$Z$3,0, '0.0%'!$O1055/'0.0%'!$N1055)</f>
        <v>1.2881239242685025</v>
      </c>
      <c r="V1055" s="13">
        <f>IF('0.0%'!$N1055&lt;$Z$3,0, '0.0%'!$P1055/'0.0%'!$N1055)</f>
        <v>1.2123924268502582</v>
      </c>
      <c r="W1055" s="13">
        <f>IF('0.0%'!$N1055&lt;$Z$3,0, '0.0%'!$Q1055/'0.0%'!$N1055)</f>
        <v>1.2037865748709122</v>
      </c>
      <c r="X1055" s="13">
        <f>IF('0.0%'!$N1055&lt;$Z$3,0, '0.0%'!$R1055/'0.0%'!$N1055)</f>
        <v>1.2144578313253012</v>
      </c>
      <c r="Y1055" s="13">
        <f>IF('0.0%'!$N1055&lt;$Z$3,0, '0.0%'!$S1055/'0.0%'!$N1055)</f>
        <v>1.3641996557659208</v>
      </c>
    </row>
    <row r="1056" spans="1:25" x14ac:dyDescent="0.3">
      <c r="A1056" s="17">
        <v>1115.5999999999999</v>
      </c>
      <c r="B1056" s="10">
        <v>288.5</v>
      </c>
      <c r="C1056" s="9">
        <v>1115.5999999999999</v>
      </c>
      <c r="D1056" s="10">
        <v>371.8</v>
      </c>
      <c r="E1056" s="11">
        <v>1115.5999999999999</v>
      </c>
      <c r="F1056" s="12">
        <v>349.9</v>
      </c>
      <c r="G1056" s="11">
        <v>1115.5999999999999</v>
      </c>
      <c r="H1056" s="12">
        <v>347.3</v>
      </c>
      <c r="I1056" s="11">
        <v>1115.5999999999999</v>
      </c>
      <c r="J1056" s="12">
        <v>350.3</v>
      </c>
      <c r="K1056" s="11">
        <v>1115.5999999999999</v>
      </c>
      <c r="L1056" s="12">
        <v>393.9</v>
      </c>
      <c r="M1056" s="11">
        <v>1115.5999999999999</v>
      </c>
      <c r="N1056" s="13">
        <v>288.5</v>
      </c>
      <c r="O1056" s="13">
        <v>371.8</v>
      </c>
      <c r="P1056" s="13">
        <v>349.9</v>
      </c>
      <c r="Q1056" s="11">
        <v>347.3</v>
      </c>
      <c r="R1056" s="11">
        <v>350.3</v>
      </c>
      <c r="S1056" s="14">
        <v>393.9</v>
      </c>
      <c r="T1056" s="11">
        <v>1115.5999999999999</v>
      </c>
      <c r="U1056" s="13">
        <f>IF('0.0%'!$N1056&lt;$Z$3,0, '0.0%'!$O1056/'0.0%'!$N1056)</f>
        <v>1.2887348353552861</v>
      </c>
      <c r="V1056" s="13">
        <f>IF('0.0%'!$N1056&lt;$Z$3,0, '0.0%'!$P1056/'0.0%'!$N1056)</f>
        <v>1.2128249566724436</v>
      </c>
      <c r="W1056" s="13">
        <f>IF('0.0%'!$N1056&lt;$Z$3,0, '0.0%'!$Q1056/'0.0%'!$N1056)</f>
        <v>1.2038128249566724</v>
      </c>
      <c r="X1056" s="13">
        <f>IF('0.0%'!$N1056&lt;$Z$3,0, '0.0%'!$R1056/'0.0%'!$N1056)</f>
        <v>1.2142114384748701</v>
      </c>
      <c r="Y1056" s="13">
        <f>IF('0.0%'!$N1056&lt;$Z$3,0, '0.0%'!$S1056/'0.0%'!$N1056)</f>
        <v>1.3653379549393414</v>
      </c>
    </row>
    <row r="1057" spans="1:25" x14ac:dyDescent="0.3">
      <c r="A1057" s="17">
        <v>1116.5899999999999</v>
      </c>
      <c r="B1057" s="10">
        <v>285.7</v>
      </c>
      <c r="C1057" s="9">
        <v>1116.5899999999999</v>
      </c>
      <c r="D1057" s="10">
        <v>368.7</v>
      </c>
      <c r="E1057" s="11">
        <v>1116.5899999999999</v>
      </c>
      <c r="F1057" s="12">
        <v>346.9</v>
      </c>
      <c r="G1057" s="11">
        <v>1116.5899999999999</v>
      </c>
      <c r="H1057" s="12">
        <v>344.1</v>
      </c>
      <c r="I1057" s="11">
        <v>1116.5899999999999</v>
      </c>
      <c r="J1057" s="12">
        <v>347</v>
      </c>
      <c r="K1057" s="11">
        <v>1116.5899999999999</v>
      </c>
      <c r="L1057" s="12">
        <v>390.7</v>
      </c>
      <c r="M1057" s="11">
        <v>1116.5899999999999</v>
      </c>
      <c r="N1057" s="13">
        <v>285.7</v>
      </c>
      <c r="O1057" s="13">
        <v>368.7</v>
      </c>
      <c r="P1057" s="13">
        <v>346.9</v>
      </c>
      <c r="Q1057" s="11">
        <v>344.1</v>
      </c>
      <c r="R1057" s="11">
        <v>347</v>
      </c>
      <c r="S1057" s="14">
        <v>390.7</v>
      </c>
      <c r="T1057" s="11">
        <v>1116.5899999999999</v>
      </c>
      <c r="U1057" s="13">
        <f>IF('0.0%'!$N1057&lt;$Z$3,0, '0.0%'!$O1057/'0.0%'!$N1057)</f>
        <v>1.2905145257262862</v>
      </c>
      <c r="V1057" s="13">
        <f>IF('0.0%'!$N1057&lt;$Z$3,0, '0.0%'!$P1057/'0.0%'!$N1057)</f>
        <v>1.2142107105355266</v>
      </c>
      <c r="W1057" s="13">
        <f>IF('0.0%'!$N1057&lt;$Z$3,0, '0.0%'!$Q1057/'0.0%'!$N1057)</f>
        <v>1.2044102205110256</v>
      </c>
      <c r="X1057" s="13">
        <f>IF('0.0%'!$N1057&lt;$Z$3,0, '0.0%'!$R1057/'0.0%'!$N1057)</f>
        <v>1.2145607280364019</v>
      </c>
      <c r="Y1057" s="13">
        <f>IF('0.0%'!$N1057&lt;$Z$3,0, '0.0%'!$S1057/'0.0%'!$N1057)</f>
        <v>1.3675183759187959</v>
      </c>
    </row>
    <row r="1058" spans="1:25" x14ac:dyDescent="0.3">
      <c r="A1058" s="17">
        <v>1117.58</v>
      </c>
      <c r="B1058" s="10">
        <v>283.60000000000002</v>
      </c>
      <c r="C1058" s="9">
        <v>1117.58</v>
      </c>
      <c r="D1058" s="10">
        <v>366.2</v>
      </c>
      <c r="E1058" s="11">
        <v>1117.58</v>
      </c>
      <c r="F1058" s="12">
        <v>344.5</v>
      </c>
      <c r="G1058" s="11">
        <v>1117.58</v>
      </c>
      <c r="H1058" s="12">
        <v>341.7</v>
      </c>
      <c r="I1058" s="11">
        <v>1117.58</v>
      </c>
      <c r="J1058" s="12">
        <v>344.5</v>
      </c>
      <c r="K1058" s="11">
        <v>1117.58</v>
      </c>
      <c r="L1058" s="12">
        <v>388.4</v>
      </c>
      <c r="M1058" s="11">
        <v>1117.58</v>
      </c>
      <c r="N1058" s="13">
        <v>283.60000000000002</v>
      </c>
      <c r="O1058" s="13">
        <v>366.2</v>
      </c>
      <c r="P1058" s="13">
        <v>344.5</v>
      </c>
      <c r="Q1058" s="11">
        <v>341.7</v>
      </c>
      <c r="R1058" s="11">
        <v>344.5</v>
      </c>
      <c r="S1058" s="14">
        <v>388.4</v>
      </c>
      <c r="T1058" s="11">
        <v>1117.58</v>
      </c>
      <c r="U1058" s="13">
        <f>IF('0.0%'!$N1058&lt;$Z$3,0, '0.0%'!$O1058/'0.0%'!$N1058)</f>
        <v>1.2912552891396332</v>
      </c>
      <c r="V1058" s="13">
        <f>IF('0.0%'!$N1058&lt;$Z$3,0, '0.0%'!$P1058/'0.0%'!$N1058)</f>
        <v>1.2147390691114244</v>
      </c>
      <c r="W1058" s="13">
        <f>IF('0.0%'!$N1058&lt;$Z$3,0, '0.0%'!$Q1058/'0.0%'!$N1058)</f>
        <v>1.2048660084626233</v>
      </c>
      <c r="X1058" s="13">
        <f>IF('0.0%'!$N1058&lt;$Z$3,0, '0.0%'!$R1058/'0.0%'!$N1058)</f>
        <v>1.2147390691114244</v>
      </c>
      <c r="Y1058" s="13">
        <f>IF('0.0%'!$N1058&lt;$Z$3,0, '0.0%'!$S1058/'0.0%'!$N1058)</f>
        <v>1.3695345557122707</v>
      </c>
    </row>
    <row r="1059" spans="1:25" x14ac:dyDescent="0.3">
      <c r="A1059" s="17">
        <v>1118.58</v>
      </c>
      <c r="B1059" s="10">
        <v>280.8</v>
      </c>
      <c r="C1059" s="9">
        <v>1118.58</v>
      </c>
      <c r="D1059" s="10">
        <v>363</v>
      </c>
      <c r="E1059" s="11">
        <v>1118.58</v>
      </c>
      <c r="F1059" s="12">
        <v>341.5</v>
      </c>
      <c r="G1059" s="11">
        <v>1118.58</v>
      </c>
      <c r="H1059" s="12">
        <v>338.6</v>
      </c>
      <c r="I1059" s="11">
        <v>1118.58</v>
      </c>
      <c r="J1059" s="12">
        <v>341.3</v>
      </c>
      <c r="K1059" s="11">
        <v>1118.58</v>
      </c>
      <c r="L1059" s="12">
        <v>385.3</v>
      </c>
      <c r="M1059" s="11">
        <v>1118.58</v>
      </c>
      <c r="N1059" s="13">
        <v>280.8</v>
      </c>
      <c r="O1059" s="13">
        <v>363</v>
      </c>
      <c r="P1059" s="13">
        <v>341.5</v>
      </c>
      <c r="Q1059" s="11">
        <v>338.6</v>
      </c>
      <c r="R1059" s="11">
        <v>341.3</v>
      </c>
      <c r="S1059" s="14">
        <v>385.3</v>
      </c>
      <c r="T1059" s="11">
        <v>1118.58</v>
      </c>
      <c r="U1059" s="13">
        <f>IF('0.0%'!$N1059&lt;$Z$3,0, '0.0%'!$O1059/'0.0%'!$N1059)</f>
        <v>1.2927350427350426</v>
      </c>
      <c r="V1059" s="13">
        <f>IF('0.0%'!$N1059&lt;$Z$3,0, '0.0%'!$P1059/'0.0%'!$N1059)</f>
        <v>1.2161680911680912</v>
      </c>
      <c r="W1059" s="13">
        <f>IF('0.0%'!$N1059&lt;$Z$3,0, '0.0%'!$Q1059/'0.0%'!$N1059)</f>
        <v>1.2058404558404558</v>
      </c>
      <c r="X1059" s="13">
        <f>IF('0.0%'!$N1059&lt;$Z$3,0, '0.0%'!$R1059/'0.0%'!$N1059)</f>
        <v>1.2154558404558404</v>
      </c>
      <c r="Y1059" s="13">
        <f>IF('0.0%'!$N1059&lt;$Z$3,0, '0.0%'!$S1059/'0.0%'!$N1059)</f>
        <v>1.3721509971509971</v>
      </c>
    </row>
    <row r="1060" spans="1:25" x14ac:dyDescent="0.3">
      <c r="A1060" s="17">
        <v>1119.57</v>
      </c>
      <c r="B1060" s="10">
        <v>278.8</v>
      </c>
      <c r="C1060" s="9">
        <v>1119.57</v>
      </c>
      <c r="D1060" s="10">
        <v>360.6</v>
      </c>
      <c r="E1060" s="11">
        <v>1119.57</v>
      </c>
      <c r="F1060" s="12">
        <v>339.3</v>
      </c>
      <c r="G1060" s="11">
        <v>1119.57</v>
      </c>
      <c r="H1060" s="12">
        <v>336.3</v>
      </c>
      <c r="I1060" s="11">
        <v>1119.57</v>
      </c>
      <c r="J1060" s="12">
        <v>338.9</v>
      </c>
      <c r="K1060" s="11">
        <v>1119.57</v>
      </c>
      <c r="L1060" s="12">
        <v>382.9</v>
      </c>
      <c r="M1060" s="11">
        <v>1119.57</v>
      </c>
      <c r="N1060" s="13">
        <v>278.8</v>
      </c>
      <c r="O1060" s="13">
        <v>360.6</v>
      </c>
      <c r="P1060" s="13">
        <v>339.3</v>
      </c>
      <c r="Q1060" s="11">
        <v>336.3</v>
      </c>
      <c r="R1060" s="11">
        <v>338.9</v>
      </c>
      <c r="S1060" s="14">
        <v>382.9</v>
      </c>
      <c r="T1060" s="11">
        <v>1119.57</v>
      </c>
      <c r="U1060" s="13">
        <f>IF('0.0%'!$N1060&lt;$Z$3,0, '0.0%'!$O1060/'0.0%'!$N1060)</f>
        <v>1.293400286944046</v>
      </c>
      <c r="V1060" s="13">
        <f>IF('0.0%'!$N1060&lt;$Z$3,0, '0.0%'!$P1060/'0.0%'!$N1060)</f>
        <v>1.2170014347202296</v>
      </c>
      <c r="W1060" s="13">
        <f>IF('0.0%'!$N1060&lt;$Z$3,0, '0.0%'!$Q1060/'0.0%'!$N1060)</f>
        <v>1.2062410329985653</v>
      </c>
      <c r="X1060" s="13">
        <f>IF('0.0%'!$N1060&lt;$Z$3,0, '0.0%'!$R1060/'0.0%'!$N1060)</f>
        <v>1.2155667144906741</v>
      </c>
      <c r="Y1060" s="13">
        <f>IF('0.0%'!$N1060&lt;$Z$3,0, '0.0%'!$S1060/'0.0%'!$N1060)</f>
        <v>1.3733859397417503</v>
      </c>
    </row>
    <row r="1061" spans="1:25" x14ac:dyDescent="0.3">
      <c r="A1061" s="17">
        <v>1120.56</v>
      </c>
      <c r="B1061" s="10">
        <v>276.10000000000002</v>
      </c>
      <c r="C1061" s="9">
        <v>1120.56</v>
      </c>
      <c r="D1061" s="10">
        <v>357.4</v>
      </c>
      <c r="E1061" s="11">
        <v>1120.56</v>
      </c>
      <c r="F1061" s="12">
        <v>336.2</v>
      </c>
      <c r="G1061" s="11">
        <v>1120.56</v>
      </c>
      <c r="H1061" s="12">
        <v>333.2</v>
      </c>
      <c r="I1061" s="11">
        <v>1120.56</v>
      </c>
      <c r="J1061" s="12">
        <v>335.6</v>
      </c>
      <c r="K1061" s="11">
        <v>1120.56</v>
      </c>
      <c r="L1061" s="12">
        <v>379.6</v>
      </c>
      <c r="M1061" s="11">
        <v>1120.56</v>
      </c>
      <c r="N1061" s="13">
        <v>276.10000000000002</v>
      </c>
      <c r="O1061" s="13">
        <v>357.4</v>
      </c>
      <c r="P1061" s="13">
        <v>336.2</v>
      </c>
      <c r="Q1061" s="11">
        <v>333.2</v>
      </c>
      <c r="R1061" s="11">
        <v>335.6</v>
      </c>
      <c r="S1061" s="14">
        <v>379.6</v>
      </c>
      <c r="T1061" s="11">
        <v>1120.56</v>
      </c>
      <c r="U1061" s="13">
        <f>IF('0.0%'!$N1061&lt;$Z$3,0, '0.0%'!$O1061/'0.0%'!$N1061)</f>
        <v>1.2944585295182902</v>
      </c>
      <c r="V1061" s="13">
        <f>IF('0.0%'!$N1061&lt;$Z$3,0, '0.0%'!$P1061/'0.0%'!$N1061)</f>
        <v>1.2176747555233609</v>
      </c>
      <c r="W1061" s="13">
        <f>IF('0.0%'!$N1061&lt;$Z$3,0, '0.0%'!$Q1061/'0.0%'!$N1061)</f>
        <v>1.206809127127852</v>
      </c>
      <c r="X1061" s="13">
        <f>IF('0.0%'!$N1061&lt;$Z$3,0, '0.0%'!$R1061/'0.0%'!$N1061)</f>
        <v>1.2155016298442594</v>
      </c>
      <c r="Y1061" s="13">
        <f>IF('0.0%'!$N1061&lt;$Z$3,0, '0.0%'!$S1061/'0.0%'!$N1061)</f>
        <v>1.374864179645056</v>
      </c>
    </row>
    <row r="1062" spans="1:25" x14ac:dyDescent="0.3">
      <c r="A1062" s="17">
        <v>1121.55</v>
      </c>
      <c r="B1062" s="10">
        <v>274</v>
      </c>
      <c r="C1062" s="9">
        <v>1121.55</v>
      </c>
      <c r="D1062" s="10">
        <v>354.8</v>
      </c>
      <c r="E1062" s="11">
        <v>1121.55</v>
      </c>
      <c r="F1062" s="12">
        <v>333.9</v>
      </c>
      <c r="G1062" s="11">
        <v>1121.55</v>
      </c>
      <c r="H1062" s="12">
        <v>330.7</v>
      </c>
      <c r="I1062" s="11">
        <v>1121.55</v>
      </c>
      <c r="J1062" s="12">
        <v>333</v>
      </c>
      <c r="K1062" s="11">
        <v>1121.55</v>
      </c>
      <c r="L1062" s="12">
        <v>376.9</v>
      </c>
      <c r="M1062" s="11">
        <v>1121.55</v>
      </c>
      <c r="N1062" s="13">
        <v>274</v>
      </c>
      <c r="O1062" s="13">
        <v>354.8</v>
      </c>
      <c r="P1062" s="13">
        <v>333.9</v>
      </c>
      <c r="Q1062" s="11">
        <v>330.7</v>
      </c>
      <c r="R1062" s="11">
        <v>333</v>
      </c>
      <c r="S1062" s="14">
        <v>376.9</v>
      </c>
      <c r="T1062" s="11">
        <v>1121.55</v>
      </c>
      <c r="U1062" s="13">
        <f>IF('0.0%'!$N1062&lt;$Z$3,0, '0.0%'!$O1062/'0.0%'!$N1062)</f>
        <v>1.2948905109489051</v>
      </c>
      <c r="V1062" s="13">
        <f>IF('0.0%'!$N1062&lt;$Z$3,0, '0.0%'!$P1062/'0.0%'!$N1062)</f>
        <v>1.2186131386861314</v>
      </c>
      <c r="W1062" s="13">
        <f>IF('0.0%'!$N1062&lt;$Z$3,0, '0.0%'!$Q1062/'0.0%'!$N1062)</f>
        <v>1.206934306569343</v>
      </c>
      <c r="X1062" s="13">
        <f>IF('0.0%'!$N1062&lt;$Z$3,0, '0.0%'!$R1062/'0.0%'!$N1062)</f>
        <v>1.2153284671532847</v>
      </c>
      <c r="Y1062" s="13">
        <f>IF('0.0%'!$N1062&lt;$Z$3,0, '0.0%'!$S1062/'0.0%'!$N1062)</f>
        <v>1.3755474452554743</v>
      </c>
    </row>
    <row r="1063" spans="1:25" x14ac:dyDescent="0.3">
      <c r="A1063" s="17">
        <v>1122.54</v>
      </c>
      <c r="B1063" s="10">
        <v>271.39999999999998</v>
      </c>
      <c r="C1063" s="9">
        <v>1122.54</v>
      </c>
      <c r="D1063" s="10">
        <v>351.5</v>
      </c>
      <c r="E1063" s="11">
        <v>1122.54</v>
      </c>
      <c r="F1063" s="12">
        <v>330.8</v>
      </c>
      <c r="G1063" s="11">
        <v>1122.54</v>
      </c>
      <c r="H1063" s="12">
        <v>327.60000000000002</v>
      </c>
      <c r="I1063" s="11">
        <v>1122.54</v>
      </c>
      <c r="J1063" s="12">
        <v>329.8</v>
      </c>
      <c r="K1063" s="11">
        <v>1122.54</v>
      </c>
      <c r="L1063" s="12">
        <v>373.7</v>
      </c>
      <c r="M1063" s="11">
        <v>1122.54</v>
      </c>
      <c r="N1063" s="13">
        <v>271.39999999999998</v>
      </c>
      <c r="O1063" s="13">
        <v>351.5</v>
      </c>
      <c r="P1063" s="13">
        <v>330.8</v>
      </c>
      <c r="Q1063" s="11">
        <v>327.60000000000002</v>
      </c>
      <c r="R1063" s="11">
        <v>329.8</v>
      </c>
      <c r="S1063" s="14">
        <v>373.7</v>
      </c>
      <c r="T1063" s="11">
        <v>1122.54</v>
      </c>
      <c r="U1063" s="13">
        <f>IF('0.0%'!$N1063&lt;$Z$3,0, '0.0%'!$O1063/'0.0%'!$N1063)</f>
        <v>1.2951363301400149</v>
      </c>
      <c r="V1063" s="13">
        <f>IF('0.0%'!$N1063&lt;$Z$3,0, '0.0%'!$P1063/'0.0%'!$N1063)</f>
        <v>1.218865143699337</v>
      </c>
      <c r="W1063" s="13">
        <f>IF('0.0%'!$N1063&lt;$Z$3,0, '0.0%'!$Q1063/'0.0%'!$N1063)</f>
        <v>1.2070744288872515</v>
      </c>
      <c r="X1063" s="13">
        <f>IF('0.0%'!$N1063&lt;$Z$3,0, '0.0%'!$R1063/'0.0%'!$N1063)</f>
        <v>1.2151805453205602</v>
      </c>
      <c r="Y1063" s="13">
        <f>IF('0.0%'!$N1063&lt;$Z$3,0, '0.0%'!$S1063/'0.0%'!$N1063)</f>
        <v>1.3769344141488578</v>
      </c>
    </row>
    <row r="1064" spans="1:25" x14ac:dyDescent="0.3">
      <c r="A1064" s="17">
        <v>1123.53</v>
      </c>
      <c r="B1064" s="10">
        <v>269.5</v>
      </c>
      <c r="C1064" s="9">
        <v>1123.53</v>
      </c>
      <c r="D1064" s="10">
        <v>349</v>
      </c>
      <c r="E1064" s="11">
        <v>1123.53</v>
      </c>
      <c r="F1064" s="12">
        <v>328.6</v>
      </c>
      <c r="G1064" s="11">
        <v>1123.53</v>
      </c>
      <c r="H1064" s="12">
        <v>325.39999999999998</v>
      </c>
      <c r="I1064" s="11">
        <v>1123.53</v>
      </c>
      <c r="J1064" s="12">
        <v>327.39999999999998</v>
      </c>
      <c r="K1064" s="11">
        <v>1123.53</v>
      </c>
      <c r="L1064" s="12">
        <v>371.3</v>
      </c>
      <c r="M1064" s="11">
        <v>1123.53</v>
      </c>
      <c r="N1064" s="13">
        <v>269.5</v>
      </c>
      <c r="O1064" s="13">
        <v>349</v>
      </c>
      <c r="P1064" s="13">
        <v>328.6</v>
      </c>
      <c r="Q1064" s="11">
        <v>325.39999999999998</v>
      </c>
      <c r="R1064" s="11">
        <v>327.39999999999998</v>
      </c>
      <c r="S1064" s="14">
        <v>371.3</v>
      </c>
      <c r="T1064" s="11">
        <v>1123.53</v>
      </c>
      <c r="U1064" s="13">
        <f>IF('0.0%'!$N1064&lt;$Z$3,0, '0.0%'!$O1064/'0.0%'!$N1064)</f>
        <v>1.2949907235621521</v>
      </c>
      <c r="V1064" s="13">
        <f>IF('0.0%'!$N1064&lt;$Z$3,0, '0.0%'!$P1064/'0.0%'!$N1064)</f>
        <v>1.2192949907235622</v>
      </c>
      <c r="W1064" s="13">
        <f>IF('0.0%'!$N1064&lt;$Z$3,0, '0.0%'!$Q1064/'0.0%'!$N1064)</f>
        <v>1.207421150278293</v>
      </c>
      <c r="X1064" s="13">
        <f>IF('0.0%'!$N1064&lt;$Z$3,0, '0.0%'!$R1064/'0.0%'!$N1064)</f>
        <v>1.2148423005565863</v>
      </c>
      <c r="Y1064" s="13">
        <f>IF('0.0%'!$N1064&lt;$Z$3,0, '0.0%'!$S1064/'0.0%'!$N1064)</f>
        <v>1.3777365491651206</v>
      </c>
    </row>
    <row r="1065" spans="1:25" x14ac:dyDescent="0.3">
      <c r="A1065" s="17">
        <v>1124.53</v>
      </c>
      <c r="B1065" s="10">
        <v>267</v>
      </c>
      <c r="C1065" s="9">
        <v>1124.53</v>
      </c>
      <c r="D1065" s="10">
        <v>345.9</v>
      </c>
      <c r="E1065" s="11">
        <v>1124.53</v>
      </c>
      <c r="F1065" s="12">
        <v>325.7</v>
      </c>
      <c r="G1065" s="11">
        <v>1124.53</v>
      </c>
      <c r="H1065" s="12">
        <v>322.39999999999998</v>
      </c>
      <c r="I1065" s="11">
        <v>1124.53</v>
      </c>
      <c r="J1065" s="12">
        <v>324.2</v>
      </c>
      <c r="K1065" s="11">
        <v>1124.53</v>
      </c>
      <c r="L1065" s="12">
        <v>368.4</v>
      </c>
      <c r="M1065" s="11">
        <v>1124.53</v>
      </c>
      <c r="N1065" s="13">
        <v>267</v>
      </c>
      <c r="O1065" s="13">
        <v>345.9</v>
      </c>
      <c r="P1065" s="13">
        <v>325.7</v>
      </c>
      <c r="Q1065" s="11">
        <v>322.39999999999998</v>
      </c>
      <c r="R1065" s="11">
        <v>324.2</v>
      </c>
      <c r="S1065" s="14">
        <v>368.4</v>
      </c>
      <c r="T1065" s="11">
        <v>1124.53</v>
      </c>
      <c r="U1065" s="13">
        <f>IF('0.0%'!$N1065&lt;$Z$3,0, '0.0%'!$O1065/'0.0%'!$N1065)</f>
        <v>1.2955056179775279</v>
      </c>
      <c r="V1065" s="13">
        <f>IF('0.0%'!$N1065&lt;$Z$3,0, '0.0%'!$P1065/'0.0%'!$N1065)</f>
        <v>1.2198501872659175</v>
      </c>
      <c r="W1065" s="13">
        <f>IF('0.0%'!$N1065&lt;$Z$3,0, '0.0%'!$Q1065/'0.0%'!$N1065)</f>
        <v>1.2074906367041198</v>
      </c>
      <c r="X1065" s="13">
        <f>IF('0.0%'!$N1065&lt;$Z$3,0, '0.0%'!$R1065/'0.0%'!$N1065)</f>
        <v>1.2142322097378278</v>
      </c>
      <c r="Y1065" s="13">
        <f>IF('0.0%'!$N1065&lt;$Z$3,0, '0.0%'!$S1065/'0.0%'!$N1065)</f>
        <v>1.3797752808988764</v>
      </c>
    </row>
    <row r="1066" spans="1:25" x14ac:dyDescent="0.3">
      <c r="A1066" s="17">
        <v>1125.52</v>
      </c>
      <c r="B1066" s="10">
        <v>265.3</v>
      </c>
      <c r="C1066" s="9">
        <v>1125.52</v>
      </c>
      <c r="D1066" s="10">
        <v>343.7</v>
      </c>
      <c r="E1066" s="11">
        <v>1125.52</v>
      </c>
      <c r="F1066" s="12">
        <v>323.8</v>
      </c>
      <c r="G1066" s="11">
        <v>1125.52</v>
      </c>
      <c r="H1066" s="12">
        <v>320.5</v>
      </c>
      <c r="I1066" s="11">
        <v>1125.52</v>
      </c>
      <c r="J1066" s="12">
        <v>322.2</v>
      </c>
      <c r="K1066" s="11">
        <v>1125.52</v>
      </c>
      <c r="L1066" s="12">
        <v>366.6</v>
      </c>
      <c r="M1066" s="11">
        <v>1125.52</v>
      </c>
      <c r="N1066" s="13">
        <v>265.3</v>
      </c>
      <c r="O1066" s="13">
        <v>343.7</v>
      </c>
      <c r="P1066" s="13">
        <v>323.8</v>
      </c>
      <c r="Q1066" s="11">
        <v>320.5</v>
      </c>
      <c r="R1066" s="11">
        <v>322.2</v>
      </c>
      <c r="S1066" s="14">
        <v>366.6</v>
      </c>
      <c r="T1066" s="11">
        <v>1125.52</v>
      </c>
      <c r="U1066" s="13">
        <f>IF('0.0%'!$N1066&lt;$Z$3,0, '0.0%'!$O1066/'0.0%'!$N1066)</f>
        <v>1.2955145118733509</v>
      </c>
      <c r="V1066" s="13">
        <f>IF('0.0%'!$N1066&lt;$Z$3,0, '0.0%'!$P1066/'0.0%'!$N1066)</f>
        <v>1.2205050885789672</v>
      </c>
      <c r="W1066" s="13">
        <f>IF('0.0%'!$N1066&lt;$Z$3,0, '0.0%'!$Q1066/'0.0%'!$N1066)</f>
        <v>1.2080663399924614</v>
      </c>
      <c r="X1066" s="13">
        <f>IF('0.0%'!$N1066&lt;$Z$3,0, '0.0%'!$R1066/'0.0%'!$N1066)</f>
        <v>1.2144741801733885</v>
      </c>
      <c r="Y1066" s="13">
        <f>IF('0.0%'!$N1066&lt;$Z$3,0, '0.0%'!$S1066/'0.0%'!$N1066)</f>
        <v>1.3818318884281946</v>
      </c>
    </row>
    <row r="1067" spans="1:25" x14ac:dyDescent="0.3">
      <c r="A1067" s="17">
        <v>1126.51</v>
      </c>
      <c r="B1067" s="10">
        <v>263.39999999999998</v>
      </c>
      <c r="C1067" s="9">
        <v>1126.51</v>
      </c>
      <c r="D1067" s="10">
        <v>341.4</v>
      </c>
      <c r="E1067" s="11">
        <v>1126.51</v>
      </c>
      <c r="F1067" s="12">
        <v>321.7</v>
      </c>
      <c r="G1067" s="11">
        <v>1126.51</v>
      </c>
      <c r="H1067" s="12">
        <v>318.3</v>
      </c>
      <c r="I1067" s="11">
        <v>1126.51</v>
      </c>
      <c r="J1067" s="12">
        <v>319.8</v>
      </c>
      <c r="K1067" s="11">
        <v>1126.51</v>
      </c>
      <c r="L1067" s="12">
        <v>364.6</v>
      </c>
      <c r="M1067" s="11">
        <v>1126.51</v>
      </c>
      <c r="N1067" s="13">
        <v>263.39999999999998</v>
      </c>
      <c r="O1067" s="13">
        <v>341.4</v>
      </c>
      <c r="P1067" s="13">
        <v>321.7</v>
      </c>
      <c r="Q1067" s="11">
        <v>318.3</v>
      </c>
      <c r="R1067" s="11">
        <v>319.8</v>
      </c>
      <c r="S1067" s="14">
        <v>364.6</v>
      </c>
      <c r="T1067" s="11">
        <v>1126.51</v>
      </c>
      <c r="U1067" s="13">
        <f>IF('0.0%'!$N1067&lt;$Z$3,0, '0.0%'!$O1067/'0.0%'!$N1067)</f>
        <v>1.2961275626423689</v>
      </c>
      <c r="V1067" s="13">
        <f>IF('0.0%'!$N1067&lt;$Z$3,0, '0.0%'!$P1067/'0.0%'!$N1067)</f>
        <v>1.221336370539104</v>
      </c>
      <c r="W1067" s="13">
        <f>IF('0.0%'!$N1067&lt;$Z$3,0, '0.0%'!$Q1067/'0.0%'!$N1067)</f>
        <v>1.2084282460136675</v>
      </c>
      <c r="X1067" s="13">
        <f>IF('0.0%'!$N1067&lt;$Z$3,0, '0.0%'!$R1067/'0.0%'!$N1067)</f>
        <v>1.2141230068337132</v>
      </c>
      <c r="Y1067" s="13">
        <f>IF('0.0%'!$N1067&lt;$Z$3,0, '0.0%'!$S1067/'0.0%'!$N1067)</f>
        <v>1.3842065299924071</v>
      </c>
    </row>
    <row r="1068" spans="1:25" x14ac:dyDescent="0.3">
      <c r="A1068" s="17">
        <v>1127.5</v>
      </c>
      <c r="B1068" s="10">
        <v>262.3</v>
      </c>
      <c r="C1068" s="9">
        <v>1127.5</v>
      </c>
      <c r="D1068" s="10">
        <v>340</v>
      </c>
      <c r="E1068" s="11">
        <v>1127.5</v>
      </c>
      <c r="F1068" s="12">
        <v>320.60000000000002</v>
      </c>
      <c r="G1068" s="11">
        <v>1127.5</v>
      </c>
      <c r="H1068" s="12">
        <v>317.2</v>
      </c>
      <c r="I1068" s="11">
        <v>1127.5</v>
      </c>
      <c r="J1068" s="12">
        <v>318.7</v>
      </c>
      <c r="K1068" s="11">
        <v>1127.5</v>
      </c>
      <c r="L1068" s="12">
        <v>363.8</v>
      </c>
      <c r="M1068" s="11">
        <v>1127.5</v>
      </c>
      <c r="N1068" s="13">
        <v>262.3</v>
      </c>
      <c r="O1068" s="13">
        <v>340</v>
      </c>
      <c r="P1068" s="13">
        <v>320.60000000000002</v>
      </c>
      <c r="Q1068" s="11">
        <v>317.2</v>
      </c>
      <c r="R1068" s="11">
        <v>318.7</v>
      </c>
      <c r="S1068" s="14">
        <v>363.8</v>
      </c>
      <c r="T1068" s="11">
        <v>1127.5</v>
      </c>
      <c r="U1068" s="13">
        <f>IF('0.0%'!$N1068&lt;$Z$3,0, '0.0%'!$O1068/'0.0%'!$N1068)</f>
        <v>1.2962256957682043</v>
      </c>
      <c r="V1068" s="13">
        <f>IF('0.0%'!$N1068&lt;$Z$3,0, '0.0%'!$P1068/'0.0%'!$N1068)</f>
        <v>1.2222645825390774</v>
      </c>
      <c r="W1068" s="13">
        <f>IF('0.0%'!$N1068&lt;$Z$3,0, '0.0%'!$Q1068/'0.0%'!$N1068)</f>
        <v>1.2093023255813953</v>
      </c>
      <c r="X1068" s="13">
        <f>IF('0.0%'!$N1068&lt;$Z$3,0, '0.0%'!$R1068/'0.0%'!$N1068)</f>
        <v>1.2150209683568431</v>
      </c>
      <c r="Y1068" s="13">
        <f>IF('0.0%'!$N1068&lt;$Z$3,0, '0.0%'!$S1068/'0.0%'!$N1068)</f>
        <v>1.3869614944719786</v>
      </c>
    </row>
    <row r="1069" spans="1:25" x14ac:dyDescent="0.3">
      <c r="A1069" s="17">
        <v>1128.49</v>
      </c>
      <c r="B1069" s="10">
        <v>260.7</v>
      </c>
      <c r="C1069" s="9">
        <v>1128.49</v>
      </c>
      <c r="D1069" s="10">
        <v>338.1</v>
      </c>
      <c r="E1069" s="11">
        <v>1128.49</v>
      </c>
      <c r="F1069" s="12">
        <v>319</v>
      </c>
      <c r="G1069" s="11">
        <v>1128.49</v>
      </c>
      <c r="H1069" s="12">
        <v>315.5</v>
      </c>
      <c r="I1069" s="11">
        <v>1128.49</v>
      </c>
      <c r="J1069" s="12">
        <v>316.7</v>
      </c>
      <c r="K1069" s="11">
        <v>1128.49</v>
      </c>
      <c r="L1069" s="12">
        <v>362.2</v>
      </c>
      <c r="M1069" s="11">
        <v>1128.49</v>
      </c>
      <c r="N1069" s="13">
        <v>260.7</v>
      </c>
      <c r="O1069" s="13">
        <v>338.1</v>
      </c>
      <c r="P1069" s="13">
        <v>319</v>
      </c>
      <c r="Q1069" s="11">
        <v>315.5</v>
      </c>
      <c r="R1069" s="11">
        <v>316.7</v>
      </c>
      <c r="S1069" s="14">
        <v>362.2</v>
      </c>
      <c r="T1069" s="11">
        <v>1128.49</v>
      </c>
      <c r="U1069" s="13">
        <f>IF('0.0%'!$N1069&lt;$Z$3,0, '0.0%'!$O1069/'0.0%'!$N1069)</f>
        <v>1.2968929804372844</v>
      </c>
      <c r="V1069" s="13">
        <f>IF('0.0%'!$N1069&lt;$Z$3,0, '0.0%'!$P1069/'0.0%'!$N1069)</f>
        <v>1.2236286919831225</v>
      </c>
      <c r="W1069" s="13">
        <f>IF('0.0%'!$N1069&lt;$Z$3,0, '0.0%'!$Q1069/'0.0%'!$N1069)</f>
        <v>1.2102032988108937</v>
      </c>
      <c r="X1069" s="13">
        <f>IF('0.0%'!$N1069&lt;$Z$3,0, '0.0%'!$R1069/'0.0%'!$N1069)</f>
        <v>1.2148062907556578</v>
      </c>
      <c r="Y1069" s="13">
        <f>IF('0.0%'!$N1069&lt;$Z$3,0, '0.0%'!$S1069/'0.0%'!$N1069)</f>
        <v>1.3893364019946299</v>
      </c>
    </row>
    <row r="1070" spans="1:25" x14ac:dyDescent="0.3">
      <c r="A1070" s="17">
        <v>1129.48</v>
      </c>
      <c r="B1070" s="10">
        <v>259.7</v>
      </c>
      <c r="C1070" s="9">
        <v>1129.48</v>
      </c>
      <c r="D1070" s="10">
        <v>336.9</v>
      </c>
      <c r="E1070" s="11">
        <v>1129.48</v>
      </c>
      <c r="F1070" s="12">
        <v>318</v>
      </c>
      <c r="G1070" s="11">
        <v>1129.48</v>
      </c>
      <c r="H1070" s="12">
        <v>314.5</v>
      </c>
      <c r="I1070" s="11">
        <v>1129.48</v>
      </c>
      <c r="J1070" s="12">
        <v>315.5</v>
      </c>
      <c r="K1070" s="11">
        <v>1129.48</v>
      </c>
      <c r="L1070" s="12">
        <v>361.4</v>
      </c>
      <c r="M1070" s="11">
        <v>1129.48</v>
      </c>
      <c r="N1070" s="13">
        <v>259.7</v>
      </c>
      <c r="O1070" s="13">
        <v>336.9</v>
      </c>
      <c r="P1070" s="13">
        <v>318</v>
      </c>
      <c r="Q1070" s="11">
        <v>314.5</v>
      </c>
      <c r="R1070" s="11">
        <v>315.5</v>
      </c>
      <c r="S1070" s="14">
        <v>361.4</v>
      </c>
      <c r="T1070" s="11">
        <v>1129.48</v>
      </c>
      <c r="U1070" s="13">
        <f>IF('0.0%'!$N1070&lt;$Z$3,0, '0.0%'!$O1070/'0.0%'!$N1070)</f>
        <v>1.2972660762418176</v>
      </c>
      <c r="V1070" s="13">
        <f>IF('0.0%'!$N1070&lt;$Z$3,0, '0.0%'!$P1070/'0.0%'!$N1070)</f>
        <v>1.2244897959183674</v>
      </c>
      <c r="W1070" s="13">
        <f>IF('0.0%'!$N1070&lt;$Z$3,0, '0.0%'!$Q1070/'0.0%'!$N1070)</f>
        <v>1.2110127069695804</v>
      </c>
      <c r="X1070" s="13">
        <f>IF('0.0%'!$N1070&lt;$Z$3,0, '0.0%'!$R1070/'0.0%'!$N1070)</f>
        <v>1.2148633038120908</v>
      </c>
      <c r="Y1070" s="13">
        <f>IF('0.0%'!$N1070&lt;$Z$3,0, '0.0%'!$S1070/'0.0%'!$N1070)</f>
        <v>1.391605698883327</v>
      </c>
    </row>
    <row r="1071" spans="1:25" x14ac:dyDescent="0.3">
      <c r="A1071" s="17">
        <v>1130.48</v>
      </c>
      <c r="B1071" s="10">
        <v>258.3</v>
      </c>
      <c r="C1071" s="9">
        <v>1130.48</v>
      </c>
      <c r="D1071" s="10">
        <v>335.3</v>
      </c>
      <c r="E1071" s="11">
        <v>1130.48</v>
      </c>
      <c r="F1071" s="12">
        <v>316.60000000000002</v>
      </c>
      <c r="G1071" s="11">
        <v>1130.48</v>
      </c>
      <c r="H1071" s="12">
        <v>313</v>
      </c>
      <c r="I1071" s="11">
        <v>1130.48</v>
      </c>
      <c r="J1071" s="12">
        <v>313.8</v>
      </c>
      <c r="K1071" s="11">
        <v>1130.48</v>
      </c>
      <c r="L1071" s="12">
        <v>360.2</v>
      </c>
      <c r="M1071" s="11">
        <v>1130.48</v>
      </c>
      <c r="N1071" s="13">
        <v>258.3</v>
      </c>
      <c r="O1071" s="13">
        <v>335.3</v>
      </c>
      <c r="P1071" s="13">
        <v>316.60000000000002</v>
      </c>
      <c r="Q1071" s="11">
        <v>313</v>
      </c>
      <c r="R1071" s="11">
        <v>313.8</v>
      </c>
      <c r="S1071" s="14">
        <v>360.2</v>
      </c>
      <c r="T1071" s="11">
        <v>1130.48</v>
      </c>
      <c r="U1071" s="13">
        <f>IF('0.0%'!$N1071&lt;$Z$3,0, '0.0%'!$O1071/'0.0%'!$N1071)</f>
        <v>1.2981029810298104</v>
      </c>
      <c r="V1071" s="13">
        <f>IF('0.0%'!$N1071&lt;$Z$3,0, '0.0%'!$P1071/'0.0%'!$N1071)</f>
        <v>1.2257065427797136</v>
      </c>
      <c r="W1071" s="13">
        <f>IF('0.0%'!$N1071&lt;$Z$3,0, '0.0%'!$Q1071/'0.0%'!$N1071)</f>
        <v>1.2117692605497483</v>
      </c>
      <c r="X1071" s="13">
        <f>IF('0.0%'!$N1071&lt;$Z$3,0, '0.0%'!$R1071/'0.0%'!$N1071)</f>
        <v>1.2148664343786295</v>
      </c>
      <c r="Y1071" s="13">
        <f>IF('0.0%'!$N1071&lt;$Z$3,0, '0.0%'!$S1071/'0.0%'!$N1071)</f>
        <v>1.3945025164537359</v>
      </c>
    </row>
    <row r="1072" spans="1:25" x14ac:dyDescent="0.3">
      <c r="A1072" s="17">
        <v>1131.47</v>
      </c>
      <c r="B1072" s="10">
        <v>257.7</v>
      </c>
      <c r="C1072" s="9">
        <v>1131.47</v>
      </c>
      <c r="D1072" s="10">
        <v>334.6</v>
      </c>
      <c r="E1072" s="11">
        <v>1131.47</v>
      </c>
      <c r="F1072" s="12">
        <v>316.2</v>
      </c>
      <c r="G1072" s="11">
        <v>1131.47</v>
      </c>
      <c r="H1072" s="12">
        <v>312.7</v>
      </c>
      <c r="I1072" s="11">
        <v>1131.47</v>
      </c>
      <c r="J1072" s="12">
        <v>313.3</v>
      </c>
      <c r="K1072" s="11">
        <v>1131.47</v>
      </c>
      <c r="L1072" s="12">
        <v>360.1</v>
      </c>
      <c r="M1072" s="11">
        <v>1131.47</v>
      </c>
      <c r="N1072" s="13">
        <v>257.7</v>
      </c>
      <c r="O1072" s="13">
        <v>334.6</v>
      </c>
      <c r="P1072" s="13">
        <v>316.2</v>
      </c>
      <c r="Q1072" s="11">
        <v>312.7</v>
      </c>
      <c r="R1072" s="11">
        <v>313.3</v>
      </c>
      <c r="S1072" s="14">
        <v>360.1</v>
      </c>
      <c r="T1072" s="11">
        <v>1131.47</v>
      </c>
      <c r="U1072" s="13">
        <f>IF('0.0%'!$N1072&lt;$Z$3,0, '0.0%'!$O1072/'0.0%'!$N1072)</f>
        <v>1.2984090027163371</v>
      </c>
      <c r="V1072" s="13">
        <f>IF('0.0%'!$N1072&lt;$Z$3,0, '0.0%'!$P1072/'0.0%'!$N1072)</f>
        <v>1.2270081490104774</v>
      </c>
      <c r="W1072" s="13">
        <f>IF('0.0%'!$N1072&lt;$Z$3,0, '0.0%'!$Q1072/'0.0%'!$N1072)</f>
        <v>1.2134264648816453</v>
      </c>
      <c r="X1072" s="13">
        <f>IF('0.0%'!$N1072&lt;$Z$3,0, '0.0%'!$R1072/'0.0%'!$N1072)</f>
        <v>1.2157547535894453</v>
      </c>
      <c r="Y1072" s="13">
        <f>IF('0.0%'!$N1072&lt;$Z$3,0, '0.0%'!$S1072/'0.0%'!$N1072)</f>
        <v>1.3973612727978271</v>
      </c>
    </row>
    <row r="1073" spans="1:25" x14ac:dyDescent="0.3">
      <c r="A1073" s="17">
        <v>1132.46</v>
      </c>
      <c r="B1073" s="10">
        <v>256.8</v>
      </c>
      <c r="C1073" s="9">
        <v>1132.46</v>
      </c>
      <c r="D1073" s="10">
        <v>333.5</v>
      </c>
      <c r="E1073" s="11">
        <v>1132.46</v>
      </c>
      <c r="F1073" s="12">
        <v>315.39999999999998</v>
      </c>
      <c r="G1073" s="11">
        <v>1132.46</v>
      </c>
      <c r="H1073" s="12">
        <v>311.89999999999998</v>
      </c>
      <c r="I1073" s="11">
        <v>1132.46</v>
      </c>
      <c r="J1073" s="12">
        <v>312.2</v>
      </c>
      <c r="K1073" s="11">
        <v>1132.46</v>
      </c>
      <c r="L1073" s="12">
        <v>359.6</v>
      </c>
      <c r="M1073" s="11">
        <v>1132.46</v>
      </c>
      <c r="N1073" s="13">
        <v>256.8</v>
      </c>
      <c r="O1073" s="13">
        <v>333.5</v>
      </c>
      <c r="P1073" s="13">
        <v>315.39999999999998</v>
      </c>
      <c r="Q1073" s="11">
        <v>311.89999999999998</v>
      </c>
      <c r="R1073" s="11">
        <v>312.2</v>
      </c>
      <c r="S1073" s="14">
        <v>359.6</v>
      </c>
      <c r="T1073" s="11">
        <v>1132.46</v>
      </c>
      <c r="U1073" s="13">
        <f>IF('0.0%'!$N1073&lt;$Z$3,0, '0.0%'!$O1073/'0.0%'!$N1073)</f>
        <v>1.2986760124610592</v>
      </c>
      <c r="V1073" s="13">
        <f>IF('0.0%'!$N1073&lt;$Z$3,0, '0.0%'!$P1073/'0.0%'!$N1073)</f>
        <v>1.2281931464174454</v>
      </c>
      <c r="W1073" s="13">
        <f>IF('0.0%'!$N1073&lt;$Z$3,0, '0.0%'!$Q1073/'0.0%'!$N1073)</f>
        <v>1.2145638629283488</v>
      </c>
      <c r="X1073" s="13">
        <f>IF('0.0%'!$N1073&lt;$Z$3,0, '0.0%'!$R1073/'0.0%'!$N1073)</f>
        <v>1.2157320872274142</v>
      </c>
      <c r="Y1073" s="13">
        <f>IF('0.0%'!$N1073&lt;$Z$3,0, '0.0%'!$S1073/'0.0%'!$N1073)</f>
        <v>1.4003115264797508</v>
      </c>
    </row>
    <row r="1074" spans="1:25" x14ac:dyDescent="0.3">
      <c r="A1074" s="17">
        <v>1133.45</v>
      </c>
      <c r="B1074" s="10">
        <v>256.7</v>
      </c>
      <c r="C1074" s="9">
        <v>1133.45</v>
      </c>
      <c r="D1074" s="10">
        <v>333.3</v>
      </c>
      <c r="E1074" s="11">
        <v>1133.45</v>
      </c>
      <c r="F1074" s="12">
        <v>315.7</v>
      </c>
      <c r="G1074" s="11">
        <v>1133.45</v>
      </c>
      <c r="H1074" s="12">
        <v>312.2</v>
      </c>
      <c r="I1074" s="11">
        <v>1133.45</v>
      </c>
      <c r="J1074" s="12">
        <v>312.2</v>
      </c>
      <c r="K1074" s="11">
        <v>1133.45</v>
      </c>
      <c r="L1074" s="12">
        <v>360.1</v>
      </c>
      <c r="M1074" s="11">
        <v>1133.45</v>
      </c>
      <c r="N1074" s="13">
        <v>256.7</v>
      </c>
      <c r="O1074" s="13">
        <v>333.3</v>
      </c>
      <c r="P1074" s="13">
        <v>315.7</v>
      </c>
      <c r="Q1074" s="11">
        <v>312.2</v>
      </c>
      <c r="R1074" s="11">
        <v>312.2</v>
      </c>
      <c r="S1074" s="14">
        <v>360.1</v>
      </c>
      <c r="T1074" s="11">
        <v>1133.45</v>
      </c>
      <c r="U1074" s="13">
        <f>IF('0.0%'!$N1074&lt;$Z$3,0, '0.0%'!$O1074/'0.0%'!$N1074)</f>
        <v>1.2984028048305416</v>
      </c>
      <c r="V1074" s="13">
        <f>IF('0.0%'!$N1074&lt;$Z$3,0, '0.0%'!$P1074/'0.0%'!$N1074)</f>
        <v>1.2298402804830542</v>
      </c>
      <c r="W1074" s="13">
        <f>IF('0.0%'!$N1074&lt;$Z$3,0, '0.0%'!$Q1074/'0.0%'!$N1074)</f>
        <v>1.2162056875730425</v>
      </c>
      <c r="X1074" s="13">
        <f>IF('0.0%'!$N1074&lt;$Z$3,0, '0.0%'!$R1074/'0.0%'!$N1074)</f>
        <v>1.2162056875730425</v>
      </c>
      <c r="Y1074" s="13">
        <f>IF('0.0%'!$N1074&lt;$Z$3,0, '0.0%'!$S1074/'0.0%'!$N1074)</f>
        <v>1.4028048305414882</v>
      </c>
    </row>
    <row r="1075" spans="1:25" x14ac:dyDescent="0.3">
      <c r="A1075" s="17">
        <v>1134.44</v>
      </c>
      <c r="B1075" s="10">
        <v>256.2</v>
      </c>
      <c r="C1075" s="9">
        <v>1134.44</v>
      </c>
      <c r="D1075" s="10">
        <v>332.8</v>
      </c>
      <c r="E1075" s="11">
        <v>1134.44</v>
      </c>
      <c r="F1075" s="12">
        <v>315.5</v>
      </c>
      <c r="G1075" s="11">
        <v>1134.44</v>
      </c>
      <c r="H1075" s="12">
        <v>312.2</v>
      </c>
      <c r="I1075" s="11">
        <v>1134.44</v>
      </c>
      <c r="J1075" s="12">
        <v>311.7</v>
      </c>
      <c r="K1075" s="11">
        <v>1134.44</v>
      </c>
      <c r="L1075" s="12">
        <v>360.2</v>
      </c>
      <c r="M1075" s="11">
        <v>1134.44</v>
      </c>
      <c r="N1075" s="13">
        <v>256.2</v>
      </c>
      <c r="O1075" s="13">
        <v>332.8</v>
      </c>
      <c r="P1075" s="13">
        <v>315.5</v>
      </c>
      <c r="Q1075" s="11">
        <v>312.2</v>
      </c>
      <c r="R1075" s="11">
        <v>311.7</v>
      </c>
      <c r="S1075" s="14">
        <v>360.2</v>
      </c>
      <c r="T1075" s="11">
        <v>1134.44</v>
      </c>
      <c r="U1075" s="13">
        <f>IF('0.0%'!$N1075&lt;$Z$3,0, '0.0%'!$O1075/'0.0%'!$N1075)</f>
        <v>1.298985167837627</v>
      </c>
      <c r="V1075" s="13">
        <f>IF('0.0%'!$N1075&lt;$Z$3,0, '0.0%'!$P1075/'0.0%'!$N1075)</f>
        <v>1.2314597970335677</v>
      </c>
      <c r="W1075" s="13">
        <f>IF('0.0%'!$N1075&lt;$Z$3,0, '0.0%'!$Q1075/'0.0%'!$N1075)</f>
        <v>1.2185792349726776</v>
      </c>
      <c r="X1075" s="13">
        <f>IF('0.0%'!$N1075&lt;$Z$3,0, '0.0%'!$R1075/'0.0%'!$N1075)</f>
        <v>1.2166276346604215</v>
      </c>
      <c r="Y1075" s="13">
        <f>IF('0.0%'!$N1075&lt;$Z$3,0, '0.0%'!$S1075/'0.0%'!$N1075)</f>
        <v>1.4059328649492584</v>
      </c>
    </row>
    <row r="1076" spans="1:25" x14ac:dyDescent="0.3">
      <c r="A1076" s="17">
        <v>1135.44</v>
      </c>
      <c r="B1076" s="10">
        <v>256.8</v>
      </c>
      <c r="C1076" s="9">
        <v>1135.44</v>
      </c>
      <c r="D1076" s="10">
        <v>333.4</v>
      </c>
      <c r="E1076" s="11">
        <v>1135.44</v>
      </c>
      <c r="F1076" s="12">
        <v>316.5</v>
      </c>
      <c r="G1076" s="11">
        <v>1135.44</v>
      </c>
      <c r="H1076" s="12">
        <v>313.2</v>
      </c>
      <c r="I1076" s="11">
        <v>1135.44</v>
      </c>
      <c r="J1076" s="12">
        <v>312.5</v>
      </c>
      <c r="K1076" s="11">
        <v>1135.44</v>
      </c>
      <c r="L1076" s="12">
        <v>361.6</v>
      </c>
      <c r="M1076" s="11">
        <v>1135.44</v>
      </c>
      <c r="N1076" s="13">
        <v>256.8</v>
      </c>
      <c r="O1076" s="13">
        <v>333.4</v>
      </c>
      <c r="P1076" s="13">
        <v>316.5</v>
      </c>
      <c r="Q1076" s="11">
        <v>313.2</v>
      </c>
      <c r="R1076" s="11">
        <v>312.5</v>
      </c>
      <c r="S1076" s="14">
        <v>361.6</v>
      </c>
      <c r="T1076" s="11">
        <v>1135.44</v>
      </c>
      <c r="U1076" s="13">
        <f>IF('0.0%'!$N1076&lt;$Z$3,0, '0.0%'!$O1076/'0.0%'!$N1076)</f>
        <v>1.2982866043613706</v>
      </c>
      <c r="V1076" s="13">
        <f>IF('0.0%'!$N1076&lt;$Z$3,0, '0.0%'!$P1076/'0.0%'!$N1076)</f>
        <v>1.2324766355140186</v>
      </c>
      <c r="W1076" s="13">
        <f>IF('0.0%'!$N1076&lt;$Z$3,0, '0.0%'!$Q1076/'0.0%'!$N1076)</f>
        <v>1.219626168224299</v>
      </c>
      <c r="X1076" s="13">
        <f>IF('0.0%'!$N1076&lt;$Z$3,0, '0.0%'!$R1076/'0.0%'!$N1076)</f>
        <v>1.2169003115264796</v>
      </c>
      <c r="Y1076" s="13">
        <f>IF('0.0%'!$N1076&lt;$Z$3,0, '0.0%'!$S1076/'0.0%'!$N1076)</f>
        <v>1.4080996884735202</v>
      </c>
    </row>
    <row r="1077" spans="1:25" x14ac:dyDescent="0.3">
      <c r="A1077" s="17">
        <v>1136.43</v>
      </c>
      <c r="B1077" s="10">
        <v>256.89999999999998</v>
      </c>
      <c r="C1077" s="9">
        <v>1136.43</v>
      </c>
      <c r="D1077" s="10">
        <v>333.7</v>
      </c>
      <c r="E1077" s="11">
        <v>1136.43</v>
      </c>
      <c r="F1077" s="12">
        <v>317</v>
      </c>
      <c r="G1077" s="11">
        <v>1136.43</v>
      </c>
      <c r="H1077" s="12">
        <v>313.8</v>
      </c>
      <c r="I1077" s="11">
        <v>1136.43</v>
      </c>
      <c r="J1077" s="12">
        <v>312.7</v>
      </c>
      <c r="K1077" s="11">
        <v>1136.43</v>
      </c>
      <c r="L1077" s="12">
        <v>362.7</v>
      </c>
      <c r="M1077" s="11">
        <v>1136.43</v>
      </c>
      <c r="N1077" s="13">
        <v>256.89999999999998</v>
      </c>
      <c r="O1077" s="13">
        <v>333.7</v>
      </c>
      <c r="P1077" s="13">
        <v>317</v>
      </c>
      <c r="Q1077" s="11">
        <v>313.8</v>
      </c>
      <c r="R1077" s="11">
        <v>312.7</v>
      </c>
      <c r="S1077" s="14">
        <v>362.7</v>
      </c>
      <c r="T1077" s="11">
        <v>1136.43</v>
      </c>
      <c r="U1077" s="13">
        <f>IF('0.0%'!$N1077&lt;$Z$3,0, '0.0%'!$O1077/'0.0%'!$N1077)</f>
        <v>1.298949007395874</v>
      </c>
      <c r="V1077" s="13">
        <f>IF('0.0%'!$N1077&lt;$Z$3,0, '0.0%'!$P1077/'0.0%'!$N1077)</f>
        <v>1.2339431685480733</v>
      </c>
      <c r="W1077" s="13">
        <f>IF('0.0%'!$N1077&lt;$Z$3,0, '0.0%'!$Q1077/'0.0%'!$N1077)</f>
        <v>1.2214869599065785</v>
      </c>
      <c r="X1077" s="13">
        <f>IF('0.0%'!$N1077&lt;$Z$3,0, '0.0%'!$R1077/'0.0%'!$N1077)</f>
        <v>1.2172051381860647</v>
      </c>
      <c r="Y1077" s="13">
        <f>IF('0.0%'!$N1077&lt;$Z$3,0, '0.0%'!$S1077/'0.0%'!$N1077)</f>
        <v>1.41183339820942</v>
      </c>
    </row>
    <row r="1078" spans="1:25" x14ac:dyDescent="0.3">
      <c r="A1078" s="17">
        <v>1137.42</v>
      </c>
      <c r="B1078" s="10">
        <v>258.10000000000002</v>
      </c>
      <c r="C1078" s="9">
        <v>1137.42</v>
      </c>
      <c r="D1078" s="10">
        <v>335.2</v>
      </c>
      <c r="E1078" s="11">
        <v>1137.42</v>
      </c>
      <c r="F1078" s="12">
        <v>318.8</v>
      </c>
      <c r="G1078" s="11">
        <v>1137.42</v>
      </c>
      <c r="H1078" s="12">
        <v>315.7</v>
      </c>
      <c r="I1078" s="11">
        <v>1137.42</v>
      </c>
      <c r="J1078" s="12">
        <v>314.10000000000002</v>
      </c>
      <c r="K1078" s="11">
        <v>1137.42</v>
      </c>
      <c r="L1078" s="12">
        <v>365.1</v>
      </c>
      <c r="M1078" s="11">
        <v>1137.42</v>
      </c>
      <c r="N1078" s="13">
        <v>258.10000000000002</v>
      </c>
      <c r="O1078" s="13">
        <v>335.2</v>
      </c>
      <c r="P1078" s="13">
        <v>318.8</v>
      </c>
      <c r="Q1078" s="11">
        <v>315.7</v>
      </c>
      <c r="R1078" s="11">
        <v>314.10000000000002</v>
      </c>
      <c r="S1078" s="14">
        <v>365.1</v>
      </c>
      <c r="T1078" s="11">
        <v>1137.42</v>
      </c>
      <c r="U1078" s="13">
        <f>IF('0.0%'!$N1078&lt;$Z$3,0, '0.0%'!$O1078/'0.0%'!$N1078)</f>
        <v>1.2987214258039519</v>
      </c>
      <c r="V1078" s="13">
        <f>IF('0.0%'!$N1078&lt;$Z$3,0, '0.0%'!$P1078/'0.0%'!$N1078)</f>
        <v>1.2351801627276249</v>
      </c>
      <c r="W1078" s="13">
        <f>IF('0.0%'!$N1078&lt;$Z$3,0, '0.0%'!$Q1078/'0.0%'!$N1078)</f>
        <v>1.2231693142192948</v>
      </c>
      <c r="X1078" s="13">
        <f>IF('0.0%'!$N1078&lt;$Z$3,0, '0.0%'!$R1078/'0.0%'!$N1078)</f>
        <v>1.2169701666020922</v>
      </c>
      <c r="Y1078" s="13">
        <f>IF('0.0%'!$N1078&lt;$Z$3,0, '0.0%'!$S1078/'0.0%'!$N1078)</f>
        <v>1.4145679969004261</v>
      </c>
    </row>
    <row r="1079" spans="1:25" x14ac:dyDescent="0.3">
      <c r="A1079" s="17">
        <v>1138.4100000000001</v>
      </c>
      <c r="B1079" s="10">
        <v>259</v>
      </c>
      <c r="C1079" s="9">
        <v>1138.4100000000001</v>
      </c>
      <c r="D1079" s="10">
        <v>336.5</v>
      </c>
      <c r="E1079" s="11">
        <v>1138.4100000000001</v>
      </c>
      <c r="F1079" s="12">
        <v>320.39999999999998</v>
      </c>
      <c r="G1079" s="11">
        <v>1138.4100000000001</v>
      </c>
      <c r="H1079" s="12">
        <v>317.39999999999998</v>
      </c>
      <c r="I1079" s="11">
        <v>1138.4100000000001</v>
      </c>
      <c r="J1079" s="12">
        <v>315.3</v>
      </c>
      <c r="K1079" s="11">
        <v>1138.4100000000001</v>
      </c>
      <c r="L1079" s="12">
        <v>367.5</v>
      </c>
      <c r="M1079" s="11">
        <v>1138.4100000000001</v>
      </c>
      <c r="N1079" s="13">
        <v>259</v>
      </c>
      <c r="O1079" s="13">
        <v>336.5</v>
      </c>
      <c r="P1079" s="13">
        <v>320.39999999999998</v>
      </c>
      <c r="Q1079" s="11">
        <v>317.39999999999998</v>
      </c>
      <c r="R1079" s="11">
        <v>315.3</v>
      </c>
      <c r="S1079" s="14">
        <v>367.5</v>
      </c>
      <c r="T1079" s="11">
        <v>1138.4100000000001</v>
      </c>
      <c r="U1079" s="13">
        <f>IF('0.0%'!$N1079&lt;$Z$3,0, '0.0%'!$O1079/'0.0%'!$N1079)</f>
        <v>1.2992277992277992</v>
      </c>
      <c r="V1079" s="13">
        <f>IF('0.0%'!$N1079&lt;$Z$3,0, '0.0%'!$P1079/'0.0%'!$N1079)</f>
        <v>1.237065637065637</v>
      </c>
      <c r="W1079" s="13">
        <f>IF('0.0%'!$N1079&lt;$Z$3,0, '0.0%'!$Q1079/'0.0%'!$N1079)</f>
        <v>1.2254826254826254</v>
      </c>
      <c r="X1079" s="13">
        <f>IF('0.0%'!$N1079&lt;$Z$3,0, '0.0%'!$R1079/'0.0%'!$N1079)</f>
        <v>1.2173745173745174</v>
      </c>
      <c r="Y1079" s="13">
        <f>IF('0.0%'!$N1079&lt;$Z$3,0, '0.0%'!$S1079/'0.0%'!$N1079)</f>
        <v>1.4189189189189189</v>
      </c>
    </row>
    <row r="1080" spans="1:25" x14ac:dyDescent="0.3">
      <c r="A1080" s="17">
        <v>1139.4000000000001</v>
      </c>
      <c r="B1080" s="10">
        <v>261.2</v>
      </c>
      <c r="C1080" s="9">
        <v>1139.4000000000001</v>
      </c>
      <c r="D1080" s="10">
        <v>339.3</v>
      </c>
      <c r="E1080" s="11">
        <v>1139.4000000000001</v>
      </c>
      <c r="F1080" s="12">
        <v>323.39999999999998</v>
      </c>
      <c r="G1080" s="11">
        <v>1139.4000000000001</v>
      </c>
      <c r="H1080" s="12">
        <v>320.5</v>
      </c>
      <c r="I1080" s="11">
        <v>1139.4000000000001</v>
      </c>
      <c r="J1080" s="12">
        <v>318</v>
      </c>
      <c r="K1080" s="11">
        <v>1139.4000000000001</v>
      </c>
      <c r="L1080" s="12">
        <v>371.5</v>
      </c>
      <c r="M1080" s="11">
        <v>1139.4000000000001</v>
      </c>
      <c r="N1080" s="13">
        <v>261.2</v>
      </c>
      <c r="O1080" s="13">
        <v>339.3</v>
      </c>
      <c r="P1080" s="13">
        <v>323.39999999999998</v>
      </c>
      <c r="Q1080" s="11">
        <v>320.5</v>
      </c>
      <c r="R1080" s="11">
        <v>318</v>
      </c>
      <c r="S1080" s="14">
        <v>371.5</v>
      </c>
      <c r="T1080" s="11">
        <v>1139.4000000000001</v>
      </c>
      <c r="U1080" s="13">
        <f>IF('0.0%'!$N1080&lt;$Z$3,0, '0.0%'!$O1080/'0.0%'!$N1080)</f>
        <v>1.2990045941807045</v>
      </c>
      <c r="V1080" s="13">
        <f>IF('0.0%'!$N1080&lt;$Z$3,0, '0.0%'!$P1080/'0.0%'!$N1080)</f>
        <v>1.2381316998468606</v>
      </c>
      <c r="W1080" s="13">
        <f>IF('0.0%'!$N1080&lt;$Z$3,0, '0.0%'!$Q1080/'0.0%'!$N1080)</f>
        <v>1.2270290964777948</v>
      </c>
      <c r="X1080" s="13">
        <f>IF('0.0%'!$N1080&lt;$Z$3,0, '0.0%'!$R1080/'0.0%'!$N1080)</f>
        <v>1.2174578866768759</v>
      </c>
      <c r="Y1080" s="13">
        <f>IF('0.0%'!$N1080&lt;$Z$3,0, '0.0%'!$S1080/'0.0%'!$N1080)</f>
        <v>1.4222817764165392</v>
      </c>
    </row>
    <row r="1081" spans="1:25" x14ac:dyDescent="0.3">
      <c r="A1081" s="17">
        <v>1140.3900000000001</v>
      </c>
      <c r="B1081" s="10">
        <v>263.2</v>
      </c>
      <c r="C1081" s="9">
        <v>1140.3900000000001</v>
      </c>
      <c r="D1081" s="10">
        <v>341.9</v>
      </c>
      <c r="E1081" s="11">
        <v>1140.3900000000001</v>
      </c>
      <c r="F1081" s="12">
        <v>326.39999999999998</v>
      </c>
      <c r="G1081" s="11">
        <v>1140.3900000000001</v>
      </c>
      <c r="H1081" s="12">
        <v>323.60000000000002</v>
      </c>
      <c r="I1081" s="11">
        <v>1140.3900000000001</v>
      </c>
      <c r="J1081" s="12">
        <v>320.39999999999998</v>
      </c>
      <c r="K1081" s="11">
        <v>1140.3900000000001</v>
      </c>
      <c r="L1081" s="12">
        <v>375.4</v>
      </c>
      <c r="M1081" s="11">
        <v>1140.3900000000001</v>
      </c>
      <c r="N1081" s="13">
        <v>263.2</v>
      </c>
      <c r="O1081" s="13">
        <v>341.9</v>
      </c>
      <c r="P1081" s="13">
        <v>326.39999999999998</v>
      </c>
      <c r="Q1081" s="11">
        <v>323.60000000000002</v>
      </c>
      <c r="R1081" s="11">
        <v>320.39999999999998</v>
      </c>
      <c r="S1081" s="14">
        <v>375.4</v>
      </c>
      <c r="T1081" s="11">
        <v>1140.3900000000001</v>
      </c>
      <c r="U1081" s="13">
        <f>IF('0.0%'!$N1081&lt;$Z$3,0, '0.0%'!$O1081/'0.0%'!$N1081)</f>
        <v>1.2990121580547112</v>
      </c>
      <c r="V1081" s="13">
        <f>IF('0.0%'!$N1081&lt;$Z$3,0, '0.0%'!$P1081/'0.0%'!$N1081)</f>
        <v>1.2401215805471124</v>
      </c>
      <c r="W1081" s="13">
        <f>IF('0.0%'!$N1081&lt;$Z$3,0, '0.0%'!$Q1081/'0.0%'!$N1081)</f>
        <v>1.2294832826747721</v>
      </c>
      <c r="X1081" s="13">
        <f>IF('0.0%'!$N1081&lt;$Z$3,0, '0.0%'!$R1081/'0.0%'!$N1081)</f>
        <v>1.2173252279635258</v>
      </c>
      <c r="Y1081" s="13">
        <f>IF('0.0%'!$N1081&lt;$Z$3,0, '0.0%'!$S1081/'0.0%'!$N1081)</f>
        <v>1.4262917933130699</v>
      </c>
    </row>
    <row r="1082" spans="1:25" x14ac:dyDescent="0.3">
      <c r="A1082" s="17">
        <v>1141.3900000000001</v>
      </c>
      <c r="B1082" s="10">
        <v>266.60000000000002</v>
      </c>
      <c r="C1082" s="9">
        <v>1141.3900000000001</v>
      </c>
      <c r="D1082" s="10">
        <v>346</v>
      </c>
      <c r="E1082" s="11">
        <v>1141.3900000000001</v>
      </c>
      <c r="F1082" s="12">
        <v>331</v>
      </c>
      <c r="G1082" s="11">
        <v>1141.3900000000001</v>
      </c>
      <c r="H1082" s="12">
        <v>328.4</v>
      </c>
      <c r="I1082" s="11">
        <v>1141.3900000000001</v>
      </c>
      <c r="J1082" s="12">
        <v>324.5</v>
      </c>
      <c r="K1082" s="11">
        <v>1141.3900000000001</v>
      </c>
      <c r="L1082" s="12">
        <v>381.1</v>
      </c>
      <c r="M1082" s="11">
        <v>1141.3900000000001</v>
      </c>
      <c r="N1082" s="13">
        <v>266.60000000000002</v>
      </c>
      <c r="O1082" s="13">
        <v>346</v>
      </c>
      <c r="P1082" s="13">
        <v>331</v>
      </c>
      <c r="Q1082" s="11">
        <v>328.4</v>
      </c>
      <c r="R1082" s="11">
        <v>324.5</v>
      </c>
      <c r="S1082" s="14">
        <v>381.1</v>
      </c>
      <c r="T1082" s="11">
        <v>1141.3900000000001</v>
      </c>
      <c r="U1082" s="13">
        <f>IF('0.0%'!$N1082&lt;$Z$3,0, '0.0%'!$O1082/'0.0%'!$N1082)</f>
        <v>1.2978244561140284</v>
      </c>
      <c r="V1082" s="13">
        <f>IF('0.0%'!$N1082&lt;$Z$3,0, '0.0%'!$P1082/'0.0%'!$N1082)</f>
        <v>1.2415603900975243</v>
      </c>
      <c r="W1082" s="13">
        <f>IF('0.0%'!$N1082&lt;$Z$3,0, '0.0%'!$Q1082/'0.0%'!$N1082)</f>
        <v>1.2318079519879968</v>
      </c>
      <c r="X1082" s="13">
        <f>IF('0.0%'!$N1082&lt;$Z$3,0, '0.0%'!$R1082/'0.0%'!$N1082)</f>
        <v>1.2171792948237059</v>
      </c>
      <c r="Y1082" s="13">
        <f>IF('0.0%'!$N1082&lt;$Z$3,0, '0.0%'!$S1082/'0.0%'!$N1082)</f>
        <v>1.429482370592648</v>
      </c>
    </row>
    <row r="1083" spans="1:25" x14ac:dyDescent="0.3">
      <c r="A1083" s="17">
        <v>1142.3800000000001</v>
      </c>
      <c r="B1083" s="10">
        <v>270.2</v>
      </c>
      <c r="C1083" s="9">
        <v>1142.3800000000001</v>
      </c>
      <c r="D1083" s="10">
        <v>350.4</v>
      </c>
      <c r="E1083" s="11">
        <v>1142.3800000000001</v>
      </c>
      <c r="F1083" s="12">
        <v>335.9</v>
      </c>
      <c r="G1083" s="11">
        <v>1142.3800000000001</v>
      </c>
      <c r="H1083" s="12">
        <v>333.4</v>
      </c>
      <c r="I1083" s="11">
        <v>1142.3800000000001</v>
      </c>
      <c r="J1083" s="12">
        <v>328.7</v>
      </c>
      <c r="K1083" s="11">
        <v>1142.3800000000001</v>
      </c>
      <c r="L1083" s="12">
        <v>387.2</v>
      </c>
      <c r="M1083" s="11">
        <v>1142.3800000000001</v>
      </c>
      <c r="N1083" s="13">
        <v>270.2</v>
      </c>
      <c r="O1083" s="13">
        <v>350.4</v>
      </c>
      <c r="P1083" s="13">
        <v>335.9</v>
      </c>
      <c r="Q1083" s="11">
        <v>333.4</v>
      </c>
      <c r="R1083" s="11">
        <v>328.7</v>
      </c>
      <c r="S1083" s="14">
        <v>387.2</v>
      </c>
      <c r="T1083" s="11">
        <v>1142.3800000000001</v>
      </c>
      <c r="U1083" s="13">
        <f>IF('0.0%'!$N1083&lt;$Z$3,0, '0.0%'!$O1083/'0.0%'!$N1083)</f>
        <v>1.2968171724648407</v>
      </c>
      <c r="V1083" s="13">
        <f>IF('0.0%'!$N1083&lt;$Z$3,0, '0.0%'!$P1083/'0.0%'!$N1083)</f>
        <v>1.2431532198371575</v>
      </c>
      <c r="W1083" s="13">
        <f>IF('0.0%'!$N1083&lt;$Z$3,0, '0.0%'!$Q1083/'0.0%'!$N1083)</f>
        <v>1.233900814211695</v>
      </c>
      <c r="X1083" s="13">
        <f>IF('0.0%'!$N1083&lt;$Z$3,0, '0.0%'!$R1083/'0.0%'!$N1083)</f>
        <v>1.2165062916358254</v>
      </c>
      <c r="Y1083" s="13">
        <f>IF('0.0%'!$N1083&lt;$Z$3,0, '0.0%'!$S1083/'0.0%'!$N1083)</f>
        <v>1.4330125832716507</v>
      </c>
    </row>
    <row r="1084" spans="1:25" x14ac:dyDescent="0.3">
      <c r="A1084" s="17">
        <v>1143.3699999999999</v>
      </c>
      <c r="B1084" s="10">
        <v>275.8</v>
      </c>
      <c r="C1084" s="9">
        <v>1143.3699999999999</v>
      </c>
      <c r="D1084" s="10">
        <v>357</v>
      </c>
      <c r="E1084" s="11">
        <v>1143.3699999999999</v>
      </c>
      <c r="F1084" s="12">
        <v>342.9</v>
      </c>
      <c r="G1084" s="11">
        <v>1143.3699999999999</v>
      </c>
      <c r="H1084" s="12">
        <v>340.6</v>
      </c>
      <c r="I1084" s="11">
        <v>1143.3699999999999</v>
      </c>
      <c r="J1084" s="12">
        <v>334.9</v>
      </c>
      <c r="K1084" s="11">
        <v>1143.3699999999999</v>
      </c>
      <c r="L1084" s="12">
        <v>395.5</v>
      </c>
      <c r="M1084" s="11">
        <v>1143.3699999999999</v>
      </c>
      <c r="N1084" s="13">
        <v>275.8</v>
      </c>
      <c r="O1084" s="13">
        <v>357</v>
      </c>
      <c r="P1084" s="13">
        <v>342.9</v>
      </c>
      <c r="Q1084" s="11">
        <v>340.6</v>
      </c>
      <c r="R1084" s="11">
        <v>334.9</v>
      </c>
      <c r="S1084" s="14">
        <v>395.5</v>
      </c>
      <c r="T1084" s="11">
        <v>1143.3699999999999</v>
      </c>
      <c r="U1084" s="13">
        <f>IF('0.0%'!$N1084&lt;$Z$3,0, '0.0%'!$O1084/'0.0%'!$N1084)</f>
        <v>1.2944162436548223</v>
      </c>
      <c r="V1084" s="13">
        <f>IF('0.0%'!$N1084&lt;$Z$3,0, '0.0%'!$P1084/'0.0%'!$N1084)</f>
        <v>1.2432922407541696</v>
      </c>
      <c r="W1084" s="13">
        <f>IF('0.0%'!$N1084&lt;$Z$3,0, '0.0%'!$Q1084/'0.0%'!$N1084)</f>
        <v>1.2349528643944887</v>
      </c>
      <c r="X1084" s="13">
        <f>IF('0.0%'!$N1084&lt;$Z$3,0, '0.0%'!$R1084/'0.0%'!$N1084)</f>
        <v>1.2142857142857142</v>
      </c>
      <c r="Y1084" s="13">
        <f>IF('0.0%'!$N1084&lt;$Z$3,0, '0.0%'!$S1084/'0.0%'!$N1084)</f>
        <v>1.4340101522842639</v>
      </c>
    </row>
    <row r="1085" spans="1:25" x14ac:dyDescent="0.3">
      <c r="A1085" s="17">
        <v>1144.3599999999999</v>
      </c>
      <c r="B1085" s="10">
        <v>281.7</v>
      </c>
      <c r="C1085" s="9">
        <v>1144.3599999999999</v>
      </c>
      <c r="D1085" s="10">
        <v>364.1</v>
      </c>
      <c r="E1085" s="11">
        <v>1144.3599999999999</v>
      </c>
      <c r="F1085" s="12">
        <v>350.5</v>
      </c>
      <c r="G1085" s="11">
        <v>1144.3599999999999</v>
      </c>
      <c r="H1085" s="12">
        <v>348.3</v>
      </c>
      <c r="I1085" s="11">
        <v>1144.3599999999999</v>
      </c>
      <c r="J1085" s="12">
        <v>341.4</v>
      </c>
      <c r="K1085" s="11">
        <v>1144.3599999999999</v>
      </c>
      <c r="L1085" s="12">
        <v>404.3</v>
      </c>
      <c r="M1085" s="11">
        <v>1144.3599999999999</v>
      </c>
      <c r="N1085" s="13">
        <v>281.7</v>
      </c>
      <c r="O1085" s="13">
        <v>364.1</v>
      </c>
      <c r="P1085" s="13">
        <v>350.5</v>
      </c>
      <c r="Q1085" s="11">
        <v>348.3</v>
      </c>
      <c r="R1085" s="11">
        <v>341.4</v>
      </c>
      <c r="S1085" s="14">
        <v>404.3</v>
      </c>
      <c r="T1085" s="11">
        <v>1144.3599999999999</v>
      </c>
      <c r="U1085" s="13">
        <f>IF('0.0%'!$N1085&lt;$Z$3,0, '0.0%'!$O1085/'0.0%'!$N1085)</f>
        <v>1.2925097621583246</v>
      </c>
      <c r="V1085" s="13">
        <f>IF('0.0%'!$N1085&lt;$Z$3,0, '0.0%'!$P1085/'0.0%'!$N1085)</f>
        <v>1.2442314518991835</v>
      </c>
      <c r="W1085" s="13">
        <f>IF('0.0%'!$N1085&lt;$Z$3,0, '0.0%'!$Q1085/'0.0%'!$N1085)</f>
        <v>1.2364217252396168</v>
      </c>
      <c r="X1085" s="13">
        <f>IF('0.0%'!$N1085&lt;$Z$3,0, '0.0%'!$R1085/'0.0%'!$N1085)</f>
        <v>1.2119275825346112</v>
      </c>
      <c r="Y1085" s="13">
        <f>IF('0.0%'!$N1085&lt;$Z$3,0, '0.0%'!$S1085/'0.0%'!$N1085)</f>
        <v>1.4352147674831381</v>
      </c>
    </row>
    <row r="1086" spans="1:25" x14ac:dyDescent="0.3">
      <c r="A1086" s="17">
        <v>1145.3499999999999</v>
      </c>
      <c r="B1086" s="10">
        <v>289.8</v>
      </c>
      <c r="C1086" s="9">
        <v>1145.3499999999999</v>
      </c>
      <c r="D1086" s="10">
        <v>373.6</v>
      </c>
      <c r="E1086" s="11">
        <v>1145.3499999999999</v>
      </c>
      <c r="F1086" s="12">
        <v>360.5</v>
      </c>
      <c r="G1086" s="11">
        <v>1145.3499999999999</v>
      </c>
      <c r="H1086" s="12">
        <v>358.3</v>
      </c>
      <c r="I1086" s="11">
        <v>1145.3499999999999</v>
      </c>
      <c r="J1086" s="12">
        <v>350</v>
      </c>
      <c r="K1086" s="11">
        <v>1145.3499999999999</v>
      </c>
      <c r="L1086" s="12">
        <v>415.5</v>
      </c>
      <c r="M1086" s="11">
        <v>1145.3499999999999</v>
      </c>
      <c r="N1086" s="13">
        <v>289.8</v>
      </c>
      <c r="O1086" s="13">
        <v>373.6</v>
      </c>
      <c r="P1086" s="13">
        <v>360.5</v>
      </c>
      <c r="Q1086" s="11">
        <v>358.3</v>
      </c>
      <c r="R1086" s="11">
        <v>350</v>
      </c>
      <c r="S1086" s="14">
        <v>415.5</v>
      </c>
      <c r="T1086" s="11">
        <v>1145.3499999999999</v>
      </c>
      <c r="U1086" s="13">
        <f>IF('0.0%'!$N1086&lt;$Z$3,0, '0.0%'!$O1086/'0.0%'!$N1086)</f>
        <v>1.2891649413388544</v>
      </c>
      <c r="V1086" s="13">
        <f>IF('0.0%'!$N1086&lt;$Z$3,0, '0.0%'!$P1086/'0.0%'!$N1086)</f>
        <v>1.2439613526570048</v>
      </c>
      <c r="W1086" s="13">
        <f>IF('0.0%'!$N1086&lt;$Z$3,0, '0.0%'!$Q1086/'0.0%'!$N1086)</f>
        <v>1.2363699102829537</v>
      </c>
      <c r="X1086" s="13">
        <f>IF('0.0%'!$N1086&lt;$Z$3,0, '0.0%'!$R1086/'0.0%'!$N1086)</f>
        <v>1.2077294685990339</v>
      </c>
      <c r="Y1086" s="13">
        <f>IF('0.0%'!$N1086&lt;$Z$3,0, '0.0%'!$S1086/'0.0%'!$N1086)</f>
        <v>1.4337474120082816</v>
      </c>
    </row>
    <row r="1087" spans="1:25" x14ac:dyDescent="0.3">
      <c r="A1087" s="17">
        <v>1146.3399999999999</v>
      </c>
      <c r="B1087" s="10">
        <v>298.89999999999998</v>
      </c>
      <c r="C1087" s="9">
        <v>1146.3399999999999</v>
      </c>
      <c r="D1087" s="10">
        <v>384.2</v>
      </c>
      <c r="E1087" s="11">
        <v>1146.3399999999999</v>
      </c>
      <c r="F1087" s="12">
        <v>371.6</v>
      </c>
      <c r="G1087" s="11">
        <v>1146.3399999999999</v>
      </c>
      <c r="H1087" s="12">
        <v>369.5</v>
      </c>
      <c r="I1087" s="11">
        <v>1146.3399999999999</v>
      </c>
      <c r="J1087" s="12">
        <v>359.5</v>
      </c>
      <c r="K1087" s="11">
        <v>1146.3399999999999</v>
      </c>
      <c r="L1087" s="12">
        <v>427.8</v>
      </c>
      <c r="M1087" s="11">
        <v>1146.3399999999999</v>
      </c>
      <c r="N1087" s="13">
        <v>298.89999999999998</v>
      </c>
      <c r="O1087" s="13">
        <v>384.2</v>
      </c>
      <c r="P1087" s="13">
        <v>371.6</v>
      </c>
      <c r="Q1087" s="11">
        <v>369.5</v>
      </c>
      <c r="R1087" s="11">
        <v>359.5</v>
      </c>
      <c r="S1087" s="14">
        <v>427.8</v>
      </c>
      <c r="T1087" s="11">
        <v>1146.3399999999999</v>
      </c>
      <c r="U1087" s="13">
        <f>IF('0.0%'!$N1087&lt;$Z$3,0, '0.0%'!$O1087/'0.0%'!$N1087)</f>
        <v>1.2853797256607562</v>
      </c>
      <c r="V1087" s="13">
        <f>IF('0.0%'!$N1087&lt;$Z$3,0, '0.0%'!$P1087/'0.0%'!$N1087)</f>
        <v>1.2432251589160257</v>
      </c>
      <c r="W1087" s="13">
        <f>IF('0.0%'!$N1087&lt;$Z$3,0, '0.0%'!$Q1087/'0.0%'!$N1087)</f>
        <v>1.2361993977919037</v>
      </c>
      <c r="X1087" s="13">
        <f>IF('0.0%'!$N1087&lt;$Z$3,0, '0.0%'!$R1087/'0.0%'!$N1087)</f>
        <v>1.2027433924389428</v>
      </c>
      <c r="Y1087" s="13">
        <f>IF('0.0%'!$N1087&lt;$Z$3,0, '0.0%'!$S1087/'0.0%'!$N1087)</f>
        <v>1.4312479089996657</v>
      </c>
    </row>
    <row r="1088" spans="1:25" x14ac:dyDescent="0.3">
      <c r="A1088" s="17">
        <v>1147.3399999999999</v>
      </c>
      <c r="B1088" s="10">
        <v>309.39999999999998</v>
      </c>
      <c r="C1088" s="9">
        <v>1147.3399999999999</v>
      </c>
      <c r="D1088" s="10">
        <v>396.4</v>
      </c>
      <c r="E1088" s="11">
        <v>1147.3399999999999</v>
      </c>
      <c r="F1088" s="12">
        <v>384.1</v>
      </c>
      <c r="G1088" s="11">
        <v>1147.3399999999999</v>
      </c>
      <c r="H1088" s="12">
        <v>382.2</v>
      </c>
      <c r="I1088" s="11">
        <v>1147.3399999999999</v>
      </c>
      <c r="J1088" s="12">
        <v>370.3</v>
      </c>
      <c r="K1088" s="11">
        <v>1147.3399999999999</v>
      </c>
      <c r="L1088" s="12">
        <v>441.6</v>
      </c>
      <c r="M1088" s="11">
        <v>1147.3399999999999</v>
      </c>
      <c r="N1088" s="13">
        <v>309.39999999999998</v>
      </c>
      <c r="O1088" s="13">
        <v>396.4</v>
      </c>
      <c r="P1088" s="13">
        <v>384.1</v>
      </c>
      <c r="Q1088" s="11">
        <v>382.2</v>
      </c>
      <c r="R1088" s="11">
        <v>370.3</v>
      </c>
      <c r="S1088" s="14">
        <v>441.6</v>
      </c>
      <c r="T1088" s="11">
        <v>1147.3399999999999</v>
      </c>
      <c r="U1088" s="13">
        <f>IF('0.0%'!$N1088&lt;$Z$3,0, '0.0%'!$O1088/'0.0%'!$N1088)</f>
        <v>1.2811893988364578</v>
      </c>
      <c r="V1088" s="13">
        <f>IF('0.0%'!$N1088&lt;$Z$3,0, '0.0%'!$P1088/'0.0%'!$N1088)</f>
        <v>1.2414350355526829</v>
      </c>
      <c r="W1088" s="13">
        <f>IF('0.0%'!$N1088&lt;$Z$3,0, '0.0%'!$Q1088/'0.0%'!$N1088)</f>
        <v>1.2352941176470589</v>
      </c>
      <c r="X1088" s="13">
        <f>IF('0.0%'!$N1088&lt;$Z$3,0, '0.0%'!$R1088/'0.0%'!$N1088)</f>
        <v>1.1968325791855206</v>
      </c>
      <c r="Y1088" s="13">
        <f>IF('0.0%'!$N1088&lt;$Z$3,0, '0.0%'!$S1088/'0.0%'!$N1088)</f>
        <v>1.4272786037491922</v>
      </c>
    </row>
    <row r="1089" spans="1:25" x14ac:dyDescent="0.3">
      <c r="A1089" s="17">
        <v>1148.33</v>
      </c>
      <c r="B1089" s="10">
        <v>323.3</v>
      </c>
      <c r="C1089" s="9">
        <v>1148.33</v>
      </c>
      <c r="D1089" s="10">
        <v>412.3</v>
      </c>
      <c r="E1089" s="11">
        <v>1148.33</v>
      </c>
      <c r="F1089" s="12">
        <v>400.3</v>
      </c>
      <c r="G1089" s="11">
        <v>1148.33</v>
      </c>
      <c r="H1089" s="12">
        <v>398.7</v>
      </c>
      <c r="I1089" s="11">
        <v>1148.33</v>
      </c>
      <c r="J1089" s="12">
        <v>384.4</v>
      </c>
      <c r="K1089" s="11">
        <v>1148.33</v>
      </c>
      <c r="L1089" s="12">
        <v>459.3</v>
      </c>
      <c r="M1089" s="11">
        <v>1148.33</v>
      </c>
      <c r="N1089" s="13">
        <v>323.3</v>
      </c>
      <c r="O1089" s="13">
        <v>412.3</v>
      </c>
      <c r="P1089" s="13">
        <v>400.3</v>
      </c>
      <c r="Q1089" s="11">
        <v>398.7</v>
      </c>
      <c r="R1089" s="11">
        <v>384.4</v>
      </c>
      <c r="S1089" s="14">
        <v>459.3</v>
      </c>
      <c r="T1089" s="11">
        <v>1148.33</v>
      </c>
      <c r="U1089" s="13">
        <f>IF('0.0%'!$N1089&lt;$Z$3,0, '0.0%'!$O1089/'0.0%'!$N1089)</f>
        <v>1.2752861119703063</v>
      </c>
      <c r="V1089" s="13">
        <f>IF('0.0%'!$N1089&lt;$Z$3,0, '0.0%'!$P1089/'0.0%'!$N1089)</f>
        <v>1.2381688833900402</v>
      </c>
      <c r="W1089" s="13">
        <f>IF('0.0%'!$N1089&lt;$Z$3,0, '0.0%'!$Q1089/'0.0%'!$N1089)</f>
        <v>1.2332199195793381</v>
      </c>
      <c r="X1089" s="13">
        <f>IF('0.0%'!$N1089&lt;$Z$3,0, '0.0%'!$R1089/'0.0%'!$N1089)</f>
        <v>1.1889885555211877</v>
      </c>
      <c r="Y1089" s="13">
        <f>IF('0.0%'!$N1089&lt;$Z$3,0, '0.0%'!$S1089/'0.0%'!$N1089)</f>
        <v>1.4206619239096814</v>
      </c>
    </row>
    <row r="1090" spans="1:25" x14ac:dyDescent="0.3">
      <c r="A1090" s="17">
        <v>1149.32</v>
      </c>
      <c r="B1090" s="10">
        <v>338.7</v>
      </c>
      <c r="C1090" s="9">
        <v>1149.32</v>
      </c>
      <c r="D1090" s="10">
        <v>430.1</v>
      </c>
      <c r="E1090" s="11">
        <v>1149.32</v>
      </c>
      <c r="F1090" s="12">
        <v>418.3</v>
      </c>
      <c r="G1090" s="11">
        <v>1149.32</v>
      </c>
      <c r="H1090" s="12">
        <v>417.1</v>
      </c>
      <c r="I1090" s="11">
        <v>1149.32</v>
      </c>
      <c r="J1090" s="12">
        <v>399.9</v>
      </c>
      <c r="K1090" s="11">
        <v>1149.32</v>
      </c>
      <c r="L1090" s="12">
        <v>479</v>
      </c>
      <c r="M1090" s="11">
        <v>1149.32</v>
      </c>
      <c r="N1090" s="13">
        <v>338.7</v>
      </c>
      <c r="O1090" s="13">
        <v>430.1</v>
      </c>
      <c r="P1090" s="13">
        <v>418.3</v>
      </c>
      <c r="Q1090" s="11">
        <v>417.1</v>
      </c>
      <c r="R1090" s="11">
        <v>399.9</v>
      </c>
      <c r="S1090" s="14">
        <v>479</v>
      </c>
      <c r="T1090" s="11">
        <v>1149.32</v>
      </c>
      <c r="U1090" s="13">
        <f>IF('0.0%'!$N1090&lt;$Z$3,0, '0.0%'!$O1090/'0.0%'!$N1090)</f>
        <v>1.269855329199882</v>
      </c>
      <c r="V1090" s="13">
        <f>IF('0.0%'!$N1090&lt;$Z$3,0, '0.0%'!$P1090/'0.0%'!$N1090)</f>
        <v>1.235016238559197</v>
      </c>
      <c r="W1090" s="13">
        <f>IF('0.0%'!$N1090&lt;$Z$3,0, '0.0%'!$Q1090/'0.0%'!$N1090)</f>
        <v>1.2314732801889579</v>
      </c>
      <c r="X1090" s="13">
        <f>IF('0.0%'!$N1090&lt;$Z$3,0, '0.0%'!$R1090/'0.0%'!$N1090)</f>
        <v>1.1806908768821966</v>
      </c>
      <c r="Y1090" s="13">
        <f>IF('0.0%'!$N1090&lt;$Z$3,0, '0.0%'!$S1090/'0.0%'!$N1090)</f>
        <v>1.4142308827871273</v>
      </c>
    </row>
    <row r="1091" spans="1:25" x14ac:dyDescent="0.3">
      <c r="A1091" s="17">
        <v>1150.31</v>
      </c>
      <c r="B1091" s="10">
        <v>357.9</v>
      </c>
      <c r="C1091" s="9">
        <v>1150.31</v>
      </c>
      <c r="D1091" s="10">
        <v>451.8</v>
      </c>
      <c r="E1091" s="11">
        <v>1150.31</v>
      </c>
      <c r="F1091" s="12">
        <v>440.2</v>
      </c>
      <c r="G1091" s="11">
        <v>1150.31</v>
      </c>
      <c r="H1091" s="12">
        <v>439.7</v>
      </c>
      <c r="I1091" s="11">
        <v>1150.31</v>
      </c>
      <c r="J1091" s="12">
        <v>419.1</v>
      </c>
      <c r="K1091" s="11">
        <v>1150.31</v>
      </c>
      <c r="L1091" s="12">
        <v>502.8</v>
      </c>
      <c r="M1091" s="11">
        <v>1150.31</v>
      </c>
      <c r="N1091" s="13">
        <v>357.9</v>
      </c>
      <c r="O1091" s="13">
        <v>451.8</v>
      </c>
      <c r="P1091" s="13">
        <v>440.2</v>
      </c>
      <c r="Q1091" s="11">
        <v>439.7</v>
      </c>
      <c r="R1091" s="11">
        <v>419.1</v>
      </c>
      <c r="S1091" s="14">
        <v>502.8</v>
      </c>
      <c r="T1091" s="11">
        <v>1150.31</v>
      </c>
      <c r="U1091" s="13">
        <f>IF('0.0%'!$N1091&lt;$Z$3,0, '0.0%'!$O1091/'0.0%'!$N1091)</f>
        <v>1.2623637887678123</v>
      </c>
      <c r="V1091" s="13">
        <f>IF('0.0%'!$N1091&lt;$Z$3,0, '0.0%'!$P1091/'0.0%'!$N1091)</f>
        <v>1.2299525006985192</v>
      </c>
      <c r="W1091" s="13">
        <f>IF('0.0%'!$N1091&lt;$Z$3,0, '0.0%'!$Q1091/'0.0%'!$N1091)</f>
        <v>1.2285554624196704</v>
      </c>
      <c r="X1091" s="13">
        <f>IF('0.0%'!$N1091&lt;$Z$3,0, '0.0%'!$R1091/'0.0%'!$N1091)</f>
        <v>1.1709974853310983</v>
      </c>
      <c r="Y1091" s="13">
        <f>IF('0.0%'!$N1091&lt;$Z$3,0, '0.0%'!$S1091/'0.0%'!$N1091)</f>
        <v>1.4048616932103941</v>
      </c>
    </row>
    <row r="1092" spans="1:25" x14ac:dyDescent="0.3">
      <c r="A1092" s="17">
        <v>1151.3</v>
      </c>
      <c r="B1092" s="10">
        <v>379.5</v>
      </c>
      <c r="C1092" s="9">
        <v>1151.3</v>
      </c>
      <c r="D1092" s="10">
        <v>476.4</v>
      </c>
      <c r="E1092" s="11">
        <v>1151.3</v>
      </c>
      <c r="F1092" s="12">
        <v>464.9</v>
      </c>
      <c r="G1092" s="11">
        <v>1151.3</v>
      </c>
      <c r="H1092" s="12">
        <v>465.2</v>
      </c>
      <c r="I1092" s="11">
        <v>1151.3</v>
      </c>
      <c r="J1092" s="12">
        <v>440.5</v>
      </c>
      <c r="K1092" s="11">
        <v>1151.3</v>
      </c>
      <c r="L1092" s="12">
        <v>529.70000000000005</v>
      </c>
      <c r="M1092" s="11">
        <v>1151.3</v>
      </c>
      <c r="N1092" s="13">
        <v>379.5</v>
      </c>
      <c r="O1092" s="13">
        <v>476.4</v>
      </c>
      <c r="P1092" s="13">
        <v>464.9</v>
      </c>
      <c r="Q1092" s="11">
        <v>465.2</v>
      </c>
      <c r="R1092" s="11">
        <v>440.5</v>
      </c>
      <c r="S1092" s="14">
        <v>529.70000000000005</v>
      </c>
      <c r="T1092" s="11">
        <v>1151.3</v>
      </c>
      <c r="U1092" s="13">
        <f>IF('0.0%'!$N1092&lt;$Z$3,0, '0.0%'!$O1092/'0.0%'!$N1092)</f>
        <v>1.2553359683794465</v>
      </c>
      <c r="V1092" s="13">
        <f>IF('0.0%'!$N1092&lt;$Z$3,0, '0.0%'!$P1092/'0.0%'!$N1092)</f>
        <v>1.2250329380764162</v>
      </c>
      <c r="W1092" s="13">
        <f>IF('0.0%'!$N1092&lt;$Z$3,0, '0.0%'!$Q1092/'0.0%'!$N1092)</f>
        <v>1.2258234519104083</v>
      </c>
      <c r="X1092" s="13">
        <f>IF('0.0%'!$N1092&lt;$Z$3,0, '0.0%'!$R1092/'0.0%'!$N1092)</f>
        <v>1.1607378129117261</v>
      </c>
      <c r="Y1092" s="13">
        <f>IF('0.0%'!$N1092&lt;$Z$3,0, '0.0%'!$S1092/'0.0%'!$N1092)</f>
        <v>1.3957839262187088</v>
      </c>
    </row>
    <row r="1093" spans="1:25" x14ac:dyDescent="0.3">
      <c r="A1093" s="17">
        <v>1152.3</v>
      </c>
      <c r="B1093" s="10">
        <v>405.8</v>
      </c>
      <c r="C1093" s="9">
        <v>1152.3</v>
      </c>
      <c r="D1093" s="10">
        <v>506.1</v>
      </c>
      <c r="E1093" s="11">
        <v>1152.3</v>
      </c>
      <c r="F1093" s="12">
        <v>494.6</v>
      </c>
      <c r="G1093" s="11">
        <v>1152.3</v>
      </c>
      <c r="H1093" s="12">
        <v>496</v>
      </c>
      <c r="I1093" s="11">
        <v>1152.3</v>
      </c>
      <c r="J1093" s="12">
        <v>466.4</v>
      </c>
      <c r="K1093" s="11">
        <v>1152.3</v>
      </c>
      <c r="L1093" s="12">
        <v>561.79999999999995</v>
      </c>
      <c r="M1093" s="11">
        <v>1152.3</v>
      </c>
      <c r="N1093" s="13">
        <v>405.8</v>
      </c>
      <c r="O1093" s="13">
        <v>506.1</v>
      </c>
      <c r="P1093" s="13">
        <v>494.6</v>
      </c>
      <c r="Q1093" s="11">
        <v>496</v>
      </c>
      <c r="R1093" s="11">
        <v>466.4</v>
      </c>
      <c r="S1093" s="14">
        <v>561.79999999999995</v>
      </c>
      <c r="T1093" s="11">
        <v>1152.3</v>
      </c>
      <c r="U1093" s="13">
        <f>IF('0.0%'!$N1093&lt;$Z$3,0, '0.0%'!$O1093/'0.0%'!$N1093)</f>
        <v>1.2471660916707739</v>
      </c>
      <c r="V1093" s="13">
        <f>IF('0.0%'!$N1093&lt;$Z$3,0, '0.0%'!$P1093/'0.0%'!$N1093)</f>
        <v>1.2188270083785115</v>
      </c>
      <c r="W1093" s="13">
        <f>IF('0.0%'!$N1093&lt;$Z$3,0, '0.0%'!$Q1093/'0.0%'!$N1093)</f>
        <v>1.2222769837358305</v>
      </c>
      <c r="X1093" s="13">
        <f>IF('0.0%'!$N1093&lt;$Z$3,0, '0.0%'!$R1093/'0.0%'!$N1093)</f>
        <v>1.1493346476096598</v>
      </c>
      <c r="Y1093" s="13">
        <f>IF('0.0%'!$N1093&lt;$Z$3,0, '0.0%'!$S1093/'0.0%'!$N1093)</f>
        <v>1.3844258255298174</v>
      </c>
    </row>
    <row r="1094" spans="1:25" x14ac:dyDescent="0.3">
      <c r="A1094" s="17">
        <v>1153.29</v>
      </c>
      <c r="B1094" s="10">
        <v>435.3</v>
      </c>
      <c r="C1094" s="9">
        <v>1153.29</v>
      </c>
      <c r="D1094" s="10">
        <v>539.6</v>
      </c>
      <c r="E1094" s="11">
        <v>1153.29</v>
      </c>
      <c r="F1094" s="12">
        <v>528</v>
      </c>
      <c r="G1094" s="11">
        <v>1153.29</v>
      </c>
      <c r="H1094" s="12">
        <v>531</v>
      </c>
      <c r="I1094" s="11">
        <v>1153.29</v>
      </c>
      <c r="J1094" s="12">
        <v>495.5</v>
      </c>
      <c r="K1094" s="11">
        <v>1153.29</v>
      </c>
      <c r="L1094" s="12">
        <v>598.4</v>
      </c>
      <c r="M1094" s="11">
        <v>1153.29</v>
      </c>
      <c r="N1094" s="13">
        <v>435.3</v>
      </c>
      <c r="O1094" s="13">
        <v>539.6</v>
      </c>
      <c r="P1094" s="13">
        <v>528</v>
      </c>
      <c r="Q1094" s="11">
        <v>531</v>
      </c>
      <c r="R1094" s="11">
        <v>495.5</v>
      </c>
      <c r="S1094" s="14">
        <v>598.4</v>
      </c>
      <c r="T1094" s="11">
        <v>1153.29</v>
      </c>
      <c r="U1094" s="13">
        <f>IF('0.0%'!$N1094&lt;$Z$3,0, '0.0%'!$O1094/'0.0%'!$N1094)</f>
        <v>1.2396048702044566</v>
      </c>
      <c r="V1094" s="13">
        <f>IF('0.0%'!$N1094&lt;$Z$3,0, '0.0%'!$P1094/'0.0%'!$N1094)</f>
        <v>1.2129565816678152</v>
      </c>
      <c r="W1094" s="13">
        <f>IF('0.0%'!$N1094&lt;$Z$3,0, '0.0%'!$Q1094/'0.0%'!$N1094)</f>
        <v>1.2198483804272915</v>
      </c>
      <c r="X1094" s="13">
        <f>IF('0.0%'!$N1094&lt;$Z$3,0, '0.0%'!$R1094/'0.0%'!$N1094)</f>
        <v>1.1382954284401561</v>
      </c>
      <c r="Y1094" s="13">
        <f>IF('0.0%'!$N1094&lt;$Z$3,0, '0.0%'!$S1094/'0.0%'!$N1094)</f>
        <v>1.3746841258901905</v>
      </c>
    </row>
    <row r="1095" spans="1:25" x14ac:dyDescent="0.3">
      <c r="A1095" s="17">
        <v>1154.28</v>
      </c>
      <c r="B1095" s="10">
        <v>470.5</v>
      </c>
      <c r="C1095" s="9">
        <v>1154.28</v>
      </c>
      <c r="D1095" s="10">
        <v>579.1</v>
      </c>
      <c r="E1095" s="11">
        <v>1154.28</v>
      </c>
      <c r="F1095" s="12">
        <v>567.4</v>
      </c>
      <c r="G1095" s="11">
        <v>1154.28</v>
      </c>
      <c r="H1095" s="12">
        <v>572.29999999999995</v>
      </c>
      <c r="I1095" s="11">
        <v>1154.28</v>
      </c>
      <c r="J1095" s="12">
        <v>530.20000000000005</v>
      </c>
      <c r="K1095" s="11">
        <v>1154.28</v>
      </c>
      <c r="L1095" s="12">
        <v>641.5</v>
      </c>
      <c r="M1095" s="11">
        <v>1154.28</v>
      </c>
      <c r="N1095" s="13">
        <v>470.5</v>
      </c>
      <c r="O1095" s="13">
        <v>579.1</v>
      </c>
      <c r="P1095" s="13">
        <v>567.4</v>
      </c>
      <c r="Q1095" s="11">
        <v>572.29999999999995</v>
      </c>
      <c r="R1095" s="11">
        <v>530.20000000000005</v>
      </c>
      <c r="S1095" s="14">
        <v>641.5</v>
      </c>
      <c r="T1095" s="11">
        <v>1154.28</v>
      </c>
      <c r="U1095" s="13">
        <f>IF('0.0%'!$N1095&lt;$Z$3,0, '0.0%'!$O1095/'0.0%'!$N1095)</f>
        <v>1.2308182784272053</v>
      </c>
      <c r="V1095" s="13">
        <f>IF('0.0%'!$N1095&lt;$Z$3,0, '0.0%'!$P1095/'0.0%'!$N1095)</f>
        <v>1.2059511158342189</v>
      </c>
      <c r="W1095" s="13">
        <f>IF('0.0%'!$N1095&lt;$Z$3,0, '0.0%'!$Q1095/'0.0%'!$N1095)</f>
        <v>1.2163655685441019</v>
      </c>
      <c r="X1095" s="13">
        <f>IF('0.0%'!$N1095&lt;$Z$3,0, '0.0%'!$R1095/'0.0%'!$N1095)</f>
        <v>1.1268862911795963</v>
      </c>
      <c r="Y1095" s="13">
        <f>IF('0.0%'!$N1095&lt;$Z$3,0, '0.0%'!$S1095/'0.0%'!$N1095)</f>
        <v>1.3634431455897982</v>
      </c>
    </row>
    <row r="1096" spans="1:25" x14ac:dyDescent="0.3">
      <c r="A1096" s="17">
        <v>1155.27</v>
      </c>
      <c r="B1096" s="10">
        <v>510.2</v>
      </c>
      <c r="C1096" s="9">
        <v>1155.27</v>
      </c>
      <c r="D1096" s="10">
        <v>623.9</v>
      </c>
      <c r="E1096" s="11">
        <v>1155.27</v>
      </c>
      <c r="F1096" s="12">
        <v>612.29999999999995</v>
      </c>
      <c r="G1096" s="11">
        <v>1155.27</v>
      </c>
      <c r="H1096" s="12">
        <v>619.29999999999995</v>
      </c>
      <c r="I1096" s="11">
        <v>1155.27</v>
      </c>
      <c r="J1096" s="12">
        <v>569.5</v>
      </c>
      <c r="K1096" s="11">
        <v>1155.27</v>
      </c>
      <c r="L1096" s="12">
        <v>690.7</v>
      </c>
      <c r="M1096" s="11">
        <v>1155.27</v>
      </c>
      <c r="N1096" s="13">
        <v>510.2</v>
      </c>
      <c r="O1096" s="13">
        <v>623.9</v>
      </c>
      <c r="P1096" s="13">
        <v>612.29999999999995</v>
      </c>
      <c r="Q1096" s="11">
        <v>619.29999999999995</v>
      </c>
      <c r="R1096" s="11">
        <v>569.5</v>
      </c>
      <c r="S1096" s="14">
        <v>690.7</v>
      </c>
      <c r="T1096" s="11">
        <v>1155.27</v>
      </c>
      <c r="U1096" s="13">
        <f>IF('0.0%'!$N1096&lt;$Z$3,0, '0.0%'!$O1096/'0.0%'!$N1096)</f>
        <v>1.2228537828302626</v>
      </c>
      <c r="V1096" s="13">
        <f>IF('0.0%'!$N1096&lt;$Z$3,0, '0.0%'!$P1096/'0.0%'!$N1096)</f>
        <v>1.2001176009408074</v>
      </c>
      <c r="W1096" s="13">
        <f>IF('0.0%'!$N1096&lt;$Z$3,0, '0.0%'!$Q1096/'0.0%'!$N1096)</f>
        <v>1.2138377107016856</v>
      </c>
      <c r="X1096" s="13">
        <f>IF('0.0%'!$N1096&lt;$Z$3,0, '0.0%'!$R1096/'0.0%'!$N1096)</f>
        <v>1.1162289298314387</v>
      </c>
      <c r="Y1096" s="13">
        <f>IF('0.0%'!$N1096&lt;$Z$3,0, '0.0%'!$S1096/'0.0%'!$N1096)</f>
        <v>1.3537828302626422</v>
      </c>
    </row>
    <row r="1097" spans="1:25" x14ac:dyDescent="0.3">
      <c r="A1097" s="17">
        <v>1156.26</v>
      </c>
      <c r="B1097" s="10">
        <v>557.20000000000005</v>
      </c>
      <c r="C1097" s="9">
        <v>1156.26</v>
      </c>
      <c r="D1097" s="10">
        <v>676.5</v>
      </c>
      <c r="E1097" s="11">
        <v>1156.26</v>
      </c>
      <c r="F1097" s="12">
        <v>665.1</v>
      </c>
      <c r="G1097" s="11">
        <v>1156.26</v>
      </c>
      <c r="H1097" s="12">
        <v>674.4</v>
      </c>
      <c r="I1097" s="11">
        <v>1156.26</v>
      </c>
      <c r="J1097" s="12">
        <v>615.9</v>
      </c>
      <c r="K1097" s="11">
        <v>1156.26</v>
      </c>
      <c r="L1097" s="12">
        <v>748.4</v>
      </c>
      <c r="M1097" s="11">
        <v>1156.26</v>
      </c>
      <c r="N1097" s="13">
        <v>557.20000000000005</v>
      </c>
      <c r="O1097" s="13">
        <v>676.5</v>
      </c>
      <c r="P1097" s="13">
        <v>665.1</v>
      </c>
      <c r="Q1097" s="11">
        <v>674.4</v>
      </c>
      <c r="R1097" s="11">
        <v>615.9</v>
      </c>
      <c r="S1097" s="14">
        <v>748.4</v>
      </c>
      <c r="T1097" s="11">
        <v>1156.26</v>
      </c>
      <c r="U1097" s="13">
        <f>IF('0.0%'!$N1097&lt;$Z$3,0, '0.0%'!$O1097/'0.0%'!$N1097)</f>
        <v>1.2141062455132805</v>
      </c>
      <c r="V1097" s="13">
        <f>IF('0.0%'!$N1097&lt;$Z$3,0, '0.0%'!$P1097/'0.0%'!$N1097)</f>
        <v>1.1936468054558507</v>
      </c>
      <c r="W1097" s="13">
        <f>IF('0.0%'!$N1097&lt;$Z$3,0, '0.0%'!$Q1097/'0.0%'!$N1097)</f>
        <v>1.210337401292175</v>
      </c>
      <c r="X1097" s="13">
        <f>IF('0.0%'!$N1097&lt;$Z$3,0, '0.0%'!$R1097/'0.0%'!$N1097)</f>
        <v>1.105348169418521</v>
      </c>
      <c r="Y1097" s="13">
        <f>IF('0.0%'!$N1097&lt;$Z$3,0, '0.0%'!$S1097/'0.0%'!$N1097)</f>
        <v>1.3431442928930364</v>
      </c>
    </row>
    <row r="1098" spans="1:25" x14ac:dyDescent="0.3">
      <c r="A1098" s="17">
        <v>1157.25</v>
      </c>
      <c r="B1098" s="10">
        <v>610.6</v>
      </c>
      <c r="C1098" s="9">
        <v>1157.25</v>
      </c>
      <c r="D1098" s="10">
        <v>736.7</v>
      </c>
      <c r="E1098" s="11">
        <v>1157.25</v>
      </c>
      <c r="F1098" s="12">
        <v>725.7</v>
      </c>
      <c r="G1098" s="11">
        <v>1157.25</v>
      </c>
      <c r="H1098" s="12">
        <v>737.3</v>
      </c>
      <c r="I1098" s="11">
        <v>1157.25</v>
      </c>
      <c r="J1098" s="12">
        <v>669.1</v>
      </c>
      <c r="K1098" s="11">
        <v>1157.25</v>
      </c>
      <c r="L1098" s="12">
        <v>814.5</v>
      </c>
      <c r="M1098" s="11">
        <v>1157.25</v>
      </c>
      <c r="N1098" s="13">
        <v>610.6</v>
      </c>
      <c r="O1098" s="13">
        <v>736.7</v>
      </c>
      <c r="P1098" s="13">
        <v>725.7</v>
      </c>
      <c r="Q1098" s="11">
        <v>737.3</v>
      </c>
      <c r="R1098" s="11">
        <v>669.1</v>
      </c>
      <c r="S1098" s="14">
        <v>814.5</v>
      </c>
      <c r="T1098" s="11">
        <v>1157.25</v>
      </c>
      <c r="U1098" s="13">
        <f>IF('0.0%'!$N1098&lt;$Z$3,0, '0.0%'!$O1098/'0.0%'!$N1098)</f>
        <v>1.2065181788404848</v>
      </c>
      <c r="V1098" s="13">
        <f>IF('0.0%'!$N1098&lt;$Z$3,0, '0.0%'!$P1098/'0.0%'!$N1098)</f>
        <v>1.1885031116934164</v>
      </c>
      <c r="W1098" s="13">
        <f>IF('0.0%'!$N1098&lt;$Z$3,0, '0.0%'!$Q1098/'0.0%'!$N1098)</f>
        <v>1.2075008188666885</v>
      </c>
      <c r="X1098" s="13">
        <f>IF('0.0%'!$N1098&lt;$Z$3,0, '0.0%'!$R1098/'0.0%'!$N1098)</f>
        <v>1.0958074025548641</v>
      </c>
      <c r="Y1098" s="13">
        <f>IF('0.0%'!$N1098&lt;$Z$3,0, '0.0%'!$S1098/'0.0%'!$N1098)</f>
        <v>1.3339338355715689</v>
      </c>
    </row>
    <row r="1099" spans="1:25" x14ac:dyDescent="0.3">
      <c r="A1099" s="17">
        <v>1158.25</v>
      </c>
      <c r="B1099" s="10">
        <v>673.8</v>
      </c>
      <c r="C1099" s="9">
        <v>1158.25</v>
      </c>
      <c r="D1099" s="10">
        <v>807.5</v>
      </c>
      <c r="E1099" s="11">
        <v>1158.25</v>
      </c>
      <c r="F1099" s="12">
        <v>797.1</v>
      </c>
      <c r="G1099" s="11">
        <v>1158.25</v>
      </c>
      <c r="H1099" s="12">
        <v>811.1</v>
      </c>
      <c r="I1099" s="11">
        <v>1158.25</v>
      </c>
      <c r="J1099" s="12">
        <v>732.3</v>
      </c>
      <c r="K1099" s="11">
        <v>1158.25</v>
      </c>
      <c r="L1099" s="12">
        <v>892.2</v>
      </c>
      <c r="M1099" s="11">
        <v>1158.25</v>
      </c>
      <c r="N1099" s="13">
        <v>673.8</v>
      </c>
      <c r="O1099" s="13">
        <v>807.5</v>
      </c>
      <c r="P1099" s="13">
        <v>797.1</v>
      </c>
      <c r="Q1099" s="11">
        <v>811.1</v>
      </c>
      <c r="R1099" s="11">
        <v>732.3</v>
      </c>
      <c r="S1099" s="14">
        <v>892.2</v>
      </c>
      <c r="T1099" s="11">
        <v>1158.25</v>
      </c>
      <c r="U1099" s="13">
        <f>IF('0.0%'!$N1099&lt;$Z$3,0, '0.0%'!$O1099/'0.0%'!$N1099)</f>
        <v>1.1984268328880974</v>
      </c>
      <c r="V1099" s="13">
        <f>IF('0.0%'!$N1099&lt;$Z$3,0, '0.0%'!$P1099/'0.0%'!$N1099)</f>
        <v>1.1829919857524489</v>
      </c>
      <c r="W1099" s="13">
        <f>IF('0.0%'!$N1099&lt;$Z$3,0, '0.0%'!$Q1099/'0.0%'!$N1099)</f>
        <v>1.2037696645888989</v>
      </c>
      <c r="X1099" s="13">
        <f>IF('0.0%'!$N1099&lt;$Z$3,0, '0.0%'!$R1099/'0.0%'!$N1099)</f>
        <v>1.0868210151380231</v>
      </c>
      <c r="Y1099" s="13">
        <f>IF('0.0%'!$N1099&lt;$Z$3,0, '0.0%'!$S1099/'0.0%'!$N1099)</f>
        <v>1.32413178984862</v>
      </c>
    </row>
    <row r="1100" spans="1:25" x14ac:dyDescent="0.3">
      <c r="A1100" s="17">
        <v>1159.24</v>
      </c>
      <c r="B1100" s="10">
        <v>746.5</v>
      </c>
      <c r="C1100" s="9">
        <v>1159.24</v>
      </c>
      <c r="D1100" s="10">
        <v>889.4</v>
      </c>
      <c r="E1100" s="11">
        <v>1159.24</v>
      </c>
      <c r="F1100" s="12">
        <v>879.7</v>
      </c>
      <c r="G1100" s="11">
        <v>1159.24</v>
      </c>
      <c r="H1100" s="12">
        <v>896.3</v>
      </c>
      <c r="I1100" s="11">
        <v>1159.24</v>
      </c>
      <c r="J1100" s="12">
        <v>805.5</v>
      </c>
      <c r="K1100" s="11">
        <v>1159.24</v>
      </c>
      <c r="L1100" s="12">
        <v>981.8</v>
      </c>
      <c r="M1100" s="11">
        <v>1159.24</v>
      </c>
      <c r="N1100" s="13">
        <v>746.5</v>
      </c>
      <c r="O1100" s="13">
        <v>889.4</v>
      </c>
      <c r="P1100" s="13">
        <v>879.7</v>
      </c>
      <c r="Q1100" s="11">
        <v>896.3</v>
      </c>
      <c r="R1100" s="11">
        <v>805.5</v>
      </c>
      <c r="S1100" s="14">
        <v>981.8</v>
      </c>
      <c r="T1100" s="11">
        <v>1159.24</v>
      </c>
      <c r="U1100" s="13">
        <f>IF('0.0%'!$N1100&lt;$Z$3,0, '0.0%'!$O1100/'0.0%'!$N1100)</f>
        <v>1.1914266577361017</v>
      </c>
      <c r="V1100" s="13">
        <f>IF('0.0%'!$N1100&lt;$Z$3,0, '0.0%'!$P1100/'0.0%'!$N1100)</f>
        <v>1.1784326858673813</v>
      </c>
      <c r="W1100" s="13">
        <f>IF('0.0%'!$N1100&lt;$Z$3,0, '0.0%'!$Q1100/'0.0%'!$N1100)</f>
        <v>1.200669792364367</v>
      </c>
      <c r="X1100" s="13">
        <f>IF('0.0%'!$N1100&lt;$Z$3,0, '0.0%'!$R1100/'0.0%'!$N1100)</f>
        <v>1.0790354989953115</v>
      </c>
      <c r="Y1100" s="13">
        <f>IF('0.0%'!$N1100&lt;$Z$3,0, '0.0%'!$S1100/'0.0%'!$N1100)</f>
        <v>1.315204286671132</v>
      </c>
    </row>
    <row r="1101" spans="1:25" x14ac:dyDescent="0.3">
      <c r="A1101" s="17">
        <v>1160.23</v>
      </c>
      <c r="B1101" s="10">
        <v>832.1</v>
      </c>
      <c r="C1101" s="9">
        <v>1160.23</v>
      </c>
      <c r="D1101" s="10">
        <v>985.5</v>
      </c>
      <c r="E1101" s="11">
        <v>1160.23</v>
      </c>
      <c r="F1101" s="12">
        <v>977</v>
      </c>
      <c r="G1101" s="11">
        <v>1160.23</v>
      </c>
      <c r="H1101" s="12">
        <v>996.2</v>
      </c>
      <c r="I1101" s="11">
        <v>1160.23</v>
      </c>
      <c r="J1101" s="12">
        <v>892</v>
      </c>
      <c r="K1101" s="11">
        <v>1160.23</v>
      </c>
      <c r="L1101" s="12">
        <v>1087.2</v>
      </c>
      <c r="M1101" s="11">
        <v>1160.23</v>
      </c>
      <c r="N1101" s="13">
        <v>832.1</v>
      </c>
      <c r="O1101" s="13">
        <v>985.5</v>
      </c>
      <c r="P1101" s="13">
        <v>977</v>
      </c>
      <c r="Q1101" s="11">
        <v>996.2</v>
      </c>
      <c r="R1101" s="11">
        <v>892</v>
      </c>
      <c r="S1101" s="14">
        <v>1087.2</v>
      </c>
      <c r="T1101" s="11">
        <v>1160.23</v>
      </c>
      <c r="U1101" s="13">
        <f>IF('0.0%'!$N1101&lt;$Z$3,0, '0.0%'!$O1101/'0.0%'!$N1101)</f>
        <v>1.1843528422064655</v>
      </c>
      <c r="V1101" s="13">
        <f>IF('0.0%'!$N1101&lt;$Z$3,0, '0.0%'!$P1101/'0.0%'!$N1101)</f>
        <v>1.1741377238312702</v>
      </c>
      <c r="W1101" s="13">
        <f>IF('0.0%'!$N1101&lt;$Z$3,0, '0.0%'!$Q1101/'0.0%'!$N1101)</f>
        <v>1.1972118735728878</v>
      </c>
      <c r="X1101" s="13">
        <f>IF('0.0%'!$N1101&lt;$Z$3,0, '0.0%'!$R1101/'0.0%'!$N1101)</f>
        <v>1.0719865400793174</v>
      </c>
      <c r="Y1101" s="13">
        <f>IF('0.0%'!$N1101&lt;$Z$3,0, '0.0%'!$S1101/'0.0%'!$N1101)</f>
        <v>1.3065737291190962</v>
      </c>
    </row>
    <row r="1102" spans="1:25" x14ac:dyDescent="0.3">
      <c r="A1102" s="17">
        <v>1161.22</v>
      </c>
      <c r="B1102" s="10">
        <v>931</v>
      </c>
      <c r="C1102" s="9">
        <v>1161.22</v>
      </c>
      <c r="D1102" s="10">
        <v>1097.2</v>
      </c>
      <c r="E1102" s="11">
        <v>1161.22</v>
      </c>
      <c r="F1102" s="12">
        <v>1089.8</v>
      </c>
      <c r="G1102" s="11">
        <v>1161.22</v>
      </c>
      <c r="H1102" s="12">
        <v>1112</v>
      </c>
      <c r="I1102" s="11">
        <v>1161.22</v>
      </c>
      <c r="J1102" s="12">
        <v>992.2</v>
      </c>
      <c r="K1102" s="11">
        <v>1161.22</v>
      </c>
      <c r="L1102" s="12">
        <v>1209.0999999999999</v>
      </c>
      <c r="M1102" s="11">
        <v>1161.22</v>
      </c>
      <c r="N1102" s="13">
        <v>931</v>
      </c>
      <c r="O1102" s="13">
        <v>1097.2</v>
      </c>
      <c r="P1102" s="13">
        <v>1089.8</v>
      </c>
      <c r="Q1102" s="11">
        <v>1112</v>
      </c>
      <c r="R1102" s="11">
        <v>992.2</v>
      </c>
      <c r="S1102" s="14">
        <v>1209.0999999999999</v>
      </c>
      <c r="T1102" s="11">
        <v>1161.22</v>
      </c>
      <c r="U1102" s="13">
        <f>IF('0.0%'!$N1102&lt;$Z$3,0, '0.0%'!$O1102/'0.0%'!$N1102)</f>
        <v>1.1785177228786252</v>
      </c>
      <c r="V1102" s="13">
        <f>IF('0.0%'!$N1102&lt;$Z$3,0, '0.0%'!$P1102/'0.0%'!$N1102)</f>
        <v>1.1705692803437164</v>
      </c>
      <c r="W1102" s="13">
        <f>IF('0.0%'!$N1102&lt;$Z$3,0, '0.0%'!$Q1102/'0.0%'!$N1102)</f>
        <v>1.1944146079484426</v>
      </c>
      <c r="X1102" s="13">
        <f>IF('0.0%'!$N1102&lt;$Z$3,0, '0.0%'!$R1102/'0.0%'!$N1102)</f>
        <v>1.0657357679914072</v>
      </c>
      <c r="Y1102" s="13">
        <f>IF('0.0%'!$N1102&lt;$Z$3,0, '0.0%'!$S1102/'0.0%'!$N1102)</f>
        <v>1.2987110633727175</v>
      </c>
    </row>
    <row r="1103" spans="1:25" x14ac:dyDescent="0.3">
      <c r="A1103" s="17">
        <v>1162.21</v>
      </c>
      <c r="B1103" s="10">
        <v>1047</v>
      </c>
      <c r="C1103" s="9">
        <v>1162.21</v>
      </c>
      <c r="D1103" s="10">
        <v>1228.0999999999999</v>
      </c>
      <c r="E1103" s="11">
        <v>1162.21</v>
      </c>
      <c r="F1103" s="12">
        <v>1222.3</v>
      </c>
      <c r="G1103" s="11">
        <v>1162.21</v>
      </c>
      <c r="H1103" s="12">
        <v>1247.4000000000001</v>
      </c>
      <c r="I1103" s="11">
        <v>1162.21</v>
      </c>
      <c r="J1103" s="12">
        <v>1109.8</v>
      </c>
      <c r="K1103" s="11">
        <v>1162.21</v>
      </c>
      <c r="L1103" s="12">
        <v>1351.5</v>
      </c>
      <c r="M1103" s="11">
        <v>1162.21</v>
      </c>
      <c r="N1103" s="13">
        <v>1047</v>
      </c>
      <c r="O1103" s="13">
        <v>1228.0999999999999</v>
      </c>
      <c r="P1103" s="13">
        <v>1222.3</v>
      </c>
      <c r="Q1103" s="11">
        <v>1247.4000000000001</v>
      </c>
      <c r="R1103" s="11">
        <v>1109.8</v>
      </c>
      <c r="S1103" s="14">
        <v>1351.5</v>
      </c>
      <c r="T1103" s="11">
        <v>1162.21</v>
      </c>
      <c r="U1103" s="13">
        <f>IF('0.0%'!$N1103&lt;$Z$3,0, '0.0%'!$O1103/'0.0%'!$N1103)</f>
        <v>1.1729703915950334</v>
      </c>
      <c r="V1103" s="13">
        <f>IF('0.0%'!$N1103&lt;$Z$3,0, '0.0%'!$P1103/'0.0%'!$N1103)</f>
        <v>1.1674307545367717</v>
      </c>
      <c r="W1103" s="13">
        <f>IF('0.0%'!$N1103&lt;$Z$3,0, '0.0%'!$Q1103/'0.0%'!$N1103)</f>
        <v>1.1914040114613182</v>
      </c>
      <c r="X1103" s="13">
        <f>IF('0.0%'!$N1103&lt;$Z$3,0, '0.0%'!$R1103/'0.0%'!$N1103)</f>
        <v>1.0599808978032472</v>
      </c>
      <c r="Y1103" s="13">
        <f>IF('0.0%'!$N1103&lt;$Z$3,0, '0.0%'!$S1103/'0.0%'!$N1103)</f>
        <v>1.2908309455587392</v>
      </c>
    </row>
    <row r="1104" spans="1:25" x14ac:dyDescent="0.3">
      <c r="A1104" s="17">
        <v>1163.2</v>
      </c>
      <c r="B1104" s="10">
        <v>1182.4000000000001</v>
      </c>
      <c r="C1104" s="9">
        <v>1163.2</v>
      </c>
      <c r="D1104" s="10">
        <v>1380.5</v>
      </c>
      <c r="E1104" s="11">
        <v>1163.2</v>
      </c>
      <c r="F1104" s="12">
        <v>1376.7</v>
      </c>
      <c r="G1104" s="11">
        <v>1163.2</v>
      </c>
      <c r="H1104" s="12">
        <v>1404.8</v>
      </c>
      <c r="I1104" s="11">
        <v>1163.2</v>
      </c>
      <c r="J1104" s="12">
        <v>1246.4000000000001</v>
      </c>
      <c r="K1104" s="11">
        <v>1163.2</v>
      </c>
      <c r="L1104" s="12">
        <v>1516.2</v>
      </c>
      <c r="M1104" s="11">
        <v>1163.2</v>
      </c>
      <c r="N1104" s="13">
        <v>1182.4000000000001</v>
      </c>
      <c r="O1104" s="13">
        <v>1380.5</v>
      </c>
      <c r="P1104" s="13">
        <v>1376.7</v>
      </c>
      <c r="Q1104" s="11">
        <v>1404.8</v>
      </c>
      <c r="R1104" s="11">
        <v>1246.4000000000001</v>
      </c>
      <c r="S1104" s="14">
        <v>1516.2</v>
      </c>
      <c r="T1104" s="11">
        <v>1163.2</v>
      </c>
      <c r="U1104" s="13">
        <f>IF('0.0%'!$N1104&lt;$Z$3,0, '0.0%'!$O1104/'0.0%'!$N1104)</f>
        <v>1.167540595399188</v>
      </c>
      <c r="V1104" s="13">
        <f>IF('0.0%'!$N1104&lt;$Z$3,0, '0.0%'!$P1104/'0.0%'!$N1104)</f>
        <v>1.1643267929634642</v>
      </c>
      <c r="W1104" s="13">
        <f>IF('0.0%'!$N1104&lt;$Z$3,0, '0.0%'!$Q1104/'0.0%'!$N1104)</f>
        <v>1.1880920162381596</v>
      </c>
      <c r="X1104" s="13">
        <f>IF('0.0%'!$N1104&lt;$Z$3,0, '0.0%'!$R1104/'0.0%'!$N1104)</f>
        <v>1.0541271989174561</v>
      </c>
      <c r="Y1104" s="13">
        <f>IF('0.0%'!$N1104&lt;$Z$3,0, '0.0%'!$S1104/'0.0%'!$N1104)</f>
        <v>1.2823071718538566</v>
      </c>
    </row>
    <row r="1105" spans="1:25" x14ac:dyDescent="0.3">
      <c r="A1105" s="17">
        <v>1164.2</v>
      </c>
      <c r="B1105" s="10">
        <v>1339.8</v>
      </c>
      <c r="C1105" s="9">
        <v>1164.2</v>
      </c>
      <c r="D1105" s="10">
        <v>1557</v>
      </c>
      <c r="E1105" s="11">
        <v>1164.2</v>
      </c>
      <c r="F1105" s="12">
        <v>1555.9</v>
      </c>
      <c r="G1105" s="11">
        <v>1164.2</v>
      </c>
      <c r="H1105" s="12">
        <v>1587.2</v>
      </c>
      <c r="I1105" s="11">
        <v>1164.2</v>
      </c>
      <c r="J1105" s="12">
        <v>1405.5</v>
      </c>
      <c r="K1105" s="11">
        <v>1164.2</v>
      </c>
      <c r="L1105" s="12">
        <v>1706.4</v>
      </c>
      <c r="M1105" s="11">
        <v>1164.2</v>
      </c>
      <c r="N1105" s="13">
        <v>1339.8</v>
      </c>
      <c r="O1105" s="13">
        <v>1557</v>
      </c>
      <c r="P1105" s="13">
        <v>1555.9</v>
      </c>
      <c r="Q1105" s="11">
        <v>1587.2</v>
      </c>
      <c r="R1105" s="11">
        <v>1405.5</v>
      </c>
      <c r="S1105" s="14">
        <v>1706.4</v>
      </c>
      <c r="T1105" s="11">
        <v>1164.2</v>
      </c>
      <c r="U1105" s="13">
        <f>IF('0.0%'!$N1105&lt;$Z$3,0, '0.0%'!$O1105/'0.0%'!$N1105)</f>
        <v>1.162113748320645</v>
      </c>
      <c r="V1105" s="13">
        <f>IF('0.0%'!$N1105&lt;$Z$3,0, '0.0%'!$P1105/'0.0%'!$N1105)</f>
        <v>1.1612927302582476</v>
      </c>
      <c r="W1105" s="13">
        <f>IF('0.0%'!$N1105&lt;$Z$3,0, '0.0%'!$Q1105/'0.0%'!$N1105)</f>
        <v>1.1846544260337364</v>
      </c>
      <c r="X1105" s="13">
        <f>IF('0.0%'!$N1105&lt;$Z$3,0, '0.0%'!$R1105/'0.0%'!$N1105)</f>
        <v>1.049037169726825</v>
      </c>
      <c r="Y1105" s="13">
        <f>IF('0.0%'!$N1105&lt;$Z$3,0, '0.0%'!$S1105/'0.0%'!$N1105)</f>
        <v>1.2736229287953427</v>
      </c>
    </row>
    <row r="1106" spans="1:25" x14ac:dyDescent="0.3">
      <c r="A1106" s="17">
        <v>1165.19</v>
      </c>
      <c r="B1106" s="10">
        <v>1521.7</v>
      </c>
      <c r="C1106" s="9">
        <v>1165.19</v>
      </c>
      <c r="D1106" s="10">
        <v>1760.3</v>
      </c>
      <c r="E1106" s="11">
        <v>1165.19</v>
      </c>
      <c r="F1106" s="12">
        <v>1762.2</v>
      </c>
      <c r="G1106" s="11">
        <v>1165.19</v>
      </c>
      <c r="H1106" s="12">
        <v>1796.5</v>
      </c>
      <c r="I1106" s="11">
        <v>1165.19</v>
      </c>
      <c r="J1106" s="12">
        <v>1588.8</v>
      </c>
      <c r="K1106" s="11">
        <v>1165.19</v>
      </c>
      <c r="L1106" s="12">
        <v>1924.5</v>
      </c>
      <c r="M1106" s="11">
        <v>1165.19</v>
      </c>
      <c r="N1106" s="13">
        <v>1521.7</v>
      </c>
      <c r="O1106" s="13">
        <v>1760.3</v>
      </c>
      <c r="P1106" s="13">
        <v>1762.2</v>
      </c>
      <c r="Q1106" s="11">
        <v>1796.5</v>
      </c>
      <c r="R1106" s="11">
        <v>1588.8</v>
      </c>
      <c r="S1106" s="14">
        <v>1924.5</v>
      </c>
      <c r="T1106" s="11">
        <v>1165.19</v>
      </c>
      <c r="U1106" s="13">
        <f>IF('0.0%'!$N1106&lt;$Z$3,0, '0.0%'!$O1106/'0.0%'!$N1106)</f>
        <v>1.1567983176710257</v>
      </c>
      <c r="V1106" s="13">
        <f>IF('0.0%'!$N1106&lt;$Z$3,0, '0.0%'!$P1106/'0.0%'!$N1106)</f>
        <v>1.1580469212065454</v>
      </c>
      <c r="W1106" s="13">
        <f>IF('0.0%'!$N1106&lt;$Z$3,0, '0.0%'!$Q1106/'0.0%'!$N1106)</f>
        <v>1.1805875008214497</v>
      </c>
      <c r="X1106" s="13">
        <f>IF('0.0%'!$N1106&lt;$Z$3,0, '0.0%'!$R1106/'0.0%'!$N1106)</f>
        <v>1.0440954195965038</v>
      </c>
      <c r="Y1106" s="13">
        <f>IF('0.0%'!$N1106&lt;$Z$3,0, '0.0%'!$S1106/'0.0%'!$N1106)</f>
        <v>1.2647039495301307</v>
      </c>
    </row>
    <row r="1107" spans="1:25" x14ac:dyDescent="0.3">
      <c r="A1107" s="17">
        <v>1166.18</v>
      </c>
      <c r="B1107" s="10">
        <v>1727.5</v>
      </c>
      <c r="C1107" s="9">
        <v>1166.18</v>
      </c>
      <c r="D1107" s="10">
        <v>1988.6</v>
      </c>
      <c r="E1107" s="11">
        <v>1166.18</v>
      </c>
      <c r="F1107" s="12">
        <v>1994.5</v>
      </c>
      <c r="G1107" s="11">
        <v>1166.18</v>
      </c>
      <c r="H1107" s="12">
        <v>2031.3</v>
      </c>
      <c r="I1107" s="11">
        <v>1166.18</v>
      </c>
      <c r="J1107" s="12">
        <v>1796.7</v>
      </c>
      <c r="K1107" s="11">
        <v>1166.18</v>
      </c>
      <c r="L1107" s="12">
        <v>2168.6</v>
      </c>
      <c r="M1107" s="11">
        <v>1166.18</v>
      </c>
      <c r="N1107" s="13">
        <v>1727.5</v>
      </c>
      <c r="O1107" s="13">
        <v>1988.6</v>
      </c>
      <c r="P1107" s="13">
        <v>1994.5</v>
      </c>
      <c r="Q1107" s="11">
        <v>2031.3</v>
      </c>
      <c r="R1107" s="11">
        <v>1796.7</v>
      </c>
      <c r="S1107" s="14">
        <v>2168.6</v>
      </c>
      <c r="T1107" s="11">
        <v>1166.18</v>
      </c>
      <c r="U1107" s="13">
        <f>IF('0.0%'!$N1107&lt;$Z$3,0, '0.0%'!$O1107/'0.0%'!$N1107)</f>
        <v>1.1511432706222864</v>
      </c>
      <c r="V1107" s="13">
        <f>IF('0.0%'!$N1107&lt;$Z$3,0, '0.0%'!$P1107/'0.0%'!$N1107)</f>
        <v>1.1545586107091173</v>
      </c>
      <c r="W1107" s="13">
        <f>IF('0.0%'!$N1107&lt;$Z$3,0, '0.0%'!$Q1107/'0.0%'!$N1107)</f>
        <v>1.1758610709117221</v>
      </c>
      <c r="X1107" s="13">
        <f>IF('0.0%'!$N1107&lt;$Z$3,0, '0.0%'!$R1107/'0.0%'!$N1107)</f>
        <v>1.0400578871201158</v>
      </c>
      <c r="Y1107" s="13">
        <f>IF('0.0%'!$N1107&lt;$Z$3,0, '0.0%'!$S1107/'0.0%'!$N1107)</f>
        <v>1.2553400868306801</v>
      </c>
    </row>
    <row r="1108" spans="1:25" x14ac:dyDescent="0.3">
      <c r="A1108" s="17">
        <v>1167.17</v>
      </c>
      <c r="B1108" s="10">
        <v>1958.9</v>
      </c>
      <c r="C1108" s="9">
        <v>1167.17</v>
      </c>
      <c r="D1108" s="10">
        <v>2243.6</v>
      </c>
      <c r="E1108" s="11">
        <v>1167.17</v>
      </c>
      <c r="F1108" s="12">
        <v>2254.6999999999998</v>
      </c>
      <c r="G1108" s="11">
        <v>1167.17</v>
      </c>
      <c r="H1108" s="12">
        <v>2292.4</v>
      </c>
      <c r="I1108" s="11">
        <v>1167.17</v>
      </c>
      <c r="J1108" s="12">
        <v>2030.1</v>
      </c>
      <c r="K1108" s="11">
        <v>1167.17</v>
      </c>
      <c r="L1108" s="12">
        <v>2440.1999999999998</v>
      </c>
      <c r="M1108" s="11">
        <v>1167.17</v>
      </c>
      <c r="N1108" s="13">
        <v>1958.9</v>
      </c>
      <c r="O1108" s="13">
        <v>2243.6</v>
      </c>
      <c r="P1108" s="13">
        <v>2254.6999999999998</v>
      </c>
      <c r="Q1108" s="11">
        <v>2292.4</v>
      </c>
      <c r="R1108" s="11">
        <v>2030.1</v>
      </c>
      <c r="S1108" s="14">
        <v>2440.1999999999998</v>
      </c>
      <c r="T1108" s="11">
        <v>1167.17</v>
      </c>
      <c r="U1108" s="13">
        <f>IF('0.0%'!$N1108&lt;$Z$3,0, '0.0%'!$O1108/'0.0%'!$N1108)</f>
        <v>1.1453366685384654</v>
      </c>
      <c r="V1108" s="13">
        <f>IF('0.0%'!$N1108&lt;$Z$3,0, '0.0%'!$P1108/'0.0%'!$N1108)</f>
        <v>1.1510031139925467</v>
      </c>
      <c r="W1108" s="13">
        <f>IF('0.0%'!$N1108&lt;$Z$3,0, '0.0%'!$Q1108/'0.0%'!$N1108)</f>
        <v>1.1702486089131656</v>
      </c>
      <c r="X1108" s="13">
        <f>IF('0.0%'!$N1108&lt;$Z$3,0, '0.0%'!$R1108/'0.0%'!$N1108)</f>
        <v>1.0363469293991525</v>
      </c>
      <c r="Y1108" s="13">
        <f>IF('0.0%'!$N1108&lt;$Z$3,0, '0.0%'!$S1108/'0.0%'!$N1108)</f>
        <v>1.2456991168512939</v>
      </c>
    </row>
    <row r="1109" spans="1:25" x14ac:dyDescent="0.3">
      <c r="A1109" s="17">
        <v>1168.1600000000001</v>
      </c>
      <c r="B1109" s="10">
        <v>2210.1999999999998</v>
      </c>
      <c r="C1109" s="9">
        <v>1168.1600000000001</v>
      </c>
      <c r="D1109" s="10">
        <v>2518.5</v>
      </c>
      <c r="E1109" s="11">
        <v>1168.1600000000001</v>
      </c>
      <c r="F1109" s="12">
        <v>2536</v>
      </c>
      <c r="G1109" s="11">
        <v>1168.1600000000001</v>
      </c>
      <c r="H1109" s="12">
        <v>2572.9</v>
      </c>
      <c r="I1109" s="11">
        <v>1168.1600000000001</v>
      </c>
      <c r="J1109" s="12">
        <v>2284.1</v>
      </c>
      <c r="K1109" s="11">
        <v>1168.1600000000001</v>
      </c>
      <c r="L1109" s="12">
        <v>2731.8</v>
      </c>
      <c r="M1109" s="11">
        <v>1168.1600000000001</v>
      </c>
      <c r="N1109" s="13">
        <v>2210.1999999999998</v>
      </c>
      <c r="O1109" s="13">
        <v>2518.5</v>
      </c>
      <c r="P1109" s="13">
        <v>2536</v>
      </c>
      <c r="Q1109" s="11">
        <v>2572.9</v>
      </c>
      <c r="R1109" s="11">
        <v>2284.1</v>
      </c>
      <c r="S1109" s="14">
        <v>2731.8</v>
      </c>
      <c r="T1109" s="11">
        <v>1168.1600000000001</v>
      </c>
      <c r="U1109" s="13">
        <f>IF('0.0%'!$N1109&lt;$Z$3,0, '0.0%'!$O1109/'0.0%'!$N1109)</f>
        <v>1.1394896389467017</v>
      </c>
      <c r="V1109" s="13">
        <f>IF('0.0%'!$N1109&lt;$Z$3,0, '0.0%'!$P1109/'0.0%'!$N1109)</f>
        <v>1.1474074744367027</v>
      </c>
      <c r="W1109" s="13">
        <f>IF('0.0%'!$N1109&lt;$Z$3,0, '0.0%'!$Q1109/'0.0%'!$N1109)</f>
        <v>1.1641027961270474</v>
      </c>
      <c r="X1109" s="13">
        <f>IF('0.0%'!$N1109&lt;$Z$3,0, '0.0%'!$R1109/'0.0%'!$N1109)</f>
        <v>1.0334358881549182</v>
      </c>
      <c r="Y1109" s="13">
        <f>IF('0.0%'!$N1109&lt;$Z$3,0, '0.0%'!$S1109/'0.0%'!$N1109)</f>
        <v>1.2359967423762557</v>
      </c>
    </row>
    <row r="1110" spans="1:25" x14ac:dyDescent="0.3">
      <c r="A1110" s="17">
        <v>1169.1600000000001</v>
      </c>
      <c r="B1110" s="10">
        <v>2477.9</v>
      </c>
      <c r="C1110" s="9">
        <v>1169.1600000000001</v>
      </c>
      <c r="D1110" s="10">
        <v>2809.4</v>
      </c>
      <c r="E1110" s="11">
        <v>1169.1600000000001</v>
      </c>
      <c r="F1110" s="12">
        <v>2834.9</v>
      </c>
      <c r="G1110" s="11">
        <v>1169.1600000000001</v>
      </c>
      <c r="H1110" s="12">
        <v>2870.2</v>
      </c>
      <c r="I1110" s="11">
        <v>1169.1600000000001</v>
      </c>
      <c r="J1110" s="12">
        <v>2555.9</v>
      </c>
      <c r="K1110" s="11">
        <v>1169.1600000000001</v>
      </c>
      <c r="L1110" s="12">
        <v>3039.6</v>
      </c>
      <c r="M1110" s="11">
        <v>1169.1600000000001</v>
      </c>
      <c r="N1110" s="13">
        <v>2477.9</v>
      </c>
      <c r="O1110" s="13">
        <v>2809.4</v>
      </c>
      <c r="P1110" s="13">
        <v>2834.9</v>
      </c>
      <c r="Q1110" s="11">
        <v>2870.2</v>
      </c>
      <c r="R1110" s="11">
        <v>2555.9</v>
      </c>
      <c r="S1110" s="14">
        <v>3039.6</v>
      </c>
      <c r="T1110" s="11">
        <v>1169.1600000000001</v>
      </c>
      <c r="U1110" s="13">
        <f>IF('0.0%'!$N1110&lt;$Z$3,0, '0.0%'!$O1110/'0.0%'!$N1110)</f>
        <v>1.1337826385245571</v>
      </c>
      <c r="V1110" s="13">
        <f>IF('0.0%'!$N1110&lt;$Z$3,0, '0.0%'!$P1110/'0.0%'!$N1110)</f>
        <v>1.1440736107187537</v>
      </c>
      <c r="W1110" s="13">
        <f>IF('0.0%'!$N1110&lt;$Z$3,0, '0.0%'!$Q1110/'0.0%'!$N1110)</f>
        <v>1.1583195447758181</v>
      </c>
      <c r="X1110" s="13">
        <f>IF('0.0%'!$N1110&lt;$Z$3,0, '0.0%'!$R1110/'0.0%'!$N1110)</f>
        <v>1.0314782678881311</v>
      </c>
      <c r="Y1110" s="13">
        <f>IF('0.0%'!$N1110&lt;$Z$3,0, '0.0%'!$S1110/'0.0%'!$N1110)</f>
        <v>1.2266838855482465</v>
      </c>
    </row>
    <row r="1111" spans="1:25" x14ac:dyDescent="0.3">
      <c r="A1111" s="17">
        <v>1170.1500000000001</v>
      </c>
      <c r="B1111" s="10">
        <v>2750.4</v>
      </c>
      <c r="C1111" s="9">
        <v>1170.1500000000001</v>
      </c>
      <c r="D1111" s="10">
        <v>3104</v>
      </c>
      <c r="E1111" s="11">
        <v>1170.1500000000001</v>
      </c>
      <c r="F1111" s="12">
        <v>3137.7</v>
      </c>
      <c r="G1111" s="11">
        <v>1170.1500000000001</v>
      </c>
      <c r="H1111" s="12">
        <v>3170.9</v>
      </c>
      <c r="I1111" s="11">
        <v>1170.1500000000001</v>
      </c>
      <c r="J1111" s="12">
        <v>2833.1</v>
      </c>
      <c r="K1111" s="11">
        <v>1170.1500000000001</v>
      </c>
      <c r="L1111" s="12">
        <v>3349.6</v>
      </c>
      <c r="M1111" s="11">
        <v>1170.1500000000001</v>
      </c>
      <c r="N1111" s="13">
        <v>2750.4</v>
      </c>
      <c r="O1111" s="13">
        <v>3104</v>
      </c>
      <c r="P1111" s="13">
        <v>3137.7</v>
      </c>
      <c r="Q1111" s="11">
        <v>3170.9</v>
      </c>
      <c r="R1111" s="11">
        <v>2833.1</v>
      </c>
      <c r="S1111" s="14">
        <v>3349.6</v>
      </c>
      <c r="T1111" s="11">
        <v>1170.1500000000001</v>
      </c>
      <c r="U1111" s="13">
        <f>IF('0.0%'!$N1111&lt;$Z$3,0, '0.0%'!$O1111/'0.0%'!$N1111)</f>
        <v>1.1285631180919138</v>
      </c>
      <c r="V1111" s="13">
        <f>IF('0.0%'!$N1111&lt;$Z$3,0, '0.0%'!$P1111/'0.0%'!$N1111)</f>
        <v>1.1408158813263525</v>
      </c>
      <c r="W1111" s="13">
        <f>IF('0.0%'!$N1111&lt;$Z$3,0, '0.0%'!$Q1111/'0.0%'!$N1111)</f>
        <v>1.1528868528214078</v>
      </c>
      <c r="X1111" s="13">
        <f>IF('0.0%'!$N1111&lt;$Z$3,0, '0.0%'!$R1111/'0.0%'!$N1111)</f>
        <v>1.0300683536940081</v>
      </c>
      <c r="Y1111" s="13">
        <f>IF('0.0%'!$N1111&lt;$Z$3,0, '0.0%'!$S1111/'0.0%'!$N1111)</f>
        <v>1.2178592204770216</v>
      </c>
    </row>
    <row r="1112" spans="1:25" x14ac:dyDescent="0.3">
      <c r="A1112" s="17">
        <v>1171.1400000000001</v>
      </c>
      <c r="B1112" s="10">
        <v>3023.3</v>
      </c>
      <c r="C1112" s="9">
        <v>1171.1400000000001</v>
      </c>
      <c r="D1112" s="10">
        <v>3398.4</v>
      </c>
      <c r="E1112" s="11">
        <v>1171.1400000000001</v>
      </c>
      <c r="F1112" s="12">
        <v>3441</v>
      </c>
      <c r="G1112" s="11">
        <v>1171.1400000000001</v>
      </c>
      <c r="H1112" s="12">
        <v>3471</v>
      </c>
      <c r="I1112" s="11">
        <v>1171.1400000000001</v>
      </c>
      <c r="J1112" s="12">
        <v>3111.8</v>
      </c>
      <c r="K1112" s="11">
        <v>1171.1400000000001</v>
      </c>
      <c r="L1112" s="12">
        <v>3659.7</v>
      </c>
      <c r="M1112" s="11">
        <v>1171.1400000000001</v>
      </c>
      <c r="N1112" s="13">
        <v>3023.3</v>
      </c>
      <c r="O1112" s="13">
        <v>3398.4</v>
      </c>
      <c r="P1112" s="13">
        <v>3441</v>
      </c>
      <c r="Q1112" s="11">
        <v>3471</v>
      </c>
      <c r="R1112" s="11">
        <v>3111.8</v>
      </c>
      <c r="S1112" s="14">
        <v>3659.7</v>
      </c>
      <c r="T1112" s="11">
        <v>1171.1400000000001</v>
      </c>
      <c r="U1112" s="13">
        <f>IF('0.0%'!$N1112&lt;$Z$3,0, '0.0%'!$O1112/'0.0%'!$N1112)</f>
        <v>1.1240697251347864</v>
      </c>
      <c r="V1112" s="13">
        <f>IF('0.0%'!$N1112&lt;$Z$3,0, '0.0%'!$P1112/'0.0%'!$N1112)</f>
        <v>1.1381602884265536</v>
      </c>
      <c r="W1112" s="13">
        <f>IF('0.0%'!$N1112&lt;$Z$3,0, '0.0%'!$Q1112/'0.0%'!$N1112)</f>
        <v>1.1480832203221645</v>
      </c>
      <c r="X1112" s="13">
        <f>IF('0.0%'!$N1112&lt;$Z$3,0, '0.0%'!$R1112/'0.0%'!$N1112)</f>
        <v>1.0292726490920516</v>
      </c>
      <c r="Y1112" s="13">
        <f>IF('0.0%'!$N1112&lt;$Z$3,0, '0.0%'!$S1112/'0.0%'!$N1112)</f>
        <v>1.2104984619455561</v>
      </c>
    </row>
    <row r="1113" spans="1:25" x14ac:dyDescent="0.3">
      <c r="A1113" s="17">
        <v>1172.1300000000001</v>
      </c>
      <c r="B1113" s="10">
        <v>3288.5</v>
      </c>
      <c r="C1113" s="9">
        <v>1172.1300000000001</v>
      </c>
      <c r="D1113" s="10">
        <v>3683.8</v>
      </c>
      <c r="E1113" s="11">
        <v>1172.1300000000001</v>
      </c>
      <c r="F1113" s="12">
        <v>3735.4</v>
      </c>
      <c r="G1113" s="11">
        <v>1172.1300000000001</v>
      </c>
      <c r="H1113" s="12">
        <v>3761</v>
      </c>
      <c r="I1113" s="11">
        <v>1172.1300000000001</v>
      </c>
      <c r="J1113" s="12">
        <v>3383.4</v>
      </c>
      <c r="K1113" s="11">
        <v>1172.1300000000001</v>
      </c>
      <c r="L1113" s="12">
        <v>3959.9</v>
      </c>
      <c r="M1113" s="11">
        <v>1172.1300000000001</v>
      </c>
      <c r="N1113" s="13">
        <v>3288.5</v>
      </c>
      <c r="O1113" s="13">
        <v>3683.8</v>
      </c>
      <c r="P1113" s="13">
        <v>3735.4</v>
      </c>
      <c r="Q1113" s="11">
        <v>3761</v>
      </c>
      <c r="R1113" s="11">
        <v>3383.4</v>
      </c>
      <c r="S1113" s="14">
        <v>3959.9</v>
      </c>
      <c r="T1113" s="11">
        <v>1172.1300000000001</v>
      </c>
      <c r="U1113" s="13">
        <f>IF('0.0%'!$N1113&lt;$Z$3,0, '0.0%'!$O1113/'0.0%'!$N1113)</f>
        <v>1.1202067812072374</v>
      </c>
      <c r="V1113" s="13">
        <f>IF('0.0%'!$N1113&lt;$Z$3,0, '0.0%'!$P1113/'0.0%'!$N1113)</f>
        <v>1.1358978257564238</v>
      </c>
      <c r="W1113" s="13">
        <f>IF('0.0%'!$N1113&lt;$Z$3,0, '0.0%'!$Q1113/'0.0%'!$N1113)</f>
        <v>1.1436825300288886</v>
      </c>
      <c r="X1113" s="13">
        <f>IF('0.0%'!$N1113&lt;$Z$3,0, '0.0%'!$R1113/'0.0%'!$N1113)</f>
        <v>1.0288581420100349</v>
      </c>
      <c r="Y1113" s="13">
        <f>IF('0.0%'!$N1113&lt;$Z$3,0, '0.0%'!$S1113/'0.0%'!$N1113)</f>
        <v>1.2041660331458113</v>
      </c>
    </row>
    <row r="1114" spans="1:25" x14ac:dyDescent="0.3">
      <c r="A1114" s="17">
        <v>1173.1199999999999</v>
      </c>
      <c r="B1114" s="10">
        <v>3543.6</v>
      </c>
      <c r="C1114" s="9">
        <v>1173.1199999999999</v>
      </c>
      <c r="D1114" s="10">
        <v>3959.3</v>
      </c>
      <c r="E1114" s="11">
        <v>1173.1199999999999</v>
      </c>
      <c r="F1114" s="12">
        <v>4020</v>
      </c>
      <c r="G1114" s="11">
        <v>1173.1199999999999</v>
      </c>
      <c r="H1114" s="12">
        <v>4041.1</v>
      </c>
      <c r="I1114" s="11">
        <v>1173.1199999999999</v>
      </c>
      <c r="J1114" s="12">
        <v>3647.7</v>
      </c>
      <c r="K1114" s="11">
        <v>1173.1199999999999</v>
      </c>
      <c r="L1114" s="12">
        <v>4250.1000000000004</v>
      </c>
      <c r="M1114" s="11">
        <v>1173.1199999999999</v>
      </c>
      <c r="N1114" s="13">
        <v>3543.6</v>
      </c>
      <c r="O1114" s="13">
        <v>3959.3</v>
      </c>
      <c r="P1114" s="13">
        <v>4020</v>
      </c>
      <c r="Q1114" s="11">
        <v>4041.1</v>
      </c>
      <c r="R1114" s="11">
        <v>3647.7</v>
      </c>
      <c r="S1114" s="14">
        <v>4250.1000000000004</v>
      </c>
      <c r="T1114" s="11">
        <v>1173.1199999999999</v>
      </c>
      <c r="U1114" s="13">
        <f>IF('0.0%'!$N1114&lt;$Z$3,0, '0.0%'!$O1114/'0.0%'!$N1114)</f>
        <v>1.117310080144486</v>
      </c>
      <c r="V1114" s="13">
        <f>IF('0.0%'!$N1114&lt;$Z$3,0, '0.0%'!$P1114/'0.0%'!$N1114)</f>
        <v>1.1344395529969522</v>
      </c>
      <c r="W1114" s="13">
        <f>IF('0.0%'!$N1114&lt;$Z$3,0, '0.0%'!$Q1114/'0.0%'!$N1114)</f>
        <v>1.1403939496557174</v>
      </c>
      <c r="X1114" s="13">
        <f>IF('0.0%'!$N1114&lt;$Z$3,0, '0.0%'!$R1114/'0.0%'!$N1114)</f>
        <v>1.029376904842533</v>
      </c>
      <c r="Y1114" s="13">
        <f>IF('0.0%'!$N1114&lt;$Z$3,0, '0.0%'!$S1114/'0.0%'!$N1114)</f>
        <v>1.1993735184558079</v>
      </c>
    </row>
    <row r="1115" spans="1:25" x14ac:dyDescent="0.3">
      <c r="A1115" s="17">
        <v>1174.1099999999999</v>
      </c>
      <c r="B1115" s="10">
        <v>3785.5</v>
      </c>
      <c r="C1115" s="9">
        <v>1174.1099999999999</v>
      </c>
      <c r="D1115" s="10">
        <v>4220.7</v>
      </c>
      <c r="E1115" s="11">
        <v>1174.1099999999999</v>
      </c>
      <c r="F1115" s="12">
        <v>4289.5</v>
      </c>
      <c r="G1115" s="11">
        <v>1174.1099999999999</v>
      </c>
      <c r="H1115" s="12">
        <v>4306.8999999999996</v>
      </c>
      <c r="I1115" s="11">
        <v>1174.1099999999999</v>
      </c>
      <c r="J1115" s="12">
        <v>3900.6</v>
      </c>
      <c r="K1115" s="11">
        <v>1174.1099999999999</v>
      </c>
      <c r="L1115" s="12">
        <v>4525</v>
      </c>
      <c r="M1115" s="11">
        <v>1174.1099999999999</v>
      </c>
      <c r="N1115" s="13">
        <v>3785.5</v>
      </c>
      <c r="O1115" s="13">
        <v>4220.7</v>
      </c>
      <c r="P1115" s="13">
        <v>4289.5</v>
      </c>
      <c r="Q1115" s="11">
        <v>4306.8999999999996</v>
      </c>
      <c r="R1115" s="11">
        <v>3900.6</v>
      </c>
      <c r="S1115" s="14">
        <v>4525</v>
      </c>
      <c r="T1115" s="11">
        <v>1174.1099999999999</v>
      </c>
      <c r="U1115" s="13">
        <f>IF('0.0%'!$N1115&lt;$Z$3,0, '0.0%'!$O1115/'0.0%'!$N1115)</f>
        <v>1.1149649980187557</v>
      </c>
      <c r="V1115" s="13">
        <f>IF('0.0%'!$N1115&lt;$Z$3,0, '0.0%'!$P1115/'0.0%'!$N1115)</f>
        <v>1.1331396116761325</v>
      </c>
      <c r="W1115" s="13">
        <f>IF('0.0%'!$N1115&lt;$Z$3,0, '0.0%'!$Q1115/'0.0%'!$N1115)</f>
        <v>1.1377360982697133</v>
      </c>
      <c r="X1115" s="13">
        <f>IF('0.0%'!$N1115&lt;$Z$3,0, '0.0%'!$R1115/'0.0%'!$N1115)</f>
        <v>1.0304054946506407</v>
      </c>
      <c r="Y1115" s="13">
        <f>IF('0.0%'!$N1115&lt;$Z$3,0, '0.0%'!$S1115/'0.0%'!$N1115)</f>
        <v>1.1953506802271827</v>
      </c>
    </row>
    <row r="1116" spans="1:25" x14ac:dyDescent="0.3">
      <c r="A1116" s="17">
        <v>1175.1099999999999</v>
      </c>
      <c r="B1116" s="10">
        <v>4018.4</v>
      </c>
      <c r="C1116" s="9">
        <v>1175.1099999999999</v>
      </c>
      <c r="D1116" s="10">
        <v>4473.8999999999996</v>
      </c>
      <c r="E1116" s="11">
        <v>1175.1099999999999</v>
      </c>
      <c r="F1116" s="12">
        <v>4551</v>
      </c>
      <c r="G1116" s="11">
        <v>1175.1099999999999</v>
      </c>
      <c r="H1116" s="12">
        <v>4564.8999999999996</v>
      </c>
      <c r="I1116" s="11">
        <v>1175.1099999999999</v>
      </c>
      <c r="J1116" s="12">
        <v>4147.8999999999996</v>
      </c>
      <c r="K1116" s="11">
        <v>1175.1099999999999</v>
      </c>
      <c r="L1116" s="12">
        <v>4792.5</v>
      </c>
      <c r="M1116" s="11">
        <v>1175.1099999999999</v>
      </c>
      <c r="N1116" s="13">
        <v>4018.4</v>
      </c>
      <c r="O1116" s="13">
        <v>4473.8999999999996</v>
      </c>
      <c r="P1116" s="13">
        <v>4551</v>
      </c>
      <c r="Q1116" s="11">
        <v>4564.8999999999996</v>
      </c>
      <c r="R1116" s="11">
        <v>4147.8999999999996</v>
      </c>
      <c r="S1116" s="14">
        <v>4792.5</v>
      </c>
      <c r="T1116" s="11">
        <v>1175.1099999999999</v>
      </c>
      <c r="U1116" s="13">
        <f>IF('0.0%'!$N1116&lt;$Z$3,0, '0.0%'!$O1116/'0.0%'!$N1116)</f>
        <v>1.1133535735616165</v>
      </c>
      <c r="V1116" s="13">
        <f>IF('0.0%'!$N1116&lt;$Z$3,0, '0.0%'!$P1116/'0.0%'!$N1116)</f>
        <v>1.1325403145530559</v>
      </c>
      <c r="W1116" s="13">
        <f>IF('0.0%'!$N1116&lt;$Z$3,0, '0.0%'!$Q1116/'0.0%'!$N1116)</f>
        <v>1.1359994027473621</v>
      </c>
      <c r="X1116" s="13">
        <f>IF('0.0%'!$N1116&lt;$Z$3,0, '0.0%'!$R1116/'0.0%'!$N1116)</f>
        <v>1.0322267569181762</v>
      </c>
      <c r="Y1116" s="13">
        <f>IF('0.0%'!$N1116&lt;$Z$3,0, '0.0%'!$S1116/'0.0%'!$N1116)</f>
        <v>1.1926388612383039</v>
      </c>
    </row>
    <row r="1117" spans="1:25" x14ac:dyDescent="0.3">
      <c r="A1117" s="17">
        <v>1176.0999999999999</v>
      </c>
      <c r="B1117" s="10">
        <v>4243</v>
      </c>
      <c r="C1117" s="9">
        <v>1176.0999999999999</v>
      </c>
      <c r="D1117" s="10">
        <v>4718.3999999999996</v>
      </c>
      <c r="E1117" s="11">
        <v>1176.0999999999999</v>
      </c>
      <c r="F1117" s="12">
        <v>4802.3999999999996</v>
      </c>
      <c r="G1117" s="11">
        <v>1176.0999999999999</v>
      </c>
      <c r="H1117" s="12">
        <v>4814.1000000000004</v>
      </c>
      <c r="I1117" s="11">
        <v>1176.0999999999999</v>
      </c>
      <c r="J1117" s="12">
        <v>4388.6000000000004</v>
      </c>
      <c r="K1117" s="11">
        <v>1176.0999999999999</v>
      </c>
      <c r="L1117" s="12">
        <v>5050.2</v>
      </c>
      <c r="M1117" s="11">
        <v>1176.0999999999999</v>
      </c>
      <c r="N1117" s="13">
        <v>4243</v>
      </c>
      <c r="O1117" s="13">
        <v>4718.3999999999996</v>
      </c>
      <c r="P1117" s="13">
        <v>4802.3999999999996</v>
      </c>
      <c r="Q1117" s="11">
        <v>4814.1000000000004</v>
      </c>
      <c r="R1117" s="11">
        <v>4388.6000000000004</v>
      </c>
      <c r="S1117" s="14">
        <v>5050.2</v>
      </c>
      <c r="T1117" s="11">
        <v>1176.0999999999999</v>
      </c>
      <c r="U1117" s="13">
        <f>IF('0.0%'!$N1117&lt;$Z$3,0, '0.0%'!$O1117/'0.0%'!$N1117)</f>
        <v>1.1120433655432476</v>
      </c>
      <c r="V1117" s="13">
        <f>IF('0.0%'!$N1117&lt;$Z$3,0, '0.0%'!$P1117/'0.0%'!$N1117)</f>
        <v>1.1318406787650246</v>
      </c>
      <c r="W1117" s="13">
        <f>IF('0.0%'!$N1117&lt;$Z$3,0, '0.0%'!$Q1117/'0.0%'!$N1117)</f>
        <v>1.134598161678058</v>
      </c>
      <c r="X1117" s="13">
        <f>IF('0.0%'!$N1117&lt;$Z$3,0, '0.0%'!$R1117/'0.0%'!$N1117)</f>
        <v>1.034315342917747</v>
      </c>
      <c r="Y1117" s="13">
        <f>IF('0.0%'!$N1117&lt;$Z$3,0, '0.0%'!$S1117/'0.0%'!$N1117)</f>
        <v>1.1902427527692669</v>
      </c>
    </row>
    <row r="1118" spans="1:25" x14ac:dyDescent="0.3">
      <c r="A1118" s="17">
        <v>1177.0899999999999</v>
      </c>
      <c r="B1118" s="10">
        <v>4466.8999999999996</v>
      </c>
      <c r="C1118" s="9">
        <v>1177.0899999999999</v>
      </c>
      <c r="D1118" s="10">
        <v>4963.5</v>
      </c>
      <c r="E1118" s="11">
        <v>1177.0899999999999</v>
      </c>
      <c r="F1118" s="12">
        <v>5053.5</v>
      </c>
      <c r="G1118" s="11">
        <v>1177.0899999999999</v>
      </c>
      <c r="H1118" s="12">
        <v>5063.7</v>
      </c>
      <c r="I1118" s="11">
        <v>1177.0899999999999</v>
      </c>
      <c r="J1118" s="12">
        <v>4630.8</v>
      </c>
      <c r="K1118" s="11">
        <v>1177.0899999999999</v>
      </c>
      <c r="L1118" s="12">
        <v>5308</v>
      </c>
      <c r="M1118" s="11">
        <v>1177.0899999999999</v>
      </c>
      <c r="N1118" s="13">
        <v>4466.8999999999996</v>
      </c>
      <c r="O1118" s="13">
        <v>4963.5</v>
      </c>
      <c r="P1118" s="13">
        <v>5053.5</v>
      </c>
      <c r="Q1118" s="11">
        <v>5063.7</v>
      </c>
      <c r="R1118" s="11">
        <v>4630.8</v>
      </c>
      <c r="S1118" s="14">
        <v>5308</v>
      </c>
      <c r="T1118" s="11">
        <v>1177.0899999999999</v>
      </c>
      <c r="U1118" s="13">
        <f>IF('0.0%'!$N1118&lt;$Z$3,0, '0.0%'!$O1118/'0.0%'!$N1118)</f>
        <v>1.1111732969173254</v>
      </c>
      <c r="V1118" s="13">
        <f>IF('0.0%'!$N1118&lt;$Z$3,0, '0.0%'!$P1118/'0.0%'!$N1118)</f>
        <v>1.1313214981306947</v>
      </c>
      <c r="W1118" s="13">
        <f>IF('0.0%'!$N1118&lt;$Z$3,0, '0.0%'!$Q1118/'0.0%'!$N1118)</f>
        <v>1.1336049609348766</v>
      </c>
      <c r="X1118" s="13">
        <f>IF('0.0%'!$N1118&lt;$Z$3,0, '0.0%'!$R1118/'0.0%'!$N1118)</f>
        <v>1.0366921130985696</v>
      </c>
      <c r="Y1118" s="13">
        <f>IF('0.0%'!$N1118&lt;$Z$3,0, '0.0%'!$S1118/'0.0%'!$N1118)</f>
        <v>1.1882961337840561</v>
      </c>
    </row>
    <row r="1119" spans="1:25" x14ac:dyDescent="0.3">
      <c r="A1119" s="17">
        <v>1178.08</v>
      </c>
      <c r="B1119" s="10">
        <v>4688.8999999999996</v>
      </c>
      <c r="C1119" s="9">
        <v>1178.08</v>
      </c>
      <c r="D1119" s="10">
        <v>5205.3</v>
      </c>
      <c r="E1119" s="11">
        <v>1178.08</v>
      </c>
      <c r="F1119" s="12">
        <v>5299.7</v>
      </c>
      <c r="G1119" s="11">
        <v>1178.08</v>
      </c>
      <c r="H1119" s="12">
        <v>5310</v>
      </c>
      <c r="I1119" s="11">
        <v>1178.08</v>
      </c>
      <c r="J1119" s="12">
        <v>4870.8999999999996</v>
      </c>
      <c r="K1119" s="11">
        <v>1178.08</v>
      </c>
      <c r="L1119" s="12">
        <v>5560.6</v>
      </c>
      <c r="M1119" s="11">
        <v>1178.08</v>
      </c>
      <c r="N1119" s="13">
        <v>4688.8999999999996</v>
      </c>
      <c r="O1119" s="13">
        <v>5205.3</v>
      </c>
      <c r="P1119" s="13">
        <v>5299.7</v>
      </c>
      <c r="Q1119" s="11">
        <v>5310</v>
      </c>
      <c r="R1119" s="11">
        <v>4870.8999999999996</v>
      </c>
      <c r="S1119" s="14">
        <v>5560.6</v>
      </c>
      <c r="T1119" s="11">
        <v>1178.08</v>
      </c>
      <c r="U1119" s="13">
        <f>IF('0.0%'!$N1119&lt;$Z$3,0, '0.0%'!$O1119/'0.0%'!$N1119)</f>
        <v>1.1101324404444541</v>
      </c>
      <c r="V1119" s="13">
        <f>IF('0.0%'!$N1119&lt;$Z$3,0, '0.0%'!$P1119/'0.0%'!$N1119)</f>
        <v>1.1302650941585446</v>
      </c>
      <c r="W1119" s="13">
        <f>IF('0.0%'!$N1119&lt;$Z$3,0, '0.0%'!$Q1119/'0.0%'!$N1119)</f>
        <v>1.1324617714176033</v>
      </c>
      <c r="X1119" s="13">
        <f>IF('0.0%'!$N1119&lt;$Z$3,0, '0.0%'!$R1119/'0.0%'!$N1119)</f>
        <v>1.0388150738979292</v>
      </c>
      <c r="Y1119" s="13">
        <f>IF('0.0%'!$N1119&lt;$Z$3,0, '0.0%'!$S1119/'0.0%'!$N1119)</f>
        <v>1.1859071424001366</v>
      </c>
    </row>
    <row r="1120" spans="1:25" x14ac:dyDescent="0.3">
      <c r="A1120" s="17">
        <v>1179.07</v>
      </c>
      <c r="B1120" s="10">
        <v>4914.2</v>
      </c>
      <c r="C1120" s="9">
        <v>1179.07</v>
      </c>
      <c r="D1120" s="10">
        <v>5450.7</v>
      </c>
      <c r="E1120" s="11">
        <v>1179.07</v>
      </c>
      <c r="F1120" s="12">
        <v>5548.8</v>
      </c>
      <c r="G1120" s="11">
        <v>1179.07</v>
      </c>
      <c r="H1120" s="12">
        <v>5560.2</v>
      </c>
      <c r="I1120" s="11">
        <v>1179.07</v>
      </c>
      <c r="J1120" s="12">
        <v>5114.8999999999996</v>
      </c>
      <c r="K1120" s="11">
        <v>1179.07</v>
      </c>
      <c r="L1120" s="12">
        <v>5816.2</v>
      </c>
      <c r="M1120" s="11">
        <v>1179.07</v>
      </c>
      <c r="N1120" s="13">
        <v>4914.2</v>
      </c>
      <c r="O1120" s="13">
        <v>5450.7</v>
      </c>
      <c r="P1120" s="13">
        <v>5548.8</v>
      </c>
      <c r="Q1120" s="11">
        <v>5560.2</v>
      </c>
      <c r="R1120" s="11">
        <v>5114.8999999999996</v>
      </c>
      <c r="S1120" s="14">
        <v>5816.2</v>
      </c>
      <c r="T1120" s="11">
        <v>1179.07</v>
      </c>
      <c r="U1120" s="13">
        <f>IF('0.0%'!$N1120&lt;$Z$3,0, '0.0%'!$O1120/'0.0%'!$N1120)</f>
        <v>1.1091734158153921</v>
      </c>
      <c r="V1120" s="13">
        <f>IF('0.0%'!$N1120&lt;$Z$3,0, '0.0%'!$P1120/'0.0%'!$N1120)</f>
        <v>1.12913597330186</v>
      </c>
      <c r="W1120" s="13">
        <f>IF('0.0%'!$N1120&lt;$Z$3,0, '0.0%'!$Q1120/'0.0%'!$N1120)</f>
        <v>1.1314557812054862</v>
      </c>
      <c r="X1120" s="13">
        <f>IF('0.0%'!$N1120&lt;$Z$3,0, '0.0%'!$R1120/'0.0%'!$N1120)</f>
        <v>1.0408408286191038</v>
      </c>
      <c r="Y1120" s="13">
        <f>IF('0.0%'!$N1120&lt;$Z$3,0, '0.0%'!$S1120/'0.0%'!$N1120)</f>
        <v>1.1835497130763908</v>
      </c>
    </row>
    <row r="1121" spans="1:25" x14ac:dyDescent="0.3">
      <c r="A1121" s="17">
        <v>1180.06</v>
      </c>
      <c r="B1121" s="10">
        <v>5136.7</v>
      </c>
      <c r="C1121" s="9">
        <v>1180.06</v>
      </c>
      <c r="D1121" s="10">
        <v>5691.2</v>
      </c>
      <c r="E1121" s="11">
        <v>1180.06</v>
      </c>
      <c r="F1121" s="12">
        <v>5791.8</v>
      </c>
      <c r="G1121" s="11">
        <v>1180.06</v>
      </c>
      <c r="H1121" s="12">
        <v>5806</v>
      </c>
      <c r="I1121" s="11">
        <v>1180.06</v>
      </c>
      <c r="J1121" s="12">
        <v>5354.2</v>
      </c>
      <c r="K1121" s="11">
        <v>1180.06</v>
      </c>
      <c r="L1121" s="12">
        <v>6065.3</v>
      </c>
      <c r="M1121" s="11">
        <v>1180.06</v>
      </c>
      <c r="N1121" s="13">
        <v>5136.7</v>
      </c>
      <c r="O1121" s="13">
        <v>5691.2</v>
      </c>
      <c r="P1121" s="13">
        <v>5791.8</v>
      </c>
      <c r="Q1121" s="11">
        <v>5806</v>
      </c>
      <c r="R1121" s="11">
        <v>5354.2</v>
      </c>
      <c r="S1121" s="14">
        <v>6065.3</v>
      </c>
      <c r="T1121" s="11">
        <v>1180.06</v>
      </c>
      <c r="U1121" s="13">
        <f>IF('0.0%'!$N1121&lt;$Z$3,0, '0.0%'!$O1121/'0.0%'!$N1121)</f>
        <v>1.1079486830065997</v>
      </c>
      <c r="V1121" s="13">
        <f>IF('0.0%'!$N1121&lt;$Z$3,0, '0.0%'!$P1121/'0.0%'!$N1121)</f>
        <v>1.1275332411859755</v>
      </c>
      <c r="W1121" s="13">
        <f>IF('0.0%'!$N1121&lt;$Z$3,0, '0.0%'!$Q1121/'0.0%'!$N1121)</f>
        <v>1.1302976619230245</v>
      </c>
      <c r="X1121" s="13">
        <f>IF('0.0%'!$N1121&lt;$Z$3,0, '0.0%'!$R1121/'0.0%'!$N1121)</f>
        <v>1.0423423598808574</v>
      </c>
      <c r="Y1121" s="13">
        <f>IF('0.0%'!$N1121&lt;$Z$3,0, '0.0%'!$S1121/'0.0%'!$N1121)</f>
        <v>1.1807775420016744</v>
      </c>
    </row>
    <row r="1122" spans="1:25" x14ac:dyDescent="0.3">
      <c r="A1122" s="17">
        <v>1181.06</v>
      </c>
      <c r="B1122" s="10">
        <v>5360.5</v>
      </c>
      <c r="C1122" s="9">
        <v>1181.06</v>
      </c>
      <c r="D1122" s="10">
        <v>5932.4</v>
      </c>
      <c r="E1122" s="11">
        <v>1181.06</v>
      </c>
      <c r="F1122" s="12">
        <v>6035.2</v>
      </c>
      <c r="G1122" s="11">
        <v>1181.06</v>
      </c>
      <c r="H1122" s="12">
        <v>6053.2</v>
      </c>
      <c r="I1122" s="11">
        <v>1181.06</v>
      </c>
      <c r="J1122" s="12">
        <v>5594.2</v>
      </c>
      <c r="K1122" s="11">
        <v>1181.06</v>
      </c>
      <c r="L1122" s="12">
        <v>6314.6</v>
      </c>
      <c r="M1122" s="11">
        <v>1181.06</v>
      </c>
      <c r="N1122" s="13">
        <v>5360.5</v>
      </c>
      <c r="O1122" s="13">
        <v>5932.4</v>
      </c>
      <c r="P1122" s="13">
        <v>6035.2</v>
      </c>
      <c r="Q1122" s="11">
        <v>6053.2</v>
      </c>
      <c r="R1122" s="11">
        <v>5594.2</v>
      </c>
      <c r="S1122" s="14">
        <v>6314.6</v>
      </c>
      <c r="T1122" s="11">
        <v>1181.06</v>
      </c>
      <c r="U1122" s="13">
        <f>IF('0.0%'!$N1122&lt;$Z$3,0, '0.0%'!$O1122/'0.0%'!$N1122)</f>
        <v>1.1066878089730434</v>
      </c>
      <c r="V1122" s="13">
        <f>IF('0.0%'!$N1122&lt;$Z$3,0, '0.0%'!$P1122/'0.0%'!$N1122)</f>
        <v>1.1258651245219662</v>
      </c>
      <c r="W1122" s="13">
        <f>IF('0.0%'!$N1122&lt;$Z$3,0, '0.0%'!$Q1122/'0.0%'!$N1122)</f>
        <v>1.1292230202406492</v>
      </c>
      <c r="X1122" s="13">
        <f>IF('0.0%'!$N1122&lt;$Z$3,0, '0.0%'!$R1122/'0.0%'!$N1122)</f>
        <v>1.0435966794142337</v>
      </c>
      <c r="Y1122" s="13">
        <f>IF('0.0%'!$N1122&lt;$Z$3,0, '0.0%'!$S1122/'0.0%'!$N1122)</f>
        <v>1.1779871280664118</v>
      </c>
    </row>
    <row r="1123" spans="1:25" x14ac:dyDescent="0.3">
      <c r="A1123" s="17">
        <v>1182.05</v>
      </c>
      <c r="B1123" s="10">
        <v>5559.3</v>
      </c>
      <c r="C1123" s="9">
        <v>1182.05</v>
      </c>
      <c r="D1123" s="10">
        <v>6145.7</v>
      </c>
      <c r="E1123" s="11">
        <v>1182.05</v>
      </c>
      <c r="F1123" s="12">
        <v>6249.8</v>
      </c>
      <c r="G1123" s="11">
        <v>1182.05</v>
      </c>
      <c r="H1123" s="12">
        <v>6271.9</v>
      </c>
      <c r="I1123" s="11">
        <v>1182.05</v>
      </c>
      <c r="J1123" s="12">
        <v>5806.6</v>
      </c>
      <c r="K1123" s="11">
        <v>1182.05</v>
      </c>
      <c r="L1123" s="12">
        <v>6534.8</v>
      </c>
      <c r="M1123" s="11">
        <v>1182.05</v>
      </c>
      <c r="N1123" s="13">
        <v>5559.3</v>
      </c>
      <c r="O1123" s="13">
        <v>6145.7</v>
      </c>
      <c r="P1123" s="13">
        <v>6249.8</v>
      </c>
      <c r="Q1123" s="11">
        <v>6271.9</v>
      </c>
      <c r="R1123" s="11">
        <v>5806.6</v>
      </c>
      <c r="S1123" s="14">
        <v>6534.8</v>
      </c>
      <c r="T1123" s="11">
        <v>1182.05</v>
      </c>
      <c r="U1123" s="13">
        <f>IF('0.0%'!$N1123&lt;$Z$3,0, '0.0%'!$O1123/'0.0%'!$N1123)</f>
        <v>1.1054809058694439</v>
      </c>
      <c r="V1123" s="13">
        <f>IF('0.0%'!$N1123&lt;$Z$3,0, '0.0%'!$P1123/'0.0%'!$N1123)</f>
        <v>1.1242062849639343</v>
      </c>
      <c r="W1123" s="13">
        <f>IF('0.0%'!$N1123&lt;$Z$3,0, '0.0%'!$Q1123/'0.0%'!$N1123)</f>
        <v>1.1281816055978269</v>
      </c>
      <c r="X1123" s="13">
        <f>IF('0.0%'!$N1123&lt;$Z$3,0, '0.0%'!$R1123/'0.0%'!$N1123)</f>
        <v>1.0444840177720216</v>
      </c>
      <c r="Y1123" s="13">
        <f>IF('0.0%'!$N1123&lt;$Z$3,0, '0.0%'!$S1123/'0.0%'!$N1123)</f>
        <v>1.1754717320525965</v>
      </c>
    </row>
    <row r="1124" spans="1:25" x14ac:dyDescent="0.3">
      <c r="A1124" s="17">
        <v>1183.04</v>
      </c>
      <c r="B1124" s="10">
        <v>5785.5</v>
      </c>
      <c r="C1124" s="9">
        <v>1183.04</v>
      </c>
      <c r="D1124" s="10">
        <v>6387</v>
      </c>
      <c r="E1124" s="11">
        <v>1183.04</v>
      </c>
      <c r="F1124" s="12">
        <v>6491.5</v>
      </c>
      <c r="G1124" s="11">
        <v>1183.04</v>
      </c>
      <c r="H1124" s="12">
        <v>6519.3</v>
      </c>
      <c r="I1124" s="11">
        <v>1183.04</v>
      </c>
      <c r="J1124" s="12">
        <v>6047</v>
      </c>
      <c r="K1124" s="11">
        <v>1183.04</v>
      </c>
      <c r="L1124" s="12">
        <v>6782.8</v>
      </c>
      <c r="M1124" s="11">
        <v>1183.04</v>
      </c>
      <c r="N1124" s="13">
        <v>5785.5</v>
      </c>
      <c r="O1124" s="13">
        <v>6387</v>
      </c>
      <c r="P1124" s="13">
        <v>6491.5</v>
      </c>
      <c r="Q1124" s="11">
        <v>6519.3</v>
      </c>
      <c r="R1124" s="11">
        <v>6047</v>
      </c>
      <c r="S1124" s="14">
        <v>6782.8</v>
      </c>
      <c r="T1124" s="11">
        <v>1183.04</v>
      </c>
      <c r="U1124" s="13">
        <f>IF('0.0%'!$N1124&lt;$Z$3,0, '0.0%'!$O1124/'0.0%'!$N1124)</f>
        <v>1.1039668135856884</v>
      </c>
      <c r="V1124" s="13">
        <f>IF('0.0%'!$N1124&lt;$Z$3,0, '0.0%'!$P1124/'0.0%'!$N1124)</f>
        <v>1.1220292109584307</v>
      </c>
      <c r="W1124" s="13">
        <f>IF('0.0%'!$N1124&lt;$Z$3,0, '0.0%'!$Q1124/'0.0%'!$N1124)</f>
        <v>1.1268343271973036</v>
      </c>
      <c r="X1124" s="13">
        <f>IF('0.0%'!$N1124&lt;$Z$3,0, '0.0%'!$R1124/'0.0%'!$N1124)</f>
        <v>1.0451992049088237</v>
      </c>
      <c r="Y1124" s="13">
        <f>IF('0.0%'!$N1124&lt;$Z$3,0, '0.0%'!$S1124/'0.0%'!$N1124)</f>
        <v>1.1723792239218738</v>
      </c>
    </row>
    <row r="1125" spans="1:25" x14ac:dyDescent="0.3">
      <c r="A1125" s="17">
        <v>1184.03</v>
      </c>
      <c r="B1125" s="10">
        <v>6024.1</v>
      </c>
      <c r="C1125" s="9">
        <v>1184.03</v>
      </c>
      <c r="D1125" s="10">
        <v>6641</v>
      </c>
      <c r="E1125" s="11">
        <v>1184.03</v>
      </c>
      <c r="F1125" s="12">
        <v>6745.6</v>
      </c>
      <c r="G1125" s="11">
        <v>1184.03</v>
      </c>
      <c r="H1125" s="12">
        <v>6780.1</v>
      </c>
      <c r="I1125" s="11">
        <v>1184.03</v>
      </c>
      <c r="J1125" s="12">
        <v>6300.1</v>
      </c>
      <c r="K1125" s="11">
        <v>1184.03</v>
      </c>
      <c r="L1125" s="12">
        <v>7043.8</v>
      </c>
      <c r="M1125" s="11">
        <v>1184.03</v>
      </c>
      <c r="N1125" s="13">
        <v>6024.1</v>
      </c>
      <c r="O1125" s="13">
        <v>6641</v>
      </c>
      <c r="P1125" s="13">
        <v>6745.6</v>
      </c>
      <c r="Q1125" s="11">
        <v>6780.1</v>
      </c>
      <c r="R1125" s="11">
        <v>6300.1</v>
      </c>
      <c r="S1125" s="14">
        <v>7043.8</v>
      </c>
      <c r="T1125" s="11">
        <v>1184.03</v>
      </c>
      <c r="U1125" s="13">
        <f>IF('0.0%'!$N1125&lt;$Z$3,0, '0.0%'!$O1125/'0.0%'!$N1125)</f>
        <v>1.1024053385567969</v>
      </c>
      <c r="V1125" s="13">
        <f>IF('0.0%'!$N1125&lt;$Z$3,0, '0.0%'!$P1125/'0.0%'!$N1125)</f>
        <v>1.1197689281386431</v>
      </c>
      <c r="W1125" s="13">
        <f>IF('0.0%'!$N1125&lt;$Z$3,0, '0.0%'!$Q1125/'0.0%'!$N1125)</f>
        <v>1.1254959247024452</v>
      </c>
      <c r="X1125" s="13">
        <f>IF('0.0%'!$N1125&lt;$Z$3,0, '0.0%'!$R1125/'0.0%'!$N1125)</f>
        <v>1.0458159725104166</v>
      </c>
      <c r="Y1125" s="13">
        <f>IF('0.0%'!$N1125&lt;$Z$3,0, '0.0%'!$S1125/'0.0%'!$N1125)</f>
        <v>1.1692700984379409</v>
      </c>
    </row>
    <row r="1126" spans="1:25" x14ac:dyDescent="0.3">
      <c r="A1126" s="17">
        <v>1185.02</v>
      </c>
      <c r="B1126" s="10">
        <v>6266.8</v>
      </c>
      <c r="C1126" s="9">
        <v>1185.02</v>
      </c>
      <c r="D1126" s="10">
        <v>6898</v>
      </c>
      <c r="E1126" s="11">
        <v>1185.02</v>
      </c>
      <c r="F1126" s="12">
        <v>7002.4</v>
      </c>
      <c r="G1126" s="11">
        <v>1185.02</v>
      </c>
      <c r="H1126" s="12">
        <v>7044.4</v>
      </c>
      <c r="I1126" s="11">
        <v>1185.02</v>
      </c>
      <c r="J1126" s="12">
        <v>6556.7</v>
      </c>
      <c r="K1126" s="11">
        <v>1185.02</v>
      </c>
      <c r="L1126" s="12">
        <v>7307.5</v>
      </c>
      <c r="M1126" s="11">
        <v>1185.02</v>
      </c>
      <c r="N1126" s="13">
        <v>6266.8</v>
      </c>
      <c r="O1126" s="13">
        <v>6898</v>
      </c>
      <c r="P1126" s="13">
        <v>7002.4</v>
      </c>
      <c r="Q1126" s="11">
        <v>7044.4</v>
      </c>
      <c r="R1126" s="11">
        <v>6556.7</v>
      </c>
      <c r="S1126" s="14">
        <v>7307.5</v>
      </c>
      <c r="T1126" s="11">
        <v>1185.02</v>
      </c>
      <c r="U1126" s="13">
        <f>IF('0.0%'!$N1126&lt;$Z$3,0, '0.0%'!$O1126/'0.0%'!$N1126)</f>
        <v>1.1007212612497606</v>
      </c>
      <c r="V1126" s="13">
        <f>IF('0.0%'!$N1126&lt;$Z$3,0, '0.0%'!$P1126/'0.0%'!$N1126)</f>
        <v>1.1173804812663559</v>
      </c>
      <c r="W1126" s="13">
        <f>IF('0.0%'!$N1126&lt;$Z$3,0, '0.0%'!$Q1126/'0.0%'!$N1126)</f>
        <v>1.1240824663305036</v>
      </c>
      <c r="X1126" s="13">
        <f>IF('0.0%'!$N1126&lt;$Z$3,0, '0.0%'!$R1126/'0.0%'!$N1126)</f>
        <v>1.0462596540499138</v>
      </c>
      <c r="Y1126" s="13">
        <f>IF('0.0%'!$N1126&lt;$Z$3,0, '0.0%'!$S1126/'0.0%'!$N1126)</f>
        <v>1.1660656156251994</v>
      </c>
    </row>
    <row r="1127" spans="1:25" x14ac:dyDescent="0.3">
      <c r="A1127" s="17">
        <v>1186.02</v>
      </c>
      <c r="B1127" s="10">
        <v>6519.8</v>
      </c>
      <c r="C1127" s="9">
        <v>1186.02</v>
      </c>
      <c r="D1127" s="10">
        <v>7165.8</v>
      </c>
      <c r="E1127" s="11">
        <v>1186.02</v>
      </c>
      <c r="F1127" s="12">
        <v>7270.3</v>
      </c>
      <c r="G1127" s="11">
        <v>1186.02</v>
      </c>
      <c r="H1127" s="12">
        <v>7321.2</v>
      </c>
      <c r="I1127" s="11">
        <v>1186.02</v>
      </c>
      <c r="J1127" s="12">
        <v>6824.7</v>
      </c>
      <c r="K1127" s="11">
        <v>1186.02</v>
      </c>
      <c r="L1127" s="12">
        <v>7582.6</v>
      </c>
      <c r="M1127" s="11">
        <v>1186.02</v>
      </c>
      <c r="N1127" s="13">
        <v>6519.8</v>
      </c>
      <c r="O1127" s="13">
        <v>7165.8</v>
      </c>
      <c r="P1127" s="13">
        <v>7270.3</v>
      </c>
      <c r="Q1127" s="11">
        <v>7321.2</v>
      </c>
      <c r="R1127" s="11">
        <v>6824.7</v>
      </c>
      <c r="S1127" s="14">
        <v>7582.6</v>
      </c>
      <c r="T1127" s="11">
        <v>1186.02</v>
      </c>
      <c r="U1127" s="13">
        <f>IF('0.0%'!$N1127&lt;$Z$3,0, '0.0%'!$O1127/'0.0%'!$N1127)</f>
        <v>1.0990827939507346</v>
      </c>
      <c r="V1127" s="13">
        <f>IF('0.0%'!$N1127&lt;$Z$3,0, '0.0%'!$P1127/'0.0%'!$N1127)</f>
        <v>1.1151108929721771</v>
      </c>
      <c r="W1127" s="13">
        <f>IF('0.0%'!$N1127&lt;$Z$3,0, '0.0%'!$Q1127/'0.0%'!$N1127)</f>
        <v>1.1229178809165925</v>
      </c>
      <c r="X1127" s="13">
        <f>IF('0.0%'!$N1127&lt;$Z$3,0, '0.0%'!$R1127/'0.0%'!$N1127)</f>
        <v>1.0467652381974906</v>
      </c>
      <c r="Y1127" s="13">
        <f>IF('0.0%'!$N1127&lt;$Z$3,0, '0.0%'!$S1127/'0.0%'!$N1127)</f>
        <v>1.1630111353108992</v>
      </c>
    </row>
    <row r="1128" spans="1:25" x14ac:dyDescent="0.3">
      <c r="A1128" s="17">
        <v>1187.01</v>
      </c>
      <c r="B1128" s="10">
        <v>6774</v>
      </c>
      <c r="C1128" s="9">
        <v>1187.01</v>
      </c>
      <c r="D1128" s="10">
        <v>7434.9</v>
      </c>
      <c r="E1128" s="11">
        <v>1187.01</v>
      </c>
      <c r="F1128" s="12">
        <v>7539.1</v>
      </c>
      <c r="G1128" s="11">
        <v>1187.01</v>
      </c>
      <c r="H1128" s="12">
        <v>7600.3</v>
      </c>
      <c r="I1128" s="11">
        <v>1187.01</v>
      </c>
      <c r="J1128" s="12">
        <v>7094.2</v>
      </c>
      <c r="K1128" s="11">
        <v>1187.01</v>
      </c>
      <c r="L1128" s="12">
        <v>7859</v>
      </c>
      <c r="M1128" s="11">
        <v>1187.01</v>
      </c>
      <c r="N1128" s="13">
        <v>6774</v>
      </c>
      <c r="O1128" s="13">
        <v>7434.9</v>
      </c>
      <c r="P1128" s="13">
        <v>7539.1</v>
      </c>
      <c r="Q1128" s="11">
        <v>7600.3</v>
      </c>
      <c r="R1128" s="11">
        <v>7094.2</v>
      </c>
      <c r="S1128" s="14">
        <v>7859</v>
      </c>
      <c r="T1128" s="11">
        <v>1187.01</v>
      </c>
      <c r="U1128" s="13">
        <f>IF('0.0%'!$N1128&lt;$Z$3,0, '0.0%'!$O1128/'0.0%'!$N1128)</f>
        <v>1.0975642161204606</v>
      </c>
      <c r="V1128" s="13">
        <f>IF('0.0%'!$N1128&lt;$Z$3,0, '0.0%'!$P1128/'0.0%'!$N1128)</f>
        <v>1.1129465603779156</v>
      </c>
      <c r="W1128" s="13">
        <f>IF('0.0%'!$N1128&lt;$Z$3,0, '0.0%'!$Q1128/'0.0%'!$N1128)</f>
        <v>1.1219811042220253</v>
      </c>
      <c r="X1128" s="13">
        <f>IF('0.0%'!$N1128&lt;$Z$3,0, '0.0%'!$R1128/'0.0%'!$N1128)</f>
        <v>1.0472689695896074</v>
      </c>
      <c r="Y1128" s="13">
        <f>IF('0.0%'!$N1128&lt;$Z$3,0, '0.0%'!$S1128/'0.0%'!$N1128)</f>
        <v>1.160171242987895</v>
      </c>
    </row>
    <row r="1129" spans="1:25" x14ac:dyDescent="0.3">
      <c r="A1129" s="17">
        <v>1188</v>
      </c>
      <c r="B1129" s="10">
        <v>7038.6</v>
      </c>
      <c r="C1129" s="9">
        <v>1188</v>
      </c>
      <c r="D1129" s="10">
        <v>7715.7</v>
      </c>
      <c r="E1129" s="11">
        <v>1188</v>
      </c>
      <c r="F1129" s="12">
        <v>7818.8</v>
      </c>
      <c r="G1129" s="11">
        <v>1188</v>
      </c>
      <c r="H1129" s="12">
        <v>7892.1</v>
      </c>
      <c r="I1129" s="11">
        <v>1188</v>
      </c>
      <c r="J1129" s="12">
        <v>7376</v>
      </c>
      <c r="K1129" s="11">
        <v>1188</v>
      </c>
      <c r="L1129" s="12">
        <v>8148.1</v>
      </c>
      <c r="M1129" s="11">
        <v>1188</v>
      </c>
      <c r="N1129" s="13">
        <v>7038.6</v>
      </c>
      <c r="O1129" s="13">
        <v>7715.7</v>
      </c>
      <c r="P1129" s="13">
        <v>7818.8</v>
      </c>
      <c r="Q1129" s="11">
        <v>7892.1</v>
      </c>
      <c r="R1129" s="11">
        <v>7376</v>
      </c>
      <c r="S1129" s="14">
        <v>8148.1</v>
      </c>
      <c r="T1129" s="11">
        <v>1188</v>
      </c>
      <c r="U1129" s="13">
        <f>IF('0.0%'!$N1129&lt;$Z$3,0, '0.0%'!$O1129/'0.0%'!$N1129)</f>
        <v>1.0961981075782115</v>
      </c>
      <c r="V1129" s="13">
        <f>IF('0.0%'!$N1129&lt;$Z$3,0, '0.0%'!$P1129/'0.0%'!$N1129)</f>
        <v>1.1108459068564771</v>
      </c>
      <c r="W1129" s="13">
        <f>IF('0.0%'!$N1129&lt;$Z$3,0, '0.0%'!$Q1129/'0.0%'!$N1129)</f>
        <v>1.1212599096411218</v>
      </c>
      <c r="X1129" s="13">
        <f>IF('0.0%'!$N1129&lt;$Z$3,0, '0.0%'!$R1129/'0.0%'!$N1129)</f>
        <v>1.0479356690250901</v>
      </c>
      <c r="Y1129" s="13">
        <f>IF('0.0%'!$N1129&lt;$Z$3,0, '0.0%'!$S1129/'0.0%'!$N1129)</f>
        <v>1.1576307788480664</v>
      </c>
    </row>
    <row r="1130" spans="1:25" x14ac:dyDescent="0.3">
      <c r="A1130" s="17">
        <v>1188.99</v>
      </c>
      <c r="B1130" s="10">
        <v>7303.1</v>
      </c>
      <c r="C1130" s="9">
        <v>1188.99</v>
      </c>
      <c r="D1130" s="10">
        <v>7996</v>
      </c>
      <c r="E1130" s="11">
        <v>1188.99</v>
      </c>
      <c r="F1130" s="12">
        <v>8097.6</v>
      </c>
      <c r="G1130" s="11">
        <v>1188.99</v>
      </c>
      <c r="H1130" s="12">
        <v>8184.1</v>
      </c>
      <c r="I1130" s="11">
        <v>1188.99</v>
      </c>
      <c r="J1130" s="12">
        <v>7658.6</v>
      </c>
      <c r="K1130" s="11">
        <v>1188.99</v>
      </c>
      <c r="L1130" s="12">
        <v>8437.2000000000007</v>
      </c>
      <c r="M1130" s="11">
        <v>1188.99</v>
      </c>
      <c r="N1130" s="13">
        <v>7303.1</v>
      </c>
      <c r="O1130" s="13">
        <v>7996</v>
      </c>
      <c r="P1130" s="13">
        <v>8097.6</v>
      </c>
      <c r="Q1130" s="11">
        <v>8184.1</v>
      </c>
      <c r="R1130" s="11">
        <v>7658.6</v>
      </c>
      <c r="S1130" s="14">
        <v>8437.2000000000007</v>
      </c>
      <c r="T1130" s="11">
        <v>1188.99</v>
      </c>
      <c r="U1130" s="13">
        <f>IF('0.0%'!$N1130&lt;$Z$3,0, '0.0%'!$O1130/'0.0%'!$N1130)</f>
        <v>1.0948775177664278</v>
      </c>
      <c r="V1130" s="13">
        <f>IF('0.0%'!$N1130&lt;$Z$3,0, '0.0%'!$P1130/'0.0%'!$N1130)</f>
        <v>1.1087894181922746</v>
      </c>
      <c r="W1130" s="13">
        <f>IF('0.0%'!$N1130&lt;$Z$3,0, '0.0%'!$Q1130/'0.0%'!$N1130)</f>
        <v>1.1206337034957758</v>
      </c>
      <c r="X1130" s="13">
        <f>IF('0.0%'!$N1130&lt;$Z$3,0, '0.0%'!$R1130/'0.0%'!$N1130)</f>
        <v>1.0486779586750832</v>
      </c>
      <c r="Y1130" s="13">
        <f>IF('0.0%'!$N1130&lt;$Z$3,0, '0.0%'!$S1130/'0.0%'!$N1130)</f>
        <v>1.1552902192219743</v>
      </c>
    </row>
    <row r="1131" spans="1:25" x14ac:dyDescent="0.3">
      <c r="A1131" s="17">
        <v>1189.98</v>
      </c>
      <c r="B1131" s="10">
        <v>7577.7</v>
      </c>
      <c r="C1131" s="9">
        <v>1189.98</v>
      </c>
      <c r="D1131" s="10">
        <v>8287.1</v>
      </c>
      <c r="E1131" s="11">
        <v>1189.98</v>
      </c>
      <c r="F1131" s="12">
        <v>8387.1</v>
      </c>
      <c r="G1131" s="11">
        <v>1189.98</v>
      </c>
      <c r="H1131" s="12">
        <v>8488.5</v>
      </c>
      <c r="I1131" s="11">
        <v>1189.98</v>
      </c>
      <c r="J1131" s="12">
        <v>7953.4</v>
      </c>
      <c r="K1131" s="11">
        <v>1189.98</v>
      </c>
      <c r="L1131" s="12">
        <v>8738.7000000000007</v>
      </c>
      <c r="M1131" s="11">
        <v>1189.98</v>
      </c>
      <c r="N1131" s="13">
        <v>7577.7</v>
      </c>
      <c r="O1131" s="13">
        <v>8287.1</v>
      </c>
      <c r="P1131" s="13">
        <v>8387.1</v>
      </c>
      <c r="Q1131" s="11">
        <v>8488.5</v>
      </c>
      <c r="R1131" s="11">
        <v>7953.4</v>
      </c>
      <c r="S1131" s="14">
        <v>8738.7000000000007</v>
      </c>
      <c r="T1131" s="11">
        <v>1189.98</v>
      </c>
      <c r="U1131" s="13">
        <f>IF('0.0%'!$N1131&lt;$Z$3,0, '0.0%'!$O1131/'0.0%'!$N1131)</f>
        <v>1.0936167966533381</v>
      </c>
      <c r="V1131" s="13">
        <f>IF('0.0%'!$N1131&lt;$Z$3,0, '0.0%'!$P1131/'0.0%'!$N1131)</f>
        <v>1.1068134130408964</v>
      </c>
      <c r="W1131" s="13">
        <f>IF('0.0%'!$N1131&lt;$Z$3,0, '0.0%'!$Q1131/'0.0%'!$N1131)</f>
        <v>1.1201947820578804</v>
      </c>
      <c r="X1131" s="13">
        <f>IF('0.0%'!$N1131&lt;$Z$3,0, '0.0%'!$R1131/'0.0%'!$N1131)</f>
        <v>1.0495796877680563</v>
      </c>
      <c r="Y1131" s="13">
        <f>IF('0.0%'!$N1131&lt;$Z$3,0, '0.0%'!$S1131/'0.0%'!$N1131)</f>
        <v>1.1532127162595511</v>
      </c>
    </row>
    <row r="1132" spans="1:25" x14ac:dyDescent="0.3">
      <c r="A1132" s="17">
        <v>1190.97</v>
      </c>
      <c r="B1132" s="10">
        <v>7850.6</v>
      </c>
      <c r="C1132" s="9">
        <v>1190.97</v>
      </c>
      <c r="D1132" s="10">
        <v>8576.6</v>
      </c>
      <c r="E1132" s="11">
        <v>1190.97</v>
      </c>
      <c r="F1132" s="12">
        <v>8674.7999999999993</v>
      </c>
      <c r="G1132" s="11">
        <v>1190.97</v>
      </c>
      <c r="H1132" s="12">
        <v>8791.9</v>
      </c>
      <c r="I1132" s="11">
        <v>1190.97</v>
      </c>
      <c r="J1132" s="12">
        <v>8247.7000000000007</v>
      </c>
      <c r="K1132" s="11">
        <v>1190.97</v>
      </c>
      <c r="L1132" s="12">
        <v>9039.2999999999993</v>
      </c>
      <c r="M1132" s="11">
        <v>1190.97</v>
      </c>
      <c r="N1132" s="13">
        <v>7850.6</v>
      </c>
      <c r="O1132" s="13">
        <v>8576.6</v>
      </c>
      <c r="P1132" s="13">
        <v>8674.7999999999993</v>
      </c>
      <c r="Q1132" s="11">
        <v>8791.9</v>
      </c>
      <c r="R1132" s="11">
        <v>8247.7000000000007</v>
      </c>
      <c r="S1132" s="14">
        <v>9039.2999999999993</v>
      </c>
      <c r="T1132" s="11">
        <v>1190.97</v>
      </c>
      <c r="U1132" s="13">
        <f>IF('0.0%'!$N1132&lt;$Z$3,0, '0.0%'!$O1132/'0.0%'!$N1132)</f>
        <v>1.0924770081267674</v>
      </c>
      <c r="V1132" s="13">
        <f>IF('0.0%'!$N1132&lt;$Z$3,0, '0.0%'!$P1132/'0.0%'!$N1132)</f>
        <v>1.1049856061957046</v>
      </c>
      <c r="W1132" s="13">
        <f>IF('0.0%'!$N1132&lt;$Z$3,0, '0.0%'!$Q1132/'0.0%'!$N1132)</f>
        <v>1.1199016635671157</v>
      </c>
      <c r="X1132" s="13">
        <f>IF('0.0%'!$N1132&lt;$Z$3,0, '0.0%'!$R1132/'0.0%'!$N1132)</f>
        <v>1.0505821211117623</v>
      </c>
      <c r="Y1132" s="13">
        <f>IF('0.0%'!$N1132&lt;$Z$3,0, '0.0%'!$S1132/'0.0%'!$N1132)</f>
        <v>1.1514151784576974</v>
      </c>
    </row>
    <row r="1133" spans="1:25" x14ac:dyDescent="0.3">
      <c r="A1133" s="17">
        <v>1191.97</v>
      </c>
      <c r="B1133" s="10">
        <v>8131.8</v>
      </c>
      <c r="C1133" s="9">
        <v>1191.97</v>
      </c>
      <c r="D1133" s="10">
        <v>8875.7000000000007</v>
      </c>
      <c r="E1133" s="11">
        <v>1191.97</v>
      </c>
      <c r="F1133" s="12">
        <v>8972.2999999999993</v>
      </c>
      <c r="G1133" s="11">
        <v>1191.97</v>
      </c>
      <c r="H1133" s="12">
        <v>9105.2000000000007</v>
      </c>
      <c r="I1133" s="11">
        <v>1191.97</v>
      </c>
      <c r="J1133" s="12">
        <v>8552.2000000000007</v>
      </c>
      <c r="K1133" s="11">
        <v>1191.97</v>
      </c>
      <c r="L1133" s="12">
        <v>9351.6</v>
      </c>
      <c r="M1133" s="11">
        <v>1191.97</v>
      </c>
      <c r="N1133" s="13">
        <v>8131.8</v>
      </c>
      <c r="O1133" s="13">
        <v>8875.7000000000007</v>
      </c>
      <c r="P1133" s="13">
        <v>8972.2999999999993</v>
      </c>
      <c r="Q1133" s="11">
        <v>9105.2000000000007</v>
      </c>
      <c r="R1133" s="11">
        <v>8552.2000000000007</v>
      </c>
      <c r="S1133" s="14">
        <v>9351.6</v>
      </c>
      <c r="T1133" s="11">
        <v>1191.97</v>
      </c>
      <c r="U1133" s="13">
        <f>IF('0.0%'!$N1133&lt;$Z$3,0, '0.0%'!$O1133/'0.0%'!$N1133)</f>
        <v>1.0914803610516737</v>
      </c>
      <c r="V1133" s="13">
        <f>IF('0.0%'!$N1133&lt;$Z$3,0, '0.0%'!$P1133/'0.0%'!$N1133)</f>
        <v>1.1033596497700384</v>
      </c>
      <c r="W1133" s="13">
        <f>IF('0.0%'!$N1133&lt;$Z$3,0, '0.0%'!$Q1133/'0.0%'!$N1133)</f>
        <v>1.1197028948080376</v>
      </c>
      <c r="X1133" s="13">
        <f>IF('0.0%'!$N1133&lt;$Z$3,0, '0.0%'!$R1133/'0.0%'!$N1133)</f>
        <v>1.0516982709855138</v>
      </c>
      <c r="Y1133" s="13">
        <f>IF('0.0%'!$N1133&lt;$Z$3,0, '0.0%'!$S1133/'0.0%'!$N1133)</f>
        <v>1.1500036892200989</v>
      </c>
    </row>
    <row r="1134" spans="1:25" x14ac:dyDescent="0.3">
      <c r="A1134" s="17">
        <v>1192.96</v>
      </c>
      <c r="B1134" s="10">
        <v>8411</v>
      </c>
      <c r="C1134" s="9">
        <v>1192.96</v>
      </c>
      <c r="D1134" s="10">
        <v>9172.4</v>
      </c>
      <c r="E1134" s="11">
        <v>1192.96</v>
      </c>
      <c r="F1134" s="12">
        <v>9268</v>
      </c>
      <c r="G1134" s="11">
        <v>1192.96</v>
      </c>
      <c r="H1134" s="12">
        <v>9415.7000000000007</v>
      </c>
      <c r="I1134" s="11">
        <v>1192.96</v>
      </c>
      <c r="J1134" s="12">
        <v>8854</v>
      </c>
      <c r="K1134" s="11">
        <v>1192.96</v>
      </c>
      <c r="L1134" s="12">
        <v>9662.9</v>
      </c>
      <c r="M1134" s="11">
        <v>1192.96</v>
      </c>
      <c r="N1134" s="13">
        <v>8411</v>
      </c>
      <c r="O1134" s="13">
        <v>9172.4</v>
      </c>
      <c r="P1134" s="13">
        <v>9268</v>
      </c>
      <c r="Q1134" s="11">
        <v>9415.7000000000007</v>
      </c>
      <c r="R1134" s="11">
        <v>8854</v>
      </c>
      <c r="S1134" s="14">
        <v>9662.9</v>
      </c>
      <c r="T1134" s="11">
        <v>1192.96</v>
      </c>
      <c r="U1134" s="13">
        <f>IF('0.0%'!$N1134&lt;$Z$3,0, '0.0%'!$O1134/'0.0%'!$N1134)</f>
        <v>1.0905243133991203</v>
      </c>
      <c r="V1134" s="13">
        <f>IF('0.0%'!$N1134&lt;$Z$3,0, '0.0%'!$P1134/'0.0%'!$N1134)</f>
        <v>1.1018903816430865</v>
      </c>
      <c r="W1134" s="13">
        <f>IF('0.0%'!$N1134&lt;$Z$3,0, '0.0%'!$Q1134/'0.0%'!$N1134)</f>
        <v>1.1194507192961598</v>
      </c>
      <c r="X1134" s="13">
        <f>IF('0.0%'!$N1134&lt;$Z$3,0, '0.0%'!$R1134/'0.0%'!$N1134)</f>
        <v>1.0526691237664962</v>
      </c>
      <c r="Y1134" s="13">
        <f>IF('0.0%'!$N1134&lt;$Z$3,0, '0.0%'!$S1134/'0.0%'!$N1134)</f>
        <v>1.148840803709428</v>
      </c>
    </row>
    <row r="1135" spans="1:25" x14ac:dyDescent="0.3">
      <c r="A1135" s="17">
        <v>1193.95</v>
      </c>
      <c r="B1135" s="10">
        <v>8700.2999999999993</v>
      </c>
      <c r="C1135" s="9">
        <v>1193.95</v>
      </c>
      <c r="D1135" s="10">
        <v>9480</v>
      </c>
      <c r="E1135" s="11">
        <v>1193.95</v>
      </c>
      <c r="F1135" s="12">
        <v>9575.1</v>
      </c>
      <c r="G1135" s="11">
        <v>1193.95</v>
      </c>
      <c r="H1135" s="12">
        <v>9736.6</v>
      </c>
      <c r="I1135" s="11">
        <v>1193.95</v>
      </c>
      <c r="J1135" s="12">
        <v>9165.2000000000007</v>
      </c>
      <c r="K1135" s="11">
        <v>1193.95</v>
      </c>
      <c r="L1135" s="12">
        <v>9986.6</v>
      </c>
      <c r="M1135" s="11">
        <v>1193.95</v>
      </c>
      <c r="N1135" s="13">
        <v>8700.2999999999993</v>
      </c>
      <c r="O1135" s="13">
        <v>9480</v>
      </c>
      <c r="P1135" s="13">
        <v>9575.1</v>
      </c>
      <c r="Q1135" s="11">
        <v>9736.6</v>
      </c>
      <c r="R1135" s="11">
        <v>9165.2000000000007</v>
      </c>
      <c r="S1135" s="14">
        <v>9986.6</v>
      </c>
      <c r="T1135" s="11">
        <v>1193.95</v>
      </c>
      <c r="U1135" s="13">
        <f>IF('0.0%'!$N1135&lt;$Z$3,0, '0.0%'!$O1135/'0.0%'!$N1135)</f>
        <v>1.0896175993931245</v>
      </c>
      <c r="V1135" s="13">
        <f>IF('0.0%'!$N1135&lt;$Z$3,0, '0.0%'!$P1135/'0.0%'!$N1135)</f>
        <v>1.1005482569566567</v>
      </c>
      <c r="W1135" s="13">
        <f>IF('0.0%'!$N1135&lt;$Z$3,0, '0.0%'!$Q1135/'0.0%'!$N1135)</f>
        <v>1.1191108352585544</v>
      </c>
      <c r="X1135" s="13">
        <f>IF('0.0%'!$N1135&lt;$Z$3,0, '0.0%'!$R1135/'0.0%'!$N1135)</f>
        <v>1.0534349390250912</v>
      </c>
      <c r="Y1135" s="13">
        <f>IF('0.0%'!$N1135&lt;$Z$3,0, '0.0%'!$S1135/'0.0%'!$N1135)</f>
        <v>1.1478454765927613</v>
      </c>
    </row>
    <row r="1136" spans="1:25" x14ac:dyDescent="0.3">
      <c r="A1136" s="17">
        <v>1194.94</v>
      </c>
      <c r="B1136" s="10">
        <v>8984.7999999999993</v>
      </c>
      <c r="C1136" s="9">
        <v>1194.94</v>
      </c>
      <c r="D1136" s="10">
        <v>9782.4</v>
      </c>
      <c r="E1136" s="11">
        <v>1194.94</v>
      </c>
      <c r="F1136" s="12">
        <v>9878.2000000000007</v>
      </c>
      <c r="G1136" s="11">
        <v>1194.94</v>
      </c>
      <c r="H1136" s="12">
        <v>10051.299999999999</v>
      </c>
      <c r="I1136" s="11">
        <v>1194.94</v>
      </c>
      <c r="J1136" s="12">
        <v>9470.2000000000007</v>
      </c>
      <c r="K1136" s="11">
        <v>1194.94</v>
      </c>
      <c r="L1136" s="12">
        <v>10305.299999999999</v>
      </c>
      <c r="M1136" s="11">
        <v>1194.94</v>
      </c>
      <c r="N1136" s="13">
        <v>8984.7999999999993</v>
      </c>
      <c r="O1136" s="13">
        <v>9782.4</v>
      </c>
      <c r="P1136" s="13">
        <v>9878.2000000000007</v>
      </c>
      <c r="Q1136" s="11">
        <v>10051.299999999999</v>
      </c>
      <c r="R1136" s="11">
        <v>9470.2000000000007</v>
      </c>
      <c r="S1136" s="14">
        <v>10305.299999999999</v>
      </c>
      <c r="T1136" s="11">
        <v>1194.94</v>
      </c>
      <c r="U1136" s="13">
        <f>IF('0.0%'!$N1136&lt;$Z$3,0, '0.0%'!$O1136/'0.0%'!$N1136)</f>
        <v>1.0887721485174964</v>
      </c>
      <c r="V1136" s="13">
        <f>IF('0.0%'!$N1136&lt;$Z$3,0, '0.0%'!$P1136/'0.0%'!$N1136)</f>
        <v>1.0994346006588906</v>
      </c>
      <c r="W1136" s="13">
        <f>IF('0.0%'!$N1136&lt;$Z$3,0, '0.0%'!$Q1136/'0.0%'!$N1136)</f>
        <v>1.1187004719081115</v>
      </c>
      <c r="X1136" s="13">
        <f>IF('0.0%'!$N1136&lt;$Z$3,0, '0.0%'!$R1136/'0.0%'!$N1136)</f>
        <v>1.0540245748375034</v>
      </c>
      <c r="Y1136" s="13">
        <f>IF('0.0%'!$N1136&lt;$Z$3,0, '0.0%'!$S1136/'0.0%'!$N1136)</f>
        <v>1.1469704389635829</v>
      </c>
    </row>
    <row r="1137" spans="1:25" x14ac:dyDescent="0.3">
      <c r="A1137" s="17">
        <v>1195.93</v>
      </c>
      <c r="B1137" s="10">
        <v>9276.1</v>
      </c>
      <c r="C1137" s="9">
        <v>1195.93</v>
      </c>
      <c r="D1137" s="10">
        <v>10092.200000000001</v>
      </c>
      <c r="E1137" s="11">
        <v>1195.93</v>
      </c>
      <c r="F1137" s="12">
        <v>10190.200000000001</v>
      </c>
      <c r="G1137" s="11">
        <v>1195.93</v>
      </c>
      <c r="H1137" s="12">
        <v>10372.799999999999</v>
      </c>
      <c r="I1137" s="11">
        <v>1195.93</v>
      </c>
      <c r="J1137" s="12">
        <v>9781.7999999999993</v>
      </c>
      <c r="K1137" s="11">
        <v>1195.93</v>
      </c>
      <c r="L1137" s="12">
        <v>10632.5</v>
      </c>
      <c r="M1137" s="11">
        <v>1195.93</v>
      </c>
      <c r="N1137" s="13">
        <v>9276.1</v>
      </c>
      <c r="O1137" s="13">
        <v>10092.200000000001</v>
      </c>
      <c r="P1137" s="13">
        <v>10190.200000000001</v>
      </c>
      <c r="Q1137" s="11">
        <v>10372.799999999999</v>
      </c>
      <c r="R1137" s="11">
        <v>9781.7999999999993</v>
      </c>
      <c r="S1137" s="14">
        <v>10632.5</v>
      </c>
      <c r="T1137" s="11">
        <v>1195.93</v>
      </c>
      <c r="U1137" s="13">
        <f>IF('0.0%'!$N1137&lt;$Z$3,0, '0.0%'!$O1137/'0.0%'!$N1137)</f>
        <v>1.0879787841873201</v>
      </c>
      <c r="V1137" s="13">
        <f>IF('0.0%'!$N1137&lt;$Z$3,0, '0.0%'!$P1137/'0.0%'!$N1137)</f>
        <v>1.0985435689567815</v>
      </c>
      <c r="W1137" s="13">
        <f>IF('0.0%'!$N1137&lt;$Z$3,0, '0.0%'!$Q1137/'0.0%'!$N1137)</f>
        <v>1.1182285658843694</v>
      </c>
      <c r="X1137" s="13">
        <f>IF('0.0%'!$N1137&lt;$Z$3,0, '0.0%'!$R1137/'0.0%'!$N1137)</f>
        <v>1.0545164454889446</v>
      </c>
      <c r="Y1137" s="13">
        <f>IF('0.0%'!$N1137&lt;$Z$3,0, '0.0%'!$S1137/'0.0%'!$N1137)</f>
        <v>1.1462252455234418</v>
      </c>
    </row>
    <row r="1138" spans="1:25" x14ac:dyDescent="0.3">
      <c r="A1138" s="17">
        <v>1196.92</v>
      </c>
      <c r="B1138" s="10">
        <v>9559.7000000000007</v>
      </c>
      <c r="C1138" s="9">
        <v>1196.92</v>
      </c>
      <c r="D1138" s="10">
        <v>10394.5</v>
      </c>
      <c r="E1138" s="11">
        <v>1196.92</v>
      </c>
      <c r="F1138" s="12">
        <v>10495.6</v>
      </c>
      <c r="G1138" s="11">
        <v>1196.92</v>
      </c>
      <c r="H1138" s="12">
        <v>10686</v>
      </c>
      <c r="I1138" s="11">
        <v>1196.92</v>
      </c>
      <c r="J1138" s="12">
        <v>10086.299999999999</v>
      </c>
      <c r="K1138" s="11">
        <v>1196.92</v>
      </c>
      <c r="L1138" s="12">
        <v>10952.2</v>
      </c>
      <c r="M1138" s="11">
        <v>1196.92</v>
      </c>
      <c r="N1138" s="13">
        <v>9559.7000000000007</v>
      </c>
      <c r="O1138" s="13">
        <v>10394.5</v>
      </c>
      <c r="P1138" s="13">
        <v>10495.6</v>
      </c>
      <c r="Q1138" s="11">
        <v>10686</v>
      </c>
      <c r="R1138" s="11">
        <v>10086.299999999999</v>
      </c>
      <c r="S1138" s="14">
        <v>10952.2</v>
      </c>
      <c r="T1138" s="11">
        <v>1196.92</v>
      </c>
      <c r="U1138" s="13">
        <f>IF('0.0%'!$N1138&lt;$Z$3,0, '0.0%'!$O1138/'0.0%'!$N1138)</f>
        <v>1.087324916053851</v>
      </c>
      <c r="V1138" s="13">
        <f>IF('0.0%'!$N1138&lt;$Z$3,0, '0.0%'!$P1138/'0.0%'!$N1138)</f>
        <v>1.0979005617331088</v>
      </c>
      <c r="W1138" s="13">
        <f>IF('0.0%'!$N1138&lt;$Z$3,0, '0.0%'!$Q1138/'0.0%'!$N1138)</f>
        <v>1.117817504733412</v>
      </c>
      <c r="X1138" s="13">
        <f>IF('0.0%'!$N1138&lt;$Z$3,0, '0.0%'!$R1138/'0.0%'!$N1138)</f>
        <v>1.0550854106300405</v>
      </c>
      <c r="Y1138" s="13">
        <f>IF('0.0%'!$N1138&lt;$Z$3,0, '0.0%'!$S1138/'0.0%'!$N1138)</f>
        <v>1.1456635668483321</v>
      </c>
    </row>
    <row r="1139" spans="1:25" x14ac:dyDescent="0.3">
      <c r="A1139" s="17">
        <v>1197.92</v>
      </c>
      <c r="B1139" s="10">
        <v>9847.7999999999993</v>
      </c>
      <c r="C1139" s="9">
        <v>1197.92</v>
      </c>
      <c r="D1139" s="10">
        <v>10702.1</v>
      </c>
      <c r="E1139" s="11">
        <v>1197.92</v>
      </c>
      <c r="F1139" s="12">
        <v>10807.5</v>
      </c>
      <c r="G1139" s="11">
        <v>1197.92</v>
      </c>
      <c r="H1139" s="12">
        <v>11004</v>
      </c>
      <c r="I1139" s="11">
        <v>1197.92</v>
      </c>
      <c r="J1139" s="12">
        <v>10397</v>
      </c>
      <c r="K1139" s="11">
        <v>1197.92</v>
      </c>
      <c r="L1139" s="12">
        <v>11278.3</v>
      </c>
      <c r="M1139" s="11">
        <v>1197.92</v>
      </c>
      <c r="N1139" s="13">
        <v>9847.7999999999993</v>
      </c>
      <c r="O1139" s="13">
        <v>10702.1</v>
      </c>
      <c r="P1139" s="13">
        <v>10807.5</v>
      </c>
      <c r="Q1139" s="11">
        <v>11004</v>
      </c>
      <c r="R1139" s="11">
        <v>10397</v>
      </c>
      <c r="S1139" s="14">
        <v>11278.3</v>
      </c>
      <c r="T1139" s="11">
        <v>1197.92</v>
      </c>
      <c r="U1139" s="13">
        <f>IF('0.0%'!$N1139&lt;$Z$3,0, '0.0%'!$O1139/'0.0%'!$N1139)</f>
        <v>1.0867503401775016</v>
      </c>
      <c r="V1139" s="13">
        <f>IF('0.0%'!$N1139&lt;$Z$3,0, '0.0%'!$P1139/'0.0%'!$N1139)</f>
        <v>1.0974532382867239</v>
      </c>
      <c r="W1139" s="13">
        <f>IF('0.0%'!$N1139&lt;$Z$3,0, '0.0%'!$Q1139/'0.0%'!$N1139)</f>
        <v>1.1174069335283008</v>
      </c>
      <c r="X1139" s="13">
        <f>IF('0.0%'!$N1139&lt;$Z$3,0, '0.0%'!$R1139/'0.0%'!$N1139)</f>
        <v>1.0557688011535573</v>
      </c>
      <c r="Y1139" s="13">
        <f>IF('0.0%'!$N1139&lt;$Z$3,0, '0.0%'!$S1139/'0.0%'!$N1139)</f>
        <v>1.1452608704482219</v>
      </c>
    </row>
    <row r="1140" spans="1:25" x14ac:dyDescent="0.3">
      <c r="A1140" s="17">
        <v>1198.9100000000001</v>
      </c>
      <c r="B1140" s="10">
        <v>10124.700000000001</v>
      </c>
      <c r="C1140" s="9">
        <v>1198.9100000000001</v>
      </c>
      <c r="D1140" s="10">
        <v>10998.8</v>
      </c>
      <c r="E1140" s="11">
        <v>1198.9100000000001</v>
      </c>
      <c r="F1140" s="12">
        <v>11108.1</v>
      </c>
      <c r="G1140" s="11">
        <v>1198.9100000000001</v>
      </c>
      <c r="H1140" s="12">
        <v>11309.8</v>
      </c>
      <c r="I1140" s="11">
        <v>1198.9100000000001</v>
      </c>
      <c r="J1140" s="12">
        <v>10697.7</v>
      </c>
      <c r="K1140" s="11">
        <v>1198.9100000000001</v>
      </c>
      <c r="L1140" s="12">
        <v>11592</v>
      </c>
      <c r="M1140" s="11">
        <v>1198.9100000000001</v>
      </c>
      <c r="N1140" s="13">
        <v>10124.700000000001</v>
      </c>
      <c r="O1140" s="13">
        <v>10998.8</v>
      </c>
      <c r="P1140" s="13">
        <v>11108.1</v>
      </c>
      <c r="Q1140" s="11">
        <v>11309.8</v>
      </c>
      <c r="R1140" s="11">
        <v>10697.7</v>
      </c>
      <c r="S1140" s="14">
        <v>11592</v>
      </c>
      <c r="T1140" s="11">
        <v>1198.9100000000001</v>
      </c>
      <c r="U1140" s="13">
        <f>IF('0.0%'!$N1140&lt;$Z$3,0, '0.0%'!$O1140/'0.0%'!$N1140)</f>
        <v>1.086333422224856</v>
      </c>
      <c r="V1140" s="13">
        <f>IF('0.0%'!$N1140&lt;$Z$3,0, '0.0%'!$P1140/'0.0%'!$N1140)</f>
        <v>1.0971288038164093</v>
      </c>
      <c r="W1140" s="13">
        <f>IF('0.0%'!$N1140&lt;$Z$3,0, '0.0%'!$Q1140/'0.0%'!$N1140)</f>
        <v>1.1170503817397057</v>
      </c>
      <c r="X1140" s="13">
        <f>IF('0.0%'!$N1140&lt;$Z$3,0, '0.0%'!$R1140/'0.0%'!$N1140)</f>
        <v>1.0565942694598358</v>
      </c>
      <c r="Y1140" s="13">
        <f>IF('0.0%'!$N1140&lt;$Z$3,0, '0.0%'!$S1140/'0.0%'!$N1140)</f>
        <v>1.1449228125277786</v>
      </c>
    </row>
    <row r="1141" spans="1:25" x14ac:dyDescent="0.3">
      <c r="A1141" s="17">
        <v>1199.9000000000001</v>
      </c>
      <c r="B1141" s="10">
        <v>10402</v>
      </c>
      <c r="C1141" s="9">
        <v>1199.9000000000001</v>
      </c>
      <c r="D1141" s="10">
        <v>11296.5</v>
      </c>
      <c r="E1141" s="11">
        <v>1199.9000000000001</v>
      </c>
      <c r="F1141" s="12">
        <v>11409.5</v>
      </c>
      <c r="G1141" s="11">
        <v>1199.9000000000001</v>
      </c>
      <c r="H1141" s="12">
        <v>11615.1</v>
      </c>
      <c r="I1141" s="11">
        <v>1199.9000000000001</v>
      </c>
      <c r="J1141" s="12">
        <v>11000.7</v>
      </c>
      <c r="K1141" s="11">
        <v>1199.9000000000001</v>
      </c>
      <c r="L1141" s="12">
        <v>11906.6</v>
      </c>
      <c r="M1141" s="11">
        <v>1199.9000000000001</v>
      </c>
      <c r="N1141" s="13">
        <v>10402</v>
      </c>
      <c r="O1141" s="13">
        <v>11296.5</v>
      </c>
      <c r="P1141" s="13">
        <v>11409.5</v>
      </c>
      <c r="Q1141" s="11">
        <v>11615.1</v>
      </c>
      <c r="R1141" s="11">
        <v>11000.7</v>
      </c>
      <c r="S1141" s="14">
        <v>11906.6</v>
      </c>
      <c r="T1141" s="11">
        <v>1199.9000000000001</v>
      </c>
      <c r="U1141" s="13">
        <f>IF('0.0%'!$N1141&lt;$Z$3,0, '0.0%'!$O1141/'0.0%'!$N1141)</f>
        <v>1.0859930782541818</v>
      </c>
      <c r="V1141" s="13">
        <f>IF('0.0%'!$N1141&lt;$Z$3,0, '0.0%'!$P1141/'0.0%'!$N1141)</f>
        <v>1.0968563737742743</v>
      </c>
      <c r="W1141" s="13">
        <f>IF('0.0%'!$N1141&lt;$Z$3,0, '0.0%'!$Q1141/'0.0%'!$N1141)</f>
        <v>1.1166218034993272</v>
      </c>
      <c r="X1141" s="13">
        <f>IF('0.0%'!$N1141&lt;$Z$3,0, '0.0%'!$R1141/'0.0%'!$N1141)</f>
        <v>1.0575562391847722</v>
      </c>
      <c r="Y1141" s="13">
        <f>IF('0.0%'!$N1141&lt;$Z$3,0, '0.0%'!$S1141/'0.0%'!$N1141)</f>
        <v>1.1446452605268218</v>
      </c>
    </row>
    <row r="1142" spans="1:25" x14ac:dyDescent="0.3">
      <c r="A1142" s="17">
        <v>1200.8900000000001</v>
      </c>
      <c r="B1142" s="10">
        <v>10667.3</v>
      </c>
      <c r="C1142" s="9">
        <v>1200.8900000000001</v>
      </c>
      <c r="D1142" s="10">
        <v>11581.2</v>
      </c>
      <c r="E1142" s="11">
        <v>1200.8900000000001</v>
      </c>
      <c r="F1142" s="12">
        <v>11697.5</v>
      </c>
      <c r="G1142" s="11">
        <v>1200.8900000000001</v>
      </c>
      <c r="H1142" s="12">
        <v>11907.1</v>
      </c>
      <c r="I1142" s="11">
        <v>1200.8900000000001</v>
      </c>
      <c r="J1142" s="12">
        <v>11291.1</v>
      </c>
      <c r="K1142" s="11">
        <v>1200.8900000000001</v>
      </c>
      <c r="L1142" s="12">
        <v>12206.6</v>
      </c>
      <c r="M1142" s="11">
        <v>1200.8900000000001</v>
      </c>
      <c r="N1142" s="13">
        <v>10667.3</v>
      </c>
      <c r="O1142" s="13">
        <v>11581.2</v>
      </c>
      <c r="P1142" s="13">
        <v>11697.5</v>
      </c>
      <c r="Q1142" s="11">
        <v>11907.1</v>
      </c>
      <c r="R1142" s="11">
        <v>11291.1</v>
      </c>
      <c r="S1142" s="14">
        <v>12206.6</v>
      </c>
      <c r="T1142" s="11">
        <v>1200.8900000000001</v>
      </c>
      <c r="U1142" s="13">
        <f>IF('0.0%'!$N1142&lt;$Z$3,0, '0.0%'!$O1142/'0.0%'!$N1142)</f>
        <v>1.0856730381633592</v>
      </c>
      <c r="V1142" s="13">
        <f>IF('0.0%'!$N1142&lt;$Z$3,0, '0.0%'!$P1142/'0.0%'!$N1142)</f>
        <v>1.0965755158287478</v>
      </c>
      <c r="W1142" s="13">
        <f>IF('0.0%'!$N1142&lt;$Z$3,0, '0.0%'!$Q1142/'0.0%'!$N1142)</f>
        <v>1.1162243491792676</v>
      </c>
      <c r="X1142" s="13">
        <f>IF('0.0%'!$N1142&lt;$Z$3,0, '0.0%'!$R1142/'0.0%'!$N1142)</f>
        <v>1.0584777778819383</v>
      </c>
      <c r="Y1142" s="13">
        <f>IF('0.0%'!$N1142&lt;$Z$3,0, '0.0%'!$S1142/'0.0%'!$N1142)</f>
        <v>1.1443008071395762</v>
      </c>
    </row>
    <row r="1143" spans="1:25" x14ac:dyDescent="0.3">
      <c r="A1143" s="17">
        <v>1201.8800000000001</v>
      </c>
      <c r="B1143" s="10">
        <v>10932.7</v>
      </c>
      <c r="C1143" s="9">
        <v>1201.8800000000001</v>
      </c>
      <c r="D1143" s="10">
        <v>11866</v>
      </c>
      <c r="E1143" s="11">
        <v>1201.8800000000001</v>
      </c>
      <c r="F1143" s="12">
        <v>11986.3</v>
      </c>
      <c r="G1143" s="11">
        <v>1201.8800000000001</v>
      </c>
      <c r="H1143" s="12">
        <v>12199.5</v>
      </c>
      <c r="I1143" s="11">
        <v>1201.8800000000001</v>
      </c>
      <c r="J1143" s="12">
        <v>11583.1</v>
      </c>
      <c r="K1143" s="11">
        <v>1201.8800000000001</v>
      </c>
      <c r="L1143" s="12">
        <v>12506.9</v>
      </c>
      <c r="M1143" s="11">
        <v>1201.8800000000001</v>
      </c>
      <c r="N1143" s="13">
        <v>10932.7</v>
      </c>
      <c r="O1143" s="13">
        <v>11866</v>
      </c>
      <c r="P1143" s="13">
        <v>11986.3</v>
      </c>
      <c r="Q1143" s="11">
        <v>12199.5</v>
      </c>
      <c r="R1143" s="11">
        <v>11583.1</v>
      </c>
      <c r="S1143" s="14">
        <v>12506.9</v>
      </c>
      <c r="T1143" s="11">
        <v>1201.8800000000001</v>
      </c>
      <c r="U1143" s="13">
        <f>IF('0.0%'!$N1143&lt;$Z$3,0, '0.0%'!$O1143/'0.0%'!$N1143)</f>
        <v>1.0853677499611256</v>
      </c>
      <c r="V1143" s="13">
        <f>IF('0.0%'!$N1143&lt;$Z$3,0, '0.0%'!$P1143/'0.0%'!$N1143)</f>
        <v>1.0963714361502646</v>
      </c>
      <c r="W1143" s="13">
        <f>IF('0.0%'!$N1143&lt;$Z$3,0, '0.0%'!$Q1143/'0.0%'!$N1143)</f>
        <v>1.115872565788872</v>
      </c>
      <c r="X1143" s="13">
        <f>IF('0.0%'!$N1143&lt;$Z$3,0, '0.0%'!$R1143/'0.0%'!$N1143)</f>
        <v>1.0594912510175893</v>
      </c>
      <c r="Y1143" s="13">
        <f>IF('0.0%'!$N1143&lt;$Z$3,0, '0.0%'!$S1143/'0.0%'!$N1143)</f>
        <v>1.1439900482040117</v>
      </c>
    </row>
    <row r="1144" spans="1:25" x14ac:dyDescent="0.3">
      <c r="A1144" s="17">
        <v>1202.8800000000001</v>
      </c>
      <c r="B1144" s="10">
        <v>11185.1</v>
      </c>
      <c r="C1144" s="9">
        <v>1202.8800000000001</v>
      </c>
      <c r="D1144" s="10">
        <v>12136.3</v>
      </c>
      <c r="E1144" s="11">
        <v>1202.8800000000001</v>
      </c>
      <c r="F1144" s="12">
        <v>12259.5</v>
      </c>
      <c r="G1144" s="11">
        <v>1202.8800000000001</v>
      </c>
      <c r="H1144" s="12">
        <v>12477.1</v>
      </c>
      <c r="I1144" s="11">
        <v>1202.8800000000001</v>
      </c>
      <c r="J1144" s="12">
        <v>11861.3</v>
      </c>
      <c r="K1144" s="11">
        <v>1202.8800000000001</v>
      </c>
      <c r="L1144" s="12">
        <v>12790.8</v>
      </c>
      <c r="M1144" s="11">
        <v>1202.8800000000001</v>
      </c>
      <c r="N1144" s="13">
        <v>11185.1</v>
      </c>
      <c r="O1144" s="13">
        <v>12136.3</v>
      </c>
      <c r="P1144" s="13">
        <v>12259.5</v>
      </c>
      <c r="Q1144" s="11">
        <v>12477.1</v>
      </c>
      <c r="R1144" s="11">
        <v>11861.3</v>
      </c>
      <c r="S1144" s="14">
        <v>12790.8</v>
      </c>
      <c r="T1144" s="11">
        <v>1202.8800000000001</v>
      </c>
      <c r="U1144" s="13">
        <f>IF('0.0%'!$N1144&lt;$Z$3,0, '0.0%'!$O1144/'0.0%'!$N1144)</f>
        <v>1.0850417072712804</v>
      </c>
      <c r="V1144" s="13">
        <f>IF('0.0%'!$N1144&lt;$Z$3,0, '0.0%'!$P1144/'0.0%'!$N1144)</f>
        <v>1.0960563606941378</v>
      </c>
      <c r="W1144" s="13">
        <f>IF('0.0%'!$N1144&lt;$Z$3,0, '0.0%'!$Q1144/'0.0%'!$N1144)</f>
        <v>1.1155108134929503</v>
      </c>
      <c r="X1144" s="13">
        <f>IF('0.0%'!$N1144&lt;$Z$3,0, '0.0%'!$R1144/'0.0%'!$N1144)</f>
        <v>1.0604554273095457</v>
      </c>
      <c r="Y1144" s="13">
        <f>IF('0.0%'!$N1144&lt;$Z$3,0, '0.0%'!$S1144/'0.0%'!$N1144)</f>
        <v>1.1435570535802093</v>
      </c>
    </row>
    <row r="1145" spans="1:25" x14ac:dyDescent="0.3">
      <c r="A1145" s="17">
        <v>1203.8699999999999</v>
      </c>
      <c r="B1145" s="10">
        <v>11438.5</v>
      </c>
      <c r="C1145" s="9">
        <v>1203.8699999999999</v>
      </c>
      <c r="D1145" s="10">
        <v>12407.3</v>
      </c>
      <c r="E1145" s="11">
        <v>1203.8699999999999</v>
      </c>
      <c r="F1145" s="12">
        <v>12532.8</v>
      </c>
      <c r="G1145" s="11">
        <v>1203.8699999999999</v>
      </c>
      <c r="H1145" s="12">
        <v>12755</v>
      </c>
      <c r="I1145" s="11">
        <v>1203.8699999999999</v>
      </c>
      <c r="J1145" s="12">
        <v>12140.9</v>
      </c>
      <c r="K1145" s="11">
        <v>1203.8699999999999</v>
      </c>
      <c r="L1145" s="12">
        <v>13074.5</v>
      </c>
      <c r="M1145" s="11">
        <v>1203.8699999999999</v>
      </c>
      <c r="N1145" s="13">
        <v>11438.5</v>
      </c>
      <c r="O1145" s="13">
        <v>12407.3</v>
      </c>
      <c r="P1145" s="13">
        <v>12532.8</v>
      </c>
      <c r="Q1145" s="11">
        <v>12755</v>
      </c>
      <c r="R1145" s="11">
        <v>12140.9</v>
      </c>
      <c r="S1145" s="14">
        <v>13074.5</v>
      </c>
      <c r="T1145" s="11">
        <v>1203.8699999999999</v>
      </c>
      <c r="U1145" s="13">
        <f>IF('0.0%'!$N1145&lt;$Z$3,0, '0.0%'!$O1145/'0.0%'!$N1145)</f>
        <v>1.0846964199851379</v>
      </c>
      <c r="V1145" s="13">
        <f>IF('0.0%'!$N1145&lt;$Z$3,0, '0.0%'!$P1145/'0.0%'!$N1145)</f>
        <v>1.0956681383048477</v>
      </c>
      <c r="W1145" s="13">
        <f>IF('0.0%'!$N1145&lt;$Z$3,0, '0.0%'!$Q1145/'0.0%'!$N1145)</f>
        <v>1.1150937622940071</v>
      </c>
      <c r="X1145" s="13">
        <f>IF('0.0%'!$N1145&lt;$Z$3,0, '0.0%'!$R1145/'0.0%'!$N1145)</f>
        <v>1.0614066529702322</v>
      </c>
      <c r="Y1145" s="13">
        <f>IF('0.0%'!$N1145&lt;$Z$3,0, '0.0%'!$S1145/'0.0%'!$N1145)</f>
        <v>1.1430257463828299</v>
      </c>
    </row>
    <row r="1146" spans="1:25" x14ac:dyDescent="0.3">
      <c r="A1146" s="17">
        <v>1204.8599999999999</v>
      </c>
      <c r="B1146" s="10">
        <v>11680.6</v>
      </c>
      <c r="C1146" s="9">
        <v>1204.8599999999999</v>
      </c>
      <c r="D1146" s="10">
        <v>12666.1</v>
      </c>
      <c r="E1146" s="11">
        <v>1204.8599999999999</v>
      </c>
      <c r="F1146" s="12">
        <v>12792.5</v>
      </c>
      <c r="G1146" s="11">
        <v>1204.8599999999999</v>
      </c>
      <c r="H1146" s="12">
        <v>13020.2</v>
      </c>
      <c r="I1146" s="11">
        <v>1204.8599999999999</v>
      </c>
      <c r="J1146" s="12">
        <v>12407.2</v>
      </c>
      <c r="K1146" s="11">
        <v>1204.8599999999999</v>
      </c>
      <c r="L1146" s="12">
        <v>13344.3</v>
      </c>
      <c r="M1146" s="11">
        <v>1204.8599999999999</v>
      </c>
      <c r="N1146" s="13">
        <v>11680.6</v>
      </c>
      <c r="O1146" s="13">
        <v>12666.1</v>
      </c>
      <c r="P1146" s="13">
        <v>12792.5</v>
      </c>
      <c r="Q1146" s="11">
        <v>13020.2</v>
      </c>
      <c r="R1146" s="11">
        <v>12407.2</v>
      </c>
      <c r="S1146" s="14">
        <v>13344.3</v>
      </c>
      <c r="T1146" s="11">
        <v>1204.8599999999999</v>
      </c>
      <c r="U1146" s="13">
        <f>IF('0.0%'!$N1146&lt;$Z$3,0, '0.0%'!$O1146/'0.0%'!$N1146)</f>
        <v>1.0843706658904508</v>
      </c>
      <c r="V1146" s="13">
        <f>IF('0.0%'!$N1146&lt;$Z$3,0, '0.0%'!$P1146/'0.0%'!$N1146)</f>
        <v>1.0951920278067908</v>
      </c>
      <c r="W1146" s="13">
        <f>IF('0.0%'!$N1146&lt;$Z$3,0, '0.0%'!$Q1146/'0.0%'!$N1146)</f>
        <v>1.1146858894234886</v>
      </c>
      <c r="X1146" s="13">
        <f>IF('0.0%'!$N1146&lt;$Z$3,0, '0.0%'!$R1146/'0.0%'!$N1146)</f>
        <v>1.0622057086108592</v>
      </c>
      <c r="Y1146" s="13">
        <f>IF('0.0%'!$N1146&lt;$Z$3,0, '0.0%'!$S1146/'0.0%'!$N1146)</f>
        <v>1.1424327517422048</v>
      </c>
    </row>
    <row r="1147" spans="1:25" x14ac:dyDescent="0.3">
      <c r="A1147" s="17">
        <v>1205.8499999999999</v>
      </c>
      <c r="B1147" s="10">
        <v>11925.7</v>
      </c>
      <c r="C1147" s="9">
        <v>1205.8499999999999</v>
      </c>
      <c r="D1147" s="10">
        <v>12927.8</v>
      </c>
      <c r="E1147" s="11">
        <v>1205.8499999999999</v>
      </c>
      <c r="F1147" s="12">
        <v>13054.8</v>
      </c>
      <c r="G1147" s="11">
        <v>1205.8499999999999</v>
      </c>
      <c r="H1147" s="12">
        <v>13288.6</v>
      </c>
      <c r="I1147" s="11">
        <v>1205.8499999999999</v>
      </c>
      <c r="J1147" s="12">
        <v>12676.6</v>
      </c>
      <c r="K1147" s="11">
        <v>1205.8499999999999</v>
      </c>
      <c r="L1147" s="12">
        <v>13617.2</v>
      </c>
      <c r="M1147" s="11">
        <v>1205.8499999999999</v>
      </c>
      <c r="N1147" s="13">
        <v>11925.7</v>
      </c>
      <c r="O1147" s="13">
        <v>12927.8</v>
      </c>
      <c r="P1147" s="13">
        <v>13054.8</v>
      </c>
      <c r="Q1147" s="11">
        <v>13288.6</v>
      </c>
      <c r="R1147" s="11">
        <v>12676.6</v>
      </c>
      <c r="S1147" s="14">
        <v>13617.2</v>
      </c>
      <c r="T1147" s="11">
        <v>1205.8499999999999</v>
      </c>
      <c r="U1147" s="13">
        <f>IF('0.0%'!$N1147&lt;$Z$3,0, '0.0%'!$O1147/'0.0%'!$N1147)</f>
        <v>1.0840286104798877</v>
      </c>
      <c r="V1147" s="13">
        <f>IF('0.0%'!$N1147&lt;$Z$3,0, '0.0%'!$P1147/'0.0%'!$N1147)</f>
        <v>1.0946778805436996</v>
      </c>
      <c r="W1147" s="13">
        <f>IF('0.0%'!$N1147&lt;$Z$3,0, '0.0%'!$Q1147/'0.0%'!$N1147)</f>
        <v>1.1142825997635359</v>
      </c>
      <c r="X1147" s="13">
        <f>IF('0.0%'!$N1147&lt;$Z$3,0, '0.0%'!$R1147/'0.0%'!$N1147)</f>
        <v>1.0629648574087893</v>
      </c>
      <c r="Y1147" s="13">
        <f>IF('0.0%'!$N1147&lt;$Z$3,0, '0.0%'!$S1147/'0.0%'!$N1147)</f>
        <v>1.1418365378971465</v>
      </c>
    </row>
    <row r="1148" spans="1:25" x14ac:dyDescent="0.3">
      <c r="A1148" s="17">
        <v>1206.8399999999999</v>
      </c>
      <c r="B1148" s="10">
        <v>12158.5</v>
      </c>
      <c r="C1148" s="9">
        <v>1206.8399999999999</v>
      </c>
      <c r="D1148" s="10">
        <v>13175.8</v>
      </c>
      <c r="E1148" s="11">
        <v>1206.8399999999999</v>
      </c>
      <c r="F1148" s="12">
        <v>13302.6</v>
      </c>
      <c r="G1148" s="11">
        <v>1206.8399999999999</v>
      </c>
      <c r="H1148" s="12">
        <v>13543.1</v>
      </c>
      <c r="I1148" s="11">
        <v>1206.8399999999999</v>
      </c>
      <c r="J1148" s="12">
        <v>12931</v>
      </c>
      <c r="K1148" s="11">
        <v>1206.8399999999999</v>
      </c>
      <c r="L1148" s="12">
        <v>13874.9</v>
      </c>
      <c r="M1148" s="11">
        <v>1206.8399999999999</v>
      </c>
      <c r="N1148" s="13">
        <v>12158.5</v>
      </c>
      <c r="O1148" s="13">
        <v>13175.8</v>
      </c>
      <c r="P1148" s="13">
        <v>13302.6</v>
      </c>
      <c r="Q1148" s="11">
        <v>13543.1</v>
      </c>
      <c r="R1148" s="11">
        <v>12931</v>
      </c>
      <c r="S1148" s="14">
        <v>13874.9</v>
      </c>
      <c r="T1148" s="11">
        <v>1206.8399999999999</v>
      </c>
      <c r="U1148" s="13">
        <f>IF('0.0%'!$N1148&lt;$Z$3,0, '0.0%'!$O1148/'0.0%'!$N1148)</f>
        <v>1.0836698605913557</v>
      </c>
      <c r="V1148" s="13">
        <f>IF('0.0%'!$N1148&lt;$Z$3,0, '0.0%'!$P1148/'0.0%'!$N1148)</f>
        <v>1.0940987786322327</v>
      </c>
      <c r="W1148" s="13">
        <f>IF('0.0%'!$N1148&lt;$Z$3,0, '0.0%'!$Q1148/'0.0%'!$N1148)</f>
        <v>1.1138791791750629</v>
      </c>
      <c r="X1148" s="13">
        <f>IF('0.0%'!$N1148&lt;$Z$3,0, '0.0%'!$R1148/'0.0%'!$N1148)</f>
        <v>1.0635357980013982</v>
      </c>
      <c r="Y1148" s="13">
        <f>IF('0.0%'!$N1148&lt;$Z$3,0, '0.0%'!$S1148/'0.0%'!$N1148)</f>
        <v>1.1411687296952748</v>
      </c>
    </row>
    <row r="1149" spans="1:25" x14ac:dyDescent="0.3">
      <c r="A1149" s="17">
        <v>1207.83</v>
      </c>
      <c r="B1149" s="10">
        <v>12392.9</v>
      </c>
      <c r="C1149" s="9">
        <v>1207.83</v>
      </c>
      <c r="D1149" s="10">
        <v>13424.5</v>
      </c>
      <c r="E1149" s="11">
        <v>1207.83</v>
      </c>
      <c r="F1149" s="12">
        <v>13550.9</v>
      </c>
      <c r="G1149" s="11">
        <v>1207.83</v>
      </c>
      <c r="H1149" s="12">
        <v>13798.1</v>
      </c>
      <c r="I1149" s="11">
        <v>1207.83</v>
      </c>
      <c r="J1149" s="12">
        <v>13186.4</v>
      </c>
      <c r="K1149" s="11">
        <v>1207.83</v>
      </c>
      <c r="L1149" s="12">
        <v>14133.2</v>
      </c>
      <c r="M1149" s="11">
        <v>1207.83</v>
      </c>
      <c r="N1149" s="13">
        <v>12392.9</v>
      </c>
      <c r="O1149" s="13">
        <v>13424.5</v>
      </c>
      <c r="P1149" s="13">
        <v>13550.9</v>
      </c>
      <c r="Q1149" s="11">
        <v>13798.1</v>
      </c>
      <c r="R1149" s="11">
        <v>13186.4</v>
      </c>
      <c r="S1149" s="14">
        <v>14133.2</v>
      </c>
      <c r="T1149" s="11">
        <v>1207.83</v>
      </c>
      <c r="U1149" s="13">
        <f>IF('0.0%'!$N1149&lt;$Z$3,0, '0.0%'!$O1149/'0.0%'!$N1149)</f>
        <v>1.0832412106932194</v>
      </c>
      <c r="V1149" s="13">
        <f>IF('0.0%'!$N1149&lt;$Z$3,0, '0.0%'!$P1149/'0.0%'!$N1149)</f>
        <v>1.0934405990526834</v>
      </c>
      <c r="W1149" s="13">
        <f>IF('0.0%'!$N1149&lt;$Z$3,0, '0.0%'!$Q1149/'0.0%'!$N1149)</f>
        <v>1.1133875041354324</v>
      </c>
      <c r="X1149" s="13">
        <f>IF('0.0%'!$N1149&lt;$Z$3,0, '0.0%'!$R1149/'0.0%'!$N1149)</f>
        <v>1.0640285970192611</v>
      </c>
      <c r="Y1149" s="13">
        <f>IF('0.0%'!$N1149&lt;$Z$3,0, '0.0%'!$S1149/'0.0%'!$N1149)</f>
        <v>1.1404271800789163</v>
      </c>
    </row>
    <row r="1150" spans="1:25" x14ac:dyDescent="0.3">
      <c r="A1150" s="17">
        <v>1208.83</v>
      </c>
      <c r="B1150" s="10">
        <v>12616.3</v>
      </c>
      <c r="C1150" s="9">
        <v>1208.83</v>
      </c>
      <c r="D1150" s="10">
        <v>13660.5</v>
      </c>
      <c r="E1150" s="11">
        <v>1208.83</v>
      </c>
      <c r="F1150" s="12">
        <v>13786.4</v>
      </c>
      <c r="G1150" s="11">
        <v>1208.83</v>
      </c>
      <c r="H1150" s="12">
        <v>14040.5</v>
      </c>
      <c r="I1150" s="11">
        <v>1208.83</v>
      </c>
      <c r="J1150" s="12">
        <v>13428.7</v>
      </c>
      <c r="K1150" s="11">
        <v>1208.83</v>
      </c>
      <c r="L1150" s="12">
        <v>14378.7</v>
      </c>
      <c r="M1150" s="11">
        <v>1208.83</v>
      </c>
      <c r="N1150" s="13">
        <v>12616.3</v>
      </c>
      <c r="O1150" s="13">
        <v>13660.5</v>
      </c>
      <c r="P1150" s="13">
        <v>13786.4</v>
      </c>
      <c r="Q1150" s="11">
        <v>14040.5</v>
      </c>
      <c r="R1150" s="11">
        <v>13428.7</v>
      </c>
      <c r="S1150" s="14">
        <v>14378.7</v>
      </c>
      <c r="T1150" s="11">
        <v>1208.83</v>
      </c>
      <c r="U1150" s="13">
        <f>IF('0.0%'!$N1150&lt;$Z$3,0, '0.0%'!$O1150/'0.0%'!$N1150)</f>
        <v>1.0827659456417493</v>
      </c>
      <c r="V1150" s="13">
        <f>IF('0.0%'!$N1150&lt;$Z$3,0, '0.0%'!$P1150/'0.0%'!$N1150)</f>
        <v>1.0927450995933832</v>
      </c>
      <c r="W1150" s="13">
        <f>IF('0.0%'!$N1150&lt;$Z$3,0, '0.0%'!$Q1150/'0.0%'!$N1150)</f>
        <v>1.112885711341677</v>
      </c>
      <c r="X1150" s="13">
        <f>IF('0.0%'!$N1150&lt;$Z$3,0, '0.0%'!$R1150/'0.0%'!$N1150)</f>
        <v>1.0643928885647933</v>
      </c>
      <c r="Y1150" s="13">
        <f>IF('0.0%'!$N1150&lt;$Z$3,0, '0.0%'!$S1150/'0.0%'!$N1150)</f>
        <v>1.1396923028146129</v>
      </c>
    </row>
    <row r="1151" spans="1:25" x14ac:dyDescent="0.3">
      <c r="A1151" s="17">
        <v>1209.82</v>
      </c>
      <c r="B1151" s="10">
        <v>12843.9</v>
      </c>
      <c r="C1151" s="9">
        <v>1209.82</v>
      </c>
      <c r="D1151" s="10">
        <v>13900.2</v>
      </c>
      <c r="E1151" s="11">
        <v>1209.82</v>
      </c>
      <c r="F1151" s="12">
        <v>14025.2</v>
      </c>
      <c r="G1151" s="11">
        <v>1209.82</v>
      </c>
      <c r="H1151" s="12">
        <v>14286.3</v>
      </c>
      <c r="I1151" s="11">
        <v>1209.82</v>
      </c>
      <c r="J1151" s="12">
        <v>13675.1</v>
      </c>
      <c r="K1151" s="11">
        <v>1209.82</v>
      </c>
      <c r="L1151" s="12">
        <v>14627.6</v>
      </c>
      <c r="M1151" s="11">
        <v>1209.82</v>
      </c>
      <c r="N1151" s="13">
        <v>12843.9</v>
      </c>
      <c r="O1151" s="13">
        <v>13900.2</v>
      </c>
      <c r="P1151" s="13">
        <v>14025.2</v>
      </c>
      <c r="Q1151" s="11">
        <v>14286.3</v>
      </c>
      <c r="R1151" s="11">
        <v>13675.1</v>
      </c>
      <c r="S1151" s="14">
        <v>14627.6</v>
      </c>
      <c r="T1151" s="11">
        <v>1209.82</v>
      </c>
      <c r="U1151" s="13">
        <f>IF('0.0%'!$N1151&lt;$Z$3,0, '0.0%'!$O1151/'0.0%'!$N1151)</f>
        <v>1.0822413752832085</v>
      </c>
      <c r="V1151" s="13">
        <f>IF('0.0%'!$N1151&lt;$Z$3,0, '0.0%'!$P1151/'0.0%'!$N1151)</f>
        <v>1.0919736217192597</v>
      </c>
      <c r="W1151" s="13">
        <f>IF('0.0%'!$N1151&lt;$Z$3,0, '0.0%'!$Q1151/'0.0%'!$N1151)</f>
        <v>1.1123023380748838</v>
      </c>
      <c r="X1151" s="13">
        <f>IF('0.0%'!$N1151&lt;$Z$3,0, '0.0%'!$R1151/'0.0%'!$N1151)</f>
        <v>1.0647155459011672</v>
      </c>
      <c r="Y1151" s="13">
        <f>IF('0.0%'!$N1151&lt;$Z$3,0, '0.0%'!$S1151/'0.0%'!$N1151)</f>
        <v>1.1388752637438784</v>
      </c>
    </row>
    <row r="1152" spans="1:25" x14ac:dyDescent="0.3">
      <c r="A1152" s="17">
        <v>1210.81</v>
      </c>
      <c r="B1152" s="10">
        <v>13060.9</v>
      </c>
      <c r="C1152" s="9">
        <v>1210.81</v>
      </c>
      <c r="D1152" s="10">
        <v>14128.3</v>
      </c>
      <c r="E1152" s="11">
        <v>1210.81</v>
      </c>
      <c r="F1152" s="12">
        <v>14252.5</v>
      </c>
      <c r="G1152" s="11">
        <v>1210.81</v>
      </c>
      <c r="H1152" s="12">
        <v>14520.2</v>
      </c>
      <c r="I1152" s="11">
        <v>1210.81</v>
      </c>
      <c r="J1152" s="12">
        <v>13908.8</v>
      </c>
      <c r="K1152" s="11">
        <v>1210.81</v>
      </c>
      <c r="L1152" s="12">
        <v>14864.6</v>
      </c>
      <c r="M1152" s="11">
        <v>1210.81</v>
      </c>
      <c r="N1152" s="13">
        <v>13060.9</v>
      </c>
      <c r="O1152" s="13">
        <v>14128.3</v>
      </c>
      <c r="P1152" s="13">
        <v>14252.5</v>
      </c>
      <c r="Q1152" s="11">
        <v>14520.2</v>
      </c>
      <c r="R1152" s="11">
        <v>13908.8</v>
      </c>
      <c r="S1152" s="14">
        <v>14864.6</v>
      </c>
      <c r="T1152" s="11">
        <v>1210.81</v>
      </c>
      <c r="U1152" s="13">
        <f>IF('0.0%'!$N1152&lt;$Z$3,0, '0.0%'!$O1152/'0.0%'!$N1152)</f>
        <v>1.0817248428515647</v>
      </c>
      <c r="V1152" s="13">
        <f>IF('0.0%'!$N1152&lt;$Z$3,0, '0.0%'!$P1152/'0.0%'!$N1152)</f>
        <v>1.0912341415982054</v>
      </c>
      <c r="W1152" s="13">
        <f>IF('0.0%'!$N1152&lt;$Z$3,0, '0.0%'!$Q1152/'0.0%'!$N1152)</f>
        <v>1.1117304320529213</v>
      </c>
      <c r="X1152" s="13">
        <f>IF('0.0%'!$N1152&lt;$Z$3,0, '0.0%'!$R1152/'0.0%'!$N1152)</f>
        <v>1.0649189565803274</v>
      </c>
      <c r="Y1152" s="13">
        <f>IF('0.0%'!$N1152&lt;$Z$3,0, '0.0%'!$S1152/'0.0%'!$N1152)</f>
        <v>1.1380992121523019</v>
      </c>
    </row>
    <row r="1153" spans="1:25" x14ac:dyDescent="0.3">
      <c r="A1153" s="17">
        <v>1211.8</v>
      </c>
      <c r="B1153" s="10">
        <v>13282</v>
      </c>
      <c r="C1153" s="9">
        <v>1211.8</v>
      </c>
      <c r="D1153" s="10">
        <v>14359.7</v>
      </c>
      <c r="E1153" s="11">
        <v>1211.8</v>
      </c>
      <c r="F1153" s="12">
        <v>14483.3</v>
      </c>
      <c r="G1153" s="11">
        <v>1211.8</v>
      </c>
      <c r="H1153" s="12">
        <v>14757.5</v>
      </c>
      <c r="I1153" s="11">
        <v>1211.8</v>
      </c>
      <c r="J1153" s="12">
        <v>14145.7</v>
      </c>
      <c r="K1153" s="11">
        <v>1211.8</v>
      </c>
      <c r="L1153" s="12">
        <v>15105.2</v>
      </c>
      <c r="M1153" s="11">
        <v>1211.8</v>
      </c>
      <c r="N1153" s="13">
        <v>13282</v>
      </c>
      <c r="O1153" s="13">
        <v>14359.7</v>
      </c>
      <c r="P1153" s="13">
        <v>14483.3</v>
      </c>
      <c r="Q1153" s="11">
        <v>14757.5</v>
      </c>
      <c r="R1153" s="11">
        <v>14145.7</v>
      </c>
      <c r="S1153" s="14">
        <v>15105.2</v>
      </c>
      <c r="T1153" s="11">
        <v>1211.8</v>
      </c>
      <c r="U1153" s="13">
        <f>IF('0.0%'!$N1153&lt;$Z$3,0, '0.0%'!$O1153/'0.0%'!$N1153)</f>
        <v>1.0811398885709984</v>
      </c>
      <c r="V1153" s="13">
        <f>IF('0.0%'!$N1153&lt;$Z$3,0, '0.0%'!$P1153/'0.0%'!$N1153)</f>
        <v>1.0904457160066254</v>
      </c>
      <c r="W1153" s="13">
        <f>IF('0.0%'!$N1153&lt;$Z$3,0, '0.0%'!$Q1153/'0.0%'!$N1153)</f>
        <v>1.1110901972594489</v>
      </c>
      <c r="X1153" s="13">
        <f>IF('0.0%'!$N1153&lt;$Z$3,0, '0.0%'!$R1153/'0.0%'!$N1153)</f>
        <v>1.0650278572504142</v>
      </c>
      <c r="Y1153" s="13">
        <f>IF('0.0%'!$N1153&lt;$Z$3,0, '0.0%'!$S1153/'0.0%'!$N1153)</f>
        <v>1.1372684836620992</v>
      </c>
    </row>
    <row r="1154" spans="1:25" x14ac:dyDescent="0.3">
      <c r="A1154" s="17">
        <v>1212.79</v>
      </c>
      <c r="B1154" s="10">
        <v>13492.8</v>
      </c>
      <c r="C1154" s="9">
        <v>1212.79</v>
      </c>
      <c r="D1154" s="10">
        <v>14579.5</v>
      </c>
      <c r="E1154" s="11">
        <v>1212.79</v>
      </c>
      <c r="F1154" s="12">
        <v>14702.5</v>
      </c>
      <c r="G1154" s="11">
        <v>1212.79</v>
      </c>
      <c r="H1154" s="12">
        <v>14983.1</v>
      </c>
      <c r="I1154" s="11">
        <v>1212.79</v>
      </c>
      <c r="J1154" s="12">
        <v>14370.6</v>
      </c>
      <c r="K1154" s="11">
        <v>1212.79</v>
      </c>
      <c r="L1154" s="12">
        <v>15334.4</v>
      </c>
      <c r="M1154" s="11">
        <v>1212.79</v>
      </c>
      <c r="N1154" s="13">
        <v>13492.8</v>
      </c>
      <c r="O1154" s="13">
        <v>14579.5</v>
      </c>
      <c r="P1154" s="13">
        <v>14702.5</v>
      </c>
      <c r="Q1154" s="11">
        <v>14983.1</v>
      </c>
      <c r="R1154" s="11">
        <v>14370.6</v>
      </c>
      <c r="S1154" s="14">
        <v>15334.4</v>
      </c>
      <c r="T1154" s="11">
        <v>1212.79</v>
      </c>
      <c r="U1154" s="13">
        <f>IF('0.0%'!$N1154&lt;$Z$3,0, '0.0%'!$O1154/'0.0%'!$N1154)</f>
        <v>1.0805392505632634</v>
      </c>
      <c r="V1154" s="13">
        <f>IF('0.0%'!$N1154&lt;$Z$3,0, '0.0%'!$P1154/'0.0%'!$N1154)</f>
        <v>1.0896552235266217</v>
      </c>
      <c r="W1154" s="13">
        <f>IF('0.0%'!$N1154&lt;$Z$3,0, '0.0%'!$Q1154/'0.0%'!$N1154)</f>
        <v>1.1104515000592909</v>
      </c>
      <c r="X1154" s="13">
        <f>IF('0.0%'!$N1154&lt;$Z$3,0, '0.0%'!$R1154/'0.0%'!$N1154)</f>
        <v>1.0650569192458201</v>
      </c>
      <c r="Y1154" s="13">
        <f>IF('0.0%'!$N1154&lt;$Z$3,0, '0.0%'!$S1154/'0.0%'!$N1154)</f>
        <v>1.1364876082058579</v>
      </c>
    </row>
    <row r="1155" spans="1:25" x14ac:dyDescent="0.3">
      <c r="A1155" s="17">
        <v>1213.78</v>
      </c>
      <c r="B1155" s="10">
        <v>13707.8</v>
      </c>
      <c r="C1155" s="9">
        <v>1213.78</v>
      </c>
      <c r="D1155" s="10">
        <v>14803.5</v>
      </c>
      <c r="E1155" s="11">
        <v>1213.78</v>
      </c>
      <c r="F1155" s="12">
        <v>14926.4</v>
      </c>
      <c r="G1155" s="11">
        <v>1213.78</v>
      </c>
      <c r="H1155" s="12">
        <v>15212</v>
      </c>
      <c r="I1155" s="11">
        <v>1213.78</v>
      </c>
      <c r="J1155" s="12">
        <v>14599.8</v>
      </c>
      <c r="K1155" s="11">
        <v>1213.78</v>
      </c>
      <c r="L1155" s="12">
        <v>15568.4</v>
      </c>
      <c r="M1155" s="11">
        <v>1213.78</v>
      </c>
      <c r="N1155" s="13">
        <v>13707.8</v>
      </c>
      <c r="O1155" s="13">
        <v>14803.5</v>
      </c>
      <c r="P1155" s="13">
        <v>14926.4</v>
      </c>
      <c r="Q1155" s="11">
        <v>15212</v>
      </c>
      <c r="R1155" s="11">
        <v>14599.8</v>
      </c>
      <c r="S1155" s="14">
        <v>15568.4</v>
      </c>
      <c r="T1155" s="11">
        <v>1213.78</v>
      </c>
      <c r="U1155" s="13">
        <f>IF('0.0%'!$N1155&lt;$Z$3,0, '0.0%'!$O1155/'0.0%'!$N1155)</f>
        <v>1.0799325931221642</v>
      </c>
      <c r="V1155" s="13">
        <f>IF('0.0%'!$N1155&lt;$Z$3,0, '0.0%'!$P1155/'0.0%'!$N1155)</f>
        <v>1.0888982914836809</v>
      </c>
      <c r="W1155" s="13">
        <f>IF('0.0%'!$N1155&lt;$Z$3,0, '0.0%'!$Q1155/'0.0%'!$N1155)</f>
        <v>1.1097331446329828</v>
      </c>
      <c r="X1155" s="13">
        <f>IF('0.0%'!$N1155&lt;$Z$3,0, '0.0%'!$R1155/'0.0%'!$N1155)</f>
        <v>1.0650724405083238</v>
      </c>
      <c r="Y1155" s="13">
        <f>IF('0.0%'!$N1155&lt;$Z$3,0, '0.0%'!$S1155/'0.0%'!$N1155)</f>
        <v>1.1357329403697165</v>
      </c>
    </row>
    <row r="1156" spans="1:25" x14ac:dyDescent="0.3">
      <c r="A1156" s="17">
        <v>1214.78</v>
      </c>
      <c r="B1156" s="10">
        <v>13910.2</v>
      </c>
      <c r="C1156" s="9">
        <v>1214.78</v>
      </c>
      <c r="D1156" s="10">
        <v>15013.9</v>
      </c>
      <c r="E1156" s="11">
        <v>1214.78</v>
      </c>
      <c r="F1156" s="12">
        <v>15137.5</v>
      </c>
      <c r="G1156" s="11">
        <v>1214.78</v>
      </c>
      <c r="H1156" s="12">
        <v>15426.8</v>
      </c>
      <c r="I1156" s="11">
        <v>1214.78</v>
      </c>
      <c r="J1156" s="12">
        <v>14815.2</v>
      </c>
      <c r="K1156" s="11">
        <v>1214.78</v>
      </c>
      <c r="L1156" s="12">
        <v>15789</v>
      </c>
      <c r="M1156" s="11">
        <v>1214.78</v>
      </c>
      <c r="N1156" s="13">
        <v>13910.2</v>
      </c>
      <c r="O1156" s="13">
        <v>15013.9</v>
      </c>
      <c r="P1156" s="13">
        <v>15137.5</v>
      </c>
      <c r="Q1156" s="11">
        <v>15426.8</v>
      </c>
      <c r="R1156" s="11">
        <v>14815.2</v>
      </c>
      <c r="S1156" s="14">
        <v>15789</v>
      </c>
      <c r="T1156" s="11">
        <v>1214.78</v>
      </c>
      <c r="U1156" s="13">
        <f>IF('0.0%'!$N1156&lt;$Z$3,0, '0.0%'!$O1156/'0.0%'!$N1156)</f>
        <v>1.079344653563572</v>
      </c>
      <c r="V1156" s="13">
        <f>IF('0.0%'!$N1156&lt;$Z$3,0, '0.0%'!$P1156/'0.0%'!$N1156)</f>
        <v>1.0882302195511206</v>
      </c>
      <c r="W1156" s="13">
        <f>IF('0.0%'!$N1156&lt;$Z$3,0, '0.0%'!$Q1156/'0.0%'!$N1156)</f>
        <v>1.1090279075786114</v>
      </c>
      <c r="X1156" s="13">
        <f>IF('0.0%'!$N1156&lt;$Z$3,0, '0.0%'!$R1156/'0.0%'!$N1156)</f>
        <v>1.0650601716725856</v>
      </c>
      <c r="Y1156" s="13">
        <f>IF('0.0%'!$N1156&lt;$Z$3,0, '0.0%'!$S1156/'0.0%'!$N1156)</f>
        <v>1.1350663541861368</v>
      </c>
    </row>
    <row r="1157" spans="1:25" x14ac:dyDescent="0.3">
      <c r="A1157" s="17">
        <v>1215.77</v>
      </c>
      <c r="B1157" s="10">
        <v>14114.7</v>
      </c>
      <c r="C1157" s="9">
        <v>1215.77</v>
      </c>
      <c r="D1157" s="10">
        <v>15225.7</v>
      </c>
      <c r="E1157" s="11">
        <v>1215.77</v>
      </c>
      <c r="F1157" s="12">
        <v>15350.9</v>
      </c>
      <c r="G1157" s="11">
        <v>1215.77</v>
      </c>
      <c r="H1157" s="12">
        <v>15643</v>
      </c>
      <c r="I1157" s="11">
        <v>1215.77</v>
      </c>
      <c r="J1157" s="12">
        <v>15032.9</v>
      </c>
      <c r="K1157" s="11">
        <v>1215.77</v>
      </c>
      <c r="L1157" s="12">
        <v>16012.4</v>
      </c>
      <c r="M1157" s="11">
        <v>1215.77</v>
      </c>
      <c r="N1157" s="13">
        <v>14114.7</v>
      </c>
      <c r="O1157" s="13">
        <v>15225.7</v>
      </c>
      <c r="P1157" s="13">
        <v>15350.9</v>
      </c>
      <c r="Q1157" s="11">
        <v>15643</v>
      </c>
      <c r="R1157" s="11">
        <v>15032.9</v>
      </c>
      <c r="S1157" s="14">
        <v>16012.4</v>
      </c>
      <c r="T1157" s="11">
        <v>1215.77</v>
      </c>
      <c r="U1157" s="13">
        <f>IF('0.0%'!$N1157&lt;$Z$3,0, '0.0%'!$O1157/'0.0%'!$N1157)</f>
        <v>1.0787122645185516</v>
      </c>
      <c r="V1157" s="13">
        <f>IF('0.0%'!$N1157&lt;$Z$3,0, '0.0%'!$P1157/'0.0%'!$N1157)</f>
        <v>1.0875824495030004</v>
      </c>
      <c r="W1157" s="13">
        <f>IF('0.0%'!$N1157&lt;$Z$3,0, '0.0%'!$Q1157/'0.0%'!$N1157)</f>
        <v>1.1082771861959517</v>
      </c>
      <c r="X1157" s="13">
        <f>IF('0.0%'!$N1157&lt;$Z$3,0, '0.0%'!$R1157/'0.0%'!$N1157)</f>
        <v>1.0650527464274833</v>
      </c>
      <c r="Y1157" s="13">
        <f>IF('0.0%'!$N1157&lt;$Z$3,0, '0.0%'!$S1157/'0.0%'!$N1157)</f>
        <v>1.1344484827874484</v>
      </c>
    </row>
    <row r="1158" spans="1:25" x14ac:dyDescent="0.3">
      <c r="A1158" s="17">
        <v>1216.76</v>
      </c>
      <c r="B1158" s="10">
        <v>14306.3</v>
      </c>
      <c r="C1158" s="9">
        <v>1216.76</v>
      </c>
      <c r="D1158" s="10">
        <v>15423.8</v>
      </c>
      <c r="E1158" s="11">
        <v>1216.76</v>
      </c>
      <c r="F1158" s="12">
        <v>15551.4</v>
      </c>
      <c r="G1158" s="11">
        <v>1216.76</v>
      </c>
      <c r="H1158" s="12">
        <v>15845.5</v>
      </c>
      <c r="I1158" s="11">
        <v>1216.76</v>
      </c>
      <c r="J1158" s="12">
        <v>15237.3</v>
      </c>
      <c r="K1158" s="11">
        <v>1216.76</v>
      </c>
      <c r="L1158" s="12">
        <v>16222.6</v>
      </c>
      <c r="M1158" s="11">
        <v>1216.76</v>
      </c>
      <c r="N1158" s="13">
        <v>14306.3</v>
      </c>
      <c r="O1158" s="13">
        <v>15423.8</v>
      </c>
      <c r="P1158" s="13">
        <v>15551.4</v>
      </c>
      <c r="Q1158" s="11">
        <v>15845.5</v>
      </c>
      <c r="R1158" s="11">
        <v>15237.3</v>
      </c>
      <c r="S1158" s="14">
        <v>16222.6</v>
      </c>
      <c r="T1158" s="11">
        <v>1216.76</v>
      </c>
      <c r="U1158" s="13">
        <f>IF('0.0%'!$N1158&lt;$Z$3,0, '0.0%'!$O1158/'0.0%'!$N1158)</f>
        <v>1.0781124399739974</v>
      </c>
      <c r="V1158" s="13">
        <f>IF('0.0%'!$N1158&lt;$Z$3,0, '0.0%'!$P1158/'0.0%'!$N1158)</f>
        <v>1.0870315874824379</v>
      </c>
      <c r="W1158" s="13">
        <f>IF('0.0%'!$N1158&lt;$Z$3,0, '0.0%'!$Q1158/'0.0%'!$N1158)</f>
        <v>1.1075889643024401</v>
      </c>
      <c r="X1158" s="13">
        <f>IF('0.0%'!$N1158&lt;$Z$3,0, '0.0%'!$R1158/'0.0%'!$N1158)</f>
        <v>1.0650762251595451</v>
      </c>
      <c r="Y1158" s="13">
        <f>IF('0.0%'!$N1158&lt;$Z$3,0, '0.0%'!$S1158/'0.0%'!$N1158)</f>
        <v>1.1339479809594375</v>
      </c>
    </row>
    <row r="1159" spans="1:25" x14ac:dyDescent="0.3">
      <c r="A1159" s="17">
        <v>1217.75</v>
      </c>
      <c r="B1159" s="10">
        <v>14476.8</v>
      </c>
      <c r="C1159" s="9">
        <v>1217.75</v>
      </c>
      <c r="D1159" s="10">
        <v>15599.9</v>
      </c>
      <c r="E1159" s="11">
        <v>1217.75</v>
      </c>
      <c r="F1159" s="12">
        <v>15730.5</v>
      </c>
      <c r="G1159" s="11">
        <v>1217.75</v>
      </c>
      <c r="H1159" s="12">
        <v>16025.7</v>
      </c>
      <c r="I1159" s="11">
        <v>1217.75</v>
      </c>
      <c r="J1159" s="12">
        <v>15419.9</v>
      </c>
      <c r="K1159" s="11">
        <v>1217.75</v>
      </c>
      <c r="L1159" s="12">
        <v>16409.900000000001</v>
      </c>
      <c r="M1159" s="11">
        <v>1217.75</v>
      </c>
      <c r="N1159" s="13">
        <v>14476.8</v>
      </c>
      <c r="O1159" s="13">
        <v>15599.9</v>
      </c>
      <c r="P1159" s="13">
        <v>15730.5</v>
      </c>
      <c r="Q1159" s="11">
        <v>16025.7</v>
      </c>
      <c r="R1159" s="11">
        <v>15419.9</v>
      </c>
      <c r="S1159" s="14">
        <v>16409.900000000001</v>
      </c>
      <c r="T1159" s="11">
        <v>1217.75</v>
      </c>
      <c r="U1159" s="13">
        <f>IF('0.0%'!$N1159&lt;$Z$3,0, '0.0%'!$O1159/'0.0%'!$N1159)</f>
        <v>1.0775792992926614</v>
      </c>
      <c r="V1159" s="13">
        <f>IF('0.0%'!$N1159&lt;$Z$3,0, '0.0%'!$P1159/'0.0%'!$N1159)</f>
        <v>1.086600629973475</v>
      </c>
      <c r="W1159" s="13">
        <f>IF('0.0%'!$N1159&lt;$Z$3,0, '0.0%'!$Q1159/'0.0%'!$N1159)</f>
        <v>1.1069918766578251</v>
      </c>
      <c r="X1159" s="13">
        <f>IF('0.0%'!$N1159&lt;$Z$3,0, '0.0%'!$R1159/'0.0%'!$N1159)</f>
        <v>1.0651456122900089</v>
      </c>
      <c r="Y1159" s="13">
        <f>IF('0.0%'!$N1159&lt;$Z$3,0, '0.0%'!$S1159/'0.0%'!$N1159)</f>
        <v>1.1335308908045978</v>
      </c>
    </row>
    <row r="1160" spans="1:25" x14ac:dyDescent="0.3">
      <c r="A1160" s="17">
        <v>1218.74</v>
      </c>
      <c r="B1160" s="10">
        <v>14673.4</v>
      </c>
      <c r="C1160" s="9">
        <v>1218.74</v>
      </c>
      <c r="D1160" s="10">
        <v>15802</v>
      </c>
      <c r="E1160" s="11">
        <v>1218.74</v>
      </c>
      <c r="F1160" s="12">
        <v>15937.5</v>
      </c>
      <c r="G1160" s="11">
        <v>1218.74</v>
      </c>
      <c r="H1160" s="12">
        <v>16232.8</v>
      </c>
      <c r="I1160" s="11">
        <v>1218.74</v>
      </c>
      <c r="J1160" s="12">
        <v>15630.6</v>
      </c>
      <c r="K1160" s="11">
        <v>1218.74</v>
      </c>
      <c r="L1160" s="12">
        <v>16627</v>
      </c>
      <c r="M1160" s="11">
        <v>1218.74</v>
      </c>
      <c r="N1160" s="13">
        <v>14673.4</v>
      </c>
      <c r="O1160" s="13">
        <v>15802</v>
      </c>
      <c r="P1160" s="13">
        <v>15937.5</v>
      </c>
      <c r="Q1160" s="11">
        <v>16232.8</v>
      </c>
      <c r="R1160" s="11">
        <v>15630.6</v>
      </c>
      <c r="S1160" s="14">
        <v>16627</v>
      </c>
      <c r="T1160" s="11">
        <v>1218.74</v>
      </c>
      <c r="U1160" s="13">
        <f>IF('0.0%'!$N1160&lt;$Z$3,0, '0.0%'!$O1160/'0.0%'!$N1160)</f>
        <v>1.0769146891654287</v>
      </c>
      <c r="V1160" s="13">
        <f>IF('0.0%'!$N1160&lt;$Z$3,0, '0.0%'!$P1160/'0.0%'!$N1160)</f>
        <v>1.0861490861013807</v>
      </c>
      <c r="W1160" s="13">
        <f>IF('0.0%'!$N1160&lt;$Z$3,0, '0.0%'!$Q1160/'0.0%'!$N1160)</f>
        <v>1.1062739378739761</v>
      </c>
      <c r="X1160" s="13">
        <f>IF('0.0%'!$N1160&lt;$Z$3,0, '0.0%'!$R1160/'0.0%'!$N1160)</f>
        <v>1.065233688170431</v>
      </c>
      <c r="Y1160" s="13">
        <f>IF('0.0%'!$N1160&lt;$Z$3,0, '0.0%'!$S1160/'0.0%'!$N1160)</f>
        <v>1.1331388771518531</v>
      </c>
    </row>
    <row r="1161" spans="1:25" x14ac:dyDescent="0.3">
      <c r="A1161" s="17">
        <v>1219.74</v>
      </c>
      <c r="B1161" s="10">
        <v>14863.2</v>
      </c>
      <c r="C1161" s="9">
        <v>1219.74</v>
      </c>
      <c r="D1161" s="10">
        <v>15997.3</v>
      </c>
      <c r="E1161" s="11">
        <v>1219.74</v>
      </c>
      <c r="F1161" s="12">
        <v>16138</v>
      </c>
      <c r="G1161" s="11">
        <v>1219.74</v>
      </c>
      <c r="H1161" s="12">
        <v>16433.099999999999</v>
      </c>
      <c r="I1161" s="11">
        <v>1219.74</v>
      </c>
      <c r="J1161" s="12">
        <v>15834.9</v>
      </c>
      <c r="K1161" s="11">
        <v>1219.74</v>
      </c>
      <c r="L1161" s="12">
        <v>16836.400000000001</v>
      </c>
      <c r="M1161" s="11">
        <v>1219.74</v>
      </c>
      <c r="N1161" s="13">
        <v>14863.2</v>
      </c>
      <c r="O1161" s="13">
        <v>15997.3</v>
      </c>
      <c r="P1161" s="13">
        <v>16138</v>
      </c>
      <c r="Q1161" s="11">
        <v>16433.099999999999</v>
      </c>
      <c r="R1161" s="11">
        <v>15834.9</v>
      </c>
      <c r="S1161" s="14">
        <v>16836.400000000001</v>
      </c>
      <c r="T1161" s="11">
        <v>1219.74</v>
      </c>
      <c r="U1161" s="13">
        <f>IF('0.0%'!$N1161&lt;$Z$3,0, '0.0%'!$O1161/'0.0%'!$N1161)</f>
        <v>1.076302545885139</v>
      </c>
      <c r="V1161" s="13">
        <f>IF('0.0%'!$N1161&lt;$Z$3,0, '0.0%'!$P1161/'0.0%'!$N1161)</f>
        <v>1.085768878841703</v>
      </c>
      <c r="W1161" s="13">
        <f>IF('0.0%'!$N1161&lt;$Z$3,0, '0.0%'!$Q1161/'0.0%'!$N1161)</f>
        <v>1.105623284353302</v>
      </c>
      <c r="X1161" s="13">
        <f>IF('0.0%'!$N1161&lt;$Z$3,0, '0.0%'!$R1161/'0.0%'!$N1161)</f>
        <v>1.0653762312288066</v>
      </c>
      <c r="Y1161" s="13">
        <f>IF('0.0%'!$N1161&lt;$Z$3,0, '0.0%'!$S1161/'0.0%'!$N1161)</f>
        <v>1.1327574142849455</v>
      </c>
    </row>
    <row r="1162" spans="1:25" x14ac:dyDescent="0.3">
      <c r="A1162" s="17">
        <v>1220.73</v>
      </c>
      <c r="B1162" s="10">
        <v>15060.8</v>
      </c>
      <c r="C1162" s="9">
        <v>1220.73</v>
      </c>
      <c r="D1162" s="10">
        <v>16201</v>
      </c>
      <c r="E1162" s="11">
        <v>1220.73</v>
      </c>
      <c r="F1162" s="12">
        <v>16347.8</v>
      </c>
      <c r="G1162" s="11">
        <v>1220.73</v>
      </c>
      <c r="H1162" s="12">
        <v>16641.8</v>
      </c>
      <c r="I1162" s="11">
        <v>1220.73</v>
      </c>
      <c r="J1162" s="12">
        <v>16048.3</v>
      </c>
      <c r="K1162" s="11">
        <v>1220.73</v>
      </c>
      <c r="L1162" s="12">
        <v>17054.400000000001</v>
      </c>
      <c r="M1162" s="11">
        <v>1220.73</v>
      </c>
      <c r="N1162" s="13">
        <v>15060.8</v>
      </c>
      <c r="O1162" s="13">
        <v>16201</v>
      </c>
      <c r="P1162" s="13">
        <v>16347.8</v>
      </c>
      <c r="Q1162" s="11">
        <v>16641.8</v>
      </c>
      <c r="R1162" s="11">
        <v>16048.3</v>
      </c>
      <c r="S1162" s="14">
        <v>17054.400000000001</v>
      </c>
      <c r="T1162" s="11">
        <v>1220.73</v>
      </c>
      <c r="U1162" s="13">
        <f>IF('0.0%'!$N1162&lt;$Z$3,0, '0.0%'!$O1162/'0.0%'!$N1162)</f>
        <v>1.0757064697758421</v>
      </c>
      <c r="V1162" s="13">
        <f>IF('0.0%'!$N1162&lt;$Z$3,0, '0.0%'!$P1162/'0.0%'!$N1162)</f>
        <v>1.08545362796133</v>
      </c>
      <c r="W1162" s="13">
        <f>IF('0.0%'!$N1162&lt;$Z$3,0, '0.0%'!$Q1162/'0.0%'!$N1162)</f>
        <v>1.1049745033464358</v>
      </c>
      <c r="X1162" s="13">
        <f>IF('0.0%'!$N1162&lt;$Z$3,0, '0.0%'!$R1162/'0.0%'!$N1162)</f>
        <v>1.0655675661319453</v>
      </c>
      <c r="Y1162" s="13">
        <f>IF('0.0%'!$N1162&lt;$Z$3,0, '0.0%'!$S1162/'0.0%'!$N1162)</f>
        <v>1.1323701264209074</v>
      </c>
    </row>
    <row r="1163" spans="1:25" x14ac:dyDescent="0.3">
      <c r="A1163" s="17">
        <v>1221.72</v>
      </c>
      <c r="B1163" s="10">
        <v>15250.7</v>
      </c>
      <c r="C1163" s="9">
        <v>1221.72</v>
      </c>
      <c r="D1163" s="10">
        <v>16397.900000000001</v>
      </c>
      <c r="E1163" s="11">
        <v>1221.72</v>
      </c>
      <c r="F1163" s="12">
        <v>16550.2</v>
      </c>
      <c r="G1163" s="11">
        <v>1221.72</v>
      </c>
      <c r="H1163" s="12">
        <v>16843.2</v>
      </c>
      <c r="I1163" s="11">
        <v>1221.72</v>
      </c>
      <c r="J1163" s="12">
        <v>16255</v>
      </c>
      <c r="K1163" s="11">
        <v>1221.72</v>
      </c>
      <c r="L1163" s="12">
        <v>17264.2</v>
      </c>
      <c r="M1163" s="11">
        <v>1221.72</v>
      </c>
      <c r="N1163" s="13">
        <v>15250.7</v>
      </c>
      <c r="O1163" s="13">
        <v>16397.900000000001</v>
      </c>
      <c r="P1163" s="13">
        <v>16550.2</v>
      </c>
      <c r="Q1163" s="11">
        <v>16843.2</v>
      </c>
      <c r="R1163" s="11">
        <v>16255</v>
      </c>
      <c r="S1163" s="14">
        <v>17264.2</v>
      </c>
      <c r="T1163" s="11">
        <v>1221.72</v>
      </c>
      <c r="U1163" s="13">
        <f>IF('0.0%'!$N1163&lt;$Z$3,0, '0.0%'!$O1163/'0.0%'!$N1163)</f>
        <v>1.075222776659432</v>
      </c>
      <c r="V1163" s="13">
        <f>IF('0.0%'!$N1163&lt;$Z$3,0, '0.0%'!$P1163/'0.0%'!$N1163)</f>
        <v>1.08520920351197</v>
      </c>
      <c r="W1163" s="13">
        <f>IF('0.0%'!$N1163&lt;$Z$3,0, '0.0%'!$Q1163/'0.0%'!$N1163)</f>
        <v>1.1044214363930835</v>
      </c>
      <c r="X1163" s="13">
        <f>IF('0.0%'!$N1163&lt;$Z$3,0, '0.0%'!$R1163/'0.0%'!$N1163)</f>
        <v>1.0658527149573462</v>
      </c>
      <c r="Y1163" s="13">
        <f>IF('0.0%'!$N1163&lt;$Z$3,0, '0.0%'!$S1163/'0.0%'!$N1163)</f>
        <v>1.1320267266420558</v>
      </c>
    </row>
    <row r="1164" spans="1:25" x14ac:dyDescent="0.3">
      <c r="A1164" s="17">
        <v>1222.71</v>
      </c>
      <c r="B1164" s="10">
        <v>15449</v>
      </c>
      <c r="C1164" s="9">
        <v>1222.71</v>
      </c>
      <c r="D1164" s="10">
        <v>16603.8</v>
      </c>
      <c r="E1164" s="11">
        <v>1222.71</v>
      </c>
      <c r="F1164" s="12">
        <v>16761.900000000001</v>
      </c>
      <c r="G1164" s="11">
        <v>1222.71</v>
      </c>
      <c r="H1164" s="12">
        <v>17052.7</v>
      </c>
      <c r="I1164" s="11">
        <v>1222.71</v>
      </c>
      <c r="J1164" s="12">
        <v>16471.400000000001</v>
      </c>
      <c r="K1164" s="11">
        <v>1222.71</v>
      </c>
      <c r="L1164" s="12">
        <v>17483.900000000001</v>
      </c>
      <c r="M1164" s="11">
        <v>1222.71</v>
      </c>
      <c r="N1164" s="13">
        <v>15449</v>
      </c>
      <c r="O1164" s="13">
        <v>16603.8</v>
      </c>
      <c r="P1164" s="13">
        <v>16761.900000000001</v>
      </c>
      <c r="Q1164" s="11">
        <v>17052.7</v>
      </c>
      <c r="R1164" s="11">
        <v>16471.400000000001</v>
      </c>
      <c r="S1164" s="14">
        <v>17483.900000000001</v>
      </c>
      <c r="T1164" s="11">
        <v>1222.71</v>
      </c>
      <c r="U1164" s="13">
        <f>IF('0.0%'!$N1164&lt;$Z$3,0, '0.0%'!$O1164/'0.0%'!$N1164)</f>
        <v>1.0747491747038642</v>
      </c>
      <c r="V1164" s="13">
        <f>IF('0.0%'!$N1164&lt;$Z$3,0, '0.0%'!$P1164/'0.0%'!$N1164)</f>
        <v>1.0849828467861999</v>
      </c>
      <c r="W1164" s="13">
        <f>IF('0.0%'!$N1164&lt;$Z$3,0, '0.0%'!$Q1164/'0.0%'!$N1164)</f>
        <v>1.1038060715903943</v>
      </c>
      <c r="X1164" s="13">
        <f>IF('0.0%'!$N1164&lt;$Z$3,0, '0.0%'!$R1164/'0.0%'!$N1164)</f>
        <v>1.0661790407146094</v>
      </c>
      <c r="Y1164" s="13">
        <f>IF('0.0%'!$N1164&lt;$Z$3,0, '0.0%'!$S1164/'0.0%'!$N1164)</f>
        <v>1.131717263253285</v>
      </c>
    </row>
    <row r="1165" spans="1:25" x14ac:dyDescent="0.3">
      <c r="A1165" s="17">
        <v>1223.7</v>
      </c>
      <c r="B1165" s="10">
        <v>15637.8</v>
      </c>
      <c r="C1165" s="9">
        <v>1223.7</v>
      </c>
      <c r="D1165" s="10">
        <v>16800.599999999999</v>
      </c>
      <c r="E1165" s="11">
        <v>1223.7</v>
      </c>
      <c r="F1165" s="12">
        <v>16964.2</v>
      </c>
      <c r="G1165" s="11">
        <v>1223.7</v>
      </c>
      <c r="H1165" s="12">
        <v>17252.8</v>
      </c>
      <c r="I1165" s="11">
        <v>1223.7</v>
      </c>
      <c r="J1165" s="12">
        <v>16678.599999999999</v>
      </c>
      <c r="K1165" s="11">
        <v>1223.7</v>
      </c>
      <c r="L1165" s="12">
        <v>17692.8</v>
      </c>
      <c r="M1165" s="11">
        <v>1223.7</v>
      </c>
      <c r="N1165" s="13">
        <v>15637.8</v>
      </c>
      <c r="O1165" s="13">
        <v>16800.599999999999</v>
      </c>
      <c r="P1165" s="13">
        <v>16964.2</v>
      </c>
      <c r="Q1165" s="11">
        <v>17252.8</v>
      </c>
      <c r="R1165" s="11">
        <v>16678.599999999999</v>
      </c>
      <c r="S1165" s="14">
        <v>17692.8</v>
      </c>
      <c r="T1165" s="11">
        <v>1223.7</v>
      </c>
      <c r="U1165" s="13">
        <f>IF('0.0%'!$N1165&lt;$Z$3,0, '0.0%'!$O1165/'0.0%'!$N1165)</f>
        <v>1.0743582856923608</v>
      </c>
      <c r="V1165" s="13">
        <f>IF('0.0%'!$N1165&lt;$Z$3,0, '0.0%'!$P1165/'0.0%'!$N1165)</f>
        <v>1.084820115361496</v>
      </c>
      <c r="W1165" s="13">
        <f>IF('0.0%'!$N1165&lt;$Z$3,0, '0.0%'!$Q1165/'0.0%'!$N1165)</f>
        <v>1.1032753967949456</v>
      </c>
      <c r="X1165" s="13">
        <f>IF('0.0%'!$N1165&lt;$Z$3,0, '0.0%'!$R1165/'0.0%'!$N1165)</f>
        <v>1.0665566767703896</v>
      </c>
      <c r="Y1165" s="13">
        <f>IF('0.0%'!$N1165&lt;$Z$3,0, '0.0%'!$S1165/'0.0%'!$N1165)</f>
        <v>1.1314123470053332</v>
      </c>
    </row>
    <row r="1166" spans="1:25" x14ac:dyDescent="0.3">
      <c r="A1166" s="17">
        <v>1224.69</v>
      </c>
      <c r="B1166" s="10">
        <v>15831.7</v>
      </c>
      <c r="C1166" s="9">
        <v>1224.69</v>
      </c>
      <c r="D1166" s="10">
        <v>17002.8</v>
      </c>
      <c r="E1166" s="11">
        <v>1224.69</v>
      </c>
      <c r="F1166" s="12">
        <v>17172.7</v>
      </c>
      <c r="G1166" s="11">
        <v>1224.69</v>
      </c>
      <c r="H1166" s="12">
        <v>17458.599999999999</v>
      </c>
      <c r="I1166" s="11">
        <v>1224.69</v>
      </c>
      <c r="J1166" s="12">
        <v>16891.900000000001</v>
      </c>
      <c r="K1166" s="11">
        <v>1224.69</v>
      </c>
      <c r="L1166" s="12">
        <v>17907.099999999999</v>
      </c>
      <c r="M1166" s="11">
        <v>1224.69</v>
      </c>
      <c r="N1166" s="13">
        <v>15831.7</v>
      </c>
      <c r="O1166" s="13">
        <v>17002.8</v>
      </c>
      <c r="P1166" s="13">
        <v>17172.7</v>
      </c>
      <c r="Q1166" s="11">
        <v>17458.599999999999</v>
      </c>
      <c r="R1166" s="11">
        <v>16891.900000000001</v>
      </c>
      <c r="S1166" s="14">
        <v>17907.099999999999</v>
      </c>
      <c r="T1166" s="11">
        <v>1224.69</v>
      </c>
      <c r="U1166" s="13">
        <f>IF('0.0%'!$N1166&lt;$Z$3,0, '0.0%'!$O1166/'0.0%'!$N1166)</f>
        <v>1.0739718413057346</v>
      </c>
      <c r="V1166" s="13">
        <f>IF('0.0%'!$N1166&lt;$Z$3,0, '0.0%'!$P1166/'0.0%'!$N1166)</f>
        <v>1.0847034746742295</v>
      </c>
      <c r="W1166" s="13">
        <f>IF('0.0%'!$N1166&lt;$Z$3,0, '0.0%'!$Q1166/'0.0%'!$N1166)</f>
        <v>1.1027621796774825</v>
      </c>
      <c r="X1166" s="13">
        <f>IF('0.0%'!$N1166&lt;$Z$3,0, '0.0%'!$R1166/'0.0%'!$N1166)</f>
        <v>1.0669669081652635</v>
      </c>
      <c r="Y1166" s="13">
        <f>IF('0.0%'!$N1166&lt;$Z$3,0, '0.0%'!$S1166/'0.0%'!$N1166)</f>
        <v>1.1310914178515257</v>
      </c>
    </row>
    <row r="1167" spans="1:25" x14ac:dyDescent="0.3">
      <c r="A1167" s="17">
        <v>1225.69</v>
      </c>
      <c r="B1167" s="10">
        <v>16015.7</v>
      </c>
      <c r="C1167" s="9">
        <v>1225.69</v>
      </c>
      <c r="D1167" s="10">
        <v>17195.400000000001</v>
      </c>
      <c r="E1167" s="11">
        <v>1225.69</v>
      </c>
      <c r="F1167" s="12">
        <v>17370.2</v>
      </c>
      <c r="G1167" s="11">
        <v>1225.69</v>
      </c>
      <c r="H1167" s="12">
        <v>17654.599999999999</v>
      </c>
      <c r="I1167" s="11">
        <v>1225.69</v>
      </c>
      <c r="J1167" s="12">
        <v>17095.5</v>
      </c>
      <c r="K1167" s="11">
        <v>1225.69</v>
      </c>
      <c r="L1167" s="12">
        <v>18110.2</v>
      </c>
      <c r="M1167" s="11">
        <v>1225.69</v>
      </c>
      <c r="N1167" s="13">
        <v>16015.7</v>
      </c>
      <c r="O1167" s="13">
        <v>17195.400000000001</v>
      </c>
      <c r="P1167" s="13">
        <v>17370.2</v>
      </c>
      <c r="Q1167" s="11">
        <v>17654.599999999999</v>
      </c>
      <c r="R1167" s="11">
        <v>17095.5</v>
      </c>
      <c r="S1167" s="14">
        <v>18110.2</v>
      </c>
      <c r="T1167" s="11">
        <v>1225.69</v>
      </c>
      <c r="U1167" s="13">
        <f>IF('0.0%'!$N1167&lt;$Z$3,0, '0.0%'!$O1167/'0.0%'!$N1167)</f>
        <v>1.0736589721335938</v>
      </c>
      <c r="V1167" s="13">
        <f>IF('0.0%'!$N1167&lt;$Z$3,0, '0.0%'!$P1167/'0.0%'!$N1167)</f>
        <v>1.0845732624861855</v>
      </c>
      <c r="W1167" s="13">
        <f>IF('0.0%'!$N1167&lt;$Z$3,0, '0.0%'!$Q1167/'0.0%'!$N1167)</f>
        <v>1.1023308378653445</v>
      </c>
      <c r="X1167" s="13">
        <f>IF('0.0%'!$N1167&lt;$Z$3,0, '0.0%'!$R1167/'0.0%'!$N1167)</f>
        <v>1.0674213428073702</v>
      </c>
      <c r="Y1167" s="13">
        <f>IF('0.0%'!$N1167&lt;$Z$3,0, '0.0%'!$S1167/'0.0%'!$N1167)</f>
        <v>1.130777924161916</v>
      </c>
    </row>
    <row r="1168" spans="1:25" x14ac:dyDescent="0.3">
      <c r="A1168" s="17">
        <v>1226.68</v>
      </c>
      <c r="B1168" s="10">
        <v>16206.6</v>
      </c>
      <c r="C1168" s="9">
        <v>1226.68</v>
      </c>
      <c r="D1168" s="10">
        <v>17395.5</v>
      </c>
      <c r="E1168" s="11">
        <v>1226.68</v>
      </c>
      <c r="F1168" s="12">
        <v>17575.8</v>
      </c>
      <c r="G1168" s="11">
        <v>1226.68</v>
      </c>
      <c r="H1168" s="12">
        <v>17857.8</v>
      </c>
      <c r="I1168" s="11">
        <v>1226.68</v>
      </c>
      <c r="J1168" s="12">
        <v>17306.900000000001</v>
      </c>
      <c r="K1168" s="11">
        <v>1226.68</v>
      </c>
      <c r="L1168" s="12">
        <v>18321.5</v>
      </c>
      <c r="M1168" s="11">
        <v>1226.68</v>
      </c>
      <c r="N1168" s="13">
        <v>16206.6</v>
      </c>
      <c r="O1168" s="13">
        <v>17395.5</v>
      </c>
      <c r="P1168" s="13">
        <v>17575.8</v>
      </c>
      <c r="Q1168" s="11">
        <v>17857.8</v>
      </c>
      <c r="R1168" s="11">
        <v>17306.900000000001</v>
      </c>
      <c r="S1168" s="14">
        <v>18321.5</v>
      </c>
      <c r="T1168" s="11">
        <v>1226.68</v>
      </c>
      <c r="U1168" s="13">
        <f>IF('0.0%'!$N1168&lt;$Z$3,0, '0.0%'!$O1168/'0.0%'!$N1168)</f>
        <v>1.0733590018881196</v>
      </c>
      <c r="V1168" s="13">
        <f>IF('0.0%'!$N1168&lt;$Z$3,0, '0.0%'!$P1168/'0.0%'!$N1168)</f>
        <v>1.0844840990707489</v>
      </c>
      <c r="W1168" s="13">
        <f>IF('0.0%'!$N1168&lt;$Z$3,0, '0.0%'!$Q1168/'0.0%'!$N1168)</f>
        <v>1.1018844174595535</v>
      </c>
      <c r="X1168" s="13">
        <f>IF('0.0%'!$N1168&lt;$Z$3,0, '0.0%'!$R1168/'0.0%'!$N1168)</f>
        <v>1.0678920933446867</v>
      </c>
      <c r="Y1168" s="13">
        <f>IF('0.0%'!$N1168&lt;$Z$3,0, '0.0%'!$S1168/'0.0%'!$N1168)</f>
        <v>1.1304962175903643</v>
      </c>
    </row>
    <row r="1169" spans="1:25" x14ac:dyDescent="0.3">
      <c r="A1169" s="17">
        <v>1227.67</v>
      </c>
      <c r="B1169" s="10">
        <v>16387.400000000001</v>
      </c>
      <c r="C1169" s="9">
        <v>1227.67</v>
      </c>
      <c r="D1169" s="10">
        <v>17585.3</v>
      </c>
      <c r="E1169" s="11">
        <v>1227.67</v>
      </c>
      <c r="F1169" s="12">
        <v>17770.099999999999</v>
      </c>
      <c r="G1169" s="11">
        <v>1227.67</v>
      </c>
      <c r="H1169" s="12">
        <v>18050.099999999999</v>
      </c>
      <c r="I1169" s="11">
        <v>1227.67</v>
      </c>
      <c r="J1169" s="12">
        <v>17507.400000000001</v>
      </c>
      <c r="K1169" s="11">
        <v>1227.67</v>
      </c>
      <c r="L1169" s="12">
        <v>18521.099999999999</v>
      </c>
      <c r="M1169" s="11">
        <v>1227.67</v>
      </c>
      <c r="N1169" s="13">
        <v>16387.400000000001</v>
      </c>
      <c r="O1169" s="13">
        <v>17585.3</v>
      </c>
      <c r="P1169" s="13">
        <v>17770.099999999999</v>
      </c>
      <c r="Q1169" s="11">
        <v>18050.099999999999</v>
      </c>
      <c r="R1169" s="11">
        <v>17507.400000000001</v>
      </c>
      <c r="S1169" s="14">
        <v>18521.099999999999</v>
      </c>
      <c r="T1169" s="11">
        <v>1227.67</v>
      </c>
      <c r="U1169" s="13">
        <f>IF('0.0%'!$N1169&lt;$Z$3,0, '0.0%'!$O1169/'0.0%'!$N1169)</f>
        <v>1.0730988442339846</v>
      </c>
      <c r="V1169" s="13">
        <f>IF('0.0%'!$N1169&lt;$Z$3,0, '0.0%'!$P1169/'0.0%'!$N1169)</f>
        <v>1.0843758009202189</v>
      </c>
      <c r="W1169" s="13">
        <f>IF('0.0%'!$N1169&lt;$Z$3,0, '0.0%'!$Q1169/'0.0%'!$N1169)</f>
        <v>1.1014620989296653</v>
      </c>
      <c r="X1169" s="13">
        <f>IF('0.0%'!$N1169&lt;$Z$3,0, '0.0%'!$R1169/'0.0%'!$N1169)</f>
        <v>1.0683451920377851</v>
      </c>
      <c r="Y1169" s="13">
        <f>IF('0.0%'!$N1169&lt;$Z$3,0, '0.0%'!$S1169/'0.0%'!$N1169)</f>
        <v>1.1302036930812696</v>
      </c>
    </row>
    <row r="1170" spans="1:25" x14ac:dyDescent="0.3">
      <c r="A1170" s="17">
        <v>1228.6600000000001</v>
      </c>
      <c r="B1170" s="10">
        <v>16573.400000000001</v>
      </c>
      <c r="C1170" s="9">
        <v>1228.6600000000001</v>
      </c>
      <c r="D1170" s="10">
        <v>17780.400000000001</v>
      </c>
      <c r="E1170" s="11">
        <v>1228.6600000000001</v>
      </c>
      <c r="F1170" s="12">
        <v>17970.400000000001</v>
      </c>
      <c r="G1170" s="11">
        <v>1228.6600000000001</v>
      </c>
      <c r="H1170" s="12">
        <v>18247.900000000001</v>
      </c>
      <c r="I1170" s="11">
        <v>1228.6600000000001</v>
      </c>
      <c r="J1170" s="12">
        <v>17713.8</v>
      </c>
      <c r="K1170" s="11">
        <v>1228.6600000000001</v>
      </c>
      <c r="L1170" s="12">
        <v>18726.099999999999</v>
      </c>
      <c r="M1170" s="11">
        <v>1228.6600000000001</v>
      </c>
      <c r="N1170" s="13">
        <v>16573.400000000001</v>
      </c>
      <c r="O1170" s="13">
        <v>17780.400000000001</v>
      </c>
      <c r="P1170" s="13">
        <v>17970.400000000001</v>
      </c>
      <c r="Q1170" s="11">
        <v>18247.900000000001</v>
      </c>
      <c r="R1170" s="11">
        <v>17713.8</v>
      </c>
      <c r="S1170" s="14">
        <v>18726.099999999999</v>
      </c>
      <c r="T1170" s="11">
        <v>1228.6600000000001</v>
      </c>
      <c r="U1170" s="13">
        <f>IF('0.0%'!$N1170&lt;$Z$3,0, '0.0%'!$O1170/'0.0%'!$N1170)</f>
        <v>1.0728275429302376</v>
      </c>
      <c r="V1170" s="13">
        <f>IF('0.0%'!$N1170&lt;$Z$3,0, '0.0%'!$P1170/'0.0%'!$N1170)</f>
        <v>1.0842916963326776</v>
      </c>
      <c r="W1170" s="13">
        <f>IF('0.0%'!$N1170&lt;$Z$3,0, '0.0%'!$Q1170/'0.0%'!$N1170)</f>
        <v>1.1010353940651887</v>
      </c>
      <c r="X1170" s="13">
        <f>IF('0.0%'!$N1170&lt;$Z$3,0, '0.0%'!$R1170/'0.0%'!$N1170)</f>
        <v>1.0688090554744347</v>
      </c>
      <c r="Y1170" s="13">
        <f>IF('0.0%'!$N1170&lt;$Z$3,0, '0.0%'!$S1170/'0.0%'!$N1170)</f>
        <v>1.1298888580496456</v>
      </c>
    </row>
    <row r="1171" spans="1:25" x14ac:dyDescent="0.3">
      <c r="A1171" s="17">
        <v>1229.6500000000001</v>
      </c>
      <c r="B1171" s="10">
        <v>16749.2</v>
      </c>
      <c r="C1171" s="9">
        <v>1229.6500000000001</v>
      </c>
      <c r="D1171" s="10">
        <v>17964.8</v>
      </c>
      <c r="E1171" s="11">
        <v>1229.6500000000001</v>
      </c>
      <c r="F1171" s="12">
        <v>18158.2</v>
      </c>
      <c r="G1171" s="11">
        <v>1229.6500000000001</v>
      </c>
      <c r="H1171" s="12">
        <v>18434.2</v>
      </c>
      <c r="I1171" s="11">
        <v>1229.6500000000001</v>
      </c>
      <c r="J1171" s="12">
        <v>17909.3</v>
      </c>
      <c r="K1171" s="11">
        <v>1229.6500000000001</v>
      </c>
      <c r="L1171" s="12">
        <v>18919</v>
      </c>
      <c r="M1171" s="11">
        <v>1229.6500000000001</v>
      </c>
      <c r="N1171" s="13">
        <v>16749.2</v>
      </c>
      <c r="O1171" s="13">
        <v>17964.8</v>
      </c>
      <c r="P1171" s="13">
        <v>18158.2</v>
      </c>
      <c r="Q1171" s="11">
        <v>18434.2</v>
      </c>
      <c r="R1171" s="11">
        <v>17909.3</v>
      </c>
      <c r="S1171" s="14">
        <v>18919</v>
      </c>
      <c r="T1171" s="11">
        <v>1229.6500000000001</v>
      </c>
      <c r="U1171" s="13">
        <f>IF('0.0%'!$N1171&lt;$Z$3,0, '0.0%'!$O1171/'0.0%'!$N1171)</f>
        <v>1.0725766006734649</v>
      </c>
      <c r="V1171" s="13">
        <f>IF('0.0%'!$N1171&lt;$Z$3,0, '0.0%'!$P1171/'0.0%'!$N1171)</f>
        <v>1.0841234208200989</v>
      </c>
      <c r="W1171" s="13">
        <f>IF('0.0%'!$N1171&lt;$Z$3,0, '0.0%'!$Q1171/'0.0%'!$N1171)</f>
        <v>1.1006018197884078</v>
      </c>
      <c r="X1171" s="13">
        <f>IF('0.0%'!$N1171&lt;$Z$3,0, '0.0%'!$R1171/'0.0%'!$N1171)</f>
        <v>1.0692630095765767</v>
      </c>
      <c r="Y1171" s="13">
        <f>IF('0.0%'!$N1171&lt;$Z$3,0, '0.0%'!$S1171/'0.0%'!$N1171)</f>
        <v>1.129546485802307</v>
      </c>
    </row>
    <row r="1172" spans="1:25" x14ac:dyDescent="0.3">
      <c r="A1172" s="17">
        <v>1230.6400000000001</v>
      </c>
      <c r="B1172" s="10">
        <v>16931.7</v>
      </c>
      <c r="C1172" s="9">
        <v>1230.6400000000001</v>
      </c>
      <c r="D1172" s="10">
        <v>18155.900000000001</v>
      </c>
      <c r="E1172" s="11">
        <v>1230.6400000000001</v>
      </c>
      <c r="F1172" s="12">
        <v>18352.5</v>
      </c>
      <c r="G1172" s="11">
        <v>1230.6400000000001</v>
      </c>
      <c r="H1172" s="12">
        <v>18626.8</v>
      </c>
      <c r="I1172" s="11">
        <v>1230.6400000000001</v>
      </c>
      <c r="J1172" s="12">
        <v>18111.400000000001</v>
      </c>
      <c r="K1172" s="11">
        <v>1230.6400000000001</v>
      </c>
      <c r="L1172" s="12">
        <v>19118.099999999999</v>
      </c>
      <c r="M1172" s="11">
        <v>1230.6400000000001</v>
      </c>
      <c r="N1172" s="13">
        <v>16931.7</v>
      </c>
      <c r="O1172" s="13">
        <v>18155.900000000001</v>
      </c>
      <c r="P1172" s="13">
        <v>18352.5</v>
      </c>
      <c r="Q1172" s="11">
        <v>18626.8</v>
      </c>
      <c r="R1172" s="11">
        <v>18111.400000000001</v>
      </c>
      <c r="S1172" s="14">
        <v>19118.099999999999</v>
      </c>
      <c r="T1172" s="11">
        <v>1230.6400000000001</v>
      </c>
      <c r="U1172" s="13">
        <f>IF('0.0%'!$N1172&lt;$Z$3,0, '0.0%'!$O1172/'0.0%'!$N1172)</f>
        <v>1.0723022496264405</v>
      </c>
      <c r="V1172" s="13">
        <f>IF('0.0%'!$N1172&lt;$Z$3,0, '0.0%'!$P1172/'0.0%'!$N1172)</f>
        <v>1.0839136058399332</v>
      </c>
      <c r="W1172" s="13">
        <f>IF('0.0%'!$N1172&lt;$Z$3,0, '0.0%'!$Q1172/'0.0%'!$N1172)</f>
        <v>1.1001139873727976</v>
      </c>
      <c r="X1172" s="13">
        <f>IF('0.0%'!$N1172&lt;$Z$3,0, '0.0%'!$R1172/'0.0%'!$N1172)</f>
        <v>1.0696740433624503</v>
      </c>
      <c r="Y1172" s="13">
        <f>IF('0.0%'!$N1172&lt;$Z$3,0, '0.0%'!$S1172/'0.0%'!$N1172)</f>
        <v>1.129130565743546</v>
      </c>
    </row>
    <row r="1173" spans="1:25" x14ac:dyDescent="0.3">
      <c r="A1173" s="17">
        <v>1231.6400000000001</v>
      </c>
      <c r="B1173" s="10">
        <v>17103.2</v>
      </c>
      <c r="C1173" s="9">
        <v>1231.6400000000001</v>
      </c>
      <c r="D1173" s="10">
        <v>18335.3</v>
      </c>
      <c r="E1173" s="11">
        <v>1231.6400000000001</v>
      </c>
      <c r="F1173" s="12">
        <v>18534.5</v>
      </c>
      <c r="G1173" s="11">
        <v>1231.6400000000001</v>
      </c>
      <c r="H1173" s="12">
        <v>18808.099999999999</v>
      </c>
      <c r="I1173" s="11">
        <v>1231.6400000000001</v>
      </c>
      <c r="J1173" s="12">
        <v>18301</v>
      </c>
      <c r="K1173" s="11">
        <v>1231.6400000000001</v>
      </c>
      <c r="L1173" s="12">
        <v>19304.400000000001</v>
      </c>
      <c r="M1173" s="11">
        <v>1231.6400000000001</v>
      </c>
      <c r="N1173" s="13">
        <v>17103.2</v>
      </c>
      <c r="O1173" s="13">
        <v>18335.3</v>
      </c>
      <c r="P1173" s="13">
        <v>18534.5</v>
      </c>
      <c r="Q1173" s="11">
        <v>18808.099999999999</v>
      </c>
      <c r="R1173" s="11">
        <v>18301</v>
      </c>
      <c r="S1173" s="14">
        <v>19304.400000000001</v>
      </c>
      <c r="T1173" s="11">
        <v>1231.6400000000001</v>
      </c>
      <c r="U1173" s="13">
        <f>IF('0.0%'!$N1173&lt;$Z$3,0, '0.0%'!$O1173/'0.0%'!$N1173)</f>
        <v>1.0720391505683147</v>
      </c>
      <c r="V1173" s="13">
        <f>IF('0.0%'!$N1173&lt;$Z$3,0, '0.0%'!$P1173/'0.0%'!$N1173)</f>
        <v>1.0836860938303943</v>
      </c>
      <c r="W1173" s="13">
        <f>IF('0.0%'!$N1173&lt;$Z$3,0, '0.0%'!$Q1173/'0.0%'!$N1173)</f>
        <v>1.0996831002385516</v>
      </c>
      <c r="X1173" s="13">
        <f>IF('0.0%'!$N1173&lt;$Z$3,0, '0.0%'!$R1173/'0.0%'!$N1173)</f>
        <v>1.0700336779082276</v>
      </c>
      <c r="Y1173" s="13">
        <f>IF('0.0%'!$N1173&lt;$Z$3,0, '0.0%'!$S1173/'0.0%'!$N1173)</f>
        <v>1.1287010617896067</v>
      </c>
    </row>
    <row r="1174" spans="1:25" x14ac:dyDescent="0.3">
      <c r="A1174" s="17">
        <v>1232.6300000000001</v>
      </c>
      <c r="B1174" s="10">
        <v>17279.5</v>
      </c>
      <c r="C1174" s="9">
        <v>1232.6300000000001</v>
      </c>
      <c r="D1174" s="10">
        <v>18519.900000000001</v>
      </c>
      <c r="E1174" s="11">
        <v>1232.6300000000001</v>
      </c>
      <c r="F1174" s="12">
        <v>18721.7</v>
      </c>
      <c r="G1174" s="11">
        <v>1232.6300000000001</v>
      </c>
      <c r="H1174" s="12">
        <v>18994.099999999999</v>
      </c>
      <c r="I1174" s="11">
        <v>1232.6300000000001</v>
      </c>
      <c r="J1174" s="12">
        <v>18496.099999999999</v>
      </c>
      <c r="K1174" s="11">
        <v>1232.6300000000001</v>
      </c>
      <c r="L1174" s="12">
        <v>19495.400000000001</v>
      </c>
      <c r="M1174" s="11">
        <v>1232.6300000000001</v>
      </c>
      <c r="N1174" s="13">
        <v>17279.5</v>
      </c>
      <c r="O1174" s="13">
        <v>18519.900000000001</v>
      </c>
      <c r="P1174" s="13">
        <v>18721.7</v>
      </c>
      <c r="Q1174" s="11">
        <v>18994.099999999999</v>
      </c>
      <c r="R1174" s="11">
        <v>18496.099999999999</v>
      </c>
      <c r="S1174" s="14">
        <v>19495.400000000001</v>
      </c>
      <c r="T1174" s="11">
        <v>1232.6300000000001</v>
      </c>
      <c r="U1174" s="13">
        <f>IF('0.0%'!$N1174&lt;$Z$3,0, '0.0%'!$O1174/'0.0%'!$N1174)</f>
        <v>1.0717844845047602</v>
      </c>
      <c r="V1174" s="13">
        <f>IF('0.0%'!$N1174&lt;$Z$3,0, '0.0%'!$P1174/'0.0%'!$N1174)</f>
        <v>1.083463063167337</v>
      </c>
      <c r="W1174" s="13">
        <f>IF('0.0%'!$N1174&lt;$Z$3,0, '0.0%'!$Q1174/'0.0%'!$N1174)</f>
        <v>1.0992274082004687</v>
      </c>
      <c r="X1174" s="13">
        <f>IF('0.0%'!$N1174&lt;$Z$3,0, '0.0%'!$R1174/'0.0%'!$N1174)</f>
        <v>1.0704071298359326</v>
      </c>
      <c r="Y1174" s="13">
        <f>IF('0.0%'!$N1174&lt;$Z$3,0, '0.0%'!$S1174/'0.0%'!$N1174)</f>
        <v>1.1282386643132036</v>
      </c>
    </row>
    <row r="1175" spans="1:25" x14ac:dyDescent="0.3">
      <c r="A1175" s="17">
        <v>1233.6199999999999</v>
      </c>
      <c r="B1175" s="10">
        <v>17445.099999999999</v>
      </c>
      <c r="C1175" s="9">
        <v>1233.6199999999999</v>
      </c>
      <c r="D1175" s="10">
        <v>18693.099999999999</v>
      </c>
      <c r="E1175" s="11">
        <v>1233.6199999999999</v>
      </c>
      <c r="F1175" s="12">
        <v>18896</v>
      </c>
      <c r="G1175" s="11">
        <v>1233.6199999999999</v>
      </c>
      <c r="H1175" s="12">
        <v>19168.7</v>
      </c>
      <c r="I1175" s="11">
        <v>1233.6199999999999</v>
      </c>
      <c r="J1175" s="12">
        <v>18679.099999999999</v>
      </c>
      <c r="K1175" s="11">
        <v>1233.6199999999999</v>
      </c>
      <c r="L1175" s="12">
        <v>19674.099999999999</v>
      </c>
      <c r="M1175" s="11">
        <v>1233.6199999999999</v>
      </c>
      <c r="N1175" s="13">
        <v>17445.099999999999</v>
      </c>
      <c r="O1175" s="13">
        <v>18693.099999999999</v>
      </c>
      <c r="P1175" s="13">
        <v>18896</v>
      </c>
      <c r="Q1175" s="11">
        <v>19168.7</v>
      </c>
      <c r="R1175" s="11">
        <v>18679.099999999999</v>
      </c>
      <c r="S1175" s="14">
        <v>19674.099999999999</v>
      </c>
      <c r="T1175" s="11">
        <v>1233.6199999999999</v>
      </c>
      <c r="U1175" s="13">
        <f>IF('0.0%'!$N1175&lt;$Z$3,0, '0.0%'!$O1175/'0.0%'!$N1175)</f>
        <v>1.0715387128763951</v>
      </c>
      <c r="V1175" s="13">
        <f>IF('0.0%'!$N1175&lt;$Z$3,0, '0.0%'!$P1175/'0.0%'!$N1175)</f>
        <v>1.0831694859874694</v>
      </c>
      <c r="W1175" s="13">
        <f>IF('0.0%'!$N1175&lt;$Z$3,0, '0.0%'!$Q1175/'0.0%'!$N1175)</f>
        <v>1.0988013826232008</v>
      </c>
      <c r="X1175" s="13">
        <f>IF('0.0%'!$N1175&lt;$Z$3,0, '0.0%'!$R1175/'0.0%'!$N1175)</f>
        <v>1.0707361952639995</v>
      </c>
      <c r="Y1175" s="13">
        <f>IF('0.0%'!$N1175&lt;$Z$3,0, '0.0%'!$S1175/'0.0%'!$N1175)</f>
        <v>1.1277722684306768</v>
      </c>
    </row>
    <row r="1176" spans="1:25" x14ac:dyDescent="0.3">
      <c r="A1176" s="17">
        <v>1234.6099999999999</v>
      </c>
      <c r="B1176" s="10">
        <v>17617.3</v>
      </c>
      <c r="C1176" s="9">
        <v>1234.6099999999999</v>
      </c>
      <c r="D1176" s="10">
        <v>18872.8</v>
      </c>
      <c r="E1176" s="11">
        <v>1234.6099999999999</v>
      </c>
      <c r="F1176" s="12">
        <v>19076.400000000001</v>
      </c>
      <c r="G1176" s="11">
        <v>1234.6099999999999</v>
      </c>
      <c r="H1176" s="12">
        <v>19349.599999999999</v>
      </c>
      <c r="I1176" s="11">
        <v>1234.6099999999999</v>
      </c>
      <c r="J1176" s="12">
        <v>18868.8</v>
      </c>
      <c r="K1176" s="11">
        <v>1234.6099999999999</v>
      </c>
      <c r="L1176" s="12">
        <v>19858.7</v>
      </c>
      <c r="M1176" s="11">
        <v>1234.6099999999999</v>
      </c>
      <c r="N1176" s="13">
        <v>17617.3</v>
      </c>
      <c r="O1176" s="13">
        <v>18872.8</v>
      </c>
      <c r="P1176" s="13">
        <v>19076.400000000001</v>
      </c>
      <c r="Q1176" s="11">
        <v>19349.599999999999</v>
      </c>
      <c r="R1176" s="11">
        <v>18868.8</v>
      </c>
      <c r="S1176" s="14">
        <v>19858.7</v>
      </c>
      <c r="T1176" s="11">
        <v>1234.6099999999999</v>
      </c>
      <c r="U1176" s="13">
        <f>IF('0.0%'!$N1176&lt;$Z$3,0, '0.0%'!$O1176/'0.0%'!$N1176)</f>
        <v>1.0712651768432166</v>
      </c>
      <c r="V1176" s="13">
        <f>IF('0.0%'!$N1176&lt;$Z$3,0, '0.0%'!$P1176/'0.0%'!$N1176)</f>
        <v>1.0828219988306949</v>
      </c>
      <c r="W1176" s="13">
        <f>IF('0.0%'!$N1176&lt;$Z$3,0, '0.0%'!$Q1176/'0.0%'!$N1176)</f>
        <v>1.098329482951417</v>
      </c>
      <c r="X1176" s="13">
        <f>IF('0.0%'!$N1176&lt;$Z$3,0, '0.0%'!$R1176/'0.0%'!$N1176)</f>
        <v>1.0710381272953291</v>
      </c>
      <c r="Y1176" s="13">
        <f>IF('0.0%'!$N1176&lt;$Z$3,0, '0.0%'!$S1176/'0.0%'!$N1176)</f>
        <v>1.12722721415881</v>
      </c>
    </row>
    <row r="1177" spans="1:25" x14ac:dyDescent="0.3">
      <c r="A1177" s="17">
        <v>1235.5999999999999</v>
      </c>
      <c r="B1177" s="10">
        <v>17778</v>
      </c>
      <c r="C1177" s="9">
        <v>1235.5999999999999</v>
      </c>
      <c r="D1177" s="10">
        <v>19040.3</v>
      </c>
      <c r="E1177" s="11">
        <v>1235.5999999999999</v>
      </c>
      <c r="F1177" s="12">
        <v>19244.400000000001</v>
      </c>
      <c r="G1177" s="11">
        <v>1235.5999999999999</v>
      </c>
      <c r="H1177" s="12">
        <v>19518.5</v>
      </c>
      <c r="I1177" s="11">
        <v>1235.5999999999999</v>
      </c>
      <c r="J1177" s="12">
        <v>19046</v>
      </c>
      <c r="K1177" s="11">
        <v>1235.5999999999999</v>
      </c>
      <c r="L1177" s="12">
        <v>20030.7</v>
      </c>
      <c r="M1177" s="11">
        <v>1235.5999999999999</v>
      </c>
      <c r="N1177" s="13">
        <v>17778</v>
      </c>
      <c r="O1177" s="13">
        <v>19040.3</v>
      </c>
      <c r="P1177" s="13">
        <v>19244.400000000001</v>
      </c>
      <c r="Q1177" s="11">
        <v>19518.5</v>
      </c>
      <c r="R1177" s="11">
        <v>19046</v>
      </c>
      <c r="S1177" s="14">
        <v>20030.7</v>
      </c>
      <c r="T1177" s="11">
        <v>1235.5999999999999</v>
      </c>
      <c r="U1177" s="13">
        <f>IF('0.0%'!$N1177&lt;$Z$3,0, '0.0%'!$O1177/'0.0%'!$N1177)</f>
        <v>1.0710034874564067</v>
      </c>
      <c r="V1177" s="13">
        <f>IF('0.0%'!$N1177&lt;$Z$3,0, '0.0%'!$P1177/'0.0%'!$N1177)</f>
        <v>1.0824839689503882</v>
      </c>
      <c r="W1177" s="13">
        <f>IF('0.0%'!$N1177&lt;$Z$3,0, '0.0%'!$Q1177/'0.0%'!$N1177)</f>
        <v>1.0979019012262348</v>
      </c>
      <c r="X1177" s="13">
        <f>IF('0.0%'!$N1177&lt;$Z$3,0, '0.0%'!$R1177/'0.0%'!$N1177)</f>
        <v>1.0713241084486445</v>
      </c>
      <c r="Y1177" s="13">
        <f>IF('0.0%'!$N1177&lt;$Z$3,0, '0.0%'!$S1177/'0.0%'!$N1177)</f>
        <v>1.1267127910901114</v>
      </c>
    </row>
    <row r="1178" spans="1:25" x14ac:dyDescent="0.3">
      <c r="A1178" s="17">
        <v>1236.5999999999999</v>
      </c>
      <c r="B1178" s="10">
        <v>17942.900000000001</v>
      </c>
      <c r="C1178" s="9">
        <v>1236.5999999999999</v>
      </c>
      <c r="D1178" s="10">
        <v>19211.7</v>
      </c>
      <c r="E1178" s="11">
        <v>1236.5999999999999</v>
      </c>
      <c r="F1178" s="12">
        <v>19416.3</v>
      </c>
      <c r="G1178" s="11">
        <v>1236.5999999999999</v>
      </c>
      <c r="H1178" s="12">
        <v>19691.3</v>
      </c>
      <c r="I1178" s="11">
        <v>1236.5999999999999</v>
      </c>
      <c r="J1178" s="12">
        <v>19227.2</v>
      </c>
      <c r="K1178" s="11">
        <v>1236.5999999999999</v>
      </c>
      <c r="L1178" s="12">
        <v>20206.2</v>
      </c>
      <c r="M1178" s="11">
        <v>1236.5999999999999</v>
      </c>
      <c r="N1178" s="13">
        <v>17942.900000000001</v>
      </c>
      <c r="O1178" s="13">
        <v>19211.7</v>
      </c>
      <c r="P1178" s="13">
        <v>19416.3</v>
      </c>
      <c r="Q1178" s="11">
        <v>19691.3</v>
      </c>
      <c r="R1178" s="11">
        <v>19227.2</v>
      </c>
      <c r="S1178" s="14">
        <v>20206.2</v>
      </c>
      <c r="T1178" s="11">
        <v>1236.5999999999999</v>
      </c>
      <c r="U1178" s="13">
        <f>IF('0.0%'!$N1178&lt;$Z$3,0, '0.0%'!$O1178/'0.0%'!$N1178)</f>
        <v>1.0707132068952063</v>
      </c>
      <c r="V1178" s="13">
        <f>IF('0.0%'!$N1178&lt;$Z$3,0, '0.0%'!$P1178/'0.0%'!$N1178)</f>
        <v>1.0821160459011641</v>
      </c>
      <c r="W1178" s="13">
        <f>IF('0.0%'!$N1178&lt;$Z$3,0, '0.0%'!$Q1178/'0.0%'!$N1178)</f>
        <v>1.0974424424145481</v>
      </c>
      <c r="X1178" s="13">
        <f>IF('0.0%'!$N1178&lt;$Z$3,0, '0.0%'!$R1178/'0.0%'!$N1178)</f>
        <v>1.0715770583350517</v>
      </c>
      <c r="Y1178" s="13">
        <f>IF('0.0%'!$N1178&lt;$Z$3,0, '0.0%'!$S1178/'0.0%'!$N1178)</f>
        <v>1.1261390299226992</v>
      </c>
    </row>
    <row r="1179" spans="1:25" x14ac:dyDescent="0.3">
      <c r="A1179" s="17">
        <v>1237.5899999999999</v>
      </c>
      <c r="B1179" s="10">
        <v>18096.599999999999</v>
      </c>
      <c r="C1179" s="9">
        <v>1237.5899999999999</v>
      </c>
      <c r="D1179" s="10">
        <v>19371.2</v>
      </c>
      <c r="E1179" s="11">
        <v>1237.5899999999999</v>
      </c>
      <c r="F1179" s="12">
        <v>19575.8</v>
      </c>
      <c r="G1179" s="11">
        <v>1237.5899999999999</v>
      </c>
      <c r="H1179" s="12">
        <v>19852.5</v>
      </c>
      <c r="I1179" s="11">
        <v>1237.5899999999999</v>
      </c>
      <c r="J1179" s="12">
        <v>19395.8</v>
      </c>
      <c r="K1179" s="11">
        <v>1237.5899999999999</v>
      </c>
      <c r="L1179" s="12">
        <v>20369.5</v>
      </c>
      <c r="M1179" s="11">
        <v>1237.5899999999999</v>
      </c>
      <c r="N1179" s="13">
        <v>18096.599999999999</v>
      </c>
      <c r="O1179" s="13">
        <v>19371.2</v>
      </c>
      <c r="P1179" s="13">
        <v>19575.8</v>
      </c>
      <c r="Q1179" s="11">
        <v>19852.5</v>
      </c>
      <c r="R1179" s="11">
        <v>19395.8</v>
      </c>
      <c r="S1179" s="14">
        <v>20369.5</v>
      </c>
      <c r="T1179" s="11">
        <v>1237.5899999999999</v>
      </c>
      <c r="U1179" s="13">
        <f>IF('0.0%'!$N1179&lt;$Z$3,0, '0.0%'!$O1179/'0.0%'!$N1179)</f>
        <v>1.0704331200335977</v>
      </c>
      <c r="V1179" s="13">
        <f>IF('0.0%'!$N1179&lt;$Z$3,0, '0.0%'!$P1179/'0.0%'!$N1179)</f>
        <v>1.0817391112142614</v>
      </c>
      <c r="W1179" s="13">
        <f>IF('0.0%'!$N1179&lt;$Z$3,0, '0.0%'!$Q1179/'0.0%'!$N1179)</f>
        <v>1.0970292762176321</v>
      </c>
      <c r="X1179" s="13">
        <f>IF('0.0%'!$N1179&lt;$Z$3,0, '0.0%'!$R1179/'0.0%'!$N1179)</f>
        <v>1.0717924914072257</v>
      </c>
      <c r="Y1179" s="13">
        <f>IF('0.0%'!$N1179&lt;$Z$3,0, '0.0%'!$S1179/'0.0%'!$N1179)</f>
        <v>1.1255981786633955</v>
      </c>
    </row>
    <row r="1180" spans="1:25" x14ac:dyDescent="0.3">
      <c r="A1180" s="17">
        <v>1238.58</v>
      </c>
      <c r="B1180" s="10">
        <v>18256.8</v>
      </c>
      <c r="C1180" s="9">
        <v>1238.58</v>
      </c>
      <c r="D1180" s="10">
        <v>19537</v>
      </c>
      <c r="E1180" s="11">
        <v>1238.58</v>
      </c>
      <c r="F1180" s="12">
        <v>19741.599999999999</v>
      </c>
      <c r="G1180" s="11">
        <v>1238.58</v>
      </c>
      <c r="H1180" s="12">
        <v>20019.3</v>
      </c>
      <c r="I1180" s="11">
        <v>1238.58</v>
      </c>
      <c r="J1180" s="12">
        <v>19570.3</v>
      </c>
      <c r="K1180" s="11">
        <v>1238.58</v>
      </c>
      <c r="L1180" s="12">
        <v>20538.7</v>
      </c>
      <c r="M1180" s="11">
        <v>1238.58</v>
      </c>
      <c r="N1180" s="13">
        <v>18256.8</v>
      </c>
      <c r="O1180" s="13">
        <v>19537</v>
      </c>
      <c r="P1180" s="13">
        <v>19741.599999999999</v>
      </c>
      <c r="Q1180" s="11">
        <v>20019.3</v>
      </c>
      <c r="R1180" s="11">
        <v>19570.3</v>
      </c>
      <c r="S1180" s="14">
        <v>20538.7</v>
      </c>
      <c r="T1180" s="11">
        <v>1238.58</v>
      </c>
      <c r="U1180" s="13">
        <f>IF('0.0%'!$N1180&lt;$Z$3,0, '0.0%'!$O1180/'0.0%'!$N1180)</f>
        <v>1.0701218176241183</v>
      </c>
      <c r="V1180" s="13">
        <f>IF('0.0%'!$N1180&lt;$Z$3,0, '0.0%'!$P1180/'0.0%'!$N1180)</f>
        <v>1.0813286008500942</v>
      </c>
      <c r="W1180" s="13">
        <f>IF('0.0%'!$N1180&lt;$Z$3,0, '0.0%'!$Q1180/'0.0%'!$N1180)</f>
        <v>1.096539371631392</v>
      </c>
      <c r="X1180" s="13">
        <f>IF('0.0%'!$N1180&lt;$Z$3,0, '0.0%'!$R1180/'0.0%'!$N1180)</f>
        <v>1.0719457955391964</v>
      </c>
      <c r="Y1180" s="13">
        <f>IF('0.0%'!$N1180&lt;$Z$3,0, '0.0%'!$S1180/'0.0%'!$N1180)</f>
        <v>1.1249890451776874</v>
      </c>
    </row>
    <row r="1181" spans="1:25" x14ac:dyDescent="0.3">
      <c r="A1181" s="17">
        <v>1239.57</v>
      </c>
      <c r="B1181" s="10">
        <v>18404.599999999999</v>
      </c>
      <c r="C1181" s="9">
        <v>1239.57</v>
      </c>
      <c r="D1181" s="10">
        <v>19689.8</v>
      </c>
      <c r="E1181" s="11">
        <v>1239.57</v>
      </c>
      <c r="F1181" s="12">
        <v>19894.2</v>
      </c>
      <c r="G1181" s="11">
        <v>1239.57</v>
      </c>
      <c r="H1181" s="12">
        <v>20173</v>
      </c>
      <c r="I1181" s="11">
        <v>1239.57</v>
      </c>
      <c r="J1181" s="12">
        <v>19730.8</v>
      </c>
      <c r="K1181" s="11">
        <v>1239.57</v>
      </c>
      <c r="L1181" s="12">
        <v>20695.2</v>
      </c>
      <c r="M1181" s="11">
        <v>1239.57</v>
      </c>
      <c r="N1181" s="13">
        <v>18404.599999999999</v>
      </c>
      <c r="O1181" s="13">
        <v>19689.8</v>
      </c>
      <c r="P1181" s="13">
        <v>19894.2</v>
      </c>
      <c r="Q1181" s="11">
        <v>20173</v>
      </c>
      <c r="R1181" s="11">
        <v>19730.8</v>
      </c>
      <c r="S1181" s="14">
        <v>20695.2</v>
      </c>
      <c r="T1181" s="11">
        <v>1239.57</v>
      </c>
      <c r="U1181" s="13">
        <f>IF('0.0%'!$N1181&lt;$Z$3,0, '0.0%'!$O1181/'0.0%'!$N1181)</f>
        <v>1.0698303684948329</v>
      </c>
      <c r="V1181" s="13">
        <f>IF('0.0%'!$N1181&lt;$Z$3,0, '0.0%'!$P1181/'0.0%'!$N1181)</f>
        <v>1.0809362876672137</v>
      </c>
      <c r="W1181" s="13">
        <f>IF('0.0%'!$N1181&lt;$Z$3,0, '0.0%'!$Q1181/'0.0%'!$N1181)</f>
        <v>1.0960846744835531</v>
      </c>
      <c r="X1181" s="13">
        <f>IF('0.0%'!$N1181&lt;$Z$3,0, '0.0%'!$R1181/'0.0%'!$N1181)</f>
        <v>1.0720580724384121</v>
      </c>
      <c r="Y1181" s="13">
        <f>IF('0.0%'!$N1181&lt;$Z$3,0, '0.0%'!$S1181/'0.0%'!$N1181)</f>
        <v>1.1244580159308</v>
      </c>
    </row>
    <row r="1182" spans="1:25" x14ac:dyDescent="0.3">
      <c r="A1182" s="17">
        <v>1240.56</v>
      </c>
      <c r="B1182" s="10">
        <v>18557.5</v>
      </c>
      <c r="C1182" s="9">
        <v>1240.56</v>
      </c>
      <c r="D1182" s="10">
        <v>19847.3</v>
      </c>
      <c r="E1182" s="11">
        <v>1240.56</v>
      </c>
      <c r="F1182" s="12">
        <v>20051.599999999999</v>
      </c>
      <c r="G1182" s="11">
        <v>1240.56</v>
      </c>
      <c r="H1182" s="12">
        <v>20331.400000000001</v>
      </c>
      <c r="I1182" s="11">
        <v>1240.56</v>
      </c>
      <c r="J1182" s="12">
        <v>19895.8</v>
      </c>
      <c r="K1182" s="11">
        <v>1240.56</v>
      </c>
      <c r="L1182" s="12">
        <v>20856</v>
      </c>
      <c r="M1182" s="11">
        <v>1240.56</v>
      </c>
      <c r="N1182" s="13">
        <v>18557.5</v>
      </c>
      <c r="O1182" s="13">
        <v>19847.3</v>
      </c>
      <c r="P1182" s="13">
        <v>20051.599999999999</v>
      </c>
      <c r="Q1182" s="11">
        <v>20331.400000000001</v>
      </c>
      <c r="R1182" s="11">
        <v>19895.8</v>
      </c>
      <c r="S1182" s="14">
        <v>20856</v>
      </c>
      <c r="T1182" s="11">
        <v>1240.56</v>
      </c>
      <c r="U1182" s="13">
        <f>IF('0.0%'!$N1182&lt;$Z$3,0, '0.0%'!$O1182/'0.0%'!$N1182)</f>
        <v>1.0695028964030715</v>
      </c>
      <c r="V1182" s="13">
        <f>IF('0.0%'!$N1182&lt;$Z$3,0, '0.0%'!$P1182/'0.0%'!$N1182)</f>
        <v>1.0805119224033408</v>
      </c>
      <c r="W1182" s="13">
        <f>IF('0.0%'!$N1182&lt;$Z$3,0, '0.0%'!$Q1182/'0.0%'!$N1182)</f>
        <v>1.0955893843459519</v>
      </c>
      <c r="X1182" s="13">
        <f>IF('0.0%'!$N1182&lt;$Z$3,0, '0.0%'!$R1182/'0.0%'!$N1182)</f>
        <v>1.072116394988549</v>
      </c>
      <c r="Y1182" s="13">
        <f>IF('0.0%'!$N1182&lt;$Z$3,0, '0.0%'!$S1182/'0.0%'!$N1182)</f>
        <v>1.1238582783241278</v>
      </c>
    </row>
    <row r="1183" spans="1:25" x14ac:dyDescent="0.3">
      <c r="A1183" s="17">
        <v>1241.55</v>
      </c>
      <c r="B1183" s="10">
        <v>18699.599999999999</v>
      </c>
      <c r="C1183" s="9">
        <v>1241.55</v>
      </c>
      <c r="D1183" s="10">
        <v>19993.3</v>
      </c>
      <c r="E1183" s="11">
        <v>1241.55</v>
      </c>
      <c r="F1183" s="12">
        <v>20197.599999999999</v>
      </c>
      <c r="G1183" s="11">
        <v>1241.55</v>
      </c>
      <c r="H1183" s="12">
        <v>20477.599999999999</v>
      </c>
      <c r="I1183" s="11">
        <v>1241.55</v>
      </c>
      <c r="J1183" s="12">
        <v>20048.099999999999</v>
      </c>
      <c r="K1183" s="11">
        <v>1241.55</v>
      </c>
      <c r="L1183" s="12">
        <v>21005.3</v>
      </c>
      <c r="M1183" s="11">
        <v>1241.55</v>
      </c>
      <c r="N1183" s="13">
        <v>18699.599999999999</v>
      </c>
      <c r="O1183" s="13">
        <v>19993.3</v>
      </c>
      <c r="P1183" s="13">
        <v>20197.599999999999</v>
      </c>
      <c r="Q1183" s="11">
        <v>20477.599999999999</v>
      </c>
      <c r="R1183" s="11">
        <v>20048.099999999999</v>
      </c>
      <c r="S1183" s="14">
        <v>21005.3</v>
      </c>
      <c r="T1183" s="11">
        <v>1241.55</v>
      </c>
      <c r="U1183" s="13">
        <f>IF('0.0%'!$N1183&lt;$Z$3,0, '0.0%'!$O1183/'0.0%'!$N1183)</f>
        <v>1.0691832980384608</v>
      </c>
      <c r="V1183" s="13">
        <f>IF('0.0%'!$N1183&lt;$Z$3,0, '0.0%'!$P1183/'0.0%'!$N1183)</f>
        <v>1.0801086654259984</v>
      </c>
      <c r="W1183" s="13">
        <f>IF('0.0%'!$N1183&lt;$Z$3,0, '0.0%'!$Q1183/'0.0%'!$N1183)</f>
        <v>1.0950822477486148</v>
      </c>
      <c r="X1183" s="13">
        <f>IF('0.0%'!$N1183&lt;$Z$3,0, '0.0%'!$R1183/'0.0%'!$N1183)</f>
        <v>1.0721138420073157</v>
      </c>
      <c r="Y1183" s="13">
        <f>IF('0.0%'!$N1183&lt;$Z$3,0, '0.0%'!$S1183/'0.0%'!$N1183)</f>
        <v>1.1233021027187748</v>
      </c>
    </row>
    <row r="1184" spans="1:25" x14ac:dyDescent="0.3">
      <c r="A1184" s="17">
        <v>1242.55</v>
      </c>
      <c r="B1184" s="10">
        <v>18847.2</v>
      </c>
      <c r="C1184" s="9">
        <v>1242.55</v>
      </c>
      <c r="D1184" s="10">
        <v>20144.5</v>
      </c>
      <c r="E1184" s="11">
        <v>1242.55</v>
      </c>
      <c r="F1184" s="12">
        <v>20348.7</v>
      </c>
      <c r="G1184" s="11">
        <v>1242.55</v>
      </c>
      <c r="H1184" s="12">
        <v>20628.3</v>
      </c>
      <c r="I1184" s="11">
        <v>1242.55</v>
      </c>
      <c r="J1184" s="12">
        <v>20205.400000000001</v>
      </c>
      <c r="K1184" s="11">
        <v>1242.55</v>
      </c>
      <c r="L1184" s="12">
        <v>21159.7</v>
      </c>
      <c r="M1184" s="11">
        <v>1242.55</v>
      </c>
      <c r="N1184" s="13">
        <v>18847.2</v>
      </c>
      <c r="O1184" s="13">
        <v>20144.5</v>
      </c>
      <c r="P1184" s="13">
        <v>20348.7</v>
      </c>
      <c r="Q1184" s="11">
        <v>20628.3</v>
      </c>
      <c r="R1184" s="11">
        <v>20205.400000000001</v>
      </c>
      <c r="S1184" s="14">
        <v>21159.7</v>
      </c>
      <c r="T1184" s="11">
        <v>1242.55</v>
      </c>
      <c r="U1184" s="13">
        <f>IF('0.0%'!$N1184&lt;$Z$3,0, '0.0%'!$O1184/'0.0%'!$N1184)</f>
        <v>1.0688325056241776</v>
      </c>
      <c r="V1184" s="13">
        <f>IF('0.0%'!$N1184&lt;$Z$3,0, '0.0%'!$P1184/'0.0%'!$N1184)</f>
        <v>1.0796670062396536</v>
      </c>
      <c r="W1184" s="13">
        <f>IF('0.0%'!$N1184&lt;$Z$3,0, '0.0%'!$Q1184/'0.0%'!$N1184)</f>
        <v>1.0945021011078568</v>
      </c>
      <c r="X1184" s="13">
        <f>IF('0.0%'!$N1184&lt;$Z$3,0, '0.0%'!$R1184/'0.0%'!$N1184)</f>
        <v>1.0720637548283034</v>
      </c>
      <c r="Y1184" s="13">
        <f>IF('0.0%'!$N1184&lt;$Z$3,0, '0.0%'!$S1184/'0.0%'!$N1184)</f>
        <v>1.1226972706821172</v>
      </c>
    </row>
    <row r="1185" spans="1:25" x14ac:dyDescent="0.3">
      <c r="A1185" s="17">
        <v>1243.54</v>
      </c>
      <c r="B1185" s="10">
        <v>18981.900000000001</v>
      </c>
      <c r="C1185" s="9">
        <v>1243.54</v>
      </c>
      <c r="D1185" s="10">
        <v>20282.3</v>
      </c>
      <c r="E1185" s="11">
        <v>1243.54</v>
      </c>
      <c r="F1185" s="12">
        <v>20486.599999999999</v>
      </c>
      <c r="G1185" s="11">
        <v>1243.54</v>
      </c>
      <c r="H1185" s="12">
        <v>20765.2</v>
      </c>
      <c r="I1185" s="11">
        <v>1243.54</v>
      </c>
      <c r="J1185" s="12">
        <v>20348.7</v>
      </c>
      <c r="K1185" s="11">
        <v>1243.54</v>
      </c>
      <c r="L1185" s="12">
        <v>21301.1</v>
      </c>
      <c r="M1185" s="11">
        <v>1243.54</v>
      </c>
      <c r="N1185" s="13">
        <v>18981.900000000001</v>
      </c>
      <c r="O1185" s="13">
        <v>20282.3</v>
      </c>
      <c r="P1185" s="13">
        <v>20486.599999999999</v>
      </c>
      <c r="Q1185" s="11">
        <v>20765.2</v>
      </c>
      <c r="R1185" s="11">
        <v>20348.7</v>
      </c>
      <c r="S1185" s="14">
        <v>21301.1</v>
      </c>
      <c r="T1185" s="11">
        <v>1243.54</v>
      </c>
      <c r="U1185" s="13">
        <f>IF('0.0%'!$N1185&lt;$Z$3,0, '0.0%'!$O1185/'0.0%'!$N1185)</f>
        <v>1.0685073675448715</v>
      </c>
      <c r="V1185" s="13">
        <f>IF('0.0%'!$N1185&lt;$Z$3,0, '0.0%'!$P1185/'0.0%'!$N1185)</f>
        <v>1.0792702521876101</v>
      </c>
      <c r="W1185" s="13">
        <f>IF('0.0%'!$N1185&lt;$Z$3,0, '0.0%'!$Q1185/'0.0%'!$N1185)</f>
        <v>1.0939473919892106</v>
      </c>
      <c r="X1185" s="13">
        <f>IF('0.0%'!$N1185&lt;$Z$3,0, '0.0%'!$R1185/'0.0%'!$N1185)</f>
        <v>1.0720054367581748</v>
      </c>
      <c r="Y1185" s="13">
        <f>IF('0.0%'!$N1185&lt;$Z$3,0, '0.0%'!$S1185/'0.0%'!$N1185)</f>
        <v>1.122179549992361</v>
      </c>
    </row>
    <row r="1186" spans="1:25" x14ac:dyDescent="0.3">
      <c r="A1186" s="17">
        <v>1244.53</v>
      </c>
      <c r="B1186" s="10">
        <v>19121</v>
      </c>
      <c r="C1186" s="9">
        <v>1244.53</v>
      </c>
      <c r="D1186" s="10">
        <v>20423.7</v>
      </c>
      <c r="E1186" s="11">
        <v>1244.53</v>
      </c>
      <c r="F1186" s="12">
        <v>20628.3</v>
      </c>
      <c r="G1186" s="11">
        <v>1244.53</v>
      </c>
      <c r="H1186" s="12">
        <v>20905.5</v>
      </c>
      <c r="I1186" s="11">
        <v>1244.53</v>
      </c>
      <c r="J1186" s="12">
        <v>20495.099999999999</v>
      </c>
      <c r="K1186" s="11">
        <v>1244.53</v>
      </c>
      <c r="L1186" s="12">
        <v>21445.599999999999</v>
      </c>
      <c r="M1186" s="11">
        <v>1244.53</v>
      </c>
      <c r="N1186" s="13">
        <v>19121</v>
      </c>
      <c r="O1186" s="13">
        <v>20423.7</v>
      </c>
      <c r="P1186" s="13">
        <v>20628.3</v>
      </c>
      <c r="Q1186" s="11">
        <v>20905.5</v>
      </c>
      <c r="R1186" s="11">
        <v>20495.099999999999</v>
      </c>
      <c r="S1186" s="14">
        <v>21445.599999999999</v>
      </c>
      <c r="T1186" s="11">
        <v>1244.53</v>
      </c>
      <c r="U1186" s="13">
        <f>IF('0.0%'!$N1186&lt;$Z$3,0, '0.0%'!$O1186/'0.0%'!$N1186)</f>
        <v>1.0681292819413211</v>
      </c>
      <c r="V1186" s="13">
        <f>IF('0.0%'!$N1186&lt;$Z$3,0, '0.0%'!$P1186/'0.0%'!$N1186)</f>
        <v>1.0788295591234767</v>
      </c>
      <c r="W1186" s="13">
        <f>IF('0.0%'!$N1186&lt;$Z$3,0, '0.0%'!$Q1186/'0.0%'!$N1186)</f>
        <v>1.0933267088541394</v>
      </c>
      <c r="X1186" s="13">
        <f>IF('0.0%'!$N1186&lt;$Z$3,0, '0.0%'!$R1186/'0.0%'!$N1186)</f>
        <v>1.0718633962658857</v>
      </c>
      <c r="Y1186" s="13">
        <f>IF('0.0%'!$N1186&lt;$Z$3,0, '0.0%'!$S1186/'0.0%'!$N1186)</f>
        <v>1.1215731394801527</v>
      </c>
    </row>
    <row r="1187" spans="1:25" x14ac:dyDescent="0.3">
      <c r="A1187" s="17">
        <v>1245.52</v>
      </c>
      <c r="B1187" s="10">
        <v>19248.7</v>
      </c>
      <c r="C1187" s="9">
        <v>1245.52</v>
      </c>
      <c r="D1187" s="10">
        <v>20553.3</v>
      </c>
      <c r="E1187" s="11">
        <v>1245.52</v>
      </c>
      <c r="F1187" s="12">
        <v>20758.5</v>
      </c>
      <c r="G1187" s="11">
        <v>1245.52</v>
      </c>
      <c r="H1187" s="12">
        <v>21034.2</v>
      </c>
      <c r="I1187" s="11">
        <v>1245.52</v>
      </c>
      <c r="J1187" s="12">
        <v>20629.3</v>
      </c>
      <c r="K1187" s="11">
        <v>1245.52</v>
      </c>
      <c r="L1187" s="12">
        <v>21578.7</v>
      </c>
      <c r="M1187" s="11">
        <v>1245.52</v>
      </c>
      <c r="N1187" s="13">
        <v>19248.7</v>
      </c>
      <c r="O1187" s="13">
        <v>20553.3</v>
      </c>
      <c r="P1187" s="13">
        <v>20758.5</v>
      </c>
      <c r="Q1187" s="11">
        <v>21034.2</v>
      </c>
      <c r="R1187" s="11">
        <v>20629.3</v>
      </c>
      <c r="S1187" s="14">
        <v>21578.7</v>
      </c>
      <c r="T1187" s="11">
        <v>1245.52</v>
      </c>
      <c r="U1187" s="13">
        <f>IF('0.0%'!$N1187&lt;$Z$3,0, '0.0%'!$O1187/'0.0%'!$N1187)</f>
        <v>1.0677760056523298</v>
      </c>
      <c r="V1187" s="13">
        <f>IF('0.0%'!$N1187&lt;$Z$3,0, '0.0%'!$P1187/'0.0%'!$N1187)</f>
        <v>1.0784364658392513</v>
      </c>
      <c r="W1187" s="13">
        <f>IF('0.0%'!$N1187&lt;$Z$3,0, '0.0%'!$Q1187/'0.0%'!$N1187)</f>
        <v>1.0927595110319139</v>
      </c>
      <c r="X1187" s="13">
        <f>IF('0.0%'!$N1187&lt;$Z$3,0, '0.0%'!$R1187/'0.0%'!$N1187)</f>
        <v>1.0717243242400785</v>
      </c>
      <c r="Y1187" s="13">
        <f>IF('0.0%'!$N1187&lt;$Z$3,0, '0.0%'!$S1187/'0.0%'!$N1187)</f>
        <v>1.1210471356507192</v>
      </c>
    </row>
    <row r="1188" spans="1:25" x14ac:dyDescent="0.3">
      <c r="A1188" s="17">
        <v>1246.51</v>
      </c>
      <c r="B1188" s="10">
        <v>19385</v>
      </c>
      <c r="C1188" s="9">
        <v>1246.51</v>
      </c>
      <c r="D1188" s="10">
        <v>20691.599999999999</v>
      </c>
      <c r="E1188" s="11">
        <v>1246.51</v>
      </c>
      <c r="F1188" s="12">
        <v>20897.5</v>
      </c>
      <c r="G1188" s="11">
        <v>1246.51</v>
      </c>
      <c r="H1188" s="12">
        <v>21171.3</v>
      </c>
      <c r="I1188" s="11">
        <v>1246.51</v>
      </c>
      <c r="J1188" s="12">
        <v>20772.400000000001</v>
      </c>
      <c r="K1188" s="11">
        <v>1246.51</v>
      </c>
      <c r="L1188" s="12">
        <v>21720.9</v>
      </c>
      <c r="M1188" s="11">
        <v>1246.51</v>
      </c>
      <c r="N1188" s="13">
        <v>19385</v>
      </c>
      <c r="O1188" s="13">
        <v>20691.599999999999</v>
      </c>
      <c r="P1188" s="13">
        <v>20897.5</v>
      </c>
      <c r="Q1188" s="11">
        <v>21171.3</v>
      </c>
      <c r="R1188" s="11">
        <v>20772.400000000001</v>
      </c>
      <c r="S1188" s="14">
        <v>21720.9</v>
      </c>
      <c r="T1188" s="11">
        <v>1246.51</v>
      </c>
      <c r="U1188" s="13">
        <f>IF('0.0%'!$N1188&lt;$Z$3,0, '0.0%'!$O1188/'0.0%'!$N1188)</f>
        <v>1.0674026309001805</v>
      </c>
      <c r="V1188" s="13">
        <f>IF('0.0%'!$N1188&lt;$Z$3,0, '0.0%'!$P1188/'0.0%'!$N1188)</f>
        <v>1.0780242455506834</v>
      </c>
      <c r="W1188" s="13">
        <f>IF('0.0%'!$N1188&lt;$Z$3,0, '0.0%'!$Q1188/'0.0%'!$N1188)</f>
        <v>1.0921485684807841</v>
      </c>
      <c r="X1188" s="13">
        <f>IF('0.0%'!$N1188&lt;$Z$3,0, '0.0%'!$R1188/'0.0%'!$N1188)</f>
        <v>1.0715708021666237</v>
      </c>
      <c r="Y1188" s="13">
        <f>IF('0.0%'!$N1188&lt;$Z$3,0, '0.0%'!$S1188/'0.0%'!$N1188)</f>
        <v>1.1205003868970855</v>
      </c>
    </row>
    <row r="1189" spans="1:25" x14ac:dyDescent="0.3">
      <c r="A1189" s="17">
        <v>1247.5</v>
      </c>
      <c r="B1189" s="10">
        <v>19512.099999999999</v>
      </c>
      <c r="C1189" s="9">
        <v>1247.5</v>
      </c>
      <c r="D1189" s="10">
        <v>20820.5</v>
      </c>
      <c r="E1189" s="11">
        <v>1247.5</v>
      </c>
      <c r="F1189" s="12">
        <v>21027.599999999999</v>
      </c>
      <c r="G1189" s="11">
        <v>1247.5</v>
      </c>
      <c r="H1189" s="12">
        <v>21299.200000000001</v>
      </c>
      <c r="I1189" s="11">
        <v>1247.5</v>
      </c>
      <c r="J1189" s="12">
        <v>20906</v>
      </c>
      <c r="K1189" s="11">
        <v>1247.5</v>
      </c>
      <c r="L1189" s="12">
        <v>21854</v>
      </c>
      <c r="M1189" s="11">
        <v>1247.5</v>
      </c>
      <c r="N1189" s="13">
        <v>19512.099999999999</v>
      </c>
      <c r="O1189" s="13">
        <v>20820.5</v>
      </c>
      <c r="P1189" s="13">
        <v>21027.599999999999</v>
      </c>
      <c r="Q1189" s="11">
        <v>21299.200000000001</v>
      </c>
      <c r="R1189" s="11">
        <v>20906</v>
      </c>
      <c r="S1189" s="14">
        <v>21854</v>
      </c>
      <c r="T1189" s="11">
        <v>1247.5</v>
      </c>
      <c r="U1189" s="13">
        <f>IF('0.0%'!$N1189&lt;$Z$3,0, '0.0%'!$O1189/'0.0%'!$N1189)</f>
        <v>1.0670558268971562</v>
      </c>
      <c r="V1189" s="13">
        <f>IF('0.0%'!$N1189&lt;$Z$3,0, '0.0%'!$P1189/'0.0%'!$N1189)</f>
        <v>1.077669753640049</v>
      </c>
      <c r="W1189" s="13">
        <f>IF('0.0%'!$N1189&lt;$Z$3,0, '0.0%'!$Q1189/'0.0%'!$N1189)</f>
        <v>1.0915893214979424</v>
      </c>
      <c r="X1189" s="13">
        <f>IF('0.0%'!$N1189&lt;$Z$3,0, '0.0%'!$R1189/'0.0%'!$N1189)</f>
        <v>1.071437723258901</v>
      </c>
      <c r="Y1189" s="13">
        <f>IF('0.0%'!$N1189&lt;$Z$3,0, '0.0%'!$S1189/'0.0%'!$N1189)</f>
        <v>1.1200229601119307</v>
      </c>
    </row>
    <row r="1190" spans="1:25" x14ac:dyDescent="0.3">
      <c r="A1190" s="17">
        <v>1248.5</v>
      </c>
      <c r="B1190" s="10">
        <v>19646.400000000001</v>
      </c>
      <c r="C1190" s="9">
        <v>1248.5</v>
      </c>
      <c r="D1190" s="10">
        <v>20956.5</v>
      </c>
      <c r="E1190" s="11">
        <v>1248.5</v>
      </c>
      <c r="F1190" s="12">
        <v>21165.1</v>
      </c>
      <c r="G1190" s="11">
        <v>1248.5</v>
      </c>
      <c r="H1190" s="12">
        <v>21433.9</v>
      </c>
      <c r="I1190" s="11">
        <v>1248.5</v>
      </c>
      <c r="J1190" s="12">
        <v>21046.5</v>
      </c>
      <c r="K1190" s="11">
        <v>1248.5</v>
      </c>
      <c r="L1190" s="12">
        <v>21993.3</v>
      </c>
      <c r="M1190" s="11">
        <v>1248.5</v>
      </c>
      <c r="N1190" s="13">
        <v>19646.400000000001</v>
      </c>
      <c r="O1190" s="13">
        <v>20956.5</v>
      </c>
      <c r="P1190" s="13">
        <v>21165.1</v>
      </c>
      <c r="Q1190" s="11">
        <v>21433.9</v>
      </c>
      <c r="R1190" s="11">
        <v>21046.5</v>
      </c>
      <c r="S1190" s="14">
        <v>21993.3</v>
      </c>
      <c r="T1190" s="11">
        <v>1248.5</v>
      </c>
      <c r="U1190" s="13">
        <f>IF('0.0%'!$N1190&lt;$Z$3,0, '0.0%'!$O1190/'0.0%'!$N1190)</f>
        <v>1.0666839726362081</v>
      </c>
      <c r="V1190" s="13">
        <f>IF('0.0%'!$N1190&lt;$Z$3,0, '0.0%'!$P1190/'0.0%'!$N1190)</f>
        <v>1.0773016939490185</v>
      </c>
      <c r="W1190" s="13">
        <f>IF('0.0%'!$N1190&lt;$Z$3,0, '0.0%'!$Q1190/'0.0%'!$N1190)</f>
        <v>1.0909835898688818</v>
      </c>
      <c r="X1190" s="13">
        <f>IF('0.0%'!$N1190&lt;$Z$3,0, '0.0%'!$R1190/'0.0%'!$N1190)</f>
        <v>1.0712649645736623</v>
      </c>
      <c r="Y1190" s="13">
        <f>IF('0.0%'!$N1190&lt;$Z$3,0, '0.0%'!$S1190/'0.0%'!$N1190)</f>
        <v>1.1194569997556802</v>
      </c>
    </row>
    <row r="1191" spans="1:25" x14ac:dyDescent="0.3">
      <c r="A1191" s="17">
        <v>1249.49</v>
      </c>
      <c r="B1191" s="10">
        <v>19770.3</v>
      </c>
      <c r="C1191" s="9">
        <v>1249.49</v>
      </c>
      <c r="D1191" s="10">
        <v>21082</v>
      </c>
      <c r="E1191" s="11">
        <v>1249.49</v>
      </c>
      <c r="F1191" s="12">
        <v>21292.7</v>
      </c>
      <c r="G1191" s="11">
        <v>1249.49</v>
      </c>
      <c r="H1191" s="12">
        <v>21558</v>
      </c>
      <c r="I1191" s="11">
        <v>1249.49</v>
      </c>
      <c r="J1191" s="12">
        <v>21176</v>
      </c>
      <c r="K1191" s="11">
        <v>1249.49</v>
      </c>
      <c r="L1191" s="12">
        <v>22122.3</v>
      </c>
      <c r="M1191" s="11">
        <v>1249.49</v>
      </c>
      <c r="N1191" s="13">
        <v>19770.3</v>
      </c>
      <c r="O1191" s="13">
        <v>21082</v>
      </c>
      <c r="P1191" s="13">
        <v>21292.7</v>
      </c>
      <c r="Q1191" s="11">
        <v>21558</v>
      </c>
      <c r="R1191" s="11">
        <v>21176</v>
      </c>
      <c r="S1191" s="14">
        <v>22122.3</v>
      </c>
      <c r="T1191" s="11">
        <v>1249.49</v>
      </c>
      <c r="U1191" s="13">
        <f>IF('0.0%'!$N1191&lt;$Z$3,0, '0.0%'!$O1191/'0.0%'!$N1191)</f>
        <v>1.0663469952403353</v>
      </c>
      <c r="V1191" s="13">
        <f>IF('0.0%'!$N1191&lt;$Z$3,0, '0.0%'!$P1191/'0.0%'!$N1191)</f>
        <v>1.0770043954821122</v>
      </c>
      <c r="W1191" s="13">
        <f>IF('0.0%'!$N1191&lt;$Z$3,0, '0.0%'!$Q1191/'0.0%'!$N1191)</f>
        <v>1.0904235140589673</v>
      </c>
      <c r="X1191" s="13">
        <f>IF('0.0%'!$N1191&lt;$Z$3,0, '0.0%'!$R1191/'0.0%'!$N1191)</f>
        <v>1.0711016018977961</v>
      </c>
      <c r="Y1191" s="13">
        <f>IF('0.0%'!$N1191&lt;$Z$3,0, '0.0%'!$S1191/'0.0%'!$N1191)</f>
        <v>1.1189663282802993</v>
      </c>
    </row>
    <row r="1192" spans="1:25" x14ac:dyDescent="0.3">
      <c r="A1192" s="17">
        <v>1250.48</v>
      </c>
      <c r="B1192" s="10">
        <v>19901.400000000001</v>
      </c>
      <c r="C1192" s="9">
        <v>1250.48</v>
      </c>
      <c r="D1192" s="10">
        <v>21214</v>
      </c>
      <c r="E1192" s="11">
        <v>1250.48</v>
      </c>
      <c r="F1192" s="12">
        <v>21427.599999999999</v>
      </c>
      <c r="G1192" s="11">
        <v>1250.48</v>
      </c>
      <c r="H1192" s="12">
        <v>21689.1</v>
      </c>
      <c r="I1192" s="11">
        <v>1250.48</v>
      </c>
      <c r="J1192" s="12">
        <v>21311.7</v>
      </c>
      <c r="K1192" s="11">
        <v>1250.48</v>
      </c>
      <c r="L1192" s="12">
        <v>22257.9</v>
      </c>
      <c r="M1192" s="11">
        <v>1250.48</v>
      </c>
      <c r="N1192" s="13">
        <v>19901.400000000001</v>
      </c>
      <c r="O1192" s="13">
        <v>21214</v>
      </c>
      <c r="P1192" s="13">
        <v>21427.599999999999</v>
      </c>
      <c r="Q1192" s="11">
        <v>21689.1</v>
      </c>
      <c r="R1192" s="11">
        <v>21311.7</v>
      </c>
      <c r="S1192" s="14">
        <v>22257.9</v>
      </c>
      <c r="T1192" s="11">
        <v>1250.48</v>
      </c>
      <c r="U1192" s="13">
        <f>IF('0.0%'!$N1192&lt;$Z$3,0, '0.0%'!$O1192/'0.0%'!$N1192)</f>
        <v>1.0659551589335423</v>
      </c>
      <c r="V1192" s="13">
        <f>IF('0.0%'!$N1192&lt;$Z$3,0, '0.0%'!$P1192/'0.0%'!$N1192)</f>
        <v>1.0766880721959258</v>
      </c>
      <c r="W1192" s="13">
        <f>IF('0.0%'!$N1192&lt;$Z$3,0, '0.0%'!$Q1192/'0.0%'!$N1192)</f>
        <v>1.089827851306943</v>
      </c>
      <c r="X1192" s="13">
        <f>IF('0.0%'!$N1192&lt;$Z$3,0, '0.0%'!$R1192/'0.0%'!$N1192)</f>
        <v>1.070864361301215</v>
      </c>
      <c r="Y1192" s="13">
        <f>IF('0.0%'!$N1192&lt;$Z$3,0, '0.0%'!$S1192/'0.0%'!$N1192)</f>
        <v>1.1184087551629533</v>
      </c>
    </row>
    <row r="1193" spans="1:25" x14ac:dyDescent="0.3">
      <c r="A1193" s="17">
        <v>1251.47</v>
      </c>
      <c r="B1193" s="10">
        <v>20021.099999999999</v>
      </c>
      <c r="C1193" s="9">
        <v>1251.47</v>
      </c>
      <c r="D1193" s="10">
        <v>21333.8</v>
      </c>
      <c r="E1193" s="11">
        <v>1251.47</v>
      </c>
      <c r="F1193" s="12">
        <v>21550.7</v>
      </c>
      <c r="G1193" s="11">
        <v>1251.47</v>
      </c>
      <c r="H1193" s="12">
        <v>21808.2</v>
      </c>
      <c r="I1193" s="11">
        <v>1251.47</v>
      </c>
      <c r="J1193" s="12">
        <v>21435.3</v>
      </c>
      <c r="K1193" s="11">
        <v>1251.47</v>
      </c>
      <c r="L1193" s="12">
        <v>22381.5</v>
      </c>
      <c r="M1193" s="11">
        <v>1251.47</v>
      </c>
      <c r="N1193" s="13">
        <v>20021.099999999999</v>
      </c>
      <c r="O1193" s="13">
        <v>21333.8</v>
      </c>
      <c r="P1193" s="13">
        <v>21550.7</v>
      </c>
      <c r="Q1193" s="11">
        <v>21808.2</v>
      </c>
      <c r="R1193" s="11">
        <v>21435.3</v>
      </c>
      <c r="S1193" s="14">
        <v>22381.5</v>
      </c>
      <c r="T1193" s="11">
        <v>1251.47</v>
      </c>
      <c r="U1193" s="13">
        <f>IF('0.0%'!$N1193&lt;$Z$3,0, '0.0%'!$O1193/'0.0%'!$N1193)</f>
        <v>1.0655658280514058</v>
      </c>
      <c r="V1193" s="13">
        <f>IF('0.0%'!$N1193&lt;$Z$3,0, '0.0%'!$P1193/'0.0%'!$N1193)</f>
        <v>1.0763993986344407</v>
      </c>
      <c r="W1193" s="13">
        <f>IF('0.0%'!$N1193&lt;$Z$3,0, '0.0%'!$Q1193/'0.0%'!$N1193)</f>
        <v>1.0892608298245352</v>
      </c>
      <c r="X1193" s="13">
        <f>IF('0.0%'!$N1193&lt;$Z$3,0, '0.0%'!$R1193/'0.0%'!$N1193)</f>
        <v>1.0706354795690547</v>
      </c>
      <c r="Y1193" s="13">
        <f>IF('0.0%'!$N1193&lt;$Z$3,0, '0.0%'!$S1193/'0.0%'!$N1193)</f>
        <v>1.1178956201207726</v>
      </c>
    </row>
    <row r="1194" spans="1:25" x14ac:dyDescent="0.3">
      <c r="A1194" s="17">
        <v>1252.46</v>
      </c>
      <c r="B1194" s="10">
        <v>20128.7</v>
      </c>
      <c r="C1194" s="9">
        <v>1252.46</v>
      </c>
      <c r="D1194" s="10">
        <v>21441.7</v>
      </c>
      <c r="E1194" s="11">
        <v>1252.46</v>
      </c>
      <c r="F1194" s="12">
        <v>21661.200000000001</v>
      </c>
      <c r="G1194" s="11">
        <v>1252.46</v>
      </c>
      <c r="H1194" s="12">
        <v>21915.3</v>
      </c>
      <c r="I1194" s="11">
        <v>1252.46</v>
      </c>
      <c r="J1194" s="12">
        <v>21546.3</v>
      </c>
      <c r="K1194" s="11">
        <v>1252.46</v>
      </c>
      <c r="L1194" s="12">
        <v>22492.3</v>
      </c>
      <c r="M1194" s="11">
        <v>1252.46</v>
      </c>
      <c r="N1194" s="13">
        <v>20128.7</v>
      </c>
      <c r="O1194" s="13">
        <v>21441.7</v>
      </c>
      <c r="P1194" s="13">
        <v>21661.200000000001</v>
      </c>
      <c r="Q1194" s="11">
        <v>21915.3</v>
      </c>
      <c r="R1194" s="11">
        <v>21546.3</v>
      </c>
      <c r="S1194" s="14">
        <v>22492.3</v>
      </c>
      <c r="T1194" s="11">
        <v>1252.46</v>
      </c>
      <c r="U1194" s="13">
        <f>IF('0.0%'!$N1194&lt;$Z$3,0, '0.0%'!$O1194/'0.0%'!$N1194)</f>
        <v>1.065230243383825</v>
      </c>
      <c r="V1194" s="13">
        <f>IF('0.0%'!$N1194&lt;$Z$3,0, '0.0%'!$P1194/'0.0%'!$N1194)</f>
        <v>1.0761350708192778</v>
      </c>
      <c r="W1194" s="13">
        <f>IF('0.0%'!$N1194&lt;$Z$3,0, '0.0%'!$Q1194/'0.0%'!$N1194)</f>
        <v>1.0887588368846473</v>
      </c>
      <c r="X1194" s="13">
        <f>IF('0.0%'!$N1194&lt;$Z$3,0, '0.0%'!$R1194/'0.0%'!$N1194)</f>
        <v>1.0704268035193529</v>
      </c>
      <c r="Y1194" s="13">
        <f>IF('0.0%'!$N1194&lt;$Z$3,0, '0.0%'!$S1194/'0.0%'!$N1194)</f>
        <v>1.1174243741523298</v>
      </c>
    </row>
    <row r="1195" spans="1:25" x14ac:dyDescent="0.3">
      <c r="A1195" s="17">
        <v>1253.46</v>
      </c>
      <c r="B1195" s="10">
        <v>20254.5</v>
      </c>
      <c r="C1195" s="9">
        <v>1253.46</v>
      </c>
      <c r="D1195" s="10">
        <v>21567.7</v>
      </c>
      <c r="E1195" s="11">
        <v>1253.46</v>
      </c>
      <c r="F1195" s="12">
        <v>21790.1</v>
      </c>
      <c r="G1195" s="11">
        <v>1253.46</v>
      </c>
      <c r="H1195" s="12">
        <v>22040.3</v>
      </c>
      <c r="I1195" s="11">
        <v>1253.46</v>
      </c>
      <c r="J1195" s="12">
        <v>21675.3</v>
      </c>
      <c r="K1195" s="11">
        <v>1253.46</v>
      </c>
      <c r="L1195" s="12">
        <v>22621.1</v>
      </c>
      <c r="M1195" s="11">
        <v>1253.46</v>
      </c>
      <c r="N1195" s="13">
        <v>20254.5</v>
      </c>
      <c r="O1195" s="13">
        <v>21567.7</v>
      </c>
      <c r="P1195" s="13">
        <v>21790.1</v>
      </c>
      <c r="Q1195" s="11">
        <v>22040.3</v>
      </c>
      <c r="R1195" s="11">
        <v>21675.3</v>
      </c>
      <c r="S1195" s="14">
        <v>22621.1</v>
      </c>
      <c r="T1195" s="11">
        <v>1253.46</v>
      </c>
      <c r="U1195" s="13">
        <f>IF('0.0%'!$N1195&lt;$Z$3,0, '0.0%'!$O1195/'0.0%'!$N1195)</f>
        <v>1.0648349749438397</v>
      </c>
      <c r="V1195" s="13">
        <f>IF('0.0%'!$N1195&lt;$Z$3,0, '0.0%'!$P1195/'0.0%'!$N1195)</f>
        <v>1.0758152509318917</v>
      </c>
      <c r="W1195" s="13">
        <f>IF('0.0%'!$N1195&lt;$Z$3,0, '0.0%'!$Q1195/'0.0%'!$N1195)</f>
        <v>1.0881680614184501</v>
      </c>
      <c r="X1195" s="13">
        <f>IF('0.0%'!$N1195&lt;$Z$3,0, '0.0%'!$R1195/'0.0%'!$N1195)</f>
        <v>1.0701473746574834</v>
      </c>
      <c r="Y1195" s="13">
        <f>IF('0.0%'!$N1195&lt;$Z$3,0, '0.0%'!$S1195/'0.0%'!$N1195)</f>
        <v>1.116843170653435</v>
      </c>
    </row>
    <row r="1196" spans="1:25" x14ac:dyDescent="0.3">
      <c r="A1196" s="17">
        <v>1254.45</v>
      </c>
      <c r="B1196" s="10">
        <v>20372.900000000001</v>
      </c>
      <c r="C1196" s="9">
        <v>1254.45</v>
      </c>
      <c r="D1196" s="10">
        <v>21686.2</v>
      </c>
      <c r="E1196" s="11">
        <v>1254.45</v>
      </c>
      <c r="F1196" s="12">
        <v>21911.8</v>
      </c>
      <c r="G1196" s="11">
        <v>1254.45</v>
      </c>
      <c r="H1196" s="12">
        <v>22157.8</v>
      </c>
      <c r="I1196" s="11">
        <v>1254.45</v>
      </c>
      <c r="J1196" s="12">
        <v>21796.6</v>
      </c>
      <c r="K1196" s="11">
        <v>1254.45</v>
      </c>
      <c r="L1196" s="12">
        <v>22742.7</v>
      </c>
      <c r="M1196" s="11">
        <v>1254.45</v>
      </c>
      <c r="N1196" s="13">
        <v>20372.900000000001</v>
      </c>
      <c r="O1196" s="13">
        <v>21686.2</v>
      </c>
      <c r="P1196" s="13">
        <v>21911.8</v>
      </c>
      <c r="Q1196" s="11">
        <v>22157.8</v>
      </c>
      <c r="R1196" s="11">
        <v>21796.6</v>
      </c>
      <c r="S1196" s="14">
        <v>22742.7</v>
      </c>
      <c r="T1196" s="11">
        <v>1254.45</v>
      </c>
      <c r="U1196" s="13">
        <f>IF('0.0%'!$N1196&lt;$Z$3,0, '0.0%'!$O1196/'0.0%'!$N1196)</f>
        <v>1.0644630857658948</v>
      </c>
      <c r="V1196" s="13">
        <f>IF('0.0%'!$N1196&lt;$Z$3,0, '0.0%'!$P1196/'0.0%'!$N1196)</f>
        <v>1.0755366197252232</v>
      </c>
      <c r="W1196" s="13">
        <f>IF('0.0%'!$N1196&lt;$Z$3,0, '0.0%'!$Q1196/'0.0%'!$N1196)</f>
        <v>1.0876114838830013</v>
      </c>
      <c r="X1196" s="13">
        <f>IF('0.0%'!$N1196&lt;$Z$3,0, '0.0%'!$R1196/'0.0%'!$N1196)</f>
        <v>1.0698820491928001</v>
      </c>
      <c r="Y1196" s="13">
        <f>IF('0.0%'!$N1196&lt;$Z$3,0, '0.0%'!$S1196/'0.0%'!$N1196)</f>
        <v>1.1163211913865969</v>
      </c>
    </row>
    <row r="1197" spans="1:25" x14ac:dyDescent="0.3">
      <c r="A1197" s="17">
        <v>1255.44</v>
      </c>
      <c r="B1197" s="10">
        <v>20501.7</v>
      </c>
      <c r="C1197" s="9">
        <v>1255.44</v>
      </c>
      <c r="D1197" s="10">
        <v>21814.400000000001</v>
      </c>
      <c r="E1197" s="11">
        <v>1255.44</v>
      </c>
      <c r="F1197" s="12">
        <v>22043.599999999999</v>
      </c>
      <c r="G1197" s="11">
        <v>1255.44</v>
      </c>
      <c r="H1197" s="12">
        <v>22285.3</v>
      </c>
      <c r="I1197" s="11">
        <v>1255.44</v>
      </c>
      <c r="J1197" s="12">
        <v>21928.9</v>
      </c>
      <c r="K1197" s="11">
        <v>1255.44</v>
      </c>
      <c r="L1197" s="12">
        <v>22874.1</v>
      </c>
      <c r="M1197" s="11">
        <v>1255.44</v>
      </c>
      <c r="N1197" s="13">
        <v>20501.7</v>
      </c>
      <c r="O1197" s="13">
        <v>21814.400000000001</v>
      </c>
      <c r="P1197" s="13">
        <v>22043.599999999999</v>
      </c>
      <c r="Q1197" s="11">
        <v>22285.3</v>
      </c>
      <c r="R1197" s="11">
        <v>21928.9</v>
      </c>
      <c r="S1197" s="14">
        <v>22874.1</v>
      </c>
      <c r="T1197" s="11">
        <v>1255.44</v>
      </c>
      <c r="U1197" s="13">
        <f>IF('0.0%'!$N1197&lt;$Z$3,0, '0.0%'!$O1197/'0.0%'!$N1197)</f>
        <v>1.0640288366330597</v>
      </c>
      <c r="V1197" s="13">
        <f>IF('0.0%'!$N1197&lt;$Z$3,0, '0.0%'!$P1197/'0.0%'!$N1197)</f>
        <v>1.0752083973524145</v>
      </c>
      <c r="W1197" s="13">
        <f>IF('0.0%'!$N1197&lt;$Z$3,0, '0.0%'!$Q1197/'0.0%'!$N1197)</f>
        <v>1.0869976636083836</v>
      </c>
      <c r="X1197" s="13">
        <f>IF('0.0%'!$N1197&lt;$Z$3,0, '0.0%'!$R1197/'0.0%'!$N1197)</f>
        <v>1.0696137393484444</v>
      </c>
      <c r="Y1197" s="13">
        <f>IF('0.0%'!$N1197&lt;$Z$3,0, '0.0%'!$S1197/'0.0%'!$N1197)</f>
        <v>1.1157172332050511</v>
      </c>
    </row>
    <row r="1198" spans="1:25" x14ac:dyDescent="0.3">
      <c r="A1198" s="17">
        <v>1256.43</v>
      </c>
      <c r="B1198" s="10">
        <v>20621.599999999999</v>
      </c>
      <c r="C1198" s="9">
        <v>1256.43</v>
      </c>
      <c r="D1198" s="10">
        <v>21933.9</v>
      </c>
      <c r="E1198" s="11">
        <v>1256.43</v>
      </c>
      <c r="F1198" s="12">
        <v>22166.5</v>
      </c>
      <c r="G1198" s="11">
        <v>1256.43</v>
      </c>
      <c r="H1198" s="12">
        <v>22404.6</v>
      </c>
      <c r="I1198" s="11">
        <v>1256.43</v>
      </c>
      <c r="J1198" s="12">
        <v>22052.3</v>
      </c>
      <c r="K1198" s="11">
        <v>1256.43</v>
      </c>
      <c r="L1198" s="12">
        <v>22997.200000000001</v>
      </c>
      <c r="M1198" s="11">
        <v>1256.43</v>
      </c>
      <c r="N1198" s="13">
        <v>20621.599999999999</v>
      </c>
      <c r="O1198" s="13">
        <v>21933.9</v>
      </c>
      <c r="P1198" s="13">
        <v>22166.5</v>
      </c>
      <c r="Q1198" s="11">
        <v>22404.6</v>
      </c>
      <c r="R1198" s="11">
        <v>22052.3</v>
      </c>
      <c r="S1198" s="14">
        <v>22997.200000000001</v>
      </c>
      <c r="T1198" s="11">
        <v>1256.43</v>
      </c>
      <c r="U1198" s="13">
        <f>IF('0.0%'!$N1198&lt;$Z$3,0, '0.0%'!$O1198/'0.0%'!$N1198)</f>
        <v>1.063637157155604</v>
      </c>
      <c r="V1198" s="13">
        <f>IF('0.0%'!$N1198&lt;$Z$3,0, '0.0%'!$P1198/'0.0%'!$N1198)</f>
        <v>1.0749165923109749</v>
      </c>
      <c r="W1198" s="13">
        <f>IF('0.0%'!$N1198&lt;$Z$3,0, '0.0%'!$Q1198/'0.0%'!$N1198)</f>
        <v>1.0864627380998564</v>
      </c>
      <c r="X1198" s="13">
        <f>IF('0.0%'!$N1198&lt;$Z$3,0, '0.0%'!$R1198/'0.0%'!$N1198)</f>
        <v>1.0693787097024479</v>
      </c>
      <c r="Y1198" s="13">
        <f>IF('0.0%'!$N1198&lt;$Z$3,0, '0.0%'!$S1198/'0.0%'!$N1198)</f>
        <v>1.1151995965395509</v>
      </c>
    </row>
    <row r="1199" spans="1:25" x14ac:dyDescent="0.3">
      <c r="A1199" s="17">
        <v>1257.42</v>
      </c>
      <c r="B1199" s="10">
        <v>20749.599999999999</v>
      </c>
      <c r="C1199" s="9">
        <v>1257.42</v>
      </c>
      <c r="D1199" s="10">
        <v>22061</v>
      </c>
      <c r="E1199" s="11">
        <v>1257.42</v>
      </c>
      <c r="F1199" s="12">
        <v>22297.200000000001</v>
      </c>
      <c r="G1199" s="11">
        <v>1257.42</v>
      </c>
      <c r="H1199" s="12">
        <v>22531.1</v>
      </c>
      <c r="I1199" s="11">
        <v>1257.42</v>
      </c>
      <c r="J1199" s="12">
        <v>22182.5</v>
      </c>
      <c r="K1199" s="11">
        <v>1257.42</v>
      </c>
      <c r="L1199" s="12">
        <v>23127.4</v>
      </c>
      <c r="M1199" s="11">
        <v>1257.42</v>
      </c>
      <c r="N1199" s="13">
        <v>20749.599999999999</v>
      </c>
      <c r="O1199" s="13">
        <v>22061</v>
      </c>
      <c r="P1199" s="13">
        <v>22297.200000000001</v>
      </c>
      <c r="Q1199" s="11">
        <v>22531.1</v>
      </c>
      <c r="R1199" s="11">
        <v>22182.5</v>
      </c>
      <c r="S1199" s="14">
        <v>23127.4</v>
      </c>
      <c r="T1199" s="11">
        <v>1257.42</v>
      </c>
      <c r="U1199" s="13">
        <f>IF('0.0%'!$N1199&lt;$Z$3,0, '0.0%'!$O1199/'0.0%'!$N1199)</f>
        <v>1.0632012183367392</v>
      </c>
      <c r="V1199" s="13">
        <f>IF('0.0%'!$N1199&lt;$Z$3,0, '0.0%'!$P1199/'0.0%'!$N1199)</f>
        <v>1.0745845703049699</v>
      </c>
      <c r="W1199" s="13">
        <f>IF('0.0%'!$N1199&lt;$Z$3,0, '0.0%'!$Q1199/'0.0%'!$N1199)</f>
        <v>1.0858570767629256</v>
      </c>
      <c r="X1199" s="13">
        <f>IF('0.0%'!$N1199&lt;$Z$3,0, '0.0%'!$R1199/'0.0%'!$N1199)</f>
        <v>1.0690567529012609</v>
      </c>
      <c r="Y1199" s="13">
        <f>IF('0.0%'!$N1199&lt;$Z$3,0, '0.0%'!$S1199/'0.0%'!$N1199)</f>
        <v>1.1145949801441957</v>
      </c>
    </row>
    <row r="1200" spans="1:25" x14ac:dyDescent="0.3">
      <c r="A1200" s="17">
        <v>1258.4100000000001</v>
      </c>
      <c r="B1200" s="10">
        <v>20868.8</v>
      </c>
      <c r="C1200" s="9">
        <v>1258.4100000000001</v>
      </c>
      <c r="D1200" s="10">
        <v>22179.200000000001</v>
      </c>
      <c r="E1200" s="11">
        <v>1258.4100000000001</v>
      </c>
      <c r="F1200" s="12">
        <v>22419.200000000001</v>
      </c>
      <c r="G1200" s="11">
        <v>1258.4100000000001</v>
      </c>
      <c r="H1200" s="12">
        <v>22648.7</v>
      </c>
      <c r="I1200" s="11">
        <v>1258.4100000000001</v>
      </c>
      <c r="J1200" s="12">
        <v>22304</v>
      </c>
      <c r="K1200" s="11">
        <v>1258.4100000000001</v>
      </c>
      <c r="L1200" s="12">
        <v>23249.200000000001</v>
      </c>
      <c r="M1200" s="11">
        <v>1258.4100000000001</v>
      </c>
      <c r="N1200" s="13">
        <v>20868.8</v>
      </c>
      <c r="O1200" s="13">
        <v>22179.200000000001</v>
      </c>
      <c r="P1200" s="13">
        <v>22419.200000000001</v>
      </c>
      <c r="Q1200" s="11">
        <v>22648.7</v>
      </c>
      <c r="R1200" s="11">
        <v>22304</v>
      </c>
      <c r="S1200" s="14">
        <v>23249.200000000001</v>
      </c>
      <c r="T1200" s="11">
        <v>1258.4100000000001</v>
      </c>
      <c r="U1200" s="13">
        <f>IF('0.0%'!$N1200&lt;$Z$3,0, '0.0%'!$O1200/'0.0%'!$N1200)</f>
        <v>1.0627923023844208</v>
      </c>
      <c r="V1200" s="13">
        <f>IF('0.0%'!$N1200&lt;$Z$3,0, '0.0%'!$P1200/'0.0%'!$N1200)</f>
        <v>1.0742927240665492</v>
      </c>
      <c r="W1200" s="13">
        <f>IF('0.0%'!$N1200&lt;$Z$3,0, '0.0%'!$Q1200/'0.0%'!$N1200)</f>
        <v>1.0852900023000844</v>
      </c>
      <c r="X1200" s="13">
        <f>IF('0.0%'!$N1200&lt;$Z$3,0, '0.0%'!$R1200/'0.0%'!$N1200)</f>
        <v>1.0687725216591275</v>
      </c>
      <c r="Y1200" s="13">
        <f>IF('0.0%'!$N1200&lt;$Z$3,0, '0.0%'!$S1200/'0.0%'!$N1200)</f>
        <v>1.1140650157172431</v>
      </c>
    </row>
    <row r="1201" spans="1:25" x14ac:dyDescent="0.3">
      <c r="A1201" s="17">
        <v>1259.4100000000001</v>
      </c>
      <c r="B1201" s="10">
        <v>20995.599999999999</v>
      </c>
      <c r="C1201" s="9">
        <v>1259.4100000000001</v>
      </c>
      <c r="D1201" s="10">
        <v>22304.2</v>
      </c>
      <c r="E1201" s="11">
        <v>1259.4100000000001</v>
      </c>
      <c r="F1201" s="12">
        <v>22548.400000000001</v>
      </c>
      <c r="G1201" s="11">
        <v>1259.4100000000001</v>
      </c>
      <c r="H1201" s="12">
        <v>22772.9</v>
      </c>
      <c r="I1201" s="11">
        <v>1259.4100000000001</v>
      </c>
      <c r="J1201" s="12">
        <v>22432.400000000001</v>
      </c>
      <c r="K1201" s="11">
        <v>1259.4100000000001</v>
      </c>
      <c r="L1201" s="12">
        <v>23377.8</v>
      </c>
      <c r="M1201" s="11">
        <v>1259.4100000000001</v>
      </c>
      <c r="N1201" s="13">
        <v>20995.599999999999</v>
      </c>
      <c r="O1201" s="13">
        <v>22304.2</v>
      </c>
      <c r="P1201" s="13">
        <v>22548.400000000001</v>
      </c>
      <c r="Q1201" s="11">
        <v>22772.9</v>
      </c>
      <c r="R1201" s="11">
        <v>22432.400000000001</v>
      </c>
      <c r="S1201" s="14">
        <v>23377.8</v>
      </c>
      <c r="T1201" s="11">
        <v>1259.4100000000001</v>
      </c>
      <c r="U1201" s="13">
        <f>IF('0.0%'!$N1201&lt;$Z$3,0, '0.0%'!$O1201/'0.0%'!$N1201)</f>
        <v>1.062327344777001</v>
      </c>
      <c r="V1201" s="13">
        <f>IF('0.0%'!$N1201&lt;$Z$3,0, '0.0%'!$P1201/'0.0%'!$N1201)</f>
        <v>1.0739583531787613</v>
      </c>
      <c r="W1201" s="13">
        <f>IF('0.0%'!$N1201&lt;$Z$3,0, '0.0%'!$Q1201/'0.0%'!$N1201)</f>
        <v>1.0846510697479472</v>
      </c>
      <c r="X1201" s="13">
        <f>IF('0.0%'!$N1201&lt;$Z$3,0, '0.0%'!$R1201/'0.0%'!$N1201)</f>
        <v>1.0684333860427901</v>
      </c>
      <c r="Y1201" s="13">
        <f>IF('0.0%'!$N1201&lt;$Z$3,0, '0.0%'!$S1201/'0.0%'!$N1201)</f>
        <v>1.1134618682009565</v>
      </c>
    </row>
    <row r="1202" spans="1:25" x14ac:dyDescent="0.3">
      <c r="A1202" s="17">
        <v>1260.4000000000001</v>
      </c>
      <c r="B1202" s="10">
        <v>21111.4</v>
      </c>
      <c r="C1202" s="9">
        <v>1260.4000000000001</v>
      </c>
      <c r="D1202" s="10">
        <v>22418.9</v>
      </c>
      <c r="E1202" s="11">
        <v>1260.4000000000001</v>
      </c>
      <c r="F1202" s="12">
        <v>22666.7</v>
      </c>
      <c r="G1202" s="11">
        <v>1260.4000000000001</v>
      </c>
      <c r="H1202" s="12">
        <v>22886.5</v>
      </c>
      <c r="I1202" s="11">
        <v>1260.4000000000001</v>
      </c>
      <c r="J1202" s="12">
        <v>22550.2</v>
      </c>
      <c r="K1202" s="11">
        <v>1260.4000000000001</v>
      </c>
      <c r="L1202" s="12">
        <v>23495.8</v>
      </c>
      <c r="M1202" s="11">
        <v>1260.4000000000001</v>
      </c>
      <c r="N1202" s="13">
        <v>21111.4</v>
      </c>
      <c r="O1202" s="13">
        <v>22418.9</v>
      </c>
      <c r="P1202" s="13">
        <v>22666.7</v>
      </c>
      <c r="Q1202" s="11">
        <v>22886.5</v>
      </c>
      <c r="R1202" s="11">
        <v>22550.2</v>
      </c>
      <c r="S1202" s="14">
        <v>23495.8</v>
      </c>
      <c r="T1202" s="11">
        <v>1260.4000000000001</v>
      </c>
      <c r="U1202" s="13">
        <f>IF('0.0%'!$N1202&lt;$Z$3,0, '0.0%'!$O1202/'0.0%'!$N1202)</f>
        <v>1.0619333630171377</v>
      </c>
      <c r="V1202" s="13">
        <f>IF('0.0%'!$N1202&lt;$Z$3,0, '0.0%'!$P1202/'0.0%'!$N1202)</f>
        <v>1.0736710971323551</v>
      </c>
      <c r="W1202" s="13">
        <f>IF('0.0%'!$N1202&lt;$Z$3,0, '0.0%'!$Q1202/'0.0%'!$N1202)</f>
        <v>1.0840825336074347</v>
      </c>
      <c r="X1202" s="13">
        <f>IF('0.0%'!$N1202&lt;$Z$3,0, '0.0%'!$R1202/'0.0%'!$N1202)</f>
        <v>1.0681527515939255</v>
      </c>
      <c r="Y1202" s="13">
        <f>IF('0.0%'!$N1202&lt;$Z$3,0, '0.0%'!$S1202/'0.0%'!$N1202)</f>
        <v>1.1129437176122852</v>
      </c>
    </row>
    <row r="1203" spans="1:25" x14ac:dyDescent="0.3">
      <c r="A1203" s="17">
        <v>1261.3900000000001</v>
      </c>
      <c r="B1203" s="10">
        <v>21232.9</v>
      </c>
      <c r="C1203" s="9">
        <v>1261.3900000000001</v>
      </c>
      <c r="D1203" s="10">
        <v>22538.799999999999</v>
      </c>
      <c r="E1203" s="11">
        <v>1261.3900000000001</v>
      </c>
      <c r="F1203" s="12">
        <v>22790.7</v>
      </c>
      <c r="G1203" s="11">
        <v>1261.3900000000001</v>
      </c>
      <c r="H1203" s="12">
        <v>23005.200000000001</v>
      </c>
      <c r="I1203" s="11">
        <v>1261.3900000000001</v>
      </c>
      <c r="J1203" s="12">
        <v>22673</v>
      </c>
      <c r="K1203" s="11">
        <v>1261.3900000000001</v>
      </c>
      <c r="L1203" s="12">
        <v>23619.3</v>
      </c>
      <c r="M1203" s="11">
        <v>1261.3900000000001</v>
      </c>
      <c r="N1203" s="13">
        <v>21232.9</v>
      </c>
      <c r="O1203" s="13">
        <v>22538.799999999999</v>
      </c>
      <c r="P1203" s="13">
        <v>22790.7</v>
      </c>
      <c r="Q1203" s="11">
        <v>23005.200000000001</v>
      </c>
      <c r="R1203" s="11">
        <v>22673</v>
      </c>
      <c r="S1203" s="14">
        <v>23619.3</v>
      </c>
      <c r="T1203" s="11">
        <v>1261.3900000000001</v>
      </c>
      <c r="U1203" s="13">
        <f>IF('0.0%'!$N1203&lt;$Z$3,0, '0.0%'!$O1203/'0.0%'!$N1203)</f>
        <v>1.0615036099637825</v>
      </c>
      <c r="V1203" s="13">
        <f>IF('0.0%'!$N1203&lt;$Z$3,0, '0.0%'!$P1203/'0.0%'!$N1203)</f>
        <v>1.0733672743713765</v>
      </c>
      <c r="W1203" s="13">
        <f>IF('0.0%'!$N1203&lt;$Z$3,0, '0.0%'!$Q1203/'0.0%'!$N1203)</f>
        <v>1.0834695213560088</v>
      </c>
      <c r="X1203" s="13">
        <f>IF('0.0%'!$N1203&lt;$Z$3,0, '0.0%'!$R1203/'0.0%'!$N1203)</f>
        <v>1.0678239901285269</v>
      </c>
      <c r="Y1203" s="13">
        <f>IF('0.0%'!$N1203&lt;$Z$3,0, '0.0%'!$S1203/'0.0%'!$N1203)</f>
        <v>1.1123916186672569</v>
      </c>
    </row>
    <row r="1204" spans="1:25" x14ac:dyDescent="0.3">
      <c r="A1204" s="17">
        <v>1262.3800000000001</v>
      </c>
      <c r="B1204" s="10">
        <v>21343.3</v>
      </c>
      <c r="C1204" s="9">
        <v>1262.3800000000001</v>
      </c>
      <c r="D1204" s="10">
        <v>22648.6</v>
      </c>
      <c r="E1204" s="11">
        <v>1262.3800000000001</v>
      </c>
      <c r="F1204" s="12">
        <v>22904.6</v>
      </c>
      <c r="G1204" s="11">
        <v>1262.3800000000001</v>
      </c>
      <c r="H1204" s="12">
        <v>23113.7</v>
      </c>
      <c r="I1204" s="11">
        <v>1262.3800000000001</v>
      </c>
      <c r="J1204" s="12">
        <v>22785.3</v>
      </c>
      <c r="K1204" s="11">
        <v>1262.3800000000001</v>
      </c>
      <c r="L1204" s="12">
        <v>23733.200000000001</v>
      </c>
      <c r="M1204" s="11">
        <v>1262.3800000000001</v>
      </c>
      <c r="N1204" s="13">
        <v>21343.3</v>
      </c>
      <c r="O1204" s="13">
        <v>22648.6</v>
      </c>
      <c r="P1204" s="13">
        <v>22904.6</v>
      </c>
      <c r="Q1204" s="11">
        <v>23113.7</v>
      </c>
      <c r="R1204" s="11">
        <v>22785.3</v>
      </c>
      <c r="S1204" s="14">
        <v>23733.200000000001</v>
      </c>
      <c r="T1204" s="11">
        <v>1262.3800000000001</v>
      </c>
      <c r="U1204" s="13">
        <f>IF('0.0%'!$N1204&lt;$Z$3,0, '0.0%'!$O1204/'0.0%'!$N1204)</f>
        <v>1.0611573655432853</v>
      </c>
      <c r="V1204" s="13">
        <f>IF('0.0%'!$N1204&lt;$Z$3,0, '0.0%'!$P1204/'0.0%'!$N1204)</f>
        <v>1.0731517619112321</v>
      </c>
      <c r="W1204" s="13">
        <f>IF('0.0%'!$N1204&lt;$Z$3,0, '0.0%'!$Q1204/'0.0%'!$N1204)</f>
        <v>1.0829487473820825</v>
      </c>
      <c r="X1204" s="13">
        <f>IF('0.0%'!$N1204&lt;$Z$3,0, '0.0%'!$R1204/'0.0%'!$N1204)</f>
        <v>1.0675621857913256</v>
      </c>
      <c r="Y1204" s="13">
        <f>IF('0.0%'!$N1204&lt;$Z$3,0, '0.0%'!$S1204/'0.0%'!$N1204)</f>
        <v>1.1119742495302976</v>
      </c>
    </row>
    <row r="1205" spans="1:25" x14ac:dyDescent="0.3">
      <c r="A1205" s="17">
        <v>1263.3699999999999</v>
      </c>
      <c r="B1205" s="10">
        <v>21460.2</v>
      </c>
      <c r="C1205" s="9">
        <v>1263.3699999999999</v>
      </c>
      <c r="D1205" s="10">
        <v>22764.9</v>
      </c>
      <c r="E1205" s="11">
        <v>1263.3699999999999</v>
      </c>
      <c r="F1205" s="12">
        <v>23025.4</v>
      </c>
      <c r="G1205" s="11">
        <v>1263.3699999999999</v>
      </c>
      <c r="H1205" s="12">
        <v>23228.6</v>
      </c>
      <c r="I1205" s="11">
        <v>1263.3699999999999</v>
      </c>
      <c r="J1205" s="12">
        <v>22904.1</v>
      </c>
      <c r="K1205" s="11">
        <v>1263.3699999999999</v>
      </c>
      <c r="L1205" s="12">
        <v>23854.1</v>
      </c>
      <c r="M1205" s="11">
        <v>1263.3699999999999</v>
      </c>
      <c r="N1205" s="13">
        <v>21460.2</v>
      </c>
      <c r="O1205" s="13">
        <v>22764.9</v>
      </c>
      <c r="P1205" s="13">
        <v>23025.4</v>
      </c>
      <c r="Q1205" s="11">
        <v>23228.6</v>
      </c>
      <c r="R1205" s="11">
        <v>22904.1</v>
      </c>
      <c r="S1205" s="14">
        <v>23854.1</v>
      </c>
      <c r="T1205" s="11">
        <v>1263.3699999999999</v>
      </c>
      <c r="U1205" s="13">
        <f>IF('0.0%'!$N1205&lt;$Z$3,0, '0.0%'!$O1205/'0.0%'!$N1205)</f>
        <v>1.0607962647132831</v>
      </c>
      <c r="V1205" s="13">
        <f>IF('0.0%'!$N1205&lt;$Z$3,0, '0.0%'!$P1205/'0.0%'!$N1205)</f>
        <v>1.0729350145851391</v>
      </c>
      <c r="W1205" s="13">
        <f>IF('0.0%'!$N1205&lt;$Z$3,0, '0.0%'!$Q1205/'0.0%'!$N1205)</f>
        <v>1.0824037054640683</v>
      </c>
      <c r="X1205" s="13">
        <f>IF('0.0%'!$N1205&lt;$Z$3,0, '0.0%'!$R1205/'0.0%'!$N1205)</f>
        <v>1.0672826907484552</v>
      </c>
      <c r="Y1205" s="13">
        <f>IF('0.0%'!$N1205&lt;$Z$3,0, '0.0%'!$S1205/'0.0%'!$N1205)</f>
        <v>1.1115506845229772</v>
      </c>
    </row>
    <row r="1206" spans="1:25" x14ac:dyDescent="0.3">
      <c r="A1206" s="17">
        <v>1264.3599999999999</v>
      </c>
      <c r="B1206" s="10">
        <v>21566.799999999999</v>
      </c>
      <c r="C1206" s="9">
        <v>1264.3599999999999</v>
      </c>
      <c r="D1206" s="10">
        <v>22871.1</v>
      </c>
      <c r="E1206" s="11">
        <v>1264.3599999999999</v>
      </c>
      <c r="F1206" s="12">
        <v>23135.8</v>
      </c>
      <c r="G1206" s="11">
        <v>1264.3599999999999</v>
      </c>
      <c r="H1206" s="12">
        <v>23333.5</v>
      </c>
      <c r="I1206" s="11">
        <v>1264.3599999999999</v>
      </c>
      <c r="J1206" s="12">
        <v>23012.7</v>
      </c>
      <c r="K1206" s="11">
        <v>1264.3599999999999</v>
      </c>
      <c r="L1206" s="12">
        <v>23965.3</v>
      </c>
      <c r="M1206" s="11">
        <v>1264.3599999999999</v>
      </c>
      <c r="N1206" s="13">
        <v>21566.799999999999</v>
      </c>
      <c r="O1206" s="13">
        <v>22871.1</v>
      </c>
      <c r="P1206" s="13">
        <v>23135.8</v>
      </c>
      <c r="Q1206" s="11">
        <v>23333.5</v>
      </c>
      <c r="R1206" s="11">
        <v>23012.7</v>
      </c>
      <c r="S1206" s="14">
        <v>23965.3</v>
      </c>
      <c r="T1206" s="11">
        <v>1264.3599999999999</v>
      </c>
      <c r="U1206" s="13">
        <f>IF('0.0%'!$N1206&lt;$Z$3,0, '0.0%'!$O1206/'0.0%'!$N1206)</f>
        <v>1.0604772149785782</v>
      </c>
      <c r="V1206" s="13">
        <f>IF('0.0%'!$N1206&lt;$Z$3,0, '0.0%'!$P1206/'0.0%'!$N1206)</f>
        <v>1.0727507094237438</v>
      </c>
      <c r="W1206" s="13">
        <f>IF('0.0%'!$N1206&lt;$Z$3,0, '0.0%'!$Q1206/'0.0%'!$N1206)</f>
        <v>1.0819175770165255</v>
      </c>
      <c r="X1206" s="13">
        <f>IF('0.0%'!$N1206&lt;$Z$3,0, '0.0%'!$R1206/'0.0%'!$N1206)</f>
        <v>1.06704286217705</v>
      </c>
      <c r="Y1206" s="13">
        <f>IF('0.0%'!$N1206&lt;$Z$3,0, '0.0%'!$S1206/'0.0%'!$N1206)</f>
        <v>1.1112126045588591</v>
      </c>
    </row>
    <row r="1207" spans="1:25" x14ac:dyDescent="0.3">
      <c r="A1207" s="17">
        <v>1265.3599999999999</v>
      </c>
      <c r="B1207" s="10">
        <v>21679</v>
      </c>
      <c r="C1207" s="9">
        <v>1265.3599999999999</v>
      </c>
      <c r="D1207" s="10">
        <v>22982.2</v>
      </c>
      <c r="E1207" s="11">
        <v>1265.3599999999999</v>
      </c>
      <c r="F1207" s="12">
        <v>23251.8</v>
      </c>
      <c r="G1207" s="11">
        <v>1265.3599999999999</v>
      </c>
      <c r="H1207" s="12">
        <v>23443.5</v>
      </c>
      <c r="I1207" s="11">
        <v>1265.3599999999999</v>
      </c>
      <c r="J1207" s="12">
        <v>23126.2</v>
      </c>
      <c r="K1207" s="11">
        <v>1265.3599999999999</v>
      </c>
      <c r="L1207" s="12">
        <v>24080.799999999999</v>
      </c>
      <c r="M1207" s="11">
        <v>1265.3599999999999</v>
      </c>
      <c r="N1207" s="13">
        <v>21679</v>
      </c>
      <c r="O1207" s="13">
        <v>22982.2</v>
      </c>
      <c r="P1207" s="13">
        <v>23251.8</v>
      </c>
      <c r="Q1207" s="11">
        <v>23443.5</v>
      </c>
      <c r="R1207" s="11">
        <v>23126.2</v>
      </c>
      <c r="S1207" s="14">
        <v>24080.799999999999</v>
      </c>
      <c r="T1207" s="11">
        <v>1265.3599999999999</v>
      </c>
      <c r="U1207" s="13">
        <f>IF('0.0%'!$N1207&lt;$Z$3,0, '0.0%'!$O1207/'0.0%'!$N1207)</f>
        <v>1.060113473868721</v>
      </c>
      <c r="V1207" s="13">
        <f>IF('0.0%'!$N1207&lt;$Z$3,0, '0.0%'!$P1207/'0.0%'!$N1207)</f>
        <v>1.0725494718391069</v>
      </c>
      <c r="W1207" s="13">
        <f>IF('0.0%'!$N1207&lt;$Z$3,0, '0.0%'!$Q1207/'0.0%'!$N1207)</f>
        <v>1.0813921306333318</v>
      </c>
      <c r="X1207" s="13">
        <f>IF('0.0%'!$N1207&lt;$Z$3,0, '0.0%'!$R1207/'0.0%'!$N1207)</f>
        <v>1.0667558466718945</v>
      </c>
      <c r="Y1207" s="13">
        <f>IF('0.0%'!$N1207&lt;$Z$3,0, '0.0%'!$S1207/'0.0%'!$N1207)</f>
        <v>1.110789243046266</v>
      </c>
    </row>
    <row r="1208" spans="1:25" x14ac:dyDescent="0.3">
      <c r="A1208" s="17">
        <v>1266.3499999999999</v>
      </c>
      <c r="B1208" s="10">
        <v>21780.799999999999</v>
      </c>
      <c r="C1208" s="9">
        <v>1266.3499999999999</v>
      </c>
      <c r="D1208" s="10">
        <v>23083.4</v>
      </c>
      <c r="E1208" s="11">
        <v>1266.3499999999999</v>
      </c>
      <c r="F1208" s="12">
        <v>23357.7</v>
      </c>
      <c r="G1208" s="11">
        <v>1266.3499999999999</v>
      </c>
      <c r="H1208" s="12">
        <v>23544.1</v>
      </c>
      <c r="I1208" s="11">
        <v>1266.3499999999999</v>
      </c>
      <c r="J1208" s="12">
        <v>23229.599999999999</v>
      </c>
      <c r="K1208" s="11">
        <v>1266.3499999999999</v>
      </c>
      <c r="L1208" s="12">
        <v>24186.7</v>
      </c>
      <c r="M1208" s="11">
        <v>1266.3499999999999</v>
      </c>
      <c r="N1208" s="13">
        <v>21780.799999999999</v>
      </c>
      <c r="O1208" s="13">
        <v>23083.4</v>
      </c>
      <c r="P1208" s="13">
        <v>23357.7</v>
      </c>
      <c r="Q1208" s="11">
        <v>23544.1</v>
      </c>
      <c r="R1208" s="11">
        <v>23229.599999999999</v>
      </c>
      <c r="S1208" s="14">
        <v>24186.7</v>
      </c>
      <c r="T1208" s="11">
        <v>1266.3499999999999</v>
      </c>
      <c r="U1208" s="13">
        <f>IF('0.0%'!$N1208&lt;$Z$3,0, '0.0%'!$O1208/'0.0%'!$N1208)</f>
        <v>1.0598049658414752</v>
      </c>
      <c r="V1208" s="13">
        <f>IF('0.0%'!$N1208&lt;$Z$3,0, '0.0%'!$P1208/'0.0%'!$N1208)</f>
        <v>1.0723986263130831</v>
      </c>
      <c r="W1208" s="13">
        <f>IF('0.0%'!$N1208&lt;$Z$3,0, '0.0%'!$Q1208/'0.0%'!$N1208)</f>
        <v>1.0809566223462865</v>
      </c>
      <c r="X1208" s="13">
        <f>IF('0.0%'!$N1208&lt;$Z$3,0, '0.0%'!$R1208/'0.0%'!$N1208)</f>
        <v>1.0665172996400498</v>
      </c>
      <c r="Y1208" s="13">
        <f>IF('0.0%'!$N1208&lt;$Z$3,0, '0.0%'!$S1208/'0.0%'!$N1208)</f>
        <v>1.1104596709028136</v>
      </c>
    </row>
    <row r="1209" spans="1:25" x14ac:dyDescent="0.3">
      <c r="A1209" s="17">
        <v>1267.3399999999999</v>
      </c>
      <c r="B1209" s="10">
        <v>21890.7</v>
      </c>
      <c r="C1209" s="9">
        <v>1267.3399999999999</v>
      </c>
      <c r="D1209" s="10">
        <v>23192</v>
      </c>
      <c r="E1209" s="11">
        <v>1267.3399999999999</v>
      </c>
      <c r="F1209" s="12">
        <v>23472.1</v>
      </c>
      <c r="G1209" s="11">
        <v>1267.3399999999999</v>
      </c>
      <c r="H1209" s="12">
        <v>23651.8</v>
      </c>
      <c r="I1209" s="11">
        <v>1267.3399999999999</v>
      </c>
      <c r="J1209" s="12">
        <v>23340.6</v>
      </c>
      <c r="K1209" s="11">
        <v>1267.3399999999999</v>
      </c>
      <c r="L1209" s="12">
        <v>24300.2</v>
      </c>
      <c r="M1209" s="11">
        <v>1267.3399999999999</v>
      </c>
      <c r="N1209" s="13">
        <v>21890.7</v>
      </c>
      <c r="O1209" s="13">
        <v>23192</v>
      </c>
      <c r="P1209" s="13">
        <v>23472.1</v>
      </c>
      <c r="Q1209" s="11">
        <v>23651.8</v>
      </c>
      <c r="R1209" s="11">
        <v>23340.6</v>
      </c>
      <c r="S1209" s="14">
        <v>24300.2</v>
      </c>
      <c r="T1209" s="11">
        <v>1267.3399999999999</v>
      </c>
      <c r="U1209" s="13">
        <f>IF('0.0%'!$N1209&lt;$Z$3,0, '0.0%'!$O1209/'0.0%'!$N1209)</f>
        <v>1.0594453352336837</v>
      </c>
      <c r="V1209" s="13">
        <f>IF('0.0%'!$N1209&lt;$Z$3,0, '0.0%'!$P1209/'0.0%'!$N1209)</f>
        <v>1.0722407232294993</v>
      </c>
      <c r="W1209" s="13">
        <f>IF('0.0%'!$N1209&lt;$Z$3,0, '0.0%'!$Q1209/'0.0%'!$N1209)</f>
        <v>1.0804496886805812</v>
      </c>
      <c r="X1209" s="13">
        <f>IF('0.0%'!$N1209&lt;$Z$3,0, '0.0%'!$R1209/'0.0%'!$N1209)</f>
        <v>1.0662336060518849</v>
      </c>
      <c r="Y1209" s="13">
        <f>IF('0.0%'!$N1209&lt;$Z$3,0, '0.0%'!$S1209/'0.0%'!$N1209)</f>
        <v>1.1100695729236616</v>
      </c>
    </row>
    <row r="1210" spans="1:25" x14ac:dyDescent="0.3">
      <c r="A1210" s="17">
        <v>1268.33</v>
      </c>
      <c r="B1210" s="10">
        <v>21990.9</v>
      </c>
      <c r="C1210" s="9">
        <v>1268.33</v>
      </c>
      <c r="D1210" s="10">
        <v>23291.599999999999</v>
      </c>
      <c r="E1210" s="11">
        <v>1268.33</v>
      </c>
      <c r="F1210" s="12">
        <v>23576.799999999999</v>
      </c>
      <c r="G1210" s="11">
        <v>1268.33</v>
      </c>
      <c r="H1210" s="12">
        <v>23750.6</v>
      </c>
      <c r="I1210" s="11">
        <v>1268.33</v>
      </c>
      <c r="J1210" s="12">
        <v>23442.3</v>
      </c>
      <c r="K1210" s="11">
        <v>1268.33</v>
      </c>
      <c r="L1210" s="12">
        <v>24404.1</v>
      </c>
      <c r="M1210" s="11">
        <v>1268.33</v>
      </c>
      <c r="N1210" s="13">
        <v>21990.9</v>
      </c>
      <c r="O1210" s="13">
        <v>23291.599999999999</v>
      </c>
      <c r="P1210" s="13">
        <v>23576.799999999999</v>
      </c>
      <c r="Q1210" s="11">
        <v>23750.6</v>
      </c>
      <c r="R1210" s="11">
        <v>23442.3</v>
      </c>
      <c r="S1210" s="14">
        <v>24404.1</v>
      </c>
      <c r="T1210" s="11">
        <v>1268.33</v>
      </c>
      <c r="U1210" s="13">
        <f>IF('0.0%'!$N1210&lt;$Z$3,0, '0.0%'!$O1210/'0.0%'!$N1210)</f>
        <v>1.0591471927024358</v>
      </c>
      <c r="V1210" s="13">
        <f>IF('0.0%'!$N1210&lt;$Z$3,0, '0.0%'!$P1210/'0.0%'!$N1210)</f>
        <v>1.072116193516409</v>
      </c>
      <c r="W1210" s="13">
        <f>IF('0.0%'!$N1210&lt;$Z$3,0, '0.0%'!$Q1210/'0.0%'!$N1210)</f>
        <v>1.0800194625958919</v>
      </c>
      <c r="X1210" s="13">
        <f>IF('0.0%'!$N1210&lt;$Z$3,0, '0.0%'!$R1210/'0.0%'!$N1210)</f>
        <v>1.0660000272840129</v>
      </c>
      <c r="Y1210" s="13">
        <f>IF('0.0%'!$N1210&lt;$Z$3,0, '0.0%'!$S1210/'0.0%'!$N1210)</f>
        <v>1.109736300015006</v>
      </c>
    </row>
    <row r="1211" spans="1:25" x14ac:dyDescent="0.3">
      <c r="A1211" s="17">
        <v>1269.32</v>
      </c>
      <c r="B1211" s="10">
        <v>22096.5</v>
      </c>
      <c r="C1211" s="9">
        <v>1269.32</v>
      </c>
      <c r="D1211" s="10">
        <v>23396.400000000001</v>
      </c>
      <c r="E1211" s="11">
        <v>1269.32</v>
      </c>
      <c r="F1211" s="12">
        <v>23687.599999999999</v>
      </c>
      <c r="G1211" s="11">
        <v>1269.32</v>
      </c>
      <c r="H1211" s="12">
        <v>23854.1</v>
      </c>
      <c r="I1211" s="11">
        <v>1269.32</v>
      </c>
      <c r="J1211" s="12">
        <v>23548.9</v>
      </c>
      <c r="K1211" s="11">
        <v>1269.32</v>
      </c>
      <c r="L1211" s="12">
        <v>24512.6</v>
      </c>
      <c r="M1211" s="11">
        <v>1269.32</v>
      </c>
      <c r="N1211" s="13">
        <v>22096.5</v>
      </c>
      <c r="O1211" s="13">
        <v>23396.400000000001</v>
      </c>
      <c r="P1211" s="13">
        <v>23687.599999999999</v>
      </c>
      <c r="Q1211" s="11">
        <v>23854.1</v>
      </c>
      <c r="R1211" s="11">
        <v>23548.9</v>
      </c>
      <c r="S1211" s="14">
        <v>24512.6</v>
      </c>
      <c r="T1211" s="11">
        <v>1269.32</v>
      </c>
      <c r="U1211" s="13">
        <f>IF('0.0%'!$N1211&lt;$Z$3,0, '0.0%'!$O1211/'0.0%'!$N1211)</f>
        <v>1.0588283212273437</v>
      </c>
      <c r="V1211" s="13">
        <f>IF('0.0%'!$N1211&lt;$Z$3,0, '0.0%'!$P1211/'0.0%'!$N1211)</f>
        <v>1.0720068789174755</v>
      </c>
      <c r="W1211" s="13">
        <f>IF('0.0%'!$N1211&lt;$Z$3,0, '0.0%'!$Q1211/'0.0%'!$N1211)</f>
        <v>1.0795420089154391</v>
      </c>
      <c r="X1211" s="13">
        <f>IF('0.0%'!$N1211&lt;$Z$3,0, '0.0%'!$R1211/'0.0%'!$N1211)</f>
        <v>1.065729866720974</v>
      </c>
      <c r="Y1211" s="13">
        <f>IF('0.0%'!$N1211&lt;$Z$3,0, '0.0%'!$S1211/'0.0%'!$N1211)</f>
        <v>1.1093431086371144</v>
      </c>
    </row>
    <row r="1212" spans="1:25" x14ac:dyDescent="0.3">
      <c r="A1212" s="17">
        <v>1270.32</v>
      </c>
      <c r="B1212" s="10">
        <v>22192.1</v>
      </c>
      <c r="C1212" s="9">
        <v>1270.32</v>
      </c>
      <c r="D1212" s="10">
        <v>23491.5</v>
      </c>
      <c r="E1212" s="11">
        <v>1270.32</v>
      </c>
      <c r="F1212" s="12">
        <v>23788.5</v>
      </c>
      <c r="G1212" s="11">
        <v>1270.32</v>
      </c>
      <c r="H1212" s="12">
        <v>23948.2</v>
      </c>
      <c r="I1212" s="11">
        <v>1270.32</v>
      </c>
      <c r="J1212" s="12">
        <v>23645.5</v>
      </c>
      <c r="K1212" s="11">
        <v>1270.32</v>
      </c>
      <c r="L1212" s="12">
        <v>24611.4</v>
      </c>
      <c r="M1212" s="11">
        <v>1270.32</v>
      </c>
      <c r="N1212" s="13">
        <v>22192.1</v>
      </c>
      <c r="O1212" s="13">
        <v>23491.5</v>
      </c>
      <c r="P1212" s="13">
        <v>23788.5</v>
      </c>
      <c r="Q1212" s="11">
        <v>23948.2</v>
      </c>
      <c r="R1212" s="11">
        <v>23645.5</v>
      </c>
      <c r="S1212" s="14">
        <v>24611.4</v>
      </c>
      <c r="T1212" s="11">
        <v>1270.32</v>
      </c>
      <c r="U1212" s="13">
        <f>IF('0.0%'!$N1212&lt;$Z$3,0, '0.0%'!$O1212/'0.0%'!$N1212)</f>
        <v>1.0585523677344642</v>
      </c>
      <c r="V1212" s="13">
        <f>IF('0.0%'!$N1212&lt;$Z$3,0, '0.0%'!$P1212/'0.0%'!$N1212)</f>
        <v>1.0719355085818829</v>
      </c>
      <c r="W1212" s="13">
        <f>IF('0.0%'!$N1212&lt;$Z$3,0, '0.0%'!$Q1212/'0.0%'!$N1212)</f>
        <v>1.0791317631048887</v>
      </c>
      <c r="X1212" s="13">
        <f>IF('0.0%'!$N1212&lt;$Z$3,0, '0.0%'!$R1212/'0.0%'!$N1212)</f>
        <v>1.0654917740997922</v>
      </c>
      <c r="Y1212" s="13">
        <f>IF('0.0%'!$N1212&lt;$Z$3,0, '0.0%'!$S1212/'0.0%'!$N1212)</f>
        <v>1.1090162715560945</v>
      </c>
    </row>
    <row r="1213" spans="1:25" x14ac:dyDescent="0.3">
      <c r="A1213" s="17">
        <v>1271.31</v>
      </c>
      <c r="B1213" s="10">
        <v>22296</v>
      </c>
      <c r="C1213" s="9">
        <v>1271.31</v>
      </c>
      <c r="D1213" s="10">
        <v>23593.9</v>
      </c>
      <c r="E1213" s="11">
        <v>1271.31</v>
      </c>
      <c r="F1213" s="12">
        <v>23897.4</v>
      </c>
      <c r="G1213" s="11">
        <v>1271.31</v>
      </c>
      <c r="H1213" s="12">
        <v>24049.599999999999</v>
      </c>
      <c r="I1213" s="11">
        <v>1271.31</v>
      </c>
      <c r="J1213" s="12">
        <v>23749.599999999999</v>
      </c>
      <c r="K1213" s="11">
        <v>1271.31</v>
      </c>
      <c r="L1213" s="12">
        <v>24717.599999999999</v>
      </c>
      <c r="M1213" s="11">
        <v>1271.31</v>
      </c>
      <c r="N1213" s="13">
        <v>22296</v>
      </c>
      <c r="O1213" s="13">
        <v>23593.9</v>
      </c>
      <c r="P1213" s="13">
        <v>23897.4</v>
      </c>
      <c r="Q1213" s="11">
        <v>24049.599999999999</v>
      </c>
      <c r="R1213" s="11">
        <v>23749.599999999999</v>
      </c>
      <c r="S1213" s="14">
        <v>24717.599999999999</v>
      </c>
      <c r="T1213" s="11">
        <v>1271.31</v>
      </c>
      <c r="U1213" s="13">
        <f>IF('0.0%'!$N1213&lt;$Z$3,0, '0.0%'!$O1213/'0.0%'!$N1213)</f>
        <v>1.0582122353785433</v>
      </c>
      <c r="V1213" s="13">
        <f>IF('0.0%'!$N1213&lt;$Z$3,0, '0.0%'!$P1213/'0.0%'!$N1213)</f>
        <v>1.0718245425188375</v>
      </c>
      <c r="W1213" s="13">
        <f>IF('0.0%'!$N1213&lt;$Z$3,0, '0.0%'!$Q1213/'0.0%'!$N1213)</f>
        <v>1.0786508790814495</v>
      </c>
      <c r="X1213" s="13">
        <f>IF('0.0%'!$N1213&lt;$Z$3,0, '0.0%'!$R1213/'0.0%'!$N1213)</f>
        <v>1.0651955507714388</v>
      </c>
      <c r="Y1213" s="13">
        <f>IF('0.0%'!$N1213&lt;$Z$3,0, '0.0%'!$S1213/'0.0%'!$N1213)</f>
        <v>1.1086114101184068</v>
      </c>
    </row>
    <row r="1214" spans="1:25" x14ac:dyDescent="0.3">
      <c r="A1214" s="17">
        <v>1272.3</v>
      </c>
      <c r="B1214" s="10">
        <v>22388.799999999999</v>
      </c>
      <c r="C1214" s="9">
        <v>1272.3</v>
      </c>
      <c r="D1214" s="10">
        <v>23686.3</v>
      </c>
      <c r="E1214" s="11">
        <v>1272.3</v>
      </c>
      <c r="F1214" s="12">
        <v>23995.8</v>
      </c>
      <c r="G1214" s="11">
        <v>1272.3</v>
      </c>
      <c r="H1214" s="12">
        <v>24141.3</v>
      </c>
      <c r="I1214" s="11">
        <v>1272.3</v>
      </c>
      <c r="J1214" s="12">
        <v>23843.3</v>
      </c>
      <c r="K1214" s="11">
        <v>1272.3</v>
      </c>
      <c r="L1214" s="12">
        <v>24813.7</v>
      </c>
      <c r="M1214" s="11">
        <v>1272.3</v>
      </c>
      <c r="N1214" s="13">
        <v>22388.799999999999</v>
      </c>
      <c r="O1214" s="13">
        <v>23686.3</v>
      </c>
      <c r="P1214" s="13">
        <v>23995.8</v>
      </c>
      <c r="Q1214" s="11">
        <v>24141.3</v>
      </c>
      <c r="R1214" s="11">
        <v>23843.3</v>
      </c>
      <c r="S1214" s="14">
        <v>24813.7</v>
      </c>
      <c r="T1214" s="11">
        <v>1272.3</v>
      </c>
      <c r="U1214" s="13">
        <f>IF('0.0%'!$N1214&lt;$Z$3,0, '0.0%'!$O1214/'0.0%'!$N1214)</f>
        <v>1.0579530836846995</v>
      </c>
      <c r="V1214" s="13">
        <f>IF('0.0%'!$N1214&lt;$Z$3,0, '0.0%'!$P1214/'0.0%'!$N1214)</f>
        <v>1.0717769599085256</v>
      </c>
      <c r="W1214" s="13">
        <f>IF('0.0%'!$N1214&lt;$Z$3,0, '0.0%'!$Q1214/'0.0%'!$N1214)</f>
        <v>1.0782757450153648</v>
      </c>
      <c r="X1214" s="13">
        <f>IF('0.0%'!$N1214&lt;$Z$3,0, '0.0%'!$R1214/'0.0%'!$N1214)</f>
        <v>1.0649655184735225</v>
      </c>
      <c r="Y1214" s="13">
        <f>IF('0.0%'!$N1214&lt;$Z$3,0, '0.0%'!$S1214/'0.0%'!$N1214)</f>
        <v>1.108308618595012</v>
      </c>
    </row>
    <row r="1215" spans="1:25" x14ac:dyDescent="0.3">
      <c r="A1215" s="17">
        <v>1273.29</v>
      </c>
      <c r="B1215" s="10">
        <v>22487.1</v>
      </c>
      <c r="C1215" s="9">
        <v>1273.29</v>
      </c>
      <c r="D1215" s="10">
        <v>23783.9</v>
      </c>
      <c r="E1215" s="11">
        <v>1273.29</v>
      </c>
      <c r="F1215" s="12">
        <v>24099.4</v>
      </c>
      <c r="G1215" s="11">
        <v>1273.29</v>
      </c>
      <c r="H1215" s="12">
        <v>24237.599999999999</v>
      </c>
      <c r="I1215" s="11">
        <v>1273.29</v>
      </c>
      <c r="J1215" s="12">
        <v>23942.1</v>
      </c>
      <c r="K1215" s="11">
        <v>1273.29</v>
      </c>
      <c r="L1215" s="12">
        <v>24914.3</v>
      </c>
      <c r="M1215" s="11">
        <v>1273.29</v>
      </c>
      <c r="N1215" s="13">
        <v>22487.1</v>
      </c>
      <c r="O1215" s="13">
        <v>23783.9</v>
      </c>
      <c r="P1215" s="13">
        <v>24099.4</v>
      </c>
      <c r="Q1215" s="11">
        <v>24237.599999999999</v>
      </c>
      <c r="R1215" s="11">
        <v>23942.1</v>
      </c>
      <c r="S1215" s="14">
        <v>24914.3</v>
      </c>
      <c r="T1215" s="11">
        <v>1273.29</v>
      </c>
      <c r="U1215" s="13">
        <f>IF('0.0%'!$N1215&lt;$Z$3,0, '0.0%'!$O1215/'0.0%'!$N1215)</f>
        <v>1.0576686188970568</v>
      </c>
      <c r="V1215" s="13">
        <f>IF('0.0%'!$N1215&lt;$Z$3,0, '0.0%'!$P1215/'0.0%'!$N1215)</f>
        <v>1.0716988851385907</v>
      </c>
      <c r="W1215" s="13">
        <f>IF('0.0%'!$N1215&lt;$Z$3,0, '0.0%'!$Q1215/'0.0%'!$N1215)</f>
        <v>1.0778446309217284</v>
      </c>
      <c r="X1215" s="13">
        <f>IF('0.0%'!$N1215&lt;$Z$3,0, '0.0%'!$R1215/'0.0%'!$N1215)</f>
        <v>1.0647037634910683</v>
      </c>
      <c r="Y1215" s="13">
        <f>IF('0.0%'!$N1215&lt;$Z$3,0, '0.0%'!$S1215/'0.0%'!$N1215)</f>
        <v>1.1079374396876431</v>
      </c>
    </row>
    <row r="1216" spans="1:25" x14ac:dyDescent="0.3">
      <c r="A1216" s="17">
        <v>1274.28</v>
      </c>
      <c r="B1216" s="10">
        <v>22574.3</v>
      </c>
      <c r="C1216" s="9">
        <v>1274.28</v>
      </c>
      <c r="D1216" s="10">
        <v>23871.4</v>
      </c>
      <c r="E1216" s="11">
        <v>1274.28</v>
      </c>
      <c r="F1216" s="12">
        <v>24192.2</v>
      </c>
      <c r="G1216" s="11">
        <v>1274.28</v>
      </c>
      <c r="H1216" s="12">
        <v>24323.7</v>
      </c>
      <c r="I1216" s="11">
        <v>1274.28</v>
      </c>
      <c r="J1216" s="12">
        <v>24030.7</v>
      </c>
      <c r="K1216" s="11">
        <v>1274.28</v>
      </c>
      <c r="L1216" s="12">
        <v>25004.3</v>
      </c>
      <c r="M1216" s="11">
        <v>1274.28</v>
      </c>
      <c r="N1216" s="13">
        <v>22574.3</v>
      </c>
      <c r="O1216" s="13">
        <v>23871.4</v>
      </c>
      <c r="P1216" s="13">
        <v>24192.2</v>
      </c>
      <c r="Q1216" s="11">
        <v>24323.7</v>
      </c>
      <c r="R1216" s="11">
        <v>24030.7</v>
      </c>
      <c r="S1216" s="14">
        <v>25004.3</v>
      </c>
      <c r="T1216" s="11">
        <v>1274.28</v>
      </c>
      <c r="U1216" s="13">
        <f>IF('0.0%'!$N1216&lt;$Z$3,0, '0.0%'!$O1216/'0.0%'!$N1216)</f>
        <v>1.0574591460200318</v>
      </c>
      <c r="V1216" s="13">
        <f>IF('0.0%'!$N1216&lt;$Z$3,0, '0.0%'!$P1216/'0.0%'!$N1216)</f>
        <v>1.071669996411849</v>
      </c>
      <c r="W1216" s="13">
        <f>IF('0.0%'!$N1216&lt;$Z$3,0, '0.0%'!$Q1216/'0.0%'!$N1216)</f>
        <v>1.0774952047239561</v>
      </c>
      <c r="X1216" s="13">
        <f>IF('0.0%'!$N1216&lt;$Z$3,0, '0.0%'!$R1216/'0.0%'!$N1216)</f>
        <v>1.0645158432376642</v>
      </c>
      <c r="Y1216" s="13">
        <f>IF('0.0%'!$N1216&lt;$Z$3,0, '0.0%'!$S1216/'0.0%'!$N1216)</f>
        <v>1.1076445338282914</v>
      </c>
    </row>
    <row r="1217" spans="1:25" x14ac:dyDescent="0.3">
      <c r="A1217" s="17">
        <v>1275.27</v>
      </c>
      <c r="B1217" s="10">
        <v>22667.599999999999</v>
      </c>
      <c r="C1217" s="9">
        <v>1275.27</v>
      </c>
      <c r="D1217" s="10">
        <v>23963.599999999999</v>
      </c>
      <c r="E1217" s="11">
        <v>1275.27</v>
      </c>
      <c r="F1217" s="12">
        <v>24291.1</v>
      </c>
      <c r="G1217" s="11">
        <v>1275.27</v>
      </c>
      <c r="H1217" s="12">
        <v>24415</v>
      </c>
      <c r="I1217" s="11">
        <v>1275.27</v>
      </c>
      <c r="J1217" s="12">
        <v>24125</v>
      </c>
      <c r="K1217" s="11">
        <v>1275.27</v>
      </c>
      <c r="L1217" s="12">
        <v>25099.5</v>
      </c>
      <c r="M1217" s="11">
        <v>1275.27</v>
      </c>
      <c r="N1217" s="13">
        <v>22667.599999999999</v>
      </c>
      <c r="O1217" s="13">
        <v>23963.599999999999</v>
      </c>
      <c r="P1217" s="13">
        <v>24291.1</v>
      </c>
      <c r="Q1217" s="11">
        <v>24415</v>
      </c>
      <c r="R1217" s="11">
        <v>24125</v>
      </c>
      <c r="S1217" s="14">
        <v>25099.5</v>
      </c>
      <c r="T1217" s="11">
        <v>1275.27</v>
      </c>
      <c r="U1217" s="13">
        <f>IF('0.0%'!$N1217&lt;$Z$3,0, '0.0%'!$O1217/'0.0%'!$N1217)</f>
        <v>1.0571741163599147</v>
      </c>
      <c r="V1217" s="13">
        <f>IF('0.0%'!$N1217&lt;$Z$3,0, '0.0%'!$P1217/'0.0%'!$N1217)</f>
        <v>1.0716220508567293</v>
      </c>
      <c r="W1217" s="13">
        <f>IF('0.0%'!$N1217&lt;$Z$3,0, '0.0%'!$Q1217/'0.0%'!$N1217)</f>
        <v>1.0770880022587306</v>
      </c>
      <c r="X1217" s="13">
        <f>IF('0.0%'!$N1217&lt;$Z$3,0, '0.0%'!$R1217/'0.0%'!$N1217)</f>
        <v>1.0642944114065893</v>
      </c>
      <c r="Y1217" s="13">
        <f>IF('0.0%'!$N1217&lt;$Z$3,0, '0.0%'!$S1217/'0.0%'!$N1217)</f>
        <v>1.1072852882528368</v>
      </c>
    </row>
    <row r="1218" spans="1:25" x14ac:dyDescent="0.3">
      <c r="A1218" s="17">
        <v>1276.27</v>
      </c>
      <c r="B1218" s="10">
        <v>22749.599999999999</v>
      </c>
      <c r="C1218" s="9">
        <v>1276.27</v>
      </c>
      <c r="D1218" s="10">
        <v>24045.200000000001</v>
      </c>
      <c r="E1218" s="11">
        <v>1276.27</v>
      </c>
      <c r="F1218" s="12">
        <v>24378.7</v>
      </c>
      <c r="G1218" s="11">
        <v>1276.27</v>
      </c>
      <c r="H1218" s="12">
        <v>24495.4</v>
      </c>
      <c r="I1218" s="11">
        <v>1276.27</v>
      </c>
      <c r="J1218" s="12">
        <v>24208.1</v>
      </c>
      <c r="K1218" s="11">
        <v>1276.27</v>
      </c>
      <c r="L1218" s="12">
        <v>25183.3</v>
      </c>
      <c r="M1218" s="11">
        <v>1276.27</v>
      </c>
      <c r="N1218" s="13">
        <v>22749.599999999999</v>
      </c>
      <c r="O1218" s="13">
        <v>24045.200000000001</v>
      </c>
      <c r="P1218" s="13">
        <v>24378.7</v>
      </c>
      <c r="Q1218" s="11">
        <v>24495.4</v>
      </c>
      <c r="R1218" s="11">
        <v>24208.1</v>
      </c>
      <c r="S1218" s="14">
        <v>25183.3</v>
      </c>
      <c r="T1218" s="11">
        <v>1276.27</v>
      </c>
      <c r="U1218" s="13">
        <f>IF('0.0%'!$N1218&lt;$Z$3,0, '0.0%'!$O1218/'0.0%'!$N1218)</f>
        <v>1.0569504518760771</v>
      </c>
      <c r="V1218" s="13">
        <f>IF('0.0%'!$N1218&lt;$Z$3,0, '0.0%'!$P1218/'0.0%'!$N1218)</f>
        <v>1.0716100502865986</v>
      </c>
      <c r="W1218" s="13">
        <f>IF('0.0%'!$N1218&lt;$Z$3,0, '0.0%'!$Q1218/'0.0%'!$N1218)</f>
        <v>1.0767398108098605</v>
      </c>
      <c r="X1218" s="13">
        <f>IF('0.0%'!$N1218&lt;$Z$3,0, '0.0%'!$R1218/'0.0%'!$N1218)</f>
        <v>1.0641110173365687</v>
      </c>
      <c r="Y1218" s="13">
        <f>IF('0.0%'!$N1218&lt;$Z$3,0, '0.0%'!$S1218/'0.0%'!$N1218)</f>
        <v>1.1069777051025074</v>
      </c>
    </row>
    <row r="1219" spans="1:25" x14ac:dyDescent="0.3">
      <c r="A1219" s="17">
        <v>1277.26</v>
      </c>
      <c r="B1219" s="10">
        <v>22835.4</v>
      </c>
      <c r="C1219" s="9">
        <v>1277.26</v>
      </c>
      <c r="D1219" s="10">
        <v>24130.3</v>
      </c>
      <c r="E1219" s="11">
        <v>1277.26</v>
      </c>
      <c r="F1219" s="12">
        <v>24469.9</v>
      </c>
      <c r="G1219" s="11">
        <v>1277.26</v>
      </c>
      <c r="H1219" s="12">
        <v>24578.7</v>
      </c>
      <c r="I1219" s="11">
        <v>1277.26</v>
      </c>
      <c r="J1219" s="12">
        <v>24294.6</v>
      </c>
      <c r="K1219" s="11">
        <v>1277.26</v>
      </c>
      <c r="L1219" s="12">
        <v>25270.1</v>
      </c>
      <c r="M1219" s="11">
        <v>1277.26</v>
      </c>
      <c r="N1219" s="13">
        <v>22835.4</v>
      </c>
      <c r="O1219" s="13">
        <v>24130.3</v>
      </c>
      <c r="P1219" s="13">
        <v>24469.9</v>
      </c>
      <c r="Q1219" s="11">
        <v>24578.7</v>
      </c>
      <c r="R1219" s="11">
        <v>24294.6</v>
      </c>
      <c r="S1219" s="14">
        <v>25270.1</v>
      </c>
      <c r="T1219" s="11">
        <v>1277.26</v>
      </c>
      <c r="U1219" s="13">
        <f>IF('0.0%'!$N1219&lt;$Z$3,0, '0.0%'!$O1219/'0.0%'!$N1219)</f>
        <v>1.0567058164078578</v>
      </c>
      <c r="V1219" s="13">
        <f>IF('0.0%'!$N1219&lt;$Z$3,0, '0.0%'!$P1219/'0.0%'!$N1219)</f>
        <v>1.0715774630617374</v>
      </c>
      <c r="W1219" s="13">
        <f>IF('0.0%'!$N1219&lt;$Z$3,0, '0.0%'!$Q1219/'0.0%'!$N1219)</f>
        <v>1.0763419953230511</v>
      </c>
      <c r="X1219" s="13">
        <f>IF('0.0%'!$N1219&lt;$Z$3,0, '0.0%'!$R1219/'0.0%'!$N1219)</f>
        <v>1.063900785622323</v>
      </c>
      <c r="Y1219" s="13">
        <f>IF('0.0%'!$N1219&lt;$Z$3,0, '0.0%'!$S1219/'0.0%'!$N1219)</f>
        <v>1.1066195468439353</v>
      </c>
    </row>
    <row r="1220" spans="1:25" x14ac:dyDescent="0.3">
      <c r="A1220" s="17">
        <v>1278.25</v>
      </c>
      <c r="B1220" s="10">
        <v>22909</v>
      </c>
      <c r="C1220" s="9">
        <v>1278.25</v>
      </c>
      <c r="D1220" s="10">
        <v>24203.599999999999</v>
      </c>
      <c r="E1220" s="11">
        <v>1278.25</v>
      </c>
      <c r="F1220" s="12">
        <v>24548.5</v>
      </c>
      <c r="G1220" s="11">
        <v>1278.25</v>
      </c>
      <c r="H1220" s="12">
        <v>24650.9</v>
      </c>
      <c r="I1220" s="11">
        <v>1278.25</v>
      </c>
      <c r="J1220" s="12">
        <v>24369.200000000001</v>
      </c>
      <c r="K1220" s="11">
        <v>1278.25</v>
      </c>
      <c r="L1220" s="12">
        <v>25345.1</v>
      </c>
      <c r="M1220" s="11">
        <v>1278.25</v>
      </c>
      <c r="N1220" s="13">
        <v>22909</v>
      </c>
      <c r="O1220" s="13">
        <v>24203.599999999999</v>
      </c>
      <c r="P1220" s="13">
        <v>24548.5</v>
      </c>
      <c r="Q1220" s="11">
        <v>24650.9</v>
      </c>
      <c r="R1220" s="11">
        <v>24369.200000000001</v>
      </c>
      <c r="S1220" s="14">
        <v>25345.1</v>
      </c>
      <c r="T1220" s="11">
        <v>1278.25</v>
      </c>
      <c r="U1220" s="13">
        <f>IF('0.0%'!$N1220&lt;$Z$3,0, '0.0%'!$O1220/'0.0%'!$N1220)</f>
        <v>1.0565105417084988</v>
      </c>
      <c r="V1220" s="13">
        <f>IF('0.0%'!$N1220&lt;$Z$3,0, '0.0%'!$P1220/'0.0%'!$N1220)</f>
        <v>1.071565760181588</v>
      </c>
      <c r="W1220" s="13">
        <f>IF('0.0%'!$N1220&lt;$Z$3,0, '0.0%'!$Q1220/'0.0%'!$N1220)</f>
        <v>1.0760356191889651</v>
      </c>
      <c r="X1220" s="13">
        <f>IF('0.0%'!$N1220&lt;$Z$3,0, '0.0%'!$R1220/'0.0%'!$N1220)</f>
        <v>1.0637391418219915</v>
      </c>
      <c r="Y1220" s="13">
        <f>IF('0.0%'!$N1220&lt;$Z$3,0, '0.0%'!$S1220/'0.0%'!$N1220)</f>
        <v>1.1063381203893665</v>
      </c>
    </row>
    <row r="1221" spans="1:25" x14ac:dyDescent="0.3">
      <c r="A1221" s="17">
        <v>1279.24</v>
      </c>
      <c r="B1221" s="10">
        <v>22988.400000000001</v>
      </c>
      <c r="C1221" s="9">
        <v>1279.24</v>
      </c>
      <c r="D1221" s="10">
        <v>24282.400000000001</v>
      </c>
      <c r="E1221" s="11">
        <v>1279.24</v>
      </c>
      <c r="F1221" s="12">
        <v>24633</v>
      </c>
      <c r="G1221" s="11">
        <v>1279.24</v>
      </c>
      <c r="H1221" s="12">
        <v>24728.2</v>
      </c>
      <c r="I1221" s="11">
        <v>1279.24</v>
      </c>
      <c r="J1221" s="12">
        <v>24449.200000000001</v>
      </c>
      <c r="K1221" s="11">
        <v>1279.24</v>
      </c>
      <c r="L1221" s="12">
        <v>25425.599999999999</v>
      </c>
      <c r="M1221" s="11">
        <v>1279.24</v>
      </c>
      <c r="N1221" s="13">
        <v>22988.400000000001</v>
      </c>
      <c r="O1221" s="13">
        <v>24282.400000000001</v>
      </c>
      <c r="P1221" s="13">
        <v>24633</v>
      </c>
      <c r="Q1221" s="11">
        <v>24728.2</v>
      </c>
      <c r="R1221" s="11">
        <v>24449.200000000001</v>
      </c>
      <c r="S1221" s="14">
        <v>25425.599999999999</v>
      </c>
      <c r="T1221" s="11">
        <v>1279.24</v>
      </c>
      <c r="U1221" s="13">
        <f>IF('0.0%'!$N1221&lt;$Z$3,0, '0.0%'!$O1221/'0.0%'!$N1221)</f>
        <v>1.056289258930591</v>
      </c>
      <c r="V1221" s="13">
        <f>IF('0.0%'!$N1221&lt;$Z$3,0, '0.0%'!$P1221/'0.0%'!$N1221)</f>
        <v>1.0715404290859738</v>
      </c>
      <c r="W1221" s="13">
        <f>IF('0.0%'!$N1221&lt;$Z$3,0, '0.0%'!$Q1221/'0.0%'!$N1221)</f>
        <v>1.0756816481355813</v>
      </c>
      <c r="X1221" s="13">
        <f>IF('0.0%'!$N1221&lt;$Z$3,0, '0.0%'!$R1221/'0.0%'!$N1221)</f>
        <v>1.0635450923074246</v>
      </c>
      <c r="Y1221" s="13">
        <f>IF('0.0%'!$N1221&lt;$Z$3,0, '0.0%'!$S1221/'0.0%'!$N1221)</f>
        <v>1.1060186876859632</v>
      </c>
    </row>
    <row r="1222" spans="1:25" x14ac:dyDescent="0.3">
      <c r="A1222" s="17">
        <v>1280.23</v>
      </c>
      <c r="B1222" s="10">
        <v>23056.400000000001</v>
      </c>
      <c r="C1222" s="9">
        <v>1280.23</v>
      </c>
      <c r="D1222" s="10">
        <v>24350.1</v>
      </c>
      <c r="E1222" s="11">
        <v>1280.23</v>
      </c>
      <c r="F1222" s="12">
        <v>24705.7</v>
      </c>
      <c r="G1222" s="11">
        <v>1280.23</v>
      </c>
      <c r="H1222" s="12">
        <v>24795.4</v>
      </c>
      <c r="I1222" s="11">
        <v>1280.23</v>
      </c>
      <c r="J1222" s="12">
        <v>24518.6</v>
      </c>
      <c r="K1222" s="11">
        <v>1280.23</v>
      </c>
      <c r="L1222" s="12">
        <v>25495.200000000001</v>
      </c>
      <c r="M1222" s="11">
        <v>1280.23</v>
      </c>
      <c r="N1222" s="13">
        <v>23056.400000000001</v>
      </c>
      <c r="O1222" s="13">
        <v>24350.1</v>
      </c>
      <c r="P1222" s="13">
        <v>24705.7</v>
      </c>
      <c r="Q1222" s="11">
        <v>24795.4</v>
      </c>
      <c r="R1222" s="11">
        <v>24518.6</v>
      </c>
      <c r="S1222" s="14">
        <v>25495.200000000001</v>
      </c>
      <c r="T1222" s="11">
        <v>1280.23</v>
      </c>
      <c r="U1222" s="13">
        <f>IF('0.0%'!$N1222&lt;$Z$3,0, '0.0%'!$O1222/'0.0%'!$N1222)</f>
        <v>1.0561102340348014</v>
      </c>
      <c r="V1222" s="13">
        <f>IF('0.0%'!$N1222&lt;$Z$3,0, '0.0%'!$P1222/'0.0%'!$N1222)</f>
        <v>1.0715332836002152</v>
      </c>
      <c r="W1222" s="13">
        <f>IF('0.0%'!$N1222&lt;$Z$3,0, '0.0%'!$Q1222/'0.0%'!$N1222)</f>
        <v>1.0754237435159002</v>
      </c>
      <c r="X1222" s="13">
        <f>IF('0.0%'!$N1222&lt;$Z$3,0, '0.0%'!$R1222/'0.0%'!$N1222)</f>
        <v>1.0634184000971529</v>
      </c>
      <c r="Y1222" s="13">
        <f>IF('0.0%'!$N1222&lt;$Z$3,0, '0.0%'!$S1222/'0.0%'!$N1222)</f>
        <v>1.1057754029250013</v>
      </c>
    </row>
    <row r="1223" spans="1:25" x14ac:dyDescent="0.3">
      <c r="A1223" s="17">
        <v>1281.22</v>
      </c>
      <c r="B1223" s="10">
        <v>23128.7</v>
      </c>
      <c r="C1223" s="9">
        <v>1281.22</v>
      </c>
      <c r="D1223" s="10">
        <v>24422.2</v>
      </c>
      <c r="E1223" s="11">
        <v>1281.22</v>
      </c>
      <c r="F1223" s="12">
        <v>24782.7</v>
      </c>
      <c r="G1223" s="11">
        <v>1281.22</v>
      </c>
      <c r="H1223" s="12">
        <v>24866.5</v>
      </c>
      <c r="I1223" s="11">
        <v>1281.22</v>
      </c>
      <c r="J1223" s="12">
        <v>24591.9</v>
      </c>
      <c r="K1223" s="11">
        <v>1281.22</v>
      </c>
      <c r="L1223" s="12">
        <v>25569</v>
      </c>
      <c r="M1223" s="11">
        <v>1281.22</v>
      </c>
      <c r="N1223" s="13">
        <v>23128.7</v>
      </c>
      <c r="O1223" s="13">
        <v>24422.2</v>
      </c>
      <c r="P1223" s="13">
        <v>24782.7</v>
      </c>
      <c r="Q1223" s="11">
        <v>24866.5</v>
      </c>
      <c r="R1223" s="11">
        <v>24591.9</v>
      </c>
      <c r="S1223" s="14">
        <v>25569</v>
      </c>
      <c r="T1223" s="11">
        <v>1281.22</v>
      </c>
      <c r="U1223" s="13">
        <f>IF('0.0%'!$N1223&lt;$Z$3,0, '0.0%'!$O1223/'0.0%'!$N1223)</f>
        <v>1.0559261869452239</v>
      </c>
      <c r="V1223" s="13">
        <f>IF('0.0%'!$N1223&lt;$Z$3,0, '0.0%'!$P1223/'0.0%'!$N1223)</f>
        <v>1.0715128822631623</v>
      </c>
      <c r="W1223" s="13">
        <f>IF('0.0%'!$N1223&lt;$Z$3,0, '0.0%'!$Q1223/'0.0%'!$N1223)</f>
        <v>1.0751360863342947</v>
      </c>
      <c r="X1223" s="13">
        <f>IF('0.0%'!$N1223&lt;$Z$3,0, '0.0%'!$R1223/'0.0%'!$N1223)</f>
        <v>1.0632633913708942</v>
      </c>
      <c r="Y1223" s="13">
        <f>IF('0.0%'!$N1223&lt;$Z$3,0, '0.0%'!$S1223/'0.0%'!$N1223)</f>
        <v>1.1055096049496944</v>
      </c>
    </row>
    <row r="1224" spans="1:25" x14ac:dyDescent="0.3">
      <c r="A1224" s="17">
        <v>1282.22</v>
      </c>
      <c r="B1224" s="10">
        <v>23190.9</v>
      </c>
      <c r="C1224" s="9">
        <v>1282.22</v>
      </c>
      <c r="D1224" s="10">
        <v>24485.3</v>
      </c>
      <c r="E1224" s="11">
        <v>1282.22</v>
      </c>
      <c r="F1224" s="12">
        <v>24849.4</v>
      </c>
      <c r="G1224" s="11">
        <v>1282.22</v>
      </c>
      <c r="H1224" s="12">
        <v>24928.3</v>
      </c>
      <c r="I1224" s="11">
        <v>1282.22</v>
      </c>
      <c r="J1224" s="12">
        <v>24655.5</v>
      </c>
      <c r="K1224" s="11">
        <v>1282.22</v>
      </c>
      <c r="L1224" s="12">
        <v>25632.799999999999</v>
      </c>
      <c r="M1224" s="11">
        <v>1282.22</v>
      </c>
      <c r="N1224" s="13">
        <v>23190.9</v>
      </c>
      <c r="O1224" s="13">
        <v>24485.3</v>
      </c>
      <c r="P1224" s="13">
        <v>24849.4</v>
      </c>
      <c r="Q1224" s="11">
        <v>24928.3</v>
      </c>
      <c r="R1224" s="11">
        <v>24655.5</v>
      </c>
      <c r="S1224" s="14">
        <v>25632.799999999999</v>
      </c>
      <c r="T1224" s="11">
        <v>1282.22</v>
      </c>
      <c r="U1224" s="13">
        <f>IF('0.0%'!$N1224&lt;$Z$3,0, '0.0%'!$O1224/'0.0%'!$N1224)</f>
        <v>1.0558149963994496</v>
      </c>
      <c r="V1224" s="13">
        <f>IF('0.0%'!$N1224&lt;$Z$3,0, '0.0%'!$P1224/'0.0%'!$N1224)</f>
        <v>1.0715151201548883</v>
      </c>
      <c r="W1224" s="13">
        <f>IF('0.0%'!$N1224&lt;$Z$3,0, '0.0%'!$Q1224/'0.0%'!$N1224)</f>
        <v>1.0749173167061217</v>
      </c>
      <c r="X1224" s="13">
        <f>IF('0.0%'!$N1224&lt;$Z$3,0, '0.0%'!$R1224/'0.0%'!$N1224)</f>
        <v>1.0631540819890559</v>
      </c>
      <c r="Y1224" s="13">
        <f>IF('0.0%'!$N1224&lt;$Z$3,0, '0.0%'!$S1224/'0.0%'!$N1224)</f>
        <v>1.1052956116407728</v>
      </c>
    </row>
    <row r="1225" spans="1:25" x14ac:dyDescent="0.3">
      <c r="A1225" s="17">
        <v>1283.21</v>
      </c>
      <c r="B1225" s="10">
        <v>23259.8</v>
      </c>
      <c r="C1225" s="9">
        <v>1283.21</v>
      </c>
      <c r="D1225" s="10">
        <v>24554.1</v>
      </c>
      <c r="E1225" s="11">
        <v>1283.21</v>
      </c>
      <c r="F1225" s="12">
        <v>24923.5</v>
      </c>
      <c r="G1225" s="11">
        <v>1283.21</v>
      </c>
      <c r="H1225" s="12">
        <v>24996.3</v>
      </c>
      <c r="I1225" s="11">
        <v>1283.21</v>
      </c>
      <c r="J1225" s="12">
        <v>24725.8</v>
      </c>
      <c r="K1225" s="11">
        <v>1283.21</v>
      </c>
      <c r="L1225" s="12">
        <v>25703.4</v>
      </c>
      <c r="M1225" s="11">
        <v>1283.21</v>
      </c>
      <c r="N1225" s="13">
        <v>23259.8</v>
      </c>
      <c r="O1225" s="13">
        <v>24554.1</v>
      </c>
      <c r="P1225" s="13">
        <v>24923.5</v>
      </c>
      <c r="Q1225" s="11">
        <v>24996.3</v>
      </c>
      <c r="R1225" s="11">
        <v>24725.8</v>
      </c>
      <c r="S1225" s="14">
        <v>25703.4</v>
      </c>
      <c r="T1225" s="11">
        <v>1283.21</v>
      </c>
      <c r="U1225" s="13">
        <f>IF('0.0%'!$N1225&lt;$Z$3,0, '0.0%'!$O1225/'0.0%'!$N1225)</f>
        <v>1.0556453623848872</v>
      </c>
      <c r="V1225" s="13">
        <f>IF('0.0%'!$N1225&lt;$Z$3,0, '0.0%'!$P1225/'0.0%'!$N1225)</f>
        <v>1.0715268402995728</v>
      </c>
      <c r="W1225" s="13">
        <f>IF('0.0%'!$N1225&lt;$Z$3,0, '0.0%'!$Q1225/'0.0%'!$N1225)</f>
        <v>1.0746567038409616</v>
      </c>
      <c r="X1225" s="13">
        <f>IF('0.0%'!$N1225&lt;$Z$3,0, '0.0%'!$R1225/'0.0%'!$N1225)</f>
        <v>1.0630271971384104</v>
      </c>
      <c r="Y1225" s="13">
        <f>IF('0.0%'!$N1225&lt;$Z$3,0, '0.0%'!$S1225/'0.0%'!$N1225)</f>
        <v>1.1050567932656343</v>
      </c>
    </row>
    <row r="1226" spans="1:25" x14ac:dyDescent="0.3">
      <c r="A1226" s="17">
        <v>1284.2</v>
      </c>
      <c r="B1226" s="10">
        <v>23318.3</v>
      </c>
      <c r="C1226" s="9">
        <v>1284.2</v>
      </c>
      <c r="D1226" s="10">
        <v>24612.9</v>
      </c>
      <c r="E1226" s="11">
        <v>1284.2</v>
      </c>
      <c r="F1226" s="12">
        <v>24986.7</v>
      </c>
      <c r="G1226" s="11">
        <v>1284.2</v>
      </c>
      <c r="H1226" s="12">
        <v>25054.3</v>
      </c>
      <c r="I1226" s="11">
        <v>1284.2</v>
      </c>
      <c r="J1226" s="12">
        <v>24785.9</v>
      </c>
      <c r="K1226" s="11">
        <v>1284.2</v>
      </c>
      <c r="L1226" s="12">
        <v>25764.400000000001</v>
      </c>
      <c r="M1226" s="11">
        <v>1284.2</v>
      </c>
      <c r="N1226" s="13">
        <v>23318.3</v>
      </c>
      <c r="O1226" s="13">
        <v>24612.9</v>
      </c>
      <c r="P1226" s="13">
        <v>24986.7</v>
      </c>
      <c r="Q1226" s="11">
        <v>25054.3</v>
      </c>
      <c r="R1226" s="11">
        <v>24785.9</v>
      </c>
      <c r="S1226" s="14">
        <v>25764.400000000001</v>
      </c>
      <c r="T1226" s="11">
        <v>1284.2</v>
      </c>
      <c r="U1226" s="13">
        <f>IF('0.0%'!$N1226&lt;$Z$3,0, '0.0%'!$O1226/'0.0%'!$N1226)</f>
        <v>1.0555186270011108</v>
      </c>
      <c r="V1226" s="13">
        <f>IF('0.0%'!$N1226&lt;$Z$3,0, '0.0%'!$P1226/'0.0%'!$N1226)</f>
        <v>1.0715489551125084</v>
      </c>
      <c r="W1226" s="13">
        <f>IF('0.0%'!$N1226&lt;$Z$3,0, '0.0%'!$Q1226/'0.0%'!$N1226)</f>
        <v>1.0744479657607973</v>
      </c>
      <c r="X1226" s="13">
        <f>IF('0.0%'!$N1226&lt;$Z$3,0, '0.0%'!$R1226/'0.0%'!$N1226)</f>
        <v>1.0629376927134484</v>
      </c>
      <c r="Y1226" s="13">
        <f>IF('0.0%'!$N1226&lt;$Z$3,0, '0.0%'!$S1226/'0.0%'!$N1226)</f>
        <v>1.1049004429997042</v>
      </c>
    </row>
    <row r="1227" spans="1:25" x14ac:dyDescent="0.3">
      <c r="A1227" s="17">
        <v>1285.19</v>
      </c>
      <c r="B1227" s="10">
        <v>23381.5</v>
      </c>
      <c r="C1227" s="9">
        <v>1285.19</v>
      </c>
      <c r="D1227" s="10">
        <v>24676.5</v>
      </c>
      <c r="E1227" s="11">
        <v>1285.19</v>
      </c>
      <c r="F1227" s="12">
        <v>25055</v>
      </c>
      <c r="G1227" s="11">
        <v>1285.19</v>
      </c>
      <c r="H1227" s="12">
        <v>25117</v>
      </c>
      <c r="I1227" s="11">
        <v>1285.19</v>
      </c>
      <c r="J1227" s="12">
        <v>24850.5</v>
      </c>
      <c r="K1227" s="11">
        <v>1285.19</v>
      </c>
      <c r="L1227" s="12">
        <v>25829.9</v>
      </c>
      <c r="M1227" s="11">
        <v>1285.19</v>
      </c>
      <c r="N1227" s="13">
        <v>23381.5</v>
      </c>
      <c r="O1227" s="13">
        <v>24676.5</v>
      </c>
      <c r="P1227" s="13">
        <v>25055</v>
      </c>
      <c r="Q1227" s="11">
        <v>25117</v>
      </c>
      <c r="R1227" s="11">
        <v>24850.5</v>
      </c>
      <c r="S1227" s="14">
        <v>25829.9</v>
      </c>
      <c r="T1227" s="11">
        <v>1285.19</v>
      </c>
      <c r="U1227" s="13">
        <f>IF('0.0%'!$N1227&lt;$Z$3,0, '0.0%'!$O1227/'0.0%'!$N1227)</f>
        <v>1.0553856681564484</v>
      </c>
      <c r="V1227" s="13">
        <f>IF('0.0%'!$N1227&lt;$Z$3,0, '0.0%'!$P1227/'0.0%'!$N1227)</f>
        <v>1.0715736800461904</v>
      </c>
      <c r="W1227" s="13">
        <f>IF('0.0%'!$N1227&lt;$Z$3,0, '0.0%'!$Q1227/'0.0%'!$N1227)</f>
        <v>1.0742253491007847</v>
      </c>
      <c r="X1227" s="13">
        <f>IF('0.0%'!$N1227&lt;$Z$3,0, '0.0%'!$R1227/'0.0%'!$N1227)</f>
        <v>1.0628274490516005</v>
      </c>
      <c r="Y1227" s="13">
        <f>IF('0.0%'!$N1227&lt;$Z$3,0, '0.0%'!$S1227/'0.0%'!$N1227)</f>
        <v>1.1047152663430491</v>
      </c>
    </row>
    <row r="1228" spans="1:25" x14ac:dyDescent="0.3">
      <c r="A1228" s="17">
        <v>1286.18</v>
      </c>
      <c r="B1228" s="10">
        <v>23435.3</v>
      </c>
      <c r="C1228" s="9">
        <v>1286.18</v>
      </c>
      <c r="D1228" s="10">
        <v>24731.3</v>
      </c>
      <c r="E1228" s="11">
        <v>1286.18</v>
      </c>
      <c r="F1228" s="12">
        <v>25113.599999999999</v>
      </c>
      <c r="G1228" s="11">
        <v>1286.18</v>
      </c>
      <c r="H1228" s="12">
        <v>25171</v>
      </c>
      <c r="I1228" s="11">
        <v>1286.18</v>
      </c>
      <c r="J1228" s="12">
        <v>24906.1</v>
      </c>
      <c r="K1228" s="11">
        <v>1286.18</v>
      </c>
      <c r="L1228" s="12">
        <v>25886.3</v>
      </c>
      <c r="M1228" s="11">
        <v>1286.18</v>
      </c>
      <c r="N1228" s="13">
        <v>23435.3</v>
      </c>
      <c r="O1228" s="13">
        <v>24731.3</v>
      </c>
      <c r="P1228" s="13">
        <v>25113.599999999999</v>
      </c>
      <c r="Q1228" s="11">
        <v>25171</v>
      </c>
      <c r="R1228" s="11">
        <v>24906.1</v>
      </c>
      <c r="S1228" s="14">
        <v>25886.3</v>
      </c>
      <c r="T1228" s="11">
        <v>1286.18</v>
      </c>
      <c r="U1228" s="13">
        <f>IF('0.0%'!$N1228&lt;$Z$3,0, '0.0%'!$O1228/'0.0%'!$N1228)</f>
        <v>1.0553011909384562</v>
      </c>
      <c r="V1228" s="13">
        <f>IF('0.0%'!$N1228&lt;$Z$3,0, '0.0%'!$P1228/'0.0%'!$N1228)</f>
        <v>1.0716141888518602</v>
      </c>
      <c r="W1228" s="13">
        <f>IF('0.0%'!$N1228&lt;$Z$3,0, '0.0%'!$Q1228/'0.0%'!$N1228)</f>
        <v>1.074063485425832</v>
      </c>
      <c r="X1228" s="13">
        <f>IF('0.0%'!$N1228&lt;$Z$3,0, '0.0%'!$R1228/'0.0%'!$N1228)</f>
        <v>1.0627600244076243</v>
      </c>
      <c r="Y1228" s="13">
        <f>IF('0.0%'!$N1228&lt;$Z$3,0, '0.0%'!$S1228/'0.0%'!$N1228)</f>
        <v>1.104585817122034</v>
      </c>
    </row>
    <row r="1229" spans="1:25" x14ac:dyDescent="0.3">
      <c r="A1229" s="17">
        <v>1287.18</v>
      </c>
      <c r="B1229" s="10">
        <v>23496</v>
      </c>
      <c r="C1229" s="9">
        <v>1287.18</v>
      </c>
      <c r="D1229" s="10">
        <v>24792.5</v>
      </c>
      <c r="E1229" s="11">
        <v>1287.18</v>
      </c>
      <c r="F1229" s="12">
        <v>25178.9</v>
      </c>
      <c r="G1229" s="11">
        <v>1287.18</v>
      </c>
      <c r="H1229" s="12">
        <v>25231.5</v>
      </c>
      <c r="I1229" s="11">
        <v>1287.18</v>
      </c>
      <c r="J1229" s="12">
        <v>24968.2</v>
      </c>
      <c r="K1229" s="11">
        <v>1287.18</v>
      </c>
      <c r="L1229" s="12">
        <v>25950</v>
      </c>
      <c r="M1229" s="11">
        <v>1287.18</v>
      </c>
      <c r="N1229" s="13">
        <v>23496</v>
      </c>
      <c r="O1229" s="13">
        <v>24792.5</v>
      </c>
      <c r="P1229" s="13">
        <v>25178.9</v>
      </c>
      <c r="Q1229" s="11">
        <v>25231.5</v>
      </c>
      <c r="R1229" s="11">
        <v>24968.2</v>
      </c>
      <c r="S1229" s="14">
        <v>25950</v>
      </c>
      <c r="T1229" s="11">
        <v>1287.18</v>
      </c>
      <c r="U1229" s="13">
        <f>IF('0.0%'!$N1229&lt;$Z$3,0, '0.0%'!$O1229/'0.0%'!$N1229)</f>
        <v>1.0551796050391555</v>
      </c>
      <c r="V1229" s="13">
        <f>IF('0.0%'!$N1229&lt;$Z$3,0, '0.0%'!$P1229/'0.0%'!$N1229)</f>
        <v>1.0716249574395642</v>
      </c>
      <c r="W1229" s="13">
        <f>IF('0.0%'!$N1229&lt;$Z$3,0, '0.0%'!$Q1229/'0.0%'!$N1229)</f>
        <v>1.0738636363636365</v>
      </c>
      <c r="X1229" s="13">
        <f>IF('0.0%'!$N1229&lt;$Z$3,0, '0.0%'!$R1229/'0.0%'!$N1229)</f>
        <v>1.0626574736125298</v>
      </c>
      <c r="Y1229" s="13">
        <f>IF('0.0%'!$N1229&lt;$Z$3,0, '0.0%'!$S1229/'0.0%'!$N1229)</f>
        <v>1.1044433094994892</v>
      </c>
    </row>
    <row r="1230" spans="1:25" x14ac:dyDescent="0.3">
      <c r="A1230" s="17">
        <v>1288.17</v>
      </c>
      <c r="B1230" s="10">
        <v>23544.5</v>
      </c>
      <c r="C1230" s="9">
        <v>1288.17</v>
      </c>
      <c r="D1230" s="10">
        <v>24841.4</v>
      </c>
      <c r="E1230" s="11">
        <v>1288.17</v>
      </c>
      <c r="F1230" s="12">
        <v>25230.9</v>
      </c>
      <c r="G1230" s="11">
        <v>1288.17</v>
      </c>
      <c r="H1230" s="12">
        <v>25279.599999999999</v>
      </c>
      <c r="I1230" s="11">
        <v>1288.17</v>
      </c>
      <c r="J1230" s="12">
        <v>25017.7</v>
      </c>
      <c r="K1230" s="11">
        <v>1288.17</v>
      </c>
      <c r="L1230" s="12">
        <v>26000.799999999999</v>
      </c>
      <c r="M1230" s="11">
        <v>1288.17</v>
      </c>
      <c r="N1230" s="13">
        <v>23544.5</v>
      </c>
      <c r="O1230" s="13">
        <v>24841.4</v>
      </c>
      <c r="P1230" s="13">
        <v>25230.9</v>
      </c>
      <c r="Q1230" s="11">
        <v>25279.599999999999</v>
      </c>
      <c r="R1230" s="11">
        <v>25017.7</v>
      </c>
      <c r="S1230" s="14">
        <v>26000.799999999999</v>
      </c>
      <c r="T1230" s="11">
        <v>1288.17</v>
      </c>
      <c r="U1230" s="13">
        <f>IF('0.0%'!$N1230&lt;$Z$3,0, '0.0%'!$O1230/'0.0%'!$N1230)</f>
        <v>1.0550829280723737</v>
      </c>
      <c r="V1230" s="13">
        <f>IF('0.0%'!$N1230&lt;$Z$3,0, '0.0%'!$P1230/'0.0%'!$N1230)</f>
        <v>1.0716260697827518</v>
      </c>
      <c r="W1230" s="13">
        <f>IF('0.0%'!$N1230&lt;$Z$3,0, '0.0%'!$Q1230/'0.0%'!$N1230)</f>
        <v>1.0736944934061032</v>
      </c>
      <c r="X1230" s="13">
        <f>IF('0.0%'!$N1230&lt;$Z$3,0, '0.0%'!$R1230/'0.0%'!$N1230)</f>
        <v>1.0625708764254922</v>
      </c>
      <c r="Y1230" s="13">
        <f>IF('0.0%'!$N1230&lt;$Z$3,0, '0.0%'!$S1230/'0.0%'!$N1230)</f>
        <v>1.1043258510480154</v>
      </c>
    </row>
    <row r="1231" spans="1:25" x14ac:dyDescent="0.3">
      <c r="A1231" s="17">
        <v>1289.1600000000001</v>
      </c>
      <c r="B1231" s="10">
        <v>23594.9</v>
      </c>
      <c r="C1231" s="9">
        <v>1289.1600000000001</v>
      </c>
      <c r="D1231" s="10">
        <v>24892.1</v>
      </c>
      <c r="E1231" s="11">
        <v>1289.1600000000001</v>
      </c>
      <c r="F1231" s="12">
        <v>25284.9</v>
      </c>
      <c r="G1231" s="11">
        <v>1289.1600000000001</v>
      </c>
      <c r="H1231" s="12">
        <v>25329.200000000001</v>
      </c>
      <c r="I1231" s="11">
        <v>1289.1600000000001</v>
      </c>
      <c r="J1231" s="12">
        <v>25068.9</v>
      </c>
      <c r="K1231" s="11">
        <v>1289.1600000000001</v>
      </c>
      <c r="L1231" s="12">
        <v>26054</v>
      </c>
      <c r="M1231" s="11">
        <v>1289.1600000000001</v>
      </c>
      <c r="N1231" s="13">
        <v>23594.9</v>
      </c>
      <c r="O1231" s="13">
        <v>24892.1</v>
      </c>
      <c r="P1231" s="13">
        <v>25284.9</v>
      </c>
      <c r="Q1231" s="11">
        <v>25329.200000000001</v>
      </c>
      <c r="R1231" s="11">
        <v>25068.9</v>
      </c>
      <c r="S1231" s="14">
        <v>26054</v>
      </c>
      <c r="T1231" s="11">
        <v>1289.1600000000001</v>
      </c>
      <c r="U1231" s="13">
        <f>IF('0.0%'!$N1231&lt;$Z$3,0, '0.0%'!$O1231/'0.0%'!$N1231)</f>
        <v>1.0549779825301229</v>
      </c>
      <c r="V1231" s="13">
        <f>IF('0.0%'!$N1231&lt;$Z$3,0, '0.0%'!$P1231/'0.0%'!$N1231)</f>
        <v>1.0716256479154393</v>
      </c>
      <c r="W1231" s="13">
        <f>IF('0.0%'!$N1231&lt;$Z$3,0, '0.0%'!$Q1231/'0.0%'!$N1231)</f>
        <v>1.073503172295708</v>
      </c>
      <c r="X1231" s="13">
        <f>IF('0.0%'!$N1231&lt;$Z$3,0, '0.0%'!$R1231/'0.0%'!$N1231)</f>
        <v>1.0624711272351228</v>
      </c>
      <c r="Y1231" s="13">
        <f>IF('0.0%'!$N1231&lt;$Z$3,0, '0.0%'!$S1231/'0.0%'!$N1231)</f>
        <v>1.1042216750229923</v>
      </c>
    </row>
    <row r="1232" spans="1:25" x14ac:dyDescent="0.3">
      <c r="A1232" s="17">
        <v>1290.1500000000001</v>
      </c>
      <c r="B1232" s="10">
        <v>23652.6</v>
      </c>
      <c r="C1232" s="9">
        <v>1290.1500000000001</v>
      </c>
      <c r="D1232" s="10">
        <v>24949.599999999999</v>
      </c>
      <c r="E1232" s="11">
        <v>1290.1500000000001</v>
      </c>
      <c r="F1232" s="12">
        <v>25345.8</v>
      </c>
      <c r="G1232" s="11">
        <v>1290.1500000000001</v>
      </c>
      <c r="H1232" s="12">
        <v>25385.4</v>
      </c>
      <c r="I1232" s="11">
        <v>1290.1500000000001</v>
      </c>
      <c r="J1232" s="12">
        <v>25126.799999999999</v>
      </c>
      <c r="K1232" s="11">
        <v>1290.1500000000001</v>
      </c>
      <c r="L1232" s="12">
        <v>26113.9</v>
      </c>
      <c r="M1232" s="11">
        <v>1290.1500000000001</v>
      </c>
      <c r="N1232" s="13">
        <v>23652.6</v>
      </c>
      <c r="O1232" s="13">
        <v>24949.599999999999</v>
      </c>
      <c r="P1232" s="13">
        <v>25345.8</v>
      </c>
      <c r="Q1232" s="11">
        <v>25385.4</v>
      </c>
      <c r="R1232" s="11">
        <v>25126.799999999999</v>
      </c>
      <c r="S1232" s="14">
        <v>26113.9</v>
      </c>
      <c r="T1232" s="11">
        <v>1290.1500000000001</v>
      </c>
      <c r="U1232" s="13">
        <f>IF('0.0%'!$N1232&lt;$Z$3,0, '0.0%'!$O1232/'0.0%'!$N1232)</f>
        <v>1.0548354092150545</v>
      </c>
      <c r="V1232" s="13">
        <f>IF('0.0%'!$N1232&lt;$Z$3,0, '0.0%'!$P1232/'0.0%'!$N1232)</f>
        <v>1.0715862103954745</v>
      </c>
      <c r="W1232" s="13">
        <f>IF('0.0%'!$N1232&lt;$Z$3,0, '0.0%'!$Q1232/'0.0%'!$N1232)</f>
        <v>1.0732604449405141</v>
      </c>
      <c r="X1232" s="13">
        <f>IF('0.0%'!$N1232&lt;$Z$3,0, '0.0%'!$R1232/'0.0%'!$N1232)</f>
        <v>1.0623271860176049</v>
      </c>
      <c r="Y1232" s="13">
        <f>IF('0.0%'!$N1232&lt;$Z$3,0, '0.0%'!$S1232/'0.0%'!$N1232)</f>
        <v>1.104060441558222</v>
      </c>
    </row>
    <row r="1233" spans="1:25" x14ac:dyDescent="0.3">
      <c r="A1233" s="17">
        <v>1291.1400000000001</v>
      </c>
      <c r="B1233" s="10">
        <v>23701.200000000001</v>
      </c>
      <c r="C1233" s="9">
        <v>1291.1400000000001</v>
      </c>
      <c r="D1233" s="10">
        <v>24998.5</v>
      </c>
      <c r="E1233" s="11">
        <v>1291.1400000000001</v>
      </c>
      <c r="F1233" s="12">
        <v>25397.5</v>
      </c>
      <c r="G1233" s="11">
        <v>1291.1400000000001</v>
      </c>
      <c r="H1233" s="12">
        <v>25433.8</v>
      </c>
      <c r="I1233" s="11">
        <v>1291.1400000000001</v>
      </c>
      <c r="J1233" s="12">
        <v>25176.799999999999</v>
      </c>
      <c r="K1233" s="11">
        <v>1291.1400000000001</v>
      </c>
      <c r="L1233" s="12">
        <v>26164.9</v>
      </c>
      <c r="M1233" s="11">
        <v>1291.1400000000001</v>
      </c>
      <c r="N1233" s="13">
        <v>23701.200000000001</v>
      </c>
      <c r="O1233" s="13">
        <v>24998.5</v>
      </c>
      <c r="P1233" s="13">
        <v>25397.5</v>
      </c>
      <c r="Q1233" s="11">
        <v>25433.8</v>
      </c>
      <c r="R1233" s="11">
        <v>25176.799999999999</v>
      </c>
      <c r="S1233" s="14">
        <v>26164.9</v>
      </c>
      <c r="T1233" s="11">
        <v>1291.1400000000001</v>
      </c>
      <c r="U1233" s="13">
        <f>IF('0.0%'!$N1233&lt;$Z$3,0, '0.0%'!$O1233/'0.0%'!$N1233)</f>
        <v>1.0547356252004119</v>
      </c>
      <c r="V1233" s="13">
        <f>IF('0.0%'!$N1233&lt;$Z$3,0, '0.0%'!$P1233/'0.0%'!$N1233)</f>
        <v>1.0715702158540497</v>
      </c>
      <c r="W1233" s="13">
        <f>IF('0.0%'!$N1233&lt;$Z$3,0, '0.0%'!$Q1233/'0.0%'!$N1233)</f>
        <v>1.0731017838759218</v>
      </c>
      <c r="X1233" s="13">
        <f>IF('0.0%'!$N1233&lt;$Z$3,0, '0.0%'!$R1233/'0.0%'!$N1233)</f>
        <v>1.0622584510488919</v>
      </c>
      <c r="Y1233" s="13">
        <f>IF('0.0%'!$N1233&lt;$Z$3,0, '0.0%'!$S1233/'0.0%'!$N1233)</f>
        <v>1.1039483232916476</v>
      </c>
    </row>
    <row r="1234" spans="1:25" x14ac:dyDescent="0.3">
      <c r="A1234" s="17">
        <v>1292.1300000000001</v>
      </c>
      <c r="B1234" s="10">
        <v>23758.400000000001</v>
      </c>
      <c r="C1234" s="9">
        <v>1292.1300000000001</v>
      </c>
      <c r="D1234" s="10">
        <v>25055.4</v>
      </c>
      <c r="E1234" s="11">
        <v>1292.1300000000001</v>
      </c>
      <c r="F1234" s="12">
        <v>25458.1</v>
      </c>
      <c r="G1234" s="11">
        <v>1292.1300000000001</v>
      </c>
      <c r="H1234" s="12">
        <v>25489.9</v>
      </c>
      <c r="I1234" s="11">
        <v>1292.1300000000001</v>
      </c>
      <c r="J1234" s="12">
        <v>25234.9</v>
      </c>
      <c r="K1234" s="11">
        <v>1292.1300000000001</v>
      </c>
      <c r="L1234" s="12">
        <v>26224.400000000001</v>
      </c>
      <c r="M1234" s="11">
        <v>1292.1300000000001</v>
      </c>
      <c r="N1234" s="13">
        <v>23758.400000000001</v>
      </c>
      <c r="O1234" s="13">
        <v>25055.4</v>
      </c>
      <c r="P1234" s="13">
        <v>25458.1</v>
      </c>
      <c r="Q1234" s="11">
        <v>25489.9</v>
      </c>
      <c r="R1234" s="11">
        <v>25234.9</v>
      </c>
      <c r="S1234" s="14">
        <v>26224.400000000001</v>
      </c>
      <c r="T1234" s="11">
        <v>1292.1300000000001</v>
      </c>
      <c r="U1234" s="13">
        <f>IF('0.0%'!$N1234&lt;$Z$3,0, '0.0%'!$O1234/'0.0%'!$N1234)</f>
        <v>1.0545912182638562</v>
      </c>
      <c r="V1234" s="13">
        <f>IF('0.0%'!$N1234&lt;$Z$3,0, '0.0%'!$P1234/'0.0%'!$N1234)</f>
        <v>1.0715410128628189</v>
      </c>
      <c r="W1234" s="13">
        <f>IF('0.0%'!$N1234&lt;$Z$3,0, '0.0%'!$Q1234/'0.0%'!$N1234)</f>
        <v>1.0728794868341303</v>
      </c>
      <c r="X1234" s="13">
        <f>IF('0.0%'!$N1234&lt;$Z$3,0, '0.0%'!$R1234/'0.0%'!$N1234)</f>
        <v>1.0621464408377668</v>
      </c>
      <c r="Y1234" s="13">
        <f>IF('0.0%'!$N1234&lt;$Z$3,0, '0.0%'!$S1234/'0.0%'!$N1234)</f>
        <v>1.1037948683413024</v>
      </c>
    </row>
    <row r="1235" spans="1:25" x14ac:dyDescent="0.3">
      <c r="A1235" s="17">
        <v>1293.1300000000001</v>
      </c>
      <c r="B1235" s="10">
        <v>23807</v>
      </c>
      <c r="C1235" s="9">
        <v>1293.1300000000001</v>
      </c>
      <c r="D1235" s="10">
        <v>25104.3</v>
      </c>
      <c r="E1235" s="11">
        <v>1293.1300000000001</v>
      </c>
      <c r="F1235" s="12">
        <v>25509.9</v>
      </c>
      <c r="G1235" s="11">
        <v>1293.1300000000001</v>
      </c>
      <c r="H1235" s="12">
        <v>25538.1</v>
      </c>
      <c r="I1235" s="11">
        <v>1293.1300000000001</v>
      </c>
      <c r="J1235" s="12">
        <v>25284.9</v>
      </c>
      <c r="K1235" s="11">
        <v>1293.1300000000001</v>
      </c>
      <c r="L1235" s="12">
        <v>26275.8</v>
      </c>
      <c r="M1235" s="11">
        <v>1293.1300000000001</v>
      </c>
      <c r="N1235" s="13">
        <v>23807</v>
      </c>
      <c r="O1235" s="13">
        <v>25104.3</v>
      </c>
      <c r="P1235" s="13">
        <v>25509.9</v>
      </c>
      <c r="Q1235" s="11">
        <v>25538.1</v>
      </c>
      <c r="R1235" s="11">
        <v>25284.9</v>
      </c>
      <c r="S1235" s="14">
        <v>26275.8</v>
      </c>
      <c r="T1235" s="11">
        <v>1293.1300000000001</v>
      </c>
      <c r="U1235" s="13">
        <f>IF('0.0%'!$N1235&lt;$Z$3,0, '0.0%'!$O1235/'0.0%'!$N1235)</f>
        <v>1.0544923761918763</v>
      </c>
      <c r="V1235" s="13">
        <f>IF('0.0%'!$N1235&lt;$Z$3,0, '0.0%'!$P1235/'0.0%'!$N1235)</f>
        <v>1.0715293821145042</v>
      </c>
      <c r="W1235" s="13">
        <f>IF('0.0%'!$N1235&lt;$Z$3,0, '0.0%'!$Q1235/'0.0%'!$N1235)</f>
        <v>1.0727139076742134</v>
      </c>
      <c r="X1235" s="13">
        <f>IF('0.0%'!$N1235&lt;$Z$3,0, '0.0%'!$R1235/'0.0%'!$N1235)</f>
        <v>1.0620783803083127</v>
      </c>
      <c r="Y1235" s="13">
        <f>IF('0.0%'!$N1235&lt;$Z$3,0, '0.0%'!$S1235/'0.0%'!$N1235)</f>
        <v>1.1037005922627798</v>
      </c>
    </row>
    <row r="1236" spans="1:25" x14ac:dyDescent="0.3">
      <c r="A1236" s="17">
        <v>1294.1199999999999</v>
      </c>
      <c r="B1236" s="10">
        <v>23862.2</v>
      </c>
      <c r="C1236" s="9">
        <v>1294.1199999999999</v>
      </c>
      <c r="D1236" s="10">
        <v>25159.599999999999</v>
      </c>
      <c r="E1236" s="11">
        <v>1294.1199999999999</v>
      </c>
      <c r="F1236" s="12">
        <v>25568.1</v>
      </c>
      <c r="G1236" s="11">
        <v>1294.1199999999999</v>
      </c>
      <c r="H1236" s="12">
        <v>25592.799999999999</v>
      </c>
      <c r="I1236" s="11">
        <v>1294.1199999999999</v>
      </c>
      <c r="J1236" s="12">
        <v>25341.1</v>
      </c>
      <c r="K1236" s="11">
        <v>1294.1199999999999</v>
      </c>
      <c r="L1236" s="12">
        <v>26333.3</v>
      </c>
      <c r="M1236" s="11">
        <v>1294.1199999999999</v>
      </c>
      <c r="N1236" s="13">
        <v>23862.2</v>
      </c>
      <c r="O1236" s="13">
        <v>25159.599999999999</v>
      </c>
      <c r="P1236" s="13">
        <v>25568.1</v>
      </c>
      <c r="Q1236" s="11">
        <v>25592.799999999999</v>
      </c>
      <c r="R1236" s="11">
        <v>25341.1</v>
      </c>
      <c r="S1236" s="14">
        <v>26333.3</v>
      </c>
      <c r="T1236" s="11">
        <v>1294.1199999999999</v>
      </c>
      <c r="U1236" s="13">
        <f>IF('0.0%'!$N1236&lt;$Z$3,0, '0.0%'!$O1236/'0.0%'!$N1236)</f>
        <v>1.0543705106821666</v>
      </c>
      <c r="V1236" s="13">
        <f>IF('0.0%'!$N1236&lt;$Z$3,0, '0.0%'!$P1236/'0.0%'!$N1236)</f>
        <v>1.0714896363285866</v>
      </c>
      <c r="W1236" s="13">
        <f>IF('0.0%'!$N1236&lt;$Z$3,0, '0.0%'!$Q1236/'0.0%'!$N1236)</f>
        <v>1.0725247462513934</v>
      </c>
      <c r="X1236" s="13">
        <f>IF('0.0%'!$N1236&lt;$Z$3,0, '0.0%'!$R1236/'0.0%'!$N1236)</f>
        <v>1.0619766827870019</v>
      </c>
      <c r="Y1236" s="13">
        <f>IF('0.0%'!$N1236&lt;$Z$3,0, '0.0%'!$S1236/'0.0%'!$N1236)</f>
        <v>1.1035570902934349</v>
      </c>
    </row>
    <row r="1237" spans="1:25" x14ac:dyDescent="0.3">
      <c r="A1237" s="17">
        <v>1295.1099999999999</v>
      </c>
      <c r="B1237" s="10">
        <v>23909</v>
      </c>
      <c r="C1237" s="9">
        <v>1295.1099999999999</v>
      </c>
      <c r="D1237" s="10">
        <v>25206.400000000001</v>
      </c>
      <c r="E1237" s="11">
        <v>1295.1099999999999</v>
      </c>
      <c r="F1237" s="12">
        <v>25617.1</v>
      </c>
      <c r="G1237" s="11">
        <v>1295.1099999999999</v>
      </c>
      <c r="H1237" s="12">
        <v>25639.4</v>
      </c>
      <c r="I1237" s="11">
        <v>1295.1099999999999</v>
      </c>
      <c r="J1237" s="12">
        <v>25388.9</v>
      </c>
      <c r="K1237" s="11">
        <v>1295.1099999999999</v>
      </c>
      <c r="L1237" s="12">
        <v>26382.3</v>
      </c>
      <c r="M1237" s="11">
        <v>1295.1099999999999</v>
      </c>
      <c r="N1237" s="13">
        <v>23909</v>
      </c>
      <c r="O1237" s="13">
        <v>25206.400000000001</v>
      </c>
      <c r="P1237" s="13">
        <v>25617.1</v>
      </c>
      <c r="Q1237" s="11">
        <v>25639.4</v>
      </c>
      <c r="R1237" s="11">
        <v>25388.9</v>
      </c>
      <c r="S1237" s="14">
        <v>26382.3</v>
      </c>
      <c r="T1237" s="11">
        <v>1295.1099999999999</v>
      </c>
      <c r="U1237" s="13">
        <f>IF('0.0%'!$N1237&lt;$Z$3,0, '0.0%'!$O1237/'0.0%'!$N1237)</f>
        <v>1.0542640846543143</v>
      </c>
      <c r="V1237" s="13">
        <f>IF('0.0%'!$N1237&lt;$Z$3,0, '0.0%'!$P1237/'0.0%'!$N1237)</f>
        <v>1.0714417165084278</v>
      </c>
      <c r="W1237" s="13">
        <f>IF('0.0%'!$N1237&lt;$Z$3,0, '0.0%'!$Q1237/'0.0%'!$N1237)</f>
        <v>1.0723744196745997</v>
      </c>
      <c r="X1237" s="13">
        <f>IF('0.0%'!$N1237&lt;$Z$3,0, '0.0%'!$R1237/'0.0%'!$N1237)</f>
        <v>1.0618971935254506</v>
      </c>
      <c r="Y1237" s="13">
        <f>IF('0.0%'!$N1237&lt;$Z$3,0, '0.0%'!$S1237/'0.0%'!$N1237)</f>
        <v>1.1034464009368856</v>
      </c>
    </row>
    <row r="1238" spans="1:25" x14ac:dyDescent="0.3">
      <c r="A1238" s="17">
        <v>1296.0999999999999</v>
      </c>
      <c r="B1238" s="10">
        <v>23963.599999999999</v>
      </c>
      <c r="C1238" s="9">
        <v>1296.0999999999999</v>
      </c>
      <c r="D1238" s="10">
        <v>25260.799999999999</v>
      </c>
      <c r="E1238" s="11">
        <v>1296.0999999999999</v>
      </c>
      <c r="F1238" s="12">
        <v>25674.7</v>
      </c>
      <c r="G1238" s="11">
        <v>1296.0999999999999</v>
      </c>
      <c r="H1238" s="12">
        <v>25693.9</v>
      </c>
      <c r="I1238" s="11">
        <v>1296.0999999999999</v>
      </c>
      <c r="J1238" s="12">
        <v>25444.799999999999</v>
      </c>
      <c r="K1238" s="11">
        <v>1296.0999999999999</v>
      </c>
      <c r="L1238" s="12">
        <v>26439.4</v>
      </c>
      <c r="M1238" s="11">
        <v>1296.0999999999999</v>
      </c>
      <c r="N1238" s="13">
        <v>23963.599999999999</v>
      </c>
      <c r="O1238" s="13">
        <v>25260.799999999999</v>
      </c>
      <c r="P1238" s="13">
        <v>25674.7</v>
      </c>
      <c r="Q1238" s="11">
        <v>25693.9</v>
      </c>
      <c r="R1238" s="11">
        <v>25444.799999999999</v>
      </c>
      <c r="S1238" s="14">
        <v>26439.4</v>
      </c>
      <c r="T1238" s="11">
        <v>1296.0999999999999</v>
      </c>
      <c r="U1238" s="13">
        <f>IF('0.0%'!$N1238&lt;$Z$3,0, '0.0%'!$O1238/'0.0%'!$N1238)</f>
        <v>1.0541321003522008</v>
      </c>
      <c r="V1238" s="13">
        <f>IF('0.0%'!$N1238&lt;$Z$3,0, '0.0%'!$P1238/'0.0%'!$N1238)</f>
        <v>1.0714041295965548</v>
      </c>
      <c r="W1238" s="13">
        <f>IF('0.0%'!$N1238&lt;$Z$3,0, '0.0%'!$Q1238/'0.0%'!$N1238)</f>
        <v>1.0722053447729056</v>
      </c>
      <c r="X1238" s="13">
        <f>IF('0.0%'!$N1238&lt;$Z$3,0, '0.0%'!$R1238/'0.0%'!$N1238)</f>
        <v>1.0618104124588961</v>
      </c>
      <c r="Y1238" s="13">
        <f>IF('0.0%'!$N1238&lt;$Z$3,0, '0.0%'!$S1238/'0.0%'!$N1238)</f>
        <v>1.1033150277921515</v>
      </c>
    </row>
    <row r="1239" spans="1:25" x14ac:dyDescent="0.3">
      <c r="A1239" s="17">
        <v>1297.0899999999999</v>
      </c>
      <c r="B1239" s="10">
        <v>24008.400000000001</v>
      </c>
      <c r="C1239" s="9">
        <v>1297.0899999999999</v>
      </c>
      <c r="D1239" s="10">
        <v>25306</v>
      </c>
      <c r="E1239" s="11">
        <v>1297.0899999999999</v>
      </c>
      <c r="F1239" s="12">
        <v>25721.9</v>
      </c>
      <c r="G1239" s="11">
        <v>1297.0899999999999</v>
      </c>
      <c r="H1239" s="12">
        <v>25738.9</v>
      </c>
      <c r="I1239" s="11">
        <v>1297.0899999999999</v>
      </c>
      <c r="J1239" s="12">
        <v>25491.200000000001</v>
      </c>
      <c r="K1239" s="11">
        <v>1297.0899999999999</v>
      </c>
      <c r="L1239" s="12">
        <v>26486.7</v>
      </c>
      <c r="M1239" s="11">
        <v>1297.0899999999999</v>
      </c>
      <c r="N1239" s="13">
        <v>24008.400000000001</v>
      </c>
      <c r="O1239" s="13">
        <v>25306</v>
      </c>
      <c r="P1239" s="13">
        <v>25721.9</v>
      </c>
      <c r="Q1239" s="11">
        <v>25738.9</v>
      </c>
      <c r="R1239" s="11">
        <v>25491.200000000001</v>
      </c>
      <c r="S1239" s="14">
        <v>26486.7</v>
      </c>
      <c r="T1239" s="11">
        <v>1297.0899999999999</v>
      </c>
      <c r="U1239" s="13">
        <f>IF('0.0%'!$N1239&lt;$Z$3,0, '0.0%'!$O1239/'0.0%'!$N1239)</f>
        <v>1.0540477499541827</v>
      </c>
      <c r="V1239" s="13">
        <f>IF('0.0%'!$N1239&lt;$Z$3,0, '0.0%'!$P1239/'0.0%'!$N1239)</f>
        <v>1.0713708535345963</v>
      </c>
      <c r="W1239" s="13">
        <f>IF('0.0%'!$N1239&lt;$Z$3,0, '0.0%'!$Q1239/'0.0%'!$N1239)</f>
        <v>1.0720789390380034</v>
      </c>
      <c r="X1239" s="13">
        <f>IF('0.0%'!$N1239&lt;$Z$3,0, '0.0%'!$R1239/'0.0%'!$N1239)</f>
        <v>1.0617617167324769</v>
      </c>
      <c r="Y1239" s="13">
        <f>IF('0.0%'!$N1239&lt;$Z$3,0, '0.0%'!$S1239/'0.0%'!$N1239)</f>
        <v>1.1032263707702303</v>
      </c>
    </row>
    <row r="1240" spans="1:25" x14ac:dyDescent="0.3">
      <c r="A1240" s="17">
        <v>1298.08</v>
      </c>
      <c r="B1240" s="10">
        <v>24058.3</v>
      </c>
      <c r="C1240" s="9">
        <v>1298.08</v>
      </c>
      <c r="D1240" s="10">
        <v>25356.5</v>
      </c>
      <c r="E1240" s="11">
        <v>1298.08</v>
      </c>
      <c r="F1240" s="12">
        <v>25774.6</v>
      </c>
      <c r="G1240" s="11">
        <v>1298.08</v>
      </c>
      <c r="H1240" s="12">
        <v>25789.200000000001</v>
      </c>
      <c r="I1240" s="11">
        <v>1298.08</v>
      </c>
      <c r="J1240" s="12">
        <v>25542.6</v>
      </c>
      <c r="K1240" s="11">
        <v>1298.08</v>
      </c>
      <c r="L1240" s="12">
        <v>26539.3</v>
      </c>
      <c r="M1240" s="11">
        <v>1298.08</v>
      </c>
      <c r="N1240" s="13">
        <v>24058.3</v>
      </c>
      <c r="O1240" s="13">
        <v>25356.5</v>
      </c>
      <c r="P1240" s="13">
        <v>25774.6</v>
      </c>
      <c r="Q1240" s="11">
        <v>25789.200000000001</v>
      </c>
      <c r="R1240" s="11">
        <v>25542.6</v>
      </c>
      <c r="S1240" s="14">
        <v>26539.3</v>
      </c>
      <c r="T1240" s="11">
        <v>1298.08</v>
      </c>
      <c r="U1240" s="13">
        <f>IF('0.0%'!$N1240&lt;$Z$3,0, '0.0%'!$O1240/'0.0%'!$N1240)</f>
        <v>1.0539605874064253</v>
      </c>
      <c r="V1240" s="13">
        <f>IF('0.0%'!$N1240&lt;$Z$3,0, '0.0%'!$P1240/'0.0%'!$N1240)</f>
        <v>1.0713392051807484</v>
      </c>
      <c r="W1240" s="13">
        <f>IF('0.0%'!$N1240&lt;$Z$3,0, '0.0%'!$Q1240/'0.0%'!$N1240)</f>
        <v>1.0719460643520116</v>
      </c>
      <c r="X1240" s="13">
        <f>IF('0.0%'!$N1240&lt;$Z$3,0, '0.0%'!$R1240/'0.0%'!$N1240)</f>
        <v>1.0616959635551972</v>
      </c>
      <c r="Y1240" s="13">
        <f>IF('0.0%'!$N1240&lt;$Z$3,0, '0.0%'!$S1240/'0.0%'!$N1240)</f>
        <v>1.1031244934180719</v>
      </c>
    </row>
    <row r="1241" spans="1:25" x14ac:dyDescent="0.3">
      <c r="A1241" s="17">
        <v>1299.08</v>
      </c>
      <c r="B1241" s="10">
        <v>24099.4</v>
      </c>
      <c r="C1241" s="9">
        <v>1299.08</v>
      </c>
      <c r="D1241" s="10">
        <v>25398.6</v>
      </c>
      <c r="E1241" s="11">
        <v>1299.08</v>
      </c>
      <c r="F1241" s="12">
        <v>25817.9</v>
      </c>
      <c r="G1241" s="11">
        <v>1299.08</v>
      </c>
      <c r="H1241" s="12">
        <v>25831</v>
      </c>
      <c r="I1241" s="11">
        <v>1299.08</v>
      </c>
      <c r="J1241" s="12">
        <v>25585.5</v>
      </c>
      <c r="K1241" s="11">
        <v>1299.08</v>
      </c>
      <c r="L1241" s="12">
        <v>26582.6</v>
      </c>
      <c r="M1241" s="11">
        <v>1299.08</v>
      </c>
      <c r="N1241" s="13">
        <v>24099.4</v>
      </c>
      <c r="O1241" s="13">
        <v>25398.6</v>
      </c>
      <c r="P1241" s="13">
        <v>25817.9</v>
      </c>
      <c r="Q1241" s="11">
        <v>25831</v>
      </c>
      <c r="R1241" s="11">
        <v>25585.5</v>
      </c>
      <c r="S1241" s="14">
        <v>26582.6</v>
      </c>
      <c r="T1241" s="11">
        <v>1299.08</v>
      </c>
      <c r="U1241" s="13">
        <f>IF('0.0%'!$N1241&lt;$Z$3,0, '0.0%'!$O1241/'0.0%'!$N1241)</f>
        <v>1.0539100558520127</v>
      </c>
      <c r="V1241" s="13">
        <f>IF('0.0%'!$N1241&lt;$Z$3,0, '0.0%'!$P1241/'0.0%'!$N1241)</f>
        <v>1.0713088292654589</v>
      </c>
      <c r="W1241" s="13">
        <f>IF('0.0%'!$N1241&lt;$Z$3,0, '0.0%'!$Q1241/'0.0%'!$N1241)</f>
        <v>1.071852411263351</v>
      </c>
      <c r="X1241" s="13">
        <f>IF('0.0%'!$N1241&lt;$Z$3,0, '0.0%'!$R1241/'0.0%'!$N1241)</f>
        <v>1.0616654356539996</v>
      </c>
      <c r="Y1241" s="13">
        <f>IF('0.0%'!$N1241&lt;$Z$3,0, '0.0%'!$S1241/'0.0%'!$N1241)</f>
        <v>1.1030399097072956</v>
      </c>
    </row>
    <row r="1242" spans="1:25" x14ac:dyDescent="0.3">
      <c r="A1242" s="17">
        <v>1300.07</v>
      </c>
      <c r="B1242" s="10">
        <v>24148.1</v>
      </c>
      <c r="C1242" s="9">
        <v>1300.07</v>
      </c>
      <c r="D1242" s="10">
        <v>25447.8</v>
      </c>
      <c r="E1242" s="11">
        <v>1300.07</v>
      </c>
      <c r="F1242" s="12">
        <v>25869.3</v>
      </c>
      <c r="G1242" s="11">
        <v>1300.07</v>
      </c>
      <c r="H1242" s="12">
        <v>25880.400000000001</v>
      </c>
      <c r="I1242" s="11">
        <v>1300.07</v>
      </c>
      <c r="J1242" s="12">
        <v>25636.400000000001</v>
      </c>
      <c r="K1242" s="11">
        <v>1300.07</v>
      </c>
      <c r="L1242" s="12">
        <v>26633.5</v>
      </c>
      <c r="M1242" s="11">
        <v>1300.07</v>
      </c>
      <c r="N1242" s="13">
        <v>24148.1</v>
      </c>
      <c r="O1242" s="13">
        <v>25447.8</v>
      </c>
      <c r="P1242" s="13">
        <v>25869.3</v>
      </c>
      <c r="Q1242" s="11">
        <v>25880.400000000001</v>
      </c>
      <c r="R1242" s="11">
        <v>25636.400000000001</v>
      </c>
      <c r="S1242" s="14">
        <v>26633.5</v>
      </c>
      <c r="T1242" s="11">
        <v>1300.07</v>
      </c>
      <c r="U1242" s="13">
        <f>IF('0.0%'!$N1242&lt;$Z$3,0, '0.0%'!$O1242/'0.0%'!$N1242)</f>
        <v>1.0538220398292206</v>
      </c>
      <c r="V1242" s="13">
        <f>IF('0.0%'!$N1242&lt;$Z$3,0, '0.0%'!$P1242/'0.0%'!$N1242)</f>
        <v>1.0712768292329418</v>
      </c>
      <c r="W1242" s="13">
        <f>IF('0.0%'!$N1242&lt;$Z$3,0, '0.0%'!$Q1242/'0.0%'!$N1242)</f>
        <v>1.0717364927261359</v>
      </c>
      <c r="X1242" s="13">
        <f>IF('0.0%'!$N1242&lt;$Z$3,0, '0.0%'!$R1242/'0.0%'!$N1242)</f>
        <v>1.0616321781009688</v>
      </c>
      <c r="Y1242" s="13">
        <f>IF('0.0%'!$N1242&lt;$Z$3,0, '0.0%'!$S1242/'0.0%'!$N1242)</f>
        <v>1.1029232113499614</v>
      </c>
    </row>
    <row r="1243" spans="1:25" x14ac:dyDescent="0.3">
      <c r="A1243" s="17">
        <v>1301.06</v>
      </c>
      <c r="B1243" s="10">
        <v>24188.1</v>
      </c>
      <c r="C1243" s="9">
        <v>1301.06</v>
      </c>
      <c r="D1243" s="10">
        <v>25488.3</v>
      </c>
      <c r="E1243" s="11">
        <v>1301.06</v>
      </c>
      <c r="F1243" s="12">
        <v>25911.3</v>
      </c>
      <c r="G1243" s="11">
        <v>1301.06</v>
      </c>
      <c r="H1243" s="12">
        <v>25921.1</v>
      </c>
      <c r="I1243" s="11">
        <v>1301.06</v>
      </c>
      <c r="J1243" s="12">
        <v>25678.1</v>
      </c>
      <c r="K1243" s="11">
        <v>1301.06</v>
      </c>
      <c r="L1243" s="12">
        <v>26675.200000000001</v>
      </c>
      <c r="M1243" s="11">
        <v>1301.06</v>
      </c>
      <c r="N1243" s="13">
        <v>24188.1</v>
      </c>
      <c r="O1243" s="13">
        <v>25488.3</v>
      </c>
      <c r="P1243" s="13">
        <v>25911.3</v>
      </c>
      <c r="Q1243" s="11">
        <v>25921.1</v>
      </c>
      <c r="R1243" s="11">
        <v>25678.1</v>
      </c>
      <c r="S1243" s="14">
        <v>26675.200000000001</v>
      </c>
      <c r="T1243" s="11">
        <v>1301.06</v>
      </c>
      <c r="U1243" s="13">
        <f>IF('0.0%'!$N1243&lt;$Z$3,0, '0.0%'!$O1243/'0.0%'!$N1243)</f>
        <v>1.0537537053344415</v>
      </c>
      <c r="V1243" s="13">
        <f>IF('0.0%'!$N1243&lt;$Z$3,0, '0.0%'!$P1243/'0.0%'!$N1243)</f>
        <v>1.0712416436181429</v>
      </c>
      <c r="W1243" s="13">
        <f>IF('0.0%'!$N1243&lt;$Z$3,0, '0.0%'!$Q1243/'0.0%'!$N1243)</f>
        <v>1.0716468015263705</v>
      </c>
      <c r="X1243" s="13">
        <f>IF('0.0%'!$N1243&lt;$Z$3,0, '0.0%'!$R1243/'0.0%'!$N1243)</f>
        <v>1.0616005391080738</v>
      </c>
      <c r="Y1243" s="13">
        <f>IF('0.0%'!$N1243&lt;$Z$3,0, '0.0%'!$S1243/'0.0%'!$N1243)</f>
        <v>1.1028232891380474</v>
      </c>
    </row>
    <row r="1244" spans="1:25" x14ac:dyDescent="0.3">
      <c r="A1244" s="17">
        <v>1302.05</v>
      </c>
      <c r="B1244" s="10">
        <v>24233.7</v>
      </c>
      <c r="C1244" s="9">
        <v>1302.05</v>
      </c>
      <c r="D1244" s="10">
        <v>25533.4</v>
      </c>
      <c r="E1244" s="11">
        <v>1302.05</v>
      </c>
      <c r="F1244" s="12">
        <v>25959.200000000001</v>
      </c>
      <c r="G1244" s="11">
        <v>1302.05</v>
      </c>
      <c r="H1244" s="12">
        <v>25967.200000000001</v>
      </c>
      <c r="I1244" s="11">
        <v>1302.05</v>
      </c>
      <c r="J1244" s="12">
        <v>25725</v>
      </c>
      <c r="K1244" s="11">
        <v>1302.05</v>
      </c>
      <c r="L1244" s="12">
        <v>26722.1</v>
      </c>
      <c r="M1244" s="11">
        <v>1302.05</v>
      </c>
      <c r="N1244" s="13">
        <v>24233.7</v>
      </c>
      <c r="O1244" s="13">
        <v>25533.4</v>
      </c>
      <c r="P1244" s="13">
        <v>25959.200000000001</v>
      </c>
      <c r="Q1244" s="11">
        <v>25967.200000000001</v>
      </c>
      <c r="R1244" s="11">
        <v>25725</v>
      </c>
      <c r="S1244" s="14">
        <v>26722.1</v>
      </c>
      <c r="T1244" s="11">
        <v>1302.05</v>
      </c>
      <c r="U1244" s="13">
        <f>IF('0.0%'!$N1244&lt;$Z$3,0, '0.0%'!$O1244/'0.0%'!$N1244)</f>
        <v>1.0536319257892934</v>
      </c>
      <c r="V1244" s="13">
        <f>IF('0.0%'!$N1244&lt;$Z$3,0, '0.0%'!$P1244/'0.0%'!$N1244)</f>
        <v>1.0712024989993274</v>
      </c>
      <c r="W1244" s="13">
        <f>IF('0.0%'!$N1244&lt;$Z$3,0, '0.0%'!$Q1244/'0.0%'!$N1244)</f>
        <v>1.0715326178008311</v>
      </c>
      <c r="X1244" s="13">
        <f>IF('0.0%'!$N1244&lt;$Z$3,0, '0.0%'!$R1244/'0.0%'!$N1244)</f>
        <v>1.0615382710853067</v>
      </c>
      <c r="Y1244" s="13">
        <f>IF('0.0%'!$N1244&lt;$Z$3,0, '0.0%'!$S1244/'0.0%'!$N1244)</f>
        <v>1.102683453207723</v>
      </c>
    </row>
    <row r="1245" spans="1:25" x14ac:dyDescent="0.3">
      <c r="A1245" s="17">
        <v>1303.04</v>
      </c>
      <c r="B1245" s="10">
        <v>24269.8</v>
      </c>
      <c r="C1245" s="9">
        <v>1303.04</v>
      </c>
      <c r="D1245" s="10">
        <v>25569.3</v>
      </c>
      <c r="E1245" s="11">
        <v>1303.04</v>
      </c>
      <c r="F1245" s="12">
        <v>25997.3</v>
      </c>
      <c r="G1245" s="11">
        <v>1303.04</v>
      </c>
      <c r="H1245" s="12">
        <v>26003.9</v>
      </c>
      <c r="I1245" s="11">
        <v>1303.04</v>
      </c>
      <c r="J1245" s="12">
        <v>25762.5</v>
      </c>
      <c r="K1245" s="11">
        <v>1303.04</v>
      </c>
      <c r="L1245" s="12">
        <v>26759.5</v>
      </c>
      <c r="M1245" s="11">
        <v>1303.04</v>
      </c>
      <c r="N1245" s="13">
        <v>24269.8</v>
      </c>
      <c r="O1245" s="13">
        <v>25569.3</v>
      </c>
      <c r="P1245" s="13">
        <v>25997.3</v>
      </c>
      <c r="Q1245" s="11">
        <v>26003.9</v>
      </c>
      <c r="R1245" s="11">
        <v>25762.5</v>
      </c>
      <c r="S1245" s="14">
        <v>26759.5</v>
      </c>
      <c r="T1245" s="11">
        <v>1303.04</v>
      </c>
      <c r="U1245" s="13">
        <f>IF('0.0%'!$N1245&lt;$Z$3,0, '0.0%'!$O1245/'0.0%'!$N1245)</f>
        <v>1.0535439105390239</v>
      </c>
      <c r="V1245" s="13">
        <f>IF('0.0%'!$N1245&lt;$Z$3,0, '0.0%'!$P1245/'0.0%'!$N1245)</f>
        <v>1.0711789961186331</v>
      </c>
      <c r="W1245" s="13">
        <f>IF('0.0%'!$N1245&lt;$Z$3,0, '0.0%'!$Q1245/'0.0%'!$N1245)</f>
        <v>1.0714509390271036</v>
      </c>
      <c r="X1245" s="13">
        <f>IF('0.0%'!$N1245&lt;$Z$3,0, '0.0%'!$R1245/'0.0%'!$N1245)</f>
        <v>1.0615044211324363</v>
      </c>
      <c r="Y1245" s="13">
        <f>IF('0.0%'!$N1245&lt;$Z$3,0, '0.0%'!$S1245/'0.0%'!$N1245)</f>
        <v>1.1025842816998905</v>
      </c>
    </row>
    <row r="1246" spans="1:25" x14ac:dyDescent="0.3">
      <c r="A1246" s="17">
        <v>1304.04</v>
      </c>
      <c r="B1246" s="10">
        <v>24312.400000000001</v>
      </c>
      <c r="C1246" s="9">
        <v>1304.04</v>
      </c>
      <c r="D1246" s="10">
        <v>25611.200000000001</v>
      </c>
      <c r="E1246" s="11">
        <v>1304.04</v>
      </c>
      <c r="F1246" s="12">
        <v>26041.599999999999</v>
      </c>
      <c r="G1246" s="11">
        <v>1304.04</v>
      </c>
      <c r="H1246" s="12">
        <v>26046.6</v>
      </c>
      <c r="I1246" s="11">
        <v>1304.04</v>
      </c>
      <c r="J1246" s="12">
        <v>25806.1</v>
      </c>
      <c r="K1246" s="11">
        <v>1304.04</v>
      </c>
      <c r="L1246" s="12">
        <v>26802.799999999999</v>
      </c>
      <c r="M1246" s="11">
        <v>1304.04</v>
      </c>
      <c r="N1246" s="13">
        <v>24312.400000000001</v>
      </c>
      <c r="O1246" s="13">
        <v>25611.200000000001</v>
      </c>
      <c r="P1246" s="13">
        <v>26041.599999999999</v>
      </c>
      <c r="Q1246" s="11">
        <v>26046.6</v>
      </c>
      <c r="R1246" s="11">
        <v>25806.1</v>
      </c>
      <c r="S1246" s="14">
        <v>26802.799999999999</v>
      </c>
      <c r="T1246" s="11">
        <v>1304.04</v>
      </c>
      <c r="U1246" s="13">
        <f>IF('0.0%'!$N1246&lt;$Z$3,0, '0.0%'!$O1246/'0.0%'!$N1246)</f>
        <v>1.0534212994192265</v>
      </c>
      <c r="V1246" s="13">
        <f>IF('0.0%'!$N1246&lt;$Z$3,0, '0.0%'!$P1246/'0.0%'!$N1246)</f>
        <v>1.0711241999967094</v>
      </c>
      <c r="W1246" s="13">
        <f>IF('0.0%'!$N1246&lt;$Z$3,0, '0.0%'!$Q1246/'0.0%'!$N1246)</f>
        <v>1.071329856369589</v>
      </c>
      <c r="X1246" s="13">
        <f>IF('0.0%'!$N1246&lt;$Z$3,0, '0.0%'!$R1246/'0.0%'!$N1246)</f>
        <v>1.0614377848340764</v>
      </c>
      <c r="Y1246" s="13">
        <f>IF('0.0%'!$N1246&lt;$Z$3,0, '0.0%'!$S1246/'0.0%'!$N1246)</f>
        <v>1.1024333262039123</v>
      </c>
    </row>
    <row r="1247" spans="1:25" x14ac:dyDescent="0.3">
      <c r="A1247" s="17">
        <v>1305.03</v>
      </c>
      <c r="B1247" s="10">
        <v>24344.5</v>
      </c>
      <c r="C1247" s="9">
        <v>1305.03</v>
      </c>
      <c r="D1247" s="10">
        <v>25642.799999999999</v>
      </c>
      <c r="E1247" s="11">
        <v>1305.03</v>
      </c>
      <c r="F1247" s="12">
        <v>26074.400000000001</v>
      </c>
      <c r="G1247" s="11">
        <v>1305.03</v>
      </c>
      <c r="H1247" s="12">
        <v>26079.1</v>
      </c>
      <c r="I1247" s="11">
        <v>1305.03</v>
      </c>
      <c r="J1247" s="12">
        <v>25839.4</v>
      </c>
      <c r="K1247" s="11">
        <v>1305.03</v>
      </c>
      <c r="L1247" s="12">
        <v>26835.1</v>
      </c>
      <c r="M1247" s="11">
        <v>1305.03</v>
      </c>
      <c r="N1247" s="13">
        <v>24344.5</v>
      </c>
      <c r="O1247" s="13">
        <v>25642.799999999999</v>
      </c>
      <c r="P1247" s="13">
        <v>26074.400000000001</v>
      </c>
      <c r="Q1247" s="11">
        <v>26079.1</v>
      </c>
      <c r="R1247" s="11">
        <v>25839.4</v>
      </c>
      <c r="S1247" s="14">
        <v>26835.1</v>
      </c>
      <c r="T1247" s="11">
        <v>1305.03</v>
      </c>
      <c r="U1247" s="13">
        <f>IF('0.0%'!$N1247&lt;$Z$3,0, '0.0%'!$O1247/'0.0%'!$N1247)</f>
        <v>1.0533303210170675</v>
      </c>
      <c r="V1247" s="13">
        <f>IF('0.0%'!$N1247&lt;$Z$3,0, '0.0%'!$P1247/'0.0%'!$N1247)</f>
        <v>1.0710591714761035</v>
      </c>
      <c r="W1247" s="13">
        <f>IF('0.0%'!$N1247&lt;$Z$3,0, '0.0%'!$Q1247/'0.0%'!$N1247)</f>
        <v>1.0712522335640493</v>
      </c>
      <c r="X1247" s="13">
        <f>IF('0.0%'!$N1247&lt;$Z$3,0, '0.0%'!$R1247/'0.0%'!$N1247)</f>
        <v>1.0614060670788064</v>
      </c>
      <c r="Y1247" s="13">
        <f>IF('0.0%'!$N1247&lt;$Z$3,0, '0.0%'!$S1247/'0.0%'!$N1247)</f>
        <v>1.1023064757953542</v>
      </c>
    </row>
    <row r="1248" spans="1:25" x14ac:dyDescent="0.3">
      <c r="A1248" s="17">
        <v>1306.02</v>
      </c>
      <c r="B1248" s="10">
        <v>24380.6</v>
      </c>
      <c r="C1248" s="9">
        <v>1306.02</v>
      </c>
      <c r="D1248" s="10">
        <v>25678.2</v>
      </c>
      <c r="E1248" s="11">
        <v>1306.02</v>
      </c>
      <c r="F1248" s="12">
        <v>26111.5</v>
      </c>
      <c r="G1248" s="11">
        <v>1306.02</v>
      </c>
      <c r="H1248" s="12">
        <v>26115.5</v>
      </c>
      <c r="I1248" s="11">
        <v>1306.02</v>
      </c>
      <c r="J1248" s="12">
        <v>25875.9</v>
      </c>
      <c r="K1248" s="11">
        <v>1306.02</v>
      </c>
      <c r="L1248" s="12">
        <v>26871.200000000001</v>
      </c>
      <c r="M1248" s="11">
        <v>1306.02</v>
      </c>
      <c r="N1248" s="13">
        <v>24380.6</v>
      </c>
      <c r="O1248" s="13">
        <v>25678.2</v>
      </c>
      <c r="P1248" s="13">
        <v>26111.5</v>
      </c>
      <c r="Q1248" s="11">
        <v>26115.5</v>
      </c>
      <c r="R1248" s="11">
        <v>25875.9</v>
      </c>
      <c r="S1248" s="14">
        <v>26871.200000000001</v>
      </c>
      <c r="T1248" s="11">
        <v>1306.02</v>
      </c>
      <c r="U1248" s="13">
        <f>IF('0.0%'!$N1248&lt;$Z$3,0, '0.0%'!$O1248/'0.0%'!$N1248)</f>
        <v>1.05322264423353</v>
      </c>
      <c r="V1248" s="13">
        <f>IF('0.0%'!$N1248&lt;$Z$3,0, '0.0%'!$P1248/'0.0%'!$N1248)</f>
        <v>1.0709949714116962</v>
      </c>
      <c r="W1248" s="13">
        <f>IF('0.0%'!$N1248&lt;$Z$3,0, '0.0%'!$Q1248/'0.0%'!$N1248)</f>
        <v>1.0711590362829464</v>
      </c>
      <c r="X1248" s="13">
        <f>IF('0.0%'!$N1248&lt;$Z$3,0, '0.0%'!$R1248/'0.0%'!$N1248)</f>
        <v>1.0613315504950658</v>
      </c>
      <c r="Y1248" s="13">
        <f>IF('0.0%'!$N1248&lt;$Z$3,0, '0.0%'!$S1248/'0.0%'!$N1248)</f>
        <v>1.10215499208387</v>
      </c>
    </row>
    <row r="1249" spans="1:25" x14ac:dyDescent="0.3">
      <c r="A1249" s="17">
        <v>1307.01</v>
      </c>
      <c r="B1249" s="10">
        <v>24406.400000000001</v>
      </c>
      <c r="C1249" s="9">
        <v>1307.01</v>
      </c>
      <c r="D1249" s="10">
        <v>25703.4</v>
      </c>
      <c r="E1249" s="11">
        <v>1307.01</v>
      </c>
      <c r="F1249" s="12">
        <v>26137.5</v>
      </c>
      <c r="G1249" s="11">
        <v>1307.01</v>
      </c>
      <c r="H1249" s="12">
        <v>26141.599999999999</v>
      </c>
      <c r="I1249" s="11">
        <v>1307.01</v>
      </c>
      <c r="J1249" s="12">
        <v>25901.9</v>
      </c>
      <c r="K1249" s="11">
        <v>1307.01</v>
      </c>
      <c r="L1249" s="12">
        <v>26896.9</v>
      </c>
      <c r="M1249" s="11">
        <v>1307.01</v>
      </c>
      <c r="N1249" s="13">
        <v>24406.400000000001</v>
      </c>
      <c r="O1249" s="13">
        <v>25703.4</v>
      </c>
      <c r="P1249" s="13">
        <v>26137.5</v>
      </c>
      <c r="Q1249" s="11">
        <v>26141.599999999999</v>
      </c>
      <c r="R1249" s="11">
        <v>25901.9</v>
      </c>
      <c r="S1249" s="14">
        <v>26896.9</v>
      </c>
      <c r="T1249" s="11">
        <v>1307.01</v>
      </c>
      <c r="U1249" s="13">
        <f>IF('0.0%'!$N1249&lt;$Z$3,0, '0.0%'!$O1249/'0.0%'!$N1249)</f>
        <v>1.053141798872427</v>
      </c>
      <c r="V1249" s="13">
        <f>IF('0.0%'!$N1249&lt;$Z$3,0, '0.0%'!$P1249/'0.0%'!$N1249)</f>
        <v>1.0709281172151566</v>
      </c>
      <c r="W1249" s="13">
        <f>IF('0.0%'!$N1249&lt;$Z$3,0, '0.0%'!$Q1249/'0.0%'!$N1249)</f>
        <v>1.0710961059394255</v>
      </c>
      <c r="X1249" s="13">
        <f>IF('0.0%'!$N1249&lt;$Z$3,0, '0.0%'!$R1249/'0.0%'!$N1249)</f>
        <v>1.0612749114986233</v>
      </c>
      <c r="Y1249" s="13">
        <f>IF('0.0%'!$N1249&lt;$Z$3,0, '0.0%'!$S1249/'0.0%'!$N1249)</f>
        <v>1.10204290677855</v>
      </c>
    </row>
    <row r="1250" spans="1:25" x14ac:dyDescent="0.3">
      <c r="A1250" s="17">
        <v>1308</v>
      </c>
      <c r="B1250" s="10">
        <v>24437.4</v>
      </c>
      <c r="C1250" s="9">
        <v>1308</v>
      </c>
      <c r="D1250" s="10">
        <v>25733.7</v>
      </c>
      <c r="E1250" s="11">
        <v>1308</v>
      </c>
      <c r="F1250" s="12">
        <v>26169</v>
      </c>
      <c r="G1250" s="11">
        <v>1308</v>
      </c>
      <c r="H1250" s="12">
        <v>26173.1</v>
      </c>
      <c r="I1250" s="11">
        <v>1308</v>
      </c>
      <c r="J1250" s="12">
        <v>25932.799999999999</v>
      </c>
      <c r="K1250" s="11">
        <v>1308</v>
      </c>
      <c r="L1250" s="12">
        <v>26928</v>
      </c>
      <c r="M1250" s="11">
        <v>1308</v>
      </c>
      <c r="N1250" s="13">
        <v>24437.4</v>
      </c>
      <c r="O1250" s="13">
        <v>25733.7</v>
      </c>
      <c r="P1250" s="13">
        <v>26169</v>
      </c>
      <c r="Q1250" s="11">
        <v>26173.1</v>
      </c>
      <c r="R1250" s="11">
        <v>25932.799999999999</v>
      </c>
      <c r="S1250" s="14">
        <v>26928</v>
      </c>
      <c r="T1250" s="11">
        <v>1308</v>
      </c>
      <c r="U1250" s="13">
        <f>IF('0.0%'!$N1250&lt;$Z$3,0, '0.0%'!$O1250/'0.0%'!$N1250)</f>
        <v>1.0530457413636476</v>
      </c>
      <c r="V1250" s="13">
        <f>IF('0.0%'!$N1250&lt;$Z$3,0, '0.0%'!$P1250/'0.0%'!$N1250)</f>
        <v>1.0708586019789339</v>
      </c>
      <c r="W1250" s="13">
        <f>IF('0.0%'!$N1250&lt;$Z$3,0, '0.0%'!$Q1250/'0.0%'!$N1250)</f>
        <v>1.071026377601545</v>
      </c>
      <c r="X1250" s="13">
        <f>IF('0.0%'!$N1250&lt;$Z$3,0, '0.0%'!$R1250/'0.0%'!$N1250)</f>
        <v>1.0611930892811836</v>
      </c>
      <c r="Y1250" s="13">
        <f>IF('0.0%'!$N1250&lt;$Z$3,0, '0.0%'!$S1250/'0.0%'!$N1250)</f>
        <v>1.1019175526037956</v>
      </c>
    </row>
    <row r="1251" spans="1:25" x14ac:dyDescent="0.3">
      <c r="A1251" s="17">
        <v>1308.99</v>
      </c>
      <c r="B1251" s="10">
        <v>24457.8</v>
      </c>
      <c r="C1251" s="9">
        <v>1308.99</v>
      </c>
      <c r="D1251" s="10">
        <v>25753.4</v>
      </c>
      <c r="E1251" s="11">
        <v>1308.99</v>
      </c>
      <c r="F1251" s="12">
        <v>26189.3</v>
      </c>
      <c r="G1251" s="11">
        <v>1308.99</v>
      </c>
      <c r="H1251" s="12">
        <v>26194.3</v>
      </c>
      <c r="I1251" s="11">
        <v>1308.99</v>
      </c>
      <c r="J1251" s="12">
        <v>25952.799999999999</v>
      </c>
      <c r="K1251" s="11">
        <v>1308.99</v>
      </c>
      <c r="L1251" s="12">
        <v>26948.3</v>
      </c>
      <c r="M1251" s="11">
        <v>1308.99</v>
      </c>
      <c r="N1251" s="13">
        <v>24457.8</v>
      </c>
      <c r="O1251" s="13">
        <v>25753.4</v>
      </c>
      <c r="P1251" s="13">
        <v>26189.3</v>
      </c>
      <c r="Q1251" s="11">
        <v>26194.3</v>
      </c>
      <c r="R1251" s="11">
        <v>25952.799999999999</v>
      </c>
      <c r="S1251" s="14">
        <v>26948.3</v>
      </c>
      <c r="T1251" s="11">
        <v>1308.99</v>
      </c>
      <c r="U1251" s="13">
        <f>IF('0.0%'!$N1251&lt;$Z$3,0, '0.0%'!$O1251/'0.0%'!$N1251)</f>
        <v>1.0529728757288064</v>
      </c>
      <c r="V1251" s="13">
        <f>IF('0.0%'!$N1251&lt;$Z$3,0, '0.0%'!$P1251/'0.0%'!$N1251)</f>
        <v>1.0707954108709696</v>
      </c>
      <c r="W1251" s="13">
        <f>IF('0.0%'!$N1251&lt;$Z$3,0, '0.0%'!$Q1251/'0.0%'!$N1251)</f>
        <v>1.0709998446303428</v>
      </c>
      <c r="X1251" s="13">
        <f>IF('0.0%'!$N1251&lt;$Z$3,0, '0.0%'!$R1251/'0.0%'!$N1251)</f>
        <v>1.061125694052613</v>
      </c>
      <c r="Y1251" s="13">
        <f>IF('0.0%'!$N1251&lt;$Z$3,0, '0.0%'!$S1251/'0.0%'!$N1251)</f>
        <v>1.1018284555438347</v>
      </c>
    </row>
    <row r="1252" spans="1:25" x14ac:dyDescent="0.3">
      <c r="A1252" s="17">
        <v>1309.99</v>
      </c>
      <c r="B1252" s="10">
        <v>24483.4</v>
      </c>
      <c r="C1252" s="9">
        <v>1309.99</v>
      </c>
      <c r="D1252" s="10">
        <v>25778.2</v>
      </c>
      <c r="E1252" s="11">
        <v>1309.99</v>
      </c>
      <c r="F1252" s="12">
        <v>26214.799999999999</v>
      </c>
      <c r="G1252" s="11">
        <v>1309.99</v>
      </c>
      <c r="H1252" s="12">
        <v>26220.3</v>
      </c>
      <c r="I1252" s="11">
        <v>1309.99</v>
      </c>
      <c r="J1252" s="12">
        <v>25977.3</v>
      </c>
      <c r="K1252" s="11">
        <v>1309.99</v>
      </c>
      <c r="L1252" s="12">
        <v>26973.4</v>
      </c>
      <c r="M1252" s="11">
        <v>1309.99</v>
      </c>
      <c r="N1252" s="13">
        <v>24483.4</v>
      </c>
      <c r="O1252" s="13">
        <v>25778.2</v>
      </c>
      <c r="P1252" s="13">
        <v>26214.799999999999</v>
      </c>
      <c r="Q1252" s="11">
        <v>26220.3</v>
      </c>
      <c r="R1252" s="11">
        <v>25977.3</v>
      </c>
      <c r="S1252" s="14">
        <v>26973.4</v>
      </c>
      <c r="T1252" s="11">
        <v>1309.99</v>
      </c>
      <c r="U1252" s="13">
        <f>IF('0.0%'!$N1252&lt;$Z$3,0, '0.0%'!$O1252/'0.0%'!$N1252)</f>
        <v>1.052884811750002</v>
      </c>
      <c r="V1252" s="13">
        <f>IF('0.0%'!$N1252&lt;$Z$3,0, '0.0%'!$P1252/'0.0%'!$N1252)</f>
        <v>1.0707173023354599</v>
      </c>
      <c r="W1252" s="13">
        <f>IF('0.0%'!$N1252&lt;$Z$3,0, '0.0%'!$Q1252/'0.0%'!$N1252)</f>
        <v>1.0709419443377961</v>
      </c>
      <c r="X1252" s="13">
        <f>IF('0.0%'!$N1252&lt;$Z$3,0, '0.0%'!$R1252/'0.0%'!$N1252)</f>
        <v>1.0610168522345751</v>
      </c>
      <c r="Y1252" s="13">
        <f>IF('0.0%'!$N1252&lt;$Z$3,0, '0.0%'!$S1252/'0.0%'!$N1252)</f>
        <v>1.1017015610576961</v>
      </c>
    </row>
    <row r="1253" spans="1:25" x14ac:dyDescent="0.3">
      <c r="A1253" s="17">
        <v>1310.98</v>
      </c>
      <c r="B1253" s="10">
        <v>24499.8</v>
      </c>
      <c r="C1253" s="9">
        <v>1310.98</v>
      </c>
      <c r="D1253" s="10">
        <v>25794.1</v>
      </c>
      <c r="E1253" s="11">
        <v>1310.98</v>
      </c>
      <c r="F1253" s="12">
        <v>26230.2</v>
      </c>
      <c r="G1253" s="11">
        <v>1310.98</v>
      </c>
      <c r="H1253" s="12">
        <v>26237.200000000001</v>
      </c>
      <c r="I1253" s="11">
        <v>1310.98</v>
      </c>
      <c r="J1253" s="12">
        <v>25992.9</v>
      </c>
      <c r="K1253" s="11">
        <v>1310.98</v>
      </c>
      <c r="L1253" s="12">
        <v>26989.200000000001</v>
      </c>
      <c r="M1253" s="11">
        <v>1310.98</v>
      </c>
      <c r="N1253" s="13">
        <v>24499.8</v>
      </c>
      <c r="O1253" s="13">
        <v>25794.1</v>
      </c>
      <c r="P1253" s="13">
        <v>26230.2</v>
      </c>
      <c r="Q1253" s="11">
        <v>26237.200000000001</v>
      </c>
      <c r="R1253" s="11">
        <v>25992.9</v>
      </c>
      <c r="S1253" s="14">
        <v>26989.200000000001</v>
      </c>
      <c r="T1253" s="11">
        <v>1310.98</v>
      </c>
      <c r="U1253" s="13">
        <f>IF('0.0%'!$N1253&lt;$Z$3,0, '0.0%'!$O1253/'0.0%'!$N1253)</f>
        <v>1.0528290026857361</v>
      </c>
      <c r="V1253" s="13">
        <f>IF('0.0%'!$N1253&lt;$Z$3,0, '0.0%'!$P1253/'0.0%'!$N1253)</f>
        <v>1.070629147993045</v>
      </c>
      <c r="W1253" s="13">
        <f>IF('0.0%'!$N1253&lt;$Z$3,0, '0.0%'!$Q1253/'0.0%'!$N1253)</f>
        <v>1.0709148646111397</v>
      </c>
      <c r="X1253" s="13">
        <f>IF('0.0%'!$N1253&lt;$Z$3,0, '0.0%'!$R1253/'0.0%'!$N1253)</f>
        <v>1.0609433546396299</v>
      </c>
      <c r="Y1253" s="13">
        <f>IF('0.0%'!$N1253&lt;$Z$3,0, '0.0%'!$S1253/'0.0%'!$N1253)</f>
        <v>1.1016089927264714</v>
      </c>
    </row>
    <row r="1254" spans="1:25" x14ac:dyDescent="0.3">
      <c r="A1254" s="17">
        <v>1311.97</v>
      </c>
      <c r="B1254" s="10">
        <v>24523.7</v>
      </c>
      <c r="C1254" s="9">
        <v>1311.97</v>
      </c>
      <c r="D1254" s="10">
        <v>25817</v>
      </c>
      <c r="E1254" s="11">
        <v>1311.97</v>
      </c>
      <c r="F1254" s="12">
        <v>26253.7</v>
      </c>
      <c r="G1254" s="11">
        <v>1311.97</v>
      </c>
      <c r="H1254" s="12">
        <v>26261.599999999999</v>
      </c>
      <c r="I1254" s="11">
        <v>1311.97</v>
      </c>
      <c r="J1254" s="12">
        <v>26016</v>
      </c>
      <c r="K1254" s="11">
        <v>1311.97</v>
      </c>
      <c r="L1254" s="12">
        <v>27012.5</v>
      </c>
      <c r="M1254" s="11">
        <v>1311.97</v>
      </c>
      <c r="N1254" s="13">
        <v>24523.7</v>
      </c>
      <c r="O1254" s="13">
        <v>25817</v>
      </c>
      <c r="P1254" s="13">
        <v>26253.7</v>
      </c>
      <c r="Q1254" s="11">
        <v>26261.599999999999</v>
      </c>
      <c r="R1254" s="11">
        <v>26016</v>
      </c>
      <c r="S1254" s="14">
        <v>27012.5</v>
      </c>
      <c r="T1254" s="11">
        <v>1311.97</v>
      </c>
      <c r="U1254" s="13">
        <f>IF('0.0%'!$N1254&lt;$Z$3,0, '0.0%'!$O1254/'0.0%'!$N1254)</f>
        <v>1.0527367403776755</v>
      </c>
      <c r="V1254" s="13">
        <f>IF('0.0%'!$N1254&lt;$Z$3,0, '0.0%'!$P1254/'0.0%'!$N1254)</f>
        <v>1.0705440043712817</v>
      </c>
      <c r="W1254" s="13">
        <f>IF('0.0%'!$N1254&lt;$Z$3,0, '0.0%'!$Q1254/'0.0%'!$N1254)</f>
        <v>1.0708661417322833</v>
      </c>
      <c r="X1254" s="13">
        <f>IF('0.0%'!$N1254&lt;$Z$3,0, '0.0%'!$R1254/'0.0%'!$N1254)</f>
        <v>1.0608513397244299</v>
      </c>
      <c r="Y1254" s="13">
        <f>IF('0.0%'!$N1254&lt;$Z$3,0, '0.0%'!$S1254/'0.0%'!$N1254)</f>
        <v>1.1014855017799108</v>
      </c>
    </row>
    <row r="1255" spans="1:25" x14ac:dyDescent="0.3">
      <c r="A1255" s="17">
        <v>1312.96</v>
      </c>
      <c r="B1255" s="10">
        <v>24538.1</v>
      </c>
      <c r="C1255" s="9">
        <v>1312.96</v>
      </c>
      <c r="D1255" s="10">
        <v>25829.7</v>
      </c>
      <c r="E1255" s="11">
        <v>1312.96</v>
      </c>
      <c r="F1255" s="12">
        <v>26267.3</v>
      </c>
      <c r="G1255" s="11">
        <v>1312.96</v>
      </c>
      <c r="H1255" s="12">
        <v>26276.3</v>
      </c>
      <c r="I1255" s="11">
        <v>1312.96</v>
      </c>
      <c r="J1255" s="12">
        <v>26029.599999999999</v>
      </c>
      <c r="K1255" s="11">
        <v>1312.96</v>
      </c>
      <c r="L1255" s="12">
        <v>27025.599999999999</v>
      </c>
      <c r="M1255" s="11">
        <v>1312.96</v>
      </c>
      <c r="N1255" s="13">
        <v>24538.1</v>
      </c>
      <c r="O1255" s="13">
        <v>25829.7</v>
      </c>
      <c r="P1255" s="13">
        <v>26267.3</v>
      </c>
      <c r="Q1255" s="11">
        <v>26276.3</v>
      </c>
      <c r="R1255" s="11">
        <v>26029.599999999999</v>
      </c>
      <c r="S1255" s="14">
        <v>27025.599999999999</v>
      </c>
      <c r="T1255" s="11">
        <v>1312.96</v>
      </c>
      <c r="U1255" s="13">
        <f>IF('0.0%'!$N1255&lt;$Z$3,0, '0.0%'!$O1255/'0.0%'!$N1255)</f>
        <v>1.0526365121993961</v>
      </c>
      <c r="V1255" s="13">
        <f>IF('0.0%'!$N1255&lt;$Z$3,0, '0.0%'!$P1255/'0.0%'!$N1255)</f>
        <v>1.0704700037900245</v>
      </c>
      <c r="W1255" s="13">
        <f>IF('0.0%'!$N1255&lt;$Z$3,0, '0.0%'!$Q1255/'0.0%'!$N1255)</f>
        <v>1.0708367803538172</v>
      </c>
      <c r="X1255" s="13">
        <f>IF('0.0%'!$N1255&lt;$Z$3,0, '0.0%'!$R1255/'0.0%'!$N1255)</f>
        <v>1.0607830272107457</v>
      </c>
      <c r="Y1255" s="13">
        <f>IF('0.0%'!$N1255&lt;$Z$3,0, '0.0%'!$S1255/'0.0%'!$N1255)</f>
        <v>1.1013729669371304</v>
      </c>
    </row>
    <row r="1256" spans="1:25" x14ac:dyDescent="0.3">
      <c r="A1256" s="17">
        <v>1313.95</v>
      </c>
      <c r="B1256" s="10">
        <v>24557.5</v>
      </c>
      <c r="C1256" s="9">
        <v>1313.95</v>
      </c>
      <c r="D1256" s="10">
        <v>25847.9</v>
      </c>
      <c r="E1256" s="11">
        <v>1313.95</v>
      </c>
      <c r="F1256" s="12">
        <v>26286.6</v>
      </c>
      <c r="G1256" s="11">
        <v>1313.95</v>
      </c>
      <c r="H1256" s="12">
        <v>26296.2</v>
      </c>
      <c r="I1256" s="11">
        <v>1313.95</v>
      </c>
      <c r="J1256" s="12">
        <v>26048.799999999999</v>
      </c>
      <c r="K1256" s="11">
        <v>1313.95</v>
      </c>
      <c r="L1256" s="12">
        <v>27043.3</v>
      </c>
      <c r="M1256" s="11">
        <v>1313.95</v>
      </c>
      <c r="N1256" s="13">
        <v>24557.5</v>
      </c>
      <c r="O1256" s="13">
        <v>25847.9</v>
      </c>
      <c r="P1256" s="13">
        <v>26286.6</v>
      </c>
      <c r="Q1256" s="11">
        <v>26296.2</v>
      </c>
      <c r="R1256" s="11">
        <v>26048.799999999999</v>
      </c>
      <c r="S1256" s="14">
        <v>27043.3</v>
      </c>
      <c r="T1256" s="11">
        <v>1313.95</v>
      </c>
      <c r="U1256" s="13">
        <f>IF('0.0%'!$N1256&lt;$Z$3,0, '0.0%'!$O1256/'0.0%'!$N1256)</f>
        <v>1.0525460653568157</v>
      </c>
      <c r="V1256" s="13">
        <f>IF('0.0%'!$N1256&lt;$Z$3,0, '0.0%'!$P1256/'0.0%'!$N1256)</f>
        <v>1.0704102616308662</v>
      </c>
      <c r="W1256" s="13">
        <f>IF('0.0%'!$N1256&lt;$Z$3,0, '0.0%'!$Q1256/'0.0%'!$N1256)</f>
        <v>1.0708011809019649</v>
      </c>
      <c r="X1256" s="13">
        <f>IF('0.0%'!$N1256&lt;$Z$3,0, '0.0%'!$R1256/'0.0%'!$N1256)</f>
        <v>1.0607268655196986</v>
      </c>
      <c r="Y1256" s="13">
        <f>IF('0.0%'!$N1256&lt;$Z$3,0, '0.0%'!$S1256/'0.0%'!$N1256)</f>
        <v>1.101223658760053</v>
      </c>
    </row>
    <row r="1257" spans="1:25" x14ac:dyDescent="0.3">
      <c r="A1257" s="17">
        <v>1314.94</v>
      </c>
      <c r="B1257" s="10">
        <v>24567.5</v>
      </c>
      <c r="C1257" s="9">
        <v>1314.94</v>
      </c>
      <c r="D1257" s="10">
        <v>25856.799999999999</v>
      </c>
      <c r="E1257" s="11">
        <v>1314.94</v>
      </c>
      <c r="F1257" s="12">
        <v>26295.599999999999</v>
      </c>
      <c r="G1257" s="11">
        <v>1314.94</v>
      </c>
      <c r="H1257" s="12">
        <v>26306.6</v>
      </c>
      <c r="I1257" s="11">
        <v>1314.94</v>
      </c>
      <c r="J1257" s="12">
        <v>26058.2</v>
      </c>
      <c r="K1257" s="11">
        <v>1314.94</v>
      </c>
      <c r="L1257" s="12">
        <v>27050.9</v>
      </c>
      <c r="M1257" s="11">
        <v>1314.94</v>
      </c>
      <c r="N1257" s="13">
        <v>24567.5</v>
      </c>
      <c r="O1257" s="13">
        <v>25856.799999999999</v>
      </c>
      <c r="P1257" s="13">
        <v>26295.599999999999</v>
      </c>
      <c r="Q1257" s="11">
        <v>26306.6</v>
      </c>
      <c r="R1257" s="11">
        <v>26058.2</v>
      </c>
      <c r="S1257" s="14">
        <v>27050.9</v>
      </c>
      <c r="T1257" s="11">
        <v>1314.94</v>
      </c>
      <c r="U1257" s="13">
        <f>IF('0.0%'!$N1257&lt;$Z$3,0, '0.0%'!$O1257/'0.0%'!$N1257)</f>
        <v>1.0524799023099622</v>
      </c>
      <c r="V1257" s="13">
        <f>IF('0.0%'!$N1257&lt;$Z$3,0, '0.0%'!$P1257/'0.0%'!$N1257)</f>
        <v>1.0703408975272208</v>
      </c>
      <c r="W1257" s="13">
        <f>IF('0.0%'!$N1257&lt;$Z$3,0, '0.0%'!$Q1257/'0.0%'!$N1257)</f>
        <v>1.0707886435331229</v>
      </c>
      <c r="X1257" s="13">
        <f>IF('0.0%'!$N1257&lt;$Z$3,0, '0.0%'!$R1257/'0.0%'!$N1257)</f>
        <v>1.0606777246362065</v>
      </c>
      <c r="Y1257" s="13">
        <f>IF('0.0%'!$N1257&lt;$Z$3,0, '0.0%'!$S1257/'0.0%'!$N1257)</f>
        <v>1.1010847664597538</v>
      </c>
    </row>
    <row r="1258" spans="1:25" x14ac:dyDescent="0.3">
      <c r="A1258" s="17">
        <v>1315.94</v>
      </c>
      <c r="B1258" s="10">
        <v>24584.6</v>
      </c>
      <c r="C1258" s="9">
        <v>1315.94</v>
      </c>
      <c r="D1258" s="10">
        <v>25873</v>
      </c>
      <c r="E1258" s="11">
        <v>1315.94</v>
      </c>
      <c r="F1258" s="12">
        <v>26311.9</v>
      </c>
      <c r="G1258" s="11">
        <v>1315.94</v>
      </c>
      <c r="H1258" s="12">
        <v>26323.7</v>
      </c>
      <c r="I1258" s="11">
        <v>1315.94</v>
      </c>
      <c r="J1258" s="12">
        <v>26074.2</v>
      </c>
      <c r="K1258" s="11">
        <v>1315.94</v>
      </c>
      <c r="L1258" s="12">
        <v>27065.4</v>
      </c>
      <c r="M1258" s="11">
        <v>1315.94</v>
      </c>
      <c r="N1258" s="13">
        <v>24584.6</v>
      </c>
      <c r="O1258" s="13">
        <v>25873</v>
      </c>
      <c r="P1258" s="13">
        <v>26311.9</v>
      </c>
      <c r="Q1258" s="11">
        <v>26323.7</v>
      </c>
      <c r="R1258" s="11">
        <v>26074.2</v>
      </c>
      <c r="S1258" s="14">
        <v>27065.4</v>
      </c>
      <c r="T1258" s="11">
        <v>1315.94</v>
      </c>
      <c r="U1258" s="13">
        <f>IF('0.0%'!$N1258&lt;$Z$3,0, '0.0%'!$O1258/'0.0%'!$N1258)</f>
        <v>1.0524067912432986</v>
      </c>
      <c r="V1258" s="13">
        <f>IF('0.0%'!$N1258&lt;$Z$3,0, '0.0%'!$P1258/'0.0%'!$N1258)</f>
        <v>1.07025943070052</v>
      </c>
      <c r="W1258" s="13">
        <f>IF('0.0%'!$N1258&lt;$Z$3,0, '0.0%'!$Q1258/'0.0%'!$N1258)</f>
        <v>1.0707394059695907</v>
      </c>
      <c r="X1258" s="13">
        <f>IF('0.0%'!$N1258&lt;$Z$3,0, '0.0%'!$R1258/'0.0%'!$N1258)</f>
        <v>1.0605907763396598</v>
      </c>
      <c r="Y1258" s="13">
        <f>IF('0.0%'!$N1258&lt;$Z$3,0, '0.0%'!$S1258/'0.0%'!$N1258)</f>
        <v>1.1009086989416139</v>
      </c>
    </row>
    <row r="1259" spans="1:25" x14ac:dyDescent="0.3">
      <c r="A1259" s="17">
        <v>1316.93</v>
      </c>
      <c r="B1259" s="10">
        <v>24591.5</v>
      </c>
      <c r="C1259" s="9">
        <v>1316.93</v>
      </c>
      <c r="D1259" s="10">
        <v>25879.200000000001</v>
      </c>
      <c r="E1259" s="11">
        <v>1316.93</v>
      </c>
      <c r="F1259" s="12">
        <v>26317.4</v>
      </c>
      <c r="G1259" s="11">
        <v>1316.93</v>
      </c>
      <c r="H1259" s="12">
        <v>26331</v>
      </c>
      <c r="I1259" s="11">
        <v>1316.93</v>
      </c>
      <c r="J1259" s="12">
        <v>26079.7</v>
      </c>
      <c r="K1259" s="11">
        <v>1316.93</v>
      </c>
      <c r="L1259" s="12">
        <v>27069.1</v>
      </c>
      <c r="M1259" s="11">
        <v>1316.93</v>
      </c>
      <c r="N1259" s="13">
        <v>24591.5</v>
      </c>
      <c r="O1259" s="13">
        <v>25879.200000000001</v>
      </c>
      <c r="P1259" s="13">
        <v>26317.4</v>
      </c>
      <c r="Q1259" s="11">
        <v>26331</v>
      </c>
      <c r="R1259" s="11">
        <v>26079.7</v>
      </c>
      <c r="S1259" s="14">
        <v>27069.1</v>
      </c>
      <c r="T1259" s="11">
        <v>1316.93</v>
      </c>
      <c r="U1259" s="13">
        <f>IF('0.0%'!$N1259&lt;$Z$3,0, '0.0%'!$O1259/'0.0%'!$N1259)</f>
        <v>1.052363621576561</v>
      </c>
      <c r="V1259" s="13">
        <f>IF('0.0%'!$N1259&lt;$Z$3,0, '0.0%'!$P1259/'0.0%'!$N1259)</f>
        <v>1.070182786735254</v>
      </c>
      <c r="W1259" s="13">
        <f>IF('0.0%'!$N1259&lt;$Z$3,0, '0.0%'!$Q1259/'0.0%'!$N1259)</f>
        <v>1.0707358233535977</v>
      </c>
      <c r="X1259" s="13">
        <f>IF('0.0%'!$N1259&lt;$Z$3,0, '0.0%'!$R1259/'0.0%'!$N1259)</f>
        <v>1.060516845251408</v>
      </c>
      <c r="Y1259" s="13">
        <f>IF('0.0%'!$N1259&lt;$Z$3,0, '0.0%'!$S1259/'0.0%'!$N1259)</f>
        <v>1.1007502592359149</v>
      </c>
    </row>
    <row r="1260" spans="1:25" x14ac:dyDescent="0.3">
      <c r="A1260" s="17">
        <v>1317.92</v>
      </c>
      <c r="B1260" s="10">
        <v>24602.7</v>
      </c>
      <c r="C1260" s="9">
        <v>1317.92</v>
      </c>
      <c r="D1260" s="10">
        <v>25889.5</v>
      </c>
      <c r="E1260" s="11">
        <v>1317.92</v>
      </c>
      <c r="F1260" s="12">
        <v>26327.4</v>
      </c>
      <c r="G1260" s="11">
        <v>1317.92</v>
      </c>
      <c r="H1260" s="12">
        <v>26342.3</v>
      </c>
      <c r="I1260" s="11">
        <v>1317.92</v>
      </c>
      <c r="J1260" s="12">
        <v>26088.6</v>
      </c>
      <c r="K1260" s="11">
        <v>1317.92</v>
      </c>
      <c r="L1260" s="12">
        <v>27076.7</v>
      </c>
      <c r="M1260" s="11">
        <v>1317.92</v>
      </c>
      <c r="N1260" s="13">
        <v>24602.7</v>
      </c>
      <c r="O1260" s="13">
        <v>25889.5</v>
      </c>
      <c r="P1260" s="13">
        <v>26327.4</v>
      </c>
      <c r="Q1260" s="11">
        <v>26342.3</v>
      </c>
      <c r="R1260" s="11">
        <v>26088.6</v>
      </c>
      <c r="S1260" s="14">
        <v>27076.7</v>
      </c>
      <c r="T1260" s="11">
        <v>1317.92</v>
      </c>
      <c r="U1260" s="13">
        <f>IF('0.0%'!$N1260&lt;$Z$3,0, '0.0%'!$O1260/'0.0%'!$N1260)</f>
        <v>1.0523032024940351</v>
      </c>
      <c r="V1260" s="13">
        <f>IF('0.0%'!$N1260&lt;$Z$3,0, '0.0%'!$P1260/'0.0%'!$N1260)</f>
        <v>1.0701020619688084</v>
      </c>
      <c r="W1260" s="13">
        <f>IF('0.0%'!$N1260&lt;$Z$3,0, '0.0%'!$Q1260/'0.0%'!$N1260)</f>
        <v>1.0707076865547276</v>
      </c>
      <c r="X1260" s="13">
        <f>IF('0.0%'!$N1260&lt;$Z$3,0, '0.0%'!$R1260/'0.0%'!$N1260)</f>
        <v>1.0603958102159519</v>
      </c>
      <c r="Y1260" s="13">
        <f>IF('0.0%'!$N1260&lt;$Z$3,0, '0.0%'!$S1260/'0.0%'!$N1260)</f>
        <v>1.100558068829844</v>
      </c>
    </row>
    <row r="1261" spans="1:25" x14ac:dyDescent="0.3">
      <c r="A1261" s="17">
        <v>1318.91</v>
      </c>
      <c r="B1261" s="10">
        <v>24604.3</v>
      </c>
      <c r="C1261" s="9">
        <v>1318.91</v>
      </c>
      <c r="D1261" s="10">
        <v>25889.9</v>
      </c>
      <c r="E1261" s="11">
        <v>1318.91</v>
      </c>
      <c r="F1261" s="12">
        <v>26326.5</v>
      </c>
      <c r="G1261" s="11">
        <v>1318.91</v>
      </c>
      <c r="H1261" s="12">
        <v>26343.8</v>
      </c>
      <c r="I1261" s="11">
        <v>1318.91</v>
      </c>
      <c r="J1261" s="12">
        <v>26087.8</v>
      </c>
      <c r="K1261" s="11">
        <v>1318.91</v>
      </c>
      <c r="L1261" s="12">
        <v>27074.2</v>
      </c>
      <c r="M1261" s="11">
        <v>1318.91</v>
      </c>
      <c r="N1261" s="13">
        <v>24604.3</v>
      </c>
      <c r="O1261" s="13">
        <v>25889.9</v>
      </c>
      <c r="P1261" s="13">
        <v>26326.5</v>
      </c>
      <c r="Q1261" s="11">
        <v>26343.8</v>
      </c>
      <c r="R1261" s="11">
        <v>26087.8</v>
      </c>
      <c r="S1261" s="14">
        <v>27074.2</v>
      </c>
      <c r="T1261" s="11">
        <v>1318.91</v>
      </c>
      <c r="U1261" s="13">
        <f>IF('0.0%'!$N1261&lt;$Z$3,0, '0.0%'!$O1261/'0.0%'!$N1261)</f>
        <v>1.0522510292916281</v>
      </c>
      <c r="V1261" s="13">
        <f>IF('0.0%'!$N1261&lt;$Z$3,0, '0.0%'!$P1261/'0.0%'!$N1261)</f>
        <v>1.0699958950264792</v>
      </c>
      <c r="W1261" s="13">
        <f>IF('0.0%'!$N1261&lt;$Z$3,0, '0.0%'!$Q1261/'0.0%'!$N1261)</f>
        <v>1.0706990241543144</v>
      </c>
      <c r="X1261" s="13">
        <f>IF('0.0%'!$N1261&lt;$Z$3,0, '0.0%'!$R1261/'0.0%'!$N1261)</f>
        <v>1.0602943387944384</v>
      </c>
      <c r="Y1261" s="13">
        <f>IF('0.0%'!$N1261&lt;$Z$3,0, '0.0%'!$S1261/'0.0%'!$N1261)</f>
        <v>1.1003848920717112</v>
      </c>
    </row>
    <row r="1262" spans="1:25" x14ac:dyDescent="0.3">
      <c r="A1262" s="17">
        <v>1319.9</v>
      </c>
      <c r="B1262" s="10">
        <v>24612.7</v>
      </c>
      <c r="C1262" s="9">
        <v>1319.9</v>
      </c>
      <c r="D1262" s="10">
        <v>25896.9</v>
      </c>
      <c r="E1262" s="11">
        <v>1319.9</v>
      </c>
      <c r="F1262" s="12">
        <v>26333.200000000001</v>
      </c>
      <c r="G1262" s="11">
        <v>1319.9</v>
      </c>
      <c r="H1262" s="12">
        <v>26352.6</v>
      </c>
      <c r="I1262" s="11">
        <v>1319.9</v>
      </c>
      <c r="J1262" s="12">
        <v>26094.3</v>
      </c>
      <c r="K1262" s="11">
        <v>1319.9</v>
      </c>
      <c r="L1262" s="12">
        <v>27078.799999999999</v>
      </c>
      <c r="M1262" s="11">
        <v>1319.9</v>
      </c>
      <c r="N1262" s="13">
        <v>24612.7</v>
      </c>
      <c r="O1262" s="13">
        <v>25896.9</v>
      </c>
      <c r="P1262" s="13">
        <v>26333.200000000001</v>
      </c>
      <c r="Q1262" s="11">
        <v>26352.6</v>
      </c>
      <c r="R1262" s="11">
        <v>26094.3</v>
      </c>
      <c r="S1262" s="14">
        <v>27078.799999999999</v>
      </c>
      <c r="T1262" s="11">
        <v>1319.9</v>
      </c>
      <c r="U1262" s="13">
        <f>IF('0.0%'!$N1262&lt;$Z$3,0, '0.0%'!$O1262/'0.0%'!$N1262)</f>
        <v>1.052176315479407</v>
      </c>
      <c r="V1262" s="13">
        <f>IF('0.0%'!$N1262&lt;$Z$3,0, '0.0%'!$P1262/'0.0%'!$N1262)</f>
        <v>1.0699029362889889</v>
      </c>
      <c r="W1262" s="13">
        <f>IF('0.0%'!$N1262&lt;$Z$3,0, '0.0%'!$Q1262/'0.0%'!$N1262)</f>
        <v>1.0706911472532472</v>
      </c>
      <c r="X1262" s="13">
        <f>IF('0.0%'!$N1262&lt;$Z$3,0, '0.0%'!$R1262/'0.0%'!$N1262)</f>
        <v>1.0601965651878908</v>
      </c>
      <c r="Y1262" s="13">
        <f>IF('0.0%'!$N1262&lt;$Z$3,0, '0.0%'!$S1262/'0.0%'!$N1262)</f>
        <v>1.1001962401524417</v>
      </c>
    </row>
    <row r="1263" spans="1:25" x14ac:dyDescent="0.3">
      <c r="A1263" s="17">
        <v>1320.9</v>
      </c>
      <c r="B1263" s="10">
        <v>24611.3</v>
      </c>
      <c r="C1263" s="9">
        <v>1320.9</v>
      </c>
      <c r="D1263" s="10">
        <v>25893.7</v>
      </c>
      <c r="E1263" s="11">
        <v>1320.9</v>
      </c>
      <c r="F1263" s="12">
        <v>26329.4</v>
      </c>
      <c r="G1263" s="11">
        <v>1320.9</v>
      </c>
      <c r="H1263" s="12">
        <v>26351.200000000001</v>
      </c>
      <c r="I1263" s="11">
        <v>1320.9</v>
      </c>
      <c r="J1263" s="12">
        <v>26091</v>
      </c>
      <c r="K1263" s="11">
        <v>1320.9</v>
      </c>
      <c r="L1263" s="12">
        <v>27072.9</v>
      </c>
      <c r="M1263" s="11">
        <v>1320.9</v>
      </c>
      <c r="N1263" s="13">
        <v>24611.3</v>
      </c>
      <c r="O1263" s="13">
        <v>25893.7</v>
      </c>
      <c r="P1263" s="13">
        <v>26329.4</v>
      </c>
      <c r="Q1263" s="11">
        <v>26351.200000000001</v>
      </c>
      <c r="R1263" s="11">
        <v>26091</v>
      </c>
      <c r="S1263" s="14">
        <v>27072.9</v>
      </c>
      <c r="T1263" s="11">
        <v>1320.9</v>
      </c>
      <c r="U1263" s="13">
        <f>IF('0.0%'!$N1263&lt;$Z$3,0, '0.0%'!$O1263/'0.0%'!$N1263)</f>
        <v>1.0521061463636623</v>
      </c>
      <c r="V1263" s="13">
        <f>IF('0.0%'!$N1263&lt;$Z$3,0, '0.0%'!$P1263/'0.0%'!$N1263)</f>
        <v>1.0698093964967312</v>
      </c>
      <c r="W1263" s="13">
        <f>IF('0.0%'!$N1263&lt;$Z$3,0, '0.0%'!$Q1263/'0.0%'!$N1263)</f>
        <v>1.0706951684795196</v>
      </c>
      <c r="X1263" s="13">
        <f>IF('0.0%'!$N1263&lt;$Z$3,0, '0.0%'!$R1263/'0.0%'!$N1263)</f>
        <v>1.0601227891253204</v>
      </c>
      <c r="Y1263" s="13">
        <f>IF('0.0%'!$N1263&lt;$Z$3,0, '0.0%'!$S1263/'0.0%'!$N1263)</f>
        <v>1.100019096918895</v>
      </c>
    </row>
    <row r="1264" spans="1:25" x14ac:dyDescent="0.3">
      <c r="A1264" s="17">
        <v>1321.89</v>
      </c>
      <c r="B1264" s="10">
        <v>24614.7</v>
      </c>
      <c r="C1264" s="9">
        <v>1321.89</v>
      </c>
      <c r="D1264" s="10">
        <v>25895.1</v>
      </c>
      <c r="E1264" s="11">
        <v>1321.89</v>
      </c>
      <c r="F1264" s="12">
        <v>26330.2</v>
      </c>
      <c r="G1264" s="11">
        <v>1321.89</v>
      </c>
      <c r="H1264" s="12">
        <v>26354.1</v>
      </c>
      <c r="I1264" s="11">
        <v>1321.89</v>
      </c>
      <c r="J1264" s="12">
        <v>26091.599999999999</v>
      </c>
      <c r="K1264" s="11">
        <v>1321.89</v>
      </c>
      <c r="L1264" s="12">
        <v>27071.1</v>
      </c>
      <c r="M1264" s="11">
        <v>1321.89</v>
      </c>
      <c r="N1264" s="13">
        <v>24614.7</v>
      </c>
      <c r="O1264" s="13">
        <v>25895.1</v>
      </c>
      <c r="P1264" s="13">
        <v>26330.2</v>
      </c>
      <c r="Q1264" s="11">
        <v>26354.1</v>
      </c>
      <c r="R1264" s="11">
        <v>26091.599999999999</v>
      </c>
      <c r="S1264" s="14">
        <v>27071.1</v>
      </c>
      <c r="T1264" s="11">
        <v>1321.89</v>
      </c>
      <c r="U1264" s="13">
        <f>IF('0.0%'!$N1264&lt;$Z$3,0, '0.0%'!$O1264/'0.0%'!$N1264)</f>
        <v>1.0520176967421906</v>
      </c>
      <c r="V1264" s="13">
        <f>IF('0.0%'!$N1264&lt;$Z$3,0, '0.0%'!$P1264/'0.0%'!$N1264)</f>
        <v>1.0696941258678756</v>
      </c>
      <c r="W1264" s="13">
        <f>IF('0.0%'!$N1264&lt;$Z$3,0, '0.0%'!$Q1264/'0.0%'!$N1264)</f>
        <v>1.0706650903728259</v>
      </c>
      <c r="X1264" s="13">
        <f>IF('0.0%'!$N1264&lt;$Z$3,0, '0.0%'!$R1264/'0.0%'!$N1264)</f>
        <v>1.0600007312703383</v>
      </c>
      <c r="Y1264" s="13">
        <f>IF('0.0%'!$N1264&lt;$Z$3,0, '0.0%'!$S1264/'0.0%'!$N1264)</f>
        <v>1.0997940255213348</v>
      </c>
    </row>
    <row r="1265" spans="1:25" x14ac:dyDescent="0.3">
      <c r="A1265" s="17">
        <v>1322.88</v>
      </c>
      <c r="B1265" s="10">
        <v>24607.3</v>
      </c>
      <c r="C1265" s="9">
        <v>1322.88</v>
      </c>
      <c r="D1265" s="10">
        <v>25885.7</v>
      </c>
      <c r="E1265" s="11">
        <v>1322.88</v>
      </c>
      <c r="F1265" s="12">
        <v>26318.9</v>
      </c>
      <c r="G1265" s="11">
        <v>1322.88</v>
      </c>
      <c r="H1265" s="12">
        <v>26345.9</v>
      </c>
      <c r="I1265" s="11">
        <v>1322.88</v>
      </c>
      <c r="J1265" s="12">
        <v>26080.9</v>
      </c>
      <c r="K1265" s="11">
        <v>1322.88</v>
      </c>
      <c r="L1265" s="12">
        <v>27057.9</v>
      </c>
      <c r="M1265" s="11">
        <v>1322.88</v>
      </c>
      <c r="N1265" s="13">
        <v>24607.3</v>
      </c>
      <c r="O1265" s="13">
        <v>25885.7</v>
      </c>
      <c r="P1265" s="13">
        <v>26318.9</v>
      </c>
      <c r="Q1265" s="11">
        <v>26345.9</v>
      </c>
      <c r="R1265" s="11">
        <v>26080.9</v>
      </c>
      <c r="S1265" s="14">
        <v>27057.9</v>
      </c>
      <c r="T1265" s="11">
        <v>1322.88</v>
      </c>
      <c r="U1265" s="13">
        <f>IF('0.0%'!$N1265&lt;$Z$3,0, '0.0%'!$O1265/'0.0%'!$N1265)</f>
        <v>1.0519520630056935</v>
      </c>
      <c r="V1265" s="13">
        <f>IF('0.0%'!$N1265&lt;$Z$3,0, '0.0%'!$P1265/'0.0%'!$N1265)</f>
        <v>1.0695565949941686</v>
      </c>
      <c r="W1265" s="13">
        <f>IF('0.0%'!$N1265&lt;$Z$3,0, '0.0%'!$Q1265/'0.0%'!$N1265)</f>
        <v>1.0706538303674114</v>
      </c>
      <c r="X1265" s="13">
        <f>IF('0.0%'!$N1265&lt;$Z$3,0, '0.0%'!$R1265/'0.0%'!$N1265)</f>
        <v>1.0598846683707681</v>
      </c>
      <c r="Y1265" s="13">
        <f>IF('0.0%'!$N1265&lt;$Z$3,0, '0.0%'!$S1265/'0.0%'!$N1265)</f>
        <v>1.0995883335432983</v>
      </c>
    </row>
    <row r="1266" spans="1:25" x14ac:dyDescent="0.3">
      <c r="A1266" s="17">
        <v>1323.87</v>
      </c>
      <c r="B1266" s="10">
        <v>24601.200000000001</v>
      </c>
      <c r="C1266" s="9">
        <v>1323.87</v>
      </c>
      <c r="D1266" s="10">
        <v>25877.8</v>
      </c>
      <c r="E1266" s="11">
        <v>1323.87</v>
      </c>
      <c r="F1266" s="12">
        <v>26309.5</v>
      </c>
      <c r="G1266" s="11">
        <v>1323.87</v>
      </c>
      <c r="H1266" s="12">
        <v>26339.4</v>
      </c>
      <c r="I1266" s="11">
        <v>1323.87</v>
      </c>
      <c r="J1266" s="12">
        <v>26071.9</v>
      </c>
      <c r="K1266" s="11">
        <v>1323.87</v>
      </c>
      <c r="L1266" s="12">
        <v>27046.9</v>
      </c>
      <c r="M1266" s="11">
        <v>1323.87</v>
      </c>
      <c r="N1266" s="13">
        <v>24601.200000000001</v>
      </c>
      <c r="O1266" s="13">
        <v>25877.8</v>
      </c>
      <c r="P1266" s="13">
        <v>26309.5</v>
      </c>
      <c r="Q1266" s="11">
        <v>26339.4</v>
      </c>
      <c r="R1266" s="11">
        <v>26071.9</v>
      </c>
      <c r="S1266" s="14">
        <v>27046.9</v>
      </c>
      <c r="T1266" s="11">
        <v>1323.87</v>
      </c>
      <c r="U1266" s="13">
        <f>IF('0.0%'!$N1266&lt;$Z$3,0, '0.0%'!$O1266/'0.0%'!$N1266)</f>
        <v>1.0518917776368633</v>
      </c>
      <c r="V1266" s="13">
        <f>IF('0.0%'!$N1266&lt;$Z$3,0, '0.0%'!$P1266/'0.0%'!$N1266)</f>
        <v>1.0694397021283515</v>
      </c>
      <c r="W1266" s="13">
        <f>IF('0.0%'!$N1266&lt;$Z$3,0, '0.0%'!$Q1266/'0.0%'!$N1266)</f>
        <v>1.07065508999561</v>
      </c>
      <c r="X1266" s="13">
        <f>IF('0.0%'!$N1266&lt;$Z$3,0, '0.0%'!$R1266/'0.0%'!$N1266)</f>
        <v>1.0597816366681301</v>
      </c>
      <c r="Y1266" s="13">
        <f>IF('0.0%'!$N1266&lt;$Z$3,0, '0.0%'!$S1266/'0.0%'!$N1266)</f>
        <v>1.0994138497309074</v>
      </c>
    </row>
    <row r="1267" spans="1:25" x14ac:dyDescent="0.3">
      <c r="A1267" s="17">
        <v>1324.86</v>
      </c>
      <c r="B1267" s="10">
        <v>24595.7</v>
      </c>
      <c r="C1267" s="9">
        <v>1324.86</v>
      </c>
      <c r="D1267" s="10">
        <v>25870.1</v>
      </c>
      <c r="E1267" s="11">
        <v>1324.86</v>
      </c>
      <c r="F1267" s="12">
        <v>26300</v>
      </c>
      <c r="G1267" s="11">
        <v>1324.86</v>
      </c>
      <c r="H1267" s="12">
        <v>26333.200000000001</v>
      </c>
      <c r="I1267" s="11">
        <v>1324.86</v>
      </c>
      <c r="J1267" s="12">
        <v>26062.9</v>
      </c>
      <c r="K1267" s="11">
        <v>1324.86</v>
      </c>
      <c r="L1267" s="12">
        <v>27035.3</v>
      </c>
      <c r="M1267" s="11">
        <v>1324.86</v>
      </c>
      <c r="N1267" s="13">
        <v>24595.7</v>
      </c>
      <c r="O1267" s="13">
        <v>25870.1</v>
      </c>
      <c r="P1267" s="13">
        <v>26300</v>
      </c>
      <c r="Q1267" s="11">
        <v>26333.200000000001</v>
      </c>
      <c r="R1267" s="11">
        <v>26062.9</v>
      </c>
      <c r="S1267" s="14">
        <v>27035.3</v>
      </c>
      <c r="T1267" s="11">
        <v>1324.86</v>
      </c>
      <c r="U1267" s="13">
        <f>IF('0.0%'!$N1267&lt;$Z$3,0, '0.0%'!$O1267/'0.0%'!$N1267)</f>
        <v>1.0518139349561102</v>
      </c>
      <c r="V1267" s="13">
        <f>IF('0.0%'!$N1267&lt;$Z$3,0, '0.0%'!$P1267/'0.0%'!$N1267)</f>
        <v>1.0692925999260032</v>
      </c>
      <c r="W1267" s="13">
        <f>IF('0.0%'!$N1267&lt;$Z$3,0, '0.0%'!$Q1267/'0.0%'!$N1267)</f>
        <v>1.070642429367735</v>
      </c>
      <c r="X1267" s="13">
        <f>IF('0.0%'!$N1267&lt;$Z$3,0, '0.0%'!$R1267/'0.0%'!$N1267)</f>
        <v>1.0596527035213472</v>
      </c>
      <c r="Y1267" s="13">
        <f>IF('0.0%'!$N1267&lt;$Z$3,0, '0.0%'!$S1267/'0.0%'!$N1267)</f>
        <v>1.0991880694592957</v>
      </c>
    </row>
    <row r="1268" spans="1:25" x14ac:dyDescent="0.3">
      <c r="A1268" s="17">
        <v>1325.85</v>
      </c>
      <c r="B1268" s="10">
        <v>24578.6</v>
      </c>
      <c r="C1268" s="9">
        <v>1325.85</v>
      </c>
      <c r="D1268" s="10">
        <v>25851.3</v>
      </c>
      <c r="E1268" s="11">
        <v>1325.85</v>
      </c>
      <c r="F1268" s="12">
        <v>26278.2</v>
      </c>
      <c r="G1268" s="11">
        <v>1325.85</v>
      </c>
      <c r="H1268" s="12">
        <v>26315.9</v>
      </c>
      <c r="I1268" s="11">
        <v>1325.85</v>
      </c>
      <c r="J1268" s="12">
        <v>26042.2</v>
      </c>
      <c r="K1268" s="11">
        <v>1325.85</v>
      </c>
      <c r="L1268" s="12">
        <v>27012.400000000001</v>
      </c>
      <c r="M1268" s="11">
        <v>1325.85</v>
      </c>
      <c r="N1268" s="13">
        <v>24578.6</v>
      </c>
      <c r="O1268" s="13">
        <v>25851.3</v>
      </c>
      <c r="P1268" s="13">
        <v>26278.2</v>
      </c>
      <c r="Q1268" s="11">
        <v>26315.9</v>
      </c>
      <c r="R1268" s="11">
        <v>26042.2</v>
      </c>
      <c r="S1268" s="14">
        <v>27012.400000000001</v>
      </c>
      <c r="T1268" s="11">
        <v>1325.85</v>
      </c>
      <c r="U1268" s="13">
        <f>IF('0.0%'!$N1268&lt;$Z$3,0, '0.0%'!$O1268/'0.0%'!$N1268)</f>
        <v>1.0517808174590904</v>
      </c>
      <c r="V1268" s="13">
        <f>IF('0.0%'!$N1268&lt;$Z$3,0, '0.0%'!$P1268/'0.0%'!$N1268)</f>
        <v>1.0691495854116997</v>
      </c>
      <c r="W1268" s="13">
        <f>IF('0.0%'!$N1268&lt;$Z$3,0, '0.0%'!$Q1268/'0.0%'!$N1268)</f>
        <v>1.0706834400657483</v>
      </c>
      <c r="X1268" s="13">
        <f>IF('0.0%'!$N1268&lt;$Z$3,0, '0.0%'!$R1268/'0.0%'!$N1268)</f>
        <v>1.059547736648955</v>
      </c>
      <c r="Y1268" s="13">
        <f>IF('0.0%'!$N1268&lt;$Z$3,0, '0.0%'!$S1268/'0.0%'!$N1268)</f>
        <v>1.0990210996557983</v>
      </c>
    </row>
    <row r="1269" spans="1:25" x14ac:dyDescent="0.3">
      <c r="A1269" s="17">
        <v>1326.85</v>
      </c>
      <c r="B1269" s="10">
        <v>24565</v>
      </c>
      <c r="C1269" s="9">
        <v>1326.85</v>
      </c>
      <c r="D1269" s="10">
        <v>25835.200000000001</v>
      </c>
      <c r="E1269" s="11">
        <v>1326.85</v>
      </c>
      <c r="F1269" s="12">
        <v>26259.7</v>
      </c>
      <c r="G1269" s="11">
        <v>1326.85</v>
      </c>
      <c r="H1269" s="12">
        <v>26301.1</v>
      </c>
      <c r="I1269" s="11">
        <v>1326.85</v>
      </c>
      <c r="J1269" s="12">
        <v>26024.1</v>
      </c>
      <c r="K1269" s="11">
        <v>1326.85</v>
      </c>
      <c r="L1269" s="12">
        <v>26992.400000000001</v>
      </c>
      <c r="M1269" s="11">
        <v>1326.85</v>
      </c>
      <c r="N1269" s="13">
        <v>24565</v>
      </c>
      <c r="O1269" s="13">
        <v>25835.200000000001</v>
      </c>
      <c r="P1269" s="13">
        <v>26259.7</v>
      </c>
      <c r="Q1269" s="11">
        <v>26301.1</v>
      </c>
      <c r="R1269" s="11">
        <v>26024.1</v>
      </c>
      <c r="S1269" s="14">
        <v>26992.400000000001</v>
      </c>
      <c r="T1269" s="11">
        <v>1326.85</v>
      </c>
      <c r="U1269" s="13">
        <f>IF('0.0%'!$N1269&lt;$Z$3,0, '0.0%'!$O1269/'0.0%'!$N1269)</f>
        <v>1.0517077142275595</v>
      </c>
      <c r="V1269" s="13">
        <f>IF('0.0%'!$N1269&lt;$Z$3,0, '0.0%'!$P1269/'0.0%'!$N1269)</f>
        <v>1.0689883981274171</v>
      </c>
      <c r="W1269" s="13">
        <f>IF('0.0%'!$N1269&lt;$Z$3,0, '0.0%'!$Q1269/'0.0%'!$N1269)</f>
        <v>1.0706737227763077</v>
      </c>
      <c r="X1269" s="13">
        <f>IF('0.0%'!$N1269&lt;$Z$3,0, '0.0%'!$R1269/'0.0%'!$N1269)</f>
        <v>1.0593975167921839</v>
      </c>
      <c r="Y1269" s="13">
        <f>IF('0.0%'!$N1269&lt;$Z$3,0, '0.0%'!$S1269/'0.0%'!$N1269)</f>
        <v>1.0988153877467943</v>
      </c>
    </row>
    <row r="1270" spans="1:25" x14ac:dyDescent="0.3">
      <c r="A1270" s="17">
        <v>1327.84</v>
      </c>
      <c r="B1270" s="10">
        <v>24539.9</v>
      </c>
      <c r="C1270" s="9">
        <v>1327.84</v>
      </c>
      <c r="D1270" s="10">
        <v>25807.7</v>
      </c>
      <c r="E1270" s="11">
        <v>1327.84</v>
      </c>
      <c r="F1270" s="12">
        <v>26229.3</v>
      </c>
      <c r="G1270" s="11">
        <v>1327.84</v>
      </c>
      <c r="H1270" s="12">
        <v>26275.200000000001</v>
      </c>
      <c r="I1270" s="11">
        <v>1327.84</v>
      </c>
      <c r="J1270" s="12">
        <v>25994.400000000001</v>
      </c>
      <c r="K1270" s="11">
        <v>1327.84</v>
      </c>
      <c r="L1270" s="12">
        <v>26961</v>
      </c>
      <c r="M1270" s="11">
        <v>1327.84</v>
      </c>
      <c r="N1270" s="13">
        <v>24539.9</v>
      </c>
      <c r="O1270" s="13">
        <v>25807.7</v>
      </c>
      <c r="P1270" s="13">
        <v>26229.3</v>
      </c>
      <c r="Q1270" s="11">
        <v>26275.200000000001</v>
      </c>
      <c r="R1270" s="11">
        <v>25994.400000000001</v>
      </c>
      <c r="S1270" s="14">
        <v>26961</v>
      </c>
      <c r="T1270" s="11">
        <v>1327.84</v>
      </c>
      <c r="U1270" s="13">
        <f>IF('0.0%'!$N1270&lt;$Z$3,0, '0.0%'!$O1270/'0.0%'!$N1270)</f>
        <v>1.0516628022119079</v>
      </c>
      <c r="V1270" s="13">
        <f>IF('0.0%'!$N1270&lt;$Z$3,0, '0.0%'!$P1270/'0.0%'!$N1270)</f>
        <v>1.0688429863202376</v>
      </c>
      <c r="W1270" s="13">
        <f>IF('0.0%'!$N1270&lt;$Z$3,0, '0.0%'!$Q1270/'0.0%'!$N1270)</f>
        <v>1.0707134095900961</v>
      </c>
      <c r="X1270" s="13">
        <f>IF('0.0%'!$N1270&lt;$Z$3,0, '0.0%'!$R1270/'0.0%'!$N1270)</f>
        <v>1.0592708201744914</v>
      </c>
      <c r="Y1270" s="13">
        <f>IF('0.0%'!$N1270&lt;$Z$3,0, '0.0%'!$S1270/'0.0%'!$N1270)</f>
        <v>1.0986597337397461</v>
      </c>
    </row>
    <row r="1271" spans="1:25" x14ac:dyDescent="0.3">
      <c r="A1271" s="17">
        <v>1328.83</v>
      </c>
      <c r="B1271" s="10">
        <v>24520.1</v>
      </c>
      <c r="C1271" s="9">
        <v>1328.83</v>
      </c>
      <c r="D1271" s="10">
        <v>25785.9</v>
      </c>
      <c r="E1271" s="11">
        <v>1328.83</v>
      </c>
      <c r="F1271" s="12">
        <v>26204.6</v>
      </c>
      <c r="G1271" s="11">
        <v>1328.83</v>
      </c>
      <c r="H1271" s="12">
        <v>26254.9</v>
      </c>
      <c r="I1271" s="11">
        <v>1328.83</v>
      </c>
      <c r="J1271" s="12">
        <v>25969.9</v>
      </c>
      <c r="K1271" s="11">
        <v>1328.83</v>
      </c>
      <c r="L1271" s="12">
        <v>26935.599999999999</v>
      </c>
      <c r="M1271" s="11">
        <v>1328.83</v>
      </c>
      <c r="N1271" s="13">
        <v>24520.1</v>
      </c>
      <c r="O1271" s="13">
        <v>25785.9</v>
      </c>
      <c r="P1271" s="13">
        <v>26204.6</v>
      </c>
      <c r="Q1271" s="11">
        <v>26254.9</v>
      </c>
      <c r="R1271" s="11">
        <v>25969.9</v>
      </c>
      <c r="S1271" s="14">
        <v>26935.599999999999</v>
      </c>
      <c r="T1271" s="11">
        <v>1328.83</v>
      </c>
      <c r="U1271" s="13">
        <f>IF('0.0%'!$N1271&lt;$Z$3,0, '0.0%'!$O1271/'0.0%'!$N1271)</f>
        <v>1.0516229542293873</v>
      </c>
      <c r="V1271" s="13">
        <f>IF('0.0%'!$N1271&lt;$Z$3,0, '0.0%'!$P1271/'0.0%'!$N1271)</f>
        <v>1.068698741032867</v>
      </c>
      <c r="W1271" s="13">
        <f>IF('0.0%'!$N1271&lt;$Z$3,0, '0.0%'!$Q1271/'0.0%'!$N1271)</f>
        <v>1.0707501192898887</v>
      </c>
      <c r="X1271" s="13">
        <f>IF('0.0%'!$N1271&lt;$Z$3,0, '0.0%'!$R1271/'0.0%'!$N1271)</f>
        <v>1.0591270019290298</v>
      </c>
      <c r="Y1271" s="13">
        <f>IF('0.0%'!$N1271&lt;$Z$3,0, '0.0%'!$S1271/'0.0%'!$N1271)</f>
        <v>1.098511017491772</v>
      </c>
    </row>
    <row r="1272" spans="1:25" x14ac:dyDescent="0.3">
      <c r="A1272" s="17">
        <v>1329.82</v>
      </c>
      <c r="B1272" s="10">
        <v>24489.1</v>
      </c>
      <c r="C1272" s="9">
        <v>1329.82</v>
      </c>
      <c r="D1272" s="10">
        <v>25752.9</v>
      </c>
      <c r="E1272" s="11">
        <v>1329.82</v>
      </c>
      <c r="F1272" s="12">
        <v>26168.2</v>
      </c>
      <c r="G1272" s="11">
        <v>1329.82</v>
      </c>
      <c r="H1272" s="12">
        <v>26223.7</v>
      </c>
      <c r="I1272" s="11">
        <v>1329.82</v>
      </c>
      <c r="J1272" s="12">
        <v>25934.400000000001</v>
      </c>
      <c r="K1272" s="11">
        <v>1329.82</v>
      </c>
      <c r="L1272" s="12">
        <v>26899.200000000001</v>
      </c>
      <c r="M1272" s="11">
        <v>1329.82</v>
      </c>
      <c r="N1272" s="13">
        <v>24489.1</v>
      </c>
      <c r="O1272" s="13">
        <v>25752.9</v>
      </c>
      <c r="P1272" s="13">
        <v>26168.2</v>
      </c>
      <c r="Q1272" s="11">
        <v>26223.7</v>
      </c>
      <c r="R1272" s="11">
        <v>25934.400000000001</v>
      </c>
      <c r="S1272" s="14">
        <v>26899.200000000001</v>
      </c>
      <c r="T1272" s="11">
        <v>1329.82</v>
      </c>
      <c r="U1272" s="13">
        <f>IF('0.0%'!$N1272&lt;$Z$3,0, '0.0%'!$O1272/'0.0%'!$N1272)</f>
        <v>1.051606633155159</v>
      </c>
      <c r="V1272" s="13">
        <f>IF('0.0%'!$N1272&lt;$Z$3,0, '0.0%'!$P1272/'0.0%'!$N1272)</f>
        <v>1.0685651983943878</v>
      </c>
      <c r="W1272" s="13">
        <f>IF('0.0%'!$N1272&lt;$Z$3,0, '0.0%'!$Q1272/'0.0%'!$N1272)</f>
        <v>1.0708315127954886</v>
      </c>
      <c r="X1272" s="13">
        <f>IF('0.0%'!$N1272&lt;$Z$3,0, '0.0%'!$R1272/'0.0%'!$N1272)</f>
        <v>1.0590180937641647</v>
      </c>
      <c r="Y1272" s="13">
        <f>IF('0.0%'!$N1272&lt;$Z$3,0, '0.0%'!$S1272/'0.0%'!$N1272)</f>
        <v>1.098415213298978</v>
      </c>
    </row>
    <row r="1273" spans="1:25" x14ac:dyDescent="0.3">
      <c r="A1273" s="17">
        <v>1330.81</v>
      </c>
      <c r="B1273" s="10">
        <v>24461.599999999999</v>
      </c>
      <c r="C1273" s="9">
        <v>1330.81</v>
      </c>
      <c r="D1273" s="10">
        <v>25723.5</v>
      </c>
      <c r="E1273" s="11">
        <v>1330.81</v>
      </c>
      <c r="F1273" s="12">
        <v>26135.8</v>
      </c>
      <c r="G1273" s="11">
        <v>1330.81</v>
      </c>
      <c r="H1273" s="12">
        <v>26196.5</v>
      </c>
      <c r="I1273" s="11">
        <v>1330.81</v>
      </c>
      <c r="J1273" s="12">
        <v>25902.7</v>
      </c>
      <c r="K1273" s="11">
        <v>1330.81</v>
      </c>
      <c r="L1273" s="12">
        <v>26866.9</v>
      </c>
      <c r="M1273" s="11">
        <v>1330.81</v>
      </c>
      <c r="N1273" s="13">
        <v>24461.599999999999</v>
      </c>
      <c r="O1273" s="13">
        <v>25723.5</v>
      </c>
      <c r="P1273" s="13">
        <v>26135.8</v>
      </c>
      <c r="Q1273" s="11">
        <v>26196.5</v>
      </c>
      <c r="R1273" s="11">
        <v>25902.7</v>
      </c>
      <c r="S1273" s="14">
        <v>26866.9</v>
      </c>
      <c r="T1273" s="11">
        <v>1330.81</v>
      </c>
      <c r="U1273" s="13">
        <f>IF('0.0%'!$N1273&lt;$Z$3,0, '0.0%'!$O1273/'0.0%'!$N1273)</f>
        <v>1.0515869771396802</v>
      </c>
      <c r="V1273" s="13">
        <f>IF('0.0%'!$N1273&lt;$Z$3,0, '0.0%'!$P1273/'0.0%'!$N1273)</f>
        <v>1.068441966183733</v>
      </c>
      <c r="W1273" s="13">
        <f>IF('0.0%'!$N1273&lt;$Z$3,0, '0.0%'!$Q1273/'0.0%'!$N1273)</f>
        <v>1.0709234064819964</v>
      </c>
      <c r="X1273" s="13">
        <f>IF('0.0%'!$N1273&lt;$Z$3,0, '0.0%'!$R1273/'0.0%'!$N1273)</f>
        <v>1.058912744873598</v>
      </c>
      <c r="Y1273" s="13">
        <f>IF('0.0%'!$N1273&lt;$Z$3,0, '0.0%'!$S1273/'0.0%'!$N1273)</f>
        <v>1.0983296268437062</v>
      </c>
    </row>
    <row r="1274" spans="1:25" x14ac:dyDescent="0.3">
      <c r="A1274" s="17">
        <v>1331.8</v>
      </c>
      <c r="B1274" s="10">
        <v>24423.599999999999</v>
      </c>
      <c r="C1274" s="9">
        <v>1331.8</v>
      </c>
      <c r="D1274" s="10">
        <v>25683.599999999999</v>
      </c>
      <c r="E1274" s="11">
        <v>1331.8</v>
      </c>
      <c r="F1274" s="12">
        <v>26092.400000000001</v>
      </c>
      <c r="G1274" s="11">
        <v>1331.8</v>
      </c>
      <c r="H1274" s="12">
        <v>26158.400000000001</v>
      </c>
      <c r="I1274" s="11">
        <v>1331.8</v>
      </c>
      <c r="J1274" s="12">
        <v>25860</v>
      </c>
      <c r="K1274" s="11">
        <v>1331.8</v>
      </c>
      <c r="L1274" s="12">
        <v>26824.2</v>
      </c>
      <c r="M1274" s="11">
        <v>1331.8</v>
      </c>
      <c r="N1274" s="13">
        <v>24423.599999999999</v>
      </c>
      <c r="O1274" s="13">
        <v>25683.599999999999</v>
      </c>
      <c r="P1274" s="13">
        <v>26092.400000000001</v>
      </c>
      <c r="Q1274" s="11">
        <v>26158.400000000001</v>
      </c>
      <c r="R1274" s="11">
        <v>25860</v>
      </c>
      <c r="S1274" s="14">
        <v>26824.2</v>
      </c>
      <c r="T1274" s="11">
        <v>1331.8</v>
      </c>
      <c r="U1274" s="13">
        <f>IF('0.0%'!$N1274&lt;$Z$3,0, '0.0%'!$O1274/'0.0%'!$N1274)</f>
        <v>1.0515894462732767</v>
      </c>
      <c r="V1274" s="13">
        <f>IF('0.0%'!$N1274&lt;$Z$3,0, '0.0%'!$P1274/'0.0%'!$N1274)</f>
        <v>1.0683273555086066</v>
      </c>
      <c r="W1274" s="13">
        <f>IF('0.0%'!$N1274&lt;$Z$3,0, '0.0%'!$Q1274/'0.0%'!$N1274)</f>
        <v>1.0710296598372067</v>
      </c>
      <c r="X1274" s="13">
        <f>IF('0.0%'!$N1274&lt;$Z$3,0, '0.0%'!$R1274/'0.0%'!$N1274)</f>
        <v>1.0588119687515354</v>
      </c>
      <c r="Y1274" s="13">
        <f>IF('0.0%'!$N1274&lt;$Z$3,0, '0.0%'!$S1274/'0.0%'!$N1274)</f>
        <v>1.0982901783520858</v>
      </c>
    </row>
    <row r="1275" spans="1:25" x14ac:dyDescent="0.3">
      <c r="A1275" s="17">
        <v>1332.8</v>
      </c>
      <c r="B1275" s="10">
        <v>24392.3</v>
      </c>
      <c r="C1275" s="9">
        <v>1332.8</v>
      </c>
      <c r="D1275" s="10">
        <v>25650</v>
      </c>
      <c r="E1275" s="11">
        <v>1332.8</v>
      </c>
      <c r="F1275" s="12">
        <v>26056</v>
      </c>
      <c r="G1275" s="11">
        <v>1332.8</v>
      </c>
      <c r="H1275" s="12">
        <v>26126.3</v>
      </c>
      <c r="I1275" s="11">
        <v>1332.8</v>
      </c>
      <c r="J1275" s="12">
        <v>25823.3</v>
      </c>
      <c r="K1275" s="11">
        <v>1332.8</v>
      </c>
      <c r="L1275" s="12">
        <v>26787.7</v>
      </c>
      <c r="M1275" s="11">
        <v>1332.8</v>
      </c>
      <c r="N1275" s="13">
        <v>24392.3</v>
      </c>
      <c r="O1275" s="13">
        <v>25650</v>
      </c>
      <c r="P1275" s="13">
        <v>26056</v>
      </c>
      <c r="Q1275" s="11">
        <v>26126.3</v>
      </c>
      <c r="R1275" s="11">
        <v>25823.3</v>
      </c>
      <c r="S1275" s="14">
        <v>26787.7</v>
      </c>
      <c r="T1275" s="11">
        <v>1332.8</v>
      </c>
      <c r="U1275" s="13">
        <f>IF('0.0%'!$N1275&lt;$Z$3,0, '0.0%'!$O1275/'0.0%'!$N1275)</f>
        <v>1.0515613533779102</v>
      </c>
      <c r="V1275" s="13">
        <f>IF('0.0%'!$N1275&lt;$Z$3,0, '0.0%'!$P1275/'0.0%'!$N1275)</f>
        <v>1.0682059502383949</v>
      </c>
      <c r="W1275" s="13">
        <f>IF('0.0%'!$N1275&lt;$Z$3,0, '0.0%'!$Q1275/'0.0%'!$N1275)</f>
        <v>1.0710880072809863</v>
      </c>
      <c r="X1275" s="13">
        <f>IF('0.0%'!$N1275&lt;$Z$3,0, '0.0%'!$R1275/'0.0%'!$N1275)</f>
        <v>1.0586660544516098</v>
      </c>
      <c r="Y1275" s="13">
        <f>IF('0.0%'!$N1275&lt;$Z$3,0, '0.0%'!$S1275/'0.0%'!$N1275)</f>
        <v>1.0982031214768595</v>
      </c>
    </row>
    <row r="1276" spans="1:25" x14ac:dyDescent="0.3">
      <c r="A1276" s="17">
        <v>1333.79</v>
      </c>
      <c r="B1276" s="10">
        <v>24352.2</v>
      </c>
      <c r="C1276" s="9">
        <v>1333.79</v>
      </c>
      <c r="D1276" s="10">
        <v>25607.7</v>
      </c>
      <c r="E1276" s="11">
        <v>1333.79</v>
      </c>
      <c r="F1276" s="12">
        <v>26009.8</v>
      </c>
      <c r="G1276" s="11">
        <v>1333.79</v>
      </c>
      <c r="H1276" s="12">
        <v>26084.9</v>
      </c>
      <c r="I1276" s="11">
        <v>1333.79</v>
      </c>
      <c r="J1276" s="12">
        <v>25777.5</v>
      </c>
      <c r="K1276" s="11">
        <v>1333.79</v>
      </c>
      <c r="L1276" s="12">
        <v>26742</v>
      </c>
      <c r="M1276" s="11">
        <v>1333.79</v>
      </c>
      <c r="N1276" s="13">
        <v>24352.2</v>
      </c>
      <c r="O1276" s="13">
        <v>25607.7</v>
      </c>
      <c r="P1276" s="13">
        <v>26009.8</v>
      </c>
      <c r="Q1276" s="11">
        <v>26084.9</v>
      </c>
      <c r="R1276" s="11">
        <v>25777.5</v>
      </c>
      <c r="S1276" s="14">
        <v>26742</v>
      </c>
      <c r="T1276" s="11">
        <v>1333.79</v>
      </c>
      <c r="U1276" s="13">
        <f>IF('0.0%'!$N1276&lt;$Z$3,0, '0.0%'!$O1276/'0.0%'!$N1276)</f>
        <v>1.0515559169192106</v>
      </c>
      <c r="V1276" s="13">
        <f>IF('0.0%'!$N1276&lt;$Z$3,0, '0.0%'!$P1276/'0.0%'!$N1276)</f>
        <v>1.0680677721109386</v>
      </c>
      <c r="W1276" s="13">
        <f>IF('0.0%'!$N1276&lt;$Z$3,0, '0.0%'!$Q1276/'0.0%'!$N1276)</f>
        <v>1.0711516823941984</v>
      </c>
      <c r="X1276" s="13">
        <f>IF('0.0%'!$N1276&lt;$Z$3,0, '0.0%'!$R1276/'0.0%'!$N1276)</f>
        <v>1.0585285928992041</v>
      </c>
      <c r="Y1276" s="13">
        <f>IF('0.0%'!$N1276&lt;$Z$3,0, '0.0%'!$S1276/'0.0%'!$N1276)</f>
        <v>1.0981348707714294</v>
      </c>
    </row>
    <row r="1277" spans="1:25" x14ac:dyDescent="0.3">
      <c r="A1277" s="17">
        <v>1334.78</v>
      </c>
      <c r="B1277" s="10">
        <v>24319.1</v>
      </c>
      <c r="C1277" s="9">
        <v>1334.78</v>
      </c>
      <c r="D1277" s="10">
        <v>25572</v>
      </c>
      <c r="E1277" s="11">
        <v>1334.78</v>
      </c>
      <c r="F1277" s="12">
        <v>25970.400000000001</v>
      </c>
      <c r="G1277" s="11">
        <v>1334.78</v>
      </c>
      <c r="H1277" s="12">
        <v>26050.400000000001</v>
      </c>
      <c r="I1277" s="11">
        <v>1334.78</v>
      </c>
      <c r="J1277" s="12">
        <v>25738.5</v>
      </c>
      <c r="K1277" s="11">
        <v>1334.78</v>
      </c>
      <c r="L1277" s="12">
        <v>26702.5</v>
      </c>
      <c r="M1277" s="11">
        <v>1334.78</v>
      </c>
      <c r="N1277" s="13">
        <v>24319.1</v>
      </c>
      <c r="O1277" s="13">
        <v>25572</v>
      </c>
      <c r="P1277" s="13">
        <v>25970.400000000001</v>
      </c>
      <c r="Q1277" s="11">
        <v>26050.400000000001</v>
      </c>
      <c r="R1277" s="11">
        <v>25738.5</v>
      </c>
      <c r="S1277" s="14">
        <v>26702.5</v>
      </c>
      <c r="T1277" s="11">
        <v>1334.78</v>
      </c>
      <c r="U1277" s="13">
        <f>IF('0.0%'!$N1277&lt;$Z$3,0, '0.0%'!$O1277/'0.0%'!$N1277)</f>
        <v>1.0515191762853067</v>
      </c>
      <c r="V1277" s="13">
        <f>IF('0.0%'!$N1277&lt;$Z$3,0, '0.0%'!$P1277/'0.0%'!$N1277)</f>
        <v>1.0679013614813049</v>
      </c>
      <c r="W1277" s="13">
        <f>IF('0.0%'!$N1277&lt;$Z$3,0, '0.0%'!$Q1277/'0.0%'!$N1277)</f>
        <v>1.071190956902188</v>
      </c>
      <c r="X1277" s="13">
        <f>IF('0.0%'!$N1277&lt;$Z$3,0, '0.0%'!$R1277/'0.0%'!$N1277)</f>
        <v>1.0583656467550198</v>
      </c>
      <c r="Y1277" s="13">
        <f>IF('0.0%'!$N1277&lt;$Z$3,0, '0.0%'!$S1277/'0.0%'!$N1277)</f>
        <v>1.0980052715766619</v>
      </c>
    </row>
    <row r="1278" spans="1:25" x14ac:dyDescent="0.3">
      <c r="A1278" s="17">
        <v>1335.77</v>
      </c>
      <c r="B1278" s="10">
        <v>24278.400000000001</v>
      </c>
      <c r="C1278" s="9">
        <v>1335.77</v>
      </c>
      <c r="D1278" s="10">
        <v>25529.200000000001</v>
      </c>
      <c r="E1278" s="11">
        <v>1335.77</v>
      </c>
      <c r="F1278" s="12">
        <v>25923.4</v>
      </c>
      <c r="G1278" s="11">
        <v>1335.77</v>
      </c>
      <c r="H1278" s="12">
        <v>26008.3</v>
      </c>
      <c r="I1278" s="11">
        <v>1335.77</v>
      </c>
      <c r="J1278" s="12">
        <v>25692.7</v>
      </c>
      <c r="K1278" s="11">
        <v>1335.77</v>
      </c>
      <c r="L1278" s="12">
        <v>26656</v>
      </c>
      <c r="M1278" s="11">
        <v>1335.77</v>
      </c>
      <c r="N1278" s="13">
        <v>24278.400000000001</v>
      </c>
      <c r="O1278" s="13">
        <v>25529.200000000001</v>
      </c>
      <c r="P1278" s="13">
        <v>25923.4</v>
      </c>
      <c r="Q1278" s="11">
        <v>26008.3</v>
      </c>
      <c r="R1278" s="11">
        <v>25692.7</v>
      </c>
      <c r="S1278" s="14">
        <v>26656</v>
      </c>
      <c r="T1278" s="11">
        <v>1335.77</v>
      </c>
      <c r="U1278" s="13">
        <f>IF('0.0%'!$N1278&lt;$Z$3,0, '0.0%'!$O1278/'0.0%'!$N1278)</f>
        <v>1.0515190457361276</v>
      </c>
      <c r="V1278" s="13">
        <f>IF('0.0%'!$N1278&lt;$Z$3,0, '0.0%'!$P1278/'0.0%'!$N1278)</f>
        <v>1.0677557005403981</v>
      </c>
      <c r="W1278" s="13">
        <f>IF('0.0%'!$N1278&lt;$Z$3,0, '0.0%'!$Q1278/'0.0%'!$N1278)</f>
        <v>1.0712526360880452</v>
      </c>
      <c r="X1278" s="13">
        <f>IF('0.0%'!$N1278&lt;$Z$3,0, '0.0%'!$R1278/'0.0%'!$N1278)</f>
        <v>1.058253426914459</v>
      </c>
      <c r="Y1278" s="13">
        <f>IF('0.0%'!$N1278&lt;$Z$3,0, '0.0%'!$S1278/'0.0%'!$N1278)</f>
        <v>1.0979306708844074</v>
      </c>
    </row>
    <row r="1279" spans="1:25" x14ac:dyDescent="0.3">
      <c r="A1279" s="17">
        <v>1336.76</v>
      </c>
      <c r="B1279" s="10">
        <v>24248.7</v>
      </c>
      <c r="C1279" s="9">
        <v>1336.76</v>
      </c>
      <c r="D1279" s="10">
        <v>25497.8</v>
      </c>
      <c r="E1279" s="11">
        <v>1336.76</v>
      </c>
      <c r="F1279" s="12">
        <v>25887.7</v>
      </c>
      <c r="G1279" s="11">
        <v>1336.76</v>
      </c>
      <c r="H1279" s="12">
        <v>25976.7</v>
      </c>
      <c r="I1279" s="11">
        <v>1336.76</v>
      </c>
      <c r="J1279" s="12">
        <v>25658.1</v>
      </c>
      <c r="K1279" s="11">
        <v>1336.76</v>
      </c>
      <c r="L1279" s="12">
        <v>26621.4</v>
      </c>
      <c r="M1279" s="11">
        <v>1336.76</v>
      </c>
      <c r="N1279" s="13">
        <v>24248.7</v>
      </c>
      <c r="O1279" s="13">
        <v>25497.8</v>
      </c>
      <c r="P1279" s="13">
        <v>25887.7</v>
      </c>
      <c r="Q1279" s="11">
        <v>25976.7</v>
      </c>
      <c r="R1279" s="11">
        <v>25658.1</v>
      </c>
      <c r="S1279" s="14">
        <v>26621.4</v>
      </c>
      <c r="T1279" s="11">
        <v>1336.76</v>
      </c>
      <c r="U1279" s="13">
        <f>IF('0.0%'!$N1279&lt;$Z$3,0, '0.0%'!$O1279/'0.0%'!$N1279)</f>
        <v>1.0515120398206914</v>
      </c>
      <c r="V1279" s="13">
        <f>IF('0.0%'!$N1279&lt;$Z$3,0, '0.0%'!$P1279/'0.0%'!$N1279)</f>
        <v>1.067591252314557</v>
      </c>
      <c r="W1279" s="13">
        <f>IF('0.0%'!$N1279&lt;$Z$3,0, '0.0%'!$Q1279/'0.0%'!$N1279)</f>
        <v>1.0712615521656832</v>
      </c>
      <c r="X1279" s="13">
        <f>IF('0.0%'!$N1279&lt;$Z$3,0, '0.0%'!$R1279/'0.0%'!$N1279)</f>
        <v>1.0581227034851353</v>
      </c>
      <c r="Y1279" s="13">
        <f>IF('0.0%'!$N1279&lt;$Z$3,0, '0.0%'!$S1279/'0.0%'!$N1279)</f>
        <v>1.0978485444580535</v>
      </c>
    </row>
    <row r="1280" spans="1:25" x14ac:dyDescent="0.3">
      <c r="A1280" s="17">
        <v>1337.76</v>
      </c>
      <c r="B1280" s="10">
        <v>24214.799999999999</v>
      </c>
      <c r="C1280" s="9">
        <v>1337.76</v>
      </c>
      <c r="D1280" s="10">
        <v>25462.6</v>
      </c>
      <c r="E1280" s="11">
        <v>1337.76</v>
      </c>
      <c r="F1280" s="12">
        <v>25848</v>
      </c>
      <c r="G1280" s="11">
        <v>1337.76</v>
      </c>
      <c r="H1280" s="12">
        <v>25940.9</v>
      </c>
      <c r="I1280" s="11">
        <v>1337.76</v>
      </c>
      <c r="J1280" s="12">
        <v>25620.3</v>
      </c>
      <c r="K1280" s="11">
        <v>1337.76</v>
      </c>
      <c r="L1280" s="12">
        <v>26583.3</v>
      </c>
      <c r="M1280" s="11">
        <v>1337.76</v>
      </c>
      <c r="N1280" s="13">
        <v>24214.799999999999</v>
      </c>
      <c r="O1280" s="13">
        <v>25462.6</v>
      </c>
      <c r="P1280" s="13">
        <v>25848</v>
      </c>
      <c r="Q1280" s="11">
        <v>25940.9</v>
      </c>
      <c r="R1280" s="11">
        <v>25620.3</v>
      </c>
      <c r="S1280" s="14">
        <v>26583.3</v>
      </c>
      <c r="T1280" s="11">
        <v>1337.76</v>
      </c>
      <c r="U1280" s="13">
        <f>IF('0.0%'!$N1280&lt;$Z$3,0, '0.0%'!$O1280/'0.0%'!$N1280)</f>
        <v>1.0515304689693905</v>
      </c>
      <c r="V1280" s="13">
        <f>IF('0.0%'!$N1280&lt;$Z$3,0, '0.0%'!$P1280/'0.0%'!$N1280)</f>
        <v>1.0674463551216611</v>
      </c>
      <c r="W1280" s="13">
        <f>IF('0.0%'!$N1280&lt;$Z$3,0, '0.0%'!$Q1280/'0.0%'!$N1280)</f>
        <v>1.0712828518096371</v>
      </c>
      <c r="X1280" s="13">
        <f>IF('0.0%'!$N1280&lt;$Z$3,0, '0.0%'!$R1280/'0.0%'!$N1280)</f>
        <v>1.0580430150156104</v>
      </c>
      <c r="Y1280" s="13">
        <f>IF('0.0%'!$N1280&lt;$Z$3,0, '0.0%'!$S1280/'0.0%'!$N1280)</f>
        <v>1.0978120818672878</v>
      </c>
    </row>
    <row r="1281" spans="1:25" x14ac:dyDescent="0.3">
      <c r="A1281" s="17">
        <v>1338.75</v>
      </c>
      <c r="B1281" s="10">
        <v>24197.3</v>
      </c>
      <c r="C1281" s="9">
        <v>1338.75</v>
      </c>
      <c r="D1281" s="10">
        <v>25444</v>
      </c>
      <c r="E1281" s="11">
        <v>1338.75</v>
      </c>
      <c r="F1281" s="12">
        <v>25824.9</v>
      </c>
      <c r="G1281" s="11">
        <v>1338.75</v>
      </c>
      <c r="H1281" s="12">
        <v>25921.9</v>
      </c>
      <c r="I1281" s="11">
        <v>1338.75</v>
      </c>
      <c r="J1281" s="12">
        <v>25599.3</v>
      </c>
      <c r="K1281" s="11">
        <v>1338.75</v>
      </c>
      <c r="L1281" s="12">
        <v>26561.3</v>
      </c>
      <c r="M1281" s="11">
        <v>1338.75</v>
      </c>
      <c r="N1281" s="13">
        <v>24197.3</v>
      </c>
      <c r="O1281" s="13">
        <v>25444</v>
      </c>
      <c r="P1281" s="13">
        <v>25824.9</v>
      </c>
      <c r="Q1281" s="11">
        <v>25921.9</v>
      </c>
      <c r="R1281" s="11">
        <v>25599.3</v>
      </c>
      <c r="S1281" s="14">
        <v>26561.3</v>
      </c>
      <c r="T1281" s="11">
        <v>1338.75</v>
      </c>
      <c r="U1281" s="13">
        <f>IF('0.0%'!$N1281&lt;$Z$3,0, '0.0%'!$O1281/'0.0%'!$N1281)</f>
        <v>1.0515222772788699</v>
      </c>
      <c r="V1281" s="13">
        <f>IF('0.0%'!$N1281&lt;$Z$3,0, '0.0%'!$P1281/'0.0%'!$N1281)</f>
        <v>1.0672637029751255</v>
      </c>
      <c r="W1281" s="13">
        <f>IF('0.0%'!$N1281&lt;$Z$3,0, '0.0%'!$Q1281/'0.0%'!$N1281)</f>
        <v>1.0712724146908954</v>
      </c>
      <c r="X1281" s="13">
        <f>IF('0.0%'!$N1281&lt;$Z$3,0, '0.0%'!$R1281/'0.0%'!$N1281)</f>
        <v>1.0579403487165924</v>
      </c>
      <c r="Y1281" s="13">
        <f>IF('0.0%'!$N1281&lt;$Z$3,0, '0.0%'!$S1281/'0.0%'!$N1281)</f>
        <v>1.0976968504750531</v>
      </c>
    </row>
    <row r="1282" spans="1:25" x14ac:dyDescent="0.3">
      <c r="A1282" s="17">
        <v>1339.74</v>
      </c>
      <c r="B1282" s="10">
        <v>24176.5</v>
      </c>
      <c r="C1282" s="9">
        <v>1339.74</v>
      </c>
      <c r="D1282" s="10">
        <v>25422.6</v>
      </c>
      <c r="E1282" s="11">
        <v>1339.74</v>
      </c>
      <c r="F1282" s="12">
        <v>25800.1</v>
      </c>
      <c r="G1282" s="11">
        <v>1339.74</v>
      </c>
      <c r="H1282" s="12">
        <v>25900.9</v>
      </c>
      <c r="I1282" s="11">
        <v>1339.74</v>
      </c>
      <c r="J1282" s="12">
        <v>25576.799999999999</v>
      </c>
      <c r="K1282" s="11">
        <v>1339.74</v>
      </c>
      <c r="L1282" s="12">
        <v>26538.1</v>
      </c>
      <c r="M1282" s="11">
        <v>1339.74</v>
      </c>
      <c r="N1282" s="13">
        <v>24176.5</v>
      </c>
      <c r="O1282" s="13">
        <v>25422.6</v>
      </c>
      <c r="P1282" s="13">
        <v>25800.1</v>
      </c>
      <c r="Q1282" s="11">
        <v>25900.9</v>
      </c>
      <c r="R1282" s="11">
        <v>25576.799999999999</v>
      </c>
      <c r="S1282" s="14">
        <v>26538.1</v>
      </c>
      <c r="T1282" s="11">
        <v>1339.74</v>
      </c>
      <c r="U1282" s="13">
        <f>IF('0.0%'!$N1282&lt;$Z$3,0, '0.0%'!$O1282/'0.0%'!$N1282)</f>
        <v>1.0515417864455152</v>
      </c>
      <c r="V1282" s="13">
        <f>IF('0.0%'!$N1282&lt;$Z$3,0, '0.0%'!$P1282/'0.0%'!$N1282)</f>
        <v>1.0671561226811159</v>
      </c>
      <c r="W1282" s="13">
        <f>IF('0.0%'!$N1282&lt;$Z$3,0, '0.0%'!$Q1282/'0.0%'!$N1282)</f>
        <v>1.0713254606746221</v>
      </c>
      <c r="X1282" s="13">
        <f>IF('0.0%'!$N1282&lt;$Z$3,0, '0.0%'!$R1282/'0.0%'!$N1282)</f>
        <v>1.0579198808760573</v>
      </c>
      <c r="Y1282" s="13">
        <f>IF('0.0%'!$N1282&lt;$Z$3,0, '0.0%'!$S1282/'0.0%'!$N1282)</f>
        <v>1.097681632990714</v>
      </c>
    </row>
  </sheetData>
  <mergeCells count="6">
    <mergeCell ref="K1:L1"/>
    <mergeCell ref="A1:B1"/>
    <mergeCell ref="C1:D1"/>
    <mergeCell ref="E1:F1"/>
    <mergeCell ref="G1:H1"/>
    <mergeCell ref="I1:J1"/>
  </mergeCells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FF35C-05BD-4547-9F4C-1FB2E8656261}">
  <dimension ref="A1:Z1282"/>
  <sheetViews>
    <sheetView zoomScaleNormal="100" workbookViewId="0">
      <selection activeCell="AA10" sqref="AA10"/>
    </sheetView>
  </sheetViews>
  <sheetFormatPr defaultRowHeight="14.4" x14ac:dyDescent="0.3"/>
  <cols>
    <col min="1" max="1" width="7.6640625" bestFit="1" customWidth="1"/>
    <col min="2" max="2" width="6.6640625" bestFit="1" customWidth="1"/>
    <col min="3" max="3" width="7.6640625" bestFit="1" customWidth="1"/>
    <col min="4" max="4" width="6.6640625" bestFit="1" customWidth="1"/>
    <col min="5" max="5" width="7.6640625" bestFit="1" customWidth="1"/>
    <col min="6" max="6" width="6.6640625" bestFit="1" customWidth="1"/>
    <col min="7" max="7" width="7.6640625" bestFit="1" customWidth="1"/>
    <col min="8" max="8" width="6.6640625" bestFit="1" customWidth="1"/>
    <col min="9" max="9" width="7.6640625" bestFit="1" customWidth="1"/>
    <col min="10" max="10" width="6.6640625" bestFit="1" customWidth="1"/>
    <col min="11" max="11" width="7.6640625" bestFit="1" customWidth="1"/>
    <col min="12" max="12" width="6.6640625" bestFit="1" customWidth="1"/>
    <col min="13" max="13" width="13.88671875" bestFit="1" customWidth="1"/>
    <col min="14" max="14" width="6.6640625" bestFit="1" customWidth="1"/>
    <col min="15" max="19" width="6.88671875" bestFit="1" customWidth="1"/>
    <col min="20" max="20" width="13.88671875" style="1" bestFit="1" customWidth="1"/>
    <col min="21" max="25" width="9.5546875" style="1" bestFit="1" customWidth="1"/>
    <col min="26" max="27" width="15.6640625" bestFit="1" customWidth="1"/>
  </cols>
  <sheetData>
    <row r="1" spans="1:26" x14ac:dyDescent="0.3">
      <c r="A1" s="23" t="s">
        <v>37</v>
      </c>
      <c r="B1" s="23"/>
      <c r="C1" s="23" t="s">
        <v>38</v>
      </c>
      <c r="D1" s="23"/>
      <c r="E1" s="23" t="s">
        <v>39</v>
      </c>
      <c r="F1" s="23"/>
      <c r="G1" s="23" t="s">
        <v>40</v>
      </c>
      <c r="H1" s="23"/>
      <c r="I1" s="23" t="s">
        <v>42</v>
      </c>
      <c r="J1" s="23"/>
      <c r="K1" s="23" t="s">
        <v>41</v>
      </c>
      <c r="L1" s="23"/>
    </row>
    <row r="2" spans="1:26" x14ac:dyDescent="0.3">
      <c r="A2" s="2" t="s">
        <v>0</v>
      </c>
      <c r="B2" s="3" t="s">
        <v>1</v>
      </c>
      <c r="C2" s="4" t="s">
        <v>25</v>
      </c>
      <c r="D2" s="3" t="s">
        <v>36</v>
      </c>
      <c r="E2" s="4" t="s">
        <v>26</v>
      </c>
      <c r="F2" s="3" t="s">
        <v>27</v>
      </c>
      <c r="G2" s="4" t="s">
        <v>28</v>
      </c>
      <c r="H2" s="3" t="s">
        <v>29</v>
      </c>
      <c r="I2" s="4" t="s">
        <v>30</v>
      </c>
      <c r="J2" s="3" t="s">
        <v>31</v>
      </c>
      <c r="K2" s="4" t="s">
        <v>32</v>
      </c>
      <c r="L2" s="3" t="s">
        <v>33</v>
      </c>
      <c r="M2" s="4" t="s">
        <v>10</v>
      </c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  <c r="S2" s="3" t="s">
        <v>8</v>
      </c>
      <c r="T2" s="15" t="s">
        <v>16</v>
      </c>
      <c r="U2" s="16" t="s">
        <v>11</v>
      </c>
      <c r="V2" s="16" t="s">
        <v>12</v>
      </c>
      <c r="W2" s="16" t="s">
        <v>13</v>
      </c>
      <c r="X2" s="16" t="s">
        <v>14</v>
      </c>
      <c r="Y2" s="16" t="s">
        <v>15</v>
      </c>
      <c r="Z2" t="s">
        <v>17</v>
      </c>
    </row>
    <row r="3" spans="1:26" x14ac:dyDescent="0.3">
      <c r="A3" s="13">
        <v>71.27</v>
      </c>
      <c r="B3" s="12">
        <v>0</v>
      </c>
      <c r="C3" s="11">
        <v>71.27</v>
      </c>
      <c r="D3" s="12">
        <v>0.1</v>
      </c>
      <c r="E3" s="11">
        <v>71.27</v>
      </c>
      <c r="F3" s="12">
        <v>0.1</v>
      </c>
      <c r="G3" s="11">
        <v>71.27</v>
      </c>
      <c r="H3" s="12">
        <v>0.1</v>
      </c>
      <c r="I3" s="11">
        <v>71.27</v>
      </c>
      <c r="J3" s="12">
        <v>0.1</v>
      </c>
      <c r="K3" s="11">
        <v>71.27</v>
      </c>
      <c r="L3" s="12">
        <v>0.1</v>
      </c>
      <c r="M3" s="11">
        <v>71.27</v>
      </c>
      <c r="N3" s="13">
        <v>0</v>
      </c>
      <c r="O3" s="11">
        <v>0.1</v>
      </c>
      <c r="P3" s="11">
        <v>0.1</v>
      </c>
      <c r="Q3" s="11">
        <v>0.1</v>
      </c>
      <c r="R3" s="11">
        <v>0.1</v>
      </c>
      <c r="S3" s="14">
        <v>0.1</v>
      </c>
      <c r="T3" s="11">
        <v>71.27</v>
      </c>
      <c r="U3" s="13" cm="1">
        <f t="array" ref="U3">IF(Table8[[#This Row],[I_0]]&lt;Table24[Flitro de Ruido],1,Table8[[#This Row],[I_10]]/Table8[[#This Row],[I_0]])</f>
        <v>1</v>
      </c>
      <c r="V3" s="13" cm="1">
        <f t="array" ref="V3">IF(Table8[[#This Row],[I_0]]&lt;Table24[Flitro de Ruido],1,Table8[[#This Row],[I_20]]/Table8[[#This Row],[I_0]])</f>
        <v>1</v>
      </c>
      <c r="W3" s="13" cm="1">
        <f t="array" ref="W3">IF(Table8[[#This Row],[I_0]]&lt;Table24[Flitro de Ruido],1,Table8[[#This Row],[I_30]]/Table8[[#This Row],[I_0]])</f>
        <v>1</v>
      </c>
      <c r="X3" s="13" cm="1">
        <f t="array" ref="X3">IF(Table8[[#This Row],[I_0]]&lt;Table24[Flitro de Ruido],1,Table8[[#This Row],[I_40]]/Table8[[#This Row],[I_0]])</f>
        <v>1</v>
      </c>
      <c r="Y3" s="13" cm="1">
        <f t="array" ref="Y3">IF(Table8[[#This Row],[I_0]]&lt;Table24[Flitro de Ruido],1,Table8[[#This Row],[I_50]]/Table8[[#This Row],[I_0]])</f>
        <v>1</v>
      </c>
      <c r="Z3" s="1">
        <v>0.1</v>
      </c>
    </row>
    <row r="4" spans="1:26" x14ac:dyDescent="0.3">
      <c r="A4" s="13">
        <v>72.260000000000005</v>
      </c>
      <c r="B4" s="12">
        <v>0</v>
      </c>
      <c r="C4" s="11">
        <v>72.260000000000005</v>
      </c>
      <c r="D4" s="12">
        <v>0.1</v>
      </c>
      <c r="E4" s="11">
        <v>72.260000000000005</v>
      </c>
      <c r="F4" s="12">
        <v>0.1</v>
      </c>
      <c r="G4" s="11">
        <v>72.260000000000005</v>
      </c>
      <c r="H4" s="12">
        <v>0</v>
      </c>
      <c r="I4" s="11">
        <v>72.260000000000005</v>
      </c>
      <c r="J4" s="12">
        <v>0.1</v>
      </c>
      <c r="K4" s="11">
        <v>72.260000000000005</v>
      </c>
      <c r="L4" s="12">
        <v>0.1</v>
      </c>
      <c r="M4" s="11">
        <v>72.260000000000005</v>
      </c>
      <c r="N4" s="13">
        <v>0</v>
      </c>
      <c r="O4" s="11">
        <v>0.1</v>
      </c>
      <c r="P4" s="11">
        <v>0.1</v>
      </c>
      <c r="Q4" s="11">
        <v>0</v>
      </c>
      <c r="R4" s="11">
        <v>0.1</v>
      </c>
      <c r="S4" s="14">
        <v>0.1</v>
      </c>
      <c r="T4" s="11">
        <v>72.260000000000005</v>
      </c>
      <c r="U4" s="13" cm="1">
        <f t="array" ref="U4">IF(Table8[[#This Row],[I_0]]&lt;Table24[Flitro de Ruido],1,Table8[[#This Row],[I_10]]/Table8[[#This Row],[I_0]])</f>
        <v>1</v>
      </c>
      <c r="V4" s="13" cm="1">
        <f t="array" ref="V4">IF(Table8[[#This Row],[I_0]]&lt;Table24[Flitro de Ruido],1,Table8[[#This Row],[I_20]]/Table8[[#This Row],[I_0]])</f>
        <v>1</v>
      </c>
      <c r="W4" s="13" cm="1">
        <f t="array" ref="W4">IF(Table8[[#This Row],[I_0]]&lt;Table24[Flitro de Ruido],1,Table8[[#This Row],[I_30]]/Table8[[#This Row],[I_0]])</f>
        <v>1</v>
      </c>
      <c r="X4" s="13" cm="1">
        <f t="array" ref="X4">IF(Table8[[#This Row],[I_0]]&lt;Table24[Flitro de Ruido],1,Table8[[#This Row],[I_40]]/Table8[[#This Row],[I_0]])</f>
        <v>1</v>
      </c>
      <c r="Y4" s="13" cm="1">
        <f t="array" ref="Y4">IF(Table8[[#This Row],[I_0]]&lt;Table24[Flitro de Ruido],1,Table8[[#This Row],[I_50]]/Table8[[#This Row],[I_0]])</f>
        <v>1</v>
      </c>
    </row>
    <row r="5" spans="1:26" x14ac:dyDescent="0.3">
      <c r="A5" s="13">
        <v>73.260000000000005</v>
      </c>
      <c r="B5" s="12">
        <v>0</v>
      </c>
      <c r="C5" s="11">
        <v>73.260000000000005</v>
      </c>
      <c r="D5" s="12">
        <v>0</v>
      </c>
      <c r="E5" s="11">
        <v>73.260000000000005</v>
      </c>
      <c r="F5" s="12">
        <v>0</v>
      </c>
      <c r="G5" s="11">
        <v>73.260000000000005</v>
      </c>
      <c r="H5" s="12">
        <v>0</v>
      </c>
      <c r="I5" s="11">
        <v>73.260000000000005</v>
      </c>
      <c r="J5" s="12">
        <v>0</v>
      </c>
      <c r="K5" s="11">
        <v>73.260000000000005</v>
      </c>
      <c r="L5" s="12">
        <v>0</v>
      </c>
      <c r="M5" s="11">
        <v>73.260000000000005</v>
      </c>
      <c r="N5" s="13">
        <v>0</v>
      </c>
      <c r="O5" s="11">
        <v>0</v>
      </c>
      <c r="P5" s="11">
        <v>0</v>
      </c>
      <c r="Q5" s="11">
        <v>0</v>
      </c>
      <c r="R5" s="11">
        <v>0</v>
      </c>
      <c r="S5" s="14">
        <v>0</v>
      </c>
      <c r="T5" s="11">
        <v>73.260000000000005</v>
      </c>
      <c r="U5" s="13" cm="1">
        <f t="array" ref="U5">IF(Table8[[#This Row],[I_0]]&lt;Table24[Flitro de Ruido],1,Table8[[#This Row],[I_10]]/Table8[[#This Row],[I_0]])</f>
        <v>1</v>
      </c>
      <c r="V5" s="13" cm="1">
        <f t="array" ref="V5">IF(Table8[[#This Row],[I_0]]&lt;Table24[Flitro de Ruido],1,Table8[[#This Row],[I_20]]/Table8[[#This Row],[I_0]])</f>
        <v>1</v>
      </c>
      <c r="W5" s="13" cm="1">
        <f t="array" ref="W5">IF(Table8[[#This Row],[I_0]]&lt;Table24[Flitro de Ruido],1,Table8[[#This Row],[I_30]]/Table8[[#This Row],[I_0]])</f>
        <v>1</v>
      </c>
      <c r="X5" s="13" cm="1">
        <f t="array" ref="X5">IF(Table8[[#This Row],[I_0]]&lt;Table24[Flitro de Ruido],1,Table8[[#This Row],[I_40]]/Table8[[#This Row],[I_0]])</f>
        <v>1</v>
      </c>
      <c r="Y5" s="13" cm="1">
        <f t="array" ref="Y5">IF(Table8[[#This Row],[I_0]]&lt;Table24[Flitro de Ruido],1,Table8[[#This Row],[I_50]]/Table8[[#This Row],[I_0]])</f>
        <v>1</v>
      </c>
    </row>
    <row r="6" spans="1:26" x14ac:dyDescent="0.3">
      <c r="A6" s="13">
        <v>74.25</v>
      </c>
      <c r="B6" s="12">
        <v>0</v>
      </c>
      <c r="C6" s="11">
        <v>74.25</v>
      </c>
      <c r="D6" s="12">
        <v>0</v>
      </c>
      <c r="E6" s="11">
        <v>74.25</v>
      </c>
      <c r="F6" s="12">
        <v>0</v>
      </c>
      <c r="G6" s="11">
        <v>74.25</v>
      </c>
      <c r="H6" s="12">
        <v>0</v>
      </c>
      <c r="I6" s="11">
        <v>74.25</v>
      </c>
      <c r="J6" s="12">
        <v>0</v>
      </c>
      <c r="K6" s="11">
        <v>74.25</v>
      </c>
      <c r="L6" s="12">
        <v>0</v>
      </c>
      <c r="M6" s="11">
        <v>74.25</v>
      </c>
      <c r="N6" s="13">
        <v>0</v>
      </c>
      <c r="O6" s="11">
        <v>0</v>
      </c>
      <c r="P6" s="11">
        <v>0</v>
      </c>
      <c r="Q6" s="11">
        <v>0</v>
      </c>
      <c r="R6" s="11">
        <v>0</v>
      </c>
      <c r="S6" s="14">
        <v>0</v>
      </c>
      <c r="T6" s="11">
        <v>74.25</v>
      </c>
      <c r="U6" s="13" cm="1">
        <f t="array" ref="U6">IF(Table8[[#This Row],[I_0]]&lt;Table24[Flitro de Ruido],1,Table8[[#This Row],[I_10]]/Table8[[#This Row],[I_0]])</f>
        <v>1</v>
      </c>
      <c r="V6" s="13" cm="1">
        <f t="array" ref="V6">IF(Table8[[#This Row],[I_0]]&lt;Table24[Flitro de Ruido],1,Table8[[#This Row],[I_20]]/Table8[[#This Row],[I_0]])</f>
        <v>1</v>
      </c>
      <c r="W6" s="13" cm="1">
        <f t="array" ref="W6">IF(Table8[[#This Row],[I_0]]&lt;Table24[Flitro de Ruido],1,Table8[[#This Row],[I_30]]/Table8[[#This Row],[I_0]])</f>
        <v>1</v>
      </c>
      <c r="X6" s="13" cm="1">
        <f t="array" ref="X6">IF(Table8[[#This Row],[I_0]]&lt;Table24[Flitro de Ruido],1,Table8[[#This Row],[I_40]]/Table8[[#This Row],[I_0]])</f>
        <v>1</v>
      </c>
      <c r="Y6" s="13" cm="1">
        <f t="array" ref="Y6">IF(Table8[[#This Row],[I_0]]&lt;Table24[Flitro de Ruido],1,Table8[[#This Row],[I_50]]/Table8[[#This Row],[I_0]])</f>
        <v>1</v>
      </c>
    </row>
    <row r="7" spans="1:26" x14ac:dyDescent="0.3">
      <c r="A7" s="13">
        <v>75.239999999999995</v>
      </c>
      <c r="B7" s="12">
        <v>0</v>
      </c>
      <c r="C7" s="11">
        <v>75.239999999999995</v>
      </c>
      <c r="D7" s="12">
        <v>0</v>
      </c>
      <c r="E7" s="11">
        <v>75.239999999999995</v>
      </c>
      <c r="F7" s="12">
        <v>0</v>
      </c>
      <c r="G7" s="11">
        <v>75.239999999999995</v>
      </c>
      <c r="H7" s="12">
        <v>0</v>
      </c>
      <c r="I7" s="11">
        <v>75.239999999999995</v>
      </c>
      <c r="J7" s="12">
        <v>0</v>
      </c>
      <c r="K7" s="11">
        <v>75.239999999999995</v>
      </c>
      <c r="L7" s="12">
        <v>0</v>
      </c>
      <c r="M7" s="11">
        <v>75.239999999999995</v>
      </c>
      <c r="N7" s="13">
        <v>0</v>
      </c>
      <c r="O7" s="11">
        <v>0</v>
      </c>
      <c r="P7" s="11">
        <v>0</v>
      </c>
      <c r="Q7" s="11">
        <v>0</v>
      </c>
      <c r="R7" s="11">
        <v>0</v>
      </c>
      <c r="S7" s="14">
        <v>0</v>
      </c>
      <c r="T7" s="11">
        <v>75.239999999999995</v>
      </c>
      <c r="U7" s="13" cm="1">
        <f t="array" ref="U7">IF(Table8[[#This Row],[I_0]]&lt;Table24[Flitro de Ruido],1,Table8[[#This Row],[I_10]]/Table8[[#This Row],[I_0]])</f>
        <v>1</v>
      </c>
      <c r="V7" s="13" cm="1">
        <f t="array" ref="V7">IF(Table8[[#This Row],[I_0]]&lt;Table24[Flitro de Ruido],1,Table8[[#This Row],[I_20]]/Table8[[#This Row],[I_0]])</f>
        <v>1</v>
      </c>
      <c r="W7" s="13" cm="1">
        <f t="array" ref="W7">IF(Table8[[#This Row],[I_0]]&lt;Table24[Flitro de Ruido],1,Table8[[#This Row],[I_30]]/Table8[[#This Row],[I_0]])</f>
        <v>1</v>
      </c>
      <c r="X7" s="13" cm="1">
        <f t="array" ref="X7">IF(Table8[[#This Row],[I_0]]&lt;Table24[Flitro de Ruido],1,Table8[[#This Row],[I_40]]/Table8[[#This Row],[I_0]])</f>
        <v>1</v>
      </c>
      <c r="Y7" s="13" cm="1">
        <f t="array" ref="Y7">IF(Table8[[#This Row],[I_0]]&lt;Table24[Flitro de Ruido],1,Table8[[#This Row],[I_50]]/Table8[[#This Row],[I_0]])</f>
        <v>1</v>
      </c>
    </row>
    <row r="8" spans="1:26" x14ac:dyDescent="0.3">
      <c r="A8" s="13">
        <v>76.23</v>
      </c>
      <c r="B8" s="12">
        <v>0</v>
      </c>
      <c r="C8" s="11">
        <v>76.23</v>
      </c>
      <c r="D8" s="12">
        <v>0</v>
      </c>
      <c r="E8" s="11">
        <v>76.23</v>
      </c>
      <c r="F8" s="12">
        <v>0</v>
      </c>
      <c r="G8" s="11">
        <v>76.23</v>
      </c>
      <c r="H8" s="12">
        <v>0</v>
      </c>
      <c r="I8" s="11">
        <v>76.23</v>
      </c>
      <c r="J8" s="12">
        <v>0</v>
      </c>
      <c r="K8" s="11">
        <v>76.23</v>
      </c>
      <c r="L8" s="12">
        <v>0</v>
      </c>
      <c r="M8" s="11">
        <v>76.23</v>
      </c>
      <c r="N8" s="13">
        <v>0</v>
      </c>
      <c r="O8" s="11">
        <v>0</v>
      </c>
      <c r="P8" s="11">
        <v>0</v>
      </c>
      <c r="Q8" s="11">
        <v>0</v>
      </c>
      <c r="R8" s="11">
        <v>0</v>
      </c>
      <c r="S8" s="14">
        <v>0</v>
      </c>
      <c r="T8" s="11">
        <v>76.23</v>
      </c>
      <c r="U8" s="13" cm="1">
        <f t="array" ref="U8">IF(Table8[[#This Row],[I_0]]&lt;Table24[Flitro de Ruido],1,Table8[[#This Row],[I_10]]/Table8[[#This Row],[I_0]])</f>
        <v>1</v>
      </c>
      <c r="V8" s="13" cm="1">
        <f t="array" ref="V8">IF(Table8[[#This Row],[I_0]]&lt;Table24[Flitro de Ruido],1,Table8[[#This Row],[I_20]]/Table8[[#This Row],[I_0]])</f>
        <v>1</v>
      </c>
      <c r="W8" s="13" cm="1">
        <f t="array" ref="W8">IF(Table8[[#This Row],[I_0]]&lt;Table24[Flitro de Ruido],1,Table8[[#This Row],[I_30]]/Table8[[#This Row],[I_0]])</f>
        <v>1</v>
      </c>
      <c r="X8" s="13" cm="1">
        <f t="array" ref="X8">IF(Table8[[#This Row],[I_0]]&lt;Table24[Flitro de Ruido],1,Table8[[#This Row],[I_40]]/Table8[[#This Row],[I_0]])</f>
        <v>1</v>
      </c>
      <c r="Y8" s="13" cm="1">
        <f t="array" ref="Y8">IF(Table8[[#This Row],[I_0]]&lt;Table24[Flitro de Ruido],1,Table8[[#This Row],[I_50]]/Table8[[#This Row],[I_0]])</f>
        <v>1</v>
      </c>
    </row>
    <row r="9" spans="1:26" x14ac:dyDescent="0.3">
      <c r="A9" s="13">
        <v>77.22</v>
      </c>
      <c r="B9" s="12">
        <v>0</v>
      </c>
      <c r="C9" s="11">
        <v>77.22</v>
      </c>
      <c r="D9" s="12">
        <v>0</v>
      </c>
      <c r="E9" s="11">
        <v>77.22</v>
      </c>
      <c r="F9" s="12">
        <v>0</v>
      </c>
      <c r="G9" s="11">
        <v>77.22</v>
      </c>
      <c r="H9" s="12">
        <v>0</v>
      </c>
      <c r="I9" s="11">
        <v>77.22</v>
      </c>
      <c r="J9" s="12">
        <v>0</v>
      </c>
      <c r="K9" s="11">
        <v>77.22</v>
      </c>
      <c r="L9" s="12">
        <v>0</v>
      </c>
      <c r="M9" s="11">
        <v>77.22</v>
      </c>
      <c r="N9" s="13">
        <v>0</v>
      </c>
      <c r="O9" s="11">
        <v>0</v>
      </c>
      <c r="P9" s="11">
        <v>0</v>
      </c>
      <c r="Q9" s="11">
        <v>0</v>
      </c>
      <c r="R9" s="11">
        <v>0</v>
      </c>
      <c r="S9" s="14">
        <v>0</v>
      </c>
      <c r="T9" s="11">
        <v>77.22</v>
      </c>
      <c r="U9" s="13" cm="1">
        <f t="array" ref="U9">IF(Table8[[#This Row],[I_0]]&lt;Table24[Flitro de Ruido],1,Table8[[#This Row],[I_10]]/Table8[[#This Row],[I_0]])</f>
        <v>1</v>
      </c>
      <c r="V9" s="13" cm="1">
        <f t="array" ref="V9">IF(Table8[[#This Row],[I_0]]&lt;Table24[Flitro de Ruido],1,Table8[[#This Row],[I_20]]/Table8[[#This Row],[I_0]])</f>
        <v>1</v>
      </c>
      <c r="W9" s="13" cm="1">
        <f t="array" ref="W9">IF(Table8[[#This Row],[I_0]]&lt;Table24[Flitro de Ruido],1,Table8[[#This Row],[I_30]]/Table8[[#This Row],[I_0]])</f>
        <v>1</v>
      </c>
      <c r="X9" s="13" cm="1">
        <f t="array" ref="X9">IF(Table8[[#This Row],[I_0]]&lt;Table24[Flitro de Ruido],1,Table8[[#This Row],[I_40]]/Table8[[#This Row],[I_0]])</f>
        <v>1</v>
      </c>
      <c r="Y9" s="13" cm="1">
        <f t="array" ref="Y9">IF(Table8[[#This Row],[I_0]]&lt;Table24[Flitro de Ruido],1,Table8[[#This Row],[I_50]]/Table8[[#This Row],[I_0]])</f>
        <v>1</v>
      </c>
    </row>
    <row r="10" spans="1:26" x14ac:dyDescent="0.3">
      <c r="A10" s="13">
        <v>78.22</v>
      </c>
      <c r="B10" s="12">
        <v>0</v>
      </c>
      <c r="C10" s="11">
        <v>78.22</v>
      </c>
      <c r="D10" s="12">
        <v>0</v>
      </c>
      <c r="E10" s="11">
        <v>78.22</v>
      </c>
      <c r="F10" s="12">
        <v>0</v>
      </c>
      <c r="G10" s="11">
        <v>78.22</v>
      </c>
      <c r="H10" s="12">
        <v>0</v>
      </c>
      <c r="I10" s="11">
        <v>78.22</v>
      </c>
      <c r="J10" s="12">
        <v>0</v>
      </c>
      <c r="K10" s="11">
        <v>78.22</v>
      </c>
      <c r="L10" s="12">
        <v>0</v>
      </c>
      <c r="M10" s="11">
        <v>78.22</v>
      </c>
      <c r="N10" s="13">
        <v>0</v>
      </c>
      <c r="O10" s="11">
        <v>0</v>
      </c>
      <c r="P10" s="11">
        <v>0</v>
      </c>
      <c r="Q10" s="11">
        <v>0</v>
      </c>
      <c r="R10" s="11">
        <v>0</v>
      </c>
      <c r="S10" s="14">
        <v>0</v>
      </c>
      <c r="T10" s="11">
        <v>78.22</v>
      </c>
      <c r="U10" s="13" cm="1">
        <f t="array" ref="U10">IF(Table8[[#This Row],[I_0]]&lt;Table24[Flitro de Ruido],1,Table8[[#This Row],[I_10]]/Table8[[#This Row],[I_0]])</f>
        <v>1</v>
      </c>
      <c r="V10" s="13" cm="1">
        <f t="array" ref="V10">IF(Table8[[#This Row],[I_0]]&lt;Table24[Flitro de Ruido],1,Table8[[#This Row],[I_20]]/Table8[[#This Row],[I_0]])</f>
        <v>1</v>
      </c>
      <c r="W10" s="13" cm="1">
        <f t="array" ref="W10">IF(Table8[[#This Row],[I_0]]&lt;Table24[Flitro de Ruido],1,Table8[[#This Row],[I_30]]/Table8[[#This Row],[I_0]])</f>
        <v>1</v>
      </c>
      <c r="X10" s="13" cm="1">
        <f t="array" ref="X10">IF(Table8[[#This Row],[I_0]]&lt;Table24[Flitro de Ruido],1,Table8[[#This Row],[I_40]]/Table8[[#This Row],[I_0]])</f>
        <v>1</v>
      </c>
      <c r="Y10" s="13" cm="1">
        <f t="array" ref="Y10">IF(Table8[[#This Row],[I_0]]&lt;Table24[Flitro de Ruido],1,Table8[[#This Row],[I_50]]/Table8[[#This Row],[I_0]])</f>
        <v>1</v>
      </c>
    </row>
    <row r="11" spans="1:26" x14ac:dyDescent="0.3">
      <c r="A11" s="13">
        <v>79.209999999999994</v>
      </c>
      <c r="B11" s="12">
        <v>0</v>
      </c>
      <c r="C11" s="11">
        <v>79.209999999999994</v>
      </c>
      <c r="D11" s="12">
        <v>0</v>
      </c>
      <c r="E11" s="11">
        <v>79.209999999999994</v>
      </c>
      <c r="F11" s="12">
        <v>0</v>
      </c>
      <c r="G11" s="11">
        <v>79.209999999999994</v>
      </c>
      <c r="H11" s="12">
        <v>0</v>
      </c>
      <c r="I11" s="11">
        <v>79.209999999999994</v>
      </c>
      <c r="J11" s="12">
        <v>0</v>
      </c>
      <c r="K11" s="11">
        <v>79.209999999999994</v>
      </c>
      <c r="L11" s="12">
        <v>0</v>
      </c>
      <c r="M11" s="11">
        <v>79.209999999999994</v>
      </c>
      <c r="N11" s="13">
        <v>0</v>
      </c>
      <c r="O11" s="11">
        <v>0</v>
      </c>
      <c r="P11" s="11">
        <v>0</v>
      </c>
      <c r="Q11" s="11">
        <v>0</v>
      </c>
      <c r="R11" s="11">
        <v>0</v>
      </c>
      <c r="S11" s="14">
        <v>0</v>
      </c>
      <c r="T11" s="11">
        <v>79.209999999999994</v>
      </c>
      <c r="U11" s="13" cm="1">
        <f t="array" ref="U11">IF(Table8[[#This Row],[I_0]]&lt;Table24[Flitro de Ruido],1,Table8[[#This Row],[I_10]]/Table8[[#This Row],[I_0]])</f>
        <v>1</v>
      </c>
      <c r="V11" s="13" cm="1">
        <f t="array" ref="V11">IF(Table8[[#This Row],[I_0]]&lt;Table24[Flitro de Ruido],1,Table8[[#This Row],[I_20]]/Table8[[#This Row],[I_0]])</f>
        <v>1</v>
      </c>
      <c r="W11" s="13" cm="1">
        <f t="array" ref="W11">IF(Table8[[#This Row],[I_0]]&lt;Table24[Flitro de Ruido],1,Table8[[#This Row],[I_30]]/Table8[[#This Row],[I_0]])</f>
        <v>1</v>
      </c>
      <c r="X11" s="13" cm="1">
        <f t="array" ref="X11">IF(Table8[[#This Row],[I_0]]&lt;Table24[Flitro de Ruido],1,Table8[[#This Row],[I_40]]/Table8[[#This Row],[I_0]])</f>
        <v>1</v>
      </c>
      <c r="Y11" s="13" cm="1">
        <f t="array" ref="Y11">IF(Table8[[#This Row],[I_0]]&lt;Table24[Flitro de Ruido],1,Table8[[#This Row],[I_50]]/Table8[[#This Row],[I_0]])</f>
        <v>1</v>
      </c>
    </row>
    <row r="12" spans="1:26" x14ac:dyDescent="0.3">
      <c r="A12" s="13">
        <v>80.2</v>
      </c>
      <c r="B12" s="12">
        <v>0</v>
      </c>
      <c r="C12" s="11">
        <v>80.2</v>
      </c>
      <c r="D12" s="12">
        <v>0</v>
      </c>
      <c r="E12" s="11">
        <v>80.2</v>
      </c>
      <c r="F12" s="12">
        <v>0</v>
      </c>
      <c r="G12" s="11">
        <v>80.2</v>
      </c>
      <c r="H12" s="12">
        <v>0</v>
      </c>
      <c r="I12" s="11">
        <v>80.2</v>
      </c>
      <c r="J12" s="12">
        <v>0</v>
      </c>
      <c r="K12" s="11">
        <v>80.2</v>
      </c>
      <c r="L12" s="12">
        <v>0</v>
      </c>
      <c r="M12" s="11">
        <v>80.2</v>
      </c>
      <c r="N12" s="13">
        <v>0</v>
      </c>
      <c r="O12" s="11">
        <v>0</v>
      </c>
      <c r="P12" s="11">
        <v>0</v>
      </c>
      <c r="Q12" s="11">
        <v>0</v>
      </c>
      <c r="R12" s="11">
        <v>0</v>
      </c>
      <c r="S12" s="14">
        <v>0</v>
      </c>
      <c r="T12" s="11">
        <v>80.2</v>
      </c>
      <c r="U12" s="13" cm="1">
        <f t="array" ref="U12">IF(Table8[[#This Row],[I_0]]&lt;Table24[Flitro de Ruido],1,Table8[[#This Row],[I_10]]/Table8[[#This Row],[I_0]])</f>
        <v>1</v>
      </c>
      <c r="V12" s="13" cm="1">
        <f t="array" ref="V12">IF(Table8[[#This Row],[I_0]]&lt;Table24[Flitro de Ruido],1,Table8[[#This Row],[I_20]]/Table8[[#This Row],[I_0]])</f>
        <v>1</v>
      </c>
      <c r="W12" s="13" cm="1">
        <f t="array" ref="W12">IF(Table8[[#This Row],[I_0]]&lt;Table24[Flitro de Ruido],1,Table8[[#This Row],[I_30]]/Table8[[#This Row],[I_0]])</f>
        <v>1</v>
      </c>
      <c r="X12" s="13" cm="1">
        <f t="array" ref="X12">IF(Table8[[#This Row],[I_0]]&lt;Table24[Flitro de Ruido],1,Table8[[#This Row],[I_40]]/Table8[[#This Row],[I_0]])</f>
        <v>1</v>
      </c>
      <c r="Y12" s="13" cm="1">
        <f t="array" ref="Y12">IF(Table8[[#This Row],[I_0]]&lt;Table24[Flitro de Ruido],1,Table8[[#This Row],[I_50]]/Table8[[#This Row],[I_0]])</f>
        <v>1</v>
      </c>
    </row>
    <row r="13" spans="1:26" x14ac:dyDescent="0.3">
      <c r="A13" s="13">
        <v>81.19</v>
      </c>
      <c r="B13" s="12">
        <v>0</v>
      </c>
      <c r="C13" s="11">
        <v>81.19</v>
      </c>
      <c r="D13" s="12">
        <v>0</v>
      </c>
      <c r="E13" s="11">
        <v>81.19</v>
      </c>
      <c r="F13" s="12">
        <v>0</v>
      </c>
      <c r="G13" s="11">
        <v>81.19</v>
      </c>
      <c r="H13" s="12">
        <v>0</v>
      </c>
      <c r="I13" s="11">
        <v>81.19</v>
      </c>
      <c r="J13" s="12">
        <v>0</v>
      </c>
      <c r="K13" s="11">
        <v>81.19</v>
      </c>
      <c r="L13" s="12">
        <v>0</v>
      </c>
      <c r="M13" s="11">
        <v>81.19</v>
      </c>
      <c r="N13" s="13">
        <v>0</v>
      </c>
      <c r="O13" s="11">
        <v>0</v>
      </c>
      <c r="P13" s="11">
        <v>0</v>
      </c>
      <c r="Q13" s="11">
        <v>0</v>
      </c>
      <c r="R13" s="11">
        <v>0</v>
      </c>
      <c r="S13" s="14">
        <v>0</v>
      </c>
      <c r="T13" s="11">
        <v>81.19</v>
      </c>
      <c r="U13" s="13" cm="1">
        <f t="array" ref="U13">IF(Table8[[#This Row],[I_0]]&lt;Table24[Flitro de Ruido],1,Table8[[#This Row],[I_10]]/Table8[[#This Row],[I_0]])</f>
        <v>1</v>
      </c>
      <c r="V13" s="13" cm="1">
        <f t="array" ref="V13">IF(Table8[[#This Row],[I_0]]&lt;Table24[Flitro de Ruido],1,Table8[[#This Row],[I_20]]/Table8[[#This Row],[I_0]])</f>
        <v>1</v>
      </c>
      <c r="W13" s="13" cm="1">
        <f t="array" ref="W13">IF(Table8[[#This Row],[I_0]]&lt;Table24[Flitro de Ruido],1,Table8[[#This Row],[I_30]]/Table8[[#This Row],[I_0]])</f>
        <v>1</v>
      </c>
      <c r="X13" s="13" cm="1">
        <f t="array" ref="X13">IF(Table8[[#This Row],[I_0]]&lt;Table24[Flitro de Ruido],1,Table8[[#This Row],[I_40]]/Table8[[#This Row],[I_0]])</f>
        <v>1</v>
      </c>
      <c r="Y13" s="13" cm="1">
        <f t="array" ref="Y13">IF(Table8[[#This Row],[I_0]]&lt;Table24[Flitro de Ruido],1,Table8[[#This Row],[I_50]]/Table8[[#This Row],[I_0]])</f>
        <v>1</v>
      </c>
    </row>
    <row r="14" spans="1:26" x14ac:dyDescent="0.3">
      <c r="A14" s="13">
        <v>82.18</v>
      </c>
      <c r="B14" s="12">
        <v>0</v>
      </c>
      <c r="C14" s="11">
        <v>82.18</v>
      </c>
      <c r="D14" s="12">
        <v>0</v>
      </c>
      <c r="E14" s="11">
        <v>82.18</v>
      </c>
      <c r="F14" s="12">
        <v>0</v>
      </c>
      <c r="G14" s="11">
        <v>82.18</v>
      </c>
      <c r="H14" s="12">
        <v>0</v>
      </c>
      <c r="I14" s="11">
        <v>82.18</v>
      </c>
      <c r="J14" s="12">
        <v>0</v>
      </c>
      <c r="K14" s="11">
        <v>82.18</v>
      </c>
      <c r="L14" s="12">
        <v>0</v>
      </c>
      <c r="M14" s="11">
        <v>82.18</v>
      </c>
      <c r="N14" s="13">
        <v>0</v>
      </c>
      <c r="O14" s="11">
        <v>0</v>
      </c>
      <c r="P14" s="11">
        <v>0</v>
      </c>
      <c r="Q14" s="11">
        <v>0</v>
      </c>
      <c r="R14" s="11">
        <v>0</v>
      </c>
      <c r="S14" s="14">
        <v>0</v>
      </c>
      <c r="T14" s="11">
        <v>82.18</v>
      </c>
      <c r="U14" s="13" cm="1">
        <f t="array" ref="U14">IF(Table8[[#This Row],[I_0]]&lt;Table24[Flitro de Ruido],1,Table8[[#This Row],[I_10]]/Table8[[#This Row],[I_0]])</f>
        <v>1</v>
      </c>
      <c r="V14" s="13" cm="1">
        <f t="array" ref="V14">IF(Table8[[#This Row],[I_0]]&lt;Table24[Flitro de Ruido],1,Table8[[#This Row],[I_20]]/Table8[[#This Row],[I_0]])</f>
        <v>1</v>
      </c>
      <c r="W14" s="13" cm="1">
        <f t="array" ref="W14">IF(Table8[[#This Row],[I_0]]&lt;Table24[Flitro de Ruido],1,Table8[[#This Row],[I_30]]/Table8[[#This Row],[I_0]])</f>
        <v>1</v>
      </c>
      <c r="X14" s="13" cm="1">
        <f t="array" ref="X14">IF(Table8[[#This Row],[I_0]]&lt;Table24[Flitro de Ruido],1,Table8[[#This Row],[I_40]]/Table8[[#This Row],[I_0]])</f>
        <v>1</v>
      </c>
      <c r="Y14" s="13" cm="1">
        <f t="array" ref="Y14">IF(Table8[[#This Row],[I_0]]&lt;Table24[Flitro de Ruido],1,Table8[[#This Row],[I_50]]/Table8[[#This Row],[I_0]])</f>
        <v>1</v>
      </c>
    </row>
    <row r="15" spans="1:26" x14ac:dyDescent="0.3">
      <c r="A15" s="13">
        <v>83.17</v>
      </c>
      <c r="B15" s="12">
        <v>0</v>
      </c>
      <c r="C15" s="11">
        <v>83.17</v>
      </c>
      <c r="D15" s="12">
        <v>0</v>
      </c>
      <c r="E15" s="11">
        <v>83.17</v>
      </c>
      <c r="F15" s="12">
        <v>0</v>
      </c>
      <c r="G15" s="11">
        <v>83.17</v>
      </c>
      <c r="H15" s="12">
        <v>0</v>
      </c>
      <c r="I15" s="11">
        <v>83.17</v>
      </c>
      <c r="J15" s="12">
        <v>0</v>
      </c>
      <c r="K15" s="11">
        <v>83.17</v>
      </c>
      <c r="L15" s="12">
        <v>0</v>
      </c>
      <c r="M15" s="11">
        <v>83.17</v>
      </c>
      <c r="N15" s="13">
        <v>0</v>
      </c>
      <c r="O15" s="11">
        <v>0</v>
      </c>
      <c r="P15" s="11">
        <v>0</v>
      </c>
      <c r="Q15" s="11">
        <v>0</v>
      </c>
      <c r="R15" s="11">
        <v>0</v>
      </c>
      <c r="S15" s="14">
        <v>0</v>
      </c>
      <c r="T15" s="11">
        <v>83.17</v>
      </c>
      <c r="U15" s="13" cm="1">
        <f t="array" ref="U15">IF(Table8[[#This Row],[I_0]]&lt;Table24[Flitro de Ruido],1,Table8[[#This Row],[I_10]]/Table8[[#This Row],[I_0]])</f>
        <v>1</v>
      </c>
      <c r="V15" s="13" cm="1">
        <f t="array" ref="V15">IF(Table8[[#This Row],[I_0]]&lt;Table24[Flitro de Ruido],1,Table8[[#This Row],[I_20]]/Table8[[#This Row],[I_0]])</f>
        <v>1</v>
      </c>
      <c r="W15" s="13" cm="1">
        <f t="array" ref="W15">IF(Table8[[#This Row],[I_0]]&lt;Table24[Flitro de Ruido],1,Table8[[#This Row],[I_30]]/Table8[[#This Row],[I_0]])</f>
        <v>1</v>
      </c>
      <c r="X15" s="13" cm="1">
        <f t="array" ref="X15">IF(Table8[[#This Row],[I_0]]&lt;Table24[Flitro de Ruido],1,Table8[[#This Row],[I_40]]/Table8[[#This Row],[I_0]])</f>
        <v>1</v>
      </c>
      <c r="Y15" s="13" cm="1">
        <f t="array" ref="Y15">IF(Table8[[#This Row],[I_0]]&lt;Table24[Flitro de Ruido],1,Table8[[#This Row],[I_50]]/Table8[[#This Row],[I_0]])</f>
        <v>1</v>
      </c>
    </row>
    <row r="16" spans="1:26" x14ac:dyDescent="0.3">
      <c r="A16" s="13">
        <v>84.17</v>
      </c>
      <c r="B16" s="12">
        <v>0</v>
      </c>
      <c r="C16" s="11">
        <v>84.17</v>
      </c>
      <c r="D16" s="12">
        <v>0</v>
      </c>
      <c r="E16" s="11">
        <v>84.17</v>
      </c>
      <c r="F16" s="12">
        <v>0</v>
      </c>
      <c r="G16" s="11">
        <v>84.17</v>
      </c>
      <c r="H16" s="12">
        <v>0</v>
      </c>
      <c r="I16" s="11">
        <v>84.17</v>
      </c>
      <c r="J16" s="12">
        <v>0</v>
      </c>
      <c r="K16" s="11">
        <v>84.17</v>
      </c>
      <c r="L16" s="12">
        <v>0</v>
      </c>
      <c r="M16" s="11">
        <v>84.17</v>
      </c>
      <c r="N16" s="13">
        <v>0</v>
      </c>
      <c r="O16" s="11">
        <v>0</v>
      </c>
      <c r="P16" s="11">
        <v>0</v>
      </c>
      <c r="Q16" s="11">
        <v>0</v>
      </c>
      <c r="R16" s="11">
        <v>0</v>
      </c>
      <c r="S16" s="14">
        <v>0</v>
      </c>
      <c r="T16" s="11">
        <v>84.17</v>
      </c>
      <c r="U16" s="13" cm="1">
        <f t="array" ref="U16">IF(Table8[[#This Row],[I_0]]&lt;Table24[Flitro de Ruido],1,Table8[[#This Row],[I_10]]/Table8[[#This Row],[I_0]])</f>
        <v>1</v>
      </c>
      <c r="V16" s="13" cm="1">
        <f t="array" ref="V16">IF(Table8[[#This Row],[I_0]]&lt;Table24[Flitro de Ruido],1,Table8[[#This Row],[I_20]]/Table8[[#This Row],[I_0]])</f>
        <v>1</v>
      </c>
      <c r="W16" s="13" cm="1">
        <f t="array" ref="W16">IF(Table8[[#This Row],[I_0]]&lt;Table24[Flitro de Ruido],1,Table8[[#This Row],[I_30]]/Table8[[#This Row],[I_0]])</f>
        <v>1</v>
      </c>
      <c r="X16" s="13" cm="1">
        <f t="array" ref="X16">IF(Table8[[#This Row],[I_0]]&lt;Table24[Flitro de Ruido],1,Table8[[#This Row],[I_40]]/Table8[[#This Row],[I_0]])</f>
        <v>1</v>
      </c>
      <c r="Y16" s="13" cm="1">
        <f t="array" ref="Y16">IF(Table8[[#This Row],[I_0]]&lt;Table24[Flitro de Ruido],1,Table8[[#This Row],[I_50]]/Table8[[#This Row],[I_0]])</f>
        <v>1</v>
      </c>
    </row>
    <row r="17" spans="1:25" x14ac:dyDescent="0.3">
      <c r="A17" s="13">
        <v>85.16</v>
      </c>
      <c r="B17" s="12">
        <v>0</v>
      </c>
      <c r="C17" s="11">
        <v>85.16</v>
      </c>
      <c r="D17" s="12">
        <v>0</v>
      </c>
      <c r="E17" s="11">
        <v>85.16</v>
      </c>
      <c r="F17" s="12">
        <v>0</v>
      </c>
      <c r="G17" s="11">
        <v>85.16</v>
      </c>
      <c r="H17" s="12">
        <v>0</v>
      </c>
      <c r="I17" s="11">
        <v>85.16</v>
      </c>
      <c r="J17" s="12">
        <v>0</v>
      </c>
      <c r="K17" s="11">
        <v>85.16</v>
      </c>
      <c r="L17" s="12">
        <v>0</v>
      </c>
      <c r="M17" s="11">
        <v>85.16</v>
      </c>
      <c r="N17" s="13">
        <v>0</v>
      </c>
      <c r="O17" s="11">
        <v>0</v>
      </c>
      <c r="P17" s="11">
        <v>0</v>
      </c>
      <c r="Q17" s="11">
        <v>0</v>
      </c>
      <c r="R17" s="11">
        <v>0</v>
      </c>
      <c r="S17" s="14">
        <v>0</v>
      </c>
      <c r="T17" s="11">
        <v>85.16</v>
      </c>
      <c r="U17" s="13" cm="1">
        <f t="array" ref="U17">IF(Table8[[#This Row],[I_0]]&lt;Table24[Flitro de Ruido],1,Table8[[#This Row],[I_10]]/Table8[[#This Row],[I_0]])</f>
        <v>1</v>
      </c>
      <c r="V17" s="13" cm="1">
        <f t="array" ref="V17">IF(Table8[[#This Row],[I_0]]&lt;Table24[Flitro de Ruido],1,Table8[[#This Row],[I_20]]/Table8[[#This Row],[I_0]])</f>
        <v>1</v>
      </c>
      <c r="W17" s="13" cm="1">
        <f t="array" ref="W17">IF(Table8[[#This Row],[I_0]]&lt;Table24[Flitro de Ruido],1,Table8[[#This Row],[I_30]]/Table8[[#This Row],[I_0]])</f>
        <v>1</v>
      </c>
      <c r="X17" s="13" cm="1">
        <f t="array" ref="X17">IF(Table8[[#This Row],[I_0]]&lt;Table24[Flitro de Ruido],1,Table8[[#This Row],[I_40]]/Table8[[#This Row],[I_0]])</f>
        <v>1</v>
      </c>
      <c r="Y17" s="13" cm="1">
        <f t="array" ref="Y17">IF(Table8[[#This Row],[I_0]]&lt;Table24[Flitro de Ruido],1,Table8[[#This Row],[I_50]]/Table8[[#This Row],[I_0]])</f>
        <v>1</v>
      </c>
    </row>
    <row r="18" spans="1:25" x14ac:dyDescent="0.3">
      <c r="A18" s="13">
        <v>86.15</v>
      </c>
      <c r="B18" s="12">
        <v>0</v>
      </c>
      <c r="C18" s="11">
        <v>86.15</v>
      </c>
      <c r="D18" s="12">
        <v>0</v>
      </c>
      <c r="E18" s="11">
        <v>86.15</v>
      </c>
      <c r="F18" s="12">
        <v>0</v>
      </c>
      <c r="G18" s="11">
        <v>86.15</v>
      </c>
      <c r="H18" s="12">
        <v>0</v>
      </c>
      <c r="I18" s="11">
        <v>86.15</v>
      </c>
      <c r="J18" s="12">
        <v>0</v>
      </c>
      <c r="K18" s="11">
        <v>86.15</v>
      </c>
      <c r="L18" s="12">
        <v>0</v>
      </c>
      <c r="M18" s="11">
        <v>86.15</v>
      </c>
      <c r="N18" s="13">
        <v>0</v>
      </c>
      <c r="O18" s="11">
        <v>0</v>
      </c>
      <c r="P18" s="11">
        <v>0</v>
      </c>
      <c r="Q18" s="11">
        <v>0</v>
      </c>
      <c r="R18" s="11">
        <v>0</v>
      </c>
      <c r="S18" s="14">
        <v>0</v>
      </c>
      <c r="T18" s="11">
        <v>86.15</v>
      </c>
      <c r="U18" s="13" cm="1">
        <f t="array" ref="U18">IF(Table8[[#This Row],[I_0]]&lt;Table24[Flitro de Ruido],1,Table8[[#This Row],[I_10]]/Table8[[#This Row],[I_0]])</f>
        <v>1</v>
      </c>
      <c r="V18" s="13" cm="1">
        <f t="array" ref="V18">IF(Table8[[#This Row],[I_0]]&lt;Table24[Flitro de Ruido],1,Table8[[#This Row],[I_20]]/Table8[[#This Row],[I_0]])</f>
        <v>1</v>
      </c>
      <c r="W18" s="13" cm="1">
        <f t="array" ref="W18">IF(Table8[[#This Row],[I_0]]&lt;Table24[Flitro de Ruido],1,Table8[[#This Row],[I_30]]/Table8[[#This Row],[I_0]])</f>
        <v>1</v>
      </c>
      <c r="X18" s="13" cm="1">
        <f t="array" ref="X18">IF(Table8[[#This Row],[I_0]]&lt;Table24[Flitro de Ruido],1,Table8[[#This Row],[I_40]]/Table8[[#This Row],[I_0]])</f>
        <v>1</v>
      </c>
      <c r="Y18" s="13" cm="1">
        <f t="array" ref="Y18">IF(Table8[[#This Row],[I_0]]&lt;Table24[Flitro de Ruido],1,Table8[[#This Row],[I_50]]/Table8[[#This Row],[I_0]])</f>
        <v>1</v>
      </c>
    </row>
    <row r="19" spans="1:25" x14ac:dyDescent="0.3">
      <c r="A19" s="13">
        <v>87.14</v>
      </c>
      <c r="B19" s="12">
        <v>0</v>
      </c>
      <c r="C19" s="11">
        <v>87.14</v>
      </c>
      <c r="D19" s="12">
        <v>0</v>
      </c>
      <c r="E19" s="11">
        <v>87.14</v>
      </c>
      <c r="F19" s="12">
        <v>0</v>
      </c>
      <c r="G19" s="11">
        <v>87.14</v>
      </c>
      <c r="H19" s="12">
        <v>0</v>
      </c>
      <c r="I19" s="11">
        <v>87.14</v>
      </c>
      <c r="J19" s="12">
        <v>0</v>
      </c>
      <c r="K19" s="11">
        <v>87.14</v>
      </c>
      <c r="L19" s="12">
        <v>0</v>
      </c>
      <c r="M19" s="11">
        <v>87.14</v>
      </c>
      <c r="N19" s="13">
        <v>0</v>
      </c>
      <c r="O19" s="11">
        <v>0</v>
      </c>
      <c r="P19" s="11">
        <v>0</v>
      </c>
      <c r="Q19" s="11">
        <v>0</v>
      </c>
      <c r="R19" s="11">
        <v>0</v>
      </c>
      <c r="S19" s="14">
        <v>0</v>
      </c>
      <c r="T19" s="11">
        <v>87.14</v>
      </c>
      <c r="U19" s="13" cm="1">
        <f t="array" ref="U19">IF(Table8[[#This Row],[I_0]]&lt;Table24[Flitro de Ruido],1,Table8[[#This Row],[I_10]]/Table8[[#This Row],[I_0]])</f>
        <v>1</v>
      </c>
      <c r="V19" s="13" cm="1">
        <f t="array" ref="V19">IF(Table8[[#This Row],[I_0]]&lt;Table24[Flitro de Ruido],1,Table8[[#This Row],[I_20]]/Table8[[#This Row],[I_0]])</f>
        <v>1</v>
      </c>
      <c r="W19" s="13" cm="1">
        <f t="array" ref="W19">IF(Table8[[#This Row],[I_0]]&lt;Table24[Flitro de Ruido],1,Table8[[#This Row],[I_30]]/Table8[[#This Row],[I_0]])</f>
        <v>1</v>
      </c>
      <c r="X19" s="13" cm="1">
        <f t="array" ref="X19">IF(Table8[[#This Row],[I_0]]&lt;Table24[Flitro de Ruido],1,Table8[[#This Row],[I_40]]/Table8[[#This Row],[I_0]])</f>
        <v>1</v>
      </c>
      <c r="Y19" s="13" cm="1">
        <f t="array" ref="Y19">IF(Table8[[#This Row],[I_0]]&lt;Table24[Flitro de Ruido],1,Table8[[#This Row],[I_50]]/Table8[[#This Row],[I_0]])</f>
        <v>1</v>
      </c>
    </row>
    <row r="20" spans="1:25" x14ac:dyDescent="0.3">
      <c r="A20" s="13">
        <v>88.13</v>
      </c>
      <c r="B20" s="12">
        <v>0</v>
      </c>
      <c r="C20" s="11">
        <v>88.13</v>
      </c>
      <c r="D20" s="12">
        <v>0</v>
      </c>
      <c r="E20" s="11">
        <v>88.13</v>
      </c>
      <c r="F20" s="12">
        <v>0</v>
      </c>
      <c r="G20" s="11">
        <v>88.13</v>
      </c>
      <c r="H20" s="12">
        <v>0</v>
      </c>
      <c r="I20" s="11">
        <v>88.13</v>
      </c>
      <c r="J20" s="12">
        <v>0</v>
      </c>
      <c r="K20" s="11">
        <v>88.13</v>
      </c>
      <c r="L20" s="12">
        <v>0</v>
      </c>
      <c r="M20" s="11">
        <v>88.13</v>
      </c>
      <c r="N20" s="13">
        <v>0</v>
      </c>
      <c r="O20" s="11">
        <v>0</v>
      </c>
      <c r="P20" s="11">
        <v>0</v>
      </c>
      <c r="Q20" s="11">
        <v>0</v>
      </c>
      <c r="R20" s="11">
        <v>0</v>
      </c>
      <c r="S20" s="14">
        <v>0</v>
      </c>
      <c r="T20" s="11">
        <v>88.13</v>
      </c>
      <c r="U20" s="13" cm="1">
        <f t="array" ref="U20">IF(Table8[[#This Row],[I_0]]&lt;Table24[Flitro de Ruido],1,Table8[[#This Row],[I_10]]/Table8[[#This Row],[I_0]])</f>
        <v>1</v>
      </c>
      <c r="V20" s="13" cm="1">
        <f t="array" ref="V20">IF(Table8[[#This Row],[I_0]]&lt;Table24[Flitro de Ruido],1,Table8[[#This Row],[I_20]]/Table8[[#This Row],[I_0]])</f>
        <v>1</v>
      </c>
      <c r="W20" s="13" cm="1">
        <f t="array" ref="W20">IF(Table8[[#This Row],[I_0]]&lt;Table24[Flitro de Ruido],1,Table8[[#This Row],[I_30]]/Table8[[#This Row],[I_0]])</f>
        <v>1</v>
      </c>
      <c r="X20" s="13" cm="1">
        <f t="array" ref="X20">IF(Table8[[#This Row],[I_0]]&lt;Table24[Flitro de Ruido],1,Table8[[#This Row],[I_40]]/Table8[[#This Row],[I_0]])</f>
        <v>1</v>
      </c>
      <c r="Y20" s="13" cm="1">
        <f t="array" ref="Y20">IF(Table8[[#This Row],[I_0]]&lt;Table24[Flitro de Ruido],1,Table8[[#This Row],[I_50]]/Table8[[#This Row],[I_0]])</f>
        <v>1</v>
      </c>
    </row>
    <row r="21" spans="1:25" x14ac:dyDescent="0.3">
      <c r="A21" s="13">
        <v>89.12</v>
      </c>
      <c r="B21" s="12">
        <v>0</v>
      </c>
      <c r="C21" s="11">
        <v>89.12</v>
      </c>
      <c r="D21" s="12">
        <v>0</v>
      </c>
      <c r="E21" s="11">
        <v>89.12</v>
      </c>
      <c r="F21" s="12">
        <v>0</v>
      </c>
      <c r="G21" s="11">
        <v>89.12</v>
      </c>
      <c r="H21" s="12">
        <v>0</v>
      </c>
      <c r="I21" s="11">
        <v>89.12</v>
      </c>
      <c r="J21" s="12">
        <v>0</v>
      </c>
      <c r="K21" s="11">
        <v>89.12</v>
      </c>
      <c r="L21" s="12">
        <v>0</v>
      </c>
      <c r="M21" s="11">
        <v>89.12</v>
      </c>
      <c r="N21" s="13">
        <v>0</v>
      </c>
      <c r="O21" s="11">
        <v>0</v>
      </c>
      <c r="P21" s="11">
        <v>0</v>
      </c>
      <c r="Q21" s="11">
        <v>0</v>
      </c>
      <c r="R21" s="11">
        <v>0</v>
      </c>
      <c r="S21" s="14">
        <v>0</v>
      </c>
      <c r="T21" s="11">
        <v>89.12</v>
      </c>
      <c r="U21" s="13" cm="1">
        <f t="array" ref="U21">IF(Table8[[#This Row],[I_0]]&lt;Table24[Flitro de Ruido],1,Table8[[#This Row],[I_10]]/Table8[[#This Row],[I_0]])</f>
        <v>1</v>
      </c>
      <c r="V21" s="13" cm="1">
        <f t="array" ref="V21">IF(Table8[[#This Row],[I_0]]&lt;Table24[Flitro de Ruido],1,Table8[[#This Row],[I_20]]/Table8[[#This Row],[I_0]])</f>
        <v>1</v>
      </c>
      <c r="W21" s="13" cm="1">
        <f t="array" ref="W21">IF(Table8[[#This Row],[I_0]]&lt;Table24[Flitro de Ruido],1,Table8[[#This Row],[I_30]]/Table8[[#This Row],[I_0]])</f>
        <v>1</v>
      </c>
      <c r="X21" s="13" cm="1">
        <f t="array" ref="X21">IF(Table8[[#This Row],[I_0]]&lt;Table24[Flitro de Ruido],1,Table8[[#This Row],[I_40]]/Table8[[#This Row],[I_0]])</f>
        <v>1</v>
      </c>
      <c r="Y21" s="13" cm="1">
        <f t="array" ref="Y21">IF(Table8[[#This Row],[I_0]]&lt;Table24[Flitro de Ruido],1,Table8[[#This Row],[I_50]]/Table8[[#This Row],[I_0]])</f>
        <v>1</v>
      </c>
    </row>
    <row r="22" spans="1:25" x14ac:dyDescent="0.3">
      <c r="A22" s="13">
        <v>90.12</v>
      </c>
      <c r="B22" s="12">
        <v>0</v>
      </c>
      <c r="C22" s="11">
        <v>90.12</v>
      </c>
      <c r="D22" s="12">
        <v>0</v>
      </c>
      <c r="E22" s="11">
        <v>90.12</v>
      </c>
      <c r="F22" s="12">
        <v>0</v>
      </c>
      <c r="G22" s="11">
        <v>90.12</v>
      </c>
      <c r="H22" s="12">
        <v>0</v>
      </c>
      <c r="I22" s="11">
        <v>90.12</v>
      </c>
      <c r="J22" s="12">
        <v>0</v>
      </c>
      <c r="K22" s="11">
        <v>90.12</v>
      </c>
      <c r="L22" s="12">
        <v>0</v>
      </c>
      <c r="M22" s="11">
        <v>90.12</v>
      </c>
      <c r="N22" s="13">
        <v>0</v>
      </c>
      <c r="O22" s="11">
        <v>0</v>
      </c>
      <c r="P22" s="11">
        <v>0</v>
      </c>
      <c r="Q22" s="11">
        <v>0</v>
      </c>
      <c r="R22" s="11">
        <v>0</v>
      </c>
      <c r="S22" s="14">
        <v>0</v>
      </c>
      <c r="T22" s="11">
        <v>90.12</v>
      </c>
      <c r="U22" s="13" cm="1">
        <f t="array" ref="U22">IF(Table8[[#This Row],[I_0]]&lt;Table24[Flitro de Ruido],1,Table8[[#This Row],[I_10]]/Table8[[#This Row],[I_0]])</f>
        <v>1</v>
      </c>
      <c r="V22" s="13" cm="1">
        <f t="array" ref="V22">IF(Table8[[#This Row],[I_0]]&lt;Table24[Flitro de Ruido],1,Table8[[#This Row],[I_20]]/Table8[[#This Row],[I_0]])</f>
        <v>1</v>
      </c>
      <c r="W22" s="13" cm="1">
        <f t="array" ref="W22">IF(Table8[[#This Row],[I_0]]&lt;Table24[Flitro de Ruido],1,Table8[[#This Row],[I_30]]/Table8[[#This Row],[I_0]])</f>
        <v>1</v>
      </c>
      <c r="X22" s="13" cm="1">
        <f t="array" ref="X22">IF(Table8[[#This Row],[I_0]]&lt;Table24[Flitro de Ruido],1,Table8[[#This Row],[I_40]]/Table8[[#This Row],[I_0]])</f>
        <v>1</v>
      </c>
      <c r="Y22" s="13" cm="1">
        <f t="array" ref="Y22">IF(Table8[[#This Row],[I_0]]&lt;Table24[Flitro de Ruido],1,Table8[[#This Row],[I_50]]/Table8[[#This Row],[I_0]])</f>
        <v>1</v>
      </c>
    </row>
    <row r="23" spans="1:25" x14ac:dyDescent="0.3">
      <c r="A23" s="13">
        <v>91.11</v>
      </c>
      <c r="B23" s="12">
        <v>0</v>
      </c>
      <c r="C23" s="11">
        <v>91.11</v>
      </c>
      <c r="D23" s="12">
        <v>0</v>
      </c>
      <c r="E23" s="11">
        <v>91.11</v>
      </c>
      <c r="F23" s="12">
        <v>0</v>
      </c>
      <c r="G23" s="11">
        <v>91.11</v>
      </c>
      <c r="H23" s="12">
        <v>0</v>
      </c>
      <c r="I23" s="11">
        <v>91.11</v>
      </c>
      <c r="J23" s="12">
        <v>0</v>
      </c>
      <c r="K23" s="11">
        <v>91.11</v>
      </c>
      <c r="L23" s="12">
        <v>0</v>
      </c>
      <c r="M23" s="11">
        <v>91.11</v>
      </c>
      <c r="N23" s="13">
        <v>0</v>
      </c>
      <c r="O23" s="11">
        <v>0</v>
      </c>
      <c r="P23" s="11">
        <v>0</v>
      </c>
      <c r="Q23" s="11">
        <v>0</v>
      </c>
      <c r="R23" s="11">
        <v>0</v>
      </c>
      <c r="S23" s="14">
        <v>0</v>
      </c>
      <c r="T23" s="11">
        <v>91.11</v>
      </c>
      <c r="U23" s="13" cm="1">
        <f t="array" ref="U23">IF(Table8[[#This Row],[I_0]]&lt;Table24[Flitro de Ruido],1,Table8[[#This Row],[I_10]]/Table8[[#This Row],[I_0]])</f>
        <v>1</v>
      </c>
      <c r="V23" s="13" cm="1">
        <f t="array" ref="V23">IF(Table8[[#This Row],[I_0]]&lt;Table24[Flitro de Ruido],1,Table8[[#This Row],[I_20]]/Table8[[#This Row],[I_0]])</f>
        <v>1</v>
      </c>
      <c r="W23" s="13" cm="1">
        <f t="array" ref="W23">IF(Table8[[#This Row],[I_0]]&lt;Table24[Flitro de Ruido],1,Table8[[#This Row],[I_30]]/Table8[[#This Row],[I_0]])</f>
        <v>1</v>
      </c>
      <c r="X23" s="13" cm="1">
        <f t="array" ref="X23">IF(Table8[[#This Row],[I_0]]&lt;Table24[Flitro de Ruido],1,Table8[[#This Row],[I_40]]/Table8[[#This Row],[I_0]])</f>
        <v>1</v>
      </c>
      <c r="Y23" s="13" cm="1">
        <f t="array" ref="Y23">IF(Table8[[#This Row],[I_0]]&lt;Table24[Flitro de Ruido],1,Table8[[#This Row],[I_50]]/Table8[[#This Row],[I_0]])</f>
        <v>1</v>
      </c>
    </row>
    <row r="24" spans="1:25" x14ac:dyDescent="0.3">
      <c r="A24" s="13">
        <v>92.1</v>
      </c>
      <c r="B24" s="12">
        <v>0</v>
      </c>
      <c r="C24" s="11">
        <v>92.1</v>
      </c>
      <c r="D24" s="12">
        <v>0</v>
      </c>
      <c r="E24" s="11">
        <v>92.1</v>
      </c>
      <c r="F24" s="12">
        <v>0</v>
      </c>
      <c r="G24" s="11">
        <v>92.1</v>
      </c>
      <c r="H24" s="12">
        <v>0</v>
      </c>
      <c r="I24" s="11">
        <v>92.1</v>
      </c>
      <c r="J24" s="12">
        <v>0</v>
      </c>
      <c r="K24" s="11">
        <v>92.1</v>
      </c>
      <c r="L24" s="12">
        <v>0</v>
      </c>
      <c r="M24" s="11">
        <v>92.1</v>
      </c>
      <c r="N24" s="13">
        <v>0</v>
      </c>
      <c r="O24" s="11">
        <v>0</v>
      </c>
      <c r="P24" s="11">
        <v>0</v>
      </c>
      <c r="Q24" s="11">
        <v>0</v>
      </c>
      <c r="R24" s="11">
        <v>0</v>
      </c>
      <c r="S24" s="14">
        <v>0</v>
      </c>
      <c r="T24" s="11">
        <v>92.1</v>
      </c>
      <c r="U24" s="13" cm="1">
        <f t="array" ref="U24">IF(Table8[[#This Row],[I_0]]&lt;Table24[Flitro de Ruido],1,Table8[[#This Row],[I_10]]/Table8[[#This Row],[I_0]])</f>
        <v>1</v>
      </c>
      <c r="V24" s="13" cm="1">
        <f t="array" ref="V24">IF(Table8[[#This Row],[I_0]]&lt;Table24[Flitro de Ruido],1,Table8[[#This Row],[I_20]]/Table8[[#This Row],[I_0]])</f>
        <v>1</v>
      </c>
      <c r="W24" s="13" cm="1">
        <f t="array" ref="W24">IF(Table8[[#This Row],[I_0]]&lt;Table24[Flitro de Ruido],1,Table8[[#This Row],[I_30]]/Table8[[#This Row],[I_0]])</f>
        <v>1</v>
      </c>
      <c r="X24" s="13" cm="1">
        <f t="array" ref="X24">IF(Table8[[#This Row],[I_0]]&lt;Table24[Flitro de Ruido],1,Table8[[#This Row],[I_40]]/Table8[[#This Row],[I_0]])</f>
        <v>1</v>
      </c>
      <c r="Y24" s="13" cm="1">
        <f t="array" ref="Y24">IF(Table8[[#This Row],[I_0]]&lt;Table24[Flitro de Ruido],1,Table8[[#This Row],[I_50]]/Table8[[#This Row],[I_0]])</f>
        <v>1</v>
      </c>
    </row>
    <row r="25" spans="1:25" x14ac:dyDescent="0.3">
      <c r="A25" s="13">
        <v>93.09</v>
      </c>
      <c r="B25" s="12">
        <v>0</v>
      </c>
      <c r="C25" s="11">
        <v>93.09</v>
      </c>
      <c r="D25" s="12">
        <v>0</v>
      </c>
      <c r="E25" s="11">
        <v>93.09</v>
      </c>
      <c r="F25" s="12">
        <v>0</v>
      </c>
      <c r="G25" s="11">
        <v>93.09</v>
      </c>
      <c r="H25" s="12">
        <v>0</v>
      </c>
      <c r="I25" s="11">
        <v>93.09</v>
      </c>
      <c r="J25" s="12">
        <v>0</v>
      </c>
      <c r="K25" s="11">
        <v>93.09</v>
      </c>
      <c r="L25" s="12">
        <v>0</v>
      </c>
      <c r="M25" s="11">
        <v>93.09</v>
      </c>
      <c r="N25" s="13">
        <v>0</v>
      </c>
      <c r="O25" s="11">
        <v>0</v>
      </c>
      <c r="P25" s="11">
        <v>0</v>
      </c>
      <c r="Q25" s="11">
        <v>0</v>
      </c>
      <c r="R25" s="11">
        <v>0</v>
      </c>
      <c r="S25" s="14">
        <v>0</v>
      </c>
      <c r="T25" s="11">
        <v>93.09</v>
      </c>
      <c r="U25" s="13" cm="1">
        <f t="array" ref="U25">IF(Table8[[#This Row],[I_0]]&lt;Table24[Flitro de Ruido],1,Table8[[#This Row],[I_10]]/Table8[[#This Row],[I_0]])</f>
        <v>1</v>
      </c>
      <c r="V25" s="13" cm="1">
        <f t="array" ref="V25">IF(Table8[[#This Row],[I_0]]&lt;Table24[Flitro de Ruido],1,Table8[[#This Row],[I_20]]/Table8[[#This Row],[I_0]])</f>
        <v>1</v>
      </c>
      <c r="W25" s="13" cm="1">
        <f t="array" ref="W25">IF(Table8[[#This Row],[I_0]]&lt;Table24[Flitro de Ruido],1,Table8[[#This Row],[I_30]]/Table8[[#This Row],[I_0]])</f>
        <v>1</v>
      </c>
      <c r="X25" s="13" cm="1">
        <f t="array" ref="X25">IF(Table8[[#This Row],[I_0]]&lt;Table24[Flitro de Ruido],1,Table8[[#This Row],[I_40]]/Table8[[#This Row],[I_0]])</f>
        <v>1</v>
      </c>
      <c r="Y25" s="13" cm="1">
        <f t="array" ref="Y25">IF(Table8[[#This Row],[I_0]]&lt;Table24[Flitro de Ruido],1,Table8[[#This Row],[I_50]]/Table8[[#This Row],[I_0]])</f>
        <v>1</v>
      </c>
    </row>
    <row r="26" spans="1:25" x14ac:dyDescent="0.3">
      <c r="A26" s="13">
        <v>94.08</v>
      </c>
      <c r="B26" s="12">
        <v>0</v>
      </c>
      <c r="C26" s="11">
        <v>94.08</v>
      </c>
      <c r="D26" s="12">
        <v>0</v>
      </c>
      <c r="E26" s="11">
        <v>94.08</v>
      </c>
      <c r="F26" s="12">
        <v>0</v>
      </c>
      <c r="G26" s="11">
        <v>94.08</v>
      </c>
      <c r="H26" s="12">
        <v>0</v>
      </c>
      <c r="I26" s="11">
        <v>94.08</v>
      </c>
      <c r="J26" s="12">
        <v>0</v>
      </c>
      <c r="K26" s="11">
        <v>94.08</v>
      </c>
      <c r="L26" s="12">
        <v>0</v>
      </c>
      <c r="M26" s="11">
        <v>94.08</v>
      </c>
      <c r="N26" s="13">
        <v>0</v>
      </c>
      <c r="O26" s="11">
        <v>0</v>
      </c>
      <c r="P26" s="11">
        <v>0</v>
      </c>
      <c r="Q26" s="11">
        <v>0</v>
      </c>
      <c r="R26" s="11">
        <v>0</v>
      </c>
      <c r="S26" s="14">
        <v>0</v>
      </c>
      <c r="T26" s="11">
        <v>94.08</v>
      </c>
      <c r="U26" s="13" cm="1">
        <f t="array" ref="U26">IF(Table8[[#This Row],[I_0]]&lt;Table24[Flitro de Ruido],1,Table8[[#This Row],[I_10]]/Table8[[#This Row],[I_0]])</f>
        <v>1</v>
      </c>
      <c r="V26" s="13" cm="1">
        <f t="array" ref="V26">IF(Table8[[#This Row],[I_0]]&lt;Table24[Flitro de Ruido],1,Table8[[#This Row],[I_20]]/Table8[[#This Row],[I_0]])</f>
        <v>1</v>
      </c>
      <c r="W26" s="13" cm="1">
        <f t="array" ref="W26">IF(Table8[[#This Row],[I_0]]&lt;Table24[Flitro de Ruido],1,Table8[[#This Row],[I_30]]/Table8[[#This Row],[I_0]])</f>
        <v>1</v>
      </c>
      <c r="X26" s="13" cm="1">
        <f t="array" ref="X26">IF(Table8[[#This Row],[I_0]]&lt;Table24[Flitro de Ruido],1,Table8[[#This Row],[I_40]]/Table8[[#This Row],[I_0]])</f>
        <v>1</v>
      </c>
      <c r="Y26" s="13" cm="1">
        <f t="array" ref="Y26">IF(Table8[[#This Row],[I_0]]&lt;Table24[Flitro de Ruido],1,Table8[[#This Row],[I_50]]/Table8[[#This Row],[I_0]])</f>
        <v>1</v>
      </c>
    </row>
    <row r="27" spans="1:25" x14ac:dyDescent="0.3">
      <c r="A27" s="13">
        <v>95.08</v>
      </c>
      <c r="B27" s="12">
        <v>0</v>
      </c>
      <c r="C27" s="11">
        <v>95.08</v>
      </c>
      <c r="D27" s="12">
        <v>0</v>
      </c>
      <c r="E27" s="11">
        <v>95.08</v>
      </c>
      <c r="F27" s="12">
        <v>0</v>
      </c>
      <c r="G27" s="11">
        <v>95.08</v>
      </c>
      <c r="H27" s="12">
        <v>0</v>
      </c>
      <c r="I27" s="11">
        <v>95.08</v>
      </c>
      <c r="J27" s="12">
        <v>0</v>
      </c>
      <c r="K27" s="11">
        <v>95.08</v>
      </c>
      <c r="L27" s="12">
        <v>0</v>
      </c>
      <c r="M27" s="11">
        <v>95.08</v>
      </c>
      <c r="N27" s="13">
        <v>0</v>
      </c>
      <c r="O27" s="11">
        <v>0</v>
      </c>
      <c r="P27" s="11">
        <v>0</v>
      </c>
      <c r="Q27" s="11">
        <v>0</v>
      </c>
      <c r="R27" s="11">
        <v>0</v>
      </c>
      <c r="S27" s="14">
        <v>0</v>
      </c>
      <c r="T27" s="11">
        <v>95.08</v>
      </c>
      <c r="U27" s="13" cm="1">
        <f t="array" ref="U27">IF(Table8[[#This Row],[I_0]]&lt;Table24[Flitro de Ruido],1,Table8[[#This Row],[I_10]]/Table8[[#This Row],[I_0]])</f>
        <v>1</v>
      </c>
      <c r="V27" s="13" cm="1">
        <f t="array" ref="V27">IF(Table8[[#This Row],[I_0]]&lt;Table24[Flitro de Ruido],1,Table8[[#This Row],[I_20]]/Table8[[#This Row],[I_0]])</f>
        <v>1</v>
      </c>
      <c r="W27" s="13" cm="1">
        <f t="array" ref="W27">IF(Table8[[#This Row],[I_0]]&lt;Table24[Flitro de Ruido],1,Table8[[#This Row],[I_30]]/Table8[[#This Row],[I_0]])</f>
        <v>1</v>
      </c>
      <c r="X27" s="13" cm="1">
        <f t="array" ref="X27">IF(Table8[[#This Row],[I_0]]&lt;Table24[Flitro de Ruido],1,Table8[[#This Row],[I_40]]/Table8[[#This Row],[I_0]])</f>
        <v>1</v>
      </c>
      <c r="Y27" s="13" cm="1">
        <f t="array" ref="Y27">IF(Table8[[#This Row],[I_0]]&lt;Table24[Flitro de Ruido],1,Table8[[#This Row],[I_50]]/Table8[[#This Row],[I_0]])</f>
        <v>1</v>
      </c>
    </row>
    <row r="28" spans="1:25" x14ac:dyDescent="0.3">
      <c r="A28" s="13">
        <v>96.07</v>
      </c>
      <c r="B28" s="12">
        <v>0</v>
      </c>
      <c r="C28" s="11">
        <v>96.07</v>
      </c>
      <c r="D28" s="12">
        <v>0</v>
      </c>
      <c r="E28" s="11">
        <v>96.07</v>
      </c>
      <c r="F28" s="12">
        <v>0</v>
      </c>
      <c r="G28" s="11">
        <v>96.07</v>
      </c>
      <c r="H28" s="12">
        <v>0</v>
      </c>
      <c r="I28" s="11">
        <v>96.07</v>
      </c>
      <c r="J28" s="12">
        <v>0</v>
      </c>
      <c r="K28" s="11">
        <v>96.07</v>
      </c>
      <c r="L28" s="12">
        <v>0</v>
      </c>
      <c r="M28" s="11">
        <v>96.07</v>
      </c>
      <c r="N28" s="13">
        <v>0</v>
      </c>
      <c r="O28" s="11">
        <v>0</v>
      </c>
      <c r="P28" s="11">
        <v>0</v>
      </c>
      <c r="Q28" s="11">
        <v>0</v>
      </c>
      <c r="R28" s="11">
        <v>0</v>
      </c>
      <c r="S28" s="14">
        <v>0</v>
      </c>
      <c r="T28" s="11">
        <v>96.07</v>
      </c>
      <c r="U28" s="13" cm="1">
        <f t="array" ref="U28">IF(Table8[[#This Row],[I_0]]&lt;Table24[Flitro de Ruido],1,Table8[[#This Row],[I_10]]/Table8[[#This Row],[I_0]])</f>
        <v>1</v>
      </c>
      <c r="V28" s="13" cm="1">
        <f t="array" ref="V28">IF(Table8[[#This Row],[I_0]]&lt;Table24[Flitro de Ruido],1,Table8[[#This Row],[I_20]]/Table8[[#This Row],[I_0]])</f>
        <v>1</v>
      </c>
      <c r="W28" s="13" cm="1">
        <f t="array" ref="W28">IF(Table8[[#This Row],[I_0]]&lt;Table24[Flitro de Ruido],1,Table8[[#This Row],[I_30]]/Table8[[#This Row],[I_0]])</f>
        <v>1</v>
      </c>
      <c r="X28" s="13" cm="1">
        <f t="array" ref="X28">IF(Table8[[#This Row],[I_0]]&lt;Table24[Flitro de Ruido],1,Table8[[#This Row],[I_40]]/Table8[[#This Row],[I_0]])</f>
        <v>1</v>
      </c>
      <c r="Y28" s="13" cm="1">
        <f t="array" ref="Y28">IF(Table8[[#This Row],[I_0]]&lt;Table24[Flitro de Ruido],1,Table8[[#This Row],[I_50]]/Table8[[#This Row],[I_0]])</f>
        <v>1</v>
      </c>
    </row>
    <row r="29" spans="1:25" x14ac:dyDescent="0.3">
      <c r="A29" s="13">
        <v>97.06</v>
      </c>
      <c r="B29" s="12">
        <v>0</v>
      </c>
      <c r="C29" s="11">
        <v>97.06</v>
      </c>
      <c r="D29" s="12">
        <v>0</v>
      </c>
      <c r="E29" s="11">
        <v>97.06</v>
      </c>
      <c r="F29" s="12">
        <v>0</v>
      </c>
      <c r="G29" s="11">
        <v>97.06</v>
      </c>
      <c r="H29" s="12">
        <v>0</v>
      </c>
      <c r="I29" s="11">
        <v>97.06</v>
      </c>
      <c r="J29" s="12">
        <v>0</v>
      </c>
      <c r="K29" s="11">
        <v>97.06</v>
      </c>
      <c r="L29" s="12">
        <v>0</v>
      </c>
      <c r="M29" s="11">
        <v>97.06</v>
      </c>
      <c r="N29" s="13">
        <v>0</v>
      </c>
      <c r="O29" s="11">
        <v>0</v>
      </c>
      <c r="P29" s="11">
        <v>0</v>
      </c>
      <c r="Q29" s="11">
        <v>0</v>
      </c>
      <c r="R29" s="11">
        <v>0</v>
      </c>
      <c r="S29" s="14">
        <v>0</v>
      </c>
      <c r="T29" s="11">
        <v>97.06</v>
      </c>
      <c r="U29" s="13" cm="1">
        <f t="array" ref="U29">IF(Table8[[#This Row],[I_0]]&lt;Table24[Flitro de Ruido],1,Table8[[#This Row],[I_10]]/Table8[[#This Row],[I_0]])</f>
        <v>1</v>
      </c>
      <c r="V29" s="13" cm="1">
        <f t="array" ref="V29">IF(Table8[[#This Row],[I_0]]&lt;Table24[Flitro de Ruido],1,Table8[[#This Row],[I_20]]/Table8[[#This Row],[I_0]])</f>
        <v>1</v>
      </c>
      <c r="W29" s="13" cm="1">
        <f t="array" ref="W29">IF(Table8[[#This Row],[I_0]]&lt;Table24[Flitro de Ruido],1,Table8[[#This Row],[I_30]]/Table8[[#This Row],[I_0]])</f>
        <v>1</v>
      </c>
      <c r="X29" s="13" cm="1">
        <f t="array" ref="X29">IF(Table8[[#This Row],[I_0]]&lt;Table24[Flitro de Ruido],1,Table8[[#This Row],[I_40]]/Table8[[#This Row],[I_0]])</f>
        <v>1</v>
      </c>
      <c r="Y29" s="13" cm="1">
        <f t="array" ref="Y29">IF(Table8[[#This Row],[I_0]]&lt;Table24[Flitro de Ruido],1,Table8[[#This Row],[I_50]]/Table8[[#This Row],[I_0]])</f>
        <v>1</v>
      </c>
    </row>
    <row r="30" spans="1:25" x14ac:dyDescent="0.3">
      <c r="A30" s="13">
        <v>98.05</v>
      </c>
      <c r="B30" s="12">
        <v>0</v>
      </c>
      <c r="C30" s="11">
        <v>98.05</v>
      </c>
      <c r="D30" s="12">
        <v>0</v>
      </c>
      <c r="E30" s="11">
        <v>98.05</v>
      </c>
      <c r="F30" s="12">
        <v>0</v>
      </c>
      <c r="G30" s="11">
        <v>98.05</v>
      </c>
      <c r="H30" s="12">
        <v>0</v>
      </c>
      <c r="I30" s="11">
        <v>98.05</v>
      </c>
      <c r="J30" s="12">
        <v>0</v>
      </c>
      <c r="K30" s="11">
        <v>98.05</v>
      </c>
      <c r="L30" s="12">
        <v>0</v>
      </c>
      <c r="M30" s="11">
        <v>98.05</v>
      </c>
      <c r="N30" s="13">
        <v>0</v>
      </c>
      <c r="O30" s="11">
        <v>0</v>
      </c>
      <c r="P30" s="11">
        <v>0</v>
      </c>
      <c r="Q30" s="11">
        <v>0</v>
      </c>
      <c r="R30" s="11">
        <v>0</v>
      </c>
      <c r="S30" s="14">
        <v>0</v>
      </c>
      <c r="T30" s="11">
        <v>98.05</v>
      </c>
      <c r="U30" s="13" cm="1">
        <f t="array" ref="U30">IF(Table8[[#This Row],[I_0]]&lt;Table24[Flitro de Ruido],1,Table8[[#This Row],[I_10]]/Table8[[#This Row],[I_0]])</f>
        <v>1</v>
      </c>
      <c r="V30" s="13" cm="1">
        <f t="array" ref="V30">IF(Table8[[#This Row],[I_0]]&lt;Table24[Flitro de Ruido],1,Table8[[#This Row],[I_20]]/Table8[[#This Row],[I_0]])</f>
        <v>1</v>
      </c>
      <c r="W30" s="13" cm="1">
        <f t="array" ref="W30">IF(Table8[[#This Row],[I_0]]&lt;Table24[Flitro de Ruido],1,Table8[[#This Row],[I_30]]/Table8[[#This Row],[I_0]])</f>
        <v>1</v>
      </c>
      <c r="X30" s="13" cm="1">
        <f t="array" ref="X30">IF(Table8[[#This Row],[I_0]]&lt;Table24[Flitro de Ruido],1,Table8[[#This Row],[I_40]]/Table8[[#This Row],[I_0]])</f>
        <v>1</v>
      </c>
      <c r="Y30" s="13" cm="1">
        <f t="array" ref="Y30">IF(Table8[[#This Row],[I_0]]&lt;Table24[Flitro de Ruido],1,Table8[[#This Row],[I_50]]/Table8[[#This Row],[I_0]])</f>
        <v>1</v>
      </c>
    </row>
    <row r="31" spans="1:25" x14ac:dyDescent="0.3">
      <c r="A31" s="13">
        <v>99.04</v>
      </c>
      <c r="B31" s="12">
        <v>0</v>
      </c>
      <c r="C31" s="11">
        <v>99.04</v>
      </c>
      <c r="D31" s="12">
        <v>0</v>
      </c>
      <c r="E31" s="11">
        <v>99.04</v>
      </c>
      <c r="F31" s="12">
        <v>0</v>
      </c>
      <c r="G31" s="11">
        <v>99.04</v>
      </c>
      <c r="H31" s="12">
        <v>0</v>
      </c>
      <c r="I31" s="11">
        <v>99.04</v>
      </c>
      <c r="J31" s="12">
        <v>0</v>
      </c>
      <c r="K31" s="11">
        <v>99.04</v>
      </c>
      <c r="L31" s="12">
        <v>0</v>
      </c>
      <c r="M31" s="11">
        <v>99.04</v>
      </c>
      <c r="N31" s="13">
        <v>0</v>
      </c>
      <c r="O31" s="11">
        <v>0</v>
      </c>
      <c r="P31" s="11">
        <v>0</v>
      </c>
      <c r="Q31" s="11">
        <v>0</v>
      </c>
      <c r="R31" s="11">
        <v>0</v>
      </c>
      <c r="S31" s="14">
        <v>0</v>
      </c>
      <c r="T31" s="11">
        <v>99.04</v>
      </c>
      <c r="U31" s="13" cm="1">
        <f t="array" ref="U31">IF(Table8[[#This Row],[I_0]]&lt;Table24[Flitro de Ruido],1,Table8[[#This Row],[I_10]]/Table8[[#This Row],[I_0]])</f>
        <v>1</v>
      </c>
      <c r="V31" s="13" cm="1">
        <f t="array" ref="V31">IF(Table8[[#This Row],[I_0]]&lt;Table24[Flitro de Ruido],1,Table8[[#This Row],[I_20]]/Table8[[#This Row],[I_0]])</f>
        <v>1</v>
      </c>
      <c r="W31" s="13" cm="1">
        <f t="array" ref="W31">IF(Table8[[#This Row],[I_0]]&lt;Table24[Flitro de Ruido],1,Table8[[#This Row],[I_30]]/Table8[[#This Row],[I_0]])</f>
        <v>1</v>
      </c>
      <c r="X31" s="13" cm="1">
        <f t="array" ref="X31">IF(Table8[[#This Row],[I_0]]&lt;Table24[Flitro de Ruido],1,Table8[[#This Row],[I_40]]/Table8[[#This Row],[I_0]])</f>
        <v>1</v>
      </c>
      <c r="Y31" s="13" cm="1">
        <f t="array" ref="Y31">IF(Table8[[#This Row],[I_0]]&lt;Table24[Flitro de Ruido],1,Table8[[#This Row],[I_50]]/Table8[[#This Row],[I_0]])</f>
        <v>1</v>
      </c>
    </row>
    <row r="32" spans="1:25" x14ac:dyDescent="0.3">
      <c r="A32" s="13">
        <v>100.03</v>
      </c>
      <c r="B32" s="12">
        <v>0</v>
      </c>
      <c r="C32" s="11">
        <v>100.03</v>
      </c>
      <c r="D32" s="12">
        <v>0</v>
      </c>
      <c r="E32" s="11">
        <v>100.03</v>
      </c>
      <c r="F32" s="12">
        <v>0</v>
      </c>
      <c r="G32" s="11">
        <v>100.03</v>
      </c>
      <c r="H32" s="12">
        <v>0</v>
      </c>
      <c r="I32" s="11">
        <v>100.03</v>
      </c>
      <c r="J32" s="12">
        <v>0</v>
      </c>
      <c r="K32" s="11">
        <v>100.03</v>
      </c>
      <c r="L32" s="12">
        <v>0</v>
      </c>
      <c r="M32" s="11">
        <v>100.03</v>
      </c>
      <c r="N32" s="13">
        <v>0</v>
      </c>
      <c r="O32" s="11">
        <v>0</v>
      </c>
      <c r="P32" s="11">
        <v>0</v>
      </c>
      <c r="Q32" s="11">
        <v>0</v>
      </c>
      <c r="R32" s="11">
        <v>0</v>
      </c>
      <c r="S32" s="14">
        <v>0</v>
      </c>
      <c r="T32" s="11">
        <v>100.03</v>
      </c>
      <c r="U32" s="13" cm="1">
        <f t="array" ref="U32">IF(Table8[[#This Row],[I_0]]&lt;Table24[Flitro de Ruido],1,Table8[[#This Row],[I_10]]/Table8[[#This Row],[I_0]])</f>
        <v>1</v>
      </c>
      <c r="V32" s="13" cm="1">
        <f t="array" ref="V32">IF(Table8[[#This Row],[I_0]]&lt;Table24[Flitro de Ruido],1,Table8[[#This Row],[I_20]]/Table8[[#This Row],[I_0]])</f>
        <v>1</v>
      </c>
      <c r="W32" s="13" cm="1">
        <f t="array" ref="W32">IF(Table8[[#This Row],[I_0]]&lt;Table24[Flitro de Ruido],1,Table8[[#This Row],[I_30]]/Table8[[#This Row],[I_0]])</f>
        <v>1</v>
      </c>
      <c r="X32" s="13" cm="1">
        <f t="array" ref="X32">IF(Table8[[#This Row],[I_0]]&lt;Table24[Flitro de Ruido],1,Table8[[#This Row],[I_40]]/Table8[[#This Row],[I_0]])</f>
        <v>1</v>
      </c>
      <c r="Y32" s="13" cm="1">
        <f t="array" ref="Y32">IF(Table8[[#This Row],[I_0]]&lt;Table24[Flitro de Ruido],1,Table8[[#This Row],[I_50]]/Table8[[#This Row],[I_0]])</f>
        <v>1</v>
      </c>
    </row>
    <row r="33" spans="1:25" x14ac:dyDescent="0.3">
      <c r="A33" s="13">
        <v>101.03</v>
      </c>
      <c r="B33" s="12">
        <v>0</v>
      </c>
      <c r="C33" s="11">
        <v>101.03</v>
      </c>
      <c r="D33" s="12">
        <v>0</v>
      </c>
      <c r="E33" s="11">
        <v>101.03</v>
      </c>
      <c r="F33" s="12">
        <v>0</v>
      </c>
      <c r="G33" s="11">
        <v>101.03</v>
      </c>
      <c r="H33" s="12">
        <v>0</v>
      </c>
      <c r="I33" s="11">
        <v>101.03</v>
      </c>
      <c r="J33" s="12">
        <v>0</v>
      </c>
      <c r="K33" s="11">
        <v>101.03</v>
      </c>
      <c r="L33" s="12">
        <v>0</v>
      </c>
      <c r="M33" s="11">
        <v>101.03</v>
      </c>
      <c r="N33" s="13">
        <v>0</v>
      </c>
      <c r="O33" s="11">
        <v>0</v>
      </c>
      <c r="P33" s="11">
        <v>0</v>
      </c>
      <c r="Q33" s="11">
        <v>0</v>
      </c>
      <c r="R33" s="11">
        <v>0</v>
      </c>
      <c r="S33" s="14">
        <v>0</v>
      </c>
      <c r="T33" s="11">
        <v>101.03</v>
      </c>
      <c r="U33" s="13" cm="1">
        <f t="array" ref="U33">IF(Table8[[#This Row],[I_0]]&lt;Table24[Flitro de Ruido],1,Table8[[#This Row],[I_10]]/Table8[[#This Row],[I_0]])</f>
        <v>1</v>
      </c>
      <c r="V33" s="13" cm="1">
        <f t="array" ref="V33">IF(Table8[[#This Row],[I_0]]&lt;Table24[Flitro de Ruido],1,Table8[[#This Row],[I_20]]/Table8[[#This Row],[I_0]])</f>
        <v>1</v>
      </c>
      <c r="W33" s="13" cm="1">
        <f t="array" ref="W33">IF(Table8[[#This Row],[I_0]]&lt;Table24[Flitro de Ruido],1,Table8[[#This Row],[I_30]]/Table8[[#This Row],[I_0]])</f>
        <v>1</v>
      </c>
      <c r="X33" s="13" cm="1">
        <f t="array" ref="X33">IF(Table8[[#This Row],[I_0]]&lt;Table24[Flitro de Ruido],1,Table8[[#This Row],[I_40]]/Table8[[#This Row],[I_0]])</f>
        <v>1</v>
      </c>
      <c r="Y33" s="13" cm="1">
        <f t="array" ref="Y33">IF(Table8[[#This Row],[I_0]]&lt;Table24[Flitro de Ruido],1,Table8[[#This Row],[I_50]]/Table8[[#This Row],[I_0]])</f>
        <v>1</v>
      </c>
    </row>
    <row r="34" spans="1:25" x14ac:dyDescent="0.3">
      <c r="A34" s="13">
        <v>102.02</v>
      </c>
      <c r="B34" s="12">
        <v>0</v>
      </c>
      <c r="C34" s="11">
        <v>102.02</v>
      </c>
      <c r="D34" s="12">
        <v>0</v>
      </c>
      <c r="E34" s="11">
        <v>102.02</v>
      </c>
      <c r="F34" s="12">
        <v>0</v>
      </c>
      <c r="G34" s="11">
        <v>102.02</v>
      </c>
      <c r="H34" s="12">
        <v>0</v>
      </c>
      <c r="I34" s="11">
        <v>102.02</v>
      </c>
      <c r="J34" s="12">
        <v>0</v>
      </c>
      <c r="K34" s="11">
        <v>102.02</v>
      </c>
      <c r="L34" s="12">
        <v>0</v>
      </c>
      <c r="M34" s="11">
        <v>102.02</v>
      </c>
      <c r="N34" s="13">
        <v>0</v>
      </c>
      <c r="O34" s="11">
        <v>0</v>
      </c>
      <c r="P34" s="11">
        <v>0</v>
      </c>
      <c r="Q34" s="11">
        <v>0</v>
      </c>
      <c r="R34" s="11">
        <v>0</v>
      </c>
      <c r="S34" s="14">
        <v>0</v>
      </c>
      <c r="T34" s="11">
        <v>102.02</v>
      </c>
      <c r="U34" s="13" cm="1">
        <f t="array" ref="U34">IF(Table8[[#This Row],[I_0]]&lt;Table24[Flitro de Ruido],1,Table8[[#This Row],[I_10]]/Table8[[#This Row],[I_0]])</f>
        <v>1</v>
      </c>
      <c r="V34" s="13" cm="1">
        <f t="array" ref="V34">IF(Table8[[#This Row],[I_0]]&lt;Table24[Flitro de Ruido],1,Table8[[#This Row],[I_20]]/Table8[[#This Row],[I_0]])</f>
        <v>1</v>
      </c>
      <c r="W34" s="13" cm="1">
        <f t="array" ref="W34">IF(Table8[[#This Row],[I_0]]&lt;Table24[Flitro de Ruido],1,Table8[[#This Row],[I_30]]/Table8[[#This Row],[I_0]])</f>
        <v>1</v>
      </c>
      <c r="X34" s="13" cm="1">
        <f t="array" ref="X34">IF(Table8[[#This Row],[I_0]]&lt;Table24[Flitro de Ruido],1,Table8[[#This Row],[I_40]]/Table8[[#This Row],[I_0]])</f>
        <v>1</v>
      </c>
      <c r="Y34" s="13" cm="1">
        <f t="array" ref="Y34">IF(Table8[[#This Row],[I_0]]&lt;Table24[Flitro de Ruido],1,Table8[[#This Row],[I_50]]/Table8[[#This Row],[I_0]])</f>
        <v>1</v>
      </c>
    </row>
    <row r="35" spans="1:25" x14ac:dyDescent="0.3">
      <c r="A35" s="13">
        <v>103.01</v>
      </c>
      <c r="B35" s="12">
        <v>0</v>
      </c>
      <c r="C35" s="11">
        <v>103.01</v>
      </c>
      <c r="D35" s="12">
        <v>0</v>
      </c>
      <c r="E35" s="11">
        <v>103.01</v>
      </c>
      <c r="F35" s="12">
        <v>0</v>
      </c>
      <c r="G35" s="11">
        <v>103.01</v>
      </c>
      <c r="H35" s="12">
        <v>0</v>
      </c>
      <c r="I35" s="11">
        <v>103.01</v>
      </c>
      <c r="J35" s="12">
        <v>0</v>
      </c>
      <c r="K35" s="11">
        <v>103.01</v>
      </c>
      <c r="L35" s="12">
        <v>0</v>
      </c>
      <c r="M35" s="11">
        <v>103.01</v>
      </c>
      <c r="N35" s="13">
        <v>0</v>
      </c>
      <c r="O35" s="11">
        <v>0</v>
      </c>
      <c r="P35" s="11">
        <v>0</v>
      </c>
      <c r="Q35" s="11">
        <v>0</v>
      </c>
      <c r="R35" s="11">
        <v>0</v>
      </c>
      <c r="S35" s="14">
        <v>0</v>
      </c>
      <c r="T35" s="11">
        <v>103.01</v>
      </c>
      <c r="U35" s="13" cm="1">
        <f t="array" ref="U35">IF(Table8[[#This Row],[I_0]]&lt;Table24[Flitro de Ruido],1,Table8[[#This Row],[I_10]]/Table8[[#This Row],[I_0]])</f>
        <v>1</v>
      </c>
      <c r="V35" s="13" cm="1">
        <f t="array" ref="V35">IF(Table8[[#This Row],[I_0]]&lt;Table24[Flitro de Ruido],1,Table8[[#This Row],[I_20]]/Table8[[#This Row],[I_0]])</f>
        <v>1</v>
      </c>
      <c r="W35" s="13" cm="1">
        <f t="array" ref="W35">IF(Table8[[#This Row],[I_0]]&lt;Table24[Flitro de Ruido],1,Table8[[#This Row],[I_30]]/Table8[[#This Row],[I_0]])</f>
        <v>1</v>
      </c>
      <c r="X35" s="13" cm="1">
        <f t="array" ref="X35">IF(Table8[[#This Row],[I_0]]&lt;Table24[Flitro de Ruido],1,Table8[[#This Row],[I_40]]/Table8[[#This Row],[I_0]])</f>
        <v>1</v>
      </c>
      <c r="Y35" s="13" cm="1">
        <f t="array" ref="Y35">IF(Table8[[#This Row],[I_0]]&lt;Table24[Flitro de Ruido],1,Table8[[#This Row],[I_50]]/Table8[[#This Row],[I_0]])</f>
        <v>1</v>
      </c>
    </row>
    <row r="36" spans="1:25" x14ac:dyDescent="0.3">
      <c r="A36" s="13">
        <v>104</v>
      </c>
      <c r="B36" s="12">
        <v>0</v>
      </c>
      <c r="C36" s="11">
        <v>104</v>
      </c>
      <c r="D36" s="12">
        <v>0</v>
      </c>
      <c r="E36" s="11">
        <v>104</v>
      </c>
      <c r="F36" s="12">
        <v>0</v>
      </c>
      <c r="G36" s="11">
        <v>104</v>
      </c>
      <c r="H36" s="12">
        <v>0</v>
      </c>
      <c r="I36" s="11">
        <v>104</v>
      </c>
      <c r="J36" s="12">
        <v>0</v>
      </c>
      <c r="K36" s="11">
        <v>104</v>
      </c>
      <c r="L36" s="12">
        <v>0</v>
      </c>
      <c r="M36" s="11">
        <v>104</v>
      </c>
      <c r="N36" s="13">
        <v>0</v>
      </c>
      <c r="O36" s="11">
        <v>0</v>
      </c>
      <c r="P36" s="11">
        <v>0</v>
      </c>
      <c r="Q36" s="11">
        <v>0</v>
      </c>
      <c r="R36" s="11">
        <v>0</v>
      </c>
      <c r="S36" s="14">
        <v>0</v>
      </c>
      <c r="T36" s="11">
        <v>104</v>
      </c>
      <c r="U36" s="13" cm="1">
        <f t="array" ref="U36">IF(Table8[[#This Row],[I_0]]&lt;Table24[Flitro de Ruido],1,Table8[[#This Row],[I_10]]/Table8[[#This Row],[I_0]])</f>
        <v>1</v>
      </c>
      <c r="V36" s="13" cm="1">
        <f t="array" ref="V36">IF(Table8[[#This Row],[I_0]]&lt;Table24[Flitro de Ruido],1,Table8[[#This Row],[I_20]]/Table8[[#This Row],[I_0]])</f>
        <v>1</v>
      </c>
      <c r="W36" s="13" cm="1">
        <f t="array" ref="W36">IF(Table8[[#This Row],[I_0]]&lt;Table24[Flitro de Ruido],1,Table8[[#This Row],[I_30]]/Table8[[#This Row],[I_0]])</f>
        <v>1</v>
      </c>
      <c r="X36" s="13" cm="1">
        <f t="array" ref="X36">IF(Table8[[#This Row],[I_0]]&lt;Table24[Flitro de Ruido],1,Table8[[#This Row],[I_40]]/Table8[[#This Row],[I_0]])</f>
        <v>1</v>
      </c>
      <c r="Y36" s="13" cm="1">
        <f t="array" ref="Y36">IF(Table8[[#This Row],[I_0]]&lt;Table24[Flitro de Ruido],1,Table8[[#This Row],[I_50]]/Table8[[#This Row],[I_0]])</f>
        <v>1</v>
      </c>
    </row>
    <row r="37" spans="1:25" x14ac:dyDescent="0.3">
      <c r="A37" s="13">
        <v>104.99</v>
      </c>
      <c r="B37" s="12">
        <v>0</v>
      </c>
      <c r="C37" s="11">
        <v>104.99</v>
      </c>
      <c r="D37" s="12">
        <v>0</v>
      </c>
      <c r="E37" s="11">
        <v>104.99</v>
      </c>
      <c r="F37" s="12">
        <v>0</v>
      </c>
      <c r="G37" s="11">
        <v>104.99</v>
      </c>
      <c r="H37" s="12">
        <v>0</v>
      </c>
      <c r="I37" s="11">
        <v>104.99</v>
      </c>
      <c r="J37" s="12">
        <v>0</v>
      </c>
      <c r="K37" s="11">
        <v>104.99</v>
      </c>
      <c r="L37" s="12">
        <v>0</v>
      </c>
      <c r="M37" s="11">
        <v>104.99</v>
      </c>
      <c r="N37" s="13">
        <v>0</v>
      </c>
      <c r="O37" s="11">
        <v>0</v>
      </c>
      <c r="P37" s="11">
        <v>0</v>
      </c>
      <c r="Q37" s="11">
        <v>0</v>
      </c>
      <c r="R37" s="11">
        <v>0</v>
      </c>
      <c r="S37" s="14">
        <v>0</v>
      </c>
      <c r="T37" s="11">
        <v>104.99</v>
      </c>
      <c r="U37" s="13" cm="1">
        <f t="array" ref="U37">IF(Table8[[#This Row],[I_0]]&lt;Table24[Flitro de Ruido],1,Table8[[#This Row],[I_10]]/Table8[[#This Row],[I_0]])</f>
        <v>1</v>
      </c>
      <c r="V37" s="13" cm="1">
        <f t="array" ref="V37">IF(Table8[[#This Row],[I_0]]&lt;Table24[Flitro de Ruido],1,Table8[[#This Row],[I_20]]/Table8[[#This Row],[I_0]])</f>
        <v>1</v>
      </c>
      <c r="W37" s="13" cm="1">
        <f t="array" ref="W37">IF(Table8[[#This Row],[I_0]]&lt;Table24[Flitro de Ruido],1,Table8[[#This Row],[I_30]]/Table8[[#This Row],[I_0]])</f>
        <v>1</v>
      </c>
      <c r="X37" s="13" cm="1">
        <f t="array" ref="X37">IF(Table8[[#This Row],[I_0]]&lt;Table24[Flitro de Ruido],1,Table8[[#This Row],[I_40]]/Table8[[#This Row],[I_0]])</f>
        <v>1</v>
      </c>
      <c r="Y37" s="13" cm="1">
        <f t="array" ref="Y37">IF(Table8[[#This Row],[I_0]]&lt;Table24[Flitro de Ruido],1,Table8[[#This Row],[I_50]]/Table8[[#This Row],[I_0]])</f>
        <v>1</v>
      </c>
    </row>
    <row r="38" spans="1:25" x14ac:dyDescent="0.3">
      <c r="A38" s="13">
        <v>105.98</v>
      </c>
      <c r="B38" s="12">
        <v>0</v>
      </c>
      <c r="C38" s="11">
        <v>105.98</v>
      </c>
      <c r="D38" s="12">
        <v>0</v>
      </c>
      <c r="E38" s="11">
        <v>105.98</v>
      </c>
      <c r="F38" s="12">
        <v>0</v>
      </c>
      <c r="G38" s="11">
        <v>105.98</v>
      </c>
      <c r="H38" s="12">
        <v>0</v>
      </c>
      <c r="I38" s="11">
        <v>105.98</v>
      </c>
      <c r="J38" s="12">
        <v>0</v>
      </c>
      <c r="K38" s="11">
        <v>105.98</v>
      </c>
      <c r="L38" s="12">
        <v>0</v>
      </c>
      <c r="M38" s="11">
        <v>105.98</v>
      </c>
      <c r="N38" s="13">
        <v>0</v>
      </c>
      <c r="O38" s="11">
        <v>0</v>
      </c>
      <c r="P38" s="11">
        <v>0</v>
      </c>
      <c r="Q38" s="11">
        <v>0</v>
      </c>
      <c r="R38" s="11">
        <v>0</v>
      </c>
      <c r="S38" s="14">
        <v>0</v>
      </c>
      <c r="T38" s="11">
        <v>105.98</v>
      </c>
      <c r="U38" s="13" cm="1">
        <f t="array" ref="U38">IF(Table8[[#This Row],[I_0]]&lt;Table24[Flitro de Ruido],1,Table8[[#This Row],[I_10]]/Table8[[#This Row],[I_0]])</f>
        <v>1</v>
      </c>
      <c r="V38" s="13" cm="1">
        <f t="array" ref="V38">IF(Table8[[#This Row],[I_0]]&lt;Table24[Flitro de Ruido],1,Table8[[#This Row],[I_20]]/Table8[[#This Row],[I_0]])</f>
        <v>1</v>
      </c>
      <c r="W38" s="13" cm="1">
        <f t="array" ref="W38">IF(Table8[[#This Row],[I_0]]&lt;Table24[Flitro de Ruido],1,Table8[[#This Row],[I_30]]/Table8[[#This Row],[I_0]])</f>
        <v>1</v>
      </c>
      <c r="X38" s="13" cm="1">
        <f t="array" ref="X38">IF(Table8[[#This Row],[I_0]]&lt;Table24[Flitro de Ruido],1,Table8[[#This Row],[I_40]]/Table8[[#This Row],[I_0]])</f>
        <v>1</v>
      </c>
      <c r="Y38" s="13" cm="1">
        <f t="array" ref="Y38">IF(Table8[[#This Row],[I_0]]&lt;Table24[Flitro de Ruido],1,Table8[[#This Row],[I_50]]/Table8[[#This Row],[I_0]])</f>
        <v>1</v>
      </c>
    </row>
    <row r="39" spans="1:25" x14ac:dyDescent="0.3">
      <c r="A39" s="13">
        <v>106.98</v>
      </c>
      <c r="B39" s="12">
        <v>0</v>
      </c>
      <c r="C39" s="11">
        <v>106.98</v>
      </c>
      <c r="D39" s="12">
        <v>0</v>
      </c>
      <c r="E39" s="11">
        <v>106.98</v>
      </c>
      <c r="F39" s="12">
        <v>0</v>
      </c>
      <c r="G39" s="11">
        <v>106.98</v>
      </c>
      <c r="H39" s="12">
        <v>0</v>
      </c>
      <c r="I39" s="11">
        <v>106.98</v>
      </c>
      <c r="J39" s="12">
        <v>0</v>
      </c>
      <c r="K39" s="11">
        <v>106.98</v>
      </c>
      <c r="L39" s="12">
        <v>0</v>
      </c>
      <c r="M39" s="11">
        <v>106.98</v>
      </c>
      <c r="N39" s="13">
        <v>0</v>
      </c>
      <c r="O39" s="11">
        <v>0</v>
      </c>
      <c r="P39" s="11">
        <v>0</v>
      </c>
      <c r="Q39" s="11">
        <v>0</v>
      </c>
      <c r="R39" s="11">
        <v>0</v>
      </c>
      <c r="S39" s="14">
        <v>0</v>
      </c>
      <c r="T39" s="11">
        <v>106.98</v>
      </c>
      <c r="U39" s="13" cm="1">
        <f t="array" ref="U39">IF(Table8[[#This Row],[I_0]]&lt;Table24[Flitro de Ruido],1,Table8[[#This Row],[I_10]]/Table8[[#This Row],[I_0]])</f>
        <v>1</v>
      </c>
      <c r="V39" s="13" cm="1">
        <f t="array" ref="V39">IF(Table8[[#This Row],[I_0]]&lt;Table24[Flitro de Ruido],1,Table8[[#This Row],[I_20]]/Table8[[#This Row],[I_0]])</f>
        <v>1</v>
      </c>
      <c r="W39" s="13" cm="1">
        <f t="array" ref="W39">IF(Table8[[#This Row],[I_0]]&lt;Table24[Flitro de Ruido],1,Table8[[#This Row],[I_30]]/Table8[[#This Row],[I_0]])</f>
        <v>1</v>
      </c>
      <c r="X39" s="13" cm="1">
        <f t="array" ref="X39">IF(Table8[[#This Row],[I_0]]&lt;Table24[Flitro de Ruido],1,Table8[[#This Row],[I_40]]/Table8[[#This Row],[I_0]])</f>
        <v>1</v>
      </c>
      <c r="Y39" s="13" cm="1">
        <f t="array" ref="Y39">IF(Table8[[#This Row],[I_0]]&lt;Table24[Flitro de Ruido],1,Table8[[#This Row],[I_50]]/Table8[[#This Row],[I_0]])</f>
        <v>1</v>
      </c>
    </row>
    <row r="40" spans="1:25" x14ac:dyDescent="0.3">
      <c r="A40" s="13">
        <v>107.97</v>
      </c>
      <c r="B40" s="12">
        <v>0</v>
      </c>
      <c r="C40" s="11">
        <v>107.97</v>
      </c>
      <c r="D40" s="12">
        <v>0</v>
      </c>
      <c r="E40" s="11">
        <v>107.97</v>
      </c>
      <c r="F40" s="12">
        <v>0</v>
      </c>
      <c r="G40" s="11">
        <v>107.97</v>
      </c>
      <c r="H40" s="12">
        <v>0</v>
      </c>
      <c r="I40" s="11">
        <v>107.97</v>
      </c>
      <c r="J40" s="12">
        <v>0</v>
      </c>
      <c r="K40" s="11">
        <v>107.97</v>
      </c>
      <c r="L40" s="12">
        <v>0</v>
      </c>
      <c r="M40" s="11">
        <v>107.97</v>
      </c>
      <c r="N40" s="13">
        <v>0</v>
      </c>
      <c r="O40" s="11">
        <v>0</v>
      </c>
      <c r="P40" s="11">
        <v>0</v>
      </c>
      <c r="Q40" s="11">
        <v>0</v>
      </c>
      <c r="R40" s="11">
        <v>0</v>
      </c>
      <c r="S40" s="14">
        <v>0</v>
      </c>
      <c r="T40" s="11">
        <v>107.97</v>
      </c>
      <c r="U40" s="13" cm="1">
        <f t="array" ref="U40">IF(Table8[[#This Row],[I_0]]&lt;Table24[Flitro de Ruido],1,Table8[[#This Row],[I_10]]/Table8[[#This Row],[I_0]])</f>
        <v>1</v>
      </c>
      <c r="V40" s="13" cm="1">
        <f t="array" ref="V40">IF(Table8[[#This Row],[I_0]]&lt;Table24[Flitro de Ruido],1,Table8[[#This Row],[I_20]]/Table8[[#This Row],[I_0]])</f>
        <v>1</v>
      </c>
      <c r="W40" s="13" cm="1">
        <f t="array" ref="W40">IF(Table8[[#This Row],[I_0]]&lt;Table24[Flitro de Ruido],1,Table8[[#This Row],[I_30]]/Table8[[#This Row],[I_0]])</f>
        <v>1</v>
      </c>
      <c r="X40" s="13" cm="1">
        <f t="array" ref="X40">IF(Table8[[#This Row],[I_0]]&lt;Table24[Flitro de Ruido],1,Table8[[#This Row],[I_40]]/Table8[[#This Row],[I_0]])</f>
        <v>1</v>
      </c>
      <c r="Y40" s="13" cm="1">
        <f t="array" ref="Y40">IF(Table8[[#This Row],[I_0]]&lt;Table24[Flitro de Ruido],1,Table8[[#This Row],[I_50]]/Table8[[#This Row],[I_0]])</f>
        <v>1</v>
      </c>
    </row>
    <row r="41" spans="1:25" x14ac:dyDescent="0.3">
      <c r="A41" s="13">
        <v>108.96</v>
      </c>
      <c r="B41" s="12">
        <v>0</v>
      </c>
      <c r="C41" s="11">
        <v>108.96</v>
      </c>
      <c r="D41" s="12">
        <v>0</v>
      </c>
      <c r="E41" s="11">
        <v>108.96</v>
      </c>
      <c r="F41" s="12">
        <v>0</v>
      </c>
      <c r="G41" s="11">
        <v>108.96</v>
      </c>
      <c r="H41" s="12">
        <v>0</v>
      </c>
      <c r="I41" s="11">
        <v>108.96</v>
      </c>
      <c r="J41" s="12">
        <v>0</v>
      </c>
      <c r="K41" s="11">
        <v>108.96</v>
      </c>
      <c r="L41" s="12">
        <v>0</v>
      </c>
      <c r="M41" s="11">
        <v>108.96</v>
      </c>
      <c r="N41" s="13">
        <v>0</v>
      </c>
      <c r="O41" s="11">
        <v>0</v>
      </c>
      <c r="P41" s="11">
        <v>0</v>
      </c>
      <c r="Q41" s="11">
        <v>0</v>
      </c>
      <c r="R41" s="11">
        <v>0</v>
      </c>
      <c r="S41" s="14">
        <v>0</v>
      </c>
      <c r="T41" s="11">
        <v>108.96</v>
      </c>
      <c r="U41" s="13" cm="1">
        <f t="array" ref="U41">IF(Table8[[#This Row],[I_0]]&lt;Table24[Flitro de Ruido],1,Table8[[#This Row],[I_10]]/Table8[[#This Row],[I_0]])</f>
        <v>1</v>
      </c>
      <c r="V41" s="13" cm="1">
        <f t="array" ref="V41">IF(Table8[[#This Row],[I_0]]&lt;Table24[Flitro de Ruido],1,Table8[[#This Row],[I_20]]/Table8[[#This Row],[I_0]])</f>
        <v>1</v>
      </c>
      <c r="W41" s="13" cm="1">
        <f t="array" ref="W41">IF(Table8[[#This Row],[I_0]]&lt;Table24[Flitro de Ruido],1,Table8[[#This Row],[I_30]]/Table8[[#This Row],[I_0]])</f>
        <v>1</v>
      </c>
      <c r="X41" s="13" cm="1">
        <f t="array" ref="X41">IF(Table8[[#This Row],[I_0]]&lt;Table24[Flitro de Ruido],1,Table8[[#This Row],[I_40]]/Table8[[#This Row],[I_0]])</f>
        <v>1</v>
      </c>
      <c r="Y41" s="13" cm="1">
        <f t="array" ref="Y41">IF(Table8[[#This Row],[I_0]]&lt;Table24[Flitro de Ruido],1,Table8[[#This Row],[I_50]]/Table8[[#This Row],[I_0]])</f>
        <v>1</v>
      </c>
    </row>
    <row r="42" spans="1:25" x14ac:dyDescent="0.3">
      <c r="A42" s="13">
        <v>109.95</v>
      </c>
      <c r="B42" s="12">
        <v>0</v>
      </c>
      <c r="C42" s="11">
        <v>109.95</v>
      </c>
      <c r="D42" s="12">
        <v>0</v>
      </c>
      <c r="E42" s="11">
        <v>109.95</v>
      </c>
      <c r="F42" s="12">
        <v>0</v>
      </c>
      <c r="G42" s="11">
        <v>109.95</v>
      </c>
      <c r="H42" s="12">
        <v>0</v>
      </c>
      <c r="I42" s="11">
        <v>109.95</v>
      </c>
      <c r="J42" s="12">
        <v>0</v>
      </c>
      <c r="K42" s="11">
        <v>109.95</v>
      </c>
      <c r="L42" s="12">
        <v>0</v>
      </c>
      <c r="M42" s="11">
        <v>109.95</v>
      </c>
      <c r="N42" s="13">
        <v>0</v>
      </c>
      <c r="O42" s="11">
        <v>0</v>
      </c>
      <c r="P42" s="11">
        <v>0</v>
      </c>
      <c r="Q42" s="11">
        <v>0</v>
      </c>
      <c r="R42" s="11">
        <v>0</v>
      </c>
      <c r="S42" s="14">
        <v>0</v>
      </c>
      <c r="T42" s="11">
        <v>109.95</v>
      </c>
      <c r="U42" s="13" cm="1">
        <f t="array" ref="U42">IF(Table8[[#This Row],[I_0]]&lt;Table24[Flitro de Ruido],1,Table8[[#This Row],[I_10]]/Table8[[#This Row],[I_0]])</f>
        <v>1</v>
      </c>
      <c r="V42" s="13" cm="1">
        <f t="array" ref="V42">IF(Table8[[#This Row],[I_0]]&lt;Table24[Flitro de Ruido],1,Table8[[#This Row],[I_20]]/Table8[[#This Row],[I_0]])</f>
        <v>1</v>
      </c>
      <c r="W42" s="13" cm="1">
        <f t="array" ref="W42">IF(Table8[[#This Row],[I_0]]&lt;Table24[Flitro de Ruido],1,Table8[[#This Row],[I_30]]/Table8[[#This Row],[I_0]])</f>
        <v>1</v>
      </c>
      <c r="X42" s="13" cm="1">
        <f t="array" ref="X42">IF(Table8[[#This Row],[I_0]]&lt;Table24[Flitro de Ruido],1,Table8[[#This Row],[I_40]]/Table8[[#This Row],[I_0]])</f>
        <v>1</v>
      </c>
      <c r="Y42" s="13" cm="1">
        <f t="array" ref="Y42">IF(Table8[[#This Row],[I_0]]&lt;Table24[Flitro de Ruido],1,Table8[[#This Row],[I_50]]/Table8[[#This Row],[I_0]])</f>
        <v>1</v>
      </c>
    </row>
    <row r="43" spans="1:25" x14ac:dyDescent="0.3">
      <c r="A43" s="13">
        <v>110.94</v>
      </c>
      <c r="B43" s="12">
        <v>0</v>
      </c>
      <c r="C43" s="11">
        <v>110.94</v>
      </c>
      <c r="D43" s="12">
        <v>0</v>
      </c>
      <c r="E43" s="11">
        <v>110.94</v>
      </c>
      <c r="F43" s="12">
        <v>0</v>
      </c>
      <c r="G43" s="11">
        <v>110.94</v>
      </c>
      <c r="H43" s="12">
        <v>0</v>
      </c>
      <c r="I43" s="11">
        <v>110.94</v>
      </c>
      <c r="J43" s="12">
        <v>0</v>
      </c>
      <c r="K43" s="11">
        <v>110.94</v>
      </c>
      <c r="L43" s="12">
        <v>0</v>
      </c>
      <c r="M43" s="11">
        <v>110.94</v>
      </c>
      <c r="N43" s="13">
        <v>0</v>
      </c>
      <c r="O43" s="11">
        <v>0</v>
      </c>
      <c r="P43" s="11">
        <v>0</v>
      </c>
      <c r="Q43" s="11">
        <v>0</v>
      </c>
      <c r="R43" s="11">
        <v>0</v>
      </c>
      <c r="S43" s="14">
        <v>0</v>
      </c>
      <c r="T43" s="11">
        <v>110.94</v>
      </c>
      <c r="U43" s="13" cm="1">
        <f t="array" ref="U43">IF(Table8[[#This Row],[I_0]]&lt;Table24[Flitro de Ruido],1,Table8[[#This Row],[I_10]]/Table8[[#This Row],[I_0]])</f>
        <v>1</v>
      </c>
      <c r="V43" s="13" cm="1">
        <f t="array" ref="V43">IF(Table8[[#This Row],[I_0]]&lt;Table24[Flitro de Ruido],1,Table8[[#This Row],[I_20]]/Table8[[#This Row],[I_0]])</f>
        <v>1</v>
      </c>
      <c r="W43" s="13" cm="1">
        <f t="array" ref="W43">IF(Table8[[#This Row],[I_0]]&lt;Table24[Flitro de Ruido],1,Table8[[#This Row],[I_30]]/Table8[[#This Row],[I_0]])</f>
        <v>1</v>
      </c>
      <c r="X43" s="13" cm="1">
        <f t="array" ref="X43">IF(Table8[[#This Row],[I_0]]&lt;Table24[Flitro de Ruido],1,Table8[[#This Row],[I_40]]/Table8[[#This Row],[I_0]])</f>
        <v>1</v>
      </c>
      <c r="Y43" s="13" cm="1">
        <f t="array" ref="Y43">IF(Table8[[#This Row],[I_0]]&lt;Table24[Flitro de Ruido],1,Table8[[#This Row],[I_50]]/Table8[[#This Row],[I_0]])</f>
        <v>1</v>
      </c>
    </row>
    <row r="44" spans="1:25" x14ac:dyDescent="0.3">
      <c r="A44" s="13">
        <v>111.94</v>
      </c>
      <c r="B44" s="12">
        <v>0</v>
      </c>
      <c r="C44" s="11">
        <v>111.94</v>
      </c>
      <c r="D44" s="12">
        <v>0</v>
      </c>
      <c r="E44" s="11">
        <v>111.94</v>
      </c>
      <c r="F44" s="12">
        <v>0</v>
      </c>
      <c r="G44" s="11">
        <v>111.94</v>
      </c>
      <c r="H44" s="12">
        <v>0</v>
      </c>
      <c r="I44" s="11">
        <v>111.94</v>
      </c>
      <c r="J44" s="12">
        <v>0</v>
      </c>
      <c r="K44" s="11">
        <v>111.94</v>
      </c>
      <c r="L44" s="12">
        <v>0</v>
      </c>
      <c r="M44" s="11">
        <v>111.94</v>
      </c>
      <c r="N44" s="13">
        <v>0</v>
      </c>
      <c r="O44" s="11">
        <v>0</v>
      </c>
      <c r="P44" s="11">
        <v>0</v>
      </c>
      <c r="Q44" s="11">
        <v>0</v>
      </c>
      <c r="R44" s="11">
        <v>0</v>
      </c>
      <c r="S44" s="14">
        <v>0</v>
      </c>
      <c r="T44" s="11">
        <v>111.94</v>
      </c>
      <c r="U44" s="13" cm="1">
        <f t="array" ref="U44">IF(Table8[[#This Row],[I_0]]&lt;Table24[Flitro de Ruido],1,Table8[[#This Row],[I_10]]/Table8[[#This Row],[I_0]])</f>
        <v>1</v>
      </c>
      <c r="V44" s="13" cm="1">
        <f t="array" ref="V44">IF(Table8[[#This Row],[I_0]]&lt;Table24[Flitro de Ruido],1,Table8[[#This Row],[I_20]]/Table8[[#This Row],[I_0]])</f>
        <v>1</v>
      </c>
      <c r="W44" s="13" cm="1">
        <f t="array" ref="W44">IF(Table8[[#This Row],[I_0]]&lt;Table24[Flitro de Ruido],1,Table8[[#This Row],[I_30]]/Table8[[#This Row],[I_0]])</f>
        <v>1</v>
      </c>
      <c r="X44" s="13" cm="1">
        <f t="array" ref="X44">IF(Table8[[#This Row],[I_0]]&lt;Table24[Flitro de Ruido],1,Table8[[#This Row],[I_40]]/Table8[[#This Row],[I_0]])</f>
        <v>1</v>
      </c>
      <c r="Y44" s="13" cm="1">
        <f t="array" ref="Y44">IF(Table8[[#This Row],[I_0]]&lt;Table24[Flitro de Ruido],1,Table8[[#This Row],[I_50]]/Table8[[#This Row],[I_0]])</f>
        <v>1</v>
      </c>
    </row>
    <row r="45" spans="1:25" x14ac:dyDescent="0.3">
      <c r="A45" s="13">
        <v>112.93</v>
      </c>
      <c r="B45" s="12">
        <v>0</v>
      </c>
      <c r="C45" s="11">
        <v>112.93</v>
      </c>
      <c r="D45" s="12">
        <v>0</v>
      </c>
      <c r="E45" s="11">
        <v>112.93</v>
      </c>
      <c r="F45" s="12">
        <v>0</v>
      </c>
      <c r="G45" s="11">
        <v>112.93</v>
      </c>
      <c r="H45" s="12">
        <v>0</v>
      </c>
      <c r="I45" s="11">
        <v>112.93</v>
      </c>
      <c r="J45" s="12">
        <v>0</v>
      </c>
      <c r="K45" s="11">
        <v>112.93</v>
      </c>
      <c r="L45" s="12">
        <v>0</v>
      </c>
      <c r="M45" s="11">
        <v>112.93</v>
      </c>
      <c r="N45" s="13">
        <v>0</v>
      </c>
      <c r="O45" s="11">
        <v>0</v>
      </c>
      <c r="P45" s="11">
        <v>0</v>
      </c>
      <c r="Q45" s="11">
        <v>0</v>
      </c>
      <c r="R45" s="11">
        <v>0</v>
      </c>
      <c r="S45" s="14">
        <v>0</v>
      </c>
      <c r="T45" s="11">
        <v>112.93</v>
      </c>
      <c r="U45" s="13" cm="1">
        <f t="array" ref="U45">IF(Table8[[#This Row],[I_0]]&lt;Table24[Flitro de Ruido],1,Table8[[#This Row],[I_10]]/Table8[[#This Row],[I_0]])</f>
        <v>1</v>
      </c>
      <c r="V45" s="13" cm="1">
        <f t="array" ref="V45">IF(Table8[[#This Row],[I_0]]&lt;Table24[Flitro de Ruido],1,Table8[[#This Row],[I_20]]/Table8[[#This Row],[I_0]])</f>
        <v>1</v>
      </c>
      <c r="W45" s="13" cm="1">
        <f t="array" ref="W45">IF(Table8[[#This Row],[I_0]]&lt;Table24[Flitro de Ruido],1,Table8[[#This Row],[I_30]]/Table8[[#This Row],[I_0]])</f>
        <v>1</v>
      </c>
      <c r="X45" s="13" cm="1">
        <f t="array" ref="X45">IF(Table8[[#This Row],[I_0]]&lt;Table24[Flitro de Ruido],1,Table8[[#This Row],[I_40]]/Table8[[#This Row],[I_0]])</f>
        <v>1</v>
      </c>
      <c r="Y45" s="13" cm="1">
        <f t="array" ref="Y45">IF(Table8[[#This Row],[I_0]]&lt;Table24[Flitro de Ruido],1,Table8[[#This Row],[I_50]]/Table8[[#This Row],[I_0]])</f>
        <v>1</v>
      </c>
    </row>
    <row r="46" spans="1:25" x14ac:dyDescent="0.3">
      <c r="A46" s="13">
        <v>113.92</v>
      </c>
      <c r="B46" s="12">
        <v>0</v>
      </c>
      <c r="C46" s="11">
        <v>113.92</v>
      </c>
      <c r="D46" s="12">
        <v>0</v>
      </c>
      <c r="E46" s="11">
        <v>113.92</v>
      </c>
      <c r="F46" s="12">
        <v>0</v>
      </c>
      <c r="G46" s="11">
        <v>113.92</v>
      </c>
      <c r="H46" s="12">
        <v>0</v>
      </c>
      <c r="I46" s="11">
        <v>113.92</v>
      </c>
      <c r="J46" s="12">
        <v>0</v>
      </c>
      <c r="K46" s="11">
        <v>113.92</v>
      </c>
      <c r="L46" s="12">
        <v>0</v>
      </c>
      <c r="M46" s="11">
        <v>113.92</v>
      </c>
      <c r="N46" s="13">
        <v>0</v>
      </c>
      <c r="O46" s="11">
        <v>0</v>
      </c>
      <c r="P46" s="11">
        <v>0</v>
      </c>
      <c r="Q46" s="11">
        <v>0</v>
      </c>
      <c r="R46" s="11">
        <v>0</v>
      </c>
      <c r="S46" s="14">
        <v>0</v>
      </c>
      <c r="T46" s="11">
        <v>113.92</v>
      </c>
      <c r="U46" s="13" cm="1">
        <f t="array" ref="U46">IF(Table8[[#This Row],[I_0]]&lt;Table24[Flitro de Ruido],1,Table8[[#This Row],[I_10]]/Table8[[#This Row],[I_0]])</f>
        <v>1</v>
      </c>
      <c r="V46" s="13" cm="1">
        <f t="array" ref="V46">IF(Table8[[#This Row],[I_0]]&lt;Table24[Flitro de Ruido],1,Table8[[#This Row],[I_20]]/Table8[[#This Row],[I_0]])</f>
        <v>1</v>
      </c>
      <c r="W46" s="13" cm="1">
        <f t="array" ref="W46">IF(Table8[[#This Row],[I_0]]&lt;Table24[Flitro de Ruido],1,Table8[[#This Row],[I_30]]/Table8[[#This Row],[I_0]])</f>
        <v>1</v>
      </c>
      <c r="X46" s="13" cm="1">
        <f t="array" ref="X46">IF(Table8[[#This Row],[I_0]]&lt;Table24[Flitro de Ruido],1,Table8[[#This Row],[I_40]]/Table8[[#This Row],[I_0]])</f>
        <v>1</v>
      </c>
      <c r="Y46" s="13" cm="1">
        <f t="array" ref="Y46">IF(Table8[[#This Row],[I_0]]&lt;Table24[Flitro de Ruido],1,Table8[[#This Row],[I_50]]/Table8[[#This Row],[I_0]])</f>
        <v>1</v>
      </c>
    </row>
    <row r="47" spans="1:25" x14ac:dyDescent="0.3">
      <c r="A47" s="13">
        <v>114.91</v>
      </c>
      <c r="B47" s="12">
        <v>0</v>
      </c>
      <c r="C47" s="11">
        <v>114.91</v>
      </c>
      <c r="D47" s="12">
        <v>0</v>
      </c>
      <c r="E47" s="11">
        <v>114.91</v>
      </c>
      <c r="F47" s="12">
        <v>0</v>
      </c>
      <c r="G47" s="11">
        <v>114.91</v>
      </c>
      <c r="H47" s="12">
        <v>0</v>
      </c>
      <c r="I47" s="11">
        <v>114.91</v>
      </c>
      <c r="J47" s="12">
        <v>0</v>
      </c>
      <c r="K47" s="11">
        <v>114.91</v>
      </c>
      <c r="L47" s="12">
        <v>0</v>
      </c>
      <c r="M47" s="11">
        <v>114.91</v>
      </c>
      <c r="N47" s="13">
        <v>0</v>
      </c>
      <c r="O47" s="11">
        <v>0</v>
      </c>
      <c r="P47" s="11">
        <v>0</v>
      </c>
      <c r="Q47" s="11">
        <v>0</v>
      </c>
      <c r="R47" s="11">
        <v>0</v>
      </c>
      <c r="S47" s="14">
        <v>0</v>
      </c>
      <c r="T47" s="11">
        <v>114.91</v>
      </c>
      <c r="U47" s="13" cm="1">
        <f t="array" ref="U47">IF(Table8[[#This Row],[I_0]]&lt;Table24[Flitro de Ruido],1,Table8[[#This Row],[I_10]]/Table8[[#This Row],[I_0]])</f>
        <v>1</v>
      </c>
      <c r="V47" s="13" cm="1">
        <f t="array" ref="V47">IF(Table8[[#This Row],[I_0]]&lt;Table24[Flitro de Ruido],1,Table8[[#This Row],[I_20]]/Table8[[#This Row],[I_0]])</f>
        <v>1</v>
      </c>
      <c r="W47" s="13" cm="1">
        <f t="array" ref="W47">IF(Table8[[#This Row],[I_0]]&lt;Table24[Flitro de Ruido],1,Table8[[#This Row],[I_30]]/Table8[[#This Row],[I_0]])</f>
        <v>1</v>
      </c>
      <c r="X47" s="13" cm="1">
        <f t="array" ref="X47">IF(Table8[[#This Row],[I_0]]&lt;Table24[Flitro de Ruido],1,Table8[[#This Row],[I_40]]/Table8[[#This Row],[I_0]])</f>
        <v>1</v>
      </c>
      <c r="Y47" s="13" cm="1">
        <f t="array" ref="Y47">IF(Table8[[#This Row],[I_0]]&lt;Table24[Flitro de Ruido],1,Table8[[#This Row],[I_50]]/Table8[[#This Row],[I_0]])</f>
        <v>1</v>
      </c>
    </row>
    <row r="48" spans="1:25" x14ac:dyDescent="0.3">
      <c r="A48" s="13">
        <v>115.9</v>
      </c>
      <c r="B48" s="12">
        <v>0</v>
      </c>
      <c r="C48" s="11">
        <v>115.9</v>
      </c>
      <c r="D48" s="12">
        <v>0</v>
      </c>
      <c r="E48" s="11">
        <v>115.9</v>
      </c>
      <c r="F48" s="12">
        <v>0</v>
      </c>
      <c r="G48" s="11">
        <v>115.9</v>
      </c>
      <c r="H48" s="12">
        <v>0</v>
      </c>
      <c r="I48" s="11">
        <v>115.9</v>
      </c>
      <c r="J48" s="12">
        <v>0</v>
      </c>
      <c r="K48" s="11">
        <v>115.9</v>
      </c>
      <c r="L48" s="12">
        <v>0</v>
      </c>
      <c r="M48" s="11">
        <v>115.9</v>
      </c>
      <c r="N48" s="13">
        <v>0</v>
      </c>
      <c r="O48" s="11">
        <v>0</v>
      </c>
      <c r="P48" s="11">
        <v>0</v>
      </c>
      <c r="Q48" s="11">
        <v>0</v>
      </c>
      <c r="R48" s="11">
        <v>0</v>
      </c>
      <c r="S48" s="14">
        <v>0</v>
      </c>
      <c r="T48" s="11">
        <v>115.9</v>
      </c>
      <c r="U48" s="13" cm="1">
        <f t="array" ref="U48">IF(Table8[[#This Row],[I_0]]&lt;Table24[Flitro de Ruido],1,Table8[[#This Row],[I_10]]/Table8[[#This Row],[I_0]])</f>
        <v>1</v>
      </c>
      <c r="V48" s="13" cm="1">
        <f t="array" ref="V48">IF(Table8[[#This Row],[I_0]]&lt;Table24[Flitro de Ruido],1,Table8[[#This Row],[I_20]]/Table8[[#This Row],[I_0]])</f>
        <v>1</v>
      </c>
      <c r="W48" s="13" cm="1">
        <f t="array" ref="W48">IF(Table8[[#This Row],[I_0]]&lt;Table24[Flitro de Ruido],1,Table8[[#This Row],[I_30]]/Table8[[#This Row],[I_0]])</f>
        <v>1</v>
      </c>
      <c r="X48" s="13" cm="1">
        <f t="array" ref="X48">IF(Table8[[#This Row],[I_0]]&lt;Table24[Flitro de Ruido],1,Table8[[#This Row],[I_40]]/Table8[[#This Row],[I_0]])</f>
        <v>1</v>
      </c>
      <c r="Y48" s="13" cm="1">
        <f t="array" ref="Y48">IF(Table8[[#This Row],[I_0]]&lt;Table24[Flitro de Ruido],1,Table8[[#This Row],[I_50]]/Table8[[#This Row],[I_0]])</f>
        <v>1</v>
      </c>
    </row>
    <row r="49" spans="1:25" x14ac:dyDescent="0.3">
      <c r="A49" s="13">
        <v>116.89</v>
      </c>
      <c r="B49" s="12">
        <v>0</v>
      </c>
      <c r="C49" s="11">
        <v>116.89</v>
      </c>
      <c r="D49" s="12">
        <v>0</v>
      </c>
      <c r="E49" s="11">
        <v>116.89</v>
      </c>
      <c r="F49" s="12">
        <v>0</v>
      </c>
      <c r="G49" s="11">
        <v>116.89</v>
      </c>
      <c r="H49" s="12">
        <v>0</v>
      </c>
      <c r="I49" s="11">
        <v>116.89</v>
      </c>
      <c r="J49" s="12">
        <v>0</v>
      </c>
      <c r="K49" s="11">
        <v>116.89</v>
      </c>
      <c r="L49" s="12">
        <v>0</v>
      </c>
      <c r="M49" s="11">
        <v>116.89</v>
      </c>
      <c r="N49" s="13">
        <v>0</v>
      </c>
      <c r="O49" s="11">
        <v>0</v>
      </c>
      <c r="P49" s="11">
        <v>0</v>
      </c>
      <c r="Q49" s="11">
        <v>0</v>
      </c>
      <c r="R49" s="11">
        <v>0</v>
      </c>
      <c r="S49" s="14">
        <v>0</v>
      </c>
      <c r="T49" s="11">
        <v>116.89</v>
      </c>
      <c r="U49" s="13" cm="1">
        <f t="array" ref="U49">IF(Table8[[#This Row],[I_0]]&lt;Table24[Flitro de Ruido],1,Table8[[#This Row],[I_10]]/Table8[[#This Row],[I_0]])</f>
        <v>1</v>
      </c>
      <c r="V49" s="13" cm="1">
        <f t="array" ref="V49">IF(Table8[[#This Row],[I_0]]&lt;Table24[Flitro de Ruido],1,Table8[[#This Row],[I_20]]/Table8[[#This Row],[I_0]])</f>
        <v>1</v>
      </c>
      <c r="W49" s="13" cm="1">
        <f t="array" ref="W49">IF(Table8[[#This Row],[I_0]]&lt;Table24[Flitro de Ruido],1,Table8[[#This Row],[I_30]]/Table8[[#This Row],[I_0]])</f>
        <v>1</v>
      </c>
      <c r="X49" s="13" cm="1">
        <f t="array" ref="X49">IF(Table8[[#This Row],[I_0]]&lt;Table24[Flitro de Ruido],1,Table8[[#This Row],[I_40]]/Table8[[#This Row],[I_0]])</f>
        <v>1</v>
      </c>
      <c r="Y49" s="13" cm="1">
        <f t="array" ref="Y49">IF(Table8[[#This Row],[I_0]]&lt;Table24[Flitro de Ruido],1,Table8[[#This Row],[I_50]]/Table8[[#This Row],[I_0]])</f>
        <v>1</v>
      </c>
    </row>
    <row r="50" spans="1:25" x14ac:dyDescent="0.3">
      <c r="A50" s="13">
        <v>117.89</v>
      </c>
      <c r="B50" s="12">
        <v>0</v>
      </c>
      <c r="C50" s="11">
        <v>117.89</v>
      </c>
      <c r="D50" s="12">
        <v>0</v>
      </c>
      <c r="E50" s="11">
        <v>117.89</v>
      </c>
      <c r="F50" s="12">
        <v>0</v>
      </c>
      <c r="G50" s="11">
        <v>117.89</v>
      </c>
      <c r="H50" s="12">
        <v>0</v>
      </c>
      <c r="I50" s="11">
        <v>117.89</v>
      </c>
      <c r="J50" s="12">
        <v>0</v>
      </c>
      <c r="K50" s="11">
        <v>117.89</v>
      </c>
      <c r="L50" s="12">
        <v>0</v>
      </c>
      <c r="M50" s="11">
        <v>117.89</v>
      </c>
      <c r="N50" s="13">
        <v>0</v>
      </c>
      <c r="O50" s="11">
        <v>0</v>
      </c>
      <c r="P50" s="11">
        <v>0</v>
      </c>
      <c r="Q50" s="11">
        <v>0</v>
      </c>
      <c r="R50" s="11">
        <v>0</v>
      </c>
      <c r="S50" s="14">
        <v>0</v>
      </c>
      <c r="T50" s="11">
        <v>117.89</v>
      </c>
      <c r="U50" s="13" cm="1">
        <f t="array" ref="U50">IF(Table8[[#This Row],[I_0]]&lt;Table24[Flitro de Ruido],1,Table8[[#This Row],[I_10]]/Table8[[#This Row],[I_0]])</f>
        <v>1</v>
      </c>
      <c r="V50" s="13" cm="1">
        <f t="array" ref="V50">IF(Table8[[#This Row],[I_0]]&lt;Table24[Flitro de Ruido],1,Table8[[#This Row],[I_20]]/Table8[[#This Row],[I_0]])</f>
        <v>1</v>
      </c>
      <c r="W50" s="13" cm="1">
        <f t="array" ref="W50">IF(Table8[[#This Row],[I_0]]&lt;Table24[Flitro de Ruido],1,Table8[[#This Row],[I_30]]/Table8[[#This Row],[I_0]])</f>
        <v>1</v>
      </c>
      <c r="X50" s="13" cm="1">
        <f t="array" ref="X50">IF(Table8[[#This Row],[I_0]]&lt;Table24[Flitro de Ruido],1,Table8[[#This Row],[I_40]]/Table8[[#This Row],[I_0]])</f>
        <v>1</v>
      </c>
      <c r="Y50" s="13" cm="1">
        <f t="array" ref="Y50">IF(Table8[[#This Row],[I_0]]&lt;Table24[Flitro de Ruido],1,Table8[[#This Row],[I_50]]/Table8[[#This Row],[I_0]])</f>
        <v>1</v>
      </c>
    </row>
    <row r="51" spans="1:25" x14ac:dyDescent="0.3">
      <c r="A51" s="13">
        <v>118.88</v>
      </c>
      <c r="B51" s="12">
        <v>0</v>
      </c>
      <c r="C51" s="11">
        <v>118.88</v>
      </c>
      <c r="D51" s="12">
        <v>0</v>
      </c>
      <c r="E51" s="11">
        <v>118.88</v>
      </c>
      <c r="F51" s="12">
        <v>0</v>
      </c>
      <c r="G51" s="11">
        <v>118.88</v>
      </c>
      <c r="H51" s="12">
        <v>0</v>
      </c>
      <c r="I51" s="11">
        <v>118.88</v>
      </c>
      <c r="J51" s="12">
        <v>0</v>
      </c>
      <c r="K51" s="11">
        <v>118.88</v>
      </c>
      <c r="L51" s="12">
        <v>0</v>
      </c>
      <c r="M51" s="11">
        <v>118.88</v>
      </c>
      <c r="N51" s="13">
        <v>0</v>
      </c>
      <c r="O51" s="11">
        <v>0</v>
      </c>
      <c r="P51" s="11">
        <v>0</v>
      </c>
      <c r="Q51" s="11">
        <v>0</v>
      </c>
      <c r="R51" s="11">
        <v>0</v>
      </c>
      <c r="S51" s="14">
        <v>0</v>
      </c>
      <c r="T51" s="11">
        <v>118.88</v>
      </c>
      <c r="U51" s="13" cm="1">
        <f t="array" ref="U51">IF(Table8[[#This Row],[I_0]]&lt;Table24[Flitro de Ruido],1,Table8[[#This Row],[I_10]]/Table8[[#This Row],[I_0]])</f>
        <v>1</v>
      </c>
      <c r="V51" s="13" cm="1">
        <f t="array" ref="V51">IF(Table8[[#This Row],[I_0]]&lt;Table24[Flitro de Ruido],1,Table8[[#This Row],[I_20]]/Table8[[#This Row],[I_0]])</f>
        <v>1</v>
      </c>
      <c r="W51" s="13" cm="1">
        <f t="array" ref="W51">IF(Table8[[#This Row],[I_0]]&lt;Table24[Flitro de Ruido],1,Table8[[#This Row],[I_30]]/Table8[[#This Row],[I_0]])</f>
        <v>1</v>
      </c>
      <c r="X51" s="13" cm="1">
        <f t="array" ref="X51">IF(Table8[[#This Row],[I_0]]&lt;Table24[Flitro de Ruido],1,Table8[[#This Row],[I_40]]/Table8[[#This Row],[I_0]])</f>
        <v>1</v>
      </c>
      <c r="Y51" s="13" cm="1">
        <f t="array" ref="Y51">IF(Table8[[#This Row],[I_0]]&lt;Table24[Flitro de Ruido],1,Table8[[#This Row],[I_50]]/Table8[[#This Row],[I_0]])</f>
        <v>1</v>
      </c>
    </row>
    <row r="52" spans="1:25" x14ac:dyDescent="0.3">
      <c r="A52" s="13">
        <v>119.87</v>
      </c>
      <c r="B52" s="12">
        <v>0</v>
      </c>
      <c r="C52" s="11">
        <v>119.87</v>
      </c>
      <c r="D52" s="12">
        <v>0</v>
      </c>
      <c r="E52" s="11">
        <v>119.87</v>
      </c>
      <c r="F52" s="12">
        <v>0</v>
      </c>
      <c r="G52" s="11">
        <v>119.87</v>
      </c>
      <c r="H52" s="12">
        <v>0</v>
      </c>
      <c r="I52" s="11">
        <v>119.87</v>
      </c>
      <c r="J52" s="12">
        <v>0</v>
      </c>
      <c r="K52" s="11">
        <v>119.87</v>
      </c>
      <c r="L52" s="12">
        <v>0</v>
      </c>
      <c r="M52" s="11">
        <v>119.87</v>
      </c>
      <c r="N52" s="13">
        <v>0</v>
      </c>
      <c r="O52" s="11">
        <v>0</v>
      </c>
      <c r="P52" s="11">
        <v>0</v>
      </c>
      <c r="Q52" s="11">
        <v>0</v>
      </c>
      <c r="R52" s="11">
        <v>0</v>
      </c>
      <c r="S52" s="14">
        <v>0</v>
      </c>
      <c r="T52" s="11">
        <v>119.87</v>
      </c>
      <c r="U52" s="13" cm="1">
        <f t="array" ref="U52">IF(Table8[[#This Row],[I_0]]&lt;Table24[Flitro de Ruido],1,Table8[[#This Row],[I_10]]/Table8[[#This Row],[I_0]])</f>
        <v>1</v>
      </c>
      <c r="V52" s="13" cm="1">
        <f t="array" ref="V52">IF(Table8[[#This Row],[I_0]]&lt;Table24[Flitro de Ruido],1,Table8[[#This Row],[I_20]]/Table8[[#This Row],[I_0]])</f>
        <v>1</v>
      </c>
      <c r="W52" s="13" cm="1">
        <f t="array" ref="W52">IF(Table8[[#This Row],[I_0]]&lt;Table24[Flitro de Ruido],1,Table8[[#This Row],[I_30]]/Table8[[#This Row],[I_0]])</f>
        <v>1</v>
      </c>
      <c r="X52" s="13" cm="1">
        <f t="array" ref="X52">IF(Table8[[#This Row],[I_0]]&lt;Table24[Flitro de Ruido],1,Table8[[#This Row],[I_40]]/Table8[[#This Row],[I_0]])</f>
        <v>1</v>
      </c>
      <c r="Y52" s="13" cm="1">
        <f t="array" ref="Y52">IF(Table8[[#This Row],[I_0]]&lt;Table24[Flitro de Ruido],1,Table8[[#This Row],[I_50]]/Table8[[#This Row],[I_0]])</f>
        <v>1</v>
      </c>
    </row>
    <row r="53" spans="1:25" x14ac:dyDescent="0.3">
      <c r="A53" s="13">
        <v>120.86</v>
      </c>
      <c r="B53" s="12">
        <v>0</v>
      </c>
      <c r="C53" s="11">
        <v>120.86</v>
      </c>
      <c r="D53" s="12">
        <v>0</v>
      </c>
      <c r="E53" s="11">
        <v>120.86</v>
      </c>
      <c r="F53" s="12">
        <v>0</v>
      </c>
      <c r="G53" s="11">
        <v>120.86</v>
      </c>
      <c r="H53" s="12">
        <v>0</v>
      </c>
      <c r="I53" s="11">
        <v>120.86</v>
      </c>
      <c r="J53" s="12">
        <v>0</v>
      </c>
      <c r="K53" s="11">
        <v>120.86</v>
      </c>
      <c r="L53" s="12">
        <v>0</v>
      </c>
      <c r="M53" s="11">
        <v>120.86</v>
      </c>
      <c r="N53" s="13">
        <v>0</v>
      </c>
      <c r="O53" s="11">
        <v>0</v>
      </c>
      <c r="P53" s="11">
        <v>0</v>
      </c>
      <c r="Q53" s="11">
        <v>0</v>
      </c>
      <c r="R53" s="11">
        <v>0</v>
      </c>
      <c r="S53" s="14">
        <v>0</v>
      </c>
      <c r="T53" s="11">
        <v>120.86</v>
      </c>
      <c r="U53" s="13" cm="1">
        <f t="array" ref="U53">IF(Table8[[#This Row],[I_0]]&lt;Table24[Flitro de Ruido],1,Table8[[#This Row],[I_10]]/Table8[[#This Row],[I_0]])</f>
        <v>1</v>
      </c>
      <c r="V53" s="13" cm="1">
        <f t="array" ref="V53">IF(Table8[[#This Row],[I_0]]&lt;Table24[Flitro de Ruido],1,Table8[[#This Row],[I_20]]/Table8[[#This Row],[I_0]])</f>
        <v>1</v>
      </c>
      <c r="W53" s="13" cm="1">
        <f t="array" ref="W53">IF(Table8[[#This Row],[I_0]]&lt;Table24[Flitro de Ruido],1,Table8[[#This Row],[I_30]]/Table8[[#This Row],[I_0]])</f>
        <v>1</v>
      </c>
      <c r="X53" s="13" cm="1">
        <f t="array" ref="X53">IF(Table8[[#This Row],[I_0]]&lt;Table24[Flitro de Ruido],1,Table8[[#This Row],[I_40]]/Table8[[#This Row],[I_0]])</f>
        <v>1</v>
      </c>
      <c r="Y53" s="13" cm="1">
        <f t="array" ref="Y53">IF(Table8[[#This Row],[I_0]]&lt;Table24[Flitro de Ruido],1,Table8[[#This Row],[I_50]]/Table8[[#This Row],[I_0]])</f>
        <v>1</v>
      </c>
    </row>
    <row r="54" spans="1:25" x14ac:dyDescent="0.3">
      <c r="A54" s="13">
        <v>121.85</v>
      </c>
      <c r="B54" s="12">
        <v>0</v>
      </c>
      <c r="C54" s="11">
        <v>121.85</v>
      </c>
      <c r="D54" s="12">
        <v>0</v>
      </c>
      <c r="E54" s="11">
        <v>121.85</v>
      </c>
      <c r="F54" s="12">
        <v>0</v>
      </c>
      <c r="G54" s="11">
        <v>121.85</v>
      </c>
      <c r="H54" s="12">
        <v>0</v>
      </c>
      <c r="I54" s="11">
        <v>121.85</v>
      </c>
      <c r="J54" s="12">
        <v>0</v>
      </c>
      <c r="K54" s="11">
        <v>121.85</v>
      </c>
      <c r="L54" s="12">
        <v>0</v>
      </c>
      <c r="M54" s="11">
        <v>121.85</v>
      </c>
      <c r="N54" s="13">
        <v>0</v>
      </c>
      <c r="O54" s="11">
        <v>0</v>
      </c>
      <c r="P54" s="11">
        <v>0</v>
      </c>
      <c r="Q54" s="11">
        <v>0</v>
      </c>
      <c r="R54" s="11">
        <v>0</v>
      </c>
      <c r="S54" s="14">
        <v>0</v>
      </c>
      <c r="T54" s="11">
        <v>121.85</v>
      </c>
      <c r="U54" s="13" cm="1">
        <f t="array" ref="U54">IF(Table8[[#This Row],[I_0]]&lt;Table24[Flitro de Ruido],1,Table8[[#This Row],[I_10]]/Table8[[#This Row],[I_0]])</f>
        <v>1</v>
      </c>
      <c r="V54" s="13" cm="1">
        <f t="array" ref="V54">IF(Table8[[#This Row],[I_0]]&lt;Table24[Flitro de Ruido],1,Table8[[#This Row],[I_20]]/Table8[[#This Row],[I_0]])</f>
        <v>1</v>
      </c>
      <c r="W54" s="13" cm="1">
        <f t="array" ref="W54">IF(Table8[[#This Row],[I_0]]&lt;Table24[Flitro de Ruido],1,Table8[[#This Row],[I_30]]/Table8[[#This Row],[I_0]])</f>
        <v>1</v>
      </c>
      <c r="X54" s="13" cm="1">
        <f t="array" ref="X54">IF(Table8[[#This Row],[I_0]]&lt;Table24[Flitro de Ruido],1,Table8[[#This Row],[I_40]]/Table8[[#This Row],[I_0]])</f>
        <v>1</v>
      </c>
      <c r="Y54" s="13" cm="1">
        <f t="array" ref="Y54">IF(Table8[[#This Row],[I_0]]&lt;Table24[Flitro de Ruido],1,Table8[[#This Row],[I_50]]/Table8[[#This Row],[I_0]])</f>
        <v>1</v>
      </c>
    </row>
    <row r="55" spans="1:25" x14ac:dyDescent="0.3">
      <c r="A55" s="13">
        <v>122.84</v>
      </c>
      <c r="B55" s="12">
        <v>0</v>
      </c>
      <c r="C55" s="11">
        <v>122.84</v>
      </c>
      <c r="D55" s="12">
        <v>0</v>
      </c>
      <c r="E55" s="11">
        <v>122.84</v>
      </c>
      <c r="F55" s="12">
        <v>0</v>
      </c>
      <c r="G55" s="11">
        <v>122.84</v>
      </c>
      <c r="H55" s="12">
        <v>0</v>
      </c>
      <c r="I55" s="11">
        <v>122.84</v>
      </c>
      <c r="J55" s="12">
        <v>0</v>
      </c>
      <c r="K55" s="11">
        <v>122.84</v>
      </c>
      <c r="L55" s="12">
        <v>0</v>
      </c>
      <c r="M55" s="11">
        <v>122.84</v>
      </c>
      <c r="N55" s="13">
        <v>0</v>
      </c>
      <c r="O55" s="11">
        <v>0</v>
      </c>
      <c r="P55" s="11">
        <v>0</v>
      </c>
      <c r="Q55" s="11">
        <v>0</v>
      </c>
      <c r="R55" s="11">
        <v>0</v>
      </c>
      <c r="S55" s="14">
        <v>0</v>
      </c>
      <c r="T55" s="11">
        <v>122.84</v>
      </c>
      <c r="U55" s="13" cm="1">
        <f t="array" ref="U55">IF(Table8[[#This Row],[I_0]]&lt;Table24[Flitro de Ruido],1,Table8[[#This Row],[I_10]]/Table8[[#This Row],[I_0]])</f>
        <v>1</v>
      </c>
      <c r="V55" s="13" cm="1">
        <f t="array" ref="V55">IF(Table8[[#This Row],[I_0]]&lt;Table24[Flitro de Ruido],1,Table8[[#This Row],[I_20]]/Table8[[#This Row],[I_0]])</f>
        <v>1</v>
      </c>
      <c r="W55" s="13" cm="1">
        <f t="array" ref="W55">IF(Table8[[#This Row],[I_0]]&lt;Table24[Flitro de Ruido],1,Table8[[#This Row],[I_30]]/Table8[[#This Row],[I_0]])</f>
        <v>1</v>
      </c>
      <c r="X55" s="13" cm="1">
        <f t="array" ref="X55">IF(Table8[[#This Row],[I_0]]&lt;Table24[Flitro de Ruido],1,Table8[[#This Row],[I_40]]/Table8[[#This Row],[I_0]])</f>
        <v>1</v>
      </c>
      <c r="Y55" s="13" cm="1">
        <f t="array" ref="Y55">IF(Table8[[#This Row],[I_0]]&lt;Table24[Flitro de Ruido],1,Table8[[#This Row],[I_50]]/Table8[[#This Row],[I_0]])</f>
        <v>1</v>
      </c>
    </row>
    <row r="56" spans="1:25" x14ac:dyDescent="0.3">
      <c r="A56" s="13">
        <v>123.84</v>
      </c>
      <c r="B56" s="12">
        <v>0</v>
      </c>
      <c r="C56" s="11">
        <v>123.84</v>
      </c>
      <c r="D56" s="12">
        <v>0</v>
      </c>
      <c r="E56" s="11">
        <v>123.84</v>
      </c>
      <c r="F56" s="12">
        <v>0</v>
      </c>
      <c r="G56" s="11">
        <v>123.84</v>
      </c>
      <c r="H56" s="12">
        <v>0</v>
      </c>
      <c r="I56" s="11">
        <v>123.84</v>
      </c>
      <c r="J56" s="12">
        <v>0</v>
      </c>
      <c r="K56" s="11">
        <v>123.84</v>
      </c>
      <c r="L56" s="12">
        <v>0</v>
      </c>
      <c r="M56" s="11">
        <v>123.84</v>
      </c>
      <c r="N56" s="13">
        <v>0</v>
      </c>
      <c r="O56" s="11">
        <v>0</v>
      </c>
      <c r="P56" s="11">
        <v>0</v>
      </c>
      <c r="Q56" s="11">
        <v>0</v>
      </c>
      <c r="R56" s="11">
        <v>0</v>
      </c>
      <c r="S56" s="14">
        <v>0</v>
      </c>
      <c r="T56" s="11">
        <v>123.84</v>
      </c>
      <c r="U56" s="13" cm="1">
        <f t="array" ref="U56">IF(Table8[[#This Row],[I_0]]&lt;Table24[Flitro de Ruido],1,Table8[[#This Row],[I_10]]/Table8[[#This Row],[I_0]])</f>
        <v>1</v>
      </c>
      <c r="V56" s="13" cm="1">
        <f t="array" ref="V56">IF(Table8[[#This Row],[I_0]]&lt;Table24[Flitro de Ruido],1,Table8[[#This Row],[I_20]]/Table8[[#This Row],[I_0]])</f>
        <v>1</v>
      </c>
      <c r="W56" s="13" cm="1">
        <f t="array" ref="W56">IF(Table8[[#This Row],[I_0]]&lt;Table24[Flitro de Ruido],1,Table8[[#This Row],[I_30]]/Table8[[#This Row],[I_0]])</f>
        <v>1</v>
      </c>
      <c r="X56" s="13" cm="1">
        <f t="array" ref="X56">IF(Table8[[#This Row],[I_0]]&lt;Table24[Flitro de Ruido],1,Table8[[#This Row],[I_40]]/Table8[[#This Row],[I_0]])</f>
        <v>1</v>
      </c>
      <c r="Y56" s="13" cm="1">
        <f t="array" ref="Y56">IF(Table8[[#This Row],[I_0]]&lt;Table24[Flitro de Ruido],1,Table8[[#This Row],[I_50]]/Table8[[#This Row],[I_0]])</f>
        <v>1</v>
      </c>
    </row>
    <row r="57" spans="1:25" x14ac:dyDescent="0.3">
      <c r="A57" s="13">
        <v>124.83</v>
      </c>
      <c r="B57" s="12">
        <v>0</v>
      </c>
      <c r="C57" s="11">
        <v>124.83</v>
      </c>
      <c r="D57" s="12">
        <v>0</v>
      </c>
      <c r="E57" s="11">
        <v>124.83</v>
      </c>
      <c r="F57" s="12">
        <v>0</v>
      </c>
      <c r="G57" s="11">
        <v>124.83</v>
      </c>
      <c r="H57" s="12">
        <v>0</v>
      </c>
      <c r="I57" s="11">
        <v>124.83</v>
      </c>
      <c r="J57" s="12">
        <v>0</v>
      </c>
      <c r="K57" s="11">
        <v>124.83</v>
      </c>
      <c r="L57" s="12">
        <v>0</v>
      </c>
      <c r="M57" s="11">
        <v>124.83</v>
      </c>
      <c r="N57" s="13">
        <v>0</v>
      </c>
      <c r="O57" s="11">
        <v>0</v>
      </c>
      <c r="P57" s="11">
        <v>0</v>
      </c>
      <c r="Q57" s="11">
        <v>0</v>
      </c>
      <c r="R57" s="11">
        <v>0</v>
      </c>
      <c r="S57" s="14">
        <v>0</v>
      </c>
      <c r="T57" s="11">
        <v>124.83</v>
      </c>
      <c r="U57" s="13" cm="1">
        <f t="array" ref="U57">IF(Table8[[#This Row],[I_0]]&lt;Table24[Flitro de Ruido],1,Table8[[#This Row],[I_10]]/Table8[[#This Row],[I_0]])</f>
        <v>1</v>
      </c>
      <c r="V57" s="13" cm="1">
        <f t="array" ref="V57">IF(Table8[[#This Row],[I_0]]&lt;Table24[Flitro de Ruido],1,Table8[[#This Row],[I_20]]/Table8[[#This Row],[I_0]])</f>
        <v>1</v>
      </c>
      <c r="W57" s="13" cm="1">
        <f t="array" ref="W57">IF(Table8[[#This Row],[I_0]]&lt;Table24[Flitro de Ruido],1,Table8[[#This Row],[I_30]]/Table8[[#This Row],[I_0]])</f>
        <v>1</v>
      </c>
      <c r="X57" s="13" cm="1">
        <f t="array" ref="X57">IF(Table8[[#This Row],[I_0]]&lt;Table24[Flitro de Ruido],1,Table8[[#This Row],[I_40]]/Table8[[#This Row],[I_0]])</f>
        <v>1</v>
      </c>
      <c r="Y57" s="13" cm="1">
        <f t="array" ref="Y57">IF(Table8[[#This Row],[I_0]]&lt;Table24[Flitro de Ruido],1,Table8[[#This Row],[I_50]]/Table8[[#This Row],[I_0]])</f>
        <v>1</v>
      </c>
    </row>
    <row r="58" spans="1:25" x14ac:dyDescent="0.3">
      <c r="A58" s="13">
        <v>125.82</v>
      </c>
      <c r="B58" s="12">
        <v>0</v>
      </c>
      <c r="C58" s="11">
        <v>125.82</v>
      </c>
      <c r="D58" s="12">
        <v>0</v>
      </c>
      <c r="E58" s="11">
        <v>125.82</v>
      </c>
      <c r="F58" s="12">
        <v>0</v>
      </c>
      <c r="G58" s="11">
        <v>125.82</v>
      </c>
      <c r="H58" s="12">
        <v>0</v>
      </c>
      <c r="I58" s="11">
        <v>125.82</v>
      </c>
      <c r="J58" s="12">
        <v>0</v>
      </c>
      <c r="K58" s="11">
        <v>125.82</v>
      </c>
      <c r="L58" s="12">
        <v>0</v>
      </c>
      <c r="M58" s="11">
        <v>125.82</v>
      </c>
      <c r="N58" s="13">
        <v>0</v>
      </c>
      <c r="O58" s="11">
        <v>0</v>
      </c>
      <c r="P58" s="11">
        <v>0</v>
      </c>
      <c r="Q58" s="11">
        <v>0</v>
      </c>
      <c r="R58" s="11">
        <v>0</v>
      </c>
      <c r="S58" s="14">
        <v>0</v>
      </c>
      <c r="T58" s="11">
        <v>125.82</v>
      </c>
      <c r="U58" s="13" cm="1">
        <f t="array" ref="U58">IF(Table8[[#This Row],[I_0]]&lt;Table24[Flitro de Ruido],1,Table8[[#This Row],[I_10]]/Table8[[#This Row],[I_0]])</f>
        <v>1</v>
      </c>
      <c r="V58" s="13" cm="1">
        <f t="array" ref="V58">IF(Table8[[#This Row],[I_0]]&lt;Table24[Flitro de Ruido],1,Table8[[#This Row],[I_20]]/Table8[[#This Row],[I_0]])</f>
        <v>1</v>
      </c>
      <c r="W58" s="13" cm="1">
        <f t="array" ref="W58">IF(Table8[[#This Row],[I_0]]&lt;Table24[Flitro de Ruido],1,Table8[[#This Row],[I_30]]/Table8[[#This Row],[I_0]])</f>
        <v>1</v>
      </c>
      <c r="X58" s="13" cm="1">
        <f t="array" ref="X58">IF(Table8[[#This Row],[I_0]]&lt;Table24[Flitro de Ruido],1,Table8[[#This Row],[I_40]]/Table8[[#This Row],[I_0]])</f>
        <v>1</v>
      </c>
      <c r="Y58" s="13" cm="1">
        <f t="array" ref="Y58">IF(Table8[[#This Row],[I_0]]&lt;Table24[Flitro de Ruido],1,Table8[[#This Row],[I_50]]/Table8[[#This Row],[I_0]])</f>
        <v>1</v>
      </c>
    </row>
    <row r="59" spans="1:25" x14ac:dyDescent="0.3">
      <c r="A59" s="13">
        <v>126.81</v>
      </c>
      <c r="B59" s="12">
        <v>0</v>
      </c>
      <c r="C59" s="11">
        <v>126.81</v>
      </c>
      <c r="D59" s="12">
        <v>0</v>
      </c>
      <c r="E59" s="11">
        <v>126.81</v>
      </c>
      <c r="F59" s="12">
        <v>0</v>
      </c>
      <c r="G59" s="11">
        <v>126.81</v>
      </c>
      <c r="H59" s="12">
        <v>0</v>
      </c>
      <c r="I59" s="11">
        <v>126.81</v>
      </c>
      <c r="J59" s="12">
        <v>0</v>
      </c>
      <c r="K59" s="11">
        <v>126.81</v>
      </c>
      <c r="L59" s="12">
        <v>0</v>
      </c>
      <c r="M59" s="11">
        <v>126.81</v>
      </c>
      <c r="N59" s="13">
        <v>0</v>
      </c>
      <c r="O59" s="11">
        <v>0</v>
      </c>
      <c r="P59" s="11">
        <v>0</v>
      </c>
      <c r="Q59" s="11">
        <v>0</v>
      </c>
      <c r="R59" s="11">
        <v>0</v>
      </c>
      <c r="S59" s="14">
        <v>0</v>
      </c>
      <c r="T59" s="11">
        <v>126.81</v>
      </c>
      <c r="U59" s="13" cm="1">
        <f t="array" ref="U59">IF(Table8[[#This Row],[I_0]]&lt;Table24[Flitro de Ruido],1,Table8[[#This Row],[I_10]]/Table8[[#This Row],[I_0]])</f>
        <v>1</v>
      </c>
      <c r="V59" s="13" cm="1">
        <f t="array" ref="V59">IF(Table8[[#This Row],[I_0]]&lt;Table24[Flitro de Ruido],1,Table8[[#This Row],[I_20]]/Table8[[#This Row],[I_0]])</f>
        <v>1</v>
      </c>
      <c r="W59" s="13" cm="1">
        <f t="array" ref="W59">IF(Table8[[#This Row],[I_0]]&lt;Table24[Flitro de Ruido],1,Table8[[#This Row],[I_30]]/Table8[[#This Row],[I_0]])</f>
        <v>1</v>
      </c>
      <c r="X59" s="13" cm="1">
        <f t="array" ref="X59">IF(Table8[[#This Row],[I_0]]&lt;Table24[Flitro de Ruido],1,Table8[[#This Row],[I_40]]/Table8[[#This Row],[I_0]])</f>
        <v>1</v>
      </c>
      <c r="Y59" s="13" cm="1">
        <f t="array" ref="Y59">IF(Table8[[#This Row],[I_0]]&lt;Table24[Flitro de Ruido],1,Table8[[#This Row],[I_50]]/Table8[[#This Row],[I_0]])</f>
        <v>1</v>
      </c>
    </row>
    <row r="60" spans="1:25" x14ac:dyDescent="0.3">
      <c r="A60" s="13">
        <v>127.8</v>
      </c>
      <c r="B60" s="12">
        <v>0</v>
      </c>
      <c r="C60" s="11">
        <v>127.8</v>
      </c>
      <c r="D60" s="12">
        <v>0</v>
      </c>
      <c r="E60" s="11">
        <v>127.8</v>
      </c>
      <c r="F60" s="12">
        <v>0</v>
      </c>
      <c r="G60" s="11">
        <v>127.8</v>
      </c>
      <c r="H60" s="12">
        <v>0</v>
      </c>
      <c r="I60" s="11">
        <v>127.8</v>
      </c>
      <c r="J60" s="12">
        <v>0</v>
      </c>
      <c r="K60" s="11">
        <v>127.8</v>
      </c>
      <c r="L60" s="12">
        <v>0</v>
      </c>
      <c r="M60" s="11">
        <v>127.8</v>
      </c>
      <c r="N60" s="13">
        <v>0</v>
      </c>
      <c r="O60" s="11">
        <v>0</v>
      </c>
      <c r="P60" s="11">
        <v>0</v>
      </c>
      <c r="Q60" s="11">
        <v>0</v>
      </c>
      <c r="R60" s="11">
        <v>0</v>
      </c>
      <c r="S60" s="14">
        <v>0</v>
      </c>
      <c r="T60" s="11">
        <v>127.8</v>
      </c>
      <c r="U60" s="13" cm="1">
        <f t="array" ref="U60">IF(Table8[[#This Row],[I_0]]&lt;Table24[Flitro de Ruido],1,Table8[[#This Row],[I_10]]/Table8[[#This Row],[I_0]])</f>
        <v>1</v>
      </c>
      <c r="V60" s="13" cm="1">
        <f t="array" ref="V60">IF(Table8[[#This Row],[I_0]]&lt;Table24[Flitro de Ruido],1,Table8[[#This Row],[I_20]]/Table8[[#This Row],[I_0]])</f>
        <v>1</v>
      </c>
      <c r="W60" s="13" cm="1">
        <f t="array" ref="W60">IF(Table8[[#This Row],[I_0]]&lt;Table24[Flitro de Ruido],1,Table8[[#This Row],[I_30]]/Table8[[#This Row],[I_0]])</f>
        <v>1</v>
      </c>
      <c r="X60" s="13" cm="1">
        <f t="array" ref="X60">IF(Table8[[#This Row],[I_0]]&lt;Table24[Flitro de Ruido],1,Table8[[#This Row],[I_40]]/Table8[[#This Row],[I_0]])</f>
        <v>1</v>
      </c>
      <c r="Y60" s="13" cm="1">
        <f t="array" ref="Y60">IF(Table8[[#This Row],[I_0]]&lt;Table24[Flitro de Ruido],1,Table8[[#This Row],[I_50]]/Table8[[#This Row],[I_0]])</f>
        <v>1</v>
      </c>
    </row>
    <row r="61" spans="1:25" x14ac:dyDescent="0.3">
      <c r="A61" s="13">
        <v>128.80000000000001</v>
      </c>
      <c r="B61" s="12">
        <v>0</v>
      </c>
      <c r="C61" s="11">
        <v>128.80000000000001</v>
      </c>
      <c r="D61" s="12">
        <v>0</v>
      </c>
      <c r="E61" s="11">
        <v>128.80000000000001</v>
      </c>
      <c r="F61" s="12">
        <v>0</v>
      </c>
      <c r="G61" s="11">
        <v>128.80000000000001</v>
      </c>
      <c r="H61" s="12">
        <v>0</v>
      </c>
      <c r="I61" s="11">
        <v>128.80000000000001</v>
      </c>
      <c r="J61" s="12">
        <v>0</v>
      </c>
      <c r="K61" s="11">
        <v>128.80000000000001</v>
      </c>
      <c r="L61" s="12">
        <v>0</v>
      </c>
      <c r="M61" s="11">
        <v>128.80000000000001</v>
      </c>
      <c r="N61" s="13">
        <v>0</v>
      </c>
      <c r="O61" s="11">
        <v>0</v>
      </c>
      <c r="P61" s="11">
        <v>0</v>
      </c>
      <c r="Q61" s="11">
        <v>0</v>
      </c>
      <c r="R61" s="11">
        <v>0</v>
      </c>
      <c r="S61" s="14">
        <v>0</v>
      </c>
      <c r="T61" s="11">
        <v>128.80000000000001</v>
      </c>
      <c r="U61" s="13" cm="1">
        <f t="array" ref="U61">IF(Table8[[#This Row],[I_0]]&lt;Table24[Flitro de Ruido],1,Table8[[#This Row],[I_10]]/Table8[[#This Row],[I_0]])</f>
        <v>1</v>
      </c>
      <c r="V61" s="13" cm="1">
        <f t="array" ref="V61">IF(Table8[[#This Row],[I_0]]&lt;Table24[Flitro de Ruido],1,Table8[[#This Row],[I_20]]/Table8[[#This Row],[I_0]])</f>
        <v>1</v>
      </c>
      <c r="W61" s="13" cm="1">
        <f t="array" ref="W61">IF(Table8[[#This Row],[I_0]]&lt;Table24[Flitro de Ruido],1,Table8[[#This Row],[I_30]]/Table8[[#This Row],[I_0]])</f>
        <v>1</v>
      </c>
      <c r="X61" s="13" cm="1">
        <f t="array" ref="X61">IF(Table8[[#This Row],[I_0]]&lt;Table24[Flitro de Ruido],1,Table8[[#This Row],[I_40]]/Table8[[#This Row],[I_0]])</f>
        <v>1</v>
      </c>
      <c r="Y61" s="13" cm="1">
        <f t="array" ref="Y61">IF(Table8[[#This Row],[I_0]]&lt;Table24[Flitro de Ruido],1,Table8[[#This Row],[I_50]]/Table8[[#This Row],[I_0]])</f>
        <v>1</v>
      </c>
    </row>
    <row r="62" spans="1:25" x14ac:dyDescent="0.3">
      <c r="A62" s="13">
        <v>129.79</v>
      </c>
      <c r="B62" s="12">
        <v>0</v>
      </c>
      <c r="C62" s="11">
        <v>129.79</v>
      </c>
      <c r="D62" s="12">
        <v>0</v>
      </c>
      <c r="E62" s="11">
        <v>129.79</v>
      </c>
      <c r="F62" s="12">
        <v>0</v>
      </c>
      <c r="G62" s="11">
        <v>129.79</v>
      </c>
      <c r="H62" s="12">
        <v>0</v>
      </c>
      <c r="I62" s="11">
        <v>129.79</v>
      </c>
      <c r="J62" s="12">
        <v>0</v>
      </c>
      <c r="K62" s="11">
        <v>129.79</v>
      </c>
      <c r="L62" s="12">
        <v>0</v>
      </c>
      <c r="M62" s="11">
        <v>129.79</v>
      </c>
      <c r="N62" s="13">
        <v>0</v>
      </c>
      <c r="O62" s="11">
        <v>0</v>
      </c>
      <c r="P62" s="11">
        <v>0</v>
      </c>
      <c r="Q62" s="11">
        <v>0</v>
      </c>
      <c r="R62" s="11">
        <v>0</v>
      </c>
      <c r="S62" s="14">
        <v>0</v>
      </c>
      <c r="T62" s="11">
        <v>129.79</v>
      </c>
      <c r="U62" s="13" cm="1">
        <f t="array" ref="U62">IF(Table8[[#This Row],[I_0]]&lt;Table24[Flitro de Ruido],1,Table8[[#This Row],[I_10]]/Table8[[#This Row],[I_0]])</f>
        <v>1</v>
      </c>
      <c r="V62" s="13" cm="1">
        <f t="array" ref="V62">IF(Table8[[#This Row],[I_0]]&lt;Table24[Flitro de Ruido],1,Table8[[#This Row],[I_20]]/Table8[[#This Row],[I_0]])</f>
        <v>1</v>
      </c>
      <c r="W62" s="13" cm="1">
        <f t="array" ref="W62">IF(Table8[[#This Row],[I_0]]&lt;Table24[Flitro de Ruido],1,Table8[[#This Row],[I_30]]/Table8[[#This Row],[I_0]])</f>
        <v>1</v>
      </c>
      <c r="X62" s="13" cm="1">
        <f t="array" ref="X62">IF(Table8[[#This Row],[I_0]]&lt;Table24[Flitro de Ruido],1,Table8[[#This Row],[I_40]]/Table8[[#This Row],[I_0]])</f>
        <v>1</v>
      </c>
      <c r="Y62" s="13" cm="1">
        <f t="array" ref="Y62">IF(Table8[[#This Row],[I_0]]&lt;Table24[Flitro de Ruido],1,Table8[[#This Row],[I_50]]/Table8[[#This Row],[I_0]])</f>
        <v>1</v>
      </c>
    </row>
    <row r="63" spans="1:25" x14ac:dyDescent="0.3">
      <c r="A63" s="13">
        <v>130.78</v>
      </c>
      <c r="B63" s="12">
        <v>0</v>
      </c>
      <c r="C63" s="11">
        <v>130.78</v>
      </c>
      <c r="D63" s="12">
        <v>0</v>
      </c>
      <c r="E63" s="11">
        <v>130.78</v>
      </c>
      <c r="F63" s="12">
        <v>0</v>
      </c>
      <c r="G63" s="11">
        <v>130.78</v>
      </c>
      <c r="H63" s="12">
        <v>0</v>
      </c>
      <c r="I63" s="11">
        <v>130.78</v>
      </c>
      <c r="J63" s="12">
        <v>0</v>
      </c>
      <c r="K63" s="11">
        <v>130.78</v>
      </c>
      <c r="L63" s="12">
        <v>0</v>
      </c>
      <c r="M63" s="11">
        <v>130.78</v>
      </c>
      <c r="N63" s="13">
        <v>0</v>
      </c>
      <c r="O63" s="11">
        <v>0</v>
      </c>
      <c r="P63" s="11">
        <v>0</v>
      </c>
      <c r="Q63" s="11">
        <v>0</v>
      </c>
      <c r="R63" s="11">
        <v>0</v>
      </c>
      <c r="S63" s="14">
        <v>0</v>
      </c>
      <c r="T63" s="11">
        <v>130.78</v>
      </c>
      <c r="U63" s="13" cm="1">
        <f t="array" ref="U63">IF(Table8[[#This Row],[I_0]]&lt;Table24[Flitro de Ruido],1,Table8[[#This Row],[I_10]]/Table8[[#This Row],[I_0]])</f>
        <v>1</v>
      </c>
      <c r="V63" s="13" cm="1">
        <f t="array" ref="V63">IF(Table8[[#This Row],[I_0]]&lt;Table24[Flitro de Ruido],1,Table8[[#This Row],[I_20]]/Table8[[#This Row],[I_0]])</f>
        <v>1</v>
      </c>
      <c r="W63" s="13" cm="1">
        <f t="array" ref="W63">IF(Table8[[#This Row],[I_0]]&lt;Table24[Flitro de Ruido],1,Table8[[#This Row],[I_30]]/Table8[[#This Row],[I_0]])</f>
        <v>1</v>
      </c>
      <c r="X63" s="13" cm="1">
        <f t="array" ref="X63">IF(Table8[[#This Row],[I_0]]&lt;Table24[Flitro de Ruido],1,Table8[[#This Row],[I_40]]/Table8[[#This Row],[I_0]])</f>
        <v>1</v>
      </c>
      <c r="Y63" s="13" cm="1">
        <f t="array" ref="Y63">IF(Table8[[#This Row],[I_0]]&lt;Table24[Flitro de Ruido],1,Table8[[#This Row],[I_50]]/Table8[[#This Row],[I_0]])</f>
        <v>1</v>
      </c>
    </row>
    <row r="64" spans="1:25" x14ac:dyDescent="0.3">
      <c r="A64" s="13">
        <v>131.77000000000001</v>
      </c>
      <c r="B64" s="12">
        <v>0</v>
      </c>
      <c r="C64" s="11">
        <v>131.77000000000001</v>
      </c>
      <c r="D64" s="12">
        <v>0</v>
      </c>
      <c r="E64" s="11">
        <v>131.77000000000001</v>
      </c>
      <c r="F64" s="12">
        <v>0</v>
      </c>
      <c r="G64" s="11">
        <v>131.77000000000001</v>
      </c>
      <c r="H64" s="12">
        <v>0</v>
      </c>
      <c r="I64" s="11">
        <v>131.77000000000001</v>
      </c>
      <c r="J64" s="12">
        <v>0</v>
      </c>
      <c r="K64" s="11">
        <v>131.77000000000001</v>
      </c>
      <c r="L64" s="12">
        <v>0</v>
      </c>
      <c r="M64" s="11">
        <v>131.77000000000001</v>
      </c>
      <c r="N64" s="13">
        <v>0</v>
      </c>
      <c r="O64" s="11">
        <v>0</v>
      </c>
      <c r="P64" s="11">
        <v>0</v>
      </c>
      <c r="Q64" s="11">
        <v>0</v>
      </c>
      <c r="R64" s="11">
        <v>0</v>
      </c>
      <c r="S64" s="14">
        <v>0</v>
      </c>
      <c r="T64" s="11">
        <v>131.77000000000001</v>
      </c>
      <c r="U64" s="13" cm="1">
        <f t="array" ref="U64">IF(Table8[[#This Row],[I_0]]&lt;Table24[Flitro de Ruido],1,Table8[[#This Row],[I_10]]/Table8[[#This Row],[I_0]])</f>
        <v>1</v>
      </c>
      <c r="V64" s="13" cm="1">
        <f t="array" ref="V64">IF(Table8[[#This Row],[I_0]]&lt;Table24[Flitro de Ruido],1,Table8[[#This Row],[I_20]]/Table8[[#This Row],[I_0]])</f>
        <v>1</v>
      </c>
      <c r="W64" s="13" cm="1">
        <f t="array" ref="W64">IF(Table8[[#This Row],[I_0]]&lt;Table24[Flitro de Ruido],1,Table8[[#This Row],[I_30]]/Table8[[#This Row],[I_0]])</f>
        <v>1</v>
      </c>
      <c r="X64" s="13" cm="1">
        <f t="array" ref="X64">IF(Table8[[#This Row],[I_0]]&lt;Table24[Flitro de Ruido],1,Table8[[#This Row],[I_40]]/Table8[[#This Row],[I_0]])</f>
        <v>1</v>
      </c>
      <c r="Y64" s="13" cm="1">
        <f t="array" ref="Y64">IF(Table8[[#This Row],[I_0]]&lt;Table24[Flitro de Ruido],1,Table8[[#This Row],[I_50]]/Table8[[#This Row],[I_0]])</f>
        <v>1</v>
      </c>
    </row>
    <row r="65" spans="1:25" x14ac:dyDescent="0.3">
      <c r="A65" s="13">
        <v>132.76</v>
      </c>
      <c r="B65" s="12">
        <v>0</v>
      </c>
      <c r="C65" s="11">
        <v>132.76</v>
      </c>
      <c r="D65" s="12">
        <v>0</v>
      </c>
      <c r="E65" s="11">
        <v>132.76</v>
      </c>
      <c r="F65" s="12">
        <v>0</v>
      </c>
      <c r="G65" s="11">
        <v>132.76</v>
      </c>
      <c r="H65" s="12">
        <v>0</v>
      </c>
      <c r="I65" s="11">
        <v>132.76</v>
      </c>
      <c r="J65" s="12">
        <v>0</v>
      </c>
      <c r="K65" s="11">
        <v>132.76</v>
      </c>
      <c r="L65" s="12">
        <v>0</v>
      </c>
      <c r="M65" s="11">
        <v>132.76</v>
      </c>
      <c r="N65" s="13">
        <v>0</v>
      </c>
      <c r="O65" s="11">
        <v>0</v>
      </c>
      <c r="P65" s="11">
        <v>0</v>
      </c>
      <c r="Q65" s="11">
        <v>0</v>
      </c>
      <c r="R65" s="11">
        <v>0</v>
      </c>
      <c r="S65" s="14">
        <v>0</v>
      </c>
      <c r="T65" s="11">
        <v>132.76</v>
      </c>
      <c r="U65" s="13" cm="1">
        <f t="array" ref="U65">IF(Table8[[#This Row],[I_0]]&lt;Table24[Flitro de Ruido],1,Table8[[#This Row],[I_10]]/Table8[[#This Row],[I_0]])</f>
        <v>1</v>
      </c>
      <c r="V65" s="13" cm="1">
        <f t="array" ref="V65">IF(Table8[[#This Row],[I_0]]&lt;Table24[Flitro de Ruido],1,Table8[[#This Row],[I_20]]/Table8[[#This Row],[I_0]])</f>
        <v>1</v>
      </c>
      <c r="W65" s="13" cm="1">
        <f t="array" ref="W65">IF(Table8[[#This Row],[I_0]]&lt;Table24[Flitro de Ruido],1,Table8[[#This Row],[I_30]]/Table8[[#This Row],[I_0]])</f>
        <v>1</v>
      </c>
      <c r="X65" s="13" cm="1">
        <f t="array" ref="X65">IF(Table8[[#This Row],[I_0]]&lt;Table24[Flitro de Ruido],1,Table8[[#This Row],[I_40]]/Table8[[#This Row],[I_0]])</f>
        <v>1</v>
      </c>
      <c r="Y65" s="13" cm="1">
        <f t="array" ref="Y65">IF(Table8[[#This Row],[I_0]]&lt;Table24[Flitro de Ruido],1,Table8[[#This Row],[I_50]]/Table8[[#This Row],[I_0]])</f>
        <v>1</v>
      </c>
    </row>
    <row r="66" spans="1:25" x14ac:dyDescent="0.3">
      <c r="A66" s="13">
        <v>133.75</v>
      </c>
      <c r="B66" s="12">
        <v>0</v>
      </c>
      <c r="C66" s="11">
        <v>133.75</v>
      </c>
      <c r="D66" s="12">
        <v>0</v>
      </c>
      <c r="E66" s="11">
        <v>133.75</v>
      </c>
      <c r="F66" s="12">
        <v>0</v>
      </c>
      <c r="G66" s="11">
        <v>133.75</v>
      </c>
      <c r="H66" s="12">
        <v>0</v>
      </c>
      <c r="I66" s="11">
        <v>133.75</v>
      </c>
      <c r="J66" s="12">
        <v>0</v>
      </c>
      <c r="K66" s="11">
        <v>133.75</v>
      </c>
      <c r="L66" s="12">
        <v>0</v>
      </c>
      <c r="M66" s="11">
        <v>133.75</v>
      </c>
      <c r="N66" s="13">
        <v>0</v>
      </c>
      <c r="O66" s="11">
        <v>0</v>
      </c>
      <c r="P66" s="11">
        <v>0</v>
      </c>
      <c r="Q66" s="11">
        <v>0</v>
      </c>
      <c r="R66" s="11">
        <v>0</v>
      </c>
      <c r="S66" s="14">
        <v>0</v>
      </c>
      <c r="T66" s="11">
        <v>133.75</v>
      </c>
      <c r="U66" s="13" cm="1">
        <f t="array" ref="U66">IF(Table8[[#This Row],[I_0]]&lt;Table24[Flitro de Ruido],1,Table8[[#This Row],[I_10]]/Table8[[#This Row],[I_0]])</f>
        <v>1</v>
      </c>
      <c r="V66" s="13" cm="1">
        <f t="array" ref="V66">IF(Table8[[#This Row],[I_0]]&lt;Table24[Flitro de Ruido],1,Table8[[#This Row],[I_20]]/Table8[[#This Row],[I_0]])</f>
        <v>1</v>
      </c>
      <c r="W66" s="13" cm="1">
        <f t="array" ref="W66">IF(Table8[[#This Row],[I_0]]&lt;Table24[Flitro de Ruido],1,Table8[[#This Row],[I_30]]/Table8[[#This Row],[I_0]])</f>
        <v>1</v>
      </c>
      <c r="X66" s="13" cm="1">
        <f t="array" ref="X66">IF(Table8[[#This Row],[I_0]]&lt;Table24[Flitro de Ruido],1,Table8[[#This Row],[I_40]]/Table8[[#This Row],[I_0]])</f>
        <v>1</v>
      </c>
      <c r="Y66" s="13" cm="1">
        <f t="array" ref="Y66">IF(Table8[[#This Row],[I_0]]&lt;Table24[Flitro de Ruido],1,Table8[[#This Row],[I_50]]/Table8[[#This Row],[I_0]])</f>
        <v>1</v>
      </c>
    </row>
    <row r="67" spans="1:25" x14ac:dyDescent="0.3">
      <c r="A67" s="13">
        <v>134.75</v>
      </c>
      <c r="B67" s="12">
        <v>0</v>
      </c>
      <c r="C67" s="11">
        <v>134.75</v>
      </c>
      <c r="D67" s="12">
        <v>0</v>
      </c>
      <c r="E67" s="11">
        <v>134.75</v>
      </c>
      <c r="F67" s="12">
        <v>0</v>
      </c>
      <c r="G67" s="11">
        <v>134.75</v>
      </c>
      <c r="H67" s="12">
        <v>0</v>
      </c>
      <c r="I67" s="11">
        <v>134.75</v>
      </c>
      <c r="J67" s="12">
        <v>0</v>
      </c>
      <c r="K67" s="11">
        <v>134.75</v>
      </c>
      <c r="L67" s="12">
        <v>0</v>
      </c>
      <c r="M67" s="11">
        <v>134.75</v>
      </c>
      <c r="N67" s="13">
        <v>0</v>
      </c>
      <c r="O67" s="11">
        <v>0</v>
      </c>
      <c r="P67" s="11">
        <v>0</v>
      </c>
      <c r="Q67" s="11">
        <v>0</v>
      </c>
      <c r="R67" s="11">
        <v>0</v>
      </c>
      <c r="S67" s="14">
        <v>0</v>
      </c>
      <c r="T67" s="11">
        <v>134.75</v>
      </c>
      <c r="U67" s="13" cm="1">
        <f t="array" ref="U67">IF(Table8[[#This Row],[I_0]]&lt;Table24[Flitro de Ruido],1,Table8[[#This Row],[I_10]]/Table8[[#This Row],[I_0]])</f>
        <v>1</v>
      </c>
      <c r="V67" s="13" cm="1">
        <f t="array" ref="V67">IF(Table8[[#This Row],[I_0]]&lt;Table24[Flitro de Ruido],1,Table8[[#This Row],[I_20]]/Table8[[#This Row],[I_0]])</f>
        <v>1</v>
      </c>
      <c r="W67" s="13" cm="1">
        <f t="array" ref="W67">IF(Table8[[#This Row],[I_0]]&lt;Table24[Flitro de Ruido],1,Table8[[#This Row],[I_30]]/Table8[[#This Row],[I_0]])</f>
        <v>1</v>
      </c>
      <c r="X67" s="13" cm="1">
        <f t="array" ref="X67">IF(Table8[[#This Row],[I_0]]&lt;Table24[Flitro de Ruido],1,Table8[[#This Row],[I_40]]/Table8[[#This Row],[I_0]])</f>
        <v>1</v>
      </c>
      <c r="Y67" s="13" cm="1">
        <f t="array" ref="Y67">IF(Table8[[#This Row],[I_0]]&lt;Table24[Flitro de Ruido],1,Table8[[#This Row],[I_50]]/Table8[[#This Row],[I_0]])</f>
        <v>1</v>
      </c>
    </row>
    <row r="68" spans="1:25" x14ac:dyDescent="0.3">
      <c r="A68" s="13">
        <v>135.74</v>
      </c>
      <c r="B68" s="12">
        <v>0</v>
      </c>
      <c r="C68" s="11">
        <v>135.74</v>
      </c>
      <c r="D68" s="12">
        <v>0</v>
      </c>
      <c r="E68" s="11">
        <v>135.74</v>
      </c>
      <c r="F68" s="12">
        <v>0</v>
      </c>
      <c r="G68" s="11">
        <v>135.74</v>
      </c>
      <c r="H68" s="12">
        <v>0</v>
      </c>
      <c r="I68" s="11">
        <v>135.74</v>
      </c>
      <c r="J68" s="12">
        <v>0</v>
      </c>
      <c r="K68" s="11">
        <v>135.74</v>
      </c>
      <c r="L68" s="12">
        <v>0</v>
      </c>
      <c r="M68" s="11">
        <v>135.74</v>
      </c>
      <c r="N68" s="13">
        <v>0</v>
      </c>
      <c r="O68" s="11">
        <v>0</v>
      </c>
      <c r="P68" s="11">
        <v>0</v>
      </c>
      <c r="Q68" s="11">
        <v>0</v>
      </c>
      <c r="R68" s="11">
        <v>0</v>
      </c>
      <c r="S68" s="14">
        <v>0</v>
      </c>
      <c r="T68" s="11">
        <v>135.74</v>
      </c>
      <c r="U68" s="13" cm="1">
        <f t="array" ref="U68">IF(Table8[[#This Row],[I_0]]&lt;Table24[Flitro de Ruido],1,Table8[[#This Row],[I_10]]/Table8[[#This Row],[I_0]])</f>
        <v>1</v>
      </c>
      <c r="V68" s="13" cm="1">
        <f t="array" ref="V68">IF(Table8[[#This Row],[I_0]]&lt;Table24[Flitro de Ruido],1,Table8[[#This Row],[I_20]]/Table8[[#This Row],[I_0]])</f>
        <v>1</v>
      </c>
      <c r="W68" s="13" cm="1">
        <f t="array" ref="W68">IF(Table8[[#This Row],[I_0]]&lt;Table24[Flitro de Ruido],1,Table8[[#This Row],[I_30]]/Table8[[#This Row],[I_0]])</f>
        <v>1</v>
      </c>
      <c r="X68" s="13" cm="1">
        <f t="array" ref="X68">IF(Table8[[#This Row],[I_0]]&lt;Table24[Flitro de Ruido],1,Table8[[#This Row],[I_40]]/Table8[[#This Row],[I_0]])</f>
        <v>1</v>
      </c>
      <c r="Y68" s="13" cm="1">
        <f t="array" ref="Y68">IF(Table8[[#This Row],[I_0]]&lt;Table24[Flitro de Ruido],1,Table8[[#This Row],[I_50]]/Table8[[#This Row],[I_0]])</f>
        <v>1</v>
      </c>
    </row>
    <row r="69" spans="1:25" x14ac:dyDescent="0.3">
      <c r="A69" s="13">
        <v>136.72999999999999</v>
      </c>
      <c r="B69" s="12">
        <v>0</v>
      </c>
      <c r="C69" s="11">
        <v>136.72999999999999</v>
      </c>
      <c r="D69" s="12">
        <v>0</v>
      </c>
      <c r="E69" s="11">
        <v>136.72999999999999</v>
      </c>
      <c r="F69" s="12">
        <v>0</v>
      </c>
      <c r="G69" s="11">
        <v>136.72999999999999</v>
      </c>
      <c r="H69" s="12">
        <v>0</v>
      </c>
      <c r="I69" s="11">
        <v>136.72999999999999</v>
      </c>
      <c r="J69" s="12">
        <v>0</v>
      </c>
      <c r="K69" s="11">
        <v>136.72999999999999</v>
      </c>
      <c r="L69" s="12">
        <v>0</v>
      </c>
      <c r="M69" s="11">
        <v>136.72999999999999</v>
      </c>
      <c r="N69" s="13">
        <v>0</v>
      </c>
      <c r="O69" s="11">
        <v>0</v>
      </c>
      <c r="P69" s="11">
        <v>0</v>
      </c>
      <c r="Q69" s="11">
        <v>0</v>
      </c>
      <c r="R69" s="11">
        <v>0</v>
      </c>
      <c r="S69" s="14">
        <v>0</v>
      </c>
      <c r="T69" s="11">
        <v>136.72999999999999</v>
      </c>
      <c r="U69" s="13" cm="1">
        <f t="array" ref="U69">IF(Table8[[#This Row],[I_0]]&lt;Table24[Flitro de Ruido],1,Table8[[#This Row],[I_10]]/Table8[[#This Row],[I_0]])</f>
        <v>1</v>
      </c>
      <c r="V69" s="13" cm="1">
        <f t="array" ref="V69">IF(Table8[[#This Row],[I_0]]&lt;Table24[Flitro de Ruido],1,Table8[[#This Row],[I_20]]/Table8[[#This Row],[I_0]])</f>
        <v>1</v>
      </c>
      <c r="W69" s="13" cm="1">
        <f t="array" ref="W69">IF(Table8[[#This Row],[I_0]]&lt;Table24[Flitro de Ruido],1,Table8[[#This Row],[I_30]]/Table8[[#This Row],[I_0]])</f>
        <v>1</v>
      </c>
      <c r="X69" s="13" cm="1">
        <f t="array" ref="X69">IF(Table8[[#This Row],[I_0]]&lt;Table24[Flitro de Ruido],1,Table8[[#This Row],[I_40]]/Table8[[#This Row],[I_0]])</f>
        <v>1</v>
      </c>
      <c r="Y69" s="13" cm="1">
        <f t="array" ref="Y69">IF(Table8[[#This Row],[I_0]]&lt;Table24[Flitro de Ruido],1,Table8[[#This Row],[I_50]]/Table8[[#This Row],[I_0]])</f>
        <v>1</v>
      </c>
    </row>
    <row r="70" spans="1:25" x14ac:dyDescent="0.3">
      <c r="A70" s="13">
        <v>137.72</v>
      </c>
      <c r="B70" s="12">
        <v>0</v>
      </c>
      <c r="C70" s="11">
        <v>137.72</v>
      </c>
      <c r="D70" s="12">
        <v>0</v>
      </c>
      <c r="E70" s="11">
        <v>137.72</v>
      </c>
      <c r="F70" s="12">
        <v>0</v>
      </c>
      <c r="G70" s="11">
        <v>137.72</v>
      </c>
      <c r="H70" s="12">
        <v>0</v>
      </c>
      <c r="I70" s="11">
        <v>137.72</v>
      </c>
      <c r="J70" s="12">
        <v>0</v>
      </c>
      <c r="K70" s="11">
        <v>137.72</v>
      </c>
      <c r="L70" s="12">
        <v>0</v>
      </c>
      <c r="M70" s="11">
        <v>137.72</v>
      </c>
      <c r="N70" s="13">
        <v>0</v>
      </c>
      <c r="O70" s="11">
        <v>0</v>
      </c>
      <c r="P70" s="11">
        <v>0</v>
      </c>
      <c r="Q70" s="11">
        <v>0</v>
      </c>
      <c r="R70" s="11">
        <v>0</v>
      </c>
      <c r="S70" s="14">
        <v>0</v>
      </c>
      <c r="T70" s="11">
        <v>137.72</v>
      </c>
      <c r="U70" s="13" cm="1">
        <f t="array" ref="U70">IF(Table8[[#This Row],[I_0]]&lt;Table24[Flitro de Ruido],1,Table8[[#This Row],[I_10]]/Table8[[#This Row],[I_0]])</f>
        <v>1</v>
      </c>
      <c r="V70" s="13" cm="1">
        <f t="array" ref="V70">IF(Table8[[#This Row],[I_0]]&lt;Table24[Flitro de Ruido],1,Table8[[#This Row],[I_20]]/Table8[[#This Row],[I_0]])</f>
        <v>1</v>
      </c>
      <c r="W70" s="13" cm="1">
        <f t="array" ref="W70">IF(Table8[[#This Row],[I_0]]&lt;Table24[Flitro de Ruido],1,Table8[[#This Row],[I_30]]/Table8[[#This Row],[I_0]])</f>
        <v>1</v>
      </c>
      <c r="X70" s="13" cm="1">
        <f t="array" ref="X70">IF(Table8[[#This Row],[I_0]]&lt;Table24[Flitro de Ruido],1,Table8[[#This Row],[I_40]]/Table8[[#This Row],[I_0]])</f>
        <v>1</v>
      </c>
      <c r="Y70" s="13" cm="1">
        <f t="array" ref="Y70">IF(Table8[[#This Row],[I_0]]&lt;Table24[Flitro de Ruido],1,Table8[[#This Row],[I_50]]/Table8[[#This Row],[I_0]])</f>
        <v>1</v>
      </c>
    </row>
    <row r="71" spans="1:25" x14ac:dyDescent="0.3">
      <c r="A71" s="13">
        <v>138.71</v>
      </c>
      <c r="B71" s="12">
        <v>0</v>
      </c>
      <c r="C71" s="11">
        <v>138.71</v>
      </c>
      <c r="D71" s="12">
        <v>0</v>
      </c>
      <c r="E71" s="11">
        <v>138.71</v>
      </c>
      <c r="F71" s="12">
        <v>0</v>
      </c>
      <c r="G71" s="11">
        <v>138.71</v>
      </c>
      <c r="H71" s="12">
        <v>0</v>
      </c>
      <c r="I71" s="11">
        <v>138.71</v>
      </c>
      <c r="J71" s="12">
        <v>0</v>
      </c>
      <c r="K71" s="11">
        <v>138.71</v>
      </c>
      <c r="L71" s="12">
        <v>0</v>
      </c>
      <c r="M71" s="11">
        <v>138.71</v>
      </c>
      <c r="N71" s="13">
        <v>0</v>
      </c>
      <c r="O71" s="11">
        <v>0</v>
      </c>
      <c r="P71" s="11">
        <v>0</v>
      </c>
      <c r="Q71" s="11">
        <v>0</v>
      </c>
      <c r="R71" s="11">
        <v>0</v>
      </c>
      <c r="S71" s="14">
        <v>0</v>
      </c>
      <c r="T71" s="11">
        <v>138.71</v>
      </c>
      <c r="U71" s="13" cm="1">
        <f t="array" ref="U71">IF(Table8[[#This Row],[I_0]]&lt;Table24[Flitro de Ruido],1,Table8[[#This Row],[I_10]]/Table8[[#This Row],[I_0]])</f>
        <v>1</v>
      </c>
      <c r="V71" s="13" cm="1">
        <f t="array" ref="V71">IF(Table8[[#This Row],[I_0]]&lt;Table24[Flitro de Ruido],1,Table8[[#This Row],[I_20]]/Table8[[#This Row],[I_0]])</f>
        <v>1</v>
      </c>
      <c r="W71" s="13" cm="1">
        <f t="array" ref="W71">IF(Table8[[#This Row],[I_0]]&lt;Table24[Flitro de Ruido],1,Table8[[#This Row],[I_30]]/Table8[[#This Row],[I_0]])</f>
        <v>1</v>
      </c>
      <c r="X71" s="13" cm="1">
        <f t="array" ref="X71">IF(Table8[[#This Row],[I_0]]&lt;Table24[Flitro de Ruido],1,Table8[[#This Row],[I_40]]/Table8[[#This Row],[I_0]])</f>
        <v>1</v>
      </c>
      <c r="Y71" s="13" cm="1">
        <f t="array" ref="Y71">IF(Table8[[#This Row],[I_0]]&lt;Table24[Flitro de Ruido],1,Table8[[#This Row],[I_50]]/Table8[[#This Row],[I_0]])</f>
        <v>1</v>
      </c>
    </row>
    <row r="72" spans="1:25" x14ac:dyDescent="0.3">
      <c r="A72" s="13">
        <v>139.69999999999999</v>
      </c>
      <c r="B72" s="12">
        <v>0</v>
      </c>
      <c r="C72" s="11">
        <v>139.69999999999999</v>
      </c>
      <c r="D72" s="12">
        <v>0</v>
      </c>
      <c r="E72" s="11">
        <v>139.69999999999999</v>
      </c>
      <c r="F72" s="12">
        <v>0</v>
      </c>
      <c r="G72" s="11">
        <v>139.69999999999999</v>
      </c>
      <c r="H72" s="12">
        <v>0</v>
      </c>
      <c r="I72" s="11">
        <v>139.69999999999999</v>
      </c>
      <c r="J72" s="12">
        <v>0</v>
      </c>
      <c r="K72" s="11">
        <v>139.69999999999999</v>
      </c>
      <c r="L72" s="12">
        <v>0</v>
      </c>
      <c r="M72" s="11">
        <v>139.69999999999999</v>
      </c>
      <c r="N72" s="13">
        <v>0</v>
      </c>
      <c r="O72" s="11">
        <v>0</v>
      </c>
      <c r="P72" s="11">
        <v>0</v>
      </c>
      <c r="Q72" s="11">
        <v>0</v>
      </c>
      <c r="R72" s="11">
        <v>0</v>
      </c>
      <c r="S72" s="14">
        <v>0</v>
      </c>
      <c r="T72" s="11">
        <v>139.69999999999999</v>
      </c>
      <c r="U72" s="13" cm="1">
        <f t="array" ref="U72">IF(Table8[[#This Row],[I_0]]&lt;Table24[Flitro de Ruido],1,Table8[[#This Row],[I_10]]/Table8[[#This Row],[I_0]])</f>
        <v>1</v>
      </c>
      <c r="V72" s="13" cm="1">
        <f t="array" ref="V72">IF(Table8[[#This Row],[I_0]]&lt;Table24[Flitro de Ruido],1,Table8[[#This Row],[I_20]]/Table8[[#This Row],[I_0]])</f>
        <v>1</v>
      </c>
      <c r="W72" s="13" cm="1">
        <f t="array" ref="W72">IF(Table8[[#This Row],[I_0]]&lt;Table24[Flitro de Ruido],1,Table8[[#This Row],[I_30]]/Table8[[#This Row],[I_0]])</f>
        <v>1</v>
      </c>
      <c r="X72" s="13" cm="1">
        <f t="array" ref="X72">IF(Table8[[#This Row],[I_0]]&lt;Table24[Flitro de Ruido],1,Table8[[#This Row],[I_40]]/Table8[[#This Row],[I_0]])</f>
        <v>1</v>
      </c>
      <c r="Y72" s="13" cm="1">
        <f t="array" ref="Y72">IF(Table8[[#This Row],[I_0]]&lt;Table24[Flitro de Ruido],1,Table8[[#This Row],[I_50]]/Table8[[#This Row],[I_0]])</f>
        <v>1</v>
      </c>
    </row>
    <row r="73" spans="1:25" x14ac:dyDescent="0.3">
      <c r="A73" s="13">
        <v>140.69999999999999</v>
      </c>
      <c r="B73" s="12">
        <v>0</v>
      </c>
      <c r="C73" s="11">
        <v>140.69999999999999</v>
      </c>
      <c r="D73" s="12">
        <v>0</v>
      </c>
      <c r="E73" s="11">
        <v>140.69999999999999</v>
      </c>
      <c r="F73" s="12">
        <v>0</v>
      </c>
      <c r="G73" s="11">
        <v>140.69999999999999</v>
      </c>
      <c r="H73" s="12">
        <v>0</v>
      </c>
      <c r="I73" s="11">
        <v>140.69999999999999</v>
      </c>
      <c r="J73" s="12">
        <v>0</v>
      </c>
      <c r="K73" s="11">
        <v>140.69999999999999</v>
      </c>
      <c r="L73" s="12">
        <v>0</v>
      </c>
      <c r="M73" s="11">
        <v>140.69999999999999</v>
      </c>
      <c r="N73" s="13">
        <v>0</v>
      </c>
      <c r="O73" s="11">
        <v>0</v>
      </c>
      <c r="P73" s="11">
        <v>0</v>
      </c>
      <c r="Q73" s="11">
        <v>0</v>
      </c>
      <c r="R73" s="11">
        <v>0</v>
      </c>
      <c r="S73" s="14">
        <v>0</v>
      </c>
      <c r="T73" s="11">
        <v>140.69999999999999</v>
      </c>
      <c r="U73" s="13" cm="1">
        <f t="array" ref="U73">IF(Table8[[#This Row],[I_0]]&lt;Table24[Flitro de Ruido],1,Table8[[#This Row],[I_10]]/Table8[[#This Row],[I_0]])</f>
        <v>1</v>
      </c>
      <c r="V73" s="13" cm="1">
        <f t="array" ref="V73">IF(Table8[[#This Row],[I_0]]&lt;Table24[Flitro de Ruido],1,Table8[[#This Row],[I_20]]/Table8[[#This Row],[I_0]])</f>
        <v>1</v>
      </c>
      <c r="W73" s="13" cm="1">
        <f t="array" ref="W73">IF(Table8[[#This Row],[I_0]]&lt;Table24[Flitro de Ruido],1,Table8[[#This Row],[I_30]]/Table8[[#This Row],[I_0]])</f>
        <v>1</v>
      </c>
      <c r="X73" s="13" cm="1">
        <f t="array" ref="X73">IF(Table8[[#This Row],[I_0]]&lt;Table24[Flitro de Ruido],1,Table8[[#This Row],[I_40]]/Table8[[#This Row],[I_0]])</f>
        <v>1</v>
      </c>
      <c r="Y73" s="13" cm="1">
        <f t="array" ref="Y73">IF(Table8[[#This Row],[I_0]]&lt;Table24[Flitro de Ruido],1,Table8[[#This Row],[I_50]]/Table8[[#This Row],[I_0]])</f>
        <v>1</v>
      </c>
    </row>
    <row r="74" spans="1:25" x14ac:dyDescent="0.3">
      <c r="A74" s="13">
        <v>141.69</v>
      </c>
      <c r="B74" s="12">
        <v>0</v>
      </c>
      <c r="C74" s="11">
        <v>141.69</v>
      </c>
      <c r="D74" s="12">
        <v>0</v>
      </c>
      <c r="E74" s="11">
        <v>141.69</v>
      </c>
      <c r="F74" s="12">
        <v>0</v>
      </c>
      <c r="G74" s="11">
        <v>141.69</v>
      </c>
      <c r="H74" s="12">
        <v>0</v>
      </c>
      <c r="I74" s="11">
        <v>141.69</v>
      </c>
      <c r="J74" s="12">
        <v>0</v>
      </c>
      <c r="K74" s="11">
        <v>141.69</v>
      </c>
      <c r="L74" s="12">
        <v>0</v>
      </c>
      <c r="M74" s="11">
        <v>141.69</v>
      </c>
      <c r="N74" s="13">
        <v>0</v>
      </c>
      <c r="O74" s="11">
        <v>0</v>
      </c>
      <c r="P74" s="11">
        <v>0</v>
      </c>
      <c r="Q74" s="11">
        <v>0</v>
      </c>
      <c r="R74" s="11">
        <v>0</v>
      </c>
      <c r="S74" s="14">
        <v>0</v>
      </c>
      <c r="T74" s="11">
        <v>141.69</v>
      </c>
      <c r="U74" s="13" cm="1">
        <f t="array" ref="U74">IF(Table8[[#This Row],[I_0]]&lt;Table24[Flitro de Ruido],1,Table8[[#This Row],[I_10]]/Table8[[#This Row],[I_0]])</f>
        <v>1</v>
      </c>
      <c r="V74" s="13" cm="1">
        <f t="array" ref="V74">IF(Table8[[#This Row],[I_0]]&lt;Table24[Flitro de Ruido],1,Table8[[#This Row],[I_20]]/Table8[[#This Row],[I_0]])</f>
        <v>1</v>
      </c>
      <c r="W74" s="13" cm="1">
        <f t="array" ref="W74">IF(Table8[[#This Row],[I_0]]&lt;Table24[Flitro de Ruido],1,Table8[[#This Row],[I_30]]/Table8[[#This Row],[I_0]])</f>
        <v>1</v>
      </c>
      <c r="X74" s="13" cm="1">
        <f t="array" ref="X74">IF(Table8[[#This Row],[I_0]]&lt;Table24[Flitro de Ruido],1,Table8[[#This Row],[I_40]]/Table8[[#This Row],[I_0]])</f>
        <v>1</v>
      </c>
      <c r="Y74" s="13" cm="1">
        <f t="array" ref="Y74">IF(Table8[[#This Row],[I_0]]&lt;Table24[Flitro de Ruido],1,Table8[[#This Row],[I_50]]/Table8[[#This Row],[I_0]])</f>
        <v>1</v>
      </c>
    </row>
    <row r="75" spans="1:25" x14ac:dyDescent="0.3">
      <c r="A75" s="13">
        <v>142.68</v>
      </c>
      <c r="B75" s="12">
        <v>0</v>
      </c>
      <c r="C75" s="11">
        <v>142.68</v>
      </c>
      <c r="D75" s="12">
        <v>0</v>
      </c>
      <c r="E75" s="11">
        <v>142.68</v>
      </c>
      <c r="F75" s="12">
        <v>0</v>
      </c>
      <c r="G75" s="11">
        <v>142.68</v>
      </c>
      <c r="H75" s="12">
        <v>0</v>
      </c>
      <c r="I75" s="11">
        <v>142.68</v>
      </c>
      <c r="J75" s="12">
        <v>0</v>
      </c>
      <c r="K75" s="11">
        <v>142.68</v>
      </c>
      <c r="L75" s="12">
        <v>0</v>
      </c>
      <c r="M75" s="11">
        <v>142.68</v>
      </c>
      <c r="N75" s="13">
        <v>0</v>
      </c>
      <c r="O75" s="11">
        <v>0</v>
      </c>
      <c r="P75" s="11">
        <v>0</v>
      </c>
      <c r="Q75" s="11">
        <v>0</v>
      </c>
      <c r="R75" s="11">
        <v>0</v>
      </c>
      <c r="S75" s="14">
        <v>0</v>
      </c>
      <c r="T75" s="11">
        <v>142.68</v>
      </c>
      <c r="U75" s="13" cm="1">
        <f t="array" ref="U75">IF(Table8[[#This Row],[I_0]]&lt;Table24[Flitro de Ruido],1,Table8[[#This Row],[I_10]]/Table8[[#This Row],[I_0]])</f>
        <v>1</v>
      </c>
      <c r="V75" s="13" cm="1">
        <f t="array" ref="V75">IF(Table8[[#This Row],[I_0]]&lt;Table24[Flitro de Ruido],1,Table8[[#This Row],[I_20]]/Table8[[#This Row],[I_0]])</f>
        <v>1</v>
      </c>
      <c r="W75" s="13" cm="1">
        <f t="array" ref="W75">IF(Table8[[#This Row],[I_0]]&lt;Table24[Flitro de Ruido],1,Table8[[#This Row],[I_30]]/Table8[[#This Row],[I_0]])</f>
        <v>1</v>
      </c>
      <c r="X75" s="13" cm="1">
        <f t="array" ref="X75">IF(Table8[[#This Row],[I_0]]&lt;Table24[Flitro de Ruido],1,Table8[[#This Row],[I_40]]/Table8[[#This Row],[I_0]])</f>
        <v>1</v>
      </c>
      <c r="Y75" s="13" cm="1">
        <f t="array" ref="Y75">IF(Table8[[#This Row],[I_0]]&lt;Table24[Flitro de Ruido],1,Table8[[#This Row],[I_50]]/Table8[[#This Row],[I_0]])</f>
        <v>1</v>
      </c>
    </row>
    <row r="76" spans="1:25" x14ac:dyDescent="0.3">
      <c r="A76" s="13">
        <v>143.66999999999999</v>
      </c>
      <c r="B76" s="12">
        <v>0</v>
      </c>
      <c r="C76" s="11">
        <v>143.66999999999999</v>
      </c>
      <c r="D76" s="12">
        <v>0</v>
      </c>
      <c r="E76" s="11">
        <v>143.66999999999999</v>
      </c>
      <c r="F76" s="12">
        <v>0</v>
      </c>
      <c r="G76" s="11">
        <v>143.66999999999999</v>
      </c>
      <c r="H76" s="12">
        <v>0</v>
      </c>
      <c r="I76" s="11">
        <v>143.66999999999999</v>
      </c>
      <c r="J76" s="12">
        <v>0</v>
      </c>
      <c r="K76" s="11">
        <v>143.66999999999999</v>
      </c>
      <c r="L76" s="12">
        <v>0</v>
      </c>
      <c r="M76" s="11">
        <v>143.66999999999999</v>
      </c>
      <c r="N76" s="13">
        <v>0</v>
      </c>
      <c r="O76" s="11">
        <v>0</v>
      </c>
      <c r="P76" s="11">
        <v>0</v>
      </c>
      <c r="Q76" s="11">
        <v>0</v>
      </c>
      <c r="R76" s="11">
        <v>0</v>
      </c>
      <c r="S76" s="14">
        <v>0</v>
      </c>
      <c r="T76" s="11">
        <v>143.66999999999999</v>
      </c>
      <c r="U76" s="13" cm="1">
        <f t="array" ref="U76">IF(Table8[[#This Row],[I_0]]&lt;Table24[Flitro de Ruido],1,Table8[[#This Row],[I_10]]/Table8[[#This Row],[I_0]])</f>
        <v>1</v>
      </c>
      <c r="V76" s="13" cm="1">
        <f t="array" ref="V76">IF(Table8[[#This Row],[I_0]]&lt;Table24[Flitro de Ruido],1,Table8[[#This Row],[I_20]]/Table8[[#This Row],[I_0]])</f>
        <v>1</v>
      </c>
      <c r="W76" s="13" cm="1">
        <f t="array" ref="W76">IF(Table8[[#This Row],[I_0]]&lt;Table24[Flitro de Ruido],1,Table8[[#This Row],[I_30]]/Table8[[#This Row],[I_0]])</f>
        <v>1</v>
      </c>
      <c r="X76" s="13" cm="1">
        <f t="array" ref="X76">IF(Table8[[#This Row],[I_0]]&lt;Table24[Flitro de Ruido],1,Table8[[#This Row],[I_40]]/Table8[[#This Row],[I_0]])</f>
        <v>1</v>
      </c>
      <c r="Y76" s="13" cm="1">
        <f t="array" ref="Y76">IF(Table8[[#This Row],[I_0]]&lt;Table24[Flitro de Ruido],1,Table8[[#This Row],[I_50]]/Table8[[#This Row],[I_0]])</f>
        <v>1</v>
      </c>
    </row>
    <row r="77" spans="1:25" x14ac:dyDescent="0.3">
      <c r="A77" s="13">
        <v>144.66</v>
      </c>
      <c r="B77" s="12">
        <v>0</v>
      </c>
      <c r="C77" s="11">
        <v>144.66</v>
      </c>
      <c r="D77" s="12">
        <v>0</v>
      </c>
      <c r="E77" s="11">
        <v>144.66</v>
      </c>
      <c r="F77" s="12">
        <v>0</v>
      </c>
      <c r="G77" s="11">
        <v>144.66</v>
      </c>
      <c r="H77" s="12">
        <v>0</v>
      </c>
      <c r="I77" s="11">
        <v>144.66</v>
      </c>
      <c r="J77" s="12">
        <v>0</v>
      </c>
      <c r="K77" s="11">
        <v>144.66</v>
      </c>
      <c r="L77" s="12">
        <v>0</v>
      </c>
      <c r="M77" s="11">
        <v>144.66</v>
      </c>
      <c r="N77" s="13">
        <v>0</v>
      </c>
      <c r="O77" s="11">
        <v>0</v>
      </c>
      <c r="P77" s="11">
        <v>0</v>
      </c>
      <c r="Q77" s="11">
        <v>0</v>
      </c>
      <c r="R77" s="11">
        <v>0</v>
      </c>
      <c r="S77" s="14">
        <v>0</v>
      </c>
      <c r="T77" s="11">
        <v>144.66</v>
      </c>
      <c r="U77" s="13" cm="1">
        <f t="array" ref="U77">IF(Table8[[#This Row],[I_0]]&lt;Table24[Flitro de Ruido],1,Table8[[#This Row],[I_10]]/Table8[[#This Row],[I_0]])</f>
        <v>1</v>
      </c>
      <c r="V77" s="13" cm="1">
        <f t="array" ref="V77">IF(Table8[[#This Row],[I_0]]&lt;Table24[Flitro de Ruido],1,Table8[[#This Row],[I_20]]/Table8[[#This Row],[I_0]])</f>
        <v>1</v>
      </c>
      <c r="W77" s="13" cm="1">
        <f t="array" ref="W77">IF(Table8[[#This Row],[I_0]]&lt;Table24[Flitro de Ruido],1,Table8[[#This Row],[I_30]]/Table8[[#This Row],[I_0]])</f>
        <v>1</v>
      </c>
      <c r="X77" s="13" cm="1">
        <f t="array" ref="X77">IF(Table8[[#This Row],[I_0]]&lt;Table24[Flitro de Ruido],1,Table8[[#This Row],[I_40]]/Table8[[#This Row],[I_0]])</f>
        <v>1</v>
      </c>
      <c r="Y77" s="13" cm="1">
        <f t="array" ref="Y77">IF(Table8[[#This Row],[I_0]]&lt;Table24[Flitro de Ruido],1,Table8[[#This Row],[I_50]]/Table8[[#This Row],[I_0]])</f>
        <v>1</v>
      </c>
    </row>
    <row r="78" spans="1:25" x14ac:dyDescent="0.3">
      <c r="A78" s="13">
        <v>145.66</v>
      </c>
      <c r="B78" s="12">
        <v>0</v>
      </c>
      <c r="C78" s="11">
        <v>145.66</v>
      </c>
      <c r="D78" s="12">
        <v>0</v>
      </c>
      <c r="E78" s="11">
        <v>145.66</v>
      </c>
      <c r="F78" s="12">
        <v>0</v>
      </c>
      <c r="G78" s="11">
        <v>145.66</v>
      </c>
      <c r="H78" s="12">
        <v>0</v>
      </c>
      <c r="I78" s="11">
        <v>145.66</v>
      </c>
      <c r="J78" s="12">
        <v>0</v>
      </c>
      <c r="K78" s="11">
        <v>145.66</v>
      </c>
      <c r="L78" s="12">
        <v>0</v>
      </c>
      <c r="M78" s="11">
        <v>145.66</v>
      </c>
      <c r="N78" s="13">
        <v>0</v>
      </c>
      <c r="O78" s="11">
        <v>0</v>
      </c>
      <c r="P78" s="11">
        <v>0</v>
      </c>
      <c r="Q78" s="11">
        <v>0</v>
      </c>
      <c r="R78" s="11">
        <v>0</v>
      </c>
      <c r="S78" s="14">
        <v>0</v>
      </c>
      <c r="T78" s="11">
        <v>145.66</v>
      </c>
      <c r="U78" s="13" cm="1">
        <f t="array" ref="U78">IF(Table8[[#This Row],[I_0]]&lt;Table24[Flitro de Ruido],1,Table8[[#This Row],[I_10]]/Table8[[#This Row],[I_0]])</f>
        <v>1</v>
      </c>
      <c r="V78" s="13" cm="1">
        <f t="array" ref="V78">IF(Table8[[#This Row],[I_0]]&lt;Table24[Flitro de Ruido],1,Table8[[#This Row],[I_20]]/Table8[[#This Row],[I_0]])</f>
        <v>1</v>
      </c>
      <c r="W78" s="13" cm="1">
        <f t="array" ref="W78">IF(Table8[[#This Row],[I_0]]&lt;Table24[Flitro de Ruido],1,Table8[[#This Row],[I_30]]/Table8[[#This Row],[I_0]])</f>
        <v>1</v>
      </c>
      <c r="X78" s="13" cm="1">
        <f t="array" ref="X78">IF(Table8[[#This Row],[I_0]]&lt;Table24[Flitro de Ruido],1,Table8[[#This Row],[I_40]]/Table8[[#This Row],[I_0]])</f>
        <v>1</v>
      </c>
      <c r="Y78" s="13" cm="1">
        <f t="array" ref="Y78">IF(Table8[[#This Row],[I_0]]&lt;Table24[Flitro de Ruido],1,Table8[[#This Row],[I_50]]/Table8[[#This Row],[I_0]])</f>
        <v>1</v>
      </c>
    </row>
    <row r="79" spans="1:25" x14ac:dyDescent="0.3">
      <c r="A79" s="13">
        <v>146.65</v>
      </c>
      <c r="B79" s="12">
        <v>0</v>
      </c>
      <c r="C79" s="11">
        <v>146.65</v>
      </c>
      <c r="D79" s="12">
        <v>0</v>
      </c>
      <c r="E79" s="11">
        <v>146.65</v>
      </c>
      <c r="F79" s="12">
        <v>0</v>
      </c>
      <c r="G79" s="11">
        <v>146.65</v>
      </c>
      <c r="H79" s="12">
        <v>0</v>
      </c>
      <c r="I79" s="11">
        <v>146.65</v>
      </c>
      <c r="J79" s="12">
        <v>0</v>
      </c>
      <c r="K79" s="11">
        <v>146.65</v>
      </c>
      <c r="L79" s="12">
        <v>0</v>
      </c>
      <c r="M79" s="11">
        <v>146.65</v>
      </c>
      <c r="N79" s="13">
        <v>0</v>
      </c>
      <c r="O79" s="11">
        <v>0</v>
      </c>
      <c r="P79" s="11">
        <v>0</v>
      </c>
      <c r="Q79" s="11">
        <v>0</v>
      </c>
      <c r="R79" s="11">
        <v>0</v>
      </c>
      <c r="S79" s="14">
        <v>0</v>
      </c>
      <c r="T79" s="11">
        <v>146.65</v>
      </c>
      <c r="U79" s="13" cm="1">
        <f t="array" ref="U79">IF(Table8[[#This Row],[I_0]]&lt;Table24[Flitro de Ruido],1,Table8[[#This Row],[I_10]]/Table8[[#This Row],[I_0]])</f>
        <v>1</v>
      </c>
      <c r="V79" s="13" cm="1">
        <f t="array" ref="V79">IF(Table8[[#This Row],[I_0]]&lt;Table24[Flitro de Ruido],1,Table8[[#This Row],[I_20]]/Table8[[#This Row],[I_0]])</f>
        <v>1</v>
      </c>
      <c r="W79" s="13" cm="1">
        <f t="array" ref="W79">IF(Table8[[#This Row],[I_0]]&lt;Table24[Flitro de Ruido],1,Table8[[#This Row],[I_30]]/Table8[[#This Row],[I_0]])</f>
        <v>1</v>
      </c>
      <c r="X79" s="13" cm="1">
        <f t="array" ref="X79">IF(Table8[[#This Row],[I_0]]&lt;Table24[Flitro de Ruido],1,Table8[[#This Row],[I_40]]/Table8[[#This Row],[I_0]])</f>
        <v>1</v>
      </c>
      <c r="Y79" s="13" cm="1">
        <f t="array" ref="Y79">IF(Table8[[#This Row],[I_0]]&lt;Table24[Flitro de Ruido],1,Table8[[#This Row],[I_50]]/Table8[[#This Row],[I_0]])</f>
        <v>1</v>
      </c>
    </row>
    <row r="80" spans="1:25" x14ac:dyDescent="0.3">
      <c r="A80" s="13">
        <v>147.63999999999999</v>
      </c>
      <c r="B80" s="12">
        <v>0</v>
      </c>
      <c r="C80" s="11">
        <v>147.63999999999999</v>
      </c>
      <c r="D80" s="12">
        <v>0</v>
      </c>
      <c r="E80" s="11">
        <v>147.63999999999999</v>
      </c>
      <c r="F80" s="12">
        <v>0</v>
      </c>
      <c r="G80" s="11">
        <v>147.63999999999999</v>
      </c>
      <c r="H80" s="12">
        <v>0</v>
      </c>
      <c r="I80" s="11">
        <v>147.63999999999999</v>
      </c>
      <c r="J80" s="12">
        <v>0</v>
      </c>
      <c r="K80" s="11">
        <v>147.63999999999999</v>
      </c>
      <c r="L80" s="12">
        <v>0</v>
      </c>
      <c r="M80" s="11">
        <v>147.63999999999999</v>
      </c>
      <c r="N80" s="13">
        <v>0</v>
      </c>
      <c r="O80" s="11">
        <v>0</v>
      </c>
      <c r="P80" s="11">
        <v>0</v>
      </c>
      <c r="Q80" s="11">
        <v>0</v>
      </c>
      <c r="R80" s="11">
        <v>0</v>
      </c>
      <c r="S80" s="14">
        <v>0</v>
      </c>
      <c r="T80" s="11">
        <v>147.63999999999999</v>
      </c>
      <c r="U80" s="13" cm="1">
        <f t="array" ref="U80">IF(Table8[[#This Row],[I_0]]&lt;Table24[Flitro de Ruido],1,Table8[[#This Row],[I_10]]/Table8[[#This Row],[I_0]])</f>
        <v>1</v>
      </c>
      <c r="V80" s="13" cm="1">
        <f t="array" ref="V80">IF(Table8[[#This Row],[I_0]]&lt;Table24[Flitro de Ruido],1,Table8[[#This Row],[I_20]]/Table8[[#This Row],[I_0]])</f>
        <v>1</v>
      </c>
      <c r="W80" s="13" cm="1">
        <f t="array" ref="W80">IF(Table8[[#This Row],[I_0]]&lt;Table24[Flitro de Ruido],1,Table8[[#This Row],[I_30]]/Table8[[#This Row],[I_0]])</f>
        <v>1</v>
      </c>
      <c r="X80" s="13" cm="1">
        <f t="array" ref="X80">IF(Table8[[#This Row],[I_0]]&lt;Table24[Flitro de Ruido],1,Table8[[#This Row],[I_40]]/Table8[[#This Row],[I_0]])</f>
        <v>1</v>
      </c>
      <c r="Y80" s="13" cm="1">
        <f t="array" ref="Y80">IF(Table8[[#This Row],[I_0]]&lt;Table24[Flitro de Ruido],1,Table8[[#This Row],[I_50]]/Table8[[#This Row],[I_0]])</f>
        <v>1</v>
      </c>
    </row>
    <row r="81" spans="1:25" x14ac:dyDescent="0.3">
      <c r="A81" s="13">
        <v>148.63</v>
      </c>
      <c r="B81" s="12">
        <v>0</v>
      </c>
      <c r="C81" s="11">
        <v>148.63</v>
      </c>
      <c r="D81" s="12">
        <v>0</v>
      </c>
      <c r="E81" s="11">
        <v>148.63</v>
      </c>
      <c r="F81" s="12">
        <v>0</v>
      </c>
      <c r="G81" s="11">
        <v>148.63</v>
      </c>
      <c r="H81" s="12">
        <v>0</v>
      </c>
      <c r="I81" s="11">
        <v>148.63</v>
      </c>
      <c r="J81" s="12">
        <v>0</v>
      </c>
      <c r="K81" s="11">
        <v>148.63</v>
      </c>
      <c r="L81" s="12">
        <v>0</v>
      </c>
      <c r="M81" s="11">
        <v>148.63</v>
      </c>
      <c r="N81" s="13">
        <v>0</v>
      </c>
      <c r="O81" s="11">
        <v>0</v>
      </c>
      <c r="P81" s="11">
        <v>0</v>
      </c>
      <c r="Q81" s="11">
        <v>0</v>
      </c>
      <c r="R81" s="11">
        <v>0</v>
      </c>
      <c r="S81" s="14">
        <v>0</v>
      </c>
      <c r="T81" s="11">
        <v>148.63</v>
      </c>
      <c r="U81" s="13" cm="1">
        <f t="array" ref="U81">IF(Table8[[#This Row],[I_0]]&lt;Table24[Flitro de Ruido],1,Table8[[#This Row],[I_10]]/Table8[[#This Row],[I_0]])</f>
        <v>1</v>
      </c>
      <c r="V81" s="13" cm="1">
        <f t="array" ref="V81">IF(Table8[[#This Row],[I_0]]&lt;Table24[Flitro de Ruido],1,Table8[[#This Row],[I_20]]/Table8[[#This Row],[I_0]])</f>
        <v>1</v>
      </c>
      <c r="W81" s="13" cm="1">
        <f t="array" ref="W81">IF(Table8[[#This Row],[I_0]]&lt;Table24[Flitro de Ruido],1,Table8[[#This Row],[I_30]]/Table8[[#This Row],[I_0]])</f>
        <v>1</v>
      </c>
      <c r="X81" s="13" cm="1">
        <f t="array" ref="X81">IF(Table8[[#This Row],[I_0]]&lt;Table24[Flitro de Ruido],1,Table8[[#This Row],[I_40]]/Table8[[#This Row],[I_0]])</f>
        <v>1</v>
      </c>
      <c r="Y81" s="13" cm="1">
        <f t="array" ref="Y81">IF(Table8[[#This Row],[I_0]]&lt;Table24[Flitro de Ruido],1,Table8[[#This Row],[I_50]]/Table8[[#This Row],[I_0]])</f>
        <v>1</v>
      </c>
    </row>
    <row r="82" spans="1:25" x14ac:dyDescent="0.3">
      <c r="A82" s="13">
        <v>149.62</v>
      </c>
      <c r="B82" s="12">
        <v>0</v>
      </c>
      <c r="C82" s="11">
        <v>149.62</v>
      </c>
      <c r="D82" s="12">
        <v>0</v>
      </c>
      <c r="E82" s="11">
        <v>149.62</v>
      </c>
      <c r="F82" s="12">
        <v>0</v>
      </c>
      <c r="G82" s="11">
        <v>149.62</v>
      </c>
      <c r="H82" s="12">
        <v>0</v>
      </c>
      <c r="I82" s="11">
        <v>149.62</v>
      </c>
      <c r="J82" s="12">
        <v>0</v>
      </c>
      <c r="K82" s="11">
        <v>149.62</v>
      </c>
      <c r="L82" s="12">
        <v>0</v>
      </c>
      <c r="M82" s="11">
        <v>149.62</v>
      </c>
      <c r="N82" s="13">
        <v>0</v>
      </c>
      <c r="O82" s="11">
        <v>0</v>
      </c>
      <c r="P82" s="11">
        <v>0</v>
      </c>
      <c r="Q82" s="11">
        <v>0</v>
      </c>
      <c r="R82" s="11">
        <v>0</v>
      </c>
      <c r="S82" s="14">
        <v>0</v>
      </c>
      <c r="T82" s="11">
        <v>149.62</v>
      </c>
      <c r="U82" s="13" cm="1">
        <f t="array" ref="U82">IF(Table8[[#This Row],[I_0]]&lt;Table24[Flitro de Ruido],1,Table8[[#This Row],[I_10]]/Table8[[#This Row],[I_0]])</f>
        <v>1</v>
      </c>
      <c r="V82" s="13" cm="1">
        <f t="array" ref="V82">IF(Table8[[#This Row],[I_0]]&lt;Table24[Flitro de Ruido],1,Table8[[#This Row],[I_20]]/Table8[[#This Row],[I_0]])</f>
        <v>1</v>
      </c>
      <c r="W82" s="13" cm="1">
        <f t="array" ref="W82">IF(Table8[[#This Row],[I_0]]&lt;Table24[Flitro de Ruido],1,Table8[[#This Row],[I_30]]/Table8[[#This Row],[I_0]])</f>
        <v>1</v>
      </c>
      <c r="X82" s="13" cm="1">
        <f t="array" ref="X82">IF(Table8[[#This Row],[I_0]]&lt;Table24[Flitro de Ruido],1,Table8[[#This Row],[I_40]]/Table8[[#This Row],[I_0]])</f>
        <v>1</v>
      </c>
      <c r="Y82" s="13" cm="1">
        <f t="array" ref="Y82">IF(Table8[[#This Row],[I_0]]&lt;Table24[Flitro de Ruido],1,Table8[[#This Row],[I_50]]/Table8[[#This Row],[I_0]])</f>
        <v>1</v>
      </c>
    </row>
    <row r="83" spans="1:25" x14ac:dyDescent="0.3">
      <c r="A83" s="13">
        <v>150.61000000000001</v>
      </c>
      <c r="B83" s="12">
        <v>0</v>
      </c>
      <c r="C83" s="11">
        <v>150.61000000000001</v>
      </c>
      <c r="D83" s="12">
        <v>0</v>
      </c>
      <c r="E83" s="11">
        <v>150.61000000000001</v>
      </c>
      <c r="F83" s="12">
        <v>0</v>
      </c>
      <c r="G83" s="11">
        <v>150.61000000000001</v>
      </c>
      <c r="H83" s="12">
        <v>0</v>
      </c>
      <c r="I83" s="11">
        <v>150.61000000000001</v>
      </c>
      <c r="J83" s="12">
        <v>0</v>
      </c>
      <c r="K83" s="11">
        <v>150.61000000000001</v>
      </c>
      <c r="L83" s="12">
        <v>0</v>
      </c>
      <c r="M83" s="11">
        <v>150.61000000000001</v>
      </c>
      <c r="N83" s="13">
        <v>0</v>
      </c>
      <c r="O83" s="11">
        <v>0</v>
      </c>
      <c r="P83" s="11">
        <v>0</v>
      </c>
      <c r="Q83" s="11">
        <v>0</v>
      </c>
      <c r="R83" s="11">
        <v>0</v>
      </c>
      <c r="S83" s="14">
        <v>0</v>
      </c>
      <c r="T83" s="11">
        <v>150.61000000000001</v>
      </c>
      <c r="U83" s="13" cm="1">
        <f t="array" ref="U83">IF(Table8[[#This Row],[I_0]]&lt;Table24[Flitro de Ruido],1,Table8[[#This Row],[I_10]]/Table8[[#This Row],[I_0]])</f>
        <v>1</v>
      </c>
      <c r="V83" s="13" cm="1">
        <f t="array" ref="V83">IF(Table8[[#This Row],[I_0]]&lt;Table24[Flitro de Ruido],1,Table8[[#This Row],[I_20]]/Table8[[#This Row],[I_0]])</f>
        <v>1</v>
      </c>
      <c r="W83" s="13" cm="1">
        <f t="array" ref="W83">IF(Table8[[#This Row],[I_0]]&lt;Table24[Flitro de Ruido],1,Table8[[#This Row],[I_30]]/Table8[[#This Row],[I_0]])</f>
        <v>1</v>
      </c>
      <c r="X83" s="13" cm="1">
        <f t="array" ref="X83">IF(Table8[[#This Row],[I_0]]&lt;Table24[Flitro de Ruido],1,Table8[[#This Row],[I_40]]/Table8[[#This Row],[I_0]])</f>
        <v>1</v>
      </c>
      <c r="Y83" s="13" cm="1">
        <f t="array" ref="Y83">IF(Table8[[#This Row],[I_0]]&lt;Table24[Flitro de Ruido],1,Table8[[#This Row],[I_50]]/Table8[[#This Row],[I_0]])</f>
        <v>1</v>
      </c>
    </row>
    <row r="84" spans="1:25" x14ac:dyDescent="0.3">
      <c r="A84" s="13">
        <v>151.61000000000001</v>
      </c>
      <c r="B84" s="12">
        <v>0</v>
      </c>
      <c r="C84" s="11">
        <v>151.61000000000001</v>
      </c>
      <c r="D84" s="12">
        <v>0</v>
      </c>
      <c r="E84" s="11">
        <v>151.61000000000001</v>
      </c>
      <c r="F84" s="12">
        <v>0</v>
      </c>
      <c r="G84" s="11">
        <v>151.61000000000001</v>
      </c>
      <c r="H84" s="12">
        <v>0</v>
      </c>
      <c r="I84" s="11">
        <v>151.61000000000001</v>
      </c>
      <c r="J84" s="12">
        <v>0</v>
      </c>
      <c r="K84" s="11">
        <v>151.61000000000001</v>
      </c>
      <c r="L84" s="12">
        <v>0</v>
      </c>
      <c r="M84" s="11">
        <v>151.61000000000001</v>
      </c>
      <c r="N84" s="13">
        <v>0</v>
      </c>
      <c r="O84" s="11">
        <v>0</v>
      </c>
      <c r="P84" s="11">
        <v>0</v>
      </c>
      <c r="Q84" s="11">
        <v>0</v>
      </c>
      <c r="R84" s="11">
        <v>0</v>
      </c>
      <c r="S84" s="14">
        <v>0</v>
      </c>
      <c r="T84" s="11">
        <v>151.61000000000001</v>
      </c>
      <c r="U84" s="13" cm="1">
        <f t="array" ref="U84">IF(Table8[[#This Row],[I_0]]&lt;Table24[Flitro de Ruido],1,Table8[[#This Row],[I_10]]/Table8[[#This Row],[I_0]])</f>
        <v>1</v>
      </c>
      <c r="V84" s="13" cm="1">
        <f t="array" ref="V84">IF(Table8[[#This Row],[I_0]]&lt;Table24[Flitro de Ruido],1,Table8[[#This Row],[I_20]]/Table8[[#This Row],[I_0]])</f>
        <v>1</v>
      </c>
      <c r="W84" s="13" cm="1">
        <f t="array" ref="W84">IF(Table8[[#This Row],[I_0]]&lt;Table24[Flitro de Ruido],1,Table8[[#This Row],[I_30]]/Table8[[#This Row],[I_0]])</f>
        <v>1</v>
      </c>
      <c r="X84" s="13" cm="1">
        <f t="array" ref="X84">IF(Table8[[#This Row],[I_0]]&lt;Table24[Flitro de Ruido],1,Table8[[#This Row],[I_40]]/Table8[[#This Row],[I_0]])</f>
        <v>1</v>
      </c>
      <c r="Y84" s="13" cm="1">
        <f t="array" ref="Y84">IF(Table8[[#This Row],[I_0]]&lt;Table24[Flitro de Ruido],1,Table8[[#This Row],[I_50]]/Table8[[#This Row],[I_0]])</f>
        <v>1</v>
      </c>
    </row>
    <row r="85" spans="1:25" x14ac:dyDescent="0.3">
      <c r="A85" s="13">
        <v>152.6</v>
      </c>
      <c r="B85" s="12">
        <v>0</v>
      </c>
      <c r="C85" s="11">
        <v>152.6</v>
      </c>
      <c r="D85" s="12">
        <v>0</v>
      </c>
      <c r="E85" s="11">
        <v>152.6</v>
      </c>
      <c r="F85" s="12">
        <v>0</v>
      </c>
      <c r="G85" s="11">
        <v>152.6</v>
      </c>
      <c r="H85" s="12">
        <v>0</v>
      </c>
      <c r="I85" s="11">
        <v>152.6</v>
      </c>
      <c r="J85" s="12">
        <v>0</v>
      </c>
      <c r="K85" s="11">
        <v>152.6</v>
      </c>
      <c r="L85" s="12">
        <v>0</v>
      </c>
      <c r="M85" s="11">
        <v>152.6</v>
      </c>
      <c r="N85" s="13">
        <v>0</v>
      </c>
      <c r="O85" s="11">
        <v>0</v>
      </c>
      <c r="P85" s="11">
        <v>0</v>
      </c>
      <c r="Q85" s="11">
        <v>0</v>
      </c>
      <c r="R85" s="11">
        <v>0</v>
      </c>
      <c r="S85" s="14">
        <v>0</v>
      </c>
      <c r="T85" s="11">
        <v>152.6</v>
      </c>
      <c r="U85" s="13" cm="1">
        <f t="array" ref="U85">IF(Table8[[#This Row],[I_0]]&lt;Table24[Flitro de Ruido],1,Table8[[#This Row],[I_10]]/Table8[[#This Row],[I_0]])</f>
        <v>1</v>
      </c>
      <c r="V85" s="13" cm="1">
        <f t="array" ref="V85">IF(Table8[[#This Row],[I_0]]&lt;Table24[Flitro de Ruido],1,Table8[[#This Row],[I_20]]/Table8[[#This Row],[I_0]])</f>
        <v>1</v>
      </c>
      <c r="W85" s="13" cm="1">
        <f t="array" ref="W85">IF(Table8[[#This Row],[I_0]]&lt;Table24[Flitro de Ruido],1,Table8[[#This Row],[I_30]]/Table8[[#This Row],[I_0]])</f>
        <v>1</v>
      </c>
      <c r="X85" s="13" cm="1">
        <f t="array" ref="X85">IF(Table8[[#This Row],[I_0]]&lt;Table24[Flitro de Ruido],1,Table8[[#This Row],[I_40]]/Table8[[#This Row],[I_0]])</f>
        <v>1</v>
      </c>
      <c r="Y85" s="13" cm="1">
        <f t="array" ref="Y85">IF(Table8[[#This Row],[I_0]]&lt;Table24[Flitro de Ruido],1,Table8[[#This Row],[I_50]]/Table8[[#This Row],[I_0]])</f>
        <v>1</v>
      </c>
    </row>
    <row r="86" spans="1:25" x14ac:dyDescent="0.3">
      <c r="A86" s="13">
        <v>153.59</v>
      </c>
      <c r="B86" s="12">
        <v>0</v>
      </c>
      <c r="C86" s="11">
        <v>153.59</v>
      </c>
      <c r="D86" s="12">
        <v>0</v>
      </c>
      <c r="E86" s="11">
        <v>153.59</v>
      </c>
      <c r="F86" s="12">
        <v>0</v>
      </c>
      <c r="G86" s="11">
        <v>153.59</v>
      </c>
      <c r="H86" s="12">
        <v>0</v>
      </c>
      <c r="I86" s="11">
        <v>153.59</v>
      </c>
      <c r="J86" s="12">
        <v>0</v>
      </c>
      <c r="K86" s="11">
        <v>153.59</v>
      </c>
      <c r="L86" s="12">
        <v>0</v>
      </c>
      <c r="M86" s="11">
        <v>153.59</v>
      </c>
      <c r="N86" s="13">
        <v>0</v>
      </c>
      <c r="O86" s="11">
        <v>0</v>
      </c>
      <c r="P86" s="11">
        <v>0</v>
      </c>
      <c r="Q86" s="11">
        <v>0</v>
      </c>
      <c r="R86" s="11">
        <v>0</v>
      </c>
      <c r="S86" s="14">
        <v>0</v>
      </c>
      <c r="T86" s="11">
        <v>153.59</v>
      </c>
      <c r="U86" s="13" cm="1">
        <f t="array" ref="U86">IF(Table8[[#This Row],[I_0]]&lt;Table24[Flitro de Ruido],1,Table8[[#This Row],[I_10]]/Table8[[#This Row],[I_0]])</f>
        <v>1</v>
      </c>
      <c r="V86" s="13" cm="1">
        <f t="array" ref="V86">IF(Table8[[#This Row],[I_0]]&lt;Table24[Flitro de Ruido],1,Table8[[#This Row],[I_20]]/Table8[[#This Row],[I_0]])</f>
        <v>1</v>
      </c>
      <c r="W86" s="13" cm="1">
        <f t="array" ref="W86">IF(Table8[[#This Row],[I_0]]&lt;Table24[Flitro de Ruido],1,Table8[[#This Row],[I_30]]/Table8[[#This Row],[I_0]])</f>
        <v>1</v>
      </c>
      <c r="X86" s="13" cm="1">
        <f t="array" ref="X86">IF(Table8[[#This Row],[I_0]]&lt;Table24[Flitro de Ruido],1,Table8[[#This Row],[I_40]]/Table8[[#This Row],[I_0]])</f>
        <v>1</v>
      </c>
      <c r="Y86" s="13" cm="1">
        <f t="array" ref="Y86">IF(Table8[[#This Row],[I_0]]&lt;Table24[Flitro de Ruido],1,Table8[[#This Row],[I_50]]/Table8[[#This Row],[I_0]])</f>
        <v>1</v>
      </c>
    </row>
    <row r="87" spans="1:25" x14ac:dyDescent="0.3">
      <c r="A87" s="13">
        <v>154.58000000000001</v>
      </c>
      <c r="B87" s="12">
        <v>0</v>
      </c>
      <c r="C87" s="11">
        <v>154.58000000000001</v>
      </c>
      <c r="D87" s="12">
        <v>0</v>
      </c>
      <c r="E87" s="11">
        <v>154.58000000000001</v>
      </c>
      <c r="F87" s="12">
        <v>0</v>
      </c>
      <c r="G87" s="11">
        <v>154.58000000000001</v>
      </c>
      <c r="H87" s="12">
        <v>0</v>
      </c>
      <c r="I87" s="11">
        <v>154.58000000000001</v>
      </c>
      <c r="J87" s="12">
        <v>0</v>
      </c>
      <c r="K87" s="11">
        <v>154.58000000000001</v>
      </c>
      <c r="L87" s="12">
        <v>0</v>
      </c>
      <c r="M87" s="11">
        <v>154.58000000000001</v>
      </c>
      <c r="N87" s="13">
        <v>0</v>
      </c>
      <c r="O87" s="11">
        <v>0</v>
      </c>
      <c r="P87" s="11">
        <v>0</v>
      </c>
      <c r="Q87" s="11">
        <v>0</v>
      </c>
      <c r="R87" s="11">
        <v>0</v>
      </c>
      <c r="S87" s="14">
        <v>0</v>
      </c>
      <c r="T87" s="11">
        <v>154.58000000000001</v>
      </c>
      <c r="U87" s="13" cm="1">
        <f t="array" ref="U87">IF(Table8[[#This Row],[I_0]]&lt;Table24[Flitro de Ruido],1,Table8[[#This Row],[I_10]]/Table8[[#This Row],[I_0]])</f>
        <v>1</v>
      </c>
      <c r="V87" s="13" cm="1">
        <f t="array" ref="V87">IF(Table8[[#This Row],[I_0]]&lt;Table24[Flitro de Ruido],1,Table8[[#This Row],[I_20]]/Table8[[#This Row],[I_0]])</f>
        <v>1</v>
      </c>
      <c r="W87" s="13" cm="1">
        <f t="array" ref="W87">IF(Table8[[#This Row],[I_0]]&lt;Table24[Flitro de Ruido],1,Table8[[#This Row],[I_30]]/Table8[[#This Row],[I_0]])</f>
        <v>1</v>
      </c>
      <c r="X87" s="13" cm="1">
        <f t="array" ref="X87">IF(Table8[[#This Row],[I_0]]&lt;Table24[Flitro de Ruido],1,Table8[[#This Row],[I_40]]/Table8[[#This Row],[I_0]])</f>
        <v>1</v>
      </c>
      <c r="Y87" s="13" cm="1">
        <f t="array" ref="Y87">IF(Table8[[#This Row],[I_0]]&lt;Table24[Flitro de Ruido],1,Table8[[#This Row],[I_50]]/Table8[[#This Row],[I_0]])</f>
        <v>1</v>
      </c>
    </row>
    <row r="88" spans="1:25" x14ac:dyDescent="0.3">
      <c r="A88" s="13">
        <v>155.57</v>
      </c>
      <c r="B88" s="12">
        <v>0</v>
      </c>
      <c r="C88" s="11">
        <v>155.57</v>
      </c>
      <c r="D88" s="12">
        <v>0</v>
      </c>
      <c r="E88" s="11">
        <v>155.57</v>
      </c>
      <c r="F88" s="12">
        <v>0</v>
      </c>
      <c r="G88" s="11">
        <v>155.57</v>
      </c>
      <c r="H88" s="12">
        <v>0</v>
      </c>
      <c r="I88" s="11">
        <v>155.57</v>
      </c>
      <c r="J88" s="12">
        <v>0</v>
      </c>
      <c r="K88" s="11">
        <v>155.57</v>
      </c>
      <c r="L88" s="12">
        <v>0</v>
      </c>
      <c r="M88" s="11">
        <v>155.57</v>
      </c>
      <c r="N88" s="13">
        <v>0</v>
      </c>
      <c r="O88" s="11">
        <v>0</v>
      </c>
      <c r="P88" s="11">
        <v>0</v>
      </c>
      <c r="Q88" s="11">
        <v>0</v>
      </c>
      <c r="R88" s="11">
        <v>0</v>
      </c>
      <c r="S88" s="14">
        <v>0</v>
      </c>
      <c r="T88" s="11">
        <v>155.57</v>
      </c>
      <c r="U88" s="13" cm="1">
        <f t="array" ref="U88">IF(Table8[[#This Row],[I_0]]&lt;Table24[Flitro de Ruido],1,Table8[[#This Row],[I_10]]/Table8[[#This Row],[I_0]])</f>
        <v>1</v>
      </c>
      <c r="V88" s="13" cm="1">
        <f t="array" ref="V88">IF(Table8[[#This Row],[I_0]]&lt;Table24[Flitro de Ruido],1,Table8[[#This Row],[I_20]]/Table8[[#This Row],[I_0]])</f>
        <v>1</v>
      </c>
      <c r="W88" s="13" cm="1">
        <f t="array" ref="W88">IF(Table8[[#This Row],[I_0]]&lt;Table24[Flitro de Ruido],1,Table8[[#This Row],[I_30]]/Table8[[#This Row],[I_0]])</f>
        <v>1</v>
      </c>
      <c r="X88" s="13" cm="1">
        <f t="array" ref="X88">IF(Table8[[#This Row],[I_0]]&lt;Table24[Flitro de Ruido],1,Table8[[#This Row],[I_40]]/Table8[[#This Row],[I_0]])</f>
        <v>1</v>
      </c>
      <c r="Y88" s="13" cm="1">
        <f t="array" ref="Y88">IF(Table8[[#This Row],[I_0]]&lt;Table24[Flitro de Ruido],1,Table8[[#This Row],[I_50]]/Table8[[#This Row],[I_0]])</f>
        <v>1</v>
      </c>
    </row>
    <row r="89" spans="1:25" x14ac:dyDescent="0.3">
      <c r="A89" s="13">
        <v>156.56</v>
      </c>
      <c r="B89" s="12">
        <v>0</v>
      </c>
      <c r="C89" s="11">
        <v>156.56</v>
      </c>
      <c r="D89" s="12">
        <v>0</v>
      </c>
      <c r="E89" s="11">
        <v>156.56</v>
      </c>
      <c r="F89" s="12">
        <v>0</v>
      </c>
      <c r="G89" s="11">
        <v>156.56</v>
      </c>
      <c r="H89" s="12">
        <v>0</v>
      </c>
      <c r="I89" s="11">
        <v>156.56</v>
      </c>
      <c r="J89" s="12">
        <v>0</v>
      </c>
      <c r="K89" s="11">
        <v>156.56</v>
      </c>
      <c r="L89" s="12">
        <v>0</v>
      </c>
      <c r="M89" s="11">
        <v>156.56</v>
      </c>
      <c r="N89" s="13">
        <v>0</v>
      </c>
      <c r="O89" s="11">
        <v>0</v>
      </c>
      <c r="P89" s="11">
        <v>0</v>
      </c>
      <c r="Q89" s="11">
        <v>0</v>
      </c>
      <c r="R89" s="11">
        <v>0</v>
      </c>
      <c r="S89" s="14">
        <v>0</v>
      </c>
      <c r="T89" s="11">
        <v>156.56</v>
      </c>
      <c r="U89" s="13" cm="1">
        <f t="array" ref="U89">IF(Table8[[#This Row],[I_0]]&lt;Table24[Flitro de Ruido],1,Table8[[#This Row],[I_10]]/Table8[[#This Row],[I_0]])</f>
        <v>1</v>
      </c>
      <c r="V89" s="13" cm="1">
        <f t="array" ref="V89">IF(Table8[[#This Row],[I_0]]&lt;Table24[Flitro de Ruido],1,Table8[[#This Row],[I_20]]/Table8[[#This Row],[I_0]])</f>
        <v>1</v>
      </c>
      <c r="W89" s="13" cm="1">
        <f t="array" ref="W89">IF(Table8[[#This Row],[I_0]]&lt;Table24[Flitro de Ruido],1,Table8[[#This Row],[I_30]]/Table8[[#This Row],[I_0]])</f>
        <v>1</v>
      </c>
      <c r="X89" s="13" cm="1">
        <f t="array" ref="X89">IF(Table8[[#This Row],[I_0]]&lt;Table24[Flitro de Ruido],1,Table8[[#This Row],[I_40]]/Table8[[#This Row],[I_0]])</f>
        <v>1</v>
      </c>
      <c r="Y89" s="13" cm="1">
        <f t="array" ref="Y89">IF(Table8[[#This Row],[I_0]]&lt;Table24[Flitro de Ruido],1,Table8[[#This Row],[I_50]]/Table8[[#This Row],[I_0]])</f>
        <v>1</v>
      </c>
    </row>
    <row r="90" spans="1:25" x14ac:dyDescent="0.3">
      <c r="A90" s="13">
        <v>157.56</v>
      </c>
      <c r="B90" s="12">
        <v>0</v>
      </c>
      <c r="C90" s="11">
        <v>157.56</v>
      </c>
      <c r="D90" s="12">
        <v>0</v>
      </c>
      <c r="E90" s="11">
        <v>157.56</v>
      </c>
      <c r="F90" s="12">
        <v>0</v>
      </c>
      <c r="G90" s="11">
        <v>157.56</v>
      </c>
      <c r="H90" s="12">
        <v>0</v>
      </c>
      <c r="I90" s="11">
        <v>157.56</v>
      </c>
      <c r="J90" s="12">
        <v>0</v>
      </c>
      <c r="K90" s="11">
        <v>157.56</v>
      </c>
      <c r="L90" s="12">
        <v>0</v>
      </c>
      <c r="M90" s="11">
        <v>157.56</v>
      </c>
      <c r="N90" s="13">
        <v>0</v>
      </c>
      <c r="O90" s="11">
        <v>0</v>
      </c>
      <c r="P90" s="11">
        <v>0</v>
      </c>
      <c r="Q90" s="11">
        <v>0</v>
      </c>
      <c r="R90" s="11">
        <v>0</v>
      </c>
      <c r="S90" s="14">
        <v>0</v>
      </c>
      <c r="T90" s="11">
        <v>157.56</v>
      </c>
      <c r="U90" s="13" cm="1">
        <f t="array" ref="U90">IF(Table8[[#This Row],[I_0]]&lt;Table24[Flitro de Ruido],1,Table8[[#This Row],[I_10]]/Table8[[#This Row],[I_0]])</f>
        <v>1</v>
      </c>
      <c r="V90" s="13" cm="1">
        <f t="array" ref="V90">IF(Table8[[#This Row],[I_0]]&lt;Table24[Flitro de Ruido],1,Table8[[#This Row],[I_20]]/Table8[[#This Row],[I_0]])</f>
        <v>1</v>
      </c>
      <c r="W90" s="13" cm="1">
        <f t="array" ref="W90">IF(Table8[[#This Row],[I_0]]&lt;Table24[Flitro de Ruido],1,Table8[[#This Row],[I_30]]/Table8[[#This Row],[I_0]])</f>
        <v>1</v>
      </c>
      <c r="X90" s="13" cm="1">
        <f t="array" ref="X90">IF(Table8[[#This Row],[I_0]]&lt;Table24[Flitro de Ruido],1,Table8[[#This Row],[I_40]]/Table8[[#This Row],[I_0]])</f>
        <v>1</v>
      </c>
      <c r="Y90" s="13" cm="1">
        <f t="array" ref="Y90">IF(Table8[[#This Row],[I_0]]&lt;Table24[Flitro de Ruido],1,Table8[[#This Row],[I_50]]/Table8[[#This Row],[I_0]])</f>
        <v>1</v>
      </c>
    </row>
    <row r="91" spans="1:25" x14ac:dyDescent="0.3">
      <c r="A91" s="13">
        <v>158.55000000000001</v>
      </c>
      <c r="B91" s="12">
        <v>0</v>
      </c>
      <c r="C91" s="11">
        <v>158.55000000000001</v>
      </c>
      <c r="D91" s="12">
        <v>0</v>
      </c>
      <c r="E91" s="11">
        <v>158.55000000000001</v>
      </c>
      <c r="F91" s="12">
        <v>0</v>
      </c>
      <c r="G91" s="11">
        <v>158.55000000000001</v>
      </c>
      <c r="H91" s="12">
        <v>0</v>
      </c>
      <c r="I91" s="11">
        <v>158.55000000000001</v>
      </c>
      <c r="J91" s="12">
        <v>0</v>
      </c>
      <c r="K91" s="11">
        <v>158.55000000000001</v>
      </c>
      <c r="L91" s="12">
        <v>0</v>
      </c>
      <c r="M91" s="11">
        <v>158.55000000000001</v>
      </c>
      <c r="N91" s="13">
        <v>0</v>
      </c>
      <c r="O91" s="11">
        <v>0</v>
      </c>
      <c r="P91" s="11">
        <v>0</v>
      </c>
      <c r="Q91" s="11">
        <v>0</v>
      </c>
      <c r="R91" s="11">
        <v>0</v>
      </c>
      <c r="S91" s="14">
        <v>0</v>
      </c>
      <c r="T91" s="11">
        <v>158.55000000000001</v>
      </c>
      <c r="U91" s="13" cm="1">
        <f t="array" ref="U91">IF(Table8[[#This Row],[I_0]]&lt;Table24[Flitro de Ruido],1,Table8[[#This Row],[I_10]]/Table8[[#This Row],[I_0]])</f>
        <v>1</v>
      </c>
      <c r="V91" s="13" cm="1">
        <f t="array" ref="V91">IF(Table8[[#This Row],[I_0]]&lt;Table24[Flitro de Ruido],1,Table8[[#This Row],[I_20]]/Table8[[#This Row],[I_0]])</f>
        <v>1</v>
      </c>
      <c r="W91" s="13" cm="1">
        <f t="array" ref="W91">IF(Table8[[#This Row],[I_0]]&lt;Table24[Flitro de Ruido],1,Table8[[#This Row],[I_30]]/Table8[[#This Row],[I_0]])</f>
        <v>1</v>
      </c>
      <c r="X91" s="13" cm="1">
        <f t="array" ref="X91">IF(Table8[[#This Row],[I_0]]&lt;Table24[Flitro de Ruido],1,Table8[[#This Row],[I_40]]/Table8[[#This Row],[I_0]])</f>
        <v>1</v>
      </c>
      <c r="Y91" s="13" cm="1">
        <f t="array" ref="Y91">IF(Table8[[#This Row],[I_0]]&lt;Table24[Flitro de Ruido],1,Table8[[#This Row],[I_50]]/Table8[[#This Row],[I_0]])</f>
        <v>1</v>
      </c>
    </row>
    <row r="92" spans="1:25" x14ac:dyDescent="0.3">
      <c r="A92" s="13">
        <v>159.54</v>
      </c>
      <c r="B92" s="12">
        <v>0</v>
      </c>
      <c r="C92" s="11">
        <v>159.54</v>
      </c>
      <c r="D92" s="12">
        <v>0</v>
      </c>
      <c r="E92" s="11">
        <v>159.54</v>
      </c>
      <c r="F92" s="12">
        <v>0</v>
      </c>
      <c r="G92" s="11">
        <v>159.54</v>
      </c>
      <c r="H92" s="12">
        <v>0</v>
      </c>
      <c r="I92" s="11">
        <v>159.54</v>
      </c>
      <c r="J92" s="12">
        <v>0</v>
      </c>
      <c r="K92" s="11">
        <v>159.54</v>
      </c>
      <c r="L92" s="12">
        <v>0</v>
      </c>
      <c r="M92" s="11">
        <v>159.54</v>
      </c>
      <c r="N92" s="13">
        <v>0</v>
      </c>
      <c r="O92" s="11">
        <v>0</v>
      </c>
      <c r="P92" s="11">
        <v>0</v>
      </c>
      <c r="Q92" s="11">
        <v>0</v>
      </c>
      <c r="R92" s="11">
        <v>0</v>
      </c>
      <c r="S92" s="14">
        <v>0</v>
      </c>
      <c r="T92" s="11">
        <v>159.54</v>
      </c>
      <c r="U92" s="13" cm="1">
        <f t="array" ref="U92">IF(Table8[[#This Row],[I_0]]&lt;Table24[Flitro de Ruido],1,Table8[[#This Row],[I_10]]/Table8[[#This Row],[I_0]])</f>
        <v>1</v>
      </c>
      <c r="V92" s="13" cm="1">
        <f t="array" ref="V92">IF(Table8[[#This Row],[I_0]]&lt;Table24[Flitro de Ruido],1,Table8[[#This Row],[I_20]]/Table8[[#This Row],[I_0]])</f>
        <v>1</v>
      </c>
      <c r="W92" s="13" cm="1">
        <f t="array" ref="W92">IF(Table8[[#This Row],[I_0]]&lt;Table24[Flitro de Ruido],1,Table8[[#This Row],[I_30]]/Table8[[#This Row],[I_0]])</f>
        <v>1</v>
      </c>
      <c r="X92" s="13" cm="1">
        <f t="array" ref="X92">IF(Table8[[#This Row],[I_0]]&lt;Table24[Flitro de Ruido],1,Table8[[#This Row],[I_40]]/Table8[[#This Row],[I_0]])</f>
        <v>1</v>
      </c>
      <c r="Y92" s="13" cm="1">
        <f t="array" ref="Y92">IF(Table8[[#This Row],[I_0]]&lt;Table24[Flitro de Ruido],1,Table8[[#This Row],[I_50]]/Table8[[#This Row],[I_0]])</f>
        <v>1</v>
      </c>
    </row>
    <row r="93" spans="1:25" x14ac:dyDescent="0.3">
      <c r="A93" s="13">
        <v>160.53</v>
      </c>
      <c r="B93" s="12">
        <v>0</v>
      </c>
      <c r="C93" s="11">
        <v>160.53</v>
      </c>
      <c r="D93" s="12">
        <v>0</v>
      </c>
      <c r="E93" s="11">
        <v>160.53</v>
      </c>
      <c r="F93" s="12">
        <v>0</v>
      </c>
      <c r="G93" s="11">
        <v>160.53</v>
      </c>
      <c r="H93" s="12">
        <v>0</v>
      </c>
      <c r="I93" s="11">
        <v>160.53</v>
      </c>
      <c r="J93" s="12">
        <v>0</v>
      </c>
      <c r="K93" s="11">
        <v>160.53</v>
      </c>
      <c r="L93" s="12">
        <v>0</v>
      </c>
      <c r="M93" s="11">
        <v>160.53</v>
      </c>
      <c r="N93" s="13">
        <v>0</v>
      </c>
      <c r="O93" s="11">
        <v>0</v>
      </c>
      <c r="P93" s="11">
        <v>0</v>
      </c>
      <c r="Q93" s="11">
        <v>0</v>
      </c>
      <c r="R93" s="11">
        <v>0</v>
      </c>
      <c r="S93" s="14">
        <v>0</v>
      </c>
      <c r="T93" s="11">
        <v>160.53</v>
      </c>
      <c r="U93" s="13" cm="1">
        <f t="array" ref="U93">IF(Table8[[#This Row],[I_0]]&lt;Table24[Flitro de Ruido],1,Table8[[#This Row],[I_10]]/Table8[[#This Row],[I_0]])</f>
        <v>1</v>
      </c>
      <c r="V93" s="13" cm="1">
        <f t="array" ref="V93">IF(Table8[[#This Row],[I_0]]&lt;Table24[Flitro de Ruido],1,Table8[[#This Row],[I_20]]/Table8[[#This Row],[I_0]])</f>
        <v>1</v>
      </c>
      <c r="W93" s="13" cm="1">
        <f t="array" ref="W93">IF(Table8[[#This Row],[I_0]]&lt;Table24[Flitro de Ruido],1,Table8[[#This Row],[I_30]]/Table8[[#This Row],[I_0]])</f>
        <v>1</v>
      </c>
      <c r="X93" s="13" cm="1">
        <f t="array" ref="X93">IF(Table8[[#This Row],[I_0]]&lt;Table24[Flitro de Ruido],1,Table8[[#This Row],[I_40]]/Table8[[#This Row],[I_0]])</f>
        <v>1</v>
      </c>
      <c r="Y93" s="13" cm="1">
        <f t="array" ref="Y93">IF(Table8[[#This Row],[I_0]]&lt;Table24[Flitro de Ruido],1,Table8[[#This Row],[I_50]]/Table8[[#This Row],[I_0]])</f>
        <v>1</v>
      </c>
    </row>
    <row r="94" spans="1:25" x14ac:dyDescent="0.3">
      <c r="A94" s="13">
        <v>161.52000000000001</v>
      </c>
      <c r="B94" s="12">
        <v>0</v>
      </c>
      <c r="C94" s="11">
        <v>161.52000000000001</v>
      </c>
      <c r="D94" s="12">
        <v>0</v>
      </c>
      <c r="E94" s="11">
        <v>161.52000000000001</v>
      </c>
      <c r="F94" s="12">
        <v>0</v>
      </c>
      <c r="G94" s="11">
        <v>161.52000000000001</v>
      </c>
      <c r="H94" s="12">
        <v>0</v>
      </c>
      <c r="I94" s="11">
        <v>161.52000000000001</v>
      </c>
      <c r="J94" s="12">
        <v>0</v>
      </c>
      <c r="K94" s="11">
        <v>161.52000000000001</v>
      </c>
      <c r="L94" s="12">
        <v>0</v>
      </c>
      <c r="M94" s="11">
        <v>161.52000000000001</v>
      </c>
      <c r="N94" s="13">
        <v>0</v>
      </c>
      <c r="O94" s="11">
        <v>0</v>
      </c>
      <c r="P94" s="11">
        <v>0</v>
      </c>
      <c r="Q94" s="11">
        <v>0</v>
      </c>
      <c r="R94" s="11">
        <v>0</v>
      </c>
      <c r="S94" s="14">
        <v>0</v>
      </c>
      <c r="T94" s="11">
        <v>161.52000000000001</v>
      </c>
      <c r="U94" s="13" cm="1">
        <f t="array" ref="U94">IF(Table8[[#This Row],[I_0]]&lt;Table24[Flitro de Ruido],1,Table8[[#This Row],[I_10]]/Table8[[#This Row],[I_0]])</f>
        <v>1</v>
      </c>
      <c r="V94" s="13" cm="1">
        <f t="array" ref="V94">IF(Table8[[#This Row],[I_0]]&lt;Table24[Flitro de Ruido],1,Table8[[#This Row],[I_20]]/Table8[[#This Row],[I_0]])</f>
        <v>1</v>
      </c>
      <c r="W94" s="13" cm="1">
        <f t="array" ref="W94">IF(Table8[[#This Row],[I_0]]&lt;Table24[Flitro de Ruido],1,Table8[[#This Row],[I_30]]/Table8[[#This Row],[I_0]])</f>
        <v>1</v>
      </c>
      <c r="X94" s="13" cm="1">
        <f t="array" ref="X94">IF(Table8[[#This Row],[I_0]]&lt;Table24[Flitro de Ruido],1,Table8[[#This Row],[I_40]]/Table8[[#This Row],[I_0]])</f>
        <v>1</v>
      </c>
      <c r="Y94" s="13" cm="1">
        <f t="array" ref="Y94">IF(Table8[[#This Row],[I_0]]&lt;Table24[Flitro de Ruido],1,Table8[[#This Row],[I_50]]/Table8[[#This Row],[I_0]])</f>
        <v>1</v>
      </c>
    </row>
    <row r="95" spans="1:25" x14ac:dyDescent="0.3">
      <c r="A95" s="13">
        <v>162.52000000000001</v>
      </c>
      <c r="B95" s="12">
        <v>0</v>
      </c>
      <c r="C95" s="11">
        <v>162.52000000000001</v>
      </c>
      <c r="D95" s="12">
        <v>0</v>
      </c>
      <c r="E95" s="11">
        <v>162.52000000000001</v>
      </c>
      <c r="F95" s="12">
        <v>0</v>
      </c>
      <c r="G95" s="11">
        <v>162.52000000000001</v>
      </c>
      <c r="H95" s="12">
        <v>0</v>
      </c>
      <c r="I95" s="11">
        <v>162.52000000000001</v>
      </c>
      <c r="J95" s="12">
        <v>0</v>
      </c>
      <c r="K95" s="11">
        <v>162.52000000000001</v>
      </c>
      <c r="L95" s="12">
        <v>0</v>
      </c>
      <c r="M95" s="11">
        <v>162.52000000000001</v>
      </c>
      <c r="N95" s="13">
        <v>0</v>
      </c>
      <c r="O95" s="11">
        <v>0</v>
      </c>
      <c r="P95" s="11">
        <v>0</v>
      </c>
      <c r="Q95" s="11">
        <v>0</v>
      </c>
      <c r="R95" s="11">
        <v>0</v>
      </c>
      <c r="S95" s="14">
        <v>0</v>
      </c>
      <c r="T95" s="11">
        <v>162.52000000000001</v>
      </c>
      <c r="U95" s="13" cm="1">
        <f t="array" ref="U95">IF(Table8[[#This Row],[I_0]]&lt;Table24[Flitro de Ruido],1,Table8[[#This Row],[I_10]]/Table8[[#This Row],[I_0]])</f>
        <v>1</v>
      </c>
      <c r="V95" s="13" cm="1">
        <f t="array" ref="V95">IF(Table8[[#This Row],[I_0]]&lt;Table24[Flitro de Ruido],1,Table8[[#This Row],[I_20]]/Table8[[#This Row],[I_0]])</f>
        <v>1</v>
      </c>
      <c r="W95" s="13" cm="1">
        <f t="array" ref="W95">IF(Table8[[#This Row],[I_0]]&lt;Table24[Flitro de Ruido],1,Table8[[#This Row],[I_30]]/Table8[[#This Row],[I_0]])</f>
        <v>1</v>
      </c>
      <c r="X95" s="13" cm="1">
        <f t="array" ref="X95">IF(Table8[[#This Row],[I_0]]&lt;Table24[Flitro de Ruido],1,Table8[[#This Row],[I_40]]/Table8[[#This Row],[I_0]])</f>
        <v>1</v>
      </c>
      <c r="Y95" s="13" cm="1">
        <f t="array" ref="Y95">IF(Table8[[#This Row],[I_0]]&lt;Table24[Flitro de Ruido],1,Table8[[#This Row],[I_50]]/Table8[[#This Row],[I_0]])</f>
        <v>1</v>
      </c>
    </row>
    <row r="96" spans="1:25" x14ac:dyDescent="0.3">
      <c r="A96" s="13">
        <v>163.51</v>
      </c>
      <c r="B96" s="12">
        <v>0</v>
      </c>
      <c r="C96" s="11">
        <v>163.51</v>
      </c>
      <c r="D96" s="12">
        <v>0</v>
      </c>
      <c r="E96" s="11">
        <v>163.51</v>
      </c>
      <c r="F96" s="12">
        <v>0</v>
      </c>
      <c r="G96" s="11">
        <v>163.51</v>
      </c>
      <c r="H96" s="12">
        <v>0</v>
      </c>
      <c r="I96" s="11">
        <v>163.51</v>
      </c>
      <c r="J96" s="12">
        <v>0</v>
      </c>
      <c r="K96" s="11">
        <v>163.51</v>
      </c>
      <c r="L96" s="12">
        <v>0</v>
      </c>
      <c r="M96" s="11">
        <v>163.51</v>
      </c>
      <c r="N96" s="13">
        <v>0</v>
      </c>
      <c r="O96" s="11">
        <v>0</v>
      </c>
      <c r="P96" s="11">
        <v>0</v>
      </c>
      <c r="Q96" s="11">
        <v>0</v>
      </c>
      <c r="R96" s="11">
        <v>0</v>
      </c>
      <c r="S96" s="14">
        <v>0</v>
      </c>
      <c r="T96" s="11">
        <v>163.51</v>
      </c>
      <c r="U96" s="13" cm="1">
        <f t="array" ref="U96">IF(Table8[[#This Row],[I_0]]&lt;Table24[Flitro de Ruido],1,Table8[[#This Row],[I_10]]/Table8[[#This Row],[I_0]])</f>
        <v>1</v>
      </c>
      <c r="V96" s="13" cm="1">
        <f t="array" ref="V96">IF(Table8[[#This Row],[I_0]]&lt;Table24[Flitro de Ruido],1,Table8[[#This Row],[I_20]]/Table8[[#This Row],[I_0]])</f>
        <v>1</v>
      </c>
      <c r="W96" s="13" cm="1">
        <f t="array" ref="W96">IF(Table8[[#This Row],[I_0]]&lt;Table24[Flitro de Ruido],1,Table8[[#This Row],[I_30]]/Table8[[#This Row],[I_0]])</f>
        <v>1</v>
      </c>
      <c r="X96" s="13" cm="1">
        <f t="array" ref="X96">IF(Table8[[#This Row],[I_0]]&lt;Table24[Flitro de Ruido],1,Table8[[#This Row],[I_40]]/Table8[[#This Row],[I_0]])</f>
        <v>1</v>
      </c>
      <c r="Y96" s="13" cm="1">
        <f t="array" ref="Y96">IF(Table8[[#This Row],[I_0]]&lt;Table24[Flitro de Ruido],1,Table8[[#This Row],[I_50]]/Table8[[#This Row],[I_0]])</f>
        <v>1</v>
      </c>
    </row>
    <row r="97" spans="1:25" x14ac:dyDescent="0.3">
      <c r="A97" s="13">
        <v>164.5</v>
      </c>
      <c r="B97" s="12">
        <v>0</v>
      </c>
      <c r="C97" s="11">
        <v>164.5</v>
      </c>
      <c r="D97" s="12">
        <v>0</v>
      </c>
      <c r="E97" s="11">
        <v>164.5</v>
      </c>
      <c r="F97" s="12">
        <v>0</v>
      </c>
      <c r="G97" s="11">
        <v>164.5</v>
      </c>
      <c r="H97" s="12">
        <v>0</v>
      </c>
      <c r="I97" s="11">
        <v>164.5</v>
      </c>
      <c r="J97" s="12">
        <v>0</v>
      </c>
      <c r="K97" s="11">
        <v>164.5</v>
      </c>
      <c r="L97" s="12">
        <v>0</v>
      </c>
      <c r="M97" s="11">
        <v>164.5</v>
      </c>
      <c r="N97" s="13">
        <v>0</v>
      </c>
      <c r="O97" s="11">
        <v>0</v>
      </c>
      <c r="P97" s="11">
        <v>0</v>
      </c>
      <c r="Q97" s="11">
        <v>0</v>
      </c>
      <c r="R97" s="11">
        <v>0</v>
      </c>
      <c r="S97" s="14">
        <v>0</v>
      </c>
      <c r="T97" s="11">
        <v>164.5</v>
      </c>
      <c r="U97" s="13" cm="1">
        <f t="array" ref="U97">IF(Table8[[#This Row],[I_0]]&lt;Table24[Flitro de Ruido],1,Table8[[#This Row],[I_10]]/Table8[[#This Row],[I_0]])</f>
        <v>1</v>
      </c>
      <c r="V97" s="13" cm="1">
        <f t="array" ref="V97">IF(Table8[[#This Row],[I_0]]&lt;Table24[Flitro de Ruido],1,Table8[[#This Row],[I_20]]/Table8[[#This Row],[I_0]])</f>
        <v>1</v>
      </c>
      <c r="W97" s="13" cm="1">
        <f t="array" ref="W97">IF(Table8[[#This Row],[I_0]]&lt;Table24[Flitro de Ruido],1,Table8[[#This Row],[I_30]]/Table8[[#This Row],[I_0]])</f>
        <v>1</v>
      </c>
      <c r="X97" s="13" cm="1">
        <f t="array" ref="X97">IF(Table8[[#This Row],[I_0]]&lt;Table24[Flitro de Ruido],1,Table8[[#This Row],[I_40]]/Table8[[#This Row],[I_0]])</f>
        <v>1</v>
      </c>
      <c r="Y97" s="13" cm="1">
        <f t="array" ref="Y97">IF(Table8[[#This Row],[I_0]]&lt;Table24[Flitro de Ruido],1,Table8[[#This Row],[I_50]]/Table8[[#This Row],[I_0]])</f>
        <v>1</v>
      </c>
    </row>
    <row r="98" spans="1:25" x14ac:dyDescent="0.3">
      <c r="A98" s="13">
        <v>165.49</v>
      </c>
      <c r="B98" s="12">
        <v>0</v>
      </c>
      <c r="C98" s="11">
        <v>165.49</v>
      </c>
      <c r="D98" s="12">
        <v>0</v>
      </c>
      <c r="E98" s="11">
        <v>165.49</v>
      </c>
      <c r="F98" s="12">
        <v>0</v>
      </c>
      <c r="G98" s="11">
        <v>165.49</v>
      </c>
      <c r="H98" s="12">
        <v>0</v>
      </c>
      <c r="I98" s="11">
        <v>165.49</v>
      </c>
      <c r="J98" s="12">
        <v>0</v>
      </c>
      <c r="K98" s="11">
        <v>165.49</v>
      </c>
      <c r="L98" s="12">
        <v>0</v>
      </c>
      <c r="M98" s="11">
        <v>165.49</v>
      </c>
      <c r="N98" s="13">
        <v>0</v>
      </c>
      <c r="O98" s="11">
        <v>0</v>
      </c>
      <c r="P98" s="11">
        <v>0</v>
      </c>
      <c r="Q98" s="11">
        <v>0</v>
      </c>
      <c r="R98" s="11">
        <v>0</v>
      </c>
      <c r="S98" s="14">
        <v>0</v>
      </c>
      <c r="T98" s="11">
        <v>165.49</v>
      </c>
      <c r="U98" s="13" cm="1">
        <f t="array" ref="U98">IF(Table8[[#This Row],[I_0]]&lt;Table24[Flitro de Ruido],1,Table8[[#This Row],[I_10]]/Table8[[#This Row],[I_0]])</f>
        <v>1</v>
      </c>
      <c r="V98" s="13" cm="1">
        <f t="array" ref="V98">IF(Table8[[#This Row],[I_0]]&lt;Table24[Flitro de Ruido],1,Table8[[#This Row],[I_20]]/Table8[[#This Row],[I_0]])</f>
        <v>1</v>
      </c>
      <c r="W98" s="13" cm="1">
        <f t="array" ref="W98">IF(Table8[[#This Row],[I_0]]&lt;Table24[Flitro de Ruido],1,Table8[[#This Row],[I_30]]/Table8[[#This Row],[I_0]])</f>
        <v>1</v>
      </c>
      <c r="X98" s="13" cm="1">
        <f t="array" ref="X98">IF(Table8[[#This Row],[I_0]]&lt;Table24[Flitro de Ruido],1,Table8[[#This Row],[I_40]]/Table8[[#This Row],[I_0]])</f>
        <v>1</v>
      </c>
      <c r="Y98" s="13" cm="1">
        <f t="array" ref="Y98">IF(Table8[[#This Row],[I_0]]&lt;Table24[Flitro de Ruido],1,Table8[[#This Row],[I_50]]/Table8[[#This Row],[I_0]])</f>
        <v>1</v>
      </c>
    </row>
    <row r="99" spans="1:25" x14ac:dyDescent="0.3">
      <c r="A99" s="13">
        <v>166.48</v>
      </c>
      <c r="B99" s="12">
        <v>0</v>
      </c>
      <c r="C99" s="11">
        <v>166.48</v>
      </c>
      <c r="D99" s="12">
        <v>0</v>
      </c>
      <c r="E99" s="11">
        <v>166.48</v>
      </c>
      <c r="F99" s="12">
        <v>0</v>
      </c>
      <c r="G99" s="11">
        <v>166.48</v>
      </c>
      <c r="H99" s="12">
        <v>0</v>
      </c>
      <c r="I99" s="11">
        <v>166.48</v>
      </c>
      <c r="J99" s="12">
        <v>0</v>
      </c>
      <c r="K99" s="11">
        <v>166.48</v>
      </c>
      <c r="L99" s="12">
        <v>0</v>
      </c>
      <c r="M99" s="11">
        <v>166.48</v>
      </c>
      <c r="N99" s="13">
        <v>0</v>
      </c>
      <c r="O99" s="11">
        <v>0</v>
      </c>
      <c r="P99" s="11">
        <v>0</v>
      </c>
      <c r="Q99" s="11">
        <v>0</v>
      </c>
      <c r="R99" s="11">
        <v>0</v>
      </c>
      <c r="S99" s="14">
        <v>0</v>
      </c>
      <c r="T99" s="11">
        <v>166.48</v>
      </c>
      <c r="U99" s="13" cm="1">
        <f t="array" ref="U99">IF(Table8[[#This Row],[I_0]]&lt;Table24[Flitro de Ruido],1,Table8[[#This Row],[I_10]]/Table8[[#This Row],[I_0]])</f>
        <v>1</v>
      </c>
      <c r="V99" s="13" cm="1">
        <f t="array" ref="V99">IF(Table8[[#This Row],[I_0]]&lt;Table24[Flitro de Ruido],1,Table8[[#This Row],[I_20]]/Table8[[#This Row],[I_0]])</f>
        <v>1</v>
      </c>
      <c r="W99" s="13" cm="1">
        <f t="array" ref="W99">IF(Table8[[#This Row],[I_0]]&lt;Table24[Flitro de Ruido],1,Table8[[#This Row],[I_30]]/Table8[[#This Row],[I_0]])</f>
        <v>1</v>
      </c>
      <c r="X99" s="13" cm="1">
        <f t="array" ref="X99">IF(Table8[[#This Row],[I_0]]&lt;Table24[Flitro de Ruido],1,Table8[[#This Row],[I_40]]/Table8[[#This Row],[I_0]])</f>
        <v>1</v>
      </c>
      <c r="Y99" s="13" cm="1">
        <f t="array" ref="Y99">IF(Table8[[#This Row],[I_0]]&lt;Table24[Flitro de Ruido],1,Table8[[#This Row],[I_50]]/Table8[[#This Row],[I_0]])</f>
        <v>1</v>
      </c>
    </row>
    <row r="100" spans="1:25" x14ac:dyDescent="0.3">
      <c r="A100" s="13">
        <v>167.47</v>
      </c>
      <c r="B100" s="12">
        <v>0</v>
      </c>
      <c r="C100" s="11">
        <v>167.47</v>
      </c>
      <c r="D100" s="12">
        <v>0</v>
      </c>
      <c r="E100" s="11">
        <v>167.47</v>
      </c>
      <c r="F100" s="12">
        <v>0</v>
      </c>
      <c r="G100" s="11">
        <v>167.47</v>
      </c>
      <c r="H100" s="12">
        <v>0</v>
      </c>
      <c r="I100" s="11">
        <v>167.47</v>
      </c>
      <c r="J100" s="12">
        <v>0</v>
      </c>
      <c r="K100" s="11">
        <v>167.47</v>
      </c>
      <c r="L100" s="12">
        <v>0</v>
      </c>
      <c r="M100" s="11">
        <v>167.47</v>
      </c>
      <c r="N100" s="13">
        <v>0</v>
      </c>
      <c r="O100" s="11">
        <v>0</v>
      </c>
      <c r="P100" s="11">
        <v>0</v>
      </c>
      <c r="Q100" s="11">
        <v>0</v>
      </c>
      <c r="R100" s="11">
        <v>0</v>
      </c>
      <c r="S100" s="14">
        <v>0</v>
      </c>
      <c r="T100" s="11">
        <v>167.47</v>
      </c>
      <c r="U100" s="13" cm="1">
        <f t="array" ref="U100">IF(Table8[[#This Row],[I_0]]&lt;Table24[Flitro de Ruido],1,Table8[[#This Row],[I_10]]/Table8[[#This Row],[I_0]])</f>
        <v>1</v>
      </c>
      <c r="V100" s="13" cm="1">
        <f t="array" ref="V100">IF(Table8[[#This Row],[I_0]]&lt;Table24[Flitro de Ruido],1,Table8[[#This Row],[I_20]]/Table8[[#This Row],[I_0]])</f>
        <v>1</v>
      </c>
      <c r="W100" s="13" cm="1">
        <f t="array" ref="W100">IF(Table8[[#This Row],[I_0]]&lt;Table24[Flitro de Ruido],1,Table8[[#This Row],[I_30]]/Table8[[#This Row],[I_0]])</f>
        <v>1</v>
      </c>
      <c r="X100" s="13" cm="1">
        <f t="array" ref="X100">IF(Table8[[#This Row],[I_0]]&lt;Table24[Flitro de Ruido],1,Table8[[#This Row],[I_40]]/Table8[[#This Row],[I_0]])</f>
        <v>1</v>
      </c>
      <c r="Y100" s="13" cm="1">
        <f t="array" ref="Y100">IF(Table8[[#This Row],[I_0]]&lt;Table24[Flitro de Ruido],1,Table8[[#This Row],[I_50]]/Table8[[#This Row],[I_0]])</f>
        <v>1</v>
      </c>
    </row>
    <row r="101" spans="1:25" x14ac:dyDescent="0.3">
      <c r="A101" s="13">
        <v>168.47</v>
      </c>
      <c r="B101" s="12">
        <v>0</v>
      </c>
      <c r="C101" s="11">
        <v>168.47</v>
      </c>
      <c r="D101" s="12">
        <v>0</v>
      </c>
      <c r="E101" s="11">
        <v>168.47</v>
      </c>
      <c r="F101" s="12">
        <v>0</v>
      </c>
      <c r="G101" s="11">
        <v>168.47</v>
      </c>
      <c r="H101" s="12">
        <v>0</v>
      </c>
      <c r="I101" s="11">
        <v>168.47</v>
      </c>
      <c r="J101" s="12">
        <v>0</v>
      </c>
      <c r="K101" s="11">
        <v>168.47</v>
      </c>
      <c r="L101" s="12">
        <v>0</v>
      </c>
      <c r="M101" s="11">
        <v>168.47</v>
      </c>
      <c r="N101" s="13">
        <v>0</v>
      </c>
      <c r="O101" s="11">
        <v>0</v>
      </c>
      <c r="P101" s="11">
        <v>0</v>
      </c>
      <c r="Q101" s="11">
        <v>0</v>
      </c>
      <c r="R101" s="11">
        <v>0</v>
      </c>
      <c r="S101" s="14">
        <v>0</v>
      </c>
      <c r="T101" s="11">
        <v>168.47</v>
      </c>
      <c r="U101" s="13" cm="1">
        <f t="array" ref="U101">IF(Table8[[#This Row],[I_0]]&lt;Table24[Flitro de Ruido],1,Table8[[#This Row],[I_10]]/Table8[[#This Row],[I_0]])</f>
        <v>1</v>
      </c>
      <c r="V101" s="13" cm="1">
        <f t="array" ref="V101">IF(Table8[[#This Row],[I_0]]&lt;Table24[Flitro de Ruido],1,Table8[[#This Row],[I_20]]/Table8[[#This Row],[I_0]])</f>
        <v>1</v>
      </c>
      <c r="W101" s="13" cm="1">
        <f t="array" ref="W101">IF(Table8[[#This Row],[I_0]]&lt;Table24[Flitro de Ruido],1,Table8[[#This Row],[I_30]]/Table8[[#This Row],[I_0]])</f>
        <v>1</v>
      </c>
      <c r="X101" s="13" cm="1">
        <f t="array" ref="X101">IF(Table8[[#This Row],[I_0]]&lt;Table24[Flitro de Ruido],1,Table8[[#This Row],[I_40]]/Table8[[#This Row],[I_0]])</f>
        <v>1</v>
      </c>
      <c r="Y101" s="13" cm="1">
        <f t="array" ref="Y101">IF(Table8[[#This Row],[I_0]]&lt;Table24[Flitro de Ruido],1,Table8[[#This Row],[I_50]]/Table8[[#This Row],[I_0]])</f>
        <v>1</v>
      </c>
    </row>
    <row r="102" spans="1:25" x14ac:dyDescent="0.3">
      <c r="A102" s="13">
        <v>169.46</v>
      </c>
      <c r="B102" s="12">
        <v>0</v>
      </c>
      <c r="C102" s="11">
        <v>169.46</v>
      </c>
      <c r="D102" s="12">
        <v>0</v>
      </c>
      <c r="E102" s="11">
        <v>169.46</v>
      </c>
      <c r="F102" s="12">
        <v>0</v>
      </c>
      <c r="G102" s="11">
        <v>169.46</v>
      </c>
      <c r="H102" s="12">
        <v>0</v>
      </c>
      <c r="I102" s="11">
        <v>169.46</v>
      </c>
      <c r="J102" s="12">
        <v>0</v>
      </c>
      <c r="K102" s="11">
        <v>169.46</v>
      </c>
      <c r="L102" s="12">
        <v>0</v>
      </c>
      <c r="M102" s="11">
        <v>169.46</v>
      </c>
      <c r="N102" s="13">
        <v>0</v>
      </c>
      <c r="O102" s="11">
        <v>0</v>
      </c>
      <c r="P102" s="11">
        <v>0</v>
      </c>
      <c r="Q102" s="11">
        <v>0</v>
      </c>
      <c r="R102" s="11">
        <v>0</v>
      </c>
      <c r="S102" s="14">
        <v>0</v>
      </c>
      <c r="T102" s="11">
        <v>169.46</v>
      </c>
      <c r="U102" s="13" cm="1">
        <f t="array" ref="U102">IF(Table8[[#This Row],[I_0]]&lt;Table24[Flitro de Ruido],1,Table8[[#This Row],[I_10]]/Table8[[#This Row],[I_0]])</f>
        <v>1</v>
      </c>
      <c r="V102" s="13" cm="1">
        <f t="array" ref="V102">IF(Table8[[#This Row],[I_0]]&lt;Table24[Flitro de Ruido],1,Table8[[#This Row],[I_20]]/Table8[[#This Row],[I_0]])</f>
        <v>1</v>
      </c>
      <c r="W102" s="13" cm="1">
        <f t="array" ref="W102">IF(Table8[[#This Row],[I_0]]&lt;Table24[Flitro de Ruido],1,Table8[[#This Row],[I_30]]/Table8[[#This Row],[I_0]])</f>
        <v>1</v>
      </c>
      <c r="X102" s="13" cm="1">
        <f t="array" ref="X102">IF(Table8[[#This Row],[I_0]]&lt;Table24[Flitro de Ruido],1,Table8[[#This Row],[I_40]]/Table8[[#This Row],[I_0]])</f>
        <v>1</v>
      </c>
      <c r="Y102" s="13" cm="1">
        <f t="array" ref="Y102">IF(Table8[[#This Row],[I_0]]&lt;Table24[Flitro de Ruido],1,Table8[[#This Row],[I_50]]/Table8[[#This Row],[I_0]])</f>
        <v>1</v>
      </c>
    </row>
    <row r="103" spans="1:25" x14ac:dyDescent="0.3">
      <c r="A103" s="13">
        <v>170.45</v>
      </c>
      <c r="B103" s="12">
        <v>0</v>
      </c>
      <c r="C103" s="11">
        <v>170.45</v>
      </c>
      <c r="D103" s="12">
        <v>0</v>
      </c>
      <c r="E103" s="11">
        <v>170.45</v>
      </c>
      <c r="F103" s="12">
        <v>0</v>
      </c>
      <c r="G103" s="11">
        <v>170.45</v>
      </c>
      <c r="H103" s="12">
        <v>0</v>
      </c>
      <c r="I103" s="11">
        <v>170.45</v>
      </c>
      <c r="J103" s="12">
        <v>0</v>
      </c>
      <c r="K103" s="11">
        <v>170.45</v>
      </c>
      <c r="L103" s="12">
        <v>0</v>
      </c>
      <c r="M103" s="11">
        <v>170.45</v>
      </c>
      <c r="N103" s="13">
        <v>0</v>
      </c>
      <c r="O103" s="11">
        <v>0</v>
      </c>
      <c r="P103" s="11">
        <v>0</v>
      </c>
      <c r="Q103" s="11">
        <v>0</v>
      </c>
      <c r="R103" s="11">
        <v>0</v>
      </c>
      <c r="S103" s="14">
        <v>0</v>
      </c>
      <c r="T103" s="11">
        <v>170.45</v>
      </c>
      <c r="U103" s="13" cm="1">
        <f t="array" ref="U103">IF(Table8[[#This Row],[I_0]]&lt;Table24[Flitro de Ruido],1,Table8[[#This Row],[I_10]]/Table8[[#This Row],[I_0]])</f>
        <v>1</v>
      </c>
      <c r="V103" s="13" cm="1">
        <f t="array" ref="V103">IF(Table8[[#This Row],[I_0]]&lt;Table24[Flitro de Ruido],1,Table8[[#This Row],[I_20]]/Table8[[#This Row],[I_0]])</f>
        <v>1</v>
      </c>
      <c r="W103" s="13" cm="1">
        <f t="array" ref="W103">IF(Table8[[#This Row],[I_0]]&lt;Table24[Flitro de Ruido],1,Table8[[#This Row],[I_30]]/Table8[[#This Row],[I_0]])</f>
        <v>1</v>
      </c>
      <c r="X103" s="13" cm="1">
        <f t="array" ref="X103">IF(Table8[[#This Row],[I_0]]&lt;Table24[Flitro de Ruido],1,Table8[[#This Row],[I_40]]/Table8[[#This Row],[I_0]])</f>
        <v>1</v>
      </c>
      <c r="Y103" s="13" cm="1">
        <f t="array" ref="Y103">IF(Table8[[#This Row],[I_0]]&lt;Table24[Flitro de Ruido],1,Table8[[#This Row],[I_50]]/Table8[[#This Row],[I_0]])</f>
        <v>1</v>
      </c>
    </row>
    <row r="104" spans="1:25" x14ac:dyDescent="0.3">
      <c r="A104" s="13">
        <v>171.44</v>
      </c>
      <c r="B104" s="12">
        <v>0</v>
      </c>
      <c r="C104" s="11">
        <v>171.44</v>
      </c>
      <c r="D104" s="12">
        <v>0</v>
      </c>
      <c r="E104" s="11">
        <v>171.44</v>
      </c>
      <c r="F104" s="12">
        <v>0</v>
      </c>
      <c r="G104" s="11">
        <v>171.44</v>
      </c>
      <c r="H104" s="12">
        <v>0</v>
      </c>
      <c r="I104" s="11">
        <v>171.44</v>
      </c>
      <c r="J104" s="12">
        <v>0</v>
      </c>
      <c r="K104" s="11">
        <v>171.44</v>
      </c>
      <c r="L104" s="12">
        <v>0</v>
      </c>
      <c r="M104" s="11">
        <v>171.44</v>
      </c>
      <c r="N104" s="13">
        <v>0</v>
      </c>
      <c r="O104" s="11">
        <v>0</v>
      </c>
      <c r="P104" s="11">
        <v>0</v>
      </c>
      <c r="Q104" s="11">
        <v>0</v>
      </c>
      <c r="R104" s="11">
        <v>0</v>
      </c>
      <c r="S104" s="14">
        <v>0</v>
      </c>
      <c r="T104" s="11">
        <v>171.44</v>
      </c>
      <c r="U104" s="13" cm="1">
        <f t="array" ref="U104">IF(Table8[[#This Row],[I_0]]&lt;Table24[Flitro de Ruido],1,Table8[[#This Row],[I_10]]/Table8[[#This Row],[I_0]])</f>
        <v>1</v>
      </c>
      <c r="V104" s="13" cm="1">
        <f t="array" ref="V104">IF(Table8[[#This Row],[I_0]]&lt;Table24[Flitro de Ruido],1,Table8[[#This Row],[I_20]]/Table8[[#This Row],[I_0]])</f>
        <v>1</v>
      </c>
      <c r="W104" s="13" cm="1">
        <f t="array" ref="W104">IF(Table8[[#This Row],[I_0]]&lt;Table24[Flitro de Ruido],1,Table8[[#This Row],[I_30]]/Table8[[#This Row],[I_0]])</f>
        <v>1</v>
      </c>
      <c r="X104" s="13" cm="1">
        <f t="array" ref="X104">IF(Table8[[#This Row],[I_0]]&lt;Table24[Flitro de Ruido],1,Table8[[#This Row],[I_40]]/Table8[[#This Row],[I_0]])</f>
        <v>1</v>
      </c>
      <c r="Y104" s="13" cm="1">
        <f t="array" ref="Y104">IF(Table8[[#This Row],[I_0]]&lt;Table24[Flitro de Ruido],1,Table8[[#This Row],[I_50]]/Table8[[#This Row],[I_0]])</f>
        <v>1</v>
      </c>
    </row>
    <row r="105" spans="1:25" x14ac:dyDescent="0.3">
      <c r="A105" s="13">
        <v>172.43</v>
      </c>
      <c r="B105" s="12">
        <v>0</v>
      </c>
      <c r="C105" s="11">
        <v>172.43</v>
      </c>
      <c r="D105" s="12">
        <v>0</v>
      </c>
      <c r="E105" s="11">
        <v>172.43</v>
      </c>
      <c r="F105" s="12">
        <v>0</v>
      </c>
      <c r="G105" s="11">
        <v>172.43</v>
      </c>
      <c r="H105" s="12">
        <v>0</v>
      </c>
      <c r="I105" s="11">
        <v>172.43</v>
      </c>
      <c r="J105" s="12">
        <v>0</v>
      </c>
      <c r="K105" s="11">
        <v>172.43</v>
      </c>
      <c r="L105" s="12">
        <v>0</v>
      </c>
      <c r="M105" s="11">
        <v>172.43</v>
      </c>
      <c r="N105" s="13">
        <v>0</v>
      </c>
      <c r="O105" s="11">
        <v>0</v>
      </c>
      <c r="P105" s="11">
        <v>0</v>
      </c>
      <c r="Q105" s="11">
        <v>0</v>
      </c>
      <c r="R105" s="11">
        <v>0</v>
      </c>
      <c r="S105" s="14">
        <v>0</v>
      </c>
      <c r="T105" s="11">
        <v>172.43</v>
      </c>
      <c r="U105" s="13" cm="1">
        <f t="array" ref="U105">IF(Table8[[#This Row],[I_0]]&lt;Table24[Flitro de Ruido],1,Table8[[#This Row],[I_10]]/Table8[[#This Row],[I_0]])</f>
        <v>1</v>
      </c>
      <c r="V105" s="13" cm="1">
        <f t="array" ref="V105">IF(Table8[[#This Row],[I_0]]&lt;Table24[Flitro de Ruido],1,Table8[[#This Row],[I_20]]/Table8[[#This Row],[I_0]])</f>
        <v>1</v>
      </c>
      <c r="W105" s="13" cm="1">
        <f t="array" ref="W105">IF(Table8[[#This Row],[I_0]]&lt;Table24[Flitro de Ruido],1,Table8[[#This Row],[I_30]]/Table8[[#This Row],[I_0]])</f>
        <v>1</v>
      </c>
      <c r="X105" s="13" cm="1">
        <f t="array" ref="X105">IF(Table8[[#This Row],[I_0]]&lt;Table24[Flitro de Ruido],1,Table8[[#This Row],[I_40]]/Table8[[#This Row],[I_0]])</f>
        <v>1</v>
      </c>
      <c r="Y105" s="13" cm="1">
        <f t="array" ref="Y105">IF(Table8[[#This Row],[I_0]]&lt;Table24[Flitro de Ruido],1,Table8[[#This Row],[I_50]]/Table8[[#This Row],[I_0]])</f>
        <v>1</v>
      </c>
    </row>
    <row r="106" spans="1:25" x14ac:dyDescent="0.3">
      <c r="A106" s="13">
        <v>173.42</v>
      </c>
      <c r="B106" s="12">
        <v>0</v>
      </c>
      <c r="C106" s="11">
        <v>173.42</v>
      </c>
      <c r="D106" s="12">
        <v>0</v>
      </c>
      <c r="E106" s="11">
        <v>173.42</v>
      </c>
      <c r="F106" s="12">
        <v>0</v>
      </c>
      <c r="G106" s="11">
        <v>173.42</v>
      </c>
      <c r="H106" s="12">
        <v>0</v>
      </c>
      <c r="I106" s="11">
        <v>173.42</v>
      </c>
      <c r="J106" s="12">
        <v>0</v>
      </c>
      <c r="K106" s="11">
        <v>173.42</v>
      </c>
      <c r="L106" s="12">
        <v>0</v>
      </c>
      <c r="M106" s="11">
        <v>173.42</v>
      </c>
      <c r="N106" s="13">
        <v>0</v>
      </c>
      <c r="O106" s="11">
        <v>0</v>
      </c>
      <c r="P106" s="11">
        <v>0</v>
      </c>
      <c r="Q106" s="11">
        <v>0</v>
      </c>
      <c r="R106" s="11">
        <v>0</v>
      </c>
      <c r="S106" s="14">
        <v>0</v>
      </c>
      <c r="T106" s="11">
        <v>173.42</v>
      </c>
      <c r="U106" s="13" cm="1">
        <f t="array" ref="U106">IF(Table8[[#This Row],[I_0]]&lt;Table24[Flitro de Ruido],1,Table8[[#This Row],[I_10]]/Table8[[#This Row],[I_0]])</f>
        <v>1</v>
      </c>
      <c r="V106" s="13" cm="1">
        <f t="array" ref="V106">IF(Table8[[#This Row],[I_0]]&lt;Table24[Flitro de Ruido],1,Table8[[#This Row],[I_20]]/Table8[[#This Row],[I_0]])</f>
        <v>1</v>
      </c>
      <c r="W106" s="13" cm="1">
        <f t="array" ref="W106">IF(Table8[[#This Row],[I_0]]&lt;Table24[Flitro de Ruido],1,Table8[[#This Row],[I_30]]/Table8[[#This Row],[I_0]])</f>
        <v>1</v>
      </c>
      <c r="X106" s="13" cm="1">
        <f t="array" ref="X106">IF(Table8[[#This Row],[I_0]]&lt;Table24[Flitro de Ruido],1,Table8[[#This Row],[I_40]]/Table8[[#This Row],[I_0]])</f>
        <v>1</v>
      </c>
      <c r="Y106" s="13" cm="1">
        <f t="array" ref="Y106">IF(Table8[[#This Row],[I_0]]&lt;Table24[Flitro de Ruido],1,Table8[[#This Row],[I_50]]/Table8[[#This Row],[I_0]])</f>
        <v>1</v>
      </c>
    </row>
    <row r="107" spans="1:25" x14ac:dyDescent="0.3">
      <c r="A107" s="13">
        <v>174.42</v>
      </c>
      <c r="B107" s="12">
        <v>0</v>
      </c>
      <c r="C107" s="11">
        <v>174.42</v>
      </c>
      <c r="D107" s="12">
        <v>0</v>
      </c>
      <c r="E107" s="11">
        <v>174.42</v>
      </c>
      <c r="F107" s="12">
        <v>0</v>
      </c>
      <c r="G107" s="11">
        <v>174.42</v>
      </c>
      <c r="H107" s="12">
        <v>0</v>
      </c>
      <c r="I107" s="11">
        <v>174.42</v>
      </c>
      <c r="J107" s="12">
        <v>0</v>
      </c>
      <c r="K107" s="11">
        <v>174.42</v>
      </c>
      <c r="L107" s="12">
        <v>0</v>
      </c>
      <c r="M107" s="11">
        <v>174.42</v>
      </c>
      <c r="N107" s="13">
        <v>0</v>
      </c>
      <c r="O107" s="11">
        <v>0</v>
      </c>
      <c r="P107" s="11">
        <v>0</v>
      </c>
      <c r="Q107" s="11">
        <v>0</v>
      </c>
      <c r="R107" s="11">
        <v>0</v>
      </c>
      <c r="S107" s="14">
        <v>0</v>
      </c>
      <c r="T107" s="11">
        <v>174.42</v>
      </c>
      <c r="U107" s="13" cm="1">
        <f t="array" ref="U107">IF(Table8[[#This Row],[I_0]]&lt;Table24[Flitro de Ruido],1,Table8[[#This Row],[I_10]]/Table8[[#This Row],[I_0]])</f>
        <v>1</v>
      </c>
      <c r="V107" s="13" cm="1">
        <f t="array" ref="V107">IF(Table8[[#This Row],[I_0]]&lt;Table24[Flitro de Ruido],1,Table8[[#This Row],[I_20]]/Table8[[#This Row],[I_0]])</f>
        <v>1</v>
      </c>
      <c r="W107" s="13" cm="1">
        <f t="array" ref="W107">IF(Table8[[#This Row],[I_0]]&lt;Table24[Flitro de Ruido],1,Table8[[#This Row],[I_30]]/Table8[[#This Row],[I_0]])</f>
        <v>1</v>
      </c>
      <c r="X107" s="13" cm="1">
        <f t="array" ref="X107">IF(Table8[[#This Row],[I_0]]&lt;Table24[Flitro de Ruido],1,Table8[[#This Row],[I_40]]/Table8[[#This Row],[I_0]])</f>
        <v>1</v>
      </c>
      <c r="Y107" s="13" cm="1">
        <f t="array" ref="Y107">IF(Table8[[#This Row],[I_0]]&lt;Table24[Flitro de Ruido],1,Table8[[#This Row],[I_50]]/Table8[[#This Row],[I_0]])</f>
        <v>1</v>
      </c>
    </row>
    <row r="108" spans="1:25" x14ac:dyDescent="0.3">
      <c r="A108" s="13">
        <v>175.41</v>
      </c>
      <c r="B108" s="12">
        <v>0</v>
      </c>
      <c r="C108" s="11">
        <v>175.41</v>
      </c>
      <c r="D108" s="12">
        <v>0</v>
      </c>
      <c r="E108" s="11">
        <v>175.41</v>
      </c>
      <c r="F108" s="12">
        <v>0</v>
      </c>
      <c r="G108" s="11">
        <v>175.41</v>
      </c>
      <c r="H108" s="12">
        <v>0</v>
      </c>
      <c r="I108" s="11">
        <v>175.41</v>
      </c>
      <c r="J108" s="12">
        <v>0</v>
      </c>
      <c r="K108" s="11">
        <v>175.41</v>
      </c>
      <c r="L108" s="12">
        <v>0</v>
      </c>
      <c r="M108" s="11">
        <v>175.41</v>
      </c>
      <c r="N108" s="13">
        <v>0</v>
      </c>
      <c r="O108" s="11">
        <v>0</v>
      </c>
      <c r="P108" s="11">
        <v>0</v>
      </c>
      <c r="Q108" s="11">
        <v>0</v>
      </c>
      <c r="R108" s="11">
        <v>0</v>
      </c>
      <c r="S108" s="14">
        <v>0</v>
      </c>
      <c r="T108" s="11">
        <v>175.41</v>
      </c>
      <c r="U108" s="13" cm="1">
        <f t="array" ref="U108">IF(Table8[[#This Row],[I_0]]&lt;Table24[Flitro de Ruido],1,Table8[[#This Row],[I_10]]/Table8[[#This Row],[I_0]])</f>
        <v>1</v>
      </c>
      <c r="V108" s="13" cm="1">
        <f t="array" ref="V108">IF(Table8[[#This Row],[I_0]]&lt;Table24[Flitro de Ruido],1,Table8[[#This Row],[I_20]]/Table8[[#This Row],[I_0]])</f>
        <v>1</v>
      </c>
      <c r="W108" s="13" cm="1">
        <f t="array" ref="W108">IF(Table8[[#This Row],[I_0]]&lt;Table24[Flitro de Ruido],1,Table8[[#This Row],[I_30]]/Table8[[#This Row],[I_0]])</f>
        <v>1</v>
      </c>
      <c r="X108" s="13" cm="1">
        <f t="array" ref="X108">IF(Table8[[#This Row],[I_0]]&lt;Table24[Flitro de Ruido],1,Table8[[#This Row],[I_40]]/Table8[[#This Row],[I_0]])</f>
        <v>1</v>
      </c>
      <c r="Y108" s="13" cm="1">
        <f t="array" ref="Y108">IF(Table8[[#This Row],[I_0]]&lt;Table24[Flitro de Ruido],1,Table8[[#This Row],[I_50]]/Table8[[#This Row],[I_0]])</f>
        <v>1</v>
      </c>
    </row>
    <row r="109" spans="1:25" x14ac:dyDescent="0.3">
      <c r="A109" s="13">
        <v>176.4</v>
      </c>
      <c r="B109" s="12">
        <v>0</v>
      </c>
      <c r="C109" s="11">
        <v>176.4</v>
      </c>
      <c r="D109" s="12">
        <v>0</v>
      </c>
      <c r="E109" s="11">
        <v>176.4</v>
      </c>
      <c r="F109" s="12">
        <v>0</v>
      </c>
      <c r="G109" s="11">
        <v>176.4</v>
      </c>
      <c r="H109" s="12">
        <v>0</v>
      </c>
      <c r="I109" s="11">
        <v>176.4</v>
      </c>
      <c r="J109" s="12">
        <v>0</v>
      </c>
      <c r="K109" s="11">
        <v>176.4</v>
      </c>
      <c r="L109" s="12">
        <v>0</v>
      </c>
      <c r="M109" s="11">
        <v>176.4</v>
      </c>
      <c r="N109" s="13">
        <v>0</v>
      </c>
      <c r="O109" s="11">
        <v>0</v>
      </c>
      <c r="P109" s="11">
        <v>0</v>
      </c>
      <c r="Q109" s="11">
        <v>0</v>
      </c>
      <c r="R109" s="11">
        <v>0</v>
      </c>
      <c r="S109" s="14">
        <v>0</v>
      </c>
      <c r="T109" s="11">
        <v>176.4</v>
      </c>
      <c r="U109" s="13" cm="1">
        <f t="array" ref="U109">IF(Table8[[#This Row],[I_0]]&lt;Table24[Flitro de Ruido],1,Table8[[#This Row],[I_10]]/Table8[[#This Row],[I_0]])</f>
        <v>1</v>
      </c>
      <c r="V109" s="13" cm="1">
        <f t="array" ref="V109">IF(Table8[[#This Row],[I_0]]&lt;Table24[Flitro de Ruido],1,Table8[[#This Row],[I_20]]/Table8[[#This Row],[I_0]])</f>
        <v>1</v>
      </c>
      <c r="W109" s="13" cm="1">
        <f t="array" ref="W109">IF(Table8[[#This Row],[I_0]]&lt;Table24[Flitro de Ruido],1,Table8[[#This Row],[I_30]]/Table8[[#This Row],[I_0]])</f>
        <v>1</v>
      </c>
      <c r="X109" s="13" cm="1">
        <f t="array" ref="X109">IF(Table8[[#This Row],[I_0]]&lt;Table24[Flitro de Ruido],1,Table8[[#This Row],[I_40]]/Table8[[#This Row],[I_0]])</f>
        <v>1</v>
      </c>
      <c r="Y109" s="13" cm="1">
        <f t="array" ref="Y109">IF(Table8[[#This Row],[I_0]]&lt;Table24[Flitro de Ruido],1,Table8[[#This Row],[I_50]]/Table8[[#This Row],[I_0]])</f>
        <v>1</v>
      </c>
    </row>
    <row r="110" spans="1:25" x14ac:dyDescent="0.3">
      <c r="A110" s="13">
        <v>177.39</v>
      </c>
      <c r="B110" s="12">
        <v>0</v>
      </c>
      <c r="C110" s="11">
        <v>177.39</v>
      </c>
      <c r="D110" s="12">
        <v>0</v>
      </c>
      <c r="E110" s="11">
        <v>177.39</v>
      </c>
      <c r="F110" s="12">
        <v>0</v>
      </c>
      <c r="G110" s="11">
        <v>177.39</v>
      </c>
      <c r="H110" s="12">
        <v>0</v>
      </c>
      <c r="I110" s="11">
        <v>177.39</v>
      </c>
      <c r="J110" s="12">
        <v>0</v>
      </c>
      <c r="K110" s="11">
        <v>177.39</v>
      </c>
      <c r="L110" s="12">
        <v>0</v>
      </c>
      <c r="M110" s="11">
        <v>177.39</v>
      </c>
      <c r="N110" s="13">
        <v>0</v>
      </c>
      <c r="O110" s="11">
        <v>0</v>
      </c>
      <c r="P110" s="11">
        <v>0</v>
      </c>
      <c r="Q110" s="11">
        <v>0</v>
      </c>
      <c r="R110" s="11">
        <v>0</v>
      </c>
      <c r="S110" s="14">
        <v>0</v>
      </c>
      <c r="T110" s="11">
        <v>177.39</v>
      </c>
      <c r="U110" s="13" cm="1">
        <f t="array" ref="U110">IF(Table8[[#This Row],[I_0]]&lt;Table24[Flitro de Ruido],1,Table8[[#This Row],[I_10]]/Table8[[#This Row],[I_0]])</f>
        <v>1</v>
      </c>
      <c r="V110" s="13" cm="1">
        <f t="array" ref="V110">IF(Table8[[#This Row],[I_0]]&lt;Table24[Flitro de Ruido],1,Table8[[#This Row],[I_20]]/Table8[[#This Row],[I_0]])</f>
        <v>1</v>
      </c>
      <c r="W110" s="13" cm="1">
        <f t="array" ref="W110">IF(Table8[[#This Row],[I_0]]&lt;Table24[Flitro de Ruido],1,Table8[[#This Row],[I_30]]/Table8[[#This Row],[I_0]])</f>
        <v>1</v>
      </c>
      <c r="X110" s="13" cm="1">
        <f t="array" ref="X110">IF(Table8[[#This Row],[I_0]]&lt;Table24[Flitro de Ruido],1,Table8[[#This Row],[I_40]]/Table8[[#This Row],[I_0]])</f>
        <v>1</v>
      </c>
      <c r="Y110" s="13" cm="1">
        <f t="array" ref="Y110">IF(Table8[[#This Row],[I_0]]&lt;Table24[Flitro de Ruido],1,Table8[[#This Row],[I_50]]/Table8[[#This Row],[I_0]])</f>
        <v>1</v>
      </c>
    </row>
    <row r="111" spans="1:25" x14ac:dyDescent="0.3">
      <c r="A111" s="13">
        <v>178.38</v>
      </c>
      <c r="B111" s="12">
        <v>0</v>
      </c>
      <c r="C111" s="11">
        <v>178.38</v>
      </c>
      <c r="D111" s="12">
        <v>0</v>
      </c>
      <c r="E111" s="11">
        <v>178.38</v>
      </c>
      <c r="F111" s="12">
        <v>0</v>
      </c>
      <c r="G111" s="11">
        <v>178.38</v>
      </c>
      <c r="H111" s="12">
        <v>0</v>
      </c>
      <c r="I111" s="11">
        <v>178.38</v>
      </c>
      <c r="J111" s="12">
        <v>0</v>
      </c>
      <c r="K111" s="11">
        <v>178.38</v>
      </c>
      <c r="L111" s="12">
        <v>0</v>
      </c>
      <c r="M111" s="11">
        <v>178.38</v>
      </c>
      <c r="N111" s="13">
        <v>0</v>
      </c>
      <c r="O111" s="11">
        <v>0</v>
      </c>
      <c r="P111" s="11">
        <v>0</v>
      </c>
      <c r="Q111" s="11">
        <v>0</v>
      </c>
      <c r="R111" s="11">
        <v>0</v>
      </c>
      <c r="S111" s="14">
        <v>0</v>
      </c>
      <c r="T111" s="11">
        <v>178.38</v>
      </c>
      <c r="U111" s="13" cm="1">
        <f t="array" ref="U111">IF(Table8[[#This Row],[I_0]]&lt;Table24[Flitro de Ruido],1,Table8[[#This Row],[I_10]]/Table8[[#This Row],[I_0]])</f>
        <v>1</v>
      </c>
      <c r="V111" s="13" cm="1">
        <f t="array" ref="V111">IF(Table8[[#This Row],[I_0]]&lt;Table24[Flitro de Ruido],1,Table8[[#This Row],[I_20]]/Table8[[#This Row],[I_0]])</f>
        <v>1</v>
      </c>
      <c r="W111" s="13" cm="1">
        <f t="array" ref="W111">IF(Table8[[#This Row],[I_0]]&lt;Table24[Flitro de Ruido],1,Table8[[#This Row],[I_30]]/Table8[[#This Row],[I_0]])</f>
        <v>1</v>
      </c>
      <c r="X111" s="13" cm="1">
        <f t="array" ref="X111">IF(Table8[[#This Row],[I_0]]&lt;Table24[Flitro de Ruido],1,Table8[[#This Row],[I_40]]/Table8[[#This Row],[I_0]])</f>
        <v>1</v>
      </c>
      <c r="Y111" s="13" cm="1">
        <f t="array" ref="Y111">IF(Table8[[#This Row],[I_0]]&lt;Table24[Flitro de Ruido],1,Table8[[#This Row],[I_50]]/Table8[[#This Row],[I_0]])</f>
        <v>1</v>
      </c>
    </row>
    <row r="112" spans="1:25" x14ac:dyDescent="0.3">
      <c r="A112" s="13">
        <v>179.38</v>
      </c>
      <c r="B112" s="12">
        <v>0</v>
      </c>
      <c r="C112" s="11">
        <v>179.38</v>
      </c>
      <c r="D112" s="12">
        <v>0</v>
      </c>
      <c r="E112" s="11">
        <v>179.38</v>
      </c>
      <c r="F112" s="12">
        <v>0</v>
      </c>
      <c r="G112" s="11">
        <v>179.38</v>
      </c>
      <c r="H112" s="12">
        <v>0</v>
      </c>
      <c r="I112" s="11">
        <v>179.38</v>
      </c>
      <c r="J112" s="12">
        <v>0</v>
      </c>
      <c r="K112" s="11">
        <v>179.38</v>
      </c>
      <c r="L112" s="12">
        <v>0</v>
      </c>
      <c r="M112" s="11">
        <v>179.38</v>
      </c>
      <c r="N112" s="13">
        <v>0</v>
      </c>
      <c r="O112" s="11">
        <v>0</v>
      </c>
      <c r="P112" s="11">
        <v>0</v>
      </c>
      <c r="Q112" s="11">
        <v>0</v>
      </c>
      <c r="R112" s="11">
        <v>0</v>
      </c>
      <c r="S112" s="14">
        <v>0</v>
      </c>
      <c r="T112" s="11">
        <v>179.38</v>
      </c>
      <c r="U112" s="13" cm="1">
        <f t="array" ref="U112">IF(Table8[[#This Row],[I_0]]&lt;Table24[Flitro de Ruido],1,Table8[[#This Row],[I_10]]/Table8[[#This Row],[I_0]])</f>
        <v>1</v>
      </c>
      <c r="V112" s="13" cm="1">
        <f t="array" ref="V112">IF(Table8[[#This Row],[I_0]]&lt;Table24[Flitro de Ruido],1,Table8[[#This Row],[I_20]]/Table8[[#This Row],[I_0]])</f>
        <v>1</v>
      </c>
      <c r="W112" s="13" cm="1">
        <f t="array" ref="W112">IF(Table8[[#This Row],[I_0]]&lt;Table24[Flitro de Ruido],1,Table8[[#This Row],[I_30]]/Table8[[#This Row],[I_0]])</f>
        <v>1</v>
      </c>
      <c r="X112" s="13" cm="1">
        <f t="array" ref="X112">IF(Table8[[#This Row],[I_0]]&lt;Table24[Flitro de Ruido],1,Table8[[#This Row],[I_40]]/Table8[[#This Row],[I_0]])</f>
        <v>1</v>
      </c>
      <c r="Y112" s="13" cm="1">
        <f t="array" ref="Y112">IF(Table8[[#This Row],[I_0]]&lt;Table24[Flitro de Ruido],1,Table8[[#This Row],[I_50]]/Table8[[#This Row],[I_0]])</f>
        <v>1</v>
      </c>
    </row>
    <row r="113" spans="1:25" x14ac:dyDescent="0.3">
      <c r="A113" s="13">
        <v>180.37</v>
      </c>
      <c r="B113" s="12">
        <v>0</v>
      </c>
      <c r="C113" s="11">
        <v>180.37</v>
      </c>
      <c r="D113" s="12">
        <v>0</v>
      </c>
      <c r="E113" s="11">
        <v>180.37</v>
      </c>
      <c r="F113" s="12">
        <v>0</v>
      </c>
      <c r="G113" s="11">
        <v>180.37</v>
      </c>
      <c r="H113" s="12">
        <v>0</v>
      </c>
      <c r="I113" s="11">
        <v>180.37</v>
      </c>
      <c r="J113" s="12">
        <v>0</v>
      </c>
      <c r="K113" s="11">
        <v>180.37</v>
      </c>
      <c r="L113" s="12">
        <v>0</v>
      </c>
      <c r="M113" s="11">
        <v>180.37</v>
      </c>
      <c r="N113" s="13">
        <v>0</v>
      </c>
      <c r="O113" s="11">
        <v>0</v>
      </c>
      <c r="P113" s="11">
        <v>0</v>
      </c>
      <c r="Q113" s="11">
        <v>0</v>
      </c>
      <c r="R113" s="11">
        <v>0</v>
      </c>
      <c r="S113" s="14">
        <v>0</v>
      </c>
      <c r="T113" s="11">
        <v>180.37</v>
      </c>
      <c r="U113" s="13" cm="1">
        <f t="array" ref="U113">IF(Table8[[#This Row],[I_0]]&lt;Table24[Flitro de Ruido],1,Table8[[#This Row],[I_10]]/Table8[[#This Row],[I_0]])</f>
        <v>1</v>
      </c>
      <c r="V113" s="13" cm="1">
        <f t="array" ref="V113">IF(Table8[[#This Row],[I_0]]&lt;Table24[Flitro de Ruido],1,Table8[[#This Row],[I_20]]/Table8[[#This Row],[I_0]])</f>
        <v>1</v>
      </c>
      <c r="W113" s="13" cm="1">
        <f t="array" ref="W113">IF(Table8[[#This Row],[I_0]]&lt;Table24[Flitro de Ruido],1,Table8[[#This Row],[I_30]]/Table8[[#This Row],[I_0]])</f>
        <v>1</v>
      </c>
      <c r="X113" s="13" cm="1">
        <f t="array" ref="X113">IF(Table8[[#This Row],[I_0]]&lt;Table24[Flitro de Ruido],1,Table8[[#This Row],[I_40]]/Table8[[#This Row],[I_0]])</f>
        <v>1</v>
      </c>
      <c r="Y113" s="13" cm="1">
        <f t="array" ref="Y113">IF(Table8[[#This Row],[I_0]]&lt;Table24[Flitro de Ruido],1,Table8[[#This Row],[I_50]]/Table8[[#This Row],[I_0]])</f>
        <v>1</v>
      </c>
    </row>
    <row r="114" spans="1:25" x14ac:dyDescent="0.3">
      <c r="A114" s="13">
        <v>181.36</v>
      </c>
      <c r="B114" s="12">
        <v>0</v>
      </c>
      <c r="C114" s="11">
        <v>181.36</v>
      </c>
      <c r="D114" s="12">
        <v>0</v>
      </c>
      <c r="E114" s="11">
        <v>181.36</v>
      </c>
      <c r="F114" s="12">
        <v>0</v>
      </c>
      <c r="G114" s="11">
        <v>181.36</v>
      </c>
      <c r="H114" s="12">
        <v>0</v>
      </c>
      <c r="I114" s="11">
        <v>181.36</v>
      </c>
      <c r="J114" s="12">
        <v>0</v>
      </c>
      <c r="K114" s="11">
        <v>181.36</v>
      </c>
      <c r="L114" s="12">
        <v>0</v>
      </c>
      <c r="M114" s="11">
        <v>181.36</v>
      </c>
      <c r="N114" s="13">
        <v>0</v>
      </c>
      <c r="O114" s="11">
        <v>0</v>
      </c>
      <c r="P114" s="11">
        <v>0</v>
      </c>
      <c r="Q114" s="11">
        <v>0</v>
      </c>
      <c r="R114" s="11">
        <v>0</v>
      </c>
      <c r="S114" s="14">
        <v>0</v>
      </c>
      <c r="T114" s="11">
        <v>181.36</v>
      </c>
      <c r="U114" s="13" cm="1">
        <f t="array" ref="U114">IF(Table8[[#This Row],[I_0]]&lt;Table24[Flitro de Ruido],1,Table8[[#This Row],[I_10]]/Table8[[#This Row],[I_0]])</f>
        <v>1</v>
      </c>
      <c r="V114" s="13" cm="1">
        <f t="array" ref="V114">IF(Table8[[#This Row],[I_0]]&lt;Table24[Flitro de Ruido],1,Table8[[#This Row],[I_20]]/Table8[[#This Row],[I_0]])</f>
        <v>1</v>
      </c>
      <c r="W114" s="13" cm="1">
        <f t="array" ref="W114">IF(Table8[[#This Row],[I_0]]&lt;Table24[Flitro de Ruido],1,Table8[[#This Row],[I_30]]/Table8[[#This Row],[I_0]])</f>
        <v>1</v>
      </c>
      <c r="X114" s="13" cm="1">
        <f t="array" ref="X114">IF(Table8[[#This Row],[I_0]]&lt;Table24[Flitro de Ruido],1,Table8[[#This Row],[I_40]]/Table8[[#This Row],[I_0]])</f>
        <v>1</v>
      </c>
      <c r="Y114" s="13" cm="1">
        <f t="array" ref="Y114">IF(Table8[[#This Row],[I_0]]&lt;Table24[Flitro de Ruido],1,Table8[[#This Row],[I_50]]/Table8[[#This Row],[I_0]])</f>
        <v>1</v>
      </c>
    </row>
    <row r="115" spans="1:25" x14ac:dyDescent="0.3">
      <c r="A115" s="13">
        <v>182.35</v>
      </c>
      <c r="B115" s="12">
        <v>0</v>
      </c>
      <c r="C115" s="11">
        <v>182.35</v>
      </c>
      <c r="D115" s="12">
        <v>0</v>
      </c>
      <c r="E115" s="11">
        <v>182.35</v>
      </c>
      <c r="F115" s="12">
        <v>0</v>
      </c>
      <c r="G115" s="11">
        <v>182.35</v>
      </c>
      <c r="H115" s="12">
        <v>0</v>
      </c>
      <c r="I115" s="11">
        <v>182.35</v>
      </c>
      <c r="J115" s="12">
        <v>0</v>
      </c>
      <c r="K115" s="11">
        <v>182.35</v>
      </c>
      <c r="L115" s="12">
        <v>0</v>
      </c>
      <c r="M115" s="11">
        <v>182.35</v>
      </c>
      <c r="N115" s="13">
        <v>0</v>
      </c>
      <c r="O115" s="11">
        <v>0</v>
      </c>
      <c r="P115" s="11">
        <v>0</v>
      </c>
      <c r="Q115" s="11">
        <v>0</v>
      </c>
      <c r="R115" s="11">
        <v>0</v>
      </c>
      <c r="S115" s="14">
        <v>0</v>
      </c>
      <c r="T115" s="11">
        <v>182.35</v>
      </c>
      <c r="U115" s="13" cm="1">
        <f t="array" ref="U115">IF(Table8[[#This Row],[I_0]]&lt;Table24[Flitro de Ruido],1,Table8[[#This Row],[I_10]]/Table8[[#This Row],[I_0]])</f>
        <v>1</v>
      </c>
      <c r="V115" s="13" cm="1">
        <f t="array" ref="V115">IF(Table8[[#This Row],[I_0]]&lt;Table24[Flitro de Ruido],1,Table8[[#This Row],[I_20]]/Table8[[#This Row],[I_0]])</f>
        <v>1</v>
      </c>
      <c r="W115" s="13" cm="1">
        <f t="array" ref="W115">IF(Table8[[#This Row],[I_0]]&lt;Table24[Flitro de Ruido],1,Table8[[#This Row],[I_30]]/Table8[[#This Row],[I_0]])</f>
        <v>1</v>
      </c>
      <c r="X115" s="13" cm="1">
        <f t="array" ref="X115">IF(Table8[[#This Row],[I_0]]&lt;Table24[Flitro de Ruido],1,Table8[[#This Row],[I_40]]/Table8[[#This Row],[I_0]])</f>
        <v>1</v>
      </c>
      <c r="Y115" s="13" cm="1">
        <f t="array" ref="Y115">IF(Table8[[#This Row],[I_0]]&lt;Table24[Flitro de Ruido],1,Table8[[#This Row],[I_50]]/Table8[[#This Row],[I_0]])</f>
        <v>1</v>
      </c>
    </row>
    <row r="116" spans="1:25" x14ac:dyDescent="0.3">
      <c r="A116" s="13">
        <v>183.34</v>
      </c>
      <c r="B116" s="12">
        <v>0</v>
      </c>
      <c r="C116" s="11">
        <v>183.34</v>
      </c>
      <c r="D116" s="12">
        <v>0</v>
      </c>
      <c r="E116" s="11">
        <v>183.34</v>
      </c>
      <c r="F116" s="12">
        <v>0</v>
      </c>
      <c r="G116" s="11">
        <v>183.34</v>
      </c>
      <c r="H116" s="12">
        <v>0</v>
      </c>
      <c r="I116" s="11">
        <v>183.34</v>
      </c>
      <c r="J116" s="12">
        <v>0</v>
      </c>
      <c r="K116" s="11">
        <v>183.34</v>
      </c>
      <c r="L116" s="12">
        <v>0</v>
      </c>
      <c r="M116" s="11">
        <v>183.34</v>
      </c>
      <c r="N116" s="13">
        <v>0</v>
      </c>
      <c r="O116" s="11">
        <v>0</v>
      </c>
      <c r="P116" s="11">
        <v>0</v>
      </c>
      <c r="Q116" s="11">
        <v>0</v>
      </c>
      <c r="R116" s="11">
        <v>0</v>
      </c>
      <c r="S116" s="14">
        <v>0</v>
      </c>
      <c r="T116" s="11">
        <v>183.34</v>
      </c>
      <c r="U116" s="13" cm="1">
        <f t="array" ref="U116">IF(Table8[[#This Row],[I_0]]&lt;Table24[Flitro de Ruido],1,Table8[[#This Row],[I_10]]/Table8[[#This Row],[I_0]])</f>
        <v>1</v>
      </c>
      <c r="V116" s="13" cm="1">
        <f t="array" ref="V116">IF(Table8[[#This Row],[I_0]]&lt;Table24[Flitro de Ruido],1,Table8[[#This Row],[I_20]]/Table8[[#This Row],[I_0]])</f>
        <v>1</v>
      </c>
      <c r="W116" s="13" cm="1">
        <f t="array" ref="W116">IF(Table8[[#This Row],[I_0]]&lt;Table24[Flitro de Ruido],1,Table8[[#This Row],[I_30]]/Table8[[#This Row],[I_0]])</f>
        <v>1</v>
      </c>
      <c r="X116" s="13" cm="1">
        <f t="array" ref="X116">IF(Table8[[#This Row],[I_0]]&lt;Table24[Flitro de Ruido],1,Table8[[#This Row],[I_40]]/Table8[[#This Row],[I_0]])</f>
        <v>1</v>
      </c>
      <c r="Y116" s="13" cm="1">
        <f t="array" ref="Y116">IF(Table8[[#This Row],[I_0]]&lt;Table24[Flitro de Ruido],1,Table8[[#This Row],[I_50]]/Table8[[#This Row],[I_0]])</f>
        <v>1</v>
      </c>
    </row>
    <row r="117" spans="1:25" x14ac:dyDescent="0.3">
      <c r="A117" s="13">
        <v>184.33</v>
      </c>
      <c r="B117" s="12">
        <v>0</v>
      </c>
      <c r="C117" s="11">
        <v>184.33</v>
      </c>
      <c r="D117" s="12">
        <v>0</v>
      </c>
      <c r="E117" s="11">
        <v>184.33</v>
      </c>
      <c r="F117" s="12">
        <v>0</v>
      </c>
      <c r="G117" s="11">
        <v>184.33</v>
      </c>
      <c r="H117" s="12">
        <v>0</v>
      </c>
      <c r="I117" s="11">
        <v>184.33</v>
      </c>
      <c r="J117" s="12">
        <v>0</v>
      </c>
      <c r="K117" s="11">
        <v>184.33</v>
      </c>
      <c r="L117" s="12">
        <v>0</v>
      </c>
      <c r="M117" s="11">
        <v>184.33</v>
      </c>
      <c r="N117" s="13">
        <v>0</v>
      </c>
      <c r="O117" s="11">
        <v>0</v>
      </c>
      <c r="P117" s="11">
        <v>0</v>
      </c>
      <c r="Q117" s="11">
        <v>0</v>
      </c>
      <c r="R117" s="11">
        <v>0</v>
      </c>
      <c r="S117" s="14">
        <v>0</v>
      </c>
      <c r="T117" s="11">
        <v>184.33</v>
      </c>
      <c r="U117" s="13" cm="1">
        <f t="array" ref="U117">IF(Table8[[#This Row],[I_0]]&lt;Table24[Flitro de Ruido],1,Table8[[#This Row],[I_10]]/Table8[[#This Row],[I_0]])</f>
        <v>1</v>
      </c>
      <c r="V117" s="13" cm="1">
        <f t="array" ref="V117">IF(Table8[[#This Row],[I_0]]&lt;Table24[Flitro de Ruido],1,Table8[[#This Row],[I_20]]/Table8[[#This Row],[I_0]])</f>
        <v>1</v>
      </c>
      <c r="W117" s="13" cm="1">
        <f t="array" ref="W117">IF(Table8[[#This Row],[I_0]]&lt;Table24[Flitro de Ruido],1,Table8[[#This Row],[I_30]]/Table8[[#This Row],[I_0]])</f>
        <v>1</v>
      </c>
      <c r="X117" s="13" cm="1">
        <f t="array" ref="X117">IF(Table8[[#This Row],[I_0]]&lt;Table24[Flitro de Ruido],1,Table8[[#This Row],[I_40]]/Table8[[#This Row],[I_0]])</f>
        <v>1</v>
      </c>
      <c r="Y117" s="13" cm="1">
        <f t="array" ref="Y117">IF(Table8[[#This Row],[I_0]]&lt;Table24[Flitro de Ruido],1,Table8[[#This Row],[I_50]]/Table8[[#This Row],[I_0]])</f>
        <v>1</v>
      </c>
    </row>
    <row r="118" spans="1:25" x14ac:dyDescent="0.3">
      <c r="A118" s="13">
        <v>185.33</v>
      </c>
      <c r="B118" s="12">
        <v>0</v>
      </c>
      <c r="C118" s="11">
        <v>185.33</v>
      </c>
      <c r="D118" s="12">
        <v>0</v>
      </c>
      <c r="E118" s="11">
        <v>185.33</v>
      </c>
      <c r="F118" s="12">
        <v>0</v>
      </c>
      <c r="G118" s="11">
        <v>185.33</v>
      </c>
      <c r="H118" s="12">
        <v>0</v>
      </c>
      <c r="I118" s="11">
        <v>185.33</v>
      </c>
      <c r="J118" s="12">
        <v>0</v>
      </c>
      <c r="K118" s="11">
        <v>185.33</v>
      </c>
      <c r="L118" s="12">
        <v>0</v>
      </c>
      <c r="M118" s="11">
        <v>185.33</v>
      </c>
      <c r="N118" s="13">
        <v>0</v>
      </c>
      <c r="O118" s="11">
        <v>0</v>
      </c>
      <c r="P118" s="11">
        <v>0</v>
      </c>
      <c r="Q118" s="11">
        <v>0</v>
      </c>
      <c r="R118" s="11">
        <v>0</v>
      </c>
      <c r="S118" s="14">
        <v>0</v>
      </c>
      <c r="T118" s="11">
        <v>185.33</v>
      </c>
      <c r="U118" s="13" cm="1">
        <f t="array" ref="U118">IF(Table8[[#This Row],[I_0]]&lt;Table24[Flitro de Ruido],1,Table8[[#This Row],[I_10]]/Table8[[#This Row],[I_0]])</f>
        <v>1</v>
      </c>
      <c r="V118" s="13" cm="1">
        <f t="array" ref="V118">IF(Table8[[#This Row],[I_0]]&lt;Table24[Flitro de Ruido],1,Table8[[#This Row],[I_20]]/Table8[[#This Row],[I_0]])</f>
        <v>1</v>
      </c>
      <c r="W118" s="13" cm="1">
        <f t="array" ref="W118">IF(Table8[[#This Row],[I_0]]&lt;Table24[Flitro de Ruido],1,Table8[[#This Row],[I_30]]/Table8[[#This Row],[I_0]])</f>
        <v>1</v>
      </c>
      <c r="X118" s="13" cm="1">
        <f t="array" ref="X118">IF(Table8[[#This Row],[I_0]]&lt;Table24[Flitro de Ruido],1,Table8[[#This Row],[I_40]]/Table8[[#This Row],[I_0]])</f>
        <v>1</v>
      </c>
      <c r="Y118" s="13" cm="1">
        <f t="array" ref="Y118">IF(Table8[[#This Row],[I_0]]&lt;Table24[Flitro de Ruido],1,Table8[[#This Row],[I_50]]/Table8[[#This Row],[I_0]])</f>
        <v>1</v>
      </c>
    </row>
    <row r="119" spans="1:25" x14ac:dyDescent="0.3">
      <c r="A119" s="13">
        <v>186.32</v>
      </c>
      <c r="B119" s="12">
        <v>0</v>
      </c>
      <c r="C119" s="11">
        <v>186.32</v>
      </c>
      <c r="D119" s="12">
        <v>0</v>
      </c>
      <c r="E119" s="11">
        <v>186.32</v>
      </c>
      <c r="F119" s="12">
        <v>0</v>
      </c>
      <c r="G119" s="11">
        <v>186.32</v>
      </c>
      <c r="H119" s="12">
        <v>0</v>
      </c>
      <c r="I119" s="11">
        <v>186.32</v>
      </c>
      <c r="J119" s="12">
        <v>0</v>
      </c>
      <c r="K119" s="11">
        <v>186.32</v>
      </c>
      <c r="L119" s="12">
        <v>0</v>
      </c>
      <c r="M119" s="11">
        <v>186.32</v>
      </c>
      <c r="N119" s="13">
        <v>0</v>
      </c>
      <c r="O119" s="11">
        <v>0</v>
      </c>
      <c r="P119" s="11">
        <v>0</v>
      </c>
      <c r="Q119" s="11">
        <v>0</v>
      </c>
      <c r="R119" s="11">
        <v>0</v>
      </c>
      <c r="S119" s="14">
        <v>0</v>
      </c>
      <c r="T119" s="11">
        <v>186.32</v>
      </c>
      <c r="U119" s="13" cm="1">
        <f t="array" ref="U119">IF(Table8[[#This Row],[I_0]]&lt;Table24[Flitro de Ruido],1,Table8[[#This Row],[I_10]]/Table8[[#This Row],[I_0]])</f>
        <v>1</v>
      </c>
      <c r="V119" s="13" cm="1">
        <f t="array" ref="V119">IF(Table8[[#This Row],[I_0]]&lt;Table24[Flitro de Ruido],1,Table8[[#This Row],[I_20]]/Table8[[#This Row],[I_0]])</f>
        <v>1</v>
      </c>
      <c r="W119" s="13" cm="1">
        <f t="array" ref="W119">IF(Table8[[#This Row],[I_0]]&lt;Table24[Flitro de Ruido],1,Table8[[#This Row],[I_30]]/Table8[[#This Row],[I_0]])</f>
        <v>1</v>
      </c>
      <c r="X119" s="13" cm="1">
        <f t="array" ref="X119">IF(Table8[[#This Row],[I_0]]&lt;Table24[Flitro de Ruido],1,Table8[[#This Row],[I_40]]/Table8[[#This Row],[I_0]])</f>
        <v>1</v>
      </c>
      <c r="Y119" s="13" cm="1">
        <f t="array" ref="Y119">IF(Table8[[#This Row],[I_0]]&lt;Table24[Flitro de Ruido],1,Table8[[#This Row],[I_50]]/Table8[[#This Row],[I_0]])</f>
        <v>1</v>
      </c>
    </row>
    <row r="120" spans="1:25" x14ac:dyDescent="0.3">
      <c r="A120" s="13">
        <v>187.31</v>
      </c>
      <c r="B120" s="12">
        <v>0</v>
      </c>
      <c r="C120" s="11">
        <v>187.31</v>
      </c>
      <c r="D120" s="12">
        <v>0</v>
      </c>
      <c r="E120" s="11">
        <v>187.31</v>
      </c>
      <c r="F120" s="12">
        <v>0</v>
      </c>
      <c r="G120" s="11">
        <v>187.31</v>
      </c>
      <c r="H120" s="12">
        <v>0</v>
      </c>
      <c r="I120" s="11">
        <v>187.31</v>
      </c>
      <c r="J120" s="12">
        <v>0</v>
      </c>
      <c r="K120" s="11">
        <v>187.31</v>
      </c>
      <c r="L120" s="12">
        <v>0</v>
      </c>
      <c r="M120" s="11">
        <v>187.31</v>
      </c>
      <c r="N120" s="13">
        <v>0</v>
      </c>
      <c r="O120" s="11">
        <v>0</v>
      </c>
      <c r="P120" s="11">
        <v>0</v>
      </c>
      <c r="Q120" s="11">
        <v>0</v>
      </c>
      <c r="R120" s="11">
        <v>0</v>
      </c>
      <c r="S120" s="14">
        <v>0</v>
      </c>
      <c r="T120" s="11">
        <v>187.31</v>
      </c>
      <c r="U120" s="13" cm="1">
        <f t="array" ref="U120">IF(Table8[[#This Row],[I_0]]&lt;Table24[Flitro de Ruido],1,Table8[[#This Row],[I_10]]/Table8[[#This Row],[I_0]])</f>
        <v>1</v>
      </c>
      <c r="V120" s="13" cm="1">
        <f t="array" ref="V120">IF(Table8[[#This Row],[I_0]]&lt;Table24[Flitro de Ruido],1,Table8[[#This Row],[I_20]]/Table8[[#This Row],[I_0]])</f>
        <v>1</v>
      </c>
      <c r="W120" s="13" cm="1">
        <f t="array" ref="W120">IF(Table8[[#This Row],[I_0]]&lt;Table24[Flitro de Ruido],1,Table8[[#This Row],[I_30]]/Table8[[#This Row],[I_0]])</f>
        <v>1</v>
      </c>
      <c r="X120" s="13" cm="1">
        <f t="array" ref="X120">IF(Table8[[#This Row],[I_0]]&lt;Table24[Flitro de Ruido],1,Table8[[#This Row],[I_40]]/Table8[[#This Row],[I_0]])</f>
        <v>1</v>
      </c>
      <c r="Y120" s="13" cm="1">
        <f t="array" ref="Y120">IF(Table8[[#This Row],[I_0]]&lt;Table24[Flitro de Ruido],1,Table8[[#This Row],[I_50]]/Table8[[#This Row],[I_0]])</f>
        <v>1</v>
      </c>
    </row>
    <row r="121" spans="1:25" x14ac:dyDescent="0.3">
      <c r="A121" s="13">
        <v>188.3</v>
      </c>
      <c r="B121" s="12">
        <v>0</v>
      </c>
      <c r="C121" s="11">
        <v>188.3</v>
      </c>
      <c r="D121" s="12">
        <v>0</v>
      </c>
      <c r="E121" s="11">
        <v>188.3</v>
      </c>
      <c r="F121" s="12">
        <v>0</v>
      </c>
      <c r="G121" s="11">
        <v>188.3</v>
      </c>
      <c r="H121" s="12">
        <v>0</v>
      </c>
      <c r="I121" s="11">
        <v>188.3</v>
      </c>
      <c r="J121" s="12">
        <v>0</v>
      </c>
      <c r="K121" s="11">
        <v>188.3</v>
      </c>
      <c r="L121" s="12">
        <v>0</v>
      </c>
      <c r="M121" s="11">
        <v>188.3</v>
      </c>
      <c r="N121" s="13">
        <v>0</v>
      </c>
      <c r="O121" s="11">
        <v>0</v>
      </c>
      <c r="P121" s="11">
        <v>0</v>
      </c>
      <c r="Q121" s="11">
        <v>0</v>
      </c>
      <c r="R121" s="11">
        <v>0</v>
      </c>
      <c r="S121" s="14">
        <v>0</v>
      </c>
      <c r="T121" s="11">
        <v>188.3</v>
      </c>
      <c r="U121" s="13" cm="1">
        <f t="array" ref="U121">IF(Table8[[#This Row],[I_0]]&lt;Table24[Flitro de Ruido],1,Table8[[#This Row],[I_10]]/Table8[[#This Row],[I_0]])</f>
        <v>1</v>
      </c>
      <c r="V121" s="13" cm="1">
        <f t="array" ref="V121">IF(Table8[[#This Row],[I_0]]&lt;Table24[Flitro de Ruido],1,Table8[[#This Row],[I_20]]/Table8[[#This Row],[I_0]])</f>
        <v>1</v>
      </c>
      <c r="W121" s="13" cm="1">
        <f t="array" ref="W121">IF(Table8[[#This Row],[I_0]]&lt;Table24[Flitro de Ruido],1,Table8[[#This Row],[I_30]]/Table8[[#This Row],[I_0]])</f>
        <v>1</v>
      </c>
      <c r="X121" s="13" cm="1">
        <f t="array" ref="X121">IF(Table8[[#This Row],[I_0]]&lt;Table24[Flitro de Ruido],1,Table8[[#This Row],[I_40]]/Table8[[#This Row],[I_0]])</f>
        <v>1</v>
      </c>
      <c r="Y121" s="13" cm="1">
        <f t="array" ref="Y121">IF(Table8[[#This Row],[I_0]]&lt;Table24[Flitro de Ruido],1,Table8[[#This Row],[I_50]]/Table8[[#This Row],[I_0]])</f>
        <v>1</v>
      </c>
    </row>
    <row r="122" spans="1:25" x14ac:dyDescent="0.3">
      <c r="A122" s="13">
        <v>189.29</v>
      </c>
      <c r="B122" s="12">
        <v>0</v>
      </c>
      <c r="C122" s="11">
        <v>189.29</v>
      </c>
      <c r="D122" s="12">
        <v>0</v>
      </c>
      <c r="E122" s="11">
        <v>189.29</v>
      </c>
      <c r="F122" s="12">
        <v>0</v>
      </c>
      <c r="G122" s="11">
        <v>189.29</v>
      </c>
      <c r="H122" s="12">
        <v>0</v>
      </c>
      <c r="I122" s="11">
        <v>189.29</v>
      </c>
      <c r="J122" s="12">
        <v>0</v>
      </c>
      <c r="K122" s="11">
        <v>189.29</v>
      </c>
      <c r="L122" s="12">
        <v>0</v>
      </c>
      <c r="M122" s="11">
        <v>189.29</v>
      </c>
      <c r="N122" s="13">
        <v>0</v>
      </c>
      <c r="O122" s="11">
        <v>0</v>
      </c>
      <c r="P122" s="11">
        <v>0</v>
      </c>
      <c r="Q122" s="11">
        <v>0</v>
      </c>
      <c r="R122" s="11">
        <v>0</v>
      </c>
      <c r="S122" s="14">
        <v>0</v>
      </c>
      <c r="T122" s="11">
        <v>189.29</v>
      </c>
      <c r="U122" s="13" cm="1">
        <f t="array" ref="U122">IF(Table8[[#This Row],[I_0]]&lt;Table24[Flitro de Ruido],1,Table8[[#This Row],[I_10]]/Table8[[#This Row],[I_0]])</f>
        <v>1</v>
      </c>
      <c r="V122" s="13" cm="1">
        <f t="array" ref="V122">IF(Table8[[#This Row],[I_0]]&lt;Table24[Flitro de Ruido],1,Table8[[#This Row],[I_20]]/Table8[[#This Row],[I_0]])</f>
        <v>1</v>
      </c>
      <c r="W122" s="13" cm="1">
        <f t="array" ref="W122">IF(Table8[[#This Row],[I_0]]&lt;Table24[Flitro de Ruido],1,Table8[[#This Row],[I_30]]/Table8[[#This Row],[I_0]])</f>
        <v>1</v>
      </c>
      <c r="X122" s="13" cm="1">
        <f t="array" ref="X122">IF(Table8[[#This Row],[I_0]]&lt;Table24[Flitro de Ruido],1,Table8[[#This Row],[I_40]]/Table8[[#This Row],[I_0]])</f>
        <v>1</v>
      </c>
      <c r="Y122" s="13" cm="1">
        <f t="array" ref="Y122">IF(Table8[[#This Row],[I_0]]&lt;Table24[Flitro de Ruido],1,Table8[[#This Row],[I_50]]/Table8[[#This Row],[I_0]])</f>
        <v>1</v>
      </c>
    </row>
    <row r="123" spans="1:25" x14ac:dyDescent="0.3">
      <c r="A123" s="13">
        <v>190.28</v>
      </c>
      <c r="B123" s="12">
        <v>0</v>
      </c>
      <c r="C123" s="11">
        <v>190.28</v>
      </c>
      <c r="D123" s="12">
        <v>0</v>
      </c>
      <c r="E123" s="11">
        <v>190.28</v>
      </c>
      <c r="F123" s="12">
        <v>0</v>
      </c>
      <c r="G123" s="11">
        <v>190.28</v>
      </c>
      <c r="H123" s="12">
        <v>0</v>
      </c>
      <c r="I123" s="11">
        <v>190.28</v>
      </c>
      <c r="J123" s="12">
        <v>0</v>
      </c>
      <c r="K123" s="11">
        <v>190.28</v>
      </c>
      <c r="L123" s="12">
        <v>0</v>
      </c>
      <c r="M123" s="11">
        <v>190.28</v>
      </c>
      <c r="N123" s="13">
        <v>0</v>
      </c>
      <c r="O123" s="11">
        <v>0</v>
      </c>
      <c r="P123" s="11">
        <v>0</v>
      </c>
      <c r="Q123" s="11">
        <v>0</v>
      </c>
      <c r="R123" s="11">
        <v>0</v>
      </c>
      <c r="S123" s="14">
        <v>0</v>
      </c>
      <c r="T123" s="11">
        <v>190.28</v>
      </c>
      <c r="U123" s="13" cm="1">
        <f t="array" ref="U123">IF(Table8[[#This Row],[I_0]]&lt;Table24[Flitro de Ruido],1,Table8[[#This Row],[I_10]]/Table8[[#This Row],[I_0]])</f>
        <v>1</v>
      </c>
      <c r="V123" s="13" cm="1">
        <f t="array" ref="V123">IF(Table8[[#This Row],[I_0]]&lt;Table24[Flitro de Ruido],1,Table8[[#This Row],[I_20]]/Table8[[#This Row],[I_0]])</f>
        <v>1</v>
      </c>
      <c r="W123" s="13" cm="1">
        <f t="array" ref="W123">IF(Table8[[#This Row],[I_0]]&lt;Table24[Flitro de Ruido],1,Table8[[#This Row],[I_30]]/Table8[[#This Row],[I_0]])</f>
        <v>1</v>
      </c>
      <c r="X123" s="13" cm="1">
        <f t="array" ref="X123">IF(Table8[[#This Row],[I_0]]&lt;Table24[Flitro de Ruido],1,Table8[[#This Row],[I_40]]/Table8[[#This Row],[I_0]])</f>
        <v>1</v>
      </c>
      <c r="Y123" s="13" cm="1">
        <f t="array" ref="Y123">IF(Table8[[#This Row],[I_0]]&lt;Table24[Flitro de Ruido],1,Table8[[#This Row],[I_50]]/Table8[[#This Row],[I_0]])</f>
        <v>1</v>
      </c>
    </row>
    <row r="124" spans="1:25" x14ac:dyDescent="0.3">
      <c r="A124" s="13">
        <v>191.28</v>
      </c>
      <c r="B124" s="12">
        <v>0</v>
      </c>
      <c r="C124" s="11">
        <v>191.28</v>
      </c>
      <c r="D124" s="12">
        <v>0</v>
      </c>
      <c r="E124" s="11">
        <v>191.28</v>
      </c>
      <c r="F124" s="12">
        <v>0</v>
      </c>
      <c r="G124" s="11">
        <v>191.28</v>
      </c>
      <c r="H124" s="12">
        <v>0</v>
      </c>
      <c r="I124" s="11">
        <v>191.28</v>
      </c>
      <c r="J124" s="12">
        <v>0</v>
      </c>
      <c r="K124" s="11">
        <v>191.28</v>
      </c>
      <c r="L124" s="12">
        <v>0</v>
      </c>
      <c r="M124" s="11">
        <v>191.28</v>
      </c>
      <c r="N124" s="13">
        <v>0</v>
      </c>
      <c r="O124" s="11">
        <v>0</v>
      </c>
      <c r="P124" s="11">
        <v>0</v>
      </c>
      <c r="Q124" s="11">
        <v>0</v>
      </c>
      <c r="R124" s="11">
        <v>0</v>
      </c>
      <c r="S124" s="14">
        <v>0</v>
      </c>
      <c r="T124" s="11">
        <v>191.28</v>
      </c>
      <c r="U124" s="13" cm="1">
        <f t="array" ref="U124">IF(Table8[[#This Row],[I_0]]&lt;Table24[Flitro de Ruido],1,Table8[[#This Row],[I_10]]/Table8[[#This Row],[I_0]])</f>
        <v>1</v>
      </c>
      <c r="V124" s="13" cm="1">
        <f t="array" ref="V124">IF(Table8[[#This Row],[I_0]]&lt;Table24[Flitro de Ruido],1,Table8[[#This Row],[I_20]]/Table8[[#This Row],[I_0]])</f>
        <v>1</v>
      </c>
      <c r="W124" s="13" cm="1">
        <f t="array" ref="W124">IF(Table8[[#This Row],[I_0]]&lt;Table24[Flitro de Ruido],1,Table8[[#This Row],[I_30]]/Table8[[#This Row],[I_0]])</f>
        <v>1</v>
      </c>
      <c r="X124" s="13" cm="1">
        <f t="array" ref="X124">IF(Table8[[#This Row],[I_0]]&lt;Table24[Flitro de Ruido],1,Table8[[#This Row],[I_40]]/Table8[[#This Row],[I_0]])</f>
        <v>1</v>
      </c>
      <c r="Y124" s="13" cm="1">
        <f t="array" ref="Y124">IF(Table8[[#This Row],[I_0]]&lt;Table24[Flitro de Ruido],1,Table8[[#This Row],[I_50]]/Table8[[#This Row],[I_0]])</f>
        <v>1</v>
      </c>
    </row>
    <row r="125" spans="1:25" x14ac:dyDescent="0.3">
      <c r="A125" s="13">
        <v>192.27</v>
      </c>
      <c r="B125" s="12">
        <v>0</v>
      </c>
      <c r="C125" s="11">
        <v>192.27</v>
      </c>
      <c r="D125" s="12">
        <v>0</v>
      </c>
      <c r="E125" s="11">
        <v>192.27</v>
      </c>
      <c r="F125" s="12">
        <v>0</v>
      </c>
      <c r="G125" s="11">
        <v>192.27</v>
      </c>
      <c r="H125" s="12">
        <v>0</v>
      </c>
      <c r="I125" s="11">
        <v>192.27</v>
      </c>
      <c r="J125" s="12">
        <v>0</v>
      </c>
      <c r="K125" s="11">
        <v>192.27</v>
      </c>
      <c r="L125" s="12">
        <v>0</v>
      </c>
      <c r="M125" s="11">
        <v>192.27</v>
      </c>
      <c r="N125" s="13">
        <v>0</v>
      </c>
      <c r="O125" s="11">
        <v>0</v>
      </c>
      <c r="P125" s="11">
        <v>0</v>
      </c>
      <c r="Q125" s="11">
        <v>0</v>
      </c>
      <c r="R125" s="11">
        <v>0</v>
      </c>
      <c r="S125" s="14">
        <v>0</v>
      </c>
      <c r="T125" s="11">
        <v>192.27</v>
      </c>
      <c r="U125" s="13" cm="1">
        <f t="array" ref="U125">IF(Table8[[#This Row],[I_0]]&lt;Table24[Flitro de Ruido],1,Table8[[#This Row],[I_10]]/Table8[[#This Row],[I_0]])</f>
        <v>1</v>
      </c>
      <c r="V125" s="13" cm="1">
        <f t="array" ref="V125">IF(Table8[[#This Row],[I_0]]&lt;Table24[Flitro de Ruido],1,Table8[[#This Row],[I_20]]/Table8[[#This Row],[I_0]])</f>
        <v>1</v>
      </c>
      <c r="W125" s="13" cm="1">
        <f t="array" ref="W125">IF(Table8[[#This Row],[I_0]]&lt;Table24[Flitro de Ruido],1,Table8[[#This Row],[I_30]]/Table8[[#This Row],[I_0]])</f>
        <v>1</v>
      </c>
      <c r="X125" s="13" cm="1">
        <f t="array" ref="X125">IF(Table8[[#This Row],[I_0]]&lt;Table24[Flitro de Ruido],1,Table8[[#This Row],[I_40]]/Table8[[#This Row],[I_0]])</f>
        <v>1</v>
      </c>
      <c r="Y125" s="13" cm="1">
        <f t="array" ref="Y125">IF(Table8[[#This Row],[I_0]]&lt;Table24[Flitro de Ruido],1,Table8[[#This Row],[I_50]]/Table8[[#This Row],[I_0]])</f>
        <v>1</v>
      </c>
    </row>
    <row r="126" spans="1:25" x14ac:dyDescent="0.3">
      <c r="A126" s="13">
        <v>193.26</v>
      </c>
      <c r="B126" s="12">
        <v>0</v>
      </c>
      <c r="C126" s="11">
        <v>193.26</v>
      </c>
      <c r="D126" s="12">
        <v>0</v>
      </c>
      <c r="E126" s="11">
        <v>193.26</v>
      </c>
      <c r="F126" s="12">
        <v>0</v>
      </c>
      <c r="G126" s="11">
        <v>193.26</v>
      </c>
      <c r="H126" s="12">
        <v>0</v>
      </c>
      <c r="I126" s="11">
        <v>193.26</v>
      </c>
      <c r="J126" s="12">
        <v>0</v>
      </c>
      <c r="K126" s="11">
        <v>193.26</v>
      </c>
      <c r="L126" s="12">
        <v>0</v>
      </c>
      <c r="M126" s="11">
        <v>193.26</v>
      </c>
      <c r="N126" s="13">
        <v>0</v>
      </c>
      <c r="O126" s="11">
        <v>0</v>
      </c>
      <c r="P126" s="11">
        <v>0</v>
      </c>
      <c r="Q126" s="11">
        <v>0</v>
      </c>
      <c r="R126" s="11">
        <v>0</v>
      </c>
      <c r="S126" s="14">
        <v>0</v>
      </c>
      <c r="T126" s="11">
        <v>193.26</v>
      </c>
      <c r="U126" s="13" cm="1">
        <f t="array" ref="U126">IF(Table8[[#This Row],[I_0]]&lt;Table24[Flitro de Ruido],1,Table8[[#This Row],[I_10]]/Table8[[#This Row],[I_0]])</f>
        <v>1</v>
      </c>
      <c r="V126" s="13" cm="1">
        <f t="array" ref="V126">IF(Table8[[#This Row],[I_0]]&lt;Table24[Flitro de Ruido],1,Table8[[#This Row],[I_20]]/Table8[[#This Row],[I_0]])</f>
        <v>1</v>
      </c>
      <c r="W126" s="13" cm="1">
        <f t="array" ref="W126">IF(Table8[[#This Row],[I_0]]&lt;Table24[Flitro de Ruido],1,Table8[[#This Row],[I_30]]/Table8[[#This Row],[I_0]])</f>
        <v>1</v>
      </c>
      <c r="X126" s="13" cm="1">
        <f t="array" ref="X126">IF(Table8[[#This Row],[I_0]]&lt;Table24[Flitro de Ruido],1,Table8[[#This Row],[I_40]]/Table8[[#This Row],[I_0]])</f>
        <v>1</v>
      </c>
      <c r="Y126" s="13" cm="1">
        <f t="array" ref="Y126">IF(Table8[[#This Row],[I_0]]&lt;Table24[Flitro de Ruido],1,Table8[[#This Row],[I_50]]/Table8[[#This Row],[I_0]])</f>
        <v>1</v>
      </c>
    </row>
    <row r="127" spans="1:25" x14ac:dyDescent="0.3">
      <c r="A127" s="13">
        <v>194.25</v>
      </c>
      <c r="B127" s="12">
        <v>0</v>
      </c>
      <c r="C127" s="11">
        <v>194.25</v>
      </c>
      <c r="D127" s="12">
        <v>0</v>
      </c>
      <c r="E127" s="11">
        <v>194.25</v>
      </c>
      <c r="F127" s="12">
        <v>0</v>
      </c>
      <c r="G127" s="11">
        <v>194.25</v>
      </c>
      <c r="H127" s="12">
        <v>0</v>
      </c>
      <c r="I127" s="11">
        <v>194.25</v>
      </c>
      <c r="J127" s="12">
        <v>0</v>
      </c>
      <c r="K127" s="11">
        <v>194.25</v>
      </c>
      <c r="L127" s="12">
        <v>0</v>
      </c>
      <c r="M127" s="11">
        <v>194.25</v>
      </c>
      <c r="N127" s="13">
        <v>0</v>
      </c>
      <c r="O127" s="11">
        <v>0</v>
      </c>
      <c r="P127" s="11">
        <v>0</v>
      </c>
      <c r="Q127" s="11">
        <v>0</v>
      </c>
      <c r="R127" s="11">
        <v>0</v>
      </c>
      <c r="S127" s="14">
        <v>0</v>
      </c>
      <c r="T127" s="11">
        <v>194.25</v>
      </c>
      <c r="U127" s="13" cm="1">
        <f t="array" ref="U127">IF(Table8[[#This Row],[I_0]]&lt;Table24[Flitro de Ruido],1,Table8[[#This Row],[I_10]]/Table8[[#This Row],[I_0]])</f>
        <v>1</v>
      </c>
      <c r="V127" s="13" cm="1">
        <f t="array" ref="V127">IF(Table8[[#This Row],[I_0]]&lt;Table24[Flitro de Ruido],1,Table8[[#This Row],[I_20]]/Table8[[#This Row],[I_0]])</f>
        <v>1</v>
      </c>
      <c r="W127" s="13" cm="1">
        <f t="array" ref="W127">IF(Table8[[#This Row],[I_0]]&lt;Table24[Flitro de Ruido],1,Table8[[#This Row],[I_30]]/Table8[[#This Row],[I_0]])</f>
        <v>1</v>
      </c>
      <c r="X127" s="13" cm="1">
        <f t="array" ref="X127">IF(Table8[[#This Row],[I_0]]&lt;Table24[Flitro de Ruido],1,Table8[[#This Row],[I_40]]/Table8[[#This Row],[I_0]])</f>
        <v>1</v>
      </c>
      <c r="Y127" s="13" cm="1">
        <f t="array" ref="Y127">IF(Table8[[#This Row],[I_0]]&lt;Table24[Flitro de Ruido],1,Table8[[#This Row],[I_50]]/Table8[[#This Row],[I_0]])</f>
        <v>1</v>
      </c>
    </row>
    <row r="128" spans="1:25" x14ac:dyDescent="0.3">
      <c r="A128" s="13">
        <v>195.24</v>
      </c>
      <c r="B128" s="12">
        <v>0</v>
      </c>
      <c r="C128" s="11">
        <v>195.24</v>
      </c>
      <c r="D128" s="12">
        <v>0</v>
      </c>
      <c r="E128" s="11">
        <v>195.24</v>
      </c>
      <c r="F128" s="12">
        <v>0</v>
      </c>
      <c r="G128" s="11">
        <v>195.24</v>
      </c>
      <c r="H128" s="12">
        <v>0</v>
      </c>
      <c r="I128" s="11">
        <v>195.24</v>
      </c>
      <c r="J128" s="12">
        <v>0</v>
      </c>
      <c r="K128" s="11">
        <v>195.24</v>
      </c>
      <c r="L128" s="12">
        <v>0</v>
      </c>
      <c r="M128" s="11">
        <v>195.24</v>
      </c>
      <c r="N128" s="13">
        <v>0</v>
      </c>
      <c r="O128" s="11">
        <v>0</v>
      </c>
      <c r="P128" s="11">
        <v>0</v>
      </c>
      <c r="Q128" s="11">
        <v>0</v>
      </c>
      <c r="R128" s="11">
        <v>0</v>
      </c>
      <c r="S128" s="14">
        <v>0</v>
      </c>
      <c r="T128" s="11">
        <v>195.24</v>
      </c>
      <c r="U128" s="13" cm="1">
        <f t="array" ref="U128">IF(Table8[[#This Row],[I_0]]&lt;Table24[Flitro de Ruido],1,Table8[[#This Row],[I_10]]/Table8[[#This Row],[I_0]])</f>
        <v>1</v>
      </c>
      <c r="V128" s="13" cm="1">
        <f t="array" ref="V128">IF(Table8[[#This Row],[I_0]]&lt;Table24[Flitro de Ruido],1,Table8[[#This Row],[I_20]]/Table8[[#This Row],[I_0]])</f>
        <v>1</v>
      </c>
      <c r="W128" s="13" cm="1">
        <f t="array" ref="W128">IF(Table8[[#This Row],[I_0]]&lt;Table24[Flitro de Ruido],1,Table8[[#This Row],[I_30]]/Table8[[#This Row],[I_0]])</f>
        <v>1</v>
      </c>
      <c r="X128" s="13" cm="1">
        <f t="array" ref="X128">IF(Table8[[#This Row],[I_0]]&lt;Table24[Flitro de Ruido],1,Table8[[#This Row],[I_40]]/Table8[[#This Row],[I_0]])</f>
        <v>1</v>
      </c>
      <c r="Y128" s="13" cm="1">
        <f t="array" ref="Y128">IF(Table8[[#This Row],[I_0]]&lt;Table24[Flitro de Ruido],1,Table8[[#This Row],[I_50]]/Table8[[#This Row],[I_0]])</f>
        <v>1</v>
      </c>
    </row>
    <row r="129" spans="1:25" x14ac:dyDescent="0.3">
      <c r="A129" s="13">
        <v>196.24</v>
      </c>
      <c r="B129" s="12">
        <v>0</v>
      </c>
      <c r="C129" s="11">
        <v>196.24</v>
      </c>
      <c r="D129" s="12">
        <v>0</v>
      </c>
      <c r="E129" s="11">
        <v>196.24</v>
      </c>
      <c r="F129" s="12">
        <v>0</v>
      </c>
      <c r="G129" s="11">
        <v>196.24</v>
      </c>
      <c r="H129" s="12">
        <v>0</v>
      </c>
      <c r="I129" s="11">
        <v>196.24</v>
      </c>
      <c r="J129" s="12">
        <v>0</v>
      </c>
      <c r="K129" s="11">
        <v>196.24</v>
      </c>
      <c r="L129" s="12">
        <v>0</v>
      </c>
      <c r="M129" s="11">
        <v>196.24</v>
      </c>
      <c r="N129" s="13">
        <v>0</v>
      </c>
      <c r="O129" s="11">
        <v>0</v>
      </c>
      <c r="P129" s="11">
        <v>0</v>
      </c>
      <c r="Q129" s="11">
        <v>0</v>
      </c>
      <c r="R129" s="11">
        <v>0</v>
      </c>
      <c r="S129" s="14">
        <v>0</v>
      </c>
      <c r="T129" s="11">
        <v>196.24</v>
      </c>
      <c r="U129" s="13" cm="1">
        <f t="array" ref="U129">IF(Table8[[#This Row],[I_0]]&lt;Table24[Flitro de Ruido],1,Table8[[#This Row],[I_10]]/Table8[[#This Row],[I_0]])</f>
        <v>1</v>
      </c>
      <c r="V129" s="13" cm="1">
        <f t="array" ref="V129">IF(Table8[[#This Row],[I_0]]&lt;Table24[Flitro de Ruido],1,Table8[[#This Row],[I_20]]/Table8[[#This Row],[I_0]])</f>
        <v>1</v>
      </c>
      <c r="W129" s="13" cm="1">
        <f t="array" ref="W129">IF(Table8[[#This Row],[I_0]]&lt;Table24[Flitro de Ruido],1,Table8[[#This Row],[I_30]]/Table8[[#This Row],[I_0]])</f>
        <v>1</v>
      </c>
      <c r="X129" s="13" cm="1">
        <f t="array" ref="X129">IF(Table8[[#This Row],[I_0]]&lt;Table24[Flitro de Ruido],1,Table8[[#This Row],[I_40]]/Table8[[#This Row],[I_0]])</f>
        <v>1</v>
      </c>
      <c r="Y129" s="13" cm="1">
        <f t="array" ref="Y129">IF(Table8[[#This Row],[I_0]]&lt;Table24[Flitro de Ruido],1,Table8[[#This Row],[I_50]]/Table8[[#This Row],[I_0]])</f>
        <v>1</v>
      </c>
    </row>
    <row r="130" spans="1:25" x14ac:dyDescent="0.3">
      <c r="A130" s="13">
        <v>197.23</v>
      </c>
      <c r="B130" s="12">
        <v>0</v>
      </c>
      <c r="C130" s="11">
        <v>197.23</v>
      </c>
      <c r="D130" s="12">
        <v>0</v>
      </c>
      <c r="E130" s="11">
        <v>197.23</v>
      </c>
      <c r="F130" s="12">
        <v>0</v>
      </c>
      <c r="G130" s="11">
        <v>197.23</v>
      </c>
      <c r="H130" s="12">
        <v>0</v>
      </c>
      <c r="I130" s="11">
        <v>197.23</v>
      </c>
      <c r="J130" s="12">
        <v>0</v>
      </c>
      <c r="K130" s="11">
        <v>197.23</v>
      </c>
      <c r="L130" s="12">
        <v>0</v>
      </c>
      <c r="M130" s="11">
        <v>197.23</v>
      </c>
      <c r="N130" s="13">
        <v>0</v>
      </c>
      <c r="O130" s="11">
        <v>0</v>
      </c>
      <c r="P130" s="11">
        <v>0</v>
      </c>
      <c r="Q130" s="11">
        <v>0</v>
      </c>
      <c r="R130" s="11">
        <v>0</v>
      </c>
      <c r="S130" s="14">
        <v>0</v>
      </c>
      <c r="T130" s="11">
        <v>197.23</v>
      </c>
      <c r="U130" s="13" cm="1">
        <f t="array" ref="U130">IF(Table8[[#This Row],[I_0]]&lt;Table24[Flitro de Ruido],1,Table8[[#This Row],[I_10]]/Table8[[#This Row],[I_0]])</f>
        <v>1</v>
      </c>
      <c r="V130" s="13" cm="1">
        <f t="array" ref="V130">IF(Table8[[#This Row],[I_0]]&lt;Table24[Flitro de Ruido],1,Table8[[#This Row],[I_20]]/Table8[[#This Row],[I_0]])</f>
        <v>1</v>
      </c>
      <c r="W130" s="13" cm="1">
        <f t="array" ref="W130">IF(Table8[[#This Row],[I_0]]&lt;Table24[Flitro de Ruido],1,Table8[[#This Row],[I_30]]/Table8[[#This Row],[I_0]])</f>
        <v>1</v>
      </c>
      <c r="X130" s="13" cm="1">
        <f t="array" ref="X130">IF(Table8[[#This Row],[I_0]]&lt;Table24[Flitro de Ruido],1,Table8[[#This Row],[I_40]]/Table8[[#This Row],[I_0]])</f>
        <v>1</v>
      </c>
      <c r="Y130" s="13" cm="1">
        <f t="array" ref="Y130">IF(Table8[[#This Row],[I_0]]&lt;Table24[Flitro de Ruido],1,Table8[[#This Row],[I_50]]/Table8[[#This Row],[I_0]])</f>
        <v>1</v>
      </c>
    </row>
    <row r="131" spans="1:25" x14ac:dyDescent="0.3">
      <c r="A131" s="13">
        <v>198.22</v>
      </c>
      <c r="B131" s="12">
        <v>0</v>
      </c>
      <c r="C131" s="11">
        <v>198.22</v>
      </c>
      <c r="D131" s="12">
        <v>0</v>
      </c>
      <c r="E131" s="11">
        <v>198.22</v>
      </c>
      <c r="F131" s="12">
        <v>0</v>
      </c>
      <c r="G131" s="11">
        <v>198.22</v>
      </c>
      <c r="H131" s="12">
        <v>0</v>
      </c>
      <c r="I131" s="11">
        <v>198.22</v>
      </c>
      <c r="J131" s="12">
        <v>0</v>
      </c>
      <c r="K131" s="11">
        <v>198.22</v>
      </c>
      <c r="L131" s="12">
        <v>0</v>
      </c>
      <c r="M131" s="11">
        <v>198.22</v>
      </c>
      <c r="N131" s="13">
        <v>0</v>
      </c>
      <c r="O131" s="11">
        <v>0</v>
      </c>
      <c r="P131" s="11">
        <v>0</v>
      </c>
      <c r="Q131" s="11">
        <v>0</v>
      </c>
      <c r="R131" s="11">
        <v>0</v>
      </c>
      <c r="S131" s="14">
        <v>0</v>
      </c>
      <c r="T131" s="11">
        <v>198.22</v>
      </c>
      <c r="U131" s="13" cm="1">
        <f t="array" ref="U131">IF(Table8[[#This Row],[I_0]]&lt;Table24[Flitro de Ruido],1,Table8[[#This Row],[I_10]]/Table8[[#This Row],[I_0]])</f>
        <v>1</v>
      </c>
      <c r="V131" s="13" cm="1">
        <f t="array" ref="V131">IF(Table8[[#This Row],[I_0]]&lt;Table24[Flitro de Ruido],1,Table8[[#This Row],[I_20]]/Table8[[#This Row],[I_0]])</f>
        <v>1</v>
      </c>
      <c r="W131" s="13" cm="1">
        <f t="array" ref="W131">IF(Table8[[#This Row],[I_0]]&lt;Table24[Flitro de Ruido],1,Table8[[#This Row],[I_30]]/Table8[[#This Row],[I_0]])</f>
        <v>1</v>
      </c>
      <c r="X131" s="13" cm="1">
        <f t="array" ref="X131">IF(Table8[[#This Row],[I_0]]&lt;Table24[Flitro de Ruido],1,Table8[[#This Row],[I_40]]/Table8[[#This Row],[I_0]])</f>
        <v>1</v>
      </c>
      <c r="Y131" s="13" cm="1">
        <f t="array" ref="Y131">IF(Table8[[#This Row],[I_0]]&lt;Table24[Flitro de Ruido],1,Table8[[#This Row],[I_50]]/Table8[[#This Row],[I_0]])</f>
        <v>1</v>
      </c>
    </row>
    <row r="132" spans="1:25" x14ac:dyDescent="0.3">
      <c r="A132" s="13">
        <v>199.21</v>
      </c>
      <c r="B132" s="12">
        <v>0</v>
      </c>
      <c r="C132" s="11">
        <v>199.21</v>
      </c>
      <c r="D132" s="12">
        <v>0</v>
      </c>
      <c r="E132" s="11">
        <v>199.21</v>
      </c>
      <c r="F132" s="12">
        <v>0</v>
      </c>
      <c r="G132" s="11">
        <v>199.21</v>
      </c>
      <c r="H132" s="12">
        <v>0</v>
      </c>
      <c r="I132" s="11">
        <v>199.21</v>
      </c>
      <c r="J132" s="12">
        <v>0</v>
      </c>
      <c r="K132" s="11">
        <v>199.21</v>
      </c>
      <c r="L132" s="12">
        <v>0</v>
      </c>
      <c r="M132" s="11">
        <v>199.21</v>
      </c>
      <c r="N132" s="13">
        <v>0</v>
      </c>
      <c r="O132" s="11">
        <v>0</v>
      </c>
      <c r="P132" s="11">
        <v>0</v>
      </c>
      <c r="Q132" s="11">
        <v>0</v>
      </c>
      <c r="R132" s="11">
        <v>0</v>
      </c>
      <c r="S132" s="14">
        <v>0</v>
      </c>
      <c r="T132" s="11">
        <v>199.21</v>
      </c>
      <c r="U132" s="13" cm="1">
        <f t="array" ref="U132">IF(Table8[[#This Row],[I_0]]&lt;Table24[Flitro de Ruido],1,Table8[[#This Row],[I_10]]/Table8[[#This Row],[I_0]])</f>
        <v>1</v>
      </c>
      <c r="V132" s="13" cm="1">
        <f t="array" ref="V132">IF(Table8[[#This Row],[I_0]]&lt;Table24[Flitro de Ruido],1,Table8[[#This Row],[I_20]]/Table8[[#This Row],[I_0]])</f>
        <v>1</v>
      </c>
      <c r="W132" s="13" cm="1">
        <f t="array" ref="W132">IF(Table8[[#This Row],[I_0]]&lt;Table24[Flitro de Ruido],1,Table8[[#This Row],[I_30]]/Table8[[#This Row],[I_0]])</f>
        <v>1</v>
      </c>
      <c r="X132" s="13" cm="1">
        <f t="array" ref="X132">IF(Table8[[#This Row],[I_0]]&lt;Table24[Flitro de Ruido],1,Table8[[#This Row],[I_40]]/Table8[[#This Row],[I_0]])</f>
        <v>1</v>
      </c>
      <c r="Y132" s="13" cm="1">
        <f t="array" ref="Y132">IF(Table8[[#This Row],[I_0]]&lt;Table24[Flitro de Ruido],1,Table8[[#This Row],[I_50]]/Table8[[#This Row],[I_0]])</f>
        <v>1</v>
      </c>
    </row>
    <row r="133" spans="1:25" x14ac:dyDescent="0.3">
      <c r="A133" s="13">
        <v>200.2</v>
      </c>
      <c r="B133" s="12">
        <v>0</v>
      </c>
      <c r="C133" s="11">
        <v>200.2</v>
      </c>
      <c r="D133" s="12">
        <v>0</v>
      </c>
      <c r="E133" s="11">
        <v>200.2</v>
      </c>
      <c r="F133" s="12">
        <v>0</v>
      </c>
      <c r="G133" s="11">
        <v>200.2</v>
      </c>
      <c r="H133" s="12">
        <v>0</v>
      </c>
      <c r="I133" s="11">
        <v>200.2</v>
      </c>
      <c r="J133" s="12">
        <v>0</v>
      </c>
      <c r="K133" s="11">
        <v>200.2</v>
      </c>
      <c r="L133" s="12">
        <v>0</v>
      </c>
      <c r="M133" s="11">
        <v>200.2</v>
      </c>
      <c r="N133" s="13">
        <v>0</v>
      </c>
      <c r="O133" s="11">
        <v>0</v>
      </c>
      <c r="P133" s="11">
        <v>0</v>
      </c>
      <c r="Q133" s="11">
        <v>0</v>
      </c>
      <c r="R133" s="11">
        <v>0</v>
      </c>
      <c r="S133" s="14">
        <v>0</v>
      </c>
      <c r="T133" s="11">
        <v>200.2</v>
      </c>
      <c r="U133" s="13" cm="1">
        <f t="array" ref="U133">IF(Table8[[#This Row],[I_0]]&lt;Table24[Flitro de Ruido],1,Table8[[#This Row],[I_10]]/Table8[[#This Row],[I_0]])</f>
        <v>1</v>
      </c>
      <c r="V133" s="13" cm="1">
        <f t="array" ref="V133">IF(Table8[[#This Row],[I_0]]&lt;Table24[Flitro de Ruido],1,Table8[[#This Row],[I_20]]/Table8[[#This Row],[I_0]])</f>
        <v>1</v>
      </c>
      <c r="W133" s="13" cm="1">
        <f t="array" ref="W133">IF(Table8[[#This Row],[I_0]]&lt;Table24[Flitro de Ruido],1,Table8[[#This Row],[I_30]]/Table8[[#This Row],[I_0]])</f>
        <v>1</v>
      </c>
      <c r="X133" s="13" cm="1">
        <f t="array" ref="X133">IF(Table8[[#This Row],[I_0]]&lt;Table24[Flitro de Ruido],1,Table8[[#This Row],[I_40]]/Table8[[#This Row],[I_0]])</f>
        <v>1</v>
      </c>
      <c r="Y133" s="13" cm="1">
        <f t="array" ref="Y133">IF(Table8[[#This Row],[I_0]]&lt;Table24[Flitro de Ruido],1,Table8[[#This Row],[I_50]]/Table8[[#This Row],[I_0]])</f>
        <v>1</v>
      </c>
    </row>
    <row r="134" spans="1:25" x14ac:dyDescent="0.3">
      <c r="A134" s="13">
        <v>201.19</v>
      </c>
      <c r="B134" s="12">
        <v>0</v>
      </c>
      <c r="C134" s="11">
        <v>201.19</v>
      </c>
      <c r="D134" s="12">
        <v>0</v>
      </c>
      <c r="E134" s="11">
        <v>201.19</v>
      </c>
      <c r="F134" s="12">
        <v>0</v>
      </c>
      <c r="G134" s="11">
        <v>201.19</v>
      </c>
      <c r="H134" s="12">
        <v>0</v>
      </c>
      <c r="I134" s="11">
        <v>201.19</v>
      </c>
      <c r="J134" s="12">
        <v>0</v>
      </c>
      <c r="K134" s="11">
        <v>201.19</v>
      </c>
      <c r="L134" s="12">
        <v>0</v>
      </c>
      <c r="M134" s="11">
        <v>201.19</v>
      </c>
      <c r="N134" s="13">
        <v>0</v>
      </c>
      <c r="O134" s="11">
        <v>0</v>
      </c>
      <c r="P134" s="11">
        <v>0</v>
      </c>
      <c r="Q134" s="11">
        <v>0</v>
      </c>
      <c r="R134" s="11">
        <v>0</v>
      </c>
      <c r="S134" s="14">
        <v>0</v>
      </c>
      <c r="T134" s="11">
        <v>201.19</v>
      </c>
      <c r="U134" s="13" cm="1">
        <f t="array" ref="U134">IF(Table8[[#This Row],[I_0]]&lt;Table24[Flitro de Ruido],1,Table8[[#This Row],[I_10]]/Table8[[#This Row],[I_0]])</f>
        <v>1</v>
      </c>
      <c r="V134" s="13" cm="1">
        <f t="array" ref="V134">IF(Table8[[#This Row],[I_0]]&lt;Table24[Flitro de Ruido],1,Table8[[#This Row],[I_20]]/Table8[[#This Row],[I_0]])</f>
        <v>1</v>
      </c>
      <c r="W134" s="13" cm="1">
        <f t="array" ref="W134">IF(Table8[[#This Row],[I_0]]&lt;Table24[Flitro de Ruido],1,Table8[[#This Row],[I_30]]/Table8[[#This Row],[I_0]])</f>
        <v>1</v>
      </c>
      <c r="X134" s="13" cm="1">
        <f t="array" ref="X134">IF(Table8[[#This Row],[I_0]]&lt;Table24[Flitro de Ruido],1,Table8[[#This Row],[I_40]]/Table8[[#This Row],[I_0]])</f>
        <v>1</v>
      </c>
      <c r="Y134" s="13" cm="1">
        <f t="array" ref="Y134">IF(Table8[[#This Row],[I_0]]&lt;Table24[Flitro de Ruido],1,Table8[[#This Row],[I_50]]/Table8[[#This Row],[I_0]])</f>
        <v>1</v>
      </c>
    </row>
    <row r="135" spans="1:25" x14ac:dyDescent="0.3">
      <c r="A135" s="13">
        <v>202.19</v>
      </c>
      <c r="B135" s="12">
        <v>0</v>
      </c>
      <c r="C135" s="11">
        <v>202.19</v>
      </c>
      <c r="D135" s="12">
        <v>0</v>
      </c>
      <c r="E135" s="11">
        <v>202.19</v>
      </c>
      <c r="F135" s="12">
        <v>0</v>
      </c>
      <c r="G135" s="11">
        <v>202.19</v>
      </c>
      <c r="H135" s="12">
        <v>0</v>
      </c>
      <c r="I135" s="11">
        <v>202.19</v>
      </c>
      <c r="J135" s="12">
        <v>0</v>
      </c>
      <c r="K135" s="11">
        <v>202.19</v>
      </c>
      <c r="L135" s="12">
        <v>0</v>
      </c>
      <c r="M135" s="11">
        <v>202.19</v>
      </c>
      <c r="N135" s="13">
        <v>0</v>
      </c>
      <c r="O135" s="11">
        <v>0</v>
      </c>
      <c r="P135" s="11">
        <v>0</v>
      </c>
      <c r="Q135" s="11">
        <v>0</v>
      </c>
      <c r="R135" s="11">
        <v>0</v>
      </c>
      <c r="S135" s="14">
        <v>0</v>
      </c>
      <c r="T135" s="11">
        <v>202.19</v>
      </c>
      <c r="U135" s="13" cm="1">
        <f t="array" ref="U135">IF(Table8[[#This Row],[I_0]]&lt;Table24[Flitro de Ruido],1,Table8[[#This Row],[I_10]]/Table8[[#This Row],[I_0]])</f>
        <v>1</v>
      </c>
      <c r="V135" s="13" cm="1">
        <f t="array" ref="V135">IF(Table8[[#This Row],[I_0]]&lt;Table24[Flitro de Ruido],1,Table8[[#This Row],[I_20]]/Table8[[#This Row],[I_0]])</f>
        <v>1</v>
      </c>
      <c r="W135" s="13" cm="1">
        <f t="array" ref="W135">IF(Table8[[#This Row],[I_0]]&lt;Table24[Flitro de Ruido],1,Table8[[#This Row],[I_30]]/Table8[[#This Row],[I_0]])</f>
        <v>1</v>
      </c>
      <c r="X135" s="13" cm="1">
        <f t="array" ref="X135">IF(Table8[[#This Row],[I_0]]&lt;Table24[Flitro de Ruido],1,Table8[[#This Row],[I_40]]/Table8[[#This Row],[I_0]])</f>
        <v>1</v>
      </c>
      <c r="Y135" s="13" cm="1">
        <f t="array" ref="Y135">IF(Table8[[#This Row],[I_0]]&lt;Table24[Flitro de Ruido],1,Table8[[#This Row],[I_50]]/Table8[[#This Row],[I_0]])</f>
        <v>1</v>
      </c>
    </row>
    <row r="136" spans="1:25" x14ac:dyDescent="0.3">
      <c r="A136" s="13">
        <v>203.18</v>
      </c>
      <c r="B136" s="12">
        <v>0</v>
      </c>
      <c r="C136" s="11">
        <v>203.18</v>
      </c>
      <c r="D136" s="12">
        <v>0</v>
      </c>
      <c r="E136" s="11">
        <v>203.18</v>
      </c>
      <c r="F136" s="12">
        <v>0</v>
      </c>
      <c r="G136" s="11">
        <v>203.18</v>
      </c>
      <c r="H136" s="12">
        <v>0</v>
      </c>
      <c r="I136" s="11">
        <v>203.18</v>
      </c>
      <c r="J136" s="12">
        <v>0</v>
      </c>
      <c r="K136" s="11">
        <v>203.18</v>
      </c>
      <c r="L136" s="12">
        <v>0</v>
      </c>
      <c r="M136" s="11">
        <v>203.18</v>
      </c>
      <c r="N136" s="13">
        <v>0</v>
      </c>
      <c r="O136" s="11">
        <v>0</v>
      </c>
      <c r="P136" s="11">
        <v>0</v>
      </c>
      <c r="Q136" s="11">
        <v>0</v>
      </c>
      <c r="R136" s="11">
        <v>0</v>
      </c>
      <c r="S136" s="14">
        <v>0</v>
      </c>
      <c r="T136" s="11">
        <v>203.18</v>
      </c>
      <c r="U136" s="13" cm="1">
        <f t="array" ref="U136">IF(Table8[[#This Row],[I_0]]&lt;Table24[Flitro de Ruido],1,Table8[[#This Row],[I_10]]/Table8[[#This Row],[I_0]])</f>
        <v>1</v>
      </c>
      <c r="V136" s="13" cm="1">
        <f t="array" ref="V136">IF(Table8[[#This Row],[I_0]]&lt;Table24[Flitro de Ruido],1,Table8[[#This Row],[I_20]]/Table8[[#This Row],[I_0]])</f>
        <v>1</v>
      </c>
      <c r="W136" s="13" cm="1">
        <f t="array" ref="W136">IF(Table8[[#This Row],[I_0]]&lt;Table24[Flitro de Ruido],1,Table8[[#This Row],[I_30]]/Table8[[#This Row],[I_0]])</f>
        <v>1</v>
      </c>
      <c r="X136" s="13" cm="1">
        <f t="array" ref="X136">IF(Table8[[#This Row],[I_0]]&lt;Table24[Flitro de Ruido],1,Table8[[#This Row],[I_40]]/Table8[[#This Row],[I_0]])</f>
        <v>1</v>
      </c>
      <c r="Y136" s="13" cm="1">
        <f t="array" ref="Y136">IF(Table8[[#This Row],[I_0]]&lt;Table24[Flitro de Ruido],1,Table8[[#This Row],[I_50]]/Table8[[#This Row],[I_0]])</f>
        <v>1</v>
      </c>
    </row>
    <row r="137" spans="1:25" x14ac:dyDescent="0.3">
      <c r="A137" s="13">
        <v>204.17</v>
      </c>
      <c r="B137" s="12">
        <v>0</v>
      </c>
      <c r="C137" s="11">
        <v>204.17</v>
      </c>
      <c r="D137" s="12">
        <v>0</v>
      </c>
      <c r="E137" s="11">
        <v>204.17</v>
      </c>
      <c r="F137" s="12">
        <v>0</v>
      </c>
      <c r="G137" s="11">
        <v>204.17</v>
      </c>
      <c r="H137" s="12">
        <v>0</v>
      </c>
      <c r="I137" s="11">
        <v>204.17</v>
      </c>
      <c r="J137" s="12">
        <v>0</v>
      </c>
      <c r="K137" s="11">
        <v>204.17</v>
      </c>
      <c r="L137" s="12">
        <v>0</v>
      </c>
      <c r="M137" s="11">
        <v>204.17</v>
      </c>
      <c r="N137" s="13">
        <v>0</v>
      </c>
      <c r="O137" s="11">
        <v>0</v>
      </c>
      <c r="P137" s="11">
        <v>0</v>
      </c>
      <c r="Q137" s="11">
        <v>0</v>
      </c>
      <c r="R137" s="11">
        <v>0</v>
      </c>
      <c r="S137" s="14">
        <v>0</v>
      </c>
      <c r="T137" s="11">
        <v>204.17</v>
      </c>
      <c r="U137" s="13" cm="1">
        <f t="array" ref="U137">IF(Table8[[#This Row],[I_0]]&lt;Table24[Flitro de Ruido],1,Table8[[#This Row],[I_10]]/Table8[[#This Row],[I_0]])</f>
        <v>1</v>
      </c>
      <c r="V137" s="13" cm="1">
        <f t="array" ref="V137">IF(Table8[[#This Row],[I_0]]&lt;Table24[Flitro de Ruido],1,Table8[[#This Row],[I_20]]/Table8[[#This Row],[I_0]])</f>
        <v>1</v>
      </c>
      <c r="W137" s="13" cm="1">
        <f t="array" ref="W137">IF(Table8[[#This Row],[I_0]]&lt;Table24[Flitro de Ruido],1,Table8[[#This Row],[I_30]]/Table8[[#This Row],[I_0]])</f>
        <v>1</v>
      </c>
      <c r="X137" s="13" cm="1">
        <f t="array" ref="X137">IF(Table8[[#This Row],[I_0]]&lt;Table24[Flitro de Ruido],1,Table8[[#This Row],[I_40]]/Table8[[#This Row],[I_0]])</f>
        <v>1</v>
      </c>
      <c r="Y137" s="13" cm="1">
        <f t="array" ref="Y137">IF(Table8[[#This Row],[I_0]]&lt;Table24[Flitro de Ruido],1,Table8[[#This Row],[I_50]]/Table8[[#This Row],[I_0]])</f>
        <v>1</v>
      </c>
    </row>
    <row r="138" spans="1:25" x14ac:dyDescent="0.3">
      <c r="A138" s="13">
        <v>205.16</v>
      </c>
      <c r="B138" s="12">
        <v>0</v>
      </c>
      <c r="C138" s="11">
        <v>205.16</v>
      </c>
      <c r="D138" s="12">
        <v>0</v>
      </c>
      <c r="E138" s="11">
        <v>205.16</v>
      </c>
      <c r="F138" s="12">
        <v>0</v>
      </c>
      <c r="G138" s="11">
        <v>205.16</v>
      </c>
      <c r="H138" s="12">
        <v>0</v>
      </c>
      <c r="I138" s="11">
        <v>205.16</v>
      </c>
      <c r="J138" s="12">
        <v>0</v>
      </c>
      <c r="K138" s="11">
        <v>205.16</v>
      </c>
      <c r="L138" s="12">
        <v>0</v>
      </c>
      <c r="M138" s="11">
        <v>205.16</v>
      </c>
      <c r="N138" s="13">
        <v>0</v>
      </c>
      <c r="O138" s="11">
        <v>0</v>
      </c>
      <c r="P138" s="11">
        <v>0</v>
      </c>
      <c r="Q138" s="11">
        <v>0</v>
      </c>
      <c r="R138" s="11">
        <v>0</v>
      </c>
      <c r="S138" s="14">
        <v>0</v>
      </c>
      <c r="T138" s="11">
        <v>205.16</v>
      </c>
      <c r="U138" s="13" cm="1">
        <f t="array" ref="U138">IF(Table8[[#This Row],[I_0]]&lt;Table24[Flitro de Ruido],1,Table8[[#This Row],[I_10]]/Table8[[#This Row],[I_0]])</f>
        <v>1</v>
      </c>
      <c r="V138" s="13" cm="1">
        <f t="array" ref="V138">IF(Table8[[#This Row],[I_0]]&lt;Table24[Flitro de Ruido],1,Table8[[#This Row],[I_20]]/Table8[[#This Row],[I_0]])</f>
        <v>1</v>
      </c>
      <c r="W138" s="13" cm="1">
        <f t="array" ref="W138">IF(Table8[[#This Row],[I_0]]&lt;Table24[Flitro de Ruido],1,Table8[[#This Row],[I_30]]/Table8[[#This Row],[I_0]])</f>
        <v>1</v>
      </c>
      <c r="X138" s="13" cm="1">
        <f t="array" ref="X138">IF(Table8[[#This Row],[I_0]]&lt;Table24[Flitro de Ruido],1,Table8[[#This Row],[I_40]]/Table8[[#This Row],[I_0]])</f>
        <v>1</v>
      </c>
      <c r="Y138" s="13" cm="1">
        <f t="array" ref="Y138">IF(Table8[[#This Row],[I_0]]&lt;Table24[Flitro de Ruido],1,Table8[[#This Row],[I_50]]/Table8[[#This Row],[I_0]])</f>
        <v>1</v>
      </c>
    </row>
    <row r="139" spans="1:25" x14ac:dyDescent="0.3">
      <c r="A139" s="13">
        <v>206.15</v>
      </c>
      <c r="B139" s="12">
        <v>0</v>
      </c>
      <c r="C139" s="11">
        <v>206.15</v>
      </c>
      <c r="D139" s="12">
        <v>0</v>
      </c>
      <c r="E139" s="11">
        <v>206.15</v>
      </c>
      <c r="F139" s="12">
        <v>0</v>
      </c>
      <c r="G139" s="11">
        <v>206.15</v>
      </c>
      <c r="H139" s="12">
        <v>0</v>
      </c>
      <c r="I139" s="11">
        <v>206.15</v>
      </c>
      <c r="J139" s="12">
        <v>0</v>
      </c>
      <c r="K139" s="11">
        <v>206.15</v>
      </c>
      <c r="L139" s="12">
        <v>0</v>
      </c>
      <c r="M139" s="11">
        <v>206.15</v>
      </c>
      <c r="N139" s="13">
        <v>0</v>
      </c>
      <c r="O139" s="11">
        <v>0</v>
      </c>
      <c r="P139" s="11">
        <v>0</v>
      </c>
      <c r="Q139" s="11">
        <v>0</v>
      </c>
      <c r="R139" s="11">
        <v>0</v>
      </c>
      <c r="S139" s="14">
        <v>0</v>
      </c>
      <c r="T139" s="11">
        <v>206.15</v>
      </c>
      <c r="U139" s="13" cm="1">
        <f t="array" ref="U139">IF(Table8[[#This Row],[I_0]]&lt;Table24[Flitro de Ruido],1,Table8[[#This Row],[I_10]]/Table8[[#This Row],[I_0]])</f>
        <v>1</v>
      </c>
      <c r="V139" s="13" cm="1">
        <f t="array" ref="V139">IF(Table8[[#This Row],[I_0]]&lt;Table24[Flitro de Ruido],1,Table8[[#This Row],[I_20]]/Table8[[#This Row],[I_0]])</f>
        <v>1</v>
      </c>
      <c r="W139" s="13" cm="1">
        <f t="array" ref="W139">IF(Table8[[#This Row],[I_0]]&lt;Table24[Flitro de Ruido],1,Table8[[#This Row],[I_30]]/Table8[[#This Row],[I_0]])</f>
        <v>1</v>
      </c>
      <c r="X139" s="13" cm="1">
        <f t="array" ref="X139">IF(Table8[[#This Row],[I_0]]&lt;Table24[Flitro de Ruido],1,Table8[[#This Row],[I_40]]/Table8[[#This Row],[I_0]])</f>
        <v>1</v>
      </c>
      <c r="Y139" s="13" cm="1">
        <f t="array" ref="Y139">IF(Table8[[#This Row],[I_0]]&lt;Table24[Flitro de Ruido],1,Table8[[#This Row],[I_50]]/Table8[[#This Row],[I_0]])</f>
        <v>1</v>
      </c>
    </row>
    <row r="140" spans="1:25" x14ac:dyDescent="0.3">
      <c r="A140" s="13">
        <v>207.14</v>
      </c>
      <c r="B140" s="12">
        <v>0</v>
      </c>
      <c r="C140" s="11">
        <v>207.14</v>
      </c>
      <c r="D140" s="12">
        <v>0</v>
      </c>
      <c r="E140" s="11">
        <v>207.14</v>
      </c>
      <c r="F140" s="12">
        <v>0</v>
      </c>
      <c r="G140" s="11">
        <v>207.14</v>
      </c>
      <c r="H140" s="12">
        <v>0</v>
      </c>
      <c r="I140" s="11">
        <v>207.14</v>
      </c>
      <c r="J140" s="12">
        <v>0</v>
      </c>
      <c r="K140" s="11">
        <v>207.14</v>
      </c>
      <c r="L140" s="12">
        <v>0</v>
      </c>
      <c r="M140" s="11">
        <v>207.14</v>
      </c>
      <c r="N140" s="13">
        <v>0</v>
      </c>
      <c r="O140" s="11">
        <v>0</v>
      </c>
      <c r="P140" s="11">
        <v>0</v>
      </c>
      <c r="Q140" s="11">
        <v>0</v>
      </c>
      <c r="R140" s="11">
        <v>0</v>
      </c>
      <c r="S140" s="14">
        <v>0</v>
      </c>
      <c r="T140" s="11">
        <v>207.14</v>
      </c>
      <c r="U140" s="13" cm="1">
        <f t="array" ref="U140">IF(Table8[[#This Row],[I_0]]&lt;Table24[Flitro de Ruido],1,Table8[[#This Row],[I_10]]/Table8[[#This Row],[I_0]])</f>
        <v>1</v>
      </c>
      <c r="V140" s="13" cm="1">
        <f t="array" ref="V140">IF(Table8[[#This Row],[I_0]]&lt;Table24[Flitro de Ruido],1,Table8[[#This Row],[I_20]]/Table8[[#This Row],[I_0]])</f>
        <v>1</v>
      </c>
      <c r="W140" s="13" cm="1">
        <f t="array" ref="W140">IF(Table8[[#This Row],[I_0]]&lt;Table24[Flitro de Ruido],1,Table8[[#This Row],[I_30]]/Table8[[#This Row],[I_0]])</f>
        <v>1</v>
      </c>
      <c r="X140" s="13" cm="1">
        <f t="array" ref="X140">IF(Table8[[#This Row],[I_0]]&lt;Table24[Flitro de Ruido],1,Table8[[#This Row],[I_40]]/Table8[[#This Row],[I_0]])</f>
        <v>1</v>
      </c>
      <c r="Y140" s="13" cm="1">
        <f t="array" ref="Y140">IF(Table8[[#This Row],[I_0]]&lt;Table24[Flitro de Ruido],1,Table8[[#This Row],[I_50]]/Table8[[#This Row],[I_0]])</f>
        <v>1</v>
      </c>
    </row>
    <row r="141" spans="1:25" x14ac:dyDescent="0.3">
      <c r="A141" s="13">
        <v>208.14</v>
      </c>
      <c r="B141" s="12">
        <v>0</v>
      </c>
      <c r="C141" s="11">
        <v>208.14</v>
      </c>
      <c r="D141" s="12">
        <v>0</v>
      </c>
      <c r="E141" s="11">
        <v>208.14</v>
      </c>
      <c r="F141" s="12">
        <v>0</v>
      </c>
      <c r="G141" s="11">
        <v>208.14</v>
      </c>
      <c r="H141" s="12">
        <v>0</v>
      </c>
      <c r="I141" s="11">
        <v>208.14</v>
      </c>
      <c r="J141" s="12">
        <v>0</v>
      </c>
      <c r="K141" s="11">
        <v>208.14</v>
      </c>
      <c r="L141" s="12">
        <v>0</v>
      </c>
      <c r="M141" s="11">
        <v>208.14</v>
      </c>
      <c r="N141" s="13">
        <v>0</v>
      </c>
      <c r="O141" s="11">
        <v>0</v>
      </c>
      <c r="P141" s="11">
        <v>0</v>
      </c>
      <c r="Q141" s="11">
        <v>0</v>
      </c>
      <c r="R141" s="11">
        <v>0</v>
      </c>
      <c r="S141" s="14">
        <v>0</v>
      </c>
      <c r="T141" s="11">
        <v>208.14</v>
      </c>
      <c r="U141" s="13" cm="1">
        <f t="array" ref="U141">IF(Table8[[#This Row],[I_0]]&lt;Table24[Flitro de Ruido],1,Table8[[#This Row],[I_10]]/Table8[[#This Row],[I_0]])</f>
        <v>1</v>
      </c>
      <c r="V141" s="13" cm="1">
        <f t="array" ref="V141">IF(Table8[[#This Row],[I_0]]&lt;Table24[Flitro de Ruido],1,Table8[[#This Row],[I_20]]/Table8[[#This Row],[I_0]])</f>
        <v>1</v>
      </c>
      <c r="W141" s="13" cm="1">
        <f t="array" ref="W141">IF(Table8[[#This Row],[I_0]]&lt;Table24[Flitro de Ruido],1,Table8[[#This Row],[I_30]]/Table8[[#This Row],[I_0]])</f>
        <v>1</v>
      </c>
      <c r="X141" s="13" cm="1">
        <f t="array" ref="X141">IF(Table8[[#This Row],[I_0]]&lt;Table24[Flitro de Ruido],1,Table8[[#This Row],[I_40]]/Table8[[#This Row],[I_0]])</f>
        <v>1</v>
      </c>
      <c r="Y141" s="13" cm="1">
        <f t="array" ref="Y141">IF(Table8[[#This Row],[I_0]]&lt;Table24[Flitro de Ruido],1,Table8[[#This Row],[I_50]]/Table8[[#This Row],[I_0]])</f>
        <v>1</v>
      </c>
    </row>
    <row r="142" spans="1:25" x14ac:dyDescent="0.3">
      <c r="A142" s="13">
        <v>209.13</v>
      </c>
      <c r="B142" s="12">
        <v>0</v>
      </c>
      <c r="C142" s="11">
        <v>209.13</v>
      </c>
      <c r="D142" s="12">
        <v>0</v>
      </c>
      <c r="E142" s="11">
        <v>209.13</v>
      </c>
      <c r="F142" s="12">
        <v>0</v>
      </c>
      <c r="G142" s="11">
        <v>209.13</v>
      </c>
      <c r="H142" s="12">
        <v>0</v>
      </c>
      <c r="I142" s="11">
        <v>209.13</v>
      </c>
      <c r="J142" s="12">
        <v>0</v>
      </c>
      <c r="K142" s="11">
        <v>209.13</v>
      </c>
      <c r="L142" s="12">
        <v>0</v>
      </c>
      <c r="M142" s="11">
        <v>209.13</v>
      </c>
      <c r="N142" s="13">
        <v>0</v>
      </c>
      <c r="O142" s="11">
        <v>0</v>
      </c>
      <c r="P142" s="11">
        <v>0</v>
      </c>
      <c r="Q142" s="11">
        <v>0</v>
      </c>
      <c r="R142" s="11">
        <v>0</v>
      </c>
      <c r="S142" s="14">
        <v>0</v>
      </c>
      <c r="T142" s="11">
        <v>209.13</v>
      </c>
      <c r="U142" s="13" cm="1">
        <f t="array" ref="U142">IF(Table8[[#This Row],[I_0]]&lt;Table24[Flitro de Ruido],1,Table8[[#This Row],[I_10]]/Table8[[#This Row],[I_0]])</f>
        <v>1</v>
      </c>
      <c r="V142" s="13" cm="1">
        <f t="array" ref="V142">IF(Table8[[#This Row],[I_0]]&lt;Table24[Flitro de Ruido],1,Table8[[#This Row],[I_20]]/Table8[[#This Row],[I_0]])</f>
        <v>1</v>
      </c>
      <c r="W142" s="13" cm="1">
        <f t="array" ref="W142">IF(Table8[[#This Row],[I_0]]&lt;Table24[Flitro de Ruido],1,Table8[[#This Row],[I_30]]/Table8[[#This Row],[I_0]])</f>
        <v>1</v>
      </c>
      <c r="X142" s="13" cm="1">
        <f t="array" ref="X142">IF(Table8[[#This Row],[I_0]]&lt;Table24[Flitro de Ruido],1,Table8[[#This Row],[I_40]]/Table8[[#This Row],[I_0]])</f>
        <v>1</v>
      </c>
      <c r="Y142" s="13" cm="1">
        <f t="array" ref="Y142">IF(Table8[[#This Row],[I_0]]&lt;Table24[Flitro de Ruido],1,Table8[[#This Row],[I_50]]/Table8[[#This Row],[I_0]])</f>
        <v>1</v>
      </c>
    </row>
    <row r="143" spans="1:25" x14ac:dyDescent="0.3">
      <c r="A143" s="13">
        <v>210.12</v>
      </c>
      <c r="B143" s="12">
        <v>0</v>
      </c>
      <c r="C143" s="11">
        <v>210.12</v>
      </c>
      <c r="D143" s="12">
        <v>0</v>
      </c>
      <c r="E143" s="11">
        <v>210.12</v>
      </c>
      <c r="F143" s="12">
        <v>0</v>
      </c>
      <c r="G143" s="11">
        <v>210.12</v>
      </c>
      <c r="H143" s="12">
        <v>0</v>
      </c>
      <c r="I143" s="11">
        <v>210.12</v>
      </c>
      <c r="J143" s="12">
        <v>0</v>
      </c>
      <c r="K143" s="11">
        <v>210.12</v>
      </c>
      <c r="L143" s="12">
        <v>0</v>
      </c>
      <c r="M143" s="11">
        <v>210.12</v>
      </c>
      <c r="N143" s="13">
        <v>0</v>
      </c>
      <c r="O143" s="11">
        <v>0</v>
      </c>
      <c r="P143" s="11">
        <v>0</v>
      </c>
      <c r="Q143" s="11">
        <v>0</v>
      </c>
      <c r="R143" s="11">
        <v>0</v>
      </c>
      <c r="S143" s="14">
        <v>0</v>
      </c>
      <c r="T143" s="11">
        <v>210.12</v>
      </c>
      <c r="U143" s="13" cm="1">
        <f t="array" ref="U143">IF(Table8[[#This Row],[I_0]]&lt;Table24[Flitro de Ruido],1,Table8[[#This Row],[I_10]]/Table8[[#This Row],[I_0]])</f>
        <v>1</v>
      </c>
      <c r="V143" s="13" cm="1">
        <f t="array" ref="V143">IF(Table8[[#This Row],[I_0]]&lt;Table24[Flitro de Ruido],1,Table8[[#This Row],[I_20]]/Table8[[#This Row],[I_0]])</f>
        <v>1</v>
      </c>
      <c r="W143" s="13" cm="1">
        <f t="array" ref="W143">IF(Table8[[#This Row],[I_0]]&lt;Table24[Flitro de Ruido],1,Table8[[#This Row],[I_30]]/Table8[[#This Row],[I_0]])</f>
        <v>1</v>
      </c>
      <c r="X143" s="13" cm="1">
        <f t="array" ref="X143">IF(Table8[[#This Row],[I_0]]&lt;Table24[Flitro de Ruido],1,Table8[[#This Row],[I_40]]/Table8[[#This Row],[I_0]])</f>
        <v>1</v>
      </c>
      <c r="Y143" s="13" cm="1">
        <f t="array" ref="Y143">IF(Table8[[#This Row],[I_0]]&lt;Table24[Flitro de Ruido],1,Table8[[#This Row],[I_50]]/Table8[[#This Row],[I_0]])</f>
        <v>1</v>
      </c>
    </row>
    <row r="144" spans="1:25" x14ac:dyDescent="0.3">
      <c r="A144" s="13">
        <v>211.11</v>
      </c>
      <c r="B144" s="12">
        <v>0</v>
      </c>
      <c r="C144" s="11">
        <v>211.11</v>
      </c>
      <c r="D144" s="12">
        <v>0</v>
      </c>
      <c r="E144" s="11">
        <v>211.11</v>
      </c>
      <c r="F144" s="12">
        <v>0</v>
      </c>
      <c r="G144" s="11">
        <v>211.11</v>
      </c>
      <c r="H144" s="12">
        <v>0</v>
      </c>
      <c r="I144" s="11">
        <v>211.11</v>
      </c>
      <c r="J144" s="12">
        <v>0</v>
      </c>
      <c r="K144" s="11">
        <v>211.11</v>
      </c>
      <c r="L144" s="12">
        <v>0</v>
      </c>
      <c r="M144" s="11">
        <v>211.11</v>
      </c>
      <c r="N144" s="13">
        <v>0</v>
      </c>
      <c r="O144" s="11">
        <v>0</v>
      </c>
      <c r="P144" s="11">
        <v>0</v>
      </c>
      <c r="Q144" s="11">
        <v>0</v>
      </c>
      <c r="R144" s="11">
        <v>0</v>
      </c>
      <c r="S144" s="14">
        <v>0</v>
      </c>
      <c r="T144" s="11">
        <v>211.11</v>
      </c>
      <c r="U144" s="13" cm="1">
        <f t="array" ref="U144">IF(Table8[[#This Row],[I_0]]&lt;Table24[Flitro de Ruido],1,Table8[[#This Row],[I_10]]/Table8[[#This Row],[I_0]])</f>
        <v>1</v>
      </c>
      <c r="V144" s="13" cm="1">
        <f t="array" ref="V144">IF(Table8[[#This Row],[I_0]]&lt;Table24[Flitro de Ruido],1,Table8[[#This Row],[I_20]]/Table8[[#This Row],[I_0]])</f>
        <v>1</v>
      </c>
      <c r="W144" s="13" cm="1">
        <f t="array" ref="W144">IF(Table8[[#This Row],[I_0]]&lt;Table24[Flitro de Ruido],1,Table8[[#This Row],[I_30]]/Table8[[#This Row],[I_0]])</f>
        <v>1</v>
      </c>
      <c r="X144" s="13" cm="1">
        <f t="array" ref="X144">IF(Table8[[#This Row],[I_0]]&lt;Table24[Flitro de Ruido],1,Table8[[#This Row],[I_40]]/Table8[[#This Row],[I_0]])</f>
        <v>1</v>
      </c>
      <c r="Y144" s="13" cm="1">
        <f t="array" ref="Y144">IF(Table8[[#This Row],[I_0]]&lt;Table24[Flitro de Ruido],1,Table8[[#This Row],[I_50]]/Table8[[#This Row],[I_0]])</f>
        <v>1</v>
      </c>
    </row>
    <row r="145" spans="1:25" x14ac:dyDescent="0.3">
      <c r="A145" s="13">
        <v>212.1</v>
      </c>
      <c r="B145" s="12">
        <v>0</v>
      </c>
      <c r="C145" s="11">
        <v>212.1</v>
      </c>
      <c r="D145" s="12">
        <v>0</v>
      </c>
      <c r="E145" s="11">
        <v>212.1</v>
      </c>
      <c r="F145" s="12">
        <v>0</v>
      </c>
      <c r="G145" s="11">
        <v>212.1</v>
      </c>
      <c r="H145" s="12">
        <v>0</v>
      </c>
      <c r="I145" s="11">
        <v>212.1</v>
      </c>
      <c r="J145" s="12">
        <v>0</v>
      </c>
      <c r="K145" s="11">
        <v>212.1</v>
      </c>
      <c r="L145" s="12">
        <v>0</v>
      </c>
      <c r="M145" s="11">
        <v>212.1</v>
      </c>
      <c r="N145" s="13">
        <v>0</v>
      </c>
      <c r="O145" s="11">
        <v>0</v>
      </c>
      <c r="P145" s="11">
        <v>0</v>
      </c>
      <c r="Q145" s="11">
        <v>0</v>
      </c>
      <c r="R145" s="11">
        <v>0</v>
      </c>
      <c r="S145" s="14">
        <v>0</v>
      </c>
      <c r="T145" s="11">
        <v>212.1</v>
      </c>
      <c r="U145" s="13" cm="1">
        <f t="array" ref="U145">IF(Table8[[#This Row],[I_0]]&lt;Table24[Flitro de Ruido],1,Table8[[#This Row],[I_10]]/Table8[[#This Row],[I_0]])</f>
        <v>1</v>
      </c>
      <c r="V145" s="13" cm="1">
        <f t="array" ref="V145">IF(Table8[[#This Row],[I_0]]&lt;Table24[Flitro de Ruido],1,Table8[[#This Row],[I_20]]/Table8[[#This Row],[I_0]])</f>
        <v>1</v>
      </c>
      <c r="W145" s="13" cm="1">
        <f t="array" ref="W145">IF(Table8[[#This Row],[I_0]]&lt;Table24[Flitro de Ruido],1,Table8[[#This Row],[I_30]]/Table8[[#This Row],[I_0]])</f>
        <v>1</v>
      </c>
      <c r="X145" s="13" cm="1">
        <f t="array" ref="X145">IF(Table8[[#This Row],[I_0]]&lt;Table24[Flitro de Ruido],1,Table8[[#This Row],[I_40]]/Table8[[#This Row],[I_0]])</f>
        <v>1</v>
      </c>
      <c r="Y145" s="13" cm="1">
        <f t="array" ref="Y145">IF(Table8[[#This Row],[I_0]]&lt;Table24[Flitro de Ruido],1,Table8[[#This Row],[I_50]]/Table8[[#This Row],[I_0]])</f>
        <v>1</v>
      </c>
    </row>
    <row r="146" spans="1:25" x14ac:dyDescent="0.3">
      <c r="A146" s="13">
        <v>213.1</v>
      </c>
      <c r="B146" s="12">
        <v>0</v>
      </c>
      <c r="C146" s="11">
        <v>213.1</v>
      </c>
      <c r="D146" s="12">
        <v>0</v>
      </c>
      <c r="E146" s="11">
        <v>213.1</v>
      </c>
      <c r="F146" s="12">
        <v>0</v>
      </c>
      <c r="G146" s="11">
        <v>213.1</v>
      </c>
      <c r="H146" s="12">
        <v>0</v>
      </c>
      <c r="I146" s="11">
        <v>213.1</v>
      </c>
      <c r="J146" s="12">
        <v>0</v>
      </c>
      <c r="K146" s="11">
        <v>213.1</v>
      </c>
      <c r="L146" s="12">
        <v>0</v>
      </c>
      <c r="M146" s="11">
        <v>213.1</v>
      </c>
      <c r="N146" s="13">
        <v>0</v>
      </c>
      <c r="O146" s="11">
        <v>0</v>
      </c>
      <c r="P146" s="11">
        <v>0</v>
      </c>
      <c r="Q146" s="11">
        <v>0</v>
      </c>
      <c r="R146" s="11">
        <v>0</v>
      </c>
      <c r="S146" s="14">
        <v>0</v>
      </c>
      <c r="T146" s="11">
        <v>213.1</v>
      </c>
      <c r="U146" s="13" cm="1">
        <f t="array" ref="U146">IF(Table8[[#This Row],[I_0]]&lt;Table24[Flitro de Ruido],1,Table8[[#This Row],[I_10]]/Table8[[#This Row],[I_0]])</f>
        <v>1</v>
      </c>
      <c r="V146" s="13" cm="1">
        <f t="array" ref="V146">IF(Table8[[#This Row],[I_0]]&lt;Table24[Flitro de Ruido],1,Table8[[#This Row],[I_20]]/Table8[[#This Row],[I_0]])</f>
        <v>1</v>
      </c>
      <c r="W146" s="13" cm="1">
        <f t="array" ref="W146">IF(Table8[[#This Row],[I_0]]&lt;Table24[Flitro de Ruido],1,Table8[[#This Row],[I_30]]/Table8[[#This Row],[I_0]])</f>
        <v>1</v>
      </c>
      <c r="X146" s="13" cm="1">
        <f t="array" ref="X146">IF(Table8[[#This Row],[I_0]]&lt;Table24[Flitro de Ruido],1,Table8[[#This Row],[I_40]]/Table8[[#This Row],[I_0]])</f>
        <v>1</v>
      </c>
      <c r="Y146" s="13" cm="1">
        <f t="array" ref="Y146">IF(Table8[[#This Row],[I_0]]&lt;Table24[Flitro de Ruido],1,Table8[[#This Row],[I_50]]/Table8[[#This Row],[I_0]])</f>
        <v>1</v>
      </c>
    </row>
    <row r="147" spans="1:25" x14ac:dyDescent="0.3">
      <c r="A147" s="13">
        <v>214.09</v>
      </c>
      <c r="B147" s="12">
        <v>0</v>
      </c>
      <c r="C147" s="11">
        <v>214.09</v>
      </c>
      <c r="D147" s="12">
        <v>0</v>
      </c>
      <c r="E147" s="11">
        <v>214.09</v>
      </c>
      <c r="F147" s="12">
        <v>0</v>
      </c>
      <c r="G147" s="11">
        <v>214.09</v>
      </c>
      <c r="H147" s="12">
        <v>0</v>
      </c>
      <c r="I147" s="11">
        <v>214.09</v>
      </c>
      <c r="J147" s="12">
        <v>0</v>
      </c>
      <c r="K147" s="11">
        <v>214.09</v>
      </c>
      <c r="L147" s="12">
        <v>0</v>
      </c>
      <c r="M147" s="11">
        <v>214.09</v>
      </c>
      <c r="N147" s="13">
        <v>0</v>
      </c>
      <c r="O147" s="11">
        <v>0</v>
      </c>
      <c r="P147" s="11">
        <v>0</v>
      </c>
      <c r="Q147" s="11">
        <v>0</v>
      </c>
      <c r="R147" s="11">
        <v>0</v>
      </c>
      <c r="S147" s="14">
        <v>0</v>
      </c>
      <c r="T147" s="11">
        <v>214.09</v>
      </c>
      <c r="U147" s="13" cm="1">
        <f t="array" ref="U147">IF(Table8[[#This Row],[I_0]]&lt;Table24[Flitro de Ruido],1,Table8[[#This Row],[I_10]]/Table8[[#This Row],[I_0]])</f>
        <v>1</v>
      </c>
      <c r="V147" s="13" cm="1">
        <f t="array" ref="V147">IF(Table8[[#This Row],[I_0]]&lt;Table24[Flitro de Ruido],1,Table8[[#This Row],[I_20]]/Table8[[#This Row],[I_0]])</f>
        <v>1</v>
      </c>
      <c r="W147" s="13" cm="1">
        <f t="array" ref="W147">IF(Table8[[#This Row],[I_0]]&lt;Table24[Flitro de Ruido],1,Table8[[#This Row],[I_30]]/Table8[[#This Row],[I_0]])</f>
        <v>1</v>
      </c>
      <c r="X147" s="13" cm="1">
        <f t="array" ref="X147">IF(Table8[[#This Row],[I_0]]&lt;Table24[Flitro de Ruido],1,Table8[[#This Row],[I_40]]/Table8[[#This Row],[I_0]])</f>
        <v>1</v>
      </c>
      <c r="Y147" s="13" cm="1">
        <f t="array" ref="Y147">IF(Table8[[#This Row],[I_0]]&lt;Table24[Flitro de Ruido],1,Table8[[#This Row],[I_50]]/Table8[[#This Row],[I_0]])</f>
        <v>1</v>
      </c>
    </row>
    <row r="148" spans="1:25" x14ac:dyDescent="0.3">
      <c r="A148" s="13">
        <v>215.08</v>
      </c>
      <c r="B148" s="12">
        <v>0</v>
      </c>
      <c r="C148" s="11">
        <v>215.08</v>
      </c>
      <c r="D148" s="12">
        <v>0</v>
      </c>
      <c r="E148" s="11">
        <v>215.08</v>
      </c>
      <c r="F148" s="12">
        <v>0</v>
      </c>
      <c r="G148" s="11">
        <v>215.08</v>
      </c>
      <c r="H148" s="12">
        <v>0</v>
      </c>
      <c r="I148" s="11">
        <v>215.08</v>
      </c>
      <c r="J148" s="12">
        <v>0</v>
      </c>
      <c r="K148" s="11">
        <v>215.08</v>
      </c>
      <c r="L148" s="12">
        <v>0</v>
      </c>
      <c r="M148" s="11">
        <v>215.08</v>
      </c>
      <c r="N148" s="13">
        <v>0</v>
      </c>
      <c r="O148" s="11">
        <v>0</v>
      </c>
      <c r="P148" s="11">
        <v>0</v>
      </c>
      <c r="Q148" s="11">
        <v>0</v>
      </c>
      <c r="R148" s="11">
        <v>0</v>
      </c>
      <c r="S148" s="14">
        <v>0</v>
      </c>
      <c r="T148" s="11">
        <v>215.08</v>
      </c>
      <c r="U148" s="13" cm="1">
        <f t="array" ref="U148">IF(Table8[[#This Row],[I_0]]&lt;Table24[Flitro de Ruido],1,Table8[[#This Row],[I_10]]/Table8[[#This Row],[I_0]])</f>
        <v>1</v>
      </c>
      <c r="V148" s="13" cm="1">
        <f t="array" ref="V148">IF(Table8[[#This Row],[I_0]]&lt;Table24[Flitro de Ruido],1,Table8[[#This Row],[I_20]]/Table8[[#This Row],[I_0]])</f>
        <v>1</v>
      </c>
      <c r="W148" s="13" cm="1">
        <f t="array" ref="W148">IF(Table8[[#This Row],[I_0]]&lt;Table24[Flitro de Ruido],1,Table8[[#This Row],[I_30]]/Table8[[#This Row],[I_0]])</f>
        <v>1</v>
      </c>
      <c r="X148" s="13" cm="1">
        <f t="array" ref="X148">IF(Table8[[#This Row],[I_0]]&lt;Table24[Flitro de Ruido],1,Table8[[#This Row],[I_40]]/Table8[[#This Row],[I_0]])</f>
        <v>1</v>
      </c>
      <c r="Y148" s="13" cm="1">
        <f t="array" ref="Y148">IF(Table8[[#This Row],[I_0]]&lt;Table24[Flitro de Ruido],1,Table8[[#This Row],[I_50]]/Table8[[#This Row],[I_0]])</f>
        <v>1</v>
      </c>
    </row>
    <row r="149" spans="1:25" x14ac:dyDescent="0.3">
      <c r="A149" s="13">
        <v>216.07</v>
      </c>
      <c r="B149" s="12">
        <v>0</v>
      </c>
      <c r="C149" s="11">
        <v>216.07</v>
      </c>
      <c r="D149" s="12">
        <v>0</v>
      </c>
      <c r="E149" s="11">
        <v>216.07</v>
      </c>
      <c r="F149" s="12">
        <v>0</v>
      </c>
      <c r="G149" s="11">
        <v>216.07</v>
      </c>
      <c r="H149" s="12">
        <v>0</v>
      </c>
      <c r="I149" s="11">
        <v>216.07</v>
      </c>
      <c r="J149" s="12">
        <v>0</v>
      </c>
      <c r="K149" s="11">
        <v>216.07</v>
      </c>
      <c r="L149" s="12">
        <v>0</v>
      </c>
      <c r="M149" s="11">
        <v>216.07</v>
      </c>
      <c r="N149" s="13">
        <v>0</v>
      </c>
      <c r="O149" s="11">
        <v>0</v>
      </c>
      <c r="P149" s="11">
        <v>0</v>
      </c>
      <c r="Q149" s="11">
        <v>0</v>
      </c>
      <c r="R149" s="11">
        <v>0</v>
      </c>
      <c r="S149" s="14">
        <v>0</v>
      </c>
      <c r="T149" s="11">
        <v>216.07</v>
      </c>
      <c r="U149" s="13" cm="1">
        <f t="array" ref="U149">IF(Table8[[#This Row],[I_0]]&lt;Table24[Flitro de Ruido],1,Table8[[#This Row],[I_10]]/Table8[[#This Row],[I_0]])</f>
        <v>1</v>
      </c>
      <c r="V149" s="13" cm="1">
        <f t="array" ref="V149">IF(Table8[[#This Row],[I_0]]&lt;Table24[Flitro de Ruido],1,Table8[[#This Row],[I_20]]/Table8[[#This Row],[I_0]])</f>
        <v>1</v>
      </c>
      <c r="W149" s="13" cm="1">
        <f t="array" ref="W149">IF(Table8[[#This Row],[I_0]]&lt;Table24[Flitro de Ruido],1,Table8[[#This Row],[I_30]]/Table8[[#This Row],[I_0]])</f>
        <v>1</v>
      </c>
      <c r="X149" s="13" cm="1">
        <f t="array" ref="X149">IF(Table8[[#This Row],[I_0]]&lt;Table24[Flitro de Ruido],1,Table8[[#This Row],[I_40]]/Table8[[#This Row],[I_0]])</f>
        <v>1</v>
      </c>
      <c r="Y149" s="13" cm="1">
        <f t="array" ref="Y149">IF(Table8[[#This Row],[I_0]]&lt;Table24[Flitro de Ruido],1,Table8[[#This Row],[I_50]]/Table8[[#This Row],[I_0]])</f>
        <v>1</v>
      </c>
    </row>
    <row r="150" spans="1:25" x14ac:dyDescent="0.3">
      <c r="A150" s="13">
        <v>217.06</v>
      </c>
      <c r="B150" s="12">
        <v>0</v>
      </c>
      <c r="C150" s="11">
        <v>217.06</v>
      </c>
      <c r="D150" s="12">
        <v>0</v>
      </c>
      <c r="E150" s="11">
        <v>217.06</v>
      </c>
      <c r="F150" s="12">
        <v>0</v>
      </c>
      <c r="G150" s="11">
        <v>217.06</v>
      </c>
      <c r="H150" s="12">
        <v>0</v>
      </c>
      <c r="I150" s="11">
        <v>217.06</v>
      </c>
      <c r="J150" s="12">
        <v>0</v>
      </c>
      <c r="K150" s="11">
        <v>217.06</v>
      </c>
      <c r="L150" s="12">
        <v>0</v>
      </c>
      <c r="M150" s="11">
        <v>217.06</v>
      </c>
      <c r="N150" s="13">
        <v>0</v>
      </c>
      <c r="O150" s="11">
        <v>0</v>
      </c>
      <c r="P150" s="11">
        <v>0</v>
      </c>
      <c r="Q150" s="11">
        <v>0</v>
      </c>
      <c r="R150" s="11">
        <v>0</v>
      </c>
      <c r="S150" s="14">
        <v>0</v>
      </c>
      <c r="T150" s="11">
        <v>217.06</v>
      </c>
      <c r="U150" s="13" cm="1">
        <f t="array" ref="U150">IF(Table8[[#This Row],[I_0]]&lt;Table24[Flitro de Ruido],1,Table8[[#This Row],[I_10]]/Table8[[#This Row],[I_0]])</f>
        <v>1</v>
      </c>
      <c r="V150" s="13" cm="1">
        <f t="array" ref="V150">IF(Table8[[#This Row],[I_0]]&lt;Table24[Flitro de Ruido],1,Table8[[#This Row],[I_20]]/Table8[[#This Row],[I_0]])</f>
        <v>1</v>
      </c>
      <c r="W150" s="13" cm="1">
        <f t="array" ref="W150">IF(Table8[[#This Row],[I_0]]&lt;Table24[Flitro de Ruido],1,Table8[[#This Row],[I_30]]/Table8[[#This Row],[I_0]])</f>
        <v>1</v>
      </c>
      <c r="X150" s="13" cm="1">
        <f t="array" ref="X150">IF(Table8[[#This Row],[I_0]]&lt;Table24[Flitro de Ruido],1,Table8[[#This Row],[I_40]]/Table8[[#This Row],[I_0]])</f>
        <v>1</v>
      </c>
      <c r="Y150" s="13" cm="1">
        <f t="array" ref="Y150">IF(Table8[[#This Row],[I_0]]&lt;Table24[Flitro de Ruido],1,Table8[[#This Row],[I_50]]/Table8[[#This Row],[I_0]])</f>
        <v>1</v>
      </c>
    </row>
    <row r="151" spans="1:25" x14ac:dyDescent="0.3">
      <c r="A151" s="13">
        <v>218.05</v>
      </c>
      <c r="B151" s="12">
        <v>0</v>
      </c>
      <c r="C151" s="11">
        <v>218.05</v>
      </c>
      <c r="D151" s="12">
        <v>0</v>
      </c>
      <c r="E151" s="11">
        <v>218.05</v>
      </c>
      <c r="F151" s="12">
        <v>0</v>
      </c>
      <c r="G151" s="11">
        <v>218.05</v>
      </c>
      <c r="H151" s="12">
        <v>0</v>
      </c>
      <c r="I151" s="11">
        <v>218.05</v>
      </c>
      <c r="J151" s="12">
        <v>0</v>
      </c>
      <c r="K151" s="11">
        <v>218.05</v>
      </c>
      <c r="L151" s="12">
        <v>0</v>
      </c>
      <c r="M151" s="11">
        <v>218.05</v>
      </c>
      <c r="N151" s="13">
        <v>0</v>
      </c>
      <c r="O151" s="11">
        <v>0</v>
      </c>
      <c r="P151" s="11">
        <v>0</v>
      </c>
      <c r="Q151" s="11">
        <v>0</v>
      </c>
      <c r="R151" s="11">
        <v>0</v>
      </c>
      <c r="S151" s="14">
        <v>0</v>
      </c>
      <c r="T151" s="11">
        <v>218.05</v>
      </c>
      <c r="U151" s="13" cm="1">
        <f t="array" ref="U151">IF(Table8[[#This Row],[I_0]]&lt;Table24[Flitro de Ruido],1,Table8[[#This Row],[I_10]]/Table8[[#This Row],[I_0]])</f>
        <v>1</v>
      </c>
      <c r="V151" s="13" cm="1">
        <f t="array" ref="V151">IF(Table8[[#This Row],[I_0]]&lt;Table24[Flitro de Ruido],1,Table8[[#This Row],[I_20]]/Table8[[#This Row],[I_0]])</f>
        <v>1</v>
      </c>
      <c r="W151" s="13" cm="1">
        <f t="array" ref="W151">IF(Table8[[#This Row],[I_0]]&lt;Table24[Flitro de Ruido],1,Table8[[#This Row],[I_30]]/Table8[[#This Row],[I_0]])</f>
        <v>1</v>
      </c>
      <c r="X151" s="13" cm="1">
        <f t="array" ref="X151">IF(Table8[[#This Row],[I_0]]&lt;Table24[Flitro de Ruido],1,Table8[[#This Row],[I_40]]/Table8[[#This Row],[I_0]])</f>
        <v>1</v>
      </c>
      <c r="Y151" s="13" cm="1">
        <f t="array" ref="Y151">IF(Table8[[#This Row],[I_0]]&lt;Table24[Flitro de Ruido],1,Table8[[#This Row],[I_50]]/Table8[[#This Row],[I_0]])</f>
        <v>1</v>
      </c>
    </row>
    <row r="152" spans="1:25" x14ac:dyDescent="0.3">
      <c r="A152" s="13">
        <v>219.05</v>
      </c>
      <c r="B152" s="12">
        <v>0</v>
      </c>
      <c r="C152" s="11">
        <v>219.05</v>
      </c>
      <c r="D152" s="12">
        <v>0</v>
      </c>
      <c r="E152" s="11">
        <v>219.05</v>
      </c>
      <c r="F152" s="12">
        <v>0</v>
      </c>
      <c r="G152" s="11">
        <v>219.05</v>
      </c>
      <c r="H152" s="12">
        <v>0</v>
      </c>
      <c r="I152" s="11">
        <v>219.05</v>
      </c>
      <c r="J152" s="12">
        <v>0</v>
      </c>
      <c r="K152" s="11">
        <v>219.05</v>
      </c>
      <c r="L152" s="12">
        <v>0</v>
      </c>
      <c r="M152" s="11">
        <v>219.05</v>
      </c>
      <c r="N152" s="13">
        <v>0</v>
      </c>
      <c r="O152" s="11">
        <v>0</v>
      </c>
      <c r="P152" s="11">
        <v>0</v>
      </c>
      <c r="Q152" s="11">
        <v>0</v>
      </c>
      <c r="R152" s="11">
        <v>0</v>
      </c>
      <c r="S152" s="14">
        <v>0</v>
      </c>
      <c r="T152" s="11">
        <v>219.05</v>
      </c>
      <c r="U152" s="13" cm="1">
        <f t="array" ref="U152">IF(Table8[[#This Row],[I_0]]&lt;Table24[Flitro de Ruido],1,Table8[[#This Row],[I_10]]/Table8[[#This Row],[I_0]])</f>
        <v>1</v>
      </c>
      <c r="V152" s="13" cm="1">
        <f t="array" ref="V152">IF(Table8[[#This Row],[I_0]]&lt;Table24[Flitro de Ruido],1,Table8[[#This Row],[I_20]]/Table8[[#This Row],[I_0]])</f>
        <v>1</v>
      </c>
      <c r="W152" s="13" cm="1">
        <f t="array" ref="W152">IF(Table8[[#This Row],[I_0]]&lt;Table24[Flitro de Ruido],1,Table8[[#This Row],[I_30]]/Table8[[#This Row],[I_0]])</f>
        <v>1</v>
      </c>
      <c r="X152" s="13" cm="1">
        <f t="array" ref="X152">IF(Table8[[#This Row],[I_0]]&lt;Table24[Flitro de Ruido],1,Table8[[#This Row],[I_40]]/Table8[[#This Row],[I_0]])</f>
        <v>1</v>
      </c>
      <c r="Y152" s="13" cm="1">
        <f t="array" ref="Y152">IF(Table8[[#This Row],[I_0]]&lt;Table24[Flitro de Ruido],1,Table8[[#This Row],[I_50]]/Table8[[#This Row],[I_0]])</f>
        <v>1</v>
      </c>
    </row>
    <row r="153" spans="1:25" x14ac:dyDescent="0.3">
      <c r="A153" s="13">
        <v>220.04</v>
      </c>
      <c r="B153" s="12">
        <v>0</v>
      </c>
      <c r="C153" s="11">
        <v>220.04</v>
      </c>
      <c r="D153" s="12">
        <v>0</v>
      </c>
      <c r="E153" s="11">
        <v>220.04</v>
      </c>
      <c r="F153" s="12">
        <v>0</v>
      </c>
      <c r="G153" s="11">
        <v>220.04</v>
      </c>
      <c r="H153" s="12">
        <v>0</v>
      </c>
      <c r="I153" s="11">
        <v>220.04</v>
      </c>
      <c r="J153" s="12">
        <v>0</v>
      </c>
      <c r="K153" s="11">
        <v>220.04</v>
      </c>
      <c r="L153" s="12">
        <v>0</v>
      </c>
      <c r="M153" s="11">
        <v>220.04</v>
      </c>
      <c r="N153" s="13">
        <v>0</v>
      </c>
      <c r="O153" s="11">
        <v>0</v>
      </c>
      <c r="P153" s="11">
        <v>0</v>
      </c>
      <c r="Q153" s="11">
        <v>0</v>
      </c>
      <c r="R153" s="11">
        <v>0</v>
      </c>
      <c r="S153" s="14">
        <v>0</v>
      </c>
      <c r="T153" s="11">
        <v>220.04</v>
      </c>
      <c r="U153" s="13" cm="1">
        <f t="array" ref="U153">IF(Table8[[#This Row],[I_0]]&lt;Table24[Flitro de Ruido],1,Table8[[#This Row],[I_10]]/Table8[[#This Row],[I_0]])</f>
        <v>1</v>
      </c>
      <c r="V153" s="13" cm="1">
        <f t="array" ref="V153">IF(Table8[[#This Row],[I_0]]&lt;Table24[Flitro de Ruido],1,Table8[[#This Row],[I_20]]/Table8[[#This Row],[I_0]])</f>
        <v>1</v>
      </c>
      <c r="W153" s="13" cm="1">
        <f t="array" ref="W153">IF(Table8[[#This Row],[I_0]]&lt;Table24[Flitro de Ruido],1,Table8[[#This Row],[I_30]]/Table8[[#This Row],[I_0]])</f>
        <v>1</v>
      </c>
      <c r="X153" s="13" cm="1">
        <f t="array" ref="X153">IF(Table8[[#This Row],[I_0]]&lt;Table24[Flitro de Ruido],1,Table8[[#This Row],[I_40]]/Table8[[#This Row],[I_0]])</f>
        <v>1</v>
      </c>
      <c r="Y153" s="13" cm="1">
        <f t="array" ref="Y153">IF(Table8[[#This Row],[I_0]]&lt;Table24[Flitro de Ruido],1,Table8[[#This Row],[I_50]]/Table8[[#This Row],[I_0]])</f>
        <v>1</v>
      </c>
    </row>
    <row r="154" spans="1:25" x14ac:dyDescent="0.3">
      <c r="A154" s="13">
        <v>221.03</v>
      </c>
      <c r="B154" s="12">
        <v>0</v>
      </c>
      <c r="C154" s="11">
        <v>221.03</v>
      </c>
      <c r="D154" s="12">
        <v>0</v>
      </c>
      <c r="E154" s="11">
        <v>221.03</v>
      </c>
      <c r="F154" s="12">
        <v>0</v>
      </c>
      <c r="G154" s="11">
        <v>221.03</v>
      </c>
      <c r="H154" s="12">
        <v>0</v>
      </c>
      <c r="I154" s="11">
        <v>221.03</v>
      </c>
      <c r="J154" s="12">
        <v>0</v>
      </c>
      <c r="K154" s="11">
        <v>221.03</v>
      </c>
      <c r="L154" s="12">
        <v>0</v>
      </c>
      <c r="M154" s="11">
        <v>221.03</v>
      </c>
      <c r="N154" s="13">
        <v>0</v>
      </c>
      <c r="O154" s="11">
        <v>0</v>
      </c>
      <c r="P154" s="11">
        <v>0</v>
      </c>
      <c r="Q154" s="11">
        <v>0</v>
      </c>
      <c r="R154" s="11">
        <v>0</v>
      </c>
      <c r="S154" s="14">
        <v>0</v>
      </c>
      <c r="T154" s="11">
        <v>221.03</v>
      </c>
      <c r="U154" s="13" cm="1">
        <f t="array" ref="U154">IF(Table8[[#This Row],[I_0]]&lt;Table24[Flitro de Ruido],1,Table8[[#This Row],[I_10]]/Table8[[#This Row],[I_0]])</f>
        <v>1</v>
      </c>
      <c r="V154" s="13" cm="1">
        <f t="array" ref="V154">IF(Table8[[#This Row],[I_0]]&lt;Table24[Flitro de Ruido],1,Table8[[#This Row],[I_20]]/Table8[[#This Row],[I_0]])</f>
        <v>1</v>
      </c>
      <c r="W154" s="13" cm="1">
        <f t="array" ref="W154">IF(Table8[[#This Row],[I_0]]&lt;Table24[Flitro de Ruido],1,Table8[[#This Row],[I_30]]/Table8[[#This Row],[I_0]])</f>
        <v>1</v>
      </c>
      <c r="X154" s="13" cm="1">
        <f t="array" ref="X154">IF(Table8[[#This Row],[I_0]]&lt;Table24[Flitro de Ruido],1,Table8[[#This Row],[I_40]]/Table8[[#This Row],[I_0]])</f>
        <v>1</v>
      </c>
      <c r="Y154" s="13" cm="1">
        <f t="array" ref="Y154">IF(Table8[[#This Row],[I_0]]&lt;Table24[Flitro de Ruido],1,Table8[[#This Row],[I_50]]/Table8[[#This Row],[I_0]])</f>
        <v>1</v>
      </c>
    </row>
    <row r="155" spans="1:25" x14ac:dyDescent="0.3">
      <c r="A155" s="13">
        <v>222.02</v>
      </c>
      <c r="B155" s="12">
        <v>0</v>
      </c>
      <c r="C155" s="11">
        <v>222.02</v>
      </c>
      <c r="D155" s="12">
        <v>0</v>
      </c>
      <c r="E155" s="11">
        <v>222.02</v>
      </c>
      <c r="F155" s="12">
        <v>0</v>
      </c>
      <c r="G155" s="11">
        <v>222.02</v>
      </c>
      <c r="H155" s="12">
        <v>0</v>
      </c>
      <c r="I155" s="11">
        <v>222.02</v>
      </c>
      <c r="J155" s="12">
        <v>0</v>
      </c>
      <c r="K155" s="11">
        <v>222.02</v>
      </c>
      <c r="L155" s="12">
        <v>0</v>
      </c>
      <c r="M155" s="11">
        <v>222.02</v>
      </c>
      <c r="N155" s="13">
        <v>0</v>
      </c>
      <c r="O155" s="11">
        <v>0</v>
      </c>
      <c r="P155" s="11">
        <v>0</v>
      </c>
      <c r="Q155" s="11">
        <v>0</v>
      </c>
      <c r="R155" s="11">
        <v>0</v>
      </c>
      <c r="S155" s="14">
        <v>0</v>
      </c>
      <c r="T155" s="11">
        <v>222.02</v>
      </c>
      <c r="U155" s="13" cm="1">
        <f t="array" ref="U155">IF(Table8[[#This Row],[I_0]]&lt;Table24[Flitro de Ruido],1,Table8[[#This Row],[I_10]]/Table8[[#This Row],[I_0]])</f>
        <v>1</v>
      </c>
      <c r="V155" s="13" cm="1">
        <f t="array" ref="V155">IF(Table8[[#This Row],[I_0]]&lt;Table24[Flitro de Ruido],1,Table8[[#This Row],[I_20]]/Table8[[#This Row],[I_0]])</f>
        <v>1</v>
      </c>
      <c r="W155" s="13" cm="1">
        <f t="array" ref="W155">IF(Table8[[#This Row],[I_0]]&lt;Table24[Flitro de Ruido],1,Table8[[#This Row],[I_30]]/Table8[[#This Row],[I_0]])</f>
        <v>1</v>
      </c>
      <c r="X155" s="13" cm="1">
        <f t="array" ref="X155">IF(Table8[[#This Row],[I_0]]&lt;Table24[Flitro de Ruido],1,Table8[[#This Row],[I_40]]/Table8[[#This Row],[I_0]])</f>
        <v>1</v>
      </c>
      <c r="Y155" s="13" cm="1">
        <f t="array" ref="Y155">IF(Table8[[#This Row],[I_0]]&lt;Table24[Flitro de Ruido],1,Table8[[#This Row],[I_50]]/Table8[[#This Row],[I_0]])</f>
        <v>1</v>
      </c>
    </row>
    <row r="156" spans="1:25" x14ac:dyDescent="0.3">
      <c r="A156" s="13">
        <v>223.01</v>
      </c>
      <c r="B156" s="12">
        <v>0</v>
      </c>
      <c r="C156" s="11">
        <v>223.01</v>
      </c>
      <c r="D156" s="12">
        <v>0</v>
      </c>
      <c r="E156" s="11">
        <v>223.01</v>
      </c>
      <c r="F156" s="12">
        <v>0</v>
      </c>
      <c r="G156" s="11">
        <v>223.01</v>
      </c>
      <c r="H156" s="12">
        <v>0</v>
      </c>
      <c r="I156" s="11">
        <v>223.01</v>
      </c>
      <c r="J156" s="12">
        <v>0</v>
      </c>
      <c r="K156" s="11">
        <v>223.01</v>
      </c>
      <c r="L156" s="12">
        <v>0</v>
      </c>
      <c r="M156" s="11">
        <v>223.01</v>
      </c>
      <c r="N156" s="13">
        <v>0</v>
      </c>
      <c r="O156" s="11">
        <v>0</v>
      </c>
      <c r="P156" s="11">
        <v>0</v>
      </c>
      <c r="Q156" s="11">
        <v>0</v>
      </c>
      <c r="R156" s="11">
        <v>0</v>
      </c>
      <c r="S156" s="14">
        <v>0</v>
      </c>
      <c r="T156" s="11">
        <v>223.01</v>
      </c>
      <c r="U156" s="13" cm="1">
        <f t="array" ref="U156">IF(Table8[[#This Row],[I_0]]&lt;Table24[Flitro de Ruido],1,Table8[[#This Row],[I_10]]/Table8[[#This Row],[I_0]])</f>
        <v>1</v>
      </c>
      <c r="V156" s="13" cm="1">
        <f t="array" ref="V156">IF(Table8[[#This Row],[I_0]]&lt;Table24[Flitro de Ruido],1,Table8[[#This Row],[I_20]]/Table8[[#This Row],[I_0]])</f>
        <v>1</v>
      </c>
      <c r="W156" s="13" cm="1">
        <f t="array" ref="W156">IF(Table8[[#This Row],[I_0]]&lt;Table24[Flitro de Ruido],1,Table8[[#This Row],[I_30]]/Table8[[#This Row],[I_0]])</f>
        <v>1</v>
      </c>
      <c r="X156" s="13" cm="1">
        <f t="array" ref="X156">IF(Table8[[#This Row],[I_0]]&lt;Table24[Flitro de Ruido],1,Table8[[#This Row],[I_40]]/Table8[[#This Row],[I_0]])</f>
        <v>1</v>
      </c>
      <c r="Y156" s="13" cm="1">
        <f t="array" ref="Y156">IF(Table8[[#This Row],[I_0]]&lt;Table24[Flitro de Ruido],1,Table8[[#This Row],[I_50]]/Table8[[#This Row],[I_0]])</f>
        <v>1</v>
      </c>
    </row>
    <row r="157" spans="1:25" x14ac:dyDescent="0.3">
      <c r="A157" s="13">
        <v>224</v>
      </c>
      <c r="B157" s="12">
        <v>0</v>
      </c>
      <c r="C157" s="11">
        <v>224</v>
      </c>
      <c r="D157" s="12">
        <v>0</v>
      </c>
      <c r="E157" s="11">
        <v>224</v>
      </c>
      <c r="F157" s="12">
        <v>0</v>
      </c>
      <c r="G157" s="11">
        <v>224</v>
      </c>
      <c r="H157" s="12">
        <v>0</v>
      </c>
      <c r="I157" s="11">
        <v>224</v>
      </c>
      <c r="J157" s="12">
        <v>0</v>
      </c>
      <c r="K157" s="11">
        <v>224</v>
      </c>
      <c r="L157" s="12">
        <v>0</v>
      </c>
      <c r="M157" s="11">
        <v>224</v>
      </c>
      <c r="N157" s="13">
        <v>0</v>
      </c>
      <c r="O157" s="11">
        <v>0</v>
      </c>
      <c r="P157" s="11">
        <v>0</v>
      </c>
      <c r="Q157" s="11">
        <v>0</v>
      </c>
      <c r="R157" s="11">
        <v>0</v>
      </c>
      <c r="S157" s="14">
        <v>0</v>
      </c>
      <c r="T157" s="11">
        <v>224</v>
      </c>
      <c r="U157" s="13" cm="1">
        <f t="array" ref="U157">IF(Table8[[#This Row],[I_0]]&lt;Table24[Flitro de Ruido],1,Table8[[#This Row],[I_10]]/Table8[[#This Row],[I_0]])</f>
        <v>1</v>
      </c>
      <c r="V157" s="13" cm="1">
        <f t="array" ref="V157">IF(Table8[[#This Row],[I_0]]&lt;Table24[Flitro de Ruido],1,Table8[[#This Row],[I_20]]/Table8[[#This Row],[I_0]])</f>
        <v>1</v>
      </c>
      <c r="W157" s="13" cm="1">
        <f t="array" ref="W157">IF(Table8[[#This Row],[I_0]]&lt;Table24[Flitro de Ruido],1,Table8[[#This Row],[I_30]]/Table8[[#This Row],[I_0]])</f>
        <v>1</v>
      </c>
      <c r="X157" s="13" cm="1">
        <f t="array" ref="X157">IF(Table8[[#This Row],[I_0]]&lt;Table24[Flitro de Ruido],1,Table8[[#This Row],[I_40]]/Table8[[#This Row],[I_0]])</f>
        <v>1</v>
      </c>
      <c r="Y157" s="13" cm="1">
        <f t="array" ref="Y157">IF(Table8[[#This Row],[I_0]]&lt;Table24[Flitro de Ruido],1,Table8[[#This Row],[I_50]]/Table8[[#This Row],[I_0]])</f>
        <v>1</v>
      </c>
    </row>
    <row r="158" spans="1:25" x14ac:dyDescent="0.3">
      <c r="A158" s="13">
        <v>225</v>
      </c>
      <c r="B158" s="12">
        <v>0</v>
      </c>
      <c r="C158" s="11">
        <v>225</v>
      </c>
      <c r="D158" s="12">
        <v>0</v>
      </c>
      <c r="E158" s="11">
        <v>225</v>
      </c>
      <c r="F158" s="12">
        <v>0</v>
      </c>
      <c r="G158" s="11">
        <v>225</v>
      </c>
      <c r="H158" s="12">
        <v>0</v>
      </c>
      <c r="I158" s="11">
        <v>225</v>
      </c>
      <c r="J158" s="12">
        <v>0</v>
      </c>
      <c r="K158" s="11">
        <v>225</v>
      </c>
      <c r="L158" s="12">
        <v>0</v>
      </c>
      <c r="M158" s="11">
        <v>225</v>
      </c>
      <c r="N158" s="13">
        <v>0</v>
      </c>
      <c r="O158" s="11">
        <v>0</v>
      </c>
      <c r="P158" s="11">
        <v>0</v>
      </c>
      <c r="Q158" s="11">
        <v>0</v>
      </c>
      <c r="R158" s="11">
        <v>0</v>
      </c>
      <c r="S158" s="14">
        <v>0</v>
      </c>
      <c r="T158" s="11">
        <v>225</v>
      </c>
      <c r="U158" s="13" cm="1">
        <f t="array" ref="U158">IF(Table8[[#This Row],[I_0]]&lt;Table24[Flitro de Ruido],1,Table8[[#This Row],[I_10]]/Table8[[#This Row],[I_0]])</f>
        <v>1</v>
      </c>
      <c r="V158" s="13" cm="1">
        <f t="array" ref="V158">IF(Table8[[#This Row],[I_0]]&lt;Table24[Flitro de Ruido],1,Table8[[#This Row],[I_20]]/Table8[[#This Row],[I_0]])</f>
        <v>1</v>
      </c>
      <c r="W158" s="13" cm="1">
        <f t="array" ref="W158">IF(Table8[[#This Row],[I_0]]&lt;Table24[Flitro de Ruido],1,Table8[[#This Row],[I_30]]/Table8[[#This Row],[I_0]])</f>
        <v>1</v>
      </c>
      <c r="X158" s="13" cm="1">
        <f t="array" ref="X158">IF(Table8[[#This Row],[I_0]]&lt;Table24[Flitro de Ruido],1,Table8[[#This Row],[I_40]]/Table8[[#This Row],[I_0]])</f>
        <v>1</v>
      </c>
      <c r="Y158" s="13" cm="1">
        <f t="array" ref="Y158">IF(Table8[[#This Row],[I_0]]&lt;Table24[Flitro de Ruido],1,Table8[[#This Row],[I_50]]/Table8[[#This Row],[I_0]])</f>
        <v>1</v>
      </c>
    </row>
    <row r="159" spans="1:25" x14ac:dyDescent="0.3">
      <c r="A159" s="13">
        <v>225.99</v>
      </c>
      <c r="B159" s="12">
        <v>0</v>
      </c>
      <c r="C159" s="11">
        <v>225.99</v>
      </c>
      <c r="D159" s="12">
        <v>0</v>
      </c>
      <c r="E159" s="11">
        <v>225.99</v>
      </c>
      <c r="F159" s="12">
        <v>0</v>
      </c>
      <c r="G159" s="11">
        <v>225.99</v>
      </c>
      <c r="H159" s="12">
        <v>0</v>
      </c>
      <c r="I159" s="11">
        <v>225.99</v>
      </c>
      <c r="J159" s="12">
        <v>0</v>
      </c>
      <c r="K159" s="11">
        <v>225.99</v>
      </c>
      <c r="L159" s="12">
        <v>0</v>
      </c>
      <c r="M159" s="11">
        <v>225.99</v>
      </c>
      <c r="N159" s="13">
        <v>0</v>
      </c>
      <c r="O159" s="11">
        <v>0</v>
      </c>
      <c r="P159" s="11">
        <v>0</v>
      </c>
      <c r="Q159" s="11">
        <v>0</v>
      </c>
      <c r="R159" s="11">
        <v>0</v>
      </c>
      <c r="S159" s="14">
        <v>0</v>
      </c>
      <c r="T159" s="11">
        <v>225.99</v>
      </c>
      <c r="U159" s="13" cm="1">
        <f t="array" ref="U159">IF(Table8[[#This Row],[I_0]]&lt;Table24[Flitro de Ruido],1,Table8[[#This Row],[I_10]]/Table8[[#This Row],[I_0]])</f>
        <v>1</v>
      </c>
      <c r="V159" s="13" cm="1">
        <f t="array" ref="V159">IF(Table8[[#This Row],[I_0]]&lt;Table24[Flitro de Ruido],1,Table8[[#This Row],[I_20]]/Table8[[#This Row],[I_0]])</f>
        <v>1</v>
      </c>
      <c r="W159" s="13" cm="1">
        <f t="array" ref="W159">IF(Table8[[#This Row],[I_0]]&lt;Table24[Flitro de Ruido],1,Table8[[#This Row],[I_30]]/Table8[[#This Row],[I_0]])</f>
        <v>1</v>
      </c>
      <c r="X159" s="13" cm="1">
        <f t="array" ref="X159">IF(Table8[[#This Row],[I_0]]&lt;Table24[Flitro de Ruido],1,Table8[[#This Row],[I_40]]/Table8[[#This Row],[I_0]])</f>
        <v>1</v>
      </c>
      <c r="Y159" s="13" cm="1">
        <f t="array" ref="Y159">IF(Table8[[#This Row],[I_0]]&lt;Table24[Flitro de Ruido],1,Table8[[#This Row],[I_50]]/Table8[[#This Row],[I_0]])</f>
        <v>1</v>
      </c>
    </row>
    <row r="160" spans="1:25" x14ac:dyDescent="0.3">
      <c r="A160" s="13">
        <v>226.98</v>
      </c>
      <c r="B160" s="12">
        <v>0</v>
      </c>
      <c r="C160" s="11">
        <v>226.98</v>
      </c>
      <c r="D160" s="12">
        <v>0</v>
      </c>
      <c r="E160" s="11">
        <v>226.98</v>
      </c>
      <c r="F160" s="12">
        <v>0</v>
      </c>
      <c r="G160" s="11">
        <v>226.98</v>
      </c>
      <c r="H160" s="12">
        <v>0</v>
      </c>
      <c r="I160" s="11">
        <v>226.98</v>
      </c>
      <c r="J160" s="12">
        <v>0</v>
      </c>
      <c r="K160" s="11">
        <v>226.98</v>
      </c>
      <c r="L160" s="12">
        <v>0</v>
      </c>
      <c r="M160" s="11">
        <v>226.98</v>
      </c>
      <c r="N160" s="13">
        <v>0</v>
      </c>
      <c r="O160" s="11">
        <v>0</v>
      </c>
      <c r="P160" s="11">
        <v>0</v>
      </c>
      <c r="Q160" s="11">
        <v>0</v>
      </c>
      <c r="R160" s="11">
        <v>0</v>
      </c>
      <c r="S160" s="14">
        <v>0</v>
      </c>
      <c r="T160" s="11">
        <v>226.98</v>
      </c>
      <c r="U160" s="13" cm="1">
        <f t="array" ref="U160">IF(Table8[[#This Row],[I_0]]&lt;Table24[Flitro de Ruido],1,Table8[[#This Row],[I_10]]/Table8[[#This Row],[I_0]])</f>
        <v>1</v>
      </c>
      <c r="V160" s="13" cm="1">
        <f t="array" ref="V160">IF(Table8[[#This Row],[I_0]]&lt;Table24[Flitro de Ruido],1,Table8[[#This Row],[I_20]]/Table8[[#This Row],[I_0]])</f>
        <v>1</v>
      </c>
      <c r="W160" s="13" cm="1">
        <f t="array" ref="W160">IF(Table8[[#This Row],[I_0]]&lt;Table24[Flitro de Ruido],1,Table8[[#This Row],[I_30]]/Table8[[#This Row],[I_0]])</f>
        <v>1</v>
      </c>
      <c r="X160" s="13" cm="1">
        <f t="array" ref="X160">IF(Table8[[#This Row],[I_0]]&lt;Table24[Flitro de Ruido],1,Table8[[#This Row],[I_40]]/Table8[[#This Row],[I_0]])</f>
        <v>1</v>
      </c>
      <c r="Y160" s="13" cm="1">
        <f t="array" ref="Y160">IF(Table8[[#This Row],[I_0]]&lt;Table24[Flitro de Ruido],1,Table8[[#This Row],[I_50]]/Table8[[#This Row],[I_0]])</f>
        <v>1</v>
      </c>
    </row>
    <row r="161" spans="1:25" x14ac:dyDescent="0.3">
      <c r="A161" s="13">
        <v>227.97</v>
      </c>
      <c r="B161" s="12">
        <v>0</v>
      </c>
      <c r="C161" s="11">
        <v>227.97</v>
      </c>
      <c r="D161" s="12">
        <v>0</v>
      </c>
      <c r="E161" s="11">
        <v>227.97</v>
      </c>
      <c r="F161" s="12">
        <v>0</v>
      </c>
      <c r="G161" s="11">
        <v>227.97</v>
      </c>
      <c r="H161" s="12">
        <v>0</v>
      </c>
      <c r="I161" s="11">
        <v>227.97</v>
      </c>
      <c r="J161" s="12">
        <v>0</v>
      </c>
      <c r="K161" s="11">
        <v>227.97</v>
      </c>
      <c r="L161" s="12">
        <v>0</v>
      </c>
      <c r="M161" s="11">
        <v>227.97</v>
      </c>
      <c r="N161" s="13">
        <v>0</v>
      </c>
      <c r="O161" s="11">
        <v>0</v>
      </c>
      <c r="P161" s="11">
        <v>0</v>
      </c>
      <c r="Q161" s="11">
        <v>0</v>
      </c>
      <c r="R161" s="11">
        <v>0</v>
      </c>
      <c r="S161" s="14">
        <v>0</v>
      </c>
      <c r="T161" s="11">
        <v>227.97</v>
      </c>
      <c r="U161" s="13" cm="1">
        <f t="array" ref="U161">IF(Table8[[#This Row],[I_0]]&lt;Table24[Flitro de Ruido],1,Table8[[#This Row],[I_10]]/Table8[[#This Row],[I_0]])</f>
        <v>1</v>
      </c>
      <c r="V161" s="13" cm="1">
        <f t="array" ref="V161">IF(Table8[[#This Row],[I_0]]&lt;Table24[Flitro de Ruido],1,Table8[[#This Row],[I_20]]/Table8[[#This Row],[I_0]])</f>
        <v>1</v>
      </c>
      <c r="W161" s="13" cm="1">
        <f t="array" ref="W161">IF(Table8[[#This Row],[I_0]]&lt;Table24[Flitro de Ruido],1,Table8[[#This Row],[I_30]]/Table8[[#This Row],[I_0]])</f>
        <v>1</v>
      </c>
      <c r="X161" s="13" cm="1">
        <f t="array" ref="X161">IF(Table8[[#This Row],[I_0]]&lt;Table24[Flitro de Ruido],1,Table8[[#This Row],[I_40]]/Table8[[#This Row],[I_0]])</f>
        <v>1</v>
      </c>
      <c r="Y161" s="13" cm="1">
        <f t="array" ref="Y161">IF(Table8[[#This Row],[I_0]]&lt;Table24[Flitro de Ruido],1,Table8[[#This Row],[I_50]]/Table8[[#This Row],[I_0]])</f>
        <v>1</v>
      </c>
    </row>
    <row r="162" spans="1:25" x14ac:dyDescent="0.3">
      <c r="A162" s="13">
        <v>228.96</v>
      </c>
      <c r="B162" s="12">
        <v>0</v>
      </c>
      <c r="C162" s="11">
        <v>228.96</v>
      </c>
      <c r="D162" s="12">
        <v>0</v>
      </c>
      <c r="E162" s="11">
        <v>228.96</v>
      </c>
      <c r="F162" s="12">
        <v>0</v>
      </c>
      <c r="G162" s="11">
        <v>228.96</v>
      </c>
      <c r="H162" s="12">
        <v>0</v>
      </c>
      <c r="I162" s="11">
        <v>228.96</v>
      </c>
      <c r="J162" s="12">
        <v>0</v>
      </c>
      <c r="K162" s="11">
        <v>228.96</v>
      </c>
      <c r="L162" s="12">
        <v>0</v>
      </c>
      <c r="M162" s="11">
        <v>228.96</v>
      </c>
      <c r="N162" s="13">
        <v>0</v>
      </c>
      <c r="O162" s="11">
        <v>0</v>
      </c>
      <c r="P162" s="11">
        <v>0</v>
      </c>
      <c r="Q162" s="11">
        <v>0</v>
      </c>
      <c r="R162" s="11">
        <v>0</v>
      </c>
      <c r="S162" s="14">
        <v>0</v>
      </c>
      <c r="T162" s="11">
        <v>228.96</v>
      </c>
      <c r="U162" s="13" cm="1">
        <f t="array" ref="U162">IF(Table8[[#This Row],[I_0]]&lt;Table24[Flitro de Ruido],1,Table8[[#This Row],[I_10]]/Table8[[#This Row],[I_0]])</f>
        <v>1</v>
      </c>
      <c r="V162" s="13" cm="1">
        <f t="array" ref="V162">IF(Table8[[#This Row],[I_0]]&lt;Table24[Flitro de Ruido],1,Table8[[#This Row],[I_20]]/Table8[[#This Row],[I_0]])</f>
        <v>1</v>
      </c>
      <c r="W162" s="13" cm="1">
        <f t="array" ref="W162">IF(Table8[[#This Row],[I_0]]&lt;Table24[Flitro de Ruido],1,Table8[[#This Row],[I_30]]/Table8[[#This Row],[I_0]])</f>
        <v>1</v>
      </c>
      <c r="X162" s="13" cm="1">
        <f t="array" ref="X162">IF(Table8[[#This Row],[I_0]]&lt;Table24[Flitro de Ruido],1,Table8[[#This Row],[I_40]]/Table8[[#This Row],[I_0]])</f>
        <v>1</v>
      </c>
      <c r="Y162" s="13" cm="1">
        <f t="array" ref="Y162">IF(Table8[[#This Row],[I_0]]&lt;Table24[Flitro de Ruido],1,Table8[[#This Row],[I_50]]/Table8[[#This Row],[I_0]])</f>
        <v>1</v>
      </c>
    </row>
    <row r="163" spans="1:25" x14ac:dyDescent="0.3">
      <c r="A163" s="13">
        <v>229.96</v>
      </c>
      <c r="B163" s="12">
        <v>0</v>
      </c>
      <c r="C163" s="11">
        <v>229.96</v>
      </c>
      <c r="D163" s="12">
        <v>0</v>
      </c>
      <c r="E163" s="11">
        <v>229.96</v>
      </c>
      <c r="F163" s="12">
        <v>0</v>
      </c>
      <c r="G163" s="11">
        <v>229.96</v>
      </c>
      <c r="H163" s="12">
        <v>0</v>
      </c>
      <c r="I163" s="11">
        <v>229.96</v>
      </c>
      <c r="J163" s="12">
        <v>0</v>
      </c>
      <c r="K163" s="11">
        <v>229.96</v>
      </c>
      <c r="L163" s="12">
        <v>0</v>
      </c>
      <c r="M163" s="11">
        <v>229.96</v>
      </c>
      <c r="N163" s="13">
        <v>0</v>
      </c>
      <c r="O163" s="11">
        <v>0</v>
      </c>
      <c r="P163" s="11">
        <v>0</v>
      </c>
      <c r="Q163" s="11">
        <v>0</v>
      </c>
      <c r="R163" s="11">
        <v>0</v>
      </c>
      <c r="S163" s="14">
        <v>0</v>
      </c>
      <c r="T163" s="11">
        <v>229.96</v>
      </c>
      <c r="U163" s="13" cm="1">
        <f t="array" ref="U163">IF(Table8[[#This Row],[I_0]]&lt;Table24[Flitro de Ruido],1,Table8[[#This Row],[I_10]]/Table8[[#This Row],[I_0]])</f>
        <v>1</v>
      </c>
      <c r="V163" s="13" cm="1">
        <f t="array" ref="V163">IF(Table8[[#This Row],[I_0]]&lt;Table24[Flitro de Ruido],1,Table8[[#This Row],[I_20]]/Table8[[#This Row],[I_0]])</f>
        <v>1</v>
      </c>
      <c r="W163" s="13" cm="1">
        <f t="array" ref="W163">IF(Table8[[#This Row],[I_0]]&lt;Table24[Flitro de Ruido],1,Table8[[#This Row],[I_30]]/Table8[[#This Row],[I_0]])</f>
        <v>1</v>
      </c>
      <c r="X163" s="13" cm="1">
        <f t="array" ref="X163">IF(Table8[[#This Row],[I_0]]&lt;Table24[Flitro de Ruido],1,Table8[[#This Row],[I_40]]/Table8[[#This Row],[I_0]])</f>
        <v>1</v>
      </c>
      <c r="Y163" s="13" cm="1">
        <f t="array" ref="Y163">IF(Table8[[#This Row],[I_0]]&lt;Table24[Flitro de Ruido],1,Table8[[#This Row],[I_50]]/Table8[[#This Row],[I_0]])</f>
        <v>1</v>
      </c>
    </row>
    <row r="164" spans="1:25" x14ac:dyDescent="0.3">
      <c r="A164" s="13">
        <v>230.95</v>
      </c>
      <c r="B164" s="12">
        <v>0</v>
      </c>
      <c r="C164" s="11">
        <v>230.95</v>
      </c>
      <c r="D164" s="12">
        <v>0</v>
      </c>
      <c r="E164" s="11">
        <v>230.95</v>
      </c>
      <c r="F164" s="12">
        <v>0</v>
      </c>
      <c r="G164" s="11">
        <v>230.95</v>
      </c>
      <c r="H164" s="12">
        <v>0</v>
      </c>
      <c r="I164" s="11">
        <v>230.95</v>
      </c>
      <c r="J164" s="12">
        <v>0</v>
      </c>
      <c r="K164" s="11">
        <v>230.95</v>
      </c>
      <c r="L164" s="12">
        <v>0</v>
      </c>
      <c r="M164" s="11">
        <v>230.95</v>
      </c>
      <c r="N164" s="13">
        <v>0</v>
      </c>
      <c r="O164" s="11">
        <v>0</v>
      </c>
      <c r="P164" s="11">
        <v>0</v>
      </c>
      <c r="Q164" s="11">
        <v>0</v>
      </c>
      <c r="R164" s="11">
        <v>0</v>
      </c>
      <c r="S164" s="14">
        <v>0</v>
      </c>
      <c r="T164" s="11">
        <v>230.95</v>
      </c>
      <c r="U164" s="13" cm="1">
        <f t="array" ref="U164">IF(Table8[[#This Row],[I_0]]&lt;Table24[Flitro de Ruido],1,Table8[[#This Row],[I_10]]/Table8[[#This Row],[I_0]])</f>
        <v>1</v>
      </c>
      <c r="V164" s="13" cm="1">
        <f t="array" ref="V164">IF(Table8[[#This Row],[I_0]]&lt;Table24[Flitro de Ruido],1,Table8[[#This Row],[I_20]]/Table8[[#This Row],[I_0]])</f>
        <v>1</v>
      </c>
      <c r="W164" s="13" cm="1">
        <f t="array" ref="W164">IF(Table8[[#This Row],[I_0]]&lt;Table24[Flitro de Ruido],1,Table8[[#This Row],[I_30]]/Table8[[#This Row],[I_0]])</f>
        <v>1</v>
      </c>
      <c r="X164" s="13" cm="1">
        <f t="array" ref="X164">IF(Table8[[#This Row],[I_0]]&lt;Table24[Flitro de Ruido],1,Table8[[#This Row],[I_40]]/Table8[[#This Row],[I_0]])</f>
        <v>1</v>
      </c>
      <c r="Y164" s="13" cm="1">
        <f t="array" ref="Y164">IF(Table8[[#This Row],[I_0]]&lt;Table24[Flitro de Ruido],1,Table8[[#This Row],[I_50]]/Table8[[#This Row],[I_0]])</f>
        <v>1</v>
      </c>
    </row>
    <row r="165" spans="1:25" x14ac:dyDescent="0.3">
      <c r="A165" s="13">
        <v>231.94</v>
      </c>
      <c r="B165" s="12">
        <v>0</v>
      </c>
      <c r="C165" s="11">
        <v>231.94</v>
      </c>
      <c r="D165" s="12">
        <v>0</v>
      </c>
      <c r="E165" s="11">
        <v>231.94</v>
      </c>
      <c r="F165" s="12">
        <v>0</v>
      </c>
      <c r="G165" s="11">
        <v>231.94</v>
      </c>
      <c r="H165" s="12">
        <v>0</v>
      </c>
      <c r="I165" s="11">
        <v>231.94</v>
      </c>
      <c r="J165" s="12">
        <v>0</v>
      </c>
      <c r="K165" s="11">
        <v>231.94</v>
      </c>
      <c r="L165" s="12">
        <v>0</v>
      </c>
      <c r="M165" s="11">
        <v>231.94</v>
      </c>
      <c r="N165" s="13">
        <v>0</v>
      </c>
      <c r="O165" s="11">
        <v>0</v>
      </c>
      <c r="P165" s="11">
        <v>0</v>
      </c>
      <c r="Q165" s="11">
        <v>0</v>
      </c>
      <c r="R165" s="11">
        <v>0</v>
      </c>
      <c r="S165" s="14">
        <v>0</v>
      </c>
      <c r="T165" s="11">
        <v>231.94</v>
      </c>
      <c r="U165" s="13" cm="1">
        <f t="array" ref="U165">IF(Table8[[#This Row],[I_0]]&lt;Table24[Flitro de Ruido],1,Table8[[#This Row],[I_10]]/Table8[[#This Row],[I_0]])</f>
        <v>1</v>
      </c>
      <c r="V165" s="13" cm="1">
        <f t="array" ref="V165">IF(Table8[[#This Row],[I_0]]&lt;Table24[Flitro de Ruido],1,Table8[[#This Row],[I_20]]/Table8[[#This Row],[I_0]])</f>
        <v>1</v>
      </c>
      <c r="W165" s="13" cm="1">
        <f t="array" ref="W165">IF(Table8[[#This Row],[I_0]]&lt;Table24[Flitro de Ruido],1,Table8[[#This Row],[I_30]]/Table8[[#This Row],[I_0]])</f>
        <v>1</v>
      </c>
      <c r="X165" s="13" cm="1">
        <f t="array" ref="X165">IF(Table8[[#This Row],[I_0]]&lt;Table24[Flitro de Ruido],1,Table8[[#This Row],[I_40]]/Table8[[#This Row],[I_0]])</f>
        <v>1</v>
      </c>
      <c r="Y165" s="13" cm="1">
        <f t="array" ref="Y165">IF(Table8[[#This Row],[I_0]]&lt;Table24[Flitro de Ruido],1,Table8[[#This Row],[I_50]]/Table8[[#This Row],[I_0]])</f>
        <v>1</v>
      </c>
    </row>
    <row r="166" spans="1:25" x14ac:dyDescent="0.3">
      <c r="A166" s="13">
        <v>232.93</v>
      </c>
      <c r="B166" s="12">
        <v>0</v>
      </c>
      <c r="C166" s="11">
        <v>232.93</v>
      </c>
      <c r="D166" s="12">
        <v>0</v>
      </c>
      <c r="E166" s="11">
        <v>232.93</v>
      </c>
      <c r="F166" s="12">
        <v>0</v>
      </c>
      <c r="G166" s="11">
        <v>232.93</v>
      </c>
      <c r="H166" s="12">
        <v>0</v>
      </c>
      <c r="I166" s="11">
        <v>232.93</v>
      </c>
      <c r="J166" s="12">
        <v>0</v>
      </c>
      <c r="K166" s="11">
        <v>232.93</v>
      </c>
      <c r="L166" s="12">
        <v>0</v>
      </c>
      <c r="M166" s="11">
        <v>232.93</v>
      </c>
      <c r="N166" s="13">
        <v>0</v>
      </c>
      <c r="O166" s="11">
        <v>0</v>
      </c>
      <c r="P166" s="11">
        <v>0</v>
      </c>
      <c r="Q166" s="11">
        <v>0</v>
      </c>
      <c r="R166" s="11">
        <v>0</v>
      </c>
      <c r="S166" s="14">
        <v>0</v>
      </c>
      <c r="T166" s="11">
        <v>232.93</v>
      </c>
      <c r="U166" s="13" cm="1">
        <f t="array" ref="U166">IF(Table8[[#This Row],[I_0]]&lt;Table24[Flitro de Ruido],1,Table8[[#This Row],[I_10]]/Table8[[#This Row],[I_0]])</f>
        <v>1</v>
      </c>
      <c r="V166" s="13" cm="1">
        <f t="array" ref="V166">IF(Table8[[#This Row],[I_0]]&lt;Table24[Flitro de Ruido],1,Table8[[#This Row],[I_20]]/Table8[[#This Row],[I_0]])</f>
        <v>1</v>
      </c>
      <c r="W166" s="13" cm="1">
        <f t="array" ref="W166">IF(Table8[[#This Row],[I_0]]&lt;Table24[Flitro de Ruido],1,Table8[[#This Row],[I_30]]/Table8[[#This Row],[I_0]])</f>
        <v>1</v>
      </c>
      <c r="X166" s="13" cm="1">
        <f t="array" ref="X166">IF(Table8[[#This Row],[I_0]]&lt;Table24[Flitro de Ruido],1,Table8[[#This Row],[I_40]]/Table8[[#This Row],[I_0]])</f>
        <v>1</v>
      </c>
      <c r="Y166" s="13" cm="1">
        <f t="array" ref="Y166">IF(Table8[[#This Row],[I_0]]&lt;Table24[Flitro de Ruido],1,Table8[[#This Row],[I_50]]/Table8[[#This Row],[I_0]])</f>
        <v>1</v>
      </c>
    </row>
    <row r="167" spans="1:25" x14ac:dyDescent="0.3">
      <c r="A167" s="13">
        <v>233.92</v>
      </c>
      <c r="B167" s="12">
        <v>0</v>
      </c>
      <c r="C167" s="11">
        <v>233.92</v>
      </c>
      <c r="D167" s="12">
        <v>0</v>
      </c>
      <c r="E167" s="11">
        <v>233.92</v>
      </c>
      <c r="F167" s="12">
        <v>0</v>
      </c>
      <c r="G167" s="11">
        <v>233.92</v>
      </c>
      <c r="H167" s="12">
        <v>0</v>
      </c>
      <c r="I167" s="11">
        <v>233.92</v>
      </c>
      <c r="J167" s="12">
        <v>0</v>
      </c>
      <c r="K167" s="11">
        <v>233.92</v>
      </c>
      <c r="L167" s="12">
        <v>0</v>
      </c>
      <c r="M167" s="11">
        <v>233.92</v>
      </c>
      <c r="N167" s="13">
        <v>0</v>
      </c>
      <c r="O167" s="11">
        <v>0</v>
      </c>
      <c r="P167" s="11">
        <v>0</v>
      </c>
      <c r="Q167" s="11">
        <v>0</v>
      </c>
      <c r="R167" s="11">
        <v>0</v>
      </c>
      <c r="S167" s="14">
        <v>0</v>
      </c>
      <c r="T167" s="11">
        <v>233.92</v>
      </c>
      <c r="U167" s="13" cm="1">
        <f t="array" ref="U167">IF(Table8[[#This Row],[I_0]]&lt;Table24[Flitro de Ruido],1,Table8[[#This Row],[I_10]]/Table8[[#This Row],[I_0]])</f>
        <v>1</v>
      </c>
      <c r="V167" s="13" cm="1">
        <f t="array" ref="V167">IF(Table8[[#This Row],[I_0]]&lt;Table24[Flitro de Ruido],1,Table8[[#This Row],[I_20]]/Table8[[#This Row],[I_0]])</f>
        <v>1</v>
      </c>
      <c r="W167" s="13" cm="1">
        <f t="array" ref="W167">IF(Table8[[#This Row],[I_0]]&lt;Table24[Flitro de Ruido],1,Table8[[#This Row],[I_30]]/Table8[[#This Row],[I_0]])</f>
        <v>1</v>
      </c>
      <c r="X167" s="13" cm="1">
        <f t="array" ref="X167">IF(Table8[[#This Row],[I_0]]&lt;Table24[Flitro de Ruido],1,Table8[[#This Row],[I_40]]/Table8[[#This Row],[I_0]])</f>
        <v>1</v>
      </c>
      <c r="Y167" s="13" cm="1">
        <f t="array" ref="Y167">IF(Table8[[#This Row],[I_0]]&lt;Table24[Flitro de Ruido],1,Table8[[#This Row],[I_50]]/Table8[[#This Row],[I_0]])</f>
        <v>1</v>
      </c>
    </row>
    <row r="168" spans="1:25" x14ac:dyDescent="0.3">
      <c r="A168" s="13">
        <v>234.91</v>
      </c>
      <c r="B168" s="12">
        <v>0</v>
      </c>
      <c r="C168" s="11">
        <v>234.91</v>
      </c>
      <c r="D168" s="12">
        <v>0</v>
      </c>
      <c r="E168" s="11">
        <v>234.91</v>
      </c>
      <c r="F168" s="12">
        <v>0</v>
      </c>
      <c r="G168" s="11">
        <v>234.91</v>
      </c>
      <c r="H168" s="12">
        <v>0</v>
      </c>
      <c r="I168" s="11">
        <v>234.91</v>
      </c>
      <c r="J168" s="12">
        <v>0</v>
      </c>
      <c r="K168" s="11">
        <v>234.91</v>
      </c>
      <c r="L168" s="12">
        <v>0</v>
      </c>
      <c r="M168" s="11">
        <v>234.91</v>
      </c>
      <c r="N168" s="13">
        <v>0</v>
      </c>
      <c r="O168" s="11">
        <v>0</v>
      </c>
      <c r="P168" s="11">
        <v>0</v>
      </c>
      <c r="Q168" s="11">
        <v>0</v>
      </c>
      <c r="R168" s="11">
        <v>0</v>
      </c>
      <c r="S168" s="14">
        <v>0</v>
      </c>
      <c r="T168" s="11">
        <v>234.91</v>
      </c>
      <c r="U168" s="13" cm="1">
        <f t="array" ref="U168">IF(Table8[[#This Row],[I_0]]&lt;Table24[Flitro de Ruido],1,Table8[[#This Row],[I_10]]/Table8[[#This Row],[I_0]])</f>
        <v>1</v>
      </c>
      <c r="V168" s="13" cm="1">
        <f t="array" ref="V168">IF(Table8[[#This Row],[I_0]]&lt;Table24[Flitro de Ruido],1,Table8[[#This Row],[I_20]]/Table8[[#This Row],[I_0]])</f>
        <v>1</v>
      </c>
      <c r="W168" s="13" cm="1">
        <f t="array" ref="W168">IF(Table8[[#This Row],[I_0]]&lt;Table24[Flitro de Ruido],1,Table8[[#This Row],[I_30]]/Table8[[#This Row],[I_0]])</f>
        <v>1</v>
      </c>
      <c r="X168" s="13" cm="1">
        <f t="array" ref="X168">IF(Table8[[#This Row],[I_0]]&lt;Table24[Flitro de Ruido],1,Table8[[#This Row],[I_40]]/Table8[[#This Row],[I_0]])</f>
        <v>1</v>
      </c>
      <c r="Y168" s="13" cm="1">
        <f t="array" ref="Y168">IF(Table8[[#This Row],[I_0]]&lt;Table24[Flitro de Ruido],1,Table8[[#This Row],[I_50]]/Table8[[#This Row],[I_0]])</f>
        <v>1</v>
      </c>
    </row>
    <row r="169" spans="1:25" x14ac:dyDescent="0.3">
      <c r="A169" s="13">
        <v>235.91</v>
      </c>
      <c r="B169" s="12">
        <v>0</v>
      </c>
      <c r="C169" s="11">
        <v>235.91</v>
      </c>
      <c r="D169" s="12">
        <v>0</v>
      </c>
      <c r="E169" s="11">
        <v>235.91</v>
      </c>
      <c r="F169" s="12">
        <v>0</v>
      </c>
      <c r="G169" s="11">
        <v>235.91</v>
      </c>
      <c r="H169" s="12">
        <v>0</v>
      </c>
      <c r="I169" s="11">
        <v>235.91</v>
      </c>
      <c r="J169" s="12">
        <v>0</v>
      </c>
      <c r="K169" s="11">
        <v>235.91</v>
      </c>
      <c r="L169" s="12">
        <v>0</v>
      </c>
      <c r="M169" s="11">
        <v>235.91</v>
      </c>
      <c r="N169" s="13">
        <v>0</v>
      </c>
      <c r="O169" s="11">
        <v>0</v>
      </c>
      <c r="P169" s="11">
        <v>0</v>
      </c>
      <c r="Q169" s="11">
        <v>0</v>
      </c>
      <c r="R169" s="11">
        <v>0</v>
      </c>
      <c r="S169" s="14">
        <v>0</v>
      </c>
      <c r="T169" s="11">
        <v>235.91</v>
      </c>
      <c r="U169" s="13" cm="1">
        <f t="array" ref="U169">IF(Table8[[#This Row],[I_0]]&lt;Table24[Flitro de Ruido],1,Table8[[#This Row],[I_10]]/Table8[[#This Row],[I_0]])</f>
        <v>1</v>
      </c>
      <c r="V169" s="13" cm="1">
        <f t="array" ref="V169">IF(Table8[[#This Row],[I_0]]&lt;Table24[Flitro de Ruido],1,Table8[[#This Row],[I_20]]/Table8[[#This Row],[I_0]])</f>
        <v>1</v>
      </c>
      <c r="W169" s="13" cm="1">
        <f t="array" ref="W169">IF(Table8[[#This Row],[I_0]]&lt;Table24[Flitro de Ruido],1,Table8[[#This Row],[I_30]]/Table8[[#This Row],[I_0]])</f>
        <v>1</v>
      </c>
      <c r="X169" s="13" cm="1">
        <f t="array" ref="X169">IF(Table8[[#This Row],[I_0]]&lt;Table24[Flitro de Ruido],1,Table8[[#This Row],[I_40]]/Table8[[#This Row],[I_0]])</f>
        <v>1</v>
      </c>
      <c r="Y169" s="13" cm="1">
        <f t="array" ref="Y169">IF(Table8[[#This Row],[I_0]]&lt;Table24[Flitro de Ruido],1,Table8[[#This Row],[I_50]]/Table8[[#This Row],[I_0]])</f>
        <v>1</v>
      </c>
    </row>
    <row r="170" spans="1:25" x14ac:dyDescent="0.3">
      <c r="A170" s="13">
        <v>236.9</v>
      </c>
      <c r="B170" s="12">
        <v>0</v>
      </c>
      <c r="C170" s="11">
        <v>236.9</v>
      </c>
      <c r="D170" s="12">
        <v>0</v>
      </c>
      <c r="E170" s="11">
        <v>236.9</v>
      </c>
      <c r="F170" s="12">
        <v>0</v>
      </c>
      <c r="G170" s="11">
        <v>236.9</v>
      </c>
      <c r="H170" s="12">
        <v>0</v>
      </c>
      <c r="I170" s="11">
        <v>236.9</v>
      </c>
      <c r="J170" s="12">
        <v>0</v>
      </c>
      <c r="K170" s="11">
        <v>236.9</v>
      </c>
      <c r="L170" s="12">
        <v>0</v>
      </c>
      <c r="M170" s="11">
        <v>236.9</v>
      </c>
      <c r="N170" s="13">
        <v>0</v>
      </c>
      <c r="O170" s="11">
        <v>0</v>
      </c>
      <c r="P170" s="11">
        <v>0</v>
      </c>
      <c r="Q170" s="11">
        <v>0</v>
      </c>
      <c r="R170" s="11">
        <v>0</v>
      </c>
      <c r="S170" s="14">
        <v>0</v>
      </c>
      <c r="T170" s="11">
        <v>236.9</v>
      </c>
      <c r="U170" s="13" cm="1">
        <f t="array" ref="U170">IF(Table8[[#This Row],[I_0]]&lt;Table24[Flitro de Ruido],1,Table8[[#This Row],[I_10]]/Table8[[#This Row],[I_0]])</f>
        <v>1</v>
      </c>
      <c r="V170" s="13" cm="1">
        <f t="array" ref="V170">IF(Table8[[#This Row],[I_0]]&lt;Table24[Flitro de Ruido],1,Table8[[#This Row],[I_20]]/Table8[[#This Row],[I_0]])</f>
        <v>1</v>
      </c>
      <c r="W170" s="13" cm="1">
        <f t="array" ref="W170">IF(Table8[[#This Row],[I_0]]&lt;Table24[Flitro de Ruido],1,Table8[[#This Row],[I_30]]/Table8[[#This Row],[I_0]])</f>
        <v>1</v>
      </c>
      <c r="X170" s="13" cm="1">
        <f t="array" ref="X170">IF(Table8[[#This Row],[I_0]]&lt;Table24[Flitro de Ruido],1,Table8[[#This Row],[I_40]]/Table8[[#This Row],[I_0]])</f>
        <v>1</v>
      </c>
      <c r="Y170" s="13" cm="1">
        <f t="array" ref="Y170">IF(Table8[[#This Row],[I_0]]&lt;Table24[Flitro de Ruido],1,Table8[[#This Row],[I_50]]/Table8[[#This Row],[I_0]])</f>
        <v>1</v>
      </c>
    </row>
    <row r="171" spans="1:25" x14ac:dyDescent="0.3">
      <c r="A171" s="13">
        <v>237.89</v>
      </c>
      <c r="B171" s="12">
        <v>0</v>
      </c>
      <c r="C171" s="11">
        <v>237.89</v>
      </c>
      <c r="D171" s="12">
        <v>0</v>
      </c>
      <c r="E171" s="11">
        <v>237.89</v>
      </c>
      <c r="F171" s="12">
        <v>0</v>
      </c>
      <c r="G171" s="11">
        <v>237.89</v>
      </c>
      <c r="H171" s="12">
        <v>0</v>
      </c>
      <c r="I171" s="11">
        <v>237.89</v>
      </c>
      <c r="J171" s="12">
        <v>0</v>
      </c>
      <c r="K171" s="11">
        <v>237.89</v>
      </c>
      <c r="L171" s="12">
        <v>0</v>
      </c>
      <c r="M171" s="11">
        <v>237.89</v>
      </c>
      <c r="N171" s="13">
        <v>0</v>
      </c>
      <c r="O171" s="11">
        <v>0</v>
      </c>
      <c r="P171" s="11">
        <v>0</v>
      </c>
      <c r="Q171" s="11">
        <v>0</v>
      </c>
      <c r="R171" s="11">
        <v>0</v>
      </c>
      <c r="S171" s="14">
        <v>0</v>
      </c>
      <c r="T171" s="11">
        <v>237.89</v>
      </c>
      <c r="U171" s="13" cm="1">
        <f t="array" ref="U171">IF(Table8[[#This Row],[I_0]]&lt;Table24[Flitro de Ruido],1,Table8[[#This Row],[I_10]]/Table8[[#This Row],[I_0]])</f>
        <v>1</v>
      </c>
      <c r="V171" s="13" cm="1">
        <f t="array" ref="V171">IF(Table8[[#This Row],[I_0]]&lt;Table24[Flitro de Ruido],1,Table8[[#This Row],[I_20]]/Table8[[#This Row],[I_0]])</f>
        <v>1</v>
      </c>
      <c r="W171" s="13" cm="1">
        <f t="array" ref="W171">IF(Table8[[#This Row],[I_0]]&lt;Table24[Flitro de Ruido],1,Table8[[#This Row],[I_30]]/Table8[[#This Row],[I_0]])</f>
        <v>1</v>
      </c>
      <c r="X171" s="13" cm="1">
        <f t="array" ref="X171">IF(Table8[[#This Row],[I_0]]&lt;Table24[Flitro de Ruido],1,Table8[[#This Row],[I_40]]/Table8[[#This Row],[I_0]])</f>
        <v>1</v>
      </c>
      <c r="Y171" s="13" cm="1">
        <f t="array" ref="Y171">IF(Table8[[#This Row],[I_0]]&lt;Table24[Flitro de Ruido],1,Table8[[#This Row],[I_50]]/Table8[[#This Row],[I_0]])</f>
        <v>1</v>
      </c>
    </row>
    <row r="172" spans="1:25" x14ac:dyDescent="0.3">
      <c r="A172" s="13">
        <v>238.88</v>
      </c>
      <c r="B172" s="12">
        <v>0</v>
      </c>
      <c r="C172" s="11">
        <v>238.88</v>
      </c>
      <c r="D172" s="12">
        <v>0</v>
      </c>
      <c r="E172" s="11">
        <v>238.88</v>
      </c>
      <c r="F172" s="12">
        <v>0</v>
      </c>
      <c r="G172" s="11">
        <v>238.88</v>
      </c>
      <c r="H172" s="12">
        <v>0</v>
      </c>
      <c r="I172" s="11">
        <v>238.88</v>
      </c>
      <c r="J172" s="12">
        <v>0</v>
      </c>
      <c r="K172" s="11">
        <v>238.88</v>
      </c>
      <c r="L172" s="12">
        <v>0</v>
      </c>
      <c r="M172" s="11">
        <v>238.88</v>
      </c>
      <c r="N172" s="13">
        <v>0</v>
      </c>
      <c r="O172" s="11">
        <v>0</v>
      </c>
      <c r="P172" s="11">
        <v>0</v>
      </c>
      <c r="Q172" s="11">
        <v>0</v>
      </c>
      <c r="R172" s="11">
        <v>0</v>
      </c>
      <c r="S172" s="14">
        <v>0</v>
      </c>
      <c r="T172" s="11">
        <v>238.88</v>
      </c>
      <c r="U172" s="13" cm="1">
        <f t="array" ref="U172">IF(Table8[[#This Row],[I_0]]&lt;Table24[Flitro de Ruido],1,Table8[[#This Row],[I_10]]/Table8[[#This Row],[I_0]])</f>
        <v>1</v>
      </c>
      <c r="V172" s="13" cm="1">
        <f t="array" ref="V172">IF(Table8[[#This Row],[I_0]]&lt;Table24[Flitro de Ruido],1,Table8[[#This Row],[I_20]]/Table8[[#This Row],[I_0]])</f>
        <v>1</v>
      </c>
      <c r="W172" s="13" cm="1">
        <f t="array" ref="W172">IF(Table8[[#This Row],[I_0]]&lt;Table24[Flitro de Ruido],1,Table8[[#This Row],[I_30]]/Table8[[#This Row],[I_0]])</f>
        <v>1</v>
      </c>
      <c r="X172" s="13" cm="1">
        <f t="array" ref="X172">IF(Table8[[#This Row],[I_0]]&lt;Table24[Flitro de Ruido],1,Table8[[#This Row],[I_40]]/Table8[[#This Row],[I_0]])</f>
        <v>1</v>
      </c>
      <c r="Y172" s="13" cm="1">
        <f t="array" ref="Y172">IF(Table8[[#This Row],[I_0]]&lt;Table24[Flitro de Ruido],1,Table8[[#This Row],[I_50]]/Table8[[#This Row],[I_0]])</f>
        <v>1</v>
      </c>
    </row>
    <row r="173" spans="1:25" x14ac:dyDescent="0.3">
      <c r="A173" s="13">
        <v>239.87</v>
      </c>
      <c r="B173" s="12">
        <v>0</v>
      </c>
      <c r="C173" s="11">
        <v>239.87</v>
      </c>
      <c r="D173" s="12">
        <v>0</v>
      </c>
      <c r="E173" s="11">
        <v>239.87</v>
      </c>
      <c r="F173" s="12">
        <v>0</v>
      </c>
      <c r="G173" s="11">
        <v>239.87</v>
      </c>
      <c r="H173" s="12">
        <v>0</v>
      </c>
      <c r="I173" s="11">
        <v>239.87</v>
      </c>
      <c r="J173" s="12">
        <v>0</v>
      </c>
      <c r="K173" s="11">
        <v>239.87</v>
      </c>
      <c r="L173" s="12">
        <v>0</v>
      </c>
      <c r="M173" s="11">
        <v>239.87</v>
      </c>
      <c r="N173" s="13">
        <v>0</v>
      </c>
      <c r="O173" s="11">
        <v>0</v>
      </c>
      <c r="P173" s="11">
        <v>0</v>
      </c>
      <c r="Q173" s="11">
        <v>0</v>
      </c>
      <c r="R173" s="11">
        <v>0</v>
      </c>
      <c r="S173" s="14">
        <v>0</v>
      </c>
      <c r="T173" s="11">
        <v>239.87</v>
      </c>
      <c r="U173" s="13" cm="1">
        <f t="array" ref="U173">IF(Table8[[#This Row],[I_0]]&lt;Table24[Flitro de Ruido],1,Table8[[#This Row],[I_10]]/Table8[[#This Row],[I_0]])</f>
        <v>1</v>
      </c>
      <c r="V173" s="13" cm="1">
        <f t="array" ref="V173">IF(Table8[[#This Row],[I_0]]&lt;Table24[Flitro de Ruido],1,Table8[[#This Row],[I_20]]/Table8[[#This Row],[I_0]])</f>
        <v>1</v>
      </c>
      <c r="W173" s="13" cm="1">
        <f t="array" ref="W173">IF(Table8[[#This Row],[I_0]]&lt;Table24[Flitro de Ruido],1,Table8[[#This Row],[I_30]]/Table8[[#This Row],[I_0]])</f>
        <v>1</v>
      </c>
      <c r="X173" s="13" cm="1">
        <f t="array" ref="X173">IF(Table8[[#This Row],[I_0]]&lt;Table24[Flitro de Ruido],1,Table8[[#This Row],[I_40]]/Table8[[#This Row],[I_0]])</f>
        <v>1</v>
      </c>
      <c r="Y173" s="13" cm="1">
        <f t="array" ref="Y173">IF(Table8[[#This Row],[I_0]]&lt;Table24[Flitro de Ruido],1,Table8[[#This Row],[I_50]]/Table8[[#This Row],[I_0]])</f>
        <v>1</v>
      </c>
    </row>
    <row r="174" spans="1:25" x14ac:dyDescent="0.3">
      <c r="A174" s="13">
        <v>240.86</v>
      </c>
      <c r="B174" s="12">
        <v>0</v>
      </c>
      <c r="C174" s="11">
        <v>240.86</v>
      </c>
      <c r="D174" s="12">
        <v>0</v>
      </c>
      <c r="E174" s="11">
        <v>240.86</v>
      </c>
      <c r="F174" s="12">
        <v>0</v>
      </c>
      <c r="G174" s="11">
        <v>240.86</v>
      </c>
      <c r="H174" s="12">
        <v>0</v>
      </c>
      <c r="I174" s="11">
        <v>240.86</v>
      </c>
      <c r="J174" s="12">
        <v>0</v>
      </c>
      <c r="K174" s="11">
        <v>240.86</v>
      </c>
      <c r="L174" s="12">
        <v>0</v>
      </c>
      <c r="M174" s="11">
        <v>240.86</v>
      </c>
      <c r="N174" s="13">
        <v>0</v>
      </c>
      <c r="O174" s="11">
        <v>0</v>
      </c>
      <c r="P174" s="11">
        <v>0</v>
      </c>
      <c r="Q174" s="11">
        <v>0</v>
      </c>
      <c r="R174" s="11">
        <v>0</v>
      </c>
      <c r="S174" s="14">
        <v>0</v>
      </c>
      <c r="T174" s="11">
        <v>240.86</v>
      </c>
      <c r="U174" s="13" cm="1">
        <f t="array" ref="U174">IF(Table8[[#This Row],[I_0]]&lt;Table24[Flitro de Ruido],1,Table8[[#This Row],[I_10]]/Table8[[#This Row],[I_0]])</f>
        <v>1</v>
      </c>
      <c r="V174" s="13" cm="1">
        <f t="array" ref="V174">IF(Table8[[#This Row],[I_0]]&lt;Table24[Flitro de Ruido],1,Table8[[#This Row],[I_20]]/Table8[[#This Row],[I_0]])</f>
        <v>1</v>
      </c>
      <c r="W174" s="13" cm="1">
        <f t="array" ref="W174">IF(Table8[[#This Row],[I_0]]&lt;Table24[Flitro de Ruido],1,Table8[[#This Row],[I_30]]/Table8[[#This Row],[I_0]])</f>
        <v>1</v>
      </c>
      <c r="X174" s="13" cm="1">
        <f t="array" ref="X174">IF(Table8[[#This Row],[I_0]]&lt;Table24[Flitro de Ruido],1,Table8[[#This Row],[I_40]]/Table8[[#This Row],[I_0]])</f>
        <v>1</v>
      </c>
      <c r="Y174" s="13" cm="1">
        <f t="array" ref="Y174">IF(Table8[[#This Row],[I_0]]&lt;Table24[Flitro de Ruido],1,Table8[[#This Row],[I_50]]/Table8[[#This Row],[I_0]])</f>
        <v>1</v>
      </c>
    </row>
    <row r="175" spans="1:25" x14ac:dyDescent="0.3">
      <c r="A175" s="13">
        <v>241.86</v>
      </c>
      <c r="B175" s="12">
        <v>0</v>
      </c>
      <c r="C175" s="11">
        <v>241.86</v>
      </c>
      <c r="D175" s="12">
        <v>0</v>
      </c>
      <c r="E175" s="11">
        <v>241.86</v>
      </c>
      <c r="F175" s="12">
        <v>0</v>
      </c>
      <c r="G175" s="11">
        <v>241.86</v>
      </c>
      <c r="H175" s="12">
        <v>0</v>
      </c>
      <c r="I175" s="11">
        <v>241.86</v>
      </c>
      <c r="J175" s="12">
        <v>0</v>
      </c>
      <c r="K175" s="11">
        <v>241.86</v>
      </c>
      <c r="L175" s="12">
        <v>0</v>
      </c>
      <c r="M175" s="11">
        <v>241.86</v>
      </c>
      <c r="N175" s="13">
        <v>0</v>
      </c>
      <c r="O175" s="11">
        <v>0</v>
      </c>
      <c r="P175" s="11">
        <v>0</v>
      </c>
      <c r="Q175" s="11">
        <v>0</v>
      </c>
      <c r="R175" s="11">
        <v>0</v>
      </c>
      <c r="S175" s="14">
        <v>0</v>
      </c>
      <c r="T175" s="11">
        <v>241.86</v>
      </c>
      <c r="U175" s="13" cm="1">
        <f t="array" ref="U175">IF(Table8[[#This Row],[I_0]]&lt;Table24[Flitro de Ruido],1,Table8[[#This Row],[I_10]]/Table8[[#This Row],[I_0]])</f>
        <v>1</v>
      </c>
      <c r="V175" s="13" cm="1">
        <f t="array" ref="V175">IF(Table8[[#This Row],[I_0]]&lt;Table24[Flitro de Ruido],1,Table8[[#This Row],[I_20]]/Table8[[#This Row],[I_0]])</f>
        <v>1</v>
      </c>
      <c r="W175" s="13" cm="1">
        <f t="array" ref="W175">IF(Table8[[#This Row],[I_0]]&lt;Table24[Flitro de Ruido],1,Table8[[#This Row],[I_30]]/Table8[[#This Row],[I_0]])</f>
        <v>1</v>
      </c>
      <c r="X175" s="13" cm="1">
        <f t="array" ref="X175">IF(Table8[[#This Row],[I_0]]&lt;Table24[Flitro de Ruido],1,Table8[[#This Row],[I_40]]/Table8[[#This Row],[I_0]])</f>
        <v>1</v>
      </c>
      <c r="Y175" s="13" cm="1">
        <f t="array" ref="Y175">IF(Table8[[#This Row],[I_0]]&lt;Table24[Flitro de Ruido],1,Table8[[#This Row],[I_50]]/Table8[[#This Row],[I_0]])</f>
        <v>1</v>
      </c>
    </row>
    <row r="176" spans="1:25" x14ac:dyDescent="0.3">
      <c r="A176" s="13">
        <v>242.85</v>
      </c>
      <c r="B176" s="12">
        <v>0</v>
      </c>
      <c r="C176" s="11">
        <v>242.85</v>
      </c>
      <c r="D176" s="12">
        <v>0</v>
      </c>
      <c r="E176" s="11">
        <v>242.85</v>
      </c>
      <c r="F176" s="12">
        <v>0</v>
      </c>
      <c r="G176" s="11">
        <v>242.85</v>
      </c>
      <c r="H176" s="12">
        <v>0</v>
      </c>
      <c r="I176" s="11">
        <v>242.85</v>
      </c>
      <c r="J176" s="12">
        <v>0</v>
      </c>
      <c r="K176" s="11">
        <v>242.85</v>
      </c>
      <c r="L176" s="12">
        <v>0</v>
      </c>
      <c r="M176" s="11">
        <v>242.85</v>
      </c>
      <c r="N176" s="13">
        <v>0</v>
      </c>
      <c r="O176" s="11">
        <v>0</v>
      </c>
      <c r="P176" s="11">
        <v>0</v>
      </c>
      <c r="Q176" s="11">
        <v>0</v>
      </c>
      <c r="R176" s="11">
        <v>0</v>
      </c>
      <c r="S176" s="14">
        <v>0</v>
      </c>
      <c r="T176" s="11">
        <v>242.85</v>
      </c>
      <c r="U176" s="13" cm="1">
        <f t="array" ref="U176">IF(Table8[[#This Row],[I_0]]&lt;Table24[Flitro de Ruido],1,Table8[[#This Row],[I_10]]/Table8[[#This Row],[I_0]])</f>
        <v>1</v>
      </c>
      <c r="V176" s="13" cm="1">
        <f t="array" ref="V176">IF(Table8[[#This Row],[I_0]]&lt;Table24[Flitro de Ruido],1,Table8[[#This Row],[I_20]]/Table8[[#This Row],[I_0]])</f>
        <v>1</v>
      </c>
      <c r="W176" s="13" cm="1">
        <f t="array" ref="W176">IF(Table8[[#This Row],[I_0]]&lt;Table24[Flitro de Ruido],1,Table8[[#This Row],[I_30]]/Table8[[#This Row],[I_0]])</f>
        <v>1</v>
      </c>
      <c r="X176" s="13" cm="1">
        <f t="array" ref="X176">IF(Table8[[#This Row],[I_0]]&lt;Table24[Flitro de Ruido],1,Table8[[#This Row],[I_40]]/Table8[[#This Row],[I_0]])</f>
        <v>1</v>
      </c>
      <c r="Y176" s="13" cm="1">
        <f t="array" ref="Y176">IF(Table8[[#This Row],[I_0]]&lt;Table24[Flitro de Ruido],1,Table8[[#This Row],[I_50]]/Table8[[#This Row],[I_0]])</f>
        <v>1</v>
      </c>
    </row>
    <row r="177" spans="1:25" x14ac:dyDescent="0.3">
      <c r="A177" s="13">
        <v>243.84</v>
      </c>
      <c r="B177" s="12">
        <v>0</v>
      </c>
      <c r="C177" s="11">
        <v>243.84</v>
      </c>
      <c r="D177" s="12">
        <v>0</v>
      </c>
      <c r="E177" s="11">
        <v>243.84</v>
      </c>
      <c r="F177" s="12">
        <v>0</v>
      </c>
      <c r="G177" s="11">
        <v>243.84</v>
      </c>
      <c r="H177" s="12">
        <v>0</v>
      </c>
      <c r="I177" s="11">
        <v>243.84</v>
      </c>
      <c r="J177" s="12">
        <v>0</v>
      </c>
      <c r="K177" s="11">
        <v>243.84</v>
      </c>
      <c r="L177" s="12">
        <v>0</v>
      </c>
      <c r="M177" s="11">
        <v>243.84</v>
      </c>
      <c r="N177" s="13">
        <v>0</v>
      </c>
      <c r="O177" s="11">
        <v>0</v>
      </c>
      <c r="P177" s="11">
        <v>0</v>
      </c>
      <c r="Q177" s="11">
        <v>0</v>
      </c>
      <c r="R177" s="11">
        <v>0</v>
      </c>
      <c r="S177" s="14">
        <v>0</v>
      </c>
      <c r="T177" s="11">
        <v>243.84</v>
      </c>
      <c r="U177" s="13" cm="1">
        <f t="array" ref="U177">IF(Table8[[#This Row],[I_0]]&lt;Table24[Flitro de Ruido],1,Table8[[#This Row],[I_10]]/Table8[[#This Row],[I_0]])</f>
        <v>1</v>
      </c>
      <c r="V177" s="13" cm="1">
        <f t="array" ref="V177">IF(Table8[[#This Row],[I_0]]&lt;Table24[Flitro de Ruido],1,Table8[[#This Row],[I_20]]/Table8[[#This Row],[I_0]])</f>
        <v>1</v>
      </c>
      <c r="W177" s="13" cm="1">
        <f t="array" ref="W177">IF(Table8[[#This Row],[I_0]]&lt;Table24[Flitro de Ruido],1,Table8[[#This Row],[I_30]]/Table8[[#This Row],[I_0]])</f>
        <v>1</v>
      </c>
      <c r="X177" s="13" cm="1">
        <f t="array" ref="X177">IF(Table8[[#This Row],[I_0]]&lt;Table24[Flitro de Ruido],1,Table8[[#This Row],[I_40]]/Table8[[#This Row],[I_0]])</f>
        <v>1</v>
      </c>
      <c r="Y177" s="13" cm="1">
        <f t="array" ref="Y177">IF(Table8[[#This Row],[I_0]]&lt;Table24[Flitro de Ruido],1,Table8[[#This Row],[I_50]]/Table8[[#This Row],[I_0]])</f>
        <v>1</v>
      </c>
    </row>
    <row r="178" spans="1:25" x14ac:dyDescent="0.3">
      <c r="A178" s="13">
        <v>244.83</v>
      </c>
      <c r="B178" s="12">
        <v>0</v>
      </c>
      <c r="C178" s="11">
        <v>244.83</v>
      </c>
      <c r="D178" s="12">
        <v>0</v>
      </c>
      <c r="E178" s="11">
        <v>244.83</v>
      </c>
      <c r="F178" s="12">
        <v>0</v>
      </c>
      <c r="G178" s="11">
        <v>244.83</v>
      </c>
      <c r="H178" s="12">
        <v>0</v>
      </c>
      <c r="I178" s="11">
        <v>244.83</v>
      </c>
      <c r="J178" s="12">
        <v>0</v>
      </c>
      <c r="K178" s="11">
        <v>244.83</v>
      </c>
      <c r="L178" s="12">
        <v>0</v>
      </c>
      <c r="M178" s="11">
        <v>244.83</v>
      </c>
      <c r="N178" s="13">
        <v>0</v>
      </c>
      <c r="O178" s="11">
        <v>0</v>
      </c>
      <c r="P178" s="11">
        <v>0</v>
      </c>
      <c r="Q178" s="11">
        <v>0</v>
      </c>
      <c r="R178" s="11">
        <v>0</v>
      </c>
      <c r="S178" s="14">
        <v>0</v>
      </c>
      <c r="T178" s="11">
        <v>244.83</v>
      </c>
      <c r="U178" s="13" cm="1">
        <f t="array" ref="U178">IF(Table8[[#This Row],[I_0]]&lt;Table24[Flitro de Ruido],1,Table8[[#This Row],[I_10]]/Table8[[#This Row],[I_0]])</f>
        <v>1</v>
      </c>
      <c r="V178" s="13" cm="1">
        <f t="array" ref="V178">IF(Table8[[#This Row],[I_0]]&lt;Table24[Flitro de Ruido],1,Table8[[#This Row],[I_20]]/Table8[[#This Row],[I_0]])</f>
        <v>1</v>
      </c>
      <c r="W178" s="13" cm="1">
        <f t="array" ref="W178">IF(Table8[[#This Row],[I_0]]&lt;Table24[Flitro de Ruido],1,Table8[[#This Row],[I_30]]/Table8[[#This Row],[I_0]])</f>
        <v>1</v>
      </c>
      <c r="X178" s="13" cm="1">
        <f t="array" ref="X178">IF(Table8[[#This Row],[I_0]]&lt;Table24[Flitro de Ruido],1,Table8[[#This Row],[I_40]]/Table8[[#This Row],[I_0]])</f>
        <v>1</v>
      </c>
      <c r="Y178" s="13" cm="1">
        <f t="array" ref="Y178">IF(Table8[[#This Row],[I_0]]&lt;Table24[Flitro de Ruido],1,Table8[[#This Row],[I_50]]/Table8[[#This Row],[I_0]])</f>
        <v>1</v>
      </c>
    </row>
    <row r="179" spans="1:25" x14ac:dyDescent="0.3">
      <c r="A179" s="13">
        <v>245.82</v>
      </c>
      <c r="B179" s="12">
        <v>0</v>
      </c>
      <c r="C179" s="11">
        <v>245.82</v>
      </c>
      <c r="D179" s="12">
        <v>0</v>
      </c>
      <c r="E179" s="11">
        <v>245.82</v>
      </c>
      <c r="F179" s="12">
        <v>0</v>
      </c>
      <c r="G179" s="11">
        <v>245.82</v>
      </c>
      <c r="H179" s="12">
        <v>0</v>
      </c>
      <c r="I179" s="11">
        <v>245.82</v>
      </c>
      <c r="J179" s="12">
        <v>0</v>
      </c>
      <c r="K179" s="11">
        <v>245.82</v>
      </c>
      <c r="L179" s="12">
        <v>0</v>
      </c>
      <c r="M179" s="11">
        <v>245.82</v>
      </c>
      <c r="N179" s="13">
        <v>0</v>
      </c>
      <c r="O179" s="11">
        <v>0</v>
      </c>
      <c r="P179" s="11">
        <v>0</v>
      </c>
      <c r="Q179" s="11">
        <v>0</v>
      </c>
      <c r="R179" s="11">
        <v>0</v>
      </c>
      <c r="S179" s="14">
        <v>0</v>
      </c>
      <c r="T179" s="11">
        <v>245.82</v>
      </c>
      <c r="U179" s="13" cm="1">
        <f t="array" ref="U179">IF(Table8[[#This Row],[I_0]]&lt;Table24[Flitro de Ruido],1,Table8[[#This Row],[I_10]]/Table8[[#This Row],[I_0]])</f>
        <v>1</v>
      </c>
      <c r="V179" s="13" cm="1">
        <f t="array" ref="V179">IF(Table8[[#This Row],[I_0]]&lt;Table24[Flitro de Ruido],1,Table8[[#This Row],[I_20]]/Table8[[#This Row],[I_0]])</f>
        <v>1</v>
      </c>
      <c r="W179" s="13" cm="1">
        <f t="array" ref="W179">IF(Table8[[#This Row],[I_0]]&lt;Table24[Flitro de Ruido],1,Table8[[#This Row],[I_30]]/Table8[[#This Row],[I_0]])</f>
        <v>1</v>
      </c>
      <c r="X179" s="13" cm="1">
        <f t="array" ref="X179">IF(Table8[[#This Row],[I_0]]&lt;Table24[Flitro de Ruido],1,Table8[[#This Row],[I_40]]/Table8[[#This Row],[I_0]])</f>
        <v>1</v>
      </c>
      <c r="Y179" s="13" cm="1">
        <f t="array" ref="Y179">IF(Table8[[#This Row],[I_0]]&lt;Table24[Flitro de Ruido],1,Table8[[#This Row],[I_50]]/Table8[[#This Row],[I_0]])</f>
        <v>1</v>
      </c>
    </row>
    <row r="180" spans="1:25" x14ac:dyDescent="0.3">
      <c r="A180" s="13">
        <v>246.82</v>
      </c>
      <c r="B180" s="12">
        <v>0</v>
      </c>
      <c r="C180" s="11">
        <v>246.82</v>
      </c>
      <c r="D180" s="12">
        <v>0</v>
      </c>
      <c r="E180" s="11">
        <v>246.82</v>
      </c>
      <c r="F180" s="12">
        <v>0</v>
      </c>
      <c r="G180" s="11">
        <v>246.82</v>
      </c>
      <c r="H180" s="12">
        <v>0</v>
      </c>
      <c r="I180" s="11">
        <v>246.82</v>
      </c>
      <c r="J180" s="12">
        <v>0</v>
      </c>
      <c r="K180" s="11">
        <v>246.82</v>
      </c>
      <c r="L180" s="12">
        <v>0</v>
      </c>
      <c r="M180" s="11">
        <v>246.82</v>
      </c>
      <c r="N180" s="13">
        <v>0</v>
      </c>
      <c r="O180" s="11">
        <v>0</v>
      </c>
      <c r="P180" s="11">
        <v>0</v>
      </c>
      <c r="Q180" s="11">
        <v>0</v>
      </c>
      <c r="R180" s="11">
        <v>0</v>
      </c>
      <c r="S180" s="14">
        <v>0</v>
      </c>
      <c r="T180" s="11">
        <v>246.82</v>
      </c>
      <c r="U180" s="13" cm="1">
        <f t="array" ref="U180">IF(Table8[[#This Row],[I_0]]&lt;Table24[Flitro de Ruido],1,Table8[[#This Row],[I_10]]/Table8[[#This Row],[I_0]])</f>
        <v>1</v>
      </c>
      <c r="V180" s="13" cm="1">
        <f t="array" ref="V180">IF(Table8[[#This Row],[I_0]]&lt;Table24[Flitro de Ruido],1,Table8[[#This Row],[I_20]]/Table8[[#This Row],[I_0]])</f>
        <v>1</v>
      </c>
      <c r="W180" s="13" cm="1">
        <f t="array" ref="W180">IF(Table8[[#This Row],[I_0]]&lt;Table24[Flitro de Ruido],1,Table8[[#This Row],[I_30]]/Table8[[#This Row],[I_0]])</f>
        <v>1</v>
      </c>
      <c r="X180" s="13" cm="1">
        <f t="array" ref="X180">IF(Table8[[#This Row],[I_0]]&lt;Table24[Flitro de Ruido],1,Table8[[#This Row],[I_40]]/Table8[[#This Row],[I_0]])</f>
        <v>1</v>
      </c>
      <c r="Y180" s="13" cm="1">
        <f t="array" ref="Y180">IF(Table8[[#This Row],[I_0]]&lt;Table24[Flitro de Ruido],1,Table8[[#This Row],[I_50]]/Table8[[#This Row],[I_0]])</f>
        <v>1</v>
      </c>
    </row>
    <row r="181" spans="1:25" x14ac:dyDescent="0.3">
      <c r="A181" s="13">
        <v>247.81</v>
      </c>
      <c r="B181" s="12">
        <v>0</v>
      </c>
      <c r="C181" s="11">
        <v>247.81</v>
      </c>
      <c r="D181" s="12">
        <v>0</v>
      </c>
      <c r="E181" s="11">
        <v>247.81</v>
      </c>
      <c r="F181" s="12">
        <v>0</v>
      </c>
      <c r="G181" s="11">
        <v>247.81</v>
      </c>
      <c r="H181" s="12">
        <v>0</v>
      </c>
      <c r="I181" s="11">
        <v>247.81</v>
      </c>
      <c r="J181" s="12">
        <v>0</v>
      </c>
      <c r="K181" s="11">
        <v>247.81</v>
      </c>
      <c r="L181" s="12">
        <v>0</v>
      </c>
      <c r="M181" s="11">
        <v>247.81</v>
      </c>
      <c r="N181" s="13">
        <v>0</v>
      </c>
      <c r="O181" s="11">
        <v>0</v>
      </c>
      <c r="P181" s="11">
        <v>0</v>
      </c>
      <c r="Q181" s="11">
        <v>0</v>
      </c>
      <c r="R181" s="11">
        <v>0</v>
      </c>
      <c r="S181" s="14">
        <v>0</v>
      </c>
      <c r="T181" s="11">
        <v>247.81</v>
      </c>
      <c r="U181" s="13" cm="1">
        <f t="array" ref="U181">IF(Table8[[#This Row],[I_0]]&lt;Table24[Flitro de Ruido],1,Table8[[#This Row],[I_10]]/Table8[[#This Row],[I_0]])</f>
        <v>1</v>
      </c>
      <c r="V181" s="13" cm="1">
        <f t="array" ref="V181">IF(Table8[[#This Row],[I_0]]&lt;Table24[Flitro de Ruido],1,Table8[[#This Row],[I_20]]/Table8[[#This Row],[I_0]])</f>
        <v>1</v>
      </c>
      <c r="W181" s="13" cm="1">
        <f t="array" ref="W181">IF(Table8[[#This Row],[I_0]]&lt;Table24[Flitro de Ruido],1,Table8[[#This Row],[I_30]]/Table8[[#This Row],[I_0]])</f>
        <v>1</v>
      </c>
      <c r="X181" s="13" cm="1">
        <f t="array" ref="X181">IF(Table8[[#This Row],[I_0]]&lt;Table24[Flitro de Ruido],1,Table8[[#This Row],[I_40]]/Table8[[#This Row],[I_0]])</f>
        <v>1</v>
      </c>
      <c r="Y181" s="13" cm="1">
        <f t="array" ref="Y181">IF(Table8[[#This Row],[I_0]]&lt;Table24[Flitro de Ruido],1,Table8[[#This Row],[I_50]]/Table8[[#This Row],[I_0]])</f>
        <v>1</v>
      </c>
    </row>
    <row r="182" spans="1:25" x14ac:dyDescent="0.3">
      <c r="A182" s="13">
        <v>248.8</v>
      </c>
      <c r="B182" s="12">
        <v>0</v>
      </c>
      <c r="C182" s="11">
        <v>248.8</v>
      </c>
      <c r="D182" s="12">
        <v>0</v>
      </c>
      <c r="E182" s="11">
        <v>248.8</v>
      </c>
      <c r="F182" s="12">
        <v>0</v>
      </c>
      <c r="G182" s="11">
        <v>248.8</v>
      </c>
      <c r="H182" s="12">
        <v>0</v>
      </c>
      <c r="I182" s="11">
        <v>248.8</v>
      </c>
      <c r="J182" s="12">
        <v>0</v>
      </c>
      <c r="K182" s="11">
        <v>248.8</v>
      </c>
      <c r="L182" s="12">
        <v>0</v>
      </c>
      <c r="M182" s="11">
        <v>248.8</v>
      </c>
      <c r="N182" s="13">
        <v>0</v>
      </c>
      <c r="O182" s="11">
        <v>0</v>
      </c>
      <c r="P182" s="11">
        <v>0</v>
      </c>
      <c r="Q182" s="11">
        <v>0</v>
      </c>
      <c r="R182" s="11">
        <v>0</v>
      </c>
      <c r="S182" s="14">
        <v>0</v>
      </c>
      <c r="T182" s="11">
        <v>248.8</v>
      </c>
      <c r="U182" s="13" cm="1">
        <f t="array" ref="U182">IF(Table8[[#This Row],[I_0]]&lt;Table24[Flitro de Ruido],1,Table8[[#This Row],[I_10]]/Table8[[#This Row],[I_0]])</f>
        <v>1</v>
      </c>
      <c r="V182" s="13" cm="1">
        <f t="array" ref="V182">IF(Table8[[#This Row],[I_0]]&lt;Table24[Flitro de Ruido],1,Table8[[#This Row],[I_20]]/Table8[[#This Row],[I_0]])</f>
        <v>1</v>
      </c>
      <c r="W182" s="13" cm="1">
        <f t="array" ref="W182">IF(Table8[[#This Row],[I_0]]&lt;Table24[Flitro de Ruido],1,Table8[[#This Row],[I_30]]/Table8[[#This Row],[I_0]])</f>
        <v>1</v>
      </c>
      <c r="X182" s="13" cm="1">
        <f t="array" ref="X182">IF(Table8[[#This Row],[I_0]]&lt;Table24[Flitro de Ruido],1,Table8[[#This Row],[I_40]]/Table8[[#This Row],[I_0]])</f>
        <v>1</v>
      </c>
      <c r="Y182" s="13" cm="1">
        <f t="array" ref="Y182">IF(Table8[[#This Row],[I_0]]&lt;Table24[Flitro de Ruido],1,Table8[[#This Row],[I_50]]/Table8[[#This Row],[I_0]])</f>
        <v>1</v>
      </c>
    </row>
    <row r="183" spans="1:25" x14ac:dyDescent="0.3">
      <c r="A183" s="13">
        <v>249.79</v>
      </c>
      <c r="B183" s="12">
        <v>0</v>
      </c>
      <c r="C183" s="11">
        <v>249.79</v>
      </c>
      <c r="D183" s="12">
        <v>0</v>
      </c>
      <c r="E183" s="11">
        <v>249.79</v>
      </c>
      <c r="F183" s="12">
        <v>0</v>
      </c>
      <c r="G183" s="11">
        <v>249.79</v>
      </c>
      <c r="H183" s="12">
        <v>0</v>
      </c>
      <c r="I183" s="11">
        <v>249.79</v>
      </c>
      <c r="J183" s="12">
        <v>0</v>
      </c>
      <c r="K183" s="11">
        <v>249.79</v>
      </c>
      <c r="L183" s="12">
        <v>0</v>
      </c>
      <c r="M183" s="11">
        <v>249.79</v>
      </c>
      <c r="N183" s="13">
        <v>0</v>
      </c>
      <c r="O183" s="11">
        <v>0</v>
      </c>
      <c r="P183" s="11">
        <v>0</v>
      </c>
      <c r="Q183" s="11">
        <v>0</v>
      </c>
      <c r="R183" s="11">
        <v>0</v>
      </c>
      <c r="S183" s="14">
        <v>0</v>
      </c>
      <c r="T183" s="11">
        <v>249.79</v>
      </c>
      <c r="U183" s="13" cm="1">
        <f t="array" ref="U183">IF(Table8[[#This Row],[I_0]]&lt;Table24[Flitro de Ruido],1,Table8[[#This Row],[I_10]]/Table8[[#This Row],[I_0]])</f>
        <v>1</v>
      </c>
      <c r="V183" s="13" cm="1">
        <f t="array" ref="V183">IF(Table8[[#This Row],[I_0]]&lt;Table24[Flitro de Ruido],1,Table8[[#This Row],[I_20]]/Table8[[#This Row],[I_0]])</f>
        <v>1</v>
      </c>
      <c r="W183" s="13" cm="1">
        <f t="array" ref="W183">IF(Table8[[#This Row],[I_0]]&lt;Table24[Flitro de Ruido],1,Table8[[#This Row],[I_30]]/Table8[[#This Row],[I_0]])</f>
        <v>1</v>
      </c>
      <c r="X183" s="13" cm="1">
        <f t="array" ref="X183">IF(Table8[[#This Row],[I_0]]&lt;Table24[Flitro de Ruido],1,Table8[[#This Row],[I_40]]/Table8[[#This Row],[I_0]])</f>
        <v>1</v>
      </c>
      <c r="Y183" s="13" cm="1">
        <f t="array" ref="Y183">IF(Table8[[#This Row],[I_0]]&lt;Table24[Flitro de Ruido],1,Table8[[#This Row],[I_50]]/Table8[[#This Row],[I_0]])</f>
        <v>1</v>
      </c>
    </row>
    <row r="184" spans="1:25" x14ac:dyDescent="0.3">
      <c r="A184" s="13">
        <v>250.78</v>
      </c>
      <c r="B184" s="12">
        <v>0</v>
      </c>
      <c r="C184" s="11">
        <v>250.78</v>
      </c>
      <c r="D184" s="12">
        <v>0</v>
      </c>
      <c r="E184" s="11">
        <v>250.78</v>
      </c>
      <c r="F184" s="12">
        <v>0</v>
      </c>
      <c r="G184" s="11">
        <v>250.78</v>
      </c>
      <c r="H184" s="12">
        <v>0</v>
      </c>
      <c r="I184" s="11">
        <v>250.78</v>
      </c>
      <c r="J184" s="12">
        <v>0</v>
      </c>
      <c r="K184" s="11">
        <v>250.78</v>
      </c>
      <c r="L184" s="12">
        <v>0</v>
      </c>
      <c r="M184" s="11">
        <v>250.78</v>
      </c>
      <c r="N184" s="13">
        <v>0</v>
      </c>
      <c r="O184" s="11">
        <v>0</v>
      </c>
      <c r="P184" s="11">
        <v>0</v>
      </c>
      <c r="Q184" s="11">
        <v>0</v>
      </c>
      <c r="R184" s="11">
        <v>0</v>
      </c>
      <c r="S184" s="14">
        <v>0</v>
      </c>
      <c r="T184" s="11">
        <v>250.78</v>
      </c>
      <c r="U184" s="13" cm="1">
        <f t="array" ref="U184">IF(Table8[[#This Row],[I_0]]&lt;Table24[Flitro de Ruido],1,Table8[[#This Row],[I_10]]/Table8[[#This Row],[I_0]])</f>
        <v>1</v>
      </c>
      <c r="V184" s="13" cm="1">
        <f t="array" ref="V184">IF(Table8[[#This Row],[I_0]]&lt;Table24[Flitro de Ruido],1,Table8[[#This Row],[I_20]]/Table8[[#This Row],[I_0]])</f>
        <v>1</v>
      </c>
      <c r="W184" s="13" cm="1">
        <f t="array" ref="W184">IF(Table8[[#This Row],[I_0]]&lt;Table24[Flitro de Ruido],1,Table8[[#This Row],[I_30]]/Table8[[#This Row],[I_0]])</f>
        <v>1</v>
      </c>
      <c r="X184" s="13" cm="1">
        <f t="array" ref="X184">IF(Table8[[#This Row],[I_0]]&lt;Table24[Flitro de Ruido],1,Table8[[#This Row],[I_40]]/Table8[[#This Row],[I_0]])</f>
        <v>1</v>
      </c>
      <c r="Y184" s="13" cm="1">
        <f t="array" ref="Y184">IF(Table8[[#This Row],[I_0]]&lt;Table24[Flitro de Ruido],1,Table8[[#This Row],[I_50]]/Table8[[#This Row],[I_0]])</f>
        <v>1</v>
      </c>
    </row>
    <row r="185" spans="1:25" x14ac:dyDescent="0.3">
      <c r="A185" s="13">
        <v>251.77</v>
      </c>
      <c r="B185" s="12">
        <v>0</v>
      </c>
      <c r="C185" s="11">
        <v>251.77</v>
      </c>
      <c r="D185" s="12">
        <v>0</v>
      </c>
      <c r="E185" s="11">
        <v>251.77</v>
      </c>
      <c r="F185" s="12">
        <v>0</v>
      </c>
      <c r="G185" s="11">
        <v>251.77</v>
      </c>
      <c r="H185" s="12">
        <v>0</v>
      </c>
      <c r="I185" s="11">
        <v>251.77</v>
      </c>
      <c r="J185" s="12">
        <v>0</v>
      </c>
      <c r="K185" s="11">
        <v>251.77</v>
      </c>
      <c r="L185" s="12">
        <v>0</v>
      </c>
      <c r="M185" s="11">
        <v>251.77</v>
      </c>
      <c r="N185" s="13">
        <v>0</v>
      </c>
      <c r="O185" s="11">
        <v>0</v>
      </c>
      <c r="P185" s="11">
        <v>0</v>
      </c>
      <c r="Q185" s="11">
        <v>0</v>
      </c>
      <c r="R185" s="11">
        <v>0</v>
      </c>
      <c r="S185" s="14">
        <v>0</v>
      </c>
      <c r="T185" s="11">
        <v>251.77</v>
      </c>
      <c r="U185" s="13" cm="1">
        <f t="array" ref="U185">IF(Table8[[#This Row],[I_0]]&lt;Table24[Flitro de Ruido],1,Table8[[#This Row],[I_10]]/Table8[[#This Row],[I_0]])</f>
        <v>1</v>
      </c>
      <c r="V185" s="13" cm="1">
        <f t="array" ref="V185">IF(Table8[[#This Row],[I_0]]&lt;Table24[Flitro de Ruido],1,Table8[[#This Row],[I_20]]/Table8[[#This Row],[I_0]])</f>
        <v>1</v>
      </c>
      <c r="W185" s="13" cm="1">
        <f t="array" ref="W185">IF(Table8[[#This Row],[I_0]]&lt;Table24[Flitro de Ruido],1,Table8[[#This Row],[I_30]]/Table8[[#This Row],[I_0]])</f>
        <v>1</v>
      </c>
      <c r="X185" s="13" cm="1">
        <f t="array" ref="X185">IF(Table8[[#This Row],[I_0]]&lt;Table24[Flitro de Ruido],1,Table8[[#This Row],[I_40]]/Table8[[#This Row],[I_0]])</f>
        <v>1</v>
      </c>
      <c r="Y185" s="13" cm="1">
        <f t="array" ref="Y185">IF(Table8[[#This Row],[I_0]]&lt;Table24[Flitro de Ruido],1,Table8[[#This Row],[I_50]]/Table8[[#This Row],[I_0]])</f>
        <v>1</v>
      </c>
    </row>
    <row r="186" spans="1:25" x14ac:dyDescent="0.3">
      <c r="A186" s="13">
        <v>252.77</v>
      </c>
      <c r="B186" s="12">
        <v>0</v>
      </c>
      <c r="C186" s="11">
        <v>252.77</v>
      </c>
      <c r="D186" s="12">
        <v>0</v>
      </c>
      <c r="E186" s="11">
        <v>252.77</v>
      </c>
      <c r="F186" s="12">
        <v>0</v>
      </c>
      <c r="G186" s="11">
        <v>252.77</v>
      </c>
      <c r="H186" s="12">
        <v>0</v>
      </c>
      <c r="I186" s="11">
        <v>252.77</v>
      </c>
      <c r="J186" s="12">
        <v>0</v>
      </c>
      <c r="K186" s="11">
        <v>252.77</v>
      </c>
      <c r="L186" s="12">
        <v>0</v>
      </c>
      <c r="M186" s="11">
        <v>252.77</v>
      </c>
      <c r="N186" s="13">
        <v>0</v>
      </c>
      <c r="O186" s="11">
        <v>0</v>
      </c>
      <c r="P186" s="11">
        <v>0</v>
      </c>
      <c r="Q186" s="11">
        <v>0</v>
      </c>
      <c r="R186" s="11">
        <v>0</v>
      </c>
      <c r="S186" s="14">
        <v>0</v>
      </c>
      <c r="T186" s="11">
        <v>252.77</v>
      </c>
      <c r="U186" s="13" cm="1">
        <f t="array" ref="U186">IF(Table8[[#This Row],[I_0]]&lt;Table24[Flitro de Ruido],1,Table8[[#This Row],[I_10]]/Table8[[#This Row],[I_0]])</f>
        <v>1</v>
      </c>
      <c r="V186" s="13" cm="1">
        <f t="array" ref="V186">IF(Table8[[#This Row],[I_0]]&lt;Table24[Flitro de Ruido],1,Table8[[#This Row],[I_20]]/Table8[[#This Row],[I_0]])</f>
        <v>1</v>
      </c>
      <c r="W186" s="13" cm="1">
        <f t="array" ref="W186">IF(Table8[[#This Row],[I_0]]&lt;Table24[Flitro de Ruido],1,Table8[[#This Row],[I_30]]/Table8[[#This Row],[I_0]])</f>
        <v>1</v>
      </c>
      <c r="X186" s="13" cm="1">
        <f t="array" ref="X186">IF(Table8[[#This Row],[I_0]]&lt;Table24[Flitro de Ruido],1,Table8[[#This Row],[I_40]]/Table8[[#This Row],[I_0]])</f>
        <v>1</v>
      </c>
      <c r="Y186" s="13" cm="1">
        <f t="array" ref="Y186">IF(Table8[[#This Row],[I_0]]&lt;Table24[Flitro de Ruido],1,Table8[[#This Row],[I_50]]/Table8[[#This Row],[I_0]])</f>
        <v>1</v>
      </c>
    </row>
    <row r="187" spans="1:25" x14ac:dyDescent="0.3">
      <c r="A187" s="13">
        <v>253.76</v>
      </c>
      <c r="B187" s="12">
        <v>0</v>
      </c>
      <c r="C187" s="11">
        <v>253.76</v>
      </c>
      <c r="D187" s="12">
        <v>0</v>
      </c>
      <c r="E187" s="11">
        <v>253.76</v>
      </c>
      <c r="F187" s="12">
        <v>0</v>
      </c>
      <c r="G187" s="11">
        <v>253.76</v>
      </c>
      <c r="H187" s="12">
        <v>0</v>
      </c>
      <c r="I187" s="11">
        <v>253.76</v>
      </c>
      <c r="J187" s="12">
        <v>0</v>
      </c>
      <c r="K187" s="11">
        <v>253.76</v>
      </c>
      <c r="L187" s="12">
        <v>0</v>
      </c>
      <c r="M187" s="11">
        <v>253.76</v>
      </c>
      <c r="N187" s="13">
        <v>0</v>
      </c>
      <c r="O187" s="11">
        <v>0</v>
      </c>
      <c r="P187" s="11">
        <v>0</v>
      </c>
      <c r="Q187" s="11">
        <v>0</v>
      </c>
      <c r="R187" s="11">
        <v>0</v>
      </c>
      <c r="S187" s="14">
        <v>0</v>
      </c>
      <c r="T187" s="11">
        <v>253.76</v>
      </c>
      <c r="U187" s="13" cm="1">
        <f t="array" ref="U187">IF(Table8[[#This Row],[I_0]]&lt;Table24[Flitro de Ruido],1,Table8[[#This Row],[I_10]]/Table8[[#This Row],[I_0]])</f>
        <v>1</v>
      </c>
      <c r="V187" s="13" cm="1">
        <f t="array" ref="V187">IF(Table8[[#This Row],[I_0]]&lt;Table24[Flitro de Ruido],1,Table8[[#This Row],[I_20]]/Table8[[#This Row],[I_0]])</f>
        <v>1</v>
      </c>
      <c r="W187" s="13" cm="1">
        <f t="array" ref="W187">IF(Table8[[#This Row],[I_0]]&lt;Table24[Flitro de Ruido],1,Table8[[#This Row],[I_30]]/Table8[[#This Row],[I_0]])</f>
        <v>1</v>
      </c>
      <c r="X187" s="13" cm="1">
        <f t="array" ref="X187">IF(Table8[[#This Row],[I_0]]&lt;Table24[Flitro de Ruido],1,Table8[[#This Row],[I_40]]/Table8[[#This Row],[I_0]])</f>
        <v>1</v>
      </c>
      <c r="Y187" s="13" cm="1">
        <f t="array" ref="Y187">IF(Table8[[#This Row],[I_0]]&lt;Table24[Flitro de Ruido],1,Table8[[#This Row],[I_50]]/Table8[[#This Row],[I_0]])</f>
        <v>1</v>
      </c>
    </row>
    <row r="188" spans="1:25" x14ac:dyDescent="0.3">
      <c r="A188" s="13">
        <v>254.75</v>
      </c>
      <c r="B188" s="12">
        <v>0</v>
      </c>
      <c r="C188" s="11">
        <v>254.75</v>
      </c>
      <c r="D188" s="12">
        <v>0</v>
      </c>
      <c r="E188" s="11">
        <v>254.75</v>
      </c>
      <c r="F188" s="12">
        <v>0</v>
      </c>
      <c r="G188" s="11">
        <v>254.75</v>
      </c>
      <c r="H188" s="12">
        <v>0</v>
      </c>
      <c r="I188" s="11">
        <v>254.75</v>
      </c>
      <c r="J188" s="12">
        <v>0</v>
      </c>
      <c r="K188" s="11">
        <v>254.75</v>
      </c>
      <c r="L188" s="12">
        <v>0</v>
      </c>
      <c r="M188" s="11">
        <v>254.75</v>
      </c>
      <c r="N188" s="13">
        <v>0</v>
      </c>
      <c r="O188" s="11">
        <v>0</v>
      </c>
      <c r="P188" s="11">
        <v>0</v>
      </c>
      <c r="Q188" s="11">
        <v>0</v>
      </c>
      <c r="R188" s="11">
        <v>0</v>
      </c>
      <c r="S188" s="14">
        <v>0</v>
      </c>
      <c r="T188" s="11">
        <v>254.75</v>
      </c>
      <c r="U188" s="13" cm="1">
        <f t="array" ref="U188">IF(Table8[[#This Row],[I_0]]&lt;Table24[Flitro de Ruido],1,Table8[[#This Row],[I_10]]/Table8[[#This Row],[I_0]])</f>
        <v>1</v>
      </c>
      <c r="V188" s="13" cm="1">
        <f t="array" ref="V188">IF(Table8[[#This Row],[I_0]]&lt;Table24[Flitro de Ruido],1,Table8[[#This Row],[I_20]]/Table8[[#This Row],[I_0]])</f>
        <v>1</v>
      </c>
      <c r="W188" s="13" cm="1">
        <f t="array" ref="W188">IF(Table8[[#This Row],[I_0]]&lt;Table24[Flitro de Ruido],1,Table8[[#This Row],[I_30]]/Table8[[#This Row],[I_0]])</f>
        <v>1</v>
      </c>
      <c r="X188" s="13" cm="1">
        <f t="array" ref="X188">IF(Table8[[#This Row],[I_0]]&lt;Table24[Flitro de Ruido],1,Table8[[#This Row],[I_40]]/Table8[[#This Row],[I_0]])</f>
        <v>1</v>
      </c>
      <c r="Y188" s="13" cm="1">
        <f t="array" ref="Y188">IF(Table8[[#This Row],[I_0]]&lt;Table24[Flitro de Ruido],1,Table8[[#This Row],[I_50]]/Table8[[#This Row],[I_0]])</f>
        <v>1</v>
      </c>
    </row>
    <row r="189" spans="1:25" x14ac:dyDescent="0.3">
      <c r="A189" s="13">
        <v>255.74</v>
      </c>
      <c r="B189" s="12">
        <v>0</v>
      </c>
      <c r="C189" s="11">
        <v>255.74</v>
      </c>
      <c r="D189" s="12">
        <v>0</v>
      </c>
      <c r="E189" s="11">
        <v>255.74</v>
      </c>
      <c r="F189" s="12">
        <v>0</v>
      </c>
      <c r="G189" s="11">
        <v>255.74</v>
      </c>
      <c r="H189" s="12">
        <v>0</v>
      </c>
      <c r="I189" s="11">
        <v>255.74</v>
      </c>
      <c r="J189" s="12">
        <v>0</v>
      </c>
      <c r="K189" s="11">
        <v>255.74</v>
      </c>
      <c r="L189" s="12">
        <v>0</v>
      </c>
      <c r="M189" s="11">
        <v>255.74</v>
      </c>
      <c r="N189" s="13">
        <v>0</v>
      </c>
      <c r="O189" s="11">
        <v>0</v>
      </c>
      <c r="P189" s="11">
        <v>0</v>
      </c>
      <c r="Q189" s="11">
        <v>0</v>
      </c>
      <c r="R189" s="11">
        <v>0</v>
      </c>
      <c r="S189" s="14">
        <v>0</v>
      </c>
      <c r="T189" s="11">
        <v>255.74</v>
      </c>
      <c r="U189" s="13" cm="1">
        <f t="array" ref="U189">IF(Table8[[#This Row],[I_0]]&lt;Table24[Flitro de Ruido],1,Table8[[#This Row],[I_10]]/Table8[[#This Row],[I_0]])</f>
        <v>1</v>
      </c>
      <c r="V189" s="13" cm="1">
        <f t="array" ref="V189">IF(Table8[[#This Row],[I_0]]&lt;Table24[Flitro de Ruido],1,Table8[[#This Row],[I_20]]/Table8[[#This Row],[I_0]])</f>
        <v>1</v>
      </c>
      <c r="W189" s="13" cm="1">
        <f t="array" ref="W189">IF(Table8[[#This Row],[I_0]]&lt;Table24[Flitro de Ruido],1,Table8[[#This Row],[I_30]]/Table8[[#This Row],[I_0]])</f>
        <v>1</v>
      </c>
      <c r="X189" s="13" cm="1">
        <f t="array" ref="X189">IF(Table8[[#This Row],[I_0]]&lt;Table24[Flitro de Ruido],1,Table8[[#This Row],[I_40]]/Table8[[#This Row],[I_0]])</f>
        <v>1</v>
      </c>
      <c r="Y189" s="13" cm="1">
        <f t="array" ref="Y189">IF(Table8[[#This Row],[I_0]]&lt;Table24[Flitro de Ruido],1,Table8[[#This Row],[I_50]]/Table8[[#This Row],[I_0]])</f>
        <v>1</v>
      </c>
    </row>
    <row r="190" spans="1:25" x14ac:dyDescent="0.3">
      <c r="A190" s="13">
        <v>256.73</v>
      </c>
      <c r="B190" s="12">
        <v>0</v>
      </c>
      <c r="C190" s="11">
        <v>256.73</v>
      </c>
      <c r="D190" s="12">
        <v>0</v>
      </c>
      <c r="E190" s="11">
        <v>256.73</v>
      </c>
      <c r="F190" s="12">
        <v>0</v>
      </c>
      <c r="G190" s="11">
        <v>256.73</v>
      </c>
      <c r="H190" s="12">
        <v>0</v>
      </c>
      <c r="I190" s="11">
        <v>256.73</v>
      </c>
      <c r="J190" s="12">
        <v>0</v>
      </c>
      <c r="K190" s="11">
        <v>256.73</v>
      </c>
      <c r="L190" s="12">
        <v>0</v>
      </c>
      <c r="M190" s="11">
        <v>256.73</v>
      </c>
      <c r="N190" s="13">
        <v>0</v>
      </c>
      <c r="O190" s="11">
        <v>0</v>
      </c>
      <c r="P190" s="11">
        <v>0</v>
      </c>
      <c r="Q190" s="11">
        <v>0</v>
      </c>
      <c r="R190" s="11">
        <v>0</v>
      </c>
      <c r="S190" s="14">
        <v>0</v>
      </c>
      <c r="T190" s="11">
        <v>256.73</v>
      </c>
      <c r="U190" s="13" cm="1">
        <f t="array" ref="U190">IF(Table8[[#This Row],[I_0]]&lt;Table24[Flitro de Ruido],1,Table8[[#This Row],[I_10]]/Table8[[#This Row],[I_0]])</f>
        <v>1</v>
      </c>
      <c r="V190" s="13" cm="1">
        <f t="array" ref="V190">IF(Table8[[#This Row],[I_0]]&lt;Table24[Flitro de Ruido],1,Table8[[#This Row],[I_20]]/Table8[[#This Row],[I_0]])</f>
        <v>1</v>
      </c>
      <c r="W190" s="13" cm="1">
        <f t="array" ref="W190">IF(Table8[[#This Row],[I_0]]&lt;Table24[Flitro de Ruido],1,Table8[[#This Row],[I_30]]/Table8[[#This Row],[I_0]])</f>
        <v>1</v>
      </c>
      <c r="X190" s="13" cm="1">
        <f t="array" ref="X190">IF(Table8[[#This Row],[I_0]]&lt;Table24[Flitro de Ruido],1,Table8[[#This Row],[I_40]]/Table8[[#This Row],[I_0]])</f>
        <v>1</v>
      </c>
      <c r="Y190" s="13" cm="1">
        <f t="array" ref="Y190">IF(Table8[[#This Row],[I_0]]&lt;Table24[Flitro de Ruido],1,Table8[[#This Row],[I_50]]/Table8[[#This Row],[I_0]])</f>
        <v>1</v>
      </c>
    </row>
    <row r="191" spans="1:25" x14ac:dyDescent="0.3">
      <c r="A191" s="13">
        <v>257.72000000000003</v>
      </c>
      <c r="B191" s="12">
        <v>0</v>
      </c>
      <c r="C191" s="11">
        <v>257.72000000000003</v>
      </c>
      <c r="D191" s="12">
        <v>0</v>
      </c>
      <c r="E191" s="11">
        <v>257.72000000000003</v>
      </c>
      <c r="F191" s="12">
        <v>0</v>
      </c>
      <c r="G191" s="11">
        <v>257.72000000000003</v>
      </c>
      <c r="H191" s="12">
        <v>0</v>
      </c>
      <c r="I191" s="11">
        <v>257.72000000000003</v>
      </c>
      <c r="J191" s="12">
        <v>0</v>
      </c>
      <c r="K191" s="11">
        <v>257.72000000000003</v>
      </c>
      <c r="L191" s="12">
        <v>0</v>
      </c>
      <c r="M191" s="11">
        <v>257.72000000000003</v>
      </c>
      <c r="N191" s="13">
        <v>0</v>
      </c>
      <c r="O191" s="11">
        <v>0</v>
      </c>
      <c r="P191" s="11">
        <v>0</v>
      </c>
      <c r="Q191" s="11">
        <v>0</v>
      </c>
      <c r="R191" s="11">
        <v>0</v>
      </c>
      <c r="S191" s="14">
        <v>0</v>
      </c>
      <c r="T191" s="11">
        <v>257.72000000000003</v>
      </c>
      <c r="U191" s="13" cm="1">
        <f t="array" ref="U191">IF(Table8[[#This Row],[I_0]]&lt;Table24[Flitro de Ruido],1,Table8[[#This Row],[I_10]]/Table8[[#This Row],[I_0]])</f>
        <v>1</v>
      </c>
      <c r="V191" s="13" cm="1">
        <f t="array" ref="V191">IF(Table8[[#This Row],[I_0]]&lt;Table24[Flitro de Ruido],1,Table8[[#This Row],[I_20]]/Table8[[#This Row],[I_0]])</f>
        <v>1</v>
      </c>
      <c r="W191" s="13" cm="1">
        <f t="array" ref="W191">IF(Table8[[#This Row],[I_0]]&lt;Table24[Flitro de Ruido],1,Table8[[#This Row],[I_30]]/Table8[[#This Row],[I_0]])</f>
        <v>1</v>
      </c>
      <c r="X191" s="13" cm="1">
        <f t="array" ref="X191">IF(Table8[[#This Row],[I_0]]&lt;Table24[Flitro de Ruido],1,Table8[[#This Row],[I_40]]/Table8[[#This Row],[I_0]])</f>
        <v>1</v>
      </c>
      <c r="Y191" s="13" cm="1">
        <f t="array" ref="Y191">IF(Table8[[#This Row],[I_0]]&lt;Table24[Flitro de Ruido],1,Table8[[#This Row],[I_50]]/Table8[[#This Row],[I_0]])</f>
        <v>1</v>
      </c>
    </row>
    <row r="192" spans="1:25" x14ac:dyDescent="0.3">
      <c r="A192" s="13">
        <v>258.72000000000003</v>
      </c>
      <c r="B192" s="12">
        <v>0</v>
      </c>
      <c r="C192" s="11">
        <v>258.72000000000003</v>
      </c>
      <c r="D192" s="12">
        <v>0</v>
      </c>
      <c r="E192" s="11">
        <v>258.72000000000003</v>
      </c>
      <c r="F192" s="12">
        <v>0</v>
      </c>
      <c r="G192" s="11">
        <v>258.72000000000003</v>
      </c>
      <c r="H192" s="12">
        <v>0</v>
      </c>
      <c r="I192" s="11">
        <v>258.72000000000003</v>
      </c>
      <c r="J192" s="12">
        <v>0</v>
      </c>
      <c r="K192" s="11">
        <v>258.72000000000003</v>
      </c>
      <c r="L192" s="12">
        <v>0</v>
      </c>
      <c r="M192" s="11">
        <v>258.72000000000003</v>
      </c>
      <c r="N192" s="13">
        <v>0</v>
      </c>
      <c r="O192" s="11">
        <v>0</v>
      </c>
      <c r="P192" s="11">
        <v>0</v>
      </c>
      <c r="Q192" s="11">
        <v>0</v>
      </c>
      <c r="R192" s="11">
        <v>0</v>
      </c>
      <c r="S192" s="14">
        <v>0</v>
      </c>
      <c r="T192" s="11">
        <v>258.72000000000003</v>
      </c>
      <c r="U192" s="13" cm="1">
        <f t="array" ref="U192">IF(Table8[[#This Row],[I_0]]&lt;Table24[Flitro de Ruido],1,Table8[[#This Row],[I_10]]/Table8[[#This Row],[I_0]])</f>
        <v>1</v>
      </c>
      <c r="V192" s="13" cm="1">
        <f t="array" ref="V192">IF(Table8[[#This Row],[I_0]]&lt;Table24[Flitro de Ruido],1,Table8[[#This Row],[I_20]]/Table8[[#This Row],[I_0]])</f>
        <v>1</v>
      </c>
      <c r="W192" s="13" cm="1">
        <f t="array" ref="W192">IF(Table8[[#This Row],[I_0]]&lt;Table24[Flitro de Ruido],1,Table8[[#This Row],[I_30]]/Table8[[#This Row],[I_0]])</f>
        <v>1</v>
      </c>
      <c r="X192" s="13" cm="1">
        <f t="array" ref="X192">IF(Table8[[#This Row],[I_0]]&lt;Table24[Flitro de Ruido],1,Table8[[#This Row],[I_40]]/Table8[[#This Row],[I_0]])</f>
        <v>1</v>
      </c>
      <c r="Y192" s="13" cm="1">
        <f t="array" ref="Y192">IF(Table8[[#This Row],[I_0]]&lt;Table24[Flitro de Ruido],1,Table8[[#This Row],[I_50]]/Table8[[#This Row],[I_0]])</f>
        <v>1</v>
      </c>
    </row>
    <row r="193" spans="1:25" x14ac:dyDescent="0.3">
      <c r="A193" s="13">
        <v>259.70999999999998</v>
      </c>
      <c r="B193" s="12">
        <v>0</v>
      </c>
      <c r="C193" s="11">
        <v>259.70999999999998</v>
      </c>
      <c r="D193" s="12">
        <v>0</v>
      </c>
      <c r="E193" s="11">
        <v>259.70999999999998</v>
      </c>
      <c r="F193" s="12">
        <v>0</v>
      </c>
      <c r="G193" s="11">
        <v>259.70999999999998</v>
      </c>
      <c r="H193" s="12">
        <v>0</v>
      </c>
      <c r="I193" s="11">
        <v>259.70999999999998</v>
      </c>
      <c r="J193" s="12">
        <v>0</v>
      </c>
      <c r="K193" s="11">
        <v>259.70999999999998</v>
      </c>
      <c r="L193" s="12">
        <v>0</v>
      </c>
      <c r="M193" s="11">
        <v>259.70999999999998</v>
      </c>
      <c r="N193" s="13">
        <v>0</v>
      </c>
      <c r="O193" s="11">
        <v>0</v>
      </c>
      <c r="P193" s="11">
        <v>0</v>
      </c>
      <c r="Q193" s="11">
        <v>0</v>
      </c>
      <c r="R193" s="11">
        <v>0</v>
      </c>
      <c r="S193" s="14">
        <v>0</v>
      </c>
      <c r="T193" s="11">
        <v>259.70999999999998</v>
      </c>
      <c r="U193" s="13" cm="1">
        <f t="array" ref="U193">IF(Table8[[#This Row],[I_0]]&lt;Table24[Flitro de Ruido],1,Table8[[#This Row],[I_10]]/Table8[[#This Row],[I_0]])</f>
        <v>1</v>
      </c>
      <c r="V193" s="13" cm="1">
        <f t="array" ref="V193">IF(Table8[[#This Row],[I_0]]&lt;Table24[Flitro de Ruido],1,Table8[[#This Row],[I_20]]/Table8[[#This Row],[I_0]])</f>
        <v>1</v>
      </c>
      <c r="W193" s="13" cm="1">
        <f t="array" ref="W193">IF(Table8[[#This Row],[I_0]]&lt;Table24[Flitro de Ruido],1,Table8[[#This Row],[I_30]]/Table8[[#This Row],[I_0]])</f>
        <v>1</v>
      </c>
      <c r="X193" s="13" cm="1">
        <f t="array" ref="X193">IF(Table8[[#This Row],[I_0]]&lt;Table24[Flitro de Ruido],1,Table8[[#This Row],[I_40]]/Table8[[#This Row],[I_0]])</f>
        <v>1</v>
      </c>
      <c r="Y193" s="13" cm="1">
        <f t="array" ref="Y193">IF(Table8[[#This Row],[I_0]]&lt;Table24[Flitro de Ruido],1,Table8[[#This Row],[I_50]]/Table8[[#This Row],[I_0]])</f>
        <v>1</v>
      </c>
    </row>
    <row r="194" spans="1:25" x14ac:dyDescent="0.3">
      <c r="A194" s="13">
        <v>260.7</v>
      </c>
      <c r="B194" s="12">
        <v>0</v>
      </c>
      <c r="C194" s="11">
        <v>260.7</v>
      </c>
      <c r="D194" s="12">
        <v>0</v>
      </c>
      <c r="E194" s="11">
        <v>260.7</v>
      </c>
      <c r="F194" s="12">
        <v>0</v>
      </c>
      <c r="G194" s="11">
        <v>260.7</v>
      </c>
      <c r="H194" s="12">
        <v>0</v>
      </c>
      <c r="I194" s="11">
        <v>260.7</v>
      </c>
      <c r="J194" s="12">
        <v>0</v>
      </c>
      <c r="K194" s="11">
        <v>260.7</v>
      </c>
      <c r="L194" s="12">
        <v>0</v>
      </c>
      <c r="M194" s="11">
        <v>260.7</v>
      </c>
      <c r="N194" s="13">
        <v>0</v>
      </c>
      <c r="O194" s="11">
        <v>0</v>
      </c>
      <c r="P194" s="11">
        <v>0</v>
      </c>
      <c r="Q194" s="11">
        <v>0</v>
      </c>
      <c r="R194" s="11">
        <v>0</v>
      </c>
      <c r="S194" s="14">
        <v>0</v>
      </c>
      <c r="T194" s="11">
        <v>260.7</v>
      </c>
      <c r="U194" s="13" cm="1">
        <f t="array" ref="U194">IF(Table8[[#This Row],[I_0]]&lt;Table24[Flitro de Ruido],1,Table8[[#This Row],[I_10]]/Table8[[#This Row],[I_0]])</f>
        <v>1</v>
      </c>
      <c r="V194" s="13" cm="1">
        <f t="array" ref="V194">IF(Table8[[#This Row],[I_0]]&lt;Table24[Flitro de Ruido],1,Table8[[#This Row],[I_20]]/Table8[[#This Row],[I_0]])</f>
        <v>1</v>
      </c>
      <c r="W194" s="13" cm="1">
        <f t="array" ref="W194">IF(Table8[[#This Row],[I_0]]&lt;Table24[Flitro de Ruido],1,Table8[[#This Row],[I_30]]/Table8[[#This Row],[I_0]])</f>
        <v>1</v>
      </c>
      <c r="X194" s="13" cm="1">
        <f t="array" ref="X194">IF(Table8[[#This Row],[I_0]]&lt;Table24[Flitro de Ruido],1,Table8[[#This Row],[I_40]]/Table8[[#This Row],[I_0]])</f>
        <v>1</v>
      </c>
      <c r="Y194" s="13" cm="1">
        <f t="array" ref="Y194">IF(Table8[[#This Row],[I_0]]&lt;Table24[Flitro de Ruido],1,Table8[[#This Row],[I_50]]/Table8[[#This Row],[I_0]])</f>
        <v>1</v>
      </c>
    </row>
    <row r="195" spans="1:25" x14ac:dyDescent="0.3">
      <c r="A195" s="13">
        <v>261.69</v>
      </c>
      <c r="B195" s="12">
        <v>0</v>
      </c>
      <c r="C195" s="11">
        <v>261.69</v>
      </c>
      <c r="D195" s="12">
        <v>0</v>
      </c>
      <c r="E195" s="11">
        <v>261.69</v>
      </c>
      <c r="F195" s="12">
        <v>0</v>
      </c>
      <c r="G195" s="11">
        <v>261.69</v>
      </c>
      <c r="H195" s="12">
        <v>0</v>
      </c>
      <c r="I195" s="11">
        <v>261.69</v>
      </c>
      <c r="J195" s="12">
        <v>0</v>
      </c>
      <c r="K195" s="11">
        <v>261.69</v>
      </c>
      <c r="L195" s="12">
        <v>0</v>
      </c>
      <c r="M195" s="11">
        <v>261.69</v>
      </c>
      <c r="N195" s="13">
        <v>0</v>
      </c>
      <c r="O195" s="11">
        <v>0</v>
      </c>
      <c r="P195" s="11">
        <v>0</v>
      </c>
      <c r="Q195" s="11">
        <v>0</v>
      </c>
      <c r="R195" s="11">
        <v>0</v>
      </c>
      <c r="S195" s="14">
        <v>0</v>
      </c>
      <c r="T195" s="11">
        <v>261.69</v>
      </c>
      <c r="U195" s="13" cm="1">
        <f t="array" ref="U195">IF(Table8[[#This Row],[I_0]]&lt;Table24[Flitro de Ruido],1,Table8[[#This Row],[I_10]]/Table8[[#This Row],[I_0]])</f>
        <v>1</v>
      </c>
      <c r="V195" s="13" cm="1">
        <f t="array" ref="V195">IF(Table8[[#This Row],[I_0]]&lt;Table24[Flitro de Ruido],1,Table8[[#This Row],[I_20]]/Table8[[#This Row],[I_0]])</f>
        <v>1</v>
      </c>
      <c r="W195" s="13" cm="1">
        <f t="array" ref="W195">IF(Table8[[#This Row],[I_0]]&lt;Table24[Flitro de Ruido],1,Table8[[#This Row],[I_30]]/Table8[[#This Row],[I_0]])</f>
        <v>1</v>
      </c>
      <c r="X195" s="13" cm="1">
        <f t="array" ref="X195">IF(Table8[[#This Row],[I_0]]&lt;Table24[Flitro de Ruido],1,Table8[[#This Row],[I_40]]/Table8[[#This Row],[I_0]])</f>
        <v>1</v>
      </c>
      <c r="Y195" s="13" cm="1">
        <f t="array" ref="Y195">IF(Table8[[#This Row],[I_0]]&lt;Table24[Flitro de Ruido],1,Table8[[#This Row],[I_50]]/Table8[[#This Row],[I_0]])</f>
        <v>1</v>
      </c>
    </row>
    <row r="196" spans="1:25" x14ac:dyDescent="0.3">
      <c r="A196" s="13">
        <v>262.68</v>
      </c>
      <c r="B196" s="12">
        <v>0</v>
      </c>
      <c r="C196" s="11">
        <v>262.68</v>
      </c>
      <c r="D196" s="12">
        <v>0</v>
      </c>
      <c r="E196" s="11">
        <v>262.68</v>
      </c>
      <c r="F196" s="12">
        <v>0</v>
      </c>
      <c r="G196" s="11">
        <v>262.68</v>
      </c>
      <c r="H196" s="12">
        <v>0</v>
      </c>
      <c r="I196" s="11">
        <v>262.68</v>
      </c>
      <c r="J196" s="12">
        <v>0</v>
      </c>
      <c r="K196" s="11">
        <v>262.68</v>
      </c>
      <c r="L196" s="12">
        <v>0</v>
      </c>
      <c r="M196" s="11">
        <v>262.68</v>
      </c>
      <c r="N196" s="13">
        <v>0</v>
      </c>
      <c r="O196" s="11">
        <v>0</v>
      </c>
      <c r="P196" s="11">
        <v>0</v>
      </c>
      <c r="Q196" s="11">
        <v>0</v>
      </c>
      <c r="R196" s="11">
        <v>0</v>
      </c>
      <c r="S196" s="14">
        <v>0</v>
      </c>
      <c r="T196" s="11">
        <v>262.68</v>
      </c>
      <c r="U196" s="13" cm="1">
        <f t="array" ref="U196">IF(Table8[[#This Row],[I_0]]&lt;Table24[Flitro de Ruido],1,Table8[[#This Row],[I_10]]/Table8[[#This Row],[I_0]])</f>
        <v>1</v>
      </c>
      <c r="V196" s="13" cm="1">
        <f t="array" ref="V196">IF(Table8[[#This Row],[I_0]]&lt;Table24[Flitro de Ruido],1,Table8[[#This Row],[I_20]]/Table8[[#This Row],[I_0]])</f>
        <v>1</v>
      </c>
      <c r="W196" s="13" cm="1">
        <f t="array" ref="W196">IF(Table8[[#This Row],[I_0]]&lt;Table24[Flitro de Ruido],1,Table8[[#This Row],[I_30]]/Table8[[#This Row],[I_0]])</f>
        <v>1</v>
      </c>
      <c r="X196" s="13" cm="1">
        <f t="array" ref="X196">IF(Table8[[#This Row],[I_0]]&lt;Table24[Flitro de Ruido],1,Table8[[#This Row],[I_40]]/Table8[[#This Row],[I_0]])</f>
        <v>1</v>
      </c>
      <c r="Y196" s="13" cm="1">
        <f t="array" ref="Y196">IF(Table8[[#This Row],[I_0]]&lt;Table24[Flitro de Ruido],1,Table8[[#This Row],[I_50]]/Table8[[#This Row],[I_0]])</f>
        <v>1</v>
      </c>
    </row>
    <row r="197" spans="1:25" x14ac:dyDescent="0.3">
      <c r="A197" s="13">
        <v>263.68</v>
      </c>
      <c r="B197" s="12">
        <v>0</v>
      </c>
      <c r="C197" s="11">
        <v>263.68</v>
      </c>
      <c r="D197" s="12">
        <v>0</v>
      </c>
      <c r="E197" s="11">
        <v>263.68</v>
      </c>
      <c r="F197" s="12">
        <v>0</v>
      </c>
      <c r="G197" s="11">
        <v>263.68</v>
      </c>
      <c r="H197" s="12">
        <v>0</v>
      </c>
      <c r="I197" s="11">
        <v>263.68</v>
      </c>
      <c r="J197" s="12">
        <v>0</v>
      </c>
      <c r="K197" s="11">
        <v>263.68</v>
      </c>
      <c r="L197" s="12">
        <v>0</v>
      </c>
      <c r="M197" s="11">
        <v>263.68</v>
      </c>
      <c r="N197" s="13">
        <v>0</v>
      </c>
      <c r="O197" s="11">
        <v>0</v>
      </c>
      <c r="P197" s="11">
        <v>0</v>
      </c>
      <c r="Q197" s="11">
        <v>0</v>
      </c>
      <c r="R197" s="11">
        <v>0</v>
      </c>
      <c r="S197" s="14">
        <v>0</v>
      </c>
      <c r="T197" s="11">
        <v>263.68</v>
      </c>
      <c r="U197" s="13" cm="1">
        <f t="array" ref="U197">IF(Table8[[#This Row],[I_0]]&lt;Table24[Flitro de Ruido],1,Table8[[#This Row],[I_10]]/Table8[[#This Row],[I_0]])</f>
        <v>1</v>
      </c>
      <c r="V197" s="13" cm="1">
        <f t="array" ref="V197">IF(Table8[[#This Row],[I_0]]&lt;Table24[Flitro de Ruido],1,Table8[[#This Row],[I_20]]/Table8[[#This Row],[I_0]])</f>
        <v>1</v>
      </c>
      <c r="W197" s="13" cm="1">
        <f t="array" ref="W197">IF(Table8[[#This Row],[I_0]]&lt;Table24[Flitro de Ruido],1,Table8[[#This Row],[I_30]]/Table8[[#This Row],[I_0]])</f>
        <v>1</v>
      </c>
      <c r="X197" s="13" cm="1">
        <f t="array" ref="X197">IF(Table8[[#This Row],[I_0]]&lt;Table24[Flitro de Ruido],1,Table8[[#This Row],[I_40]]/Table8[[#This Row],[I_0]])</f>
        <v>1</v>
      </c>
      <c r="Y197" s="13" cm="1">
        <f t="array" ref="Y197">IF(Table8[[#This Row],[I_0]]&lt;Table24[Flitro de Ruido],1,Table8[[#This Row],[I_50]]/Table8[[#This Row],[I_0]])</f>
        <v>1</v>
      </c>
    </row>
    <row r="198" spans="1:25" x14ac:dyDescent="0.3">
      <c r="A198" s="13">
        <v>264.67</v>
      </c>
      <c r="B198" s="12">
        <v>0</v>
      </c>
      <c r="C198" s="11">
        <v>264.67</v>
      </c>
      <c r="D198" s="12">
        <v>0</v>
      </c>
      <c r="E198" s="11">
        <v>264.67</v>
      </c>
      <c r="F198" s="12">
        <v>0</v>
      </c>
      <c r="G198" s="11">
        <v>264.67</v>
      </c>
      <c r="H198" s="12">
        <v>0</v>
      </c>
      <c r="I198" s="11">
        <v>264.67</v>
      </c>
      <c r="J198" s="12">
        <v>0</v>
      </c>
      <c r="K198" s="11">
        <v>264.67</v>
      </c>
      <c r="L198" s="12">
        <v>0</v>
      </c>
      <c r="M198" s="11">
        <v>264.67</v>
      </c>
      <c r="N198" s="13">
        <v>0</v>
      </c>
      <c r="O198" s="11">
        <v>0</v>
      </c>
      <c r="P198" s="11">
        <v>0</v>
      </c>
      <c r="Q198" s="11">
        <v>0</v>
      </c>
      <c r="R198" s="11">
        <v>0</v>
      </c>
      <c r="S198" s="14">
        <v>0</v>
      </c>
      <c r="T198" s="11">
        <v>264.67</v>
      </c>
      <c r="U198" s="13" cm="1">
        <f t="array" ref="U198">IF(Table8[[#This Row],[I_0]]&lt;Table24[Flitro de Ruido],1,Table8[[#This Row],[I_10]]/Table8[[#This Row],[I_0]])</f>
        <v>1</v>
      </c>
      <c r="V198" s="13" cm="1">
        <f t="array" ref="V198">IF(Table8[[#This Row],[I_0]]&lt;Table24[Flitro de Ruido],1,Table8[[#This Row],[I_20]]/Table8[[#This Row],[I_0]])</f>
        <v>1</v>
      </c>
      <c r="W198" s="13" cm="1">
        <f t="array" ref="W198">IF(Table8[[#This Row],[I_0]]&lt;Table24[Flitro de Ruido],1,Table8[[#This Row],[I_30]]/Table8[[#This Row],[I_0]])</f>
        <v>1</v>
      </c>
      <c r="X198" s="13" cm="1">
        <f t="array" ref="X198">IF(Table8[[#This Row],[I_0]]&lt;Table24[Flitro de Ruido],1,Table8[[#This Row],[I_40]]/Table8[[#This Row],[I_0]])</f>
        <v>1</v>
      </c>
      <c r="Y198" s="13" cm="1">
        <f t="array" ref="Y198">IF(Table8[[#This Row],[I_0]]&lt;Table24[Flitro de Ruido],1,Table8[[#This Row],[I_50]]/Table8[[#This Row],[I_0]])</f>
        <v>1</v>
      </c>
    </row>
    <row r="199" spans="1:25" x14ac:dyDescent="0.3">
      <c r="A199" s="13">
        <v>265.66000000000003</v>
      </c>
      <c r="B199" s="12">
        <v>0</v>
      </c>
      <c r="C199" s="11">
        <v>265.66000000000003</v>
      </c>
      <c r="D199" s="12">
        <v>0</v>
      </c>
      <c r="E199" s="11">
        <v>265.66000000000003</v>
      </c>
      <c r="F199" s="12">
        <v>0</v>
      </c>
      <c r="G199" s="11">
        <v>265.66000000000003</v>
      </c>
      <c r="H199" s="12">
        <v>0</v>
      </c>
      <c r="I199" s="11">
        <v>265.66000000000003</v>
      </c>
      <c r="J199" s="12">
        <v>0</v>
      </c>
      <c r="K199" s="11">
        <v>265.66000000000003</v>
      </c>
      <c r="L199" s="12">
        <v>0</v>
      </c>
      <c r="M199" s="11">
        <v>265.66000000000003</v>
      </c>
      <c r="N199" s="13">
        <v>0</v>
      </c>
      <c r="O199" s="11">
        <v>0</v>
      </c>
      <c r="P199" s="11">
        <v>0</v>
      </c>
      <c r="Q199" s="11">
        <v>0</v>
      </c>
      <c r="R199" s="11">
        <v>0</v>
      </c>
      <c r="S199" s="14">
        <v>0</v>
      </c>
      <c r="T199" s="11">
        <v>265.66000000000003</v>
      </c>
      <c r="U199" s="13" cm="1">
        <f t="array" ref="U199">IF(Table8[[#This Row],[I_0]]&lt;Table24[Flitro de Ruido],1,Table8[[#This Row],[I_10]]/Table8[[#This Row],[I_0]])</f>
        <v>1</v>
      </c>
      <c r="V199" s="13" cm="1">
        <f t="array" ref="V199">IF(Table8[[#This Row],[I_0]]&lt;Table24[Flitro de Ruido],1,Table8[[#This Row],[I_20]]/Table8[[#This Row],[I_0]])</f>
        <v>1</v>
      </c>
      <c r="W199" s="13" cm="1">
        <f t="array" ref="W199">IF(Table8[[#This Row],[I_0]]&lt;Table24[Flitro de Ruido],1,Table8[[#This Row],[I_30]]/Table8[[#This Row],[I_0]])</f>
        <v>1</v>
      </c>
      <c r="X199" s="13" cm="1">
        <f t="array" ref="X199">IF(Table8[[#This Row],[I_0]]&lt;Table24[Flitro de Ruido],1,Table8[[#This Row],[I_40]]/Table8[[#This Row],[I_0]])</f>
        <v>1</v>
      </c>
      <c r="Y199" s="13" cm="1">
        <f t="array" ref="Y199">IF(Table8[[#This Row],[I_0]]&lt;Table24[Flitro de Ruido],1,Table8[[#This Row],[I_50]]/Table8[[#This Row],[I_0]])</f>
        <v>1</v>
      </c>
    </row>
    <row r="200" spans="1:25" x14ac:dyDescent="0.3">
      <c r="A200" s="13">
        <v>266.64999999999998</v>
      </c>
      <c r="B200" s="12">
        <v>0</v>
      </c>
      <c r="C200" s="11">
        <v>266.64999999999998</v>
      </c>
      <c r="D200" s="12">
        <v>0</v>
      </c>
      <c r="E200" s="11">
        <v>266.64999999999998</v>
      </c>
      <c r="F200" s="12">
        <v>0</v>
      </c>
      <c r="G200" s="11">
        <v>266.64999999999998</v>
      </c>
      <c r="H200" s="12">
        <v>0</v>
      </c>
      <c r="I200" s="11">
        <v>266.64999999999998</v>
      </c>
      <c r="J200" s="12">
        <v>0</v>
      </c>
      <c r="K200" s="11">
        <v>266.64999999999998</v>
      </c>
      <c r="L200" s="12">
        <v>0</v>
      </c>
      <c r="M200" s="11">
        <v>266.64999999999998</v>
      </c>
      <c r="N200" s="13">
        <v>0</v>
      </c>
      <c r="O200" s="11">
        <v>0</v>
      </c>
      <c r="P200" s="11">
        <v>0</v>
      </c>
      <c r="Q200" s="11">
        <v>0</v>
      </c>
      <c r="R200" s="11">
        <v>0</v>
      </c>
      <c r="S200" s="14">
        <v>0</v>
      </c>
      <c r="T200" s="11">
        <v>266.64999999999998</v>
      </c>
      <c r="U200" s="13" cm="1">
        <f t="array" ref="U200">IF(Table8[[#This Row],[I_0]]&lt;Table24[Flitro de Ruido],1,Table8[[#This Row],[I_10]]/Table8[[#This Row],[I_0]])</f>
        <v>1</v>
      </c>
      <c r="V200" s="13" cm="1">
        <f t="array" ref="V200">IF(Table8[[#This Row],[I_0]]&lt;Table24[Flitro de Ruido],1,Table8[[#This Row],[I_20]]/Table8[[#This Row],[I_0]])</f>
        <v>1</v>
      </c>
      <c r="W200" s="13" cm="1">
        <f t="array" ref="W200">IF(Table8[[#This Row],[I_0]]&lt;Table24[Flitro de Ruido],1,Table8[[#This Row],[I_30]]/Table8[[#This Row],[I_0]])</f>
        <v>1</v>
      </c>
      <c r="X200" s="13" cm="1">
        <f t="array" ref="X200">IF(Table8[[#This Row],[I_0]]&lt;Table24[Flitro de Ruido],1,Table8[[#This Row],[I_40]]/Table8[[#This Row],[I_0]])</f>
        <v>1</v>
      </c>
      <c r="Y200" s="13" cm="1">
        <f t="array" ref="Y200">IF(Table8[[#This Row],[I_0]]&lt;Table24[Flitro de Ruido],1,Table8[[#This Row],[I_50]]/Table8[[#This Row],[I_0]])</f>
        <v>1</v>
      </c>
    </row>
    <row r="201" spans="1:25" x14ac:dyDescent="0.3">
      <c r="A201" s="13">
        <v>267.64</v>
      </c>
      <c r="B201" s="12">
        <v>0</v>
      </c>
      <c r="C201" s="11">
        <v>267.64</v>
      </c>
      <c r="D201" s="12">
        <v>0</v>
      </c>
      <c r="E201" s="11">
        <v>267.64</v>
      </c>
      <c r="F201" s="12">
        <v>0</v>
      </c>
      <c r="G201" s="11">
        <v>267.64</v>
      </c>
      <c r="H201" s="12">
        <v>0</v>
      </c>
      <c r="I201" s="11">
        <v>267.64</v>
      </c>
      <c r="J201" s="12">
        <v>0</v>
      </c>
      <c r="K201" s="11">
        <v>267.64</v>
      </c>
      <c r="L201" s="12">
        <v>0</v>
      </c>
      <c r="M201" s="11">
        <v>267.64</v>
      </c>
      <c r="N201" s="13">
        <v>0</v>
      </c>
      <c r="O201" s="11">
        <v>0</v>
      </c>
      <c r="P201" s="11">
        <v>0</v>
      </c>
      <c r="Q201" s="11">
        <v>0</v>
      </c>
      <c r="R201" s="11">
        <v>0</v>
      </c>
      <c r="S201" s="14">
        <v>0</v>
      </c>
      <c r="T201" s="11">
        <v>267.64</v>
      </c>
      <c r="U201" s="13" cm="1">
        <f t="array" ref="U201">IF(Table8[[#This Row],[I_0]]&lt;Table24[Flitro de Ruido],1,Table8[[#This Row],[I_10]]/Table8[[#This Row],[I_0]])</f>
        <v>1</v>
      </c>
      <c r="V201" s="13" cm="1">
        <f t="array" ref="V201">IF(Table8[[#This Row],[I_0]]&lt;Table24[Flitro de Ruido],1,Table8[[#This Row],[I_20]]/Table8[[#This Row],[I_0]])</f>
        <v>1</v>
      </c>
      <c r="W201" s="13" cm="1">
        <f t="array" ref="W201">IF(Table8[[#This Row],[I_0]]&lt;Table24[Flitro de Ruido],1,Table8[[#This Row],[I_30]]/Table8[[#This Row],[I_0]])</f>
        <v>1</v>
      </c>
      <c r="X201" s="13" cm="1">
        <f t="array" ref="X201">IF(Table8[[#This Row],[I_0]]&lt;Table24[Flitro de Ruido],1,Table8[[#This Row],[I_40]]/Table8[[#This Row],[I_0]])</f>
        <v>1</v>
      </c>
      <c r="Y201" s="13" cm="1">
        <f t="array" ref="Y201">IF(Table8[[#This Row],[I_0]]&lt;Table24[Flitro de Ruido],1,Table8[[#This Row],[I_50]]/Table8[[#This Row],[I_0]])</f>
        <v>1</v>
      </c>
    </row>
    <row r="202" spans="1:25" x14ac:dyDescent="0.3">
      <c r="A202" s="13">
        <v>268.63</v>
      </c>
      <c r="B202" s="12">
        <v>0</v>
      </c>
      <c r="C202" s="11">
        <v>268.63</v>
      </c>
      <c r="D202" s="12">
        <v>0</v>
      </c>
      <c r="E202" s="11">
        <v>268.63</v>
      </c>
      <c r="F202" s="12">
        <v>0</v>
      </c>
      <c r="G202" s="11">
        <v>268.63</v>
      </c>
      <c r="H202" s="12">
        <v>0</v>
      </c>
      <c r="I202" s="11">
        <v>268.63</v>
      </c>
      <c r="J202" s="12">
        <v>0</v>
      </c>
      <c r="K202" s="11">
        <v>268.63</v>
      </c>
      <c r="L202" s="12">
        <v>0</v>
      </c>
      <c r="M202" s="11">
        <v>268.63</v>
      </c>
      <c r="N202" s="13">
        <v>0</v>
      </c>
      <c r="O202" s="11">
        <v>0</v>
      </c>
      <c r="P202" s="11">
        <v>0</v>
      </c>
      <c r="Q202" s="11">
        <v>0</v>
      </c>
      <c r="R202" s="11">
        <v>0</v>
      </c>
      <c r="S202" s="14">
        <v>0</v>
      </c>
      <c r="T202" s="11">
        <v>268.63</v>
      </c>
      <c r="U202" s="13" cm="1">
        <f t="array" ref="U202">IF(Table8[[#This Row],[I_0]]&lt;Table24[Flitro de Ruido],1,Table8[[#This Row],[I_10]]/Table8[[#This Row],[I_0]])</f>
        <v>1</v>
      </c>
      <c r="V202" s="13" cm="1">
        <f t="array" ref="V202">IF(Table8[[#This Row],[I_0]]&lt;Table24[Flitro de Ruido],1,Table8[[#This Row],[I_20]]/Table8[[#This Row],[I_0]])</f>
        <v>1</v>
      </c>
      <c r="W202" s="13" cm="1">
        <f t="array" ref="W202">IF(Table8[[#This Row],[I_0]]&lt;Table24[Flitro de Ruido],1,Table8[[#This Row],[I_30]]/Table8[[#This Row],[I_0]])</f>
        <v>1</v>
      </c>
      <c r="X202" s="13" cm="1">
        <f t="array" ref="X202">IF(Table8[[#This Row],[I_0]]&lt;Table24[Flitro de Ruido],1,Table8[[#This Row],[I_40]]/Table8[[#This Row],[I_0]])</f>
        <v>1</v>
      </c>
      <c r="Y202" s="13" cm="1">
        <f t="array" ref="Y202">IF(Table8[[#This Row],[I_0]]&lt;Table24[Flitro de Ruido],1,Table8[[#This Row],[I_50]]/Table8[[#This Row],[I_0]])</f>
        <v>1</v>
      </c>
    </row>
    <row r="203" spans="1:25" x14ac:dyDescent="0.3">
      <c r="A203" s="13">
        <v>269.63</v>
      </c>
      <c r="B203" s="12">
        <v>0</v>
      </c>
      <c r="C203" s="11">
        <v>269.63</v>
      </c>
      <c r="D203" s="12">
        <v>0</v>
      </c>
      <c r="E203" s="11">
        <v>269.63</v>
      </c>
      <c r="F203" s="12">
        <v>0</v>
      </c>
      <c r="G203" s="11">
        <v>269.63</v>
      </c>
      <c r="H203" s="12">
        <v>0</v>
      </c>
      <c r="I203" s="11">
        <v>269.63</v>
      </c>
      <c r="J203" s="12">
        <v>0</v>
      </c>
      <c r="K203" s="11">
        <v>269.63</v>
      </c>
      <c r="L203" s="12">
        <v>0</v>
      </c>
      <c r="M203" s="11">
        <v>269.63</v>
      </c>
      <c r="N203" s="13">
        <v>0</v>
      </c>
      <c r="O203" s="11">
        <v>0</v>
      </c>
      <c r="P203" s="11">
        <v>0</v>
      </c>
      <c r="Q203" s="11">
        <v>0</v>
      </c>
      <c r="R203" s="11">
        <v>0</v>
      </c>
      <c r="S203" s="14">
        <v>0</v>
      </c>
      <c r="T203" s="11">
        <v>269.63</v>
      </c>
      <c r="U203" s="13" cm="1">
        <f t="array" ref="U203">IF(Table8[[#This Row],[I_0]]&lt;Table24[Flitro de Ruido],1,Table8[[#This Row],[I_10]]/Table8[[#This Row],[I_0]])</f>
        <v>1</v>
      </c>
      <c r="V203" s="13" cm="1">
        <f t="array" ref="V203">IF(Table8[[#This Row],[I_0]]&lt;Table24[Flitro de Ruido],1,Table8[[#This Row],[I_20]]/Table8[[#This Row],[I_0]])</f>
        <v>1</v>
      </c>
      <c r="W203" s="13" cm="1">
        <f t="array" ref="W203">IF(Table8[[#This Row],[I_0]]&lt;Table24[Flitro de Ruido],1,Table8[[#This Row],[I_30]]/Table8[[#This Row],[I_0]])</f>
        <v>1</v>
      </c>
      <c r="X203" s="13" cm="1">
        <f t="array" ref="X203">IF(Table8[[#This Row],[I_0]]&lt;Table24[Flitro de Ruido],1,Table8[[#This Row],[I_40]]/Table8[[#This Row],[I_0]])</f>
        <v>1</v>
      </c>
      <c r="Y203" s="13" cm="1">
        <f t="array" ref="Y203">IF(Table8[[#This Row],[I_0]]&lt;Table24[Flitro de Ruido],1,Table8[[#This Row],[I_50]]/Table8[[#This Row],[I_0]])</f>
        <v>1</v>
      </c>
    </row>
    <row r="204" spans="1:25" x14ac:dyDescent="0.3">
      <c r="A204" s="13">
        <v>270.62</v>
      </c>
      <c r="B204" s="12">
        <v>0</v>
      </c>
      <c r="C204" s="11">
        <v>270.62</v>
      </c>
      <c r="D204" s="12">
        <v>0</v>
      </c>
      <c r="E204" s="11">
        <v>270.62</v>
      </c>
      <c r="F204" s="12">
        <v>0</v>
      </c>
      <c r="G204" s="11">
        <v>270.62</v>
      </c>
      <c r="H204" s="12">
        <v>0</v>
      </c>
      <c r="I204" s="11">
        <v>270.62</v>
      </c>
      <c r="J204" s="12">
        <v>0</v>
      </c>
      <c r="K204" s="11">
        <v>270.62</v>
      </c>
      <c r="L204" s="12">
        <v>0</v>
      </c>
      <c r="M204" s="11">
        <v>270.62</v>
      </c>
      <c r="N204" s="13">
        <v>0</v>
      </c>
      <c r="O204" s="11">
        <v>0</v>
      </c>
      <c r="P204" s="11">
        <v>0</v>
      </c>
      <c r="Q204" s="11">
        <v>0</v>
      </c>
      <c r="R204" s="11">
        <v>0</v>
      </c>
      <c r="S204" s="14">
        <v>0</v>
      </c>
      <c r="T204" s="11">
        <v>270.62</v>
      </c>
      <c r="U204" s="13" cm="1">
        <f t="array" ref="U204">IF(Table8[[#This Row],[I_0]]&lt;Table24[Flitro de Ruido],1,Table8[[#This Row],[I_10]]/Table8[[#This Row],[I_0]])</f>
        <v>1</v>
      </c>
      <c r="V204" s="13" cm="1">
        <f t="array" ref="V204">IF(Table8[[#This Row],[I_0]]&lt;Table24[Flitro de Ruido],1,Table8[[#This Row],[I_20]]/Table8[[#This Row],[I_0]])</f>
        <v>1</v>
      </c>
      <c r="W204" s="13" cm="1">
        <f t="array" ref="W204">IF(Table8[[#This Row],[I_0]]&lt;Table24[Flitro de Ruido],1,Table8[[#This Row],[I_30]]/Table8[[#This Row],[I_0]])</f>
        <v>1</v>
      </c>
      <c r="X204" s="13" cm="1">
        <f t="array" ref="X204">IF(Table8[[#This Row],[I_0]]&lt;Table24[Flitro de Ruido],1,Table8[[#This Row],[I_40]]/Table8[[#This Row],[I_0]])</f>
        <v>1</v>
      </c>
      <c r="Y204" s="13" cm="1">
        <f t="array" ref="Y204">IF(Table8[[#This Row],[I_0]]&lt;Table24[Flitro de Ruido],1,Table8[[#This Row],[I_50]]/Table8[[#This Row],[I_0]])</f>
        <v>1</v>
      </c>
    </row>
    <row r="205" spans="1:25" x14ac:dyDescent="0.3">
      <c r="A205" s="13">
        <v>271.61</v>
      </c>
      <c r="B205" s="12">
        <v>0</v>
      </c>
      <c r="C205" s="11">
        <v>271.61</v>
      </c>
      <c r="D205" s="12">
        <v>0</v>
      </c>
      <c r="E205" s="11">
        <v>271.61</v>
      </c>
      <c r="F205" s="12">
        <v>0</v>
      </c>
      <c r="G205" s="11">
        <v>271.61</v>
      </c>
      <c r="H205" s="12">
        <v>0</v>
      </c>
      <c r="I205" s="11">
        <v>271.61</v>
      </c>
      <c r="J205" s="12">
        <v>0</v>
      </c>
      <c r="K205" s="11">
        <v>271.61</v>
      </c>
      <c r="L205" s="12">
        <v>0</v>
      </c>
      <c r="M205" s="11">
        <v>271.61</v>
      </c>
      <c r="N205" s="13">
        <v>0</v>
      </c>
      <c r="O205" s="11">
        <v>0</v>
      </c>
      <c r="P205" s="11">
        <v>0</v>
      </c>
      <c r="Q205" s="11">
        <v>0</v>
      </c>
      <c r="R205" s="11">
        <v>0</v>
      </c>
      <c r="S205" s="14">
        <v>0</v>
      </c>
      <c r="T205" s="11">
        <v>271.61</v>
      </c>
      <c r="U205" s="13" cm="1">
        <f t="array" ref="U205">IF(Table8[[#This Row],[I_0]]&lt;Table24[Flitro de Ruido],1,Table8[[#This Row],[I_10]]/Table8[[#This Row],[I_0]])</f>
        <v>1</v>
      </c>
      <c r="V205" s="13" cm="1">
        <f t="array" ref="V205">IF(Table8[[#This Row],[I_0]]&lt;Table24[Flitro de Ruido],1,Table8[[#This Row],[I_20]]/Table8[[#This Row],[I_0]])</f>
        <v>1</v>
      </c>
      <c r="W205" s="13" cm="1">
        <f t="array" ref="W205">IF(Table8[[#This Row],[I_0]]&lt;Table24[Flitro de Ruido],1,Table8[[#This Row],[I_30]]/Table8[[#This Row],[I_0]])</f>
        <v>1</v>
      </c>
      <c r="X205" s="13" cm="1">
        <f t="array" ref="X205">IF(Table8[[#This Row],[I_0]]&lt;Table24[Flitro de Ruido],1,Table8[[#This Row],[I_40]]/Table8[[#This Row],[I_0]])</f>
        <v>1</v>
      </c>
      <c r="Y205" s="13" cm="1">
        <f t="array" ref="Y205">IF(Table8[[#This Row],[I_0]]&lt;Table24[Flitro de Ruido],1,Table8[[#This Row],[I_50]]/Table8[[#This Row],[I_0]])</f>
        <v>1</v>
      </c>
    </row>
    <row r="206" spans="1:25" x14ac:dyDescent="0.3">
      <c r="A206" s="13">
        <v>272.60000000000002</v>
      </c>
      <c r="B206" s="12">
        <v>0</v>
      </c>
      <c r="C206" s="11">
        <v>272.60000000000002</v>
      </c>
      <c r="D206" s="12">
        <v>0</v>
      </c>
      <c r="E206" s="11">
        <v>272.60000000000002</v>
      </c>
      <c r="F206" s="12">
        <v>0</v>
      </c>
      <c r="G206" s="11">
        <v>272.60000000000002</v>
      </c>
      <c r="H206" s="12">
        <v>0</v>
      </c>
      <c r="I206" s="11">
        <v>272.60000000000002</v>
      </c>
      <c r="J206" s="12">
        <v>0</v>
      </c>
      <c r="K206" s="11">
        <v>272.60000000000002</v>
      </c>
      <c r="L206" s="12">
        <v>0</v>
      </c>
      <c r="M206" s="11">
        <v>272.60000000000002</v>
      </c>
      <c r="N206" s="13">
        <v>0</v>
      </c>
      <c r="O206" s="11">
        <v>0</v>
      </c>
      <c r="P206" s="11">
        <v>0</v>
      </c>
      <c r="Q206" s="11">
        <v>0</v>
      </c>
      <c r="R206" s="11">
        <v>0</v>
      </c>
      <c r="S206" s="14">
        <v>0</v>
      </c>
      <c r="T206" s="11">
        <v>272.60000000000002</v>
      </c>
      <c r="U206" s="13" cm="1">
        <f t="array" ref="U206">IF(Table8[[#This Row],[I_0]]&lt;Table24[Flitro de Ruido],1,Table8[[#This Row],[I_10]]/Table8[[#This Row],[I_0]])</f>
        <v>1</v>
      </c>
      <c r="V206" s="13" cm="1">
        <f t="array" ref="V206">IF(Table8[[#This Row],[I_0]]&lt;Table24[Flitro de Ruido],1,Table8[[#This Row],[I_20]]/Table8[[#This Row],[I_0]])</f>
        <v>1</v>
      </c>
      <c r="W206" s="13" cm="1">
        <f t="array" ref="W206">IF(Table8[[#This Row],[I_0]]&lt;Table24[Flitro de Ruido],1,Table8[[#This Row],[I_30]]/Table8[[#This Row],[I_0]])</f>
        <v>1</v>
      </c>
      <c r="X206" s="13" cm="1">
        <f t="array" ref="X206">IF(Table8[[#This Row],[I_0]]&lt;Table24[Flitro de Ruido],1,Table8[[#This Row],[I_40]]/Table8[[#This Row],[I_0]])</f>
        <v>1</v>
      </c>
      <c r="Y206" s="13" cm="1">
        <f t="array" ref="Y206">IF(Table8[[#This Row],[I_0]]&lt;Table24[Flitro de Ruido],1,Table8[[#This Row],[I_50]]/Table8[[#This Row],[I_0]])</f>
        <v>1</v>
      </c>
    </row>
    <row r="207" spans="1:25" x14ac:dyDescent="0.3">
      <c r="A207" s="13">
        <v>273.58999999999997</v>
      </c>
      <c r="B207" s="12">
        <v>0</v>
      </c>
      <c r="C207" s="11">
        <v>273.58999999999997</v>
      </c>
      <c r="D207" s="12">
        <v>0</v>
      </c>
      <c r="E207" s="11">
        <v>273.58999999999997</v>
      </c>
      <c r="F207" s="12">
        <v>0</v>
      </c>
      <c r="G207" s="11">
        <v>273.58999999999997</v>
      </c>
      <c r="H207" s="12">
        <v>0</v>
      </c>
      <c r="I207" s="11">
        <v>273.58999999999997</v>
      </c>
      <c r="J207" s="12">
        <v>0</v>
      </c>
      <c r="K207" s="11">
        <v>273.58999999999997</v>
      </c>
      <c r="L207" s="12">
        <v>0</v>
      </c>
      <c r="M207" s="11">
        <v>273.58999999999997</v>
      </c>
      <c r="N207" s="13">
        <v>0</v>
      </c>
      <c r="O207" s="11">
        <v>0</v>
      </c>
      <c r="P207" s="11">
        <v>0</v>
      </c>
      <c r="Q207" s="11">
        <v>0</v>
      </c>
      <c r="R207" s="11">
        <v>0</v>
      </c>
      <c r="S207" s="14">
        <v>0</v>
      </c>
      <c r="T207" s="11">
        <v>273.58999999999997</v>
      </c>
      <c r="U207" s="13" cm="1">
        <f t="array" ref="U207">IF(Table8[[#This Row],[I_0]]&lt;Table24[Flitro de Ruido],1,Table8[[#This Row],[I_10]]/Table8[[#This Row],[I_0]])</f>
        <v>1</v>
      </c>
      <c r="V207" s="13" cm="1">
        <f t="array" ref="V207">IF(Table8[[#This Row],[I_0]]&lt;Table24[Flitro de Ruido],1,Table8[[#This Row],[I_20]]/Table8[[#This Row],[I_0]])</f>
        <v>1</v>
      </c>
      <c r="W207" s="13" cm="1">
        <f t="array" ref="W207">IF(Table8[[#This Row],[I_0]]&lt;Table24[Flitro de Ruido],1,Table8[[#This Row],[I_30]]/Table8[[#This Row],[I_0]])</f>
        <v>1</v>
      </c>
      <c r="X207" s="13" cm="1">
        <f t="array" ref="X207">IF(Table8[[#This Row],[I_0]]&lt;Table24[Flitro de Ruido],1,Table8[[#This Row],[I_40]]/Table8[[#This Row],[I_0]])</f>
        <v>1</v>
      </c>
      <c r="Y207" s="13" cm="1">
        <f t="array" ref="Y207">IF(Table8[[#This Row],[I_0]]&lt;Table24[Flitro de Ruido],1,Table8[[#This Row],[I_50]]/Table8[[#This Row],[I_0]])</f>
        <v>1</v>
      </c>
    </row>
    <row r="208" spans="1:25" x14ac:dyDescent="0.3">
      <c r="A208" s="13">
        <v>274.58</v>
      </c>
      <c r="B208" s="12">
        <v>0</v>
      </c>
      <c r="C208" s="11">
        <v>274.58</v>
      </c>
      <c r="D208" s="12">
        <v>0</v>
      </c>
      <c r="E208" s="11">
        <v>274.58</v>
      </c>
      <c r="F208" s="12">
        <v>0</v>
      </c>
      <c r="G208" s="11">
        <v>274.58</v>
      </c>
      <c r="H208" s="12">
        <v>0</v>
      </c>
      <c r="I208" s="11">
        <v>274.58</v>
      </c>
      <c r="J208" s="12">
        <v>0</v>
      </c>
      <c r="K208" s="11">
        <v>274.58</v>
      </c>
      <c r="L208" s="12">
        <v>0</v>
      </c>
      <c r="M208" s="11">
        <v>274.58</v>
      </c>
      <c r="N208" s="13">
        <v>0</v>
      </c>
      <c r="O208" s="11">
        <v>0</v>
      </c>
      <c r="P208" s="11">
        <v>0</v>
      </c>
      <c r="Q208" s="11">
        <v>0</v>
      </c>
      <c r="R208" s="11">
        <v>0</v>
      </c>
      <c r="S208" s="14">
        <v>0</v>
      </c>
      <c r="T208" s="11">
        <v>274.58</v>
      </c>
      <c r="U208" s="13" cm="1">
        <f t="array" ref="U208">IF(Table8[[#This Row],[I_0]]&lt;Table24[Flitro de Ruido],1,Table8[[#This Row],[I_10]]/Table8[[#This Row],[I_0]])</f>
        <v>1</v>
      </c>
      <c r="V208" s="13" cm="1">
        <f t="array" ref="V208">IF(Table8[[#This Row],[I_0]]&lt;Table24[Flitro de Ruido],1,Table8[[#This Row],[I_20]]/Table8[[#This Row],[I_0]])</f>
        <v>1</v>
      </c>
      <c r="W208" s="13" cm="1">
        <f t="array" ref="W208">IF(Table8[[#This Row],[I_0]]&lt;Table24[Flitro de Ruido],1,Table8[[#This Row],[I_30]]/Table8[[#This Row],[I_0]])</f>
        <v>1</v>
      </c>
      <c r="X208" s="13" cm="1">
        <f t="array" ref="X208">IF(Table8[[#This Row],[I_0]]&lt;Table24[Flitro de Ruido],1,Table8[[#This Row],[I_40]]/Table8[[#This Row],[I_0]])</f>
        <v>1</v>
      </c>
      <c r="Y208" s="13" cm="1">
        <f t="array" ref="Y208">IF(Table8[[#This Row],[I_0]]&lt;Table24[Flitro de Ruido],1,Table8[[#This Row],[I_50]]/Table8[[#This Row],[I_0]])</f>
        <v>1</v>
      </c>
    </row>
    <row r="209" spans="1:25" x14ac:dyDescent="0.3">
      <c r="A209" s="13">
        <v>275.58</v>
      </c>
      <c r="B209" s="12">
        <v>0</v>
      </c>
      <c r="C209" s="11">
        <v>275.58</v>
      </c>
      <c r="D209" s="12">
        <v>0</v>
      </c>
      <c r="E209" s="11">
        <v>275.58</v>
      </c>
      <c r="F209" s="12">
        <v>0</v>
      </c>
      <c r="G209" s="11">
        <v>275.58</v>
      </c>
      <c r="H209" s="12">
        <v>0</v>
      </c>
      <c r="I209" s="11">
        <v>275.58</v>
      </c>
      <c r="J209" s="12">
        <v>0</v>
      </c>
      <c r="K209" s="11">
        <v>275.58</v>
      </c>
      <c r="L209" s="12">
        <v>0</v>
      </c>
      <c r="M209" s="11">
        <v>275.58</v>
      </c>
      <c r="N209" s="13">
        <v>0</v>
      </c>
      <c r="O209" s="11">
        <v>0</v>
      </c>
      <c r="P209" s="11">
        <v>0</v>
      </c>
      <c r="Q209" s="11">
        <v>0</v>
      </c>
      <c r="R209" s="11">
        <v>0</v>
      </c>
      <c r="S209" s="14">
        <v>0</v>
      </c>
      <c r="T209" s="11">
        <v>275.58</v>
      </c>
      <c r="U209" s="13" cm="1">
        <f t="array" ref="U209">IF(Table8[[#This Row],[I_0]]&lt;Table24[Flitro de Ruido],1,Table8[[#This Row],[I_10]]/Table8[[#This Row],[I_0]])</f>
        <v>1</v>
      </c>
      <c r="V209" s="13" cm="1">
        <f t="array" ref="V209">IF(Table8[[#This Row],[I_0]]&lt;Table24[Flitro de Ruido],1,Table8[[#This Row],[I_20]]/Table8[[#This Row],[I_0]])</f>
        <v>1</v>
      </c>
      <c r="W209" s="13" cm="1">
        <f t="array" ref="W209">IF(Table8[[#This Row],[I_0]]&lt;Table24[Flitro de Ruido],1,Table8[[#This Row],[I_30]]/Table8[[#This Row],[I_0]])</f>
        <v>1</v>
      </c>
      <c r="X209" s="13" cm="1">
        <f t="array" ref="X209">IF(Table8[[#This Row],[I_0]]&lt;Table24[Flitro de Ruido],1,Table8[[#This Row],[I_40]]/Table8[[#This Row],[I_0]])</f>
        <v>1</v>
      </c>
      <c r="Y209" s="13" cm="1">
        <f t="array" ref="Y209">IF(Table8[[#This Row],[I_0]]&lt;Table24[Flitro de Ruido],1,Table8[[#This Row],[I_50]]/Table8[[#This Row],[I_0]])</f>
        <v>1</v>
      </c>
    </row>
    <row r="210" spans="1:25" x14ac:dyDescent="0.3">
      <c r="A210" s="13">
        <v>276.57</v>
      </c>
      <c r="B210" s="12">
        <v>0</v>
      </c>
      <c r="C210" s="11">
        <v>276.57</v>
      </c>
      <c r="D210" s="12">
        <v>0</v>
      </c>
      <c r="E210" s="11">
        <v>276.57</v>
      </c>
      <c r="F210" s="12">
        <v>0</v>
      </c>
      <c r="G210" s="11">
        <v>276.57</v>
      </c>
      <c r="H210" s="12">
        <v>0</v>
      </c>
      <c r="I210" s="11">
        <v>276.57</v>
      </c>
      <c r="J210" s="12">
        <v>0</v>
      </c>
      <c r="K210" s="11">
        <v>276.57</v>
      </c>
      <c r="L210" s="12">
        <v>0</v>
      </c>
      <c r="M210" s="11">
        <v>276.57</v>
      </c>
      <c r="N210" s="13">
        <v>0</v>
      </c>
      <c r="O210" s="11">
        <v>0</v>
      </c>
      <c r="P210" s="11">
        <v>0</v>
      </c>
      <c r="Q210" s="11">
        <v>0</v>
      </c>
      <c r="R210" s="11">
        <v>0</v>
      </c>
      <c r="S210" s="14">
        <v>0</v>
      </c>
      <c r="T210" s="11">
        <v>276.57</v>
      </c>
      <c r="U210" s="13" cm="1">
        <f t="array" ref="U210">IF(Table8[[#This Row],[I_0]]&lt;Table24[Flitro de Ruido],1,Table8[[#This Row],[I_10]]/Table8[[#This Row],[I_0]])</f>
        <v>1</v>
      </c>
      <c r="V210" s="13" cm="1">
        <f t="array" ref="V210">IF(Table8[[#This Row],[I_0]]&lt;Table24[Flitro de Ruido],1,Table8[[#This Row],[I_20]]/Table8[[#This Row],[I_0]])</f>
        <v>1</v>
      </c>
      <c r="W210" s="13" cm="1">
        <f t="array" ref="W210">IF(Table8[[#This Row],[I_0]]&lt;Table24[Flitro de Ruido],1,Table8[[#This Row],[I_30]]/Table8[[#This Row],[I_0]])</f>
        <v>1</v>
      </c>
      <c r="X210" s="13" cm="1">
        <f t="array" ref="X210">IF(Table8[[#This Row],[I_0]]&lt;Table24[Flitro de Ruido],1,Table8[[#This Row],[I_40]]/Table8[[#This Row],[I_0]])</f>
        <v>1</v>
      </c>
      <c r="Y210" s="13" cm="1">
        <f t="array" ref="Y210">IF(Table8[[#This Row],[I_0]]&lt;Table24[Flitro de Ruido],1,Table8[[#This Row],[I_50]]/Table8[[#This Row],[I_0]])</f>
        <v>1</v>
      </c>
    </row>
    <row r="211" spans="1:25" x14ac:dyDescent="0.3">
      <c r="A211" s="13">
        <v>277.56</v>
      </c>
      <c r="B211" s="12">
        <v>0</v>
      </c>
      <c r="C211" s="11">
        <v>277.56</v>
      </c>
      <c r="D211" s="12">
        <v>0</v>
      </c>
      <c r="E211" s="11">
        <v>277.56</v>
      </c>
      <c r="F211" s="12">
        <v>0</v>
      </c>
      <c r="G211" s="11">
        <v>277.56</v>
      </c>
      <c r="H211" s="12">
        <v>0</v>
      </c>
      <c r="I211" s="11">
        <v>277.56</v>
      </c>
      <c r="J211" s="12">
        <v>0</v>
      </c>
      <c r="K211" s="11">
        <v>277.56</v>
      </c>
      <c r="L211" s="12">
        <v>0</v>
      </c>
      <c r="M211" s="11">
        <v>277.56</v>
      </c>
      <c r="N211" s="13">
        <v>0</v>
      </c>
      <c r="O211" s="11">
        <v>0</v>
      </c>
      <c r="P211" s="11">
        <v>0</v>
      </c>
      <c r="Q211" s="11">
        <v>0</v>
      </c>
      <c r="R211" s="11">
        <v>0</v>
      </c>
      <c r="S211" s="14">
        <v>0</v>
      </c>
      <c r="T211" s="11">
        <v>277.56</v>
      </c>
      <c r="U211" s="13" cm="1">
        <f t="array" ref="U211">IF(Table8[[#This Row],[I_0]]&lt;Table24[Flitro de Ruido],1,Table8[[#This Row],[I_10]]/Table8[[#This Row],[I_0]])</f>
        <v>1</v>
      </c>
      <c r="V211" s="13" cm="1">
        <f t="array" ref="V211">IF(Table8[[#This Row],[I_0]]&lt;Table24[Flitro de Ruido],1,Table8[[#This Row],[I_20]]/Table8[[#This Row],[I_0]])</f>
        <v>1</v>
      </c>
      <c r="W211" s="13" cm="1">
        <f t="array" ref="W211">IF(Table8[[#This Row],[I_0]]&lt;Table24[Flitro de Ruido],1,Table8[[#This Row],[I_30]]/Table8[[#This Row],[I_0]])</f>
        <v>1</v>
      </c>
      <c r="X211" s="13" cm="1">
        <f t="array" ref="X211">IF(Table8[[#This Row],[I_0]]&lt;Table24[Flitro de Ruido],1,Table8[[#This Row],[I_40]]/Table8[[#This Row],[I_0]])</f>
        <v>1</v>
      </c>
      <c r="Y211" s="13" cm="1">
        <f t="array" ref="Y211">IF(Table8[[#This Row],[I_0]]&lt;Table24[Flitro de Ruido],1,Table8[[#This Row],[I_50]]/Table8[[#This Row],[I_0]])</f>
        <v>1</v>
      </c>
    </row>
    <row r="212" spans="1:25" x14ac:dyDescent="0.3">
      <c r="A212" s="13">
        <v>278.55</v>
      </c>
      <c r="B212" s="12">
        <v>0</v>
      </c>
      <c r="C212" s="11">
        <v>278.55</v>
      </c>
      <c r="D212" s="12">
        <v>0</v>
      </c>
      <c r="E212" s="11">
        <v>278.55</v>
      </c>
      <c r="F212" s="12">
        <v>0</v>
      </c>
      <c r="G212" s="11">
        <v>278.55</v>
      </c>
      <c r="H212" s="12">
        <v>0</v>
      </c>
      <c r="I212" s="11">
        <v>278.55</v>
      </c>
      <c r="J212" s="12">
        <v>0</v>
      </c>
      <c r="K212" s="11">
        <v>278.55</v>
      </c>
      <c r="L212" s="12">
        <v>0</v>
      </c>
      <c r="M212" s="11">
        <v>278.55</v>
      </c>
      <c r="N212" s="13">
        <v>0</v>
      </c>
      <c r="O212" s="11">
        <v>0</v>
      </c>
      <c r="P212" s="11">
        <v>0</v>
      </c>
      <c r="Q212" s="11">
        <v>0</v>
      </c>
      <c r="R212" s="11">
        <v>0</v>
      </c>
      <c r="S212" s="14">
        <v>0</v>
      </c>
      <c r="T212" s="11">
        <v>278.55</v>
      </c>
      <c r="U212" s="13" cm="1">
        <f t="array" ref="U212">IF(Table8[[#This Row],[I_0]]&lt;Table24[Flitro de Ruido],1,Table8[[#This Row],[I_10]]/Table8[[#This Row],[I_0]])</f>
        <v>1</v>
      </c>
      <c r="V212" s="13" cm="1">
        <f t="array" ref="V212">IF(Table8[[#This Row],[I_0]]&lt;Table24[Flitro de Ruido],1,Table8[[#This Row],[I_20]]/Table8[[#This Row],[I_0]])</f>
        <v>1</v>
      </c>
      <c r="W212" s="13" cm="1">
        <f t="array" ref="W212">IF(Table8[[#This Row],[I_0]]&lt;Table24[Flitro de Ruido],1,Table8[[#This Row],[I_30]]/Table8[[#This Row],[I_0]])</f>
        <v>1</v>
      </c>
      <c r="X212" s="13" cm="1">
        <f t="array" ref="X212">IF(Table8[[#This Row],[I_0]]&lt;Table24[Flitro de Ruido],1,Table8[[#This Row],[I_40]]/Table8[[#This Row],[I_0]])</f>
        <v>1</v>
      </c>
      <c r="Y212" s="13" cm="1">
        <f t="array" ref="Y212">IF(Table8[[#This Row],[I_0]]&lt;Table24[Flitro de Ruido],1,Table8[[#This Row],[I_50]]/Table8[[#This Row],[I_0]])</f>
        <v>1</v>
      </c>
    </row>
    <row r="213" spans="1:25" x14ac:dyDescent="0.3">
      <c r="A213" s="13">
        <v>279.54000000000002</v>
      </c>
      <c r="B213" s="12">
        <v>0</v>
      </c>
      <c r="C213" s="11">
        <v>279.54000000000002</v>
      </c>
      <c r="D213" s="12">
        <v>0</v>
      </c>
      <c r="E213" s="11">
        <v>279.54000000000002</v>
      </c>
      <c r="F213" s="12">
        <v>0</v>
      </c>
      <c r="G213" s="11">
        <v>279.54000000000002</v>
      </c>
      <c r="H213" s="12">
        <v>0</v>
      </c>
      <c r="I213" s="11">
        <v>279.54000000000002</v>
      </c>
      <c r="J213" s="12">
        <v>0</v>
      </c>
      <c r="K213" s="11">
        <v>279.54000000000002</v>
      </c>
      <c r="L213" s="12">
        <v>0</v>
      </c>
      <c r="M213" s="11">
        <v>279.54000000000002</v>
      </c>
      <c r="N213" s="13">
        <v>0</v>
      </c>
      <c r="O213" s="11">
        <v>0</v>
      </c>
      <c r="P213" s="11">
        <v>0</v>
      </c>
      <c r="Q213" s="11">
        <v>0</v>
      </c>
      <c r="R213" s="11">
        <v>0</v>
      </c>
      <c r="S213" s="14">
        <v>0</v>
      </c>
      <c r="T213" s="11">
        <v>279.54000000000002</v>
      </c>
      <c r="U213" s="13" cm="1">
        <f t="array" ref="U213">IF(Table8[[#This Row],[I_0]]&lt;Table24[Flitro de Ruido],1,Table8[[#This Row],[I_10]]/Table8[[#This Row],[I_0]])</f>
        <v>1</v>
      </c>
      <c r="V213" s="13" cm="1">
        <f t="array" ref="V213">IF(Table8[[#This Row],[I_0]]&lt;Table24[Flitro de Ruido],1,Table8[[#This Row],[I_20]]/Table8[[#This Row],[I_0]])</f>
        <v>1</v>
      </c>
      <c r="W213" s="13" cm="1">
        <f t="array" ref="W213">IF(Table8[[#This Row],[I_0]]&lt;Table24[Flitro de Ruido],1,Table8[[#This Row],[I_30]]/Table8[[#This Row],[I_0]])</f>
        <v>1</v>
      </c>
      <c r="X213" s="13" cm="1">
        <f t="array" ref="X213">IF(Table8[[#This Row],[I_0]]&lt;Table24[Flitro de Ruido],1,Table8[[#This Row],[I_40]]/Table8[[#This Row],[I_0]])</f>
        <v>1</v>
      </c>
      <c r="Y213" s="13" cm="1">
        <f t="array" ref="Y213">IF(Table8[[#This Row],[I_0]]&lt;Table24[Flitro de Ruido],1,Table8[[#This Row],[I_50]]/Table8[[#This Row],[I_0]])</f>
        <v>1</v>
      </c>
    </row>
    <row r="214" spans="1:25" x14ac:dyDescent="0.3">
      <c r="A214" s="13">
        <v>280.54000000000002</v>
      </c>
      <c r="B214" s="12">
        <v>0</v>
      </c>
      <c r="C214" s="11">
        <v>280.54000000000002</v>
      </c>
      <c r="D214" s="12">
        <v>0</v>
      </c>
      <c r="E214" s="11">
        <v>280.54000000000002</v>
      </c>
      <c r="F214" s="12">
        <v>0</v>
      </c>
      <c r="G214" s="11">
        <v>280.54000000000002</v>
      </c>
      <c r="H214" s="12">
        <v>0</v>
      </c>
      <c r="I214" s="11">
        <v>280.54000000000002</v>
      </c>
      <c r="J214" s="12">
        <v>0</v>
      </c>
      <c r="K214" s="11">
        <v>280.54000000000002</v>
      </c>
      <c r="L214" s="12">
        <v>0</v>
      </c>
      <c r="M214" s="11">
        <v>280.54000000000002</v>
      </c>
      <c r="N214" s="13">
        <v>0</v>
      </c>
      <c r="O214" s="11">
        <v>0</v>
      </c>
      <c r="P214" s="11">
        <v>0</v>
      </c>
      <c r="Q214" s="11">
        <v>0</v>
      </c>
      <c r="R214" s="11">
        <v>0</v>
      </c>
      <c r="S214" s="14">
        <v>0</v>
      </c>
      <c r="T214" s="11">
        <v>280.54000000000002</v>
      </c>
      <c r="U214" s="13" cm="1">
        <f t="array" ref="U214">IF(Table8[[#This Row],[I_0]]&lt;Table24[Flitro de Ruido],1,Table8[[#This Row],[I_10]]/Table8[[#This Row],[I_0]])</f>
        <v>1</v>
      </c>
      <c r="V214" s="13" cm="1">
        <f t="array" ref="V214">IF(Table8[[#This Row],[I_0]]&lt;Table24[Flitro de Ruido],1,Table8[[#This Row],[I_20]]/Table8[[#This Row],[I_0]])</f>
        <v>1</v>
      </c>
      <c r="W214" s="13" cm="1">
        <f t="array" ref="W214">IF(Table8[[#This Row],[I_0]]&lt;Table24[Flitro de Ruido],1,Table8[[#This Row],[I_30]]/Table8[[#This Row],[I_0]])</f>
        <v>1</v>
      </c>
      <c r="X214" s="13" cm="1">
        <f t="array" ref="X214">IF(Table8[[#This Row],[I_0]]&lt;Table24[Flitro de Ruido],1,Table8[[#This Row],[I_40]]/Table8[[#This Row],[I_0]])</f>
        <v>1</v>
      </c>
      <c r="Y214" s="13" cm="1">
        <f t="array" ref="Y214">IF(Table8[[#This Row],[I_0]]&lt;Table24[Flitro de Ruido],1,Table8[[#This Row],[I_50]]/Table8[[#This Row],[I_0]])</f>
        <v>1</v>
      </c>
    </row>
    <row r="215" spans="1:25" x14ac:dyDescent="0.3">
      <c r="A215" s="13">
        <v>281.52999999999997</v>
      </c>
      <c r="B215" s="12">
        <v>0</v>
      </c>
      <c r="C215" s="11">
        <v>281.52999999999997</v>
      </c>
      <c r="D215" s="12">
        <v>0</v>
      </c>
      <c r="E215" s="11">
        <v>281.52999999999997</v>
      </c>
      <c r="F215" s="12">
        <v>0</v>
      </c>
      <c r="G215" s="11">
        <v>281.52999999999997</v>
      </c>
      <c r="H215" s="12">
        <v>0</v>
      </c>
      <c r="I215" s="11">
        <v>281.52999999999997</v>
      </c>
      <c r="J215" s="12">
        <v>0</v>
      </c>
      <c r="K215" s="11">
        <v>281.52999999999997</v>
      </c>
      <c r="L215" s="12">
        <v>0</v>
      </c>
      <c r="M215" s="11">
        <v>281.52999999999997</v>
      </c>
      <c r="N215" s="13">
        <v>0</v>
      </c>
      <c r="O215" s="11">
        <v>0</v>
      </c>
      <c r="P215" s="11">
        <v>0</v>
      </c>
      <c r="Q215" s="11">
        <v>0</v>
      </c>
      <c r="R215" s="11">
        <v>0</v>
      </c>
      <c r="S215" s="14">
        <v>0</v>
      </c>
      <c r="T215" s="11">
        <v>281.52999999999997</v>
      </c>
      <c r="U215" s="13" cm="1">
        <f t="array" ref="U215">IF(Table8[[#This Row],[I_0]]&lt;Table24[Flitro de Ruido],1,Table8[[#This Row],[I_10]]/Table8[[#This Row],[I_0]])</f>
        <v>1</v>
      </c>
      <c r="V215" s="13" cm="1">
        <f t="array" ref="V215">IF(Table8[[#This Row],[I_0]]&lt;Table24[Flitro de Ruido],1,Table8[[#This Row],[I_20]]/Table8[[#This Row],[I_0]])</f>
        <v>1</v>
      </c>
      <c r="W215" s="13" cm="1">
        <f t="array" ref="W215">IF(Table8[[#This Row],[I_0]]&lt;Table24[Flitro de Ruido],1,Table8[[#This Row],[I_30]]/Table8[[#This Row],[I_0]])</f>
        <v>1</v>
      </c>
      <c r="X215" s="13" cm="1">
        <f t="array" ref="X215">IF(Table8[[#This Row],[I_0]]&lt;Table24[Flitro de Ruido],1,Table8[[#This Row],[I_40]]/Table8[[#This Row],[I_0]])</f>
        <v>1</v>
      </c>
      <c r="Y215" s="13" cm="1">
        <f t="array" ref="Y215">IF(Table8[[#This Row],[I_0]]&lt;Table24[Flitro de Ruido],1,Table8[[#This Row],[I_50]]/Table8[[#This Row],[I_0]])</f>
        <v>1</v>
      </c>
    </row>
    <row r="216" spans="1:25" x14ac:dyDescent="0.3">
      <c r="A216" s="13">
        <v>282.52</v>
      </c>
      <c r="B216" s="12">
        <v>0</v>
      </c>
      <c r="C216" s="11">
        <v>282.52</v>
      </c>
      <c r="D216" s="12">
        <v>0</v>
      </c>
      <c r="E216" s="11">
        <v>282.52</v>
      </c>
      <c r="F216" s="12">
        <v>0</v>
      </c>
      <c r="G216" s="11">
        <v>282.52</v>
      </c>
      <c r="H216" s="12">
        <v>0</v>
      </c>
      <c r="I216" s="11">
        <v>282.52</v>
      </c>
      <c r="J216" s="12">
        <v>0</v>
      </c>
      <c r="K216" s="11">
        <v>282.52</v>
      </c>
      <c r="L216" s="12">
        <v>0</v>
      </c>
      <c r="M216" s="11">
        <v>282.52</v>
      </c>
      <c r="N216" s="13">
        <v>0</v>
      </c>
      <c r="O216" s="11">
        <v>0</v>
      </c>
      <c r="P216" s="11">
        <v>0</v>
      </c>
      <c r="Q216" s="11">
        <v>0</v>
      </c>
      <c r="R216" s="11">
        <v>0</v>
      </c>
      <c r="S216" s="14">
        <v>0</v>
      </c>
      <c r="T216" s="11">
        <v>282.52</v>
      </c>
      <c r="U216" s="13" cm="1">
        <f t="array" ref="U216">IF(Table8[[#This Row],[I_0]]&lt;Table24[Flitro de Ruido],1,Table8[[#This Row],[I_10]]/Table8[[#This Row],[I_0]])</f>
        <v>1</v>
      </c>
      <c r="V216" s="13" cm="1">
        <f t="array" ref="V216">IF(Table8[[#This Row],[I_0]]&lt;Table24[Flitro de Ruido],1,Table8[[#This Row],[I_20]]/Table8[[#This Row],[I_0]])</f>
        <v>1</v>
      </c>
      <c r="W216" s="13" cm="1">
        <f t="array" ref="W216">IF(Table8[[#This Row],[I_0]]&lt;Table24[Flitro de Ruido],1,Table8[[#This Row],[I_30]]/Table8[[#This Row],[I_0]])</f>
        <v>1</v>
      </c>
      <c r="X216" s="13" cm="1">
        <f t="array" ref="X216">IF(Table8[[#This Row],[I_0]]&lt;Table24[Flitro de Ruido],1,Table8[[#This Row],[I_40]]/Table8[[#This Row],[I_0]])</f>
        <v>1</v>
      </c>
      <c r="Y216" s="13" cm="1">
        <f t="array" ref="Y216">IF(Table8[[#This Row],[I_0]]&lt;Table24[Flitro de Ruido],1,Table8[[#This Row],[I_50]]/Table8[[#This Row],[I_0]])</f>
        <v>1</v>
      </c>
    </row>
    <row r="217" spans="1:25" x14ac:dyDescent="0.3">
      <c r="A217" s="13">
        <v>283.51</v>
      </c>
      <c r="B217" s="12">
        <v>0</v>
      </c>
      <c r="C217" s="11">
        <v>283.51</v>
      </c>
      <c r="D217" s="12">
        <v>0</v>
      </c>
      <c r="E217" s="11">
        <v>283.51</v>
      </c>
      <c r="F217" s="12">
        <v>0</v>
      </c>
      <c r="G217" s="11">
        <v>283.51</v>
      </c>
      <c r="H217" s="12">
        <v>0</v>
      </c>
      <c r="I217" s="11">
        <v>283.51</v>
      </c>
      <c r="J217" s="12">
        <v>0</v>
      </c>
      <c r="K217" s="11">
        <v>283.51</v>
      </c>
      <c r="L217" s="12">
        <v>0</v>
      </c>
      <c r="M217" s="11">
        <v>283.51</v>
      </c>
      <c r="N217" s="13">
        <v>0</v>
      </c>
      <c r="O217" s="11">
        <v>0</v>
      </c>
      <c r="P217" s="11">
        <v>0</v>
      </c>
      <c r="Q217" s="11">
        <v>0</v>
      </c>
      <c r="R217" s="11">
        <v>0</v>
      </c>
      <c r="S217" s="14">
        <v>0</v>
      </c>
      <c r="T217" s="11">
        <v>283.51</v>
      </c>
      <c r="U217" s="13" cm="1">
        <f t="array" ref="U217">IF(Table8[[#This Row],[I_0]]&lt;Table24[Flitro de Ruido],1,Table8[[#This Row],[I_10]]/Table8[[#This Row],[I_0]])</f>
        <v>1</v>
      </c>
      <c r="V217" s="13" cm="1">
        <f t="array" ref="V217">IF(Table8[[#This Row],[I_0]]&lt;Table24[Flitro de Ruido],1,Table8[[#This Row],[I_20]]/Table8[[#This Row],[I_0]])</f>
        <v>1</v>
      </c>
      <c r="W217" s="13" cm="1">
        <f t="array" ref="W217">IF(Table8[[#This Row],[I_0]]&lt;Table24[Flitro de Ruido],1,Table8[[#This Row],[I_30]]/Table8[[#This Row],[I_0]])</f>
        <v>1</v>
      </c>
      <c r="X217" s="13" cm="1">
        <f t="array" ref="X217">IF(Table8[[#This Row],[I_0]]&lt;Table24[Flitro de Ruido],1,Table8[[#This Row],[I_40]]/Table8[[#This Row],[I_0]])</f>
        <v>1</v>
      </c>
      <c r="Y217" s="13" cm="1">
        <f t="array" ref="Y217">IF(Table8[[#This Row],[I_0]]&lt;Table24[Flitro de Ruido],1,Table8[[#This Row],[I_50]]/Table8[[#This Row],[I_0]])</f>
        <v>1</v>
      </c>
    </row>
    <row r="218" spans="1:25" x14ac:dyDescent="0.3">
      <c r="A218" s="13">
        <v>284.5</v>
      </c>
      <c r="B218" s="12">
        <v>0</v>
      </c>
      <c r="C218" s="11">
        <v>284.5</v>
      </c>
      <c r="D218" s="12">
        <v>0</v>
      </c>
      <c r="E218" s="11">
        <v>284.5</v>
      </c>
      <c r="F218" s="12">
        <v>0</v>
      </c>
      <c r="G218" s="11">
        <v>284.5</v>
      </c>
      <c r="H218" s="12">
        <v>0</v>
      </c>
      <c r="I218" s="11">
        <v>284.5</v>
      </c>
      <c r="J218" s="12">
        <v>0</v>
      </c>
      <c r="K218" s="11">
        <v>284.5</v>
      </c>
      <c r="L218" s="12">
        <v>0</v>
      </c>
      <c r="M218" s="11">
        <v>284.5</v>
      </c>
      <c r="N218" s="13">
        <v>0</v>
      </c>
      <c r="O218" s="11">
        <v>0</v>
      </c>
      <c r="P218" s="11">
        <v>0</v>
      </c>
      <c r="Q218" s="11">
        <v>0</v>
      </c>
      <c r="R218" s="11">
        <v>0</v>
      </c>
      <c r="S218" s="14">
        <v>0</v>
      </c>
      <c r="T218" s="11">
        <v>284.5</v>
      </c>
      <c r="U218" s="13" cm="1">
        <f t="array" ref="U218">IF(Table8[[#This Row],[I_0]]&lt;Table24[Flitro de Ruido],1,Table8[[#This Row],[I_10]]/Table8[[#This Row],[I_0]])</f>
        <v>1</v>
      </c>
      <c r="V218" s="13" cm="1">
        <f t="array" ref="V218">IF(Table8[[#This Row],[I_0]]&lt;Table24[Flitro de Ruido],1,Table8[[#This Row],[I_20]]/Table8[[#This Row],[I_0]])</f>
        <v>1</v>
      </c>
      <c r="W218" s="13" cm="1">
        <f t="array" ref="W218">IF(Table8[[#This Row],[I_0]]&lt;Table24[Flitro de Ruido],1,Table8[[#This Row],[I_30]]/Table8[[#This Row],[I_0]])</f>
        <v>1</v>
      </c>
      <c r="X218" s="13" cm="1">
        <f t="array" ref="X218">IF(Table8[[#This Row],[I_0]]&lt;Table24[Flitro de Ruido],1,Table8[[#This Row],[I_40]]/Table8[[#This Row],[I_0]])</f>
        <v>1</v>
      </c>
      <c r="Y218" s="13" cm="1">
        <f t="array" ref="Y218">IF(Table8[[#This Row],[I_0]]&lt;Table24[Flitro de Ruido],1,Table8[[#This Row],[I_50]]/Table8[[#This Row],[I_0]])</f>
        <v>1</v>
      </c>
    </row>
    <row r="219" spans="1:25" x14ac:dyDescent="0.3">
      <c r="A219" s="13">
        <v>285.49</v>
      </c>
      <c r="B219" s="12">
        <v>0</v>
      </c>
      <c r="C219" s="11">
        <v>285.49</v>
      </c>
      <c r="D219" s="12">
        <v>0</v>
      </c>
      <c r="E219" s="11">
        <v>285.49</v>
      </c>
      <c r="F219" s="12">
        <v>0</v>
      </c>
      <c r="G219" s="11">
        <v>285.49</v>
      </c>
      <c r="H219" s="12">
        <v>0</v>
      </c>
      <c r="I219" s="11">
        <v>285.49</v>
      </c>
      <c r="J219" s="12">
        <v>0</v>
      </c>
      <c r="K219" s="11">
        <v>285.49</v>
      </c>
      <c r="L219" s="12">
        <v>0</v>
      </c>
      <c r="M219" s="11">
        <v>285.49</v>
      </c>
      <c r="N219" s="13">
        <v>0</v>
      </c>
      <c r="O219" s="11">
        <v>0</v>
      </c>
      <c r="P219" s="11">
        <v>0</v>
      </c>
      <c r="Q219" s="11">
        <v>0</v>
      </c>
      <c r="R219" s="11">
        <v>0</v>
      </c>
      <c r="S219" s="14">
        <v>0</v>
      </c>
      <c r="T219" s="11">
        <v>285.49</v>
      </c>
      <c r="U219" s="13" cm="1">
        <f t="array" ref="U219">IF(Table8[[#This Row],[I_0]]&lt;Table24[Flitro de Ruido],1,Table8[[#This Row],[I_10]]/Table8[[#This Row],[I_0]])</f>
        <v>1</v>
      </c>
      <c r="V219" s="13" cm="1">
        <f t="array" ref="V219">IF(Table8[[#This Row],[I_0]]&lt;Table24[Flitro de Ruido],1,Table8[[#This Row],[I_20]]/Table8[[#This Row],[I_0]])</f>
        <v>1</v>
      </c>
      <c r="W219" s="13" cm="1">
        <f t="array" ref="W219">IF(Table8[[#This Row],[I_0]]&lt;Table24[Flitro de Ruido],1,Table8[[#This Row],[I_30]]/Table8[[#This Row],[I_0]])</f>
        <v>1</v>
      </c>
      <c r="X219" s="13" cm="1">
        <f t="array" ref="X219">IF(Table8[[#This Row],[I_0]]&lt;Table24[Flitro de Ruido],1,Table8[[#This Row],[I_40]]/Table8[[#This Row],[I_0]])</f>
        <v>1</v>
      </c>
      <c r="Y219" s="13" cm="1">
        <f t="array" ref="Y219">IF(Table8[[#This Row],[I_0]]&lt;Table24[Flitro de Ruido],1,Table8[[#This Row],[I_50]]/Table8[[#This Row],[I_0]])</f>
        <v>1</v>
      </c>
    </row>
    <row r="220" spans="1:25" x14ac:dyDescent="0.3">
      <c r="A220" s="13">
        <v>286.49</v>
      </c>
      <c r="B220" s="12">
        <v>0</v>
      </c>
      <c r="C220" s="11">
        <v>286.49</v>
      </c>
      <c r="D220" s="12">
        <v>0</v>
      </c>
      <c r="E220" s="11">
        <v>286.49</v>
      </c>
      <c r="F220" s="12">
        <v>0</v>
      </c>
      <c r="G220" s="11">
        <v>286.49</v>
      </c>
      <c r="H220" s="12">
        <v>0</v>
      </c>
      <c r="I220" s="11">
        <v>286.49</v>
      </c>
      <c r="J220" s="12">
        <v>0</v>
      </c>
      <c r="K220" s="11">
        <v>286.49</v>
      </c>
      <c r="L220" s="12">
        <v>0</v>
      </c>
      <c r="M220" s="11">
        <v>286.49</v>
      </c>
      <c r="N220" s="13">
        <v>0</v>
      </c>
      <c r="O220" s="11">
        <v>0</v>
      </c>
      <c r="P220" s="11">
        <v>0</v>
      </c>
      <c r="Q220" s="11">
        <v>0</v>
      </c>
      <c r="R220" s="11">
        <v>0</v>
      </c>
      <c r="S220" s="14">
        <v>0</v>
      </c>
      <c r="T220" s="11">
        <v>286.49</v>
      </c>
      <c r="U220" s="13" cm="1">
        <f t="array" ref="U220">IF(Table8[[#This Row],[I_0]]&lt;Table24[Flitro de Ruido],1,Table8[[#This Row],[I_10]]/Table8[[#This Row],[I_0]])</f>
        <v>1</v>
      </c>
      <c r="V220" s="13" cm="1">
        <f t="array" ref="V220">IF(Table8[[#This Row],[I_0]]&lt;Table24[Flitro de Ruido],1,Table8[[#This Row],[I_20]]/Table8[[#This Row],[I_0]])</f>
        <v>1</v>
      </c>
      <c r="W220" s="13" cm="1">
        <f t="array" ref="W220">IF(Table8[[#This Row],[I_0]]&lt;Table24[Flitro de Ruido],1,Table8[[#This Row],[I_30]]/Table8[[#This Row],[I_0]])</f>
        <v>1</v>
      </c>
      <c r="X220" s="13" cm="1">
        <f t="array" ref="X220">IF(Table8[[#This Row],[I_0]]&lt;Table24[Flitro de Ruido],1,Table8[[#This Row],[I_40]]/Table8[[#This Row],[I_0]])</f>
        <v>1</v>
      </c>
      <c r="Y220" s="13" cm="1">
        <f t="array" ref="Y220">IF(Table8[[#This Row],[I_0]]&lt;Table24[Flitro de Ruido],1,Table8[[#This Row],[I_50]]/Table8[[#This Row],[I_0]])</f>
        <v>1</v>
      </c>
    </row>
    <row r="221" spans="1:25" x14ac:dyDescent="0.3">
      <c r="A221" s="13">
        <v>287.48</v>
      </c>
      <c r="B221" s="12">
        <v>0</v>
      </c>
      <c r="C221" s="11">
        <v>287.48</v>
      </c>
      <c r="D221" s="12">
        <v>0</v>
      </c>
      <c r="E221" s="11">
        <v>287.48</v>
      </c>
      <c r="F221" s="12">
        <v>0</v>
      </c>
      <c r="G221" s="11">
        <v>287.48</v>
      </c>
      <c r="H221" s="12">
        <v>0</v>
      </c>
      <c r="I221" s="11">
        <v>287.48</v>
      </c>
      <c r="J221" s="12">
        <v>0</v>
      </c>
      <c r="K221" s="11">
        <v>287.48</v>
      </c>
      <c r="L221" s="12">
        <v>0</v>
      </c>
      <c r="M221" s="11">
        <v>287.48</v>
      </c>
      <c r="N221" s="13">
        <v>0</v>
      </c>
      <c r="O221" s="11">
        <v>0</v>
      </c>
      <c r="P221" s="11">
        <v>0</v>
      </c>
      <c r="Q221" s="11">
        <v>0</v>
      </c>
      <c r="R221" s="11">
        <v>0</v>
      </c>
      <c r="S221" s="14">
        <v>0</v>
      </c>
      <c r="T221" s="11">
        <v>287.48</v>
      </c>
      <c r="U221" s="13" cm="1">
        <f t="array" ref="U221">IF(Table8[[#This Row],[I_0]]&lt;Table24[Flitro de Ruido],1,Table8[[#This Row],[I_10]]/Table8[[#This Row],[I_0]])</f>
        <v>1</v>
      </c>
      <c r="V221" s="13" cm="1">
        <f t="array" ref="V221">IF(Table8[[#This Row],[I_0]]&lt;Table24[Flitro de Ruido],1,Table8[[#This Row],[I_20]]/Table8[[#This Row],[I_0]])</f>
        <v>1</v>
      </c>
      <c r="W221" s="13" cm="1">
        <f t="array" ref="W221">IF(Table8[[#This Row],[I_0]]&lt;Table24[Flitro de Ruido],1,Table8[[#This Row],[I_30]]/Table8[[#This Row],[I_0]])</f>
        <v>1</v>
      </c>
      <c r="X221" s="13" cm="1">
        <f t="array" ref="X221">IF(Table8[[#This Row],[I_0]]&lt;Table24[Flitro de Ruido],1,Table8[[#This Row],[I_40]]/Table8[[#This Row],[I_0]])</f>
        <v>1</v>
      </c>
      <c r="Y221" s="13" cm="1">
        <f t="array" ref="Y221">IF(Table8[[#This Row],[I_0]]&lt;Table24[Flitro de Ruido],1,Table8[[#This Row],[I_50]]/Table8[[#This Row],[I_0]])</f>
        <v>1</v>
      </c>
    </row>
    <row r="222" spans="1:25" x14ac:dyDescent="0.3">
      <c r="A222" s="13">
        <v>288.47000000000003</v>
      </c>
      <c r="B222" s="12">
        <v>0</v>
      </c>
      <c r="C222" s="11">
        <v>288.47000000000003</v>
      </c>
      <c r="D222" s="12">
        <v>0</v>
      </c>
      <c r="E222" s="11">
        <v>288.47000000000003</v>
      </c>
      <c r="F222" s="12">
        <v>0</v>
      </c>
      <c r="G222" s="11">
        <v>288.47000000000003</v>
      </c>
      <c r="H222" s="12">
        <v>0</v>
      </c>
      <c r="I222" s="11">
        <v>288.47000000000003</v>
      </c>
      <c r="J222" s="12">
        <v>0</v>
      </c>
      <c r="K222" s="11">
        <v>288.47000000000003</v>
      </c>
      <c r="L222" s="12">
        <v>0</v>
      </c>
      <c r="M222" s="11">
        <v>288.47000000000003</v>
      </c>
      <c r="N222" s="13">
        <v>0</v>
      </c>
      <c r="O222" s="11">
        <v>0</v>
      </c>
      <c r="P222" s="11">
        <v>0</v>
      </c>
      <c r="Q222" s="11">
        <v>0</v>
      </c>
      <c r="R222" s="11">
        <v>0</v>
      </c>
      <c r="S222" s="14">
        <v>0</v>
      </c>
      <c r="T222" s="11">
        <v>288.47000000000003</v>
      </c>
      <c r="U222" s="13" cm="1">
        <f t="array" ref="U222">IF(Table8[[#This Row],[I_0]]&lt;Table24[Flitro de Ruido],1,Table8[[#This Row],[I_10]]/Table8[[#This Row],[I_0]])</f>
        <v>1</v>
      </c>
      <c r="V222" s="13" cm="1">
        <f t="array" ref="V222">IF(Table8[[#This Row],[I_0]]&lt;Table24[Flitro de Ruido],1,Table8[[#This Row],[I_20]]/Table8[[#This Row],[I_0]])</f>
        <v>1</v>
      </c>
      <c r="W222" s="13" cm="1">
        <f t="array" ref="W222">IF(Table8[[#This Row],[I_0]]&lt;Table24[Flitro de Ruido],1,Table8[[#This Row],[I_30]]/Table8[[#This Row],[I_0]])</f>
        <v>1</v>
      </c>
      <c r="X222" s="13" cm="1">
        <f t="array" ref="X222">IF(Table8[[#This Row],[I_0]]&lt;Table24[Flitro de Ruido],1,Table8[[#This Row],[I_40]]/Table8[[#This Row],[I_0]])</f>
        <v>1</v>
      </c>
      <c r="Y222" s="13" cm="1">
        <f t="array" ref="Y222">IF(Table8[[#This Row],[I_0]]&lt;Table24[Flitro de Ruido],1,Table8[[#This Row],[I_50]]/Table8[[#This Row],[I_0]])</f>
        <v>1</v>
      </c>
    </row>
    <row r="223" spans="1:25" x14ac:dyDescent="0.3">
      <c r="A223" s="13">
        <v>289.45999999999998</v>
      </c>
      <c r="B223" s="12">
        <v>0</v>
      </c>
      <c r="C223" s="11">
        <v>289.45999999999998</v>
      </c>
      <c r="D223" s="12">
        <v>0</v>
      </c>
      <c r="E223" s="11">
        <v>289.45999999999998</v>
      </c>
      <c r="F223" s="12">
        <v>0</v>
      </c>
      <c r="G223" s="11">
        <v>289.45999999999998</v>
      </c>
      <c r="H223" s="12">
        <v>0</v>
      </c>
      <c r="I223" s="11">
        <v>289.45999999999998</v>
      </c>
      <c r="J223" s="12">
        <v>0</v>
      </c>
      <c r="K223" s="11">
        <v>289.45999999999998</v>
      </c>
      <c r="L223" s="12">
        <v>0</v>
      </c>
      <c r="M223" s="11">
        <v>289.45999999999998</v>
      </c>
      <c r="N223" s="13">
        <v>0</v>
      </c>
      <c r="O223" s="11">
        <v>0</v>
      </c>
      <c r="P223" s="11">
        <v>0</v>
      </c>
      <c r="Q223" s="11">
        <v>0</v>
      </c>
      <c r="R223" s="11">
        <v>0</v>
      </c>
      <c r="S223" s="14">
        <v>0</v>
      </c>
      <c r="T223" s="11">
        <v>289.45999999999998</v>
      </c>
      <c r="U223" s="13" cm="1">
        <f t="array" ref="U223">IF(Table8[[#This Row],[I_0]]&lt;Table24[Flitro de Ruido],1,Table8[[#This Row],[I_10]]/Table8[[#This Row],[I_0]])</f>
        <v>1</v>
      </c>
      <c r="V223" s="13" cm="1">
        <f t="array" ref="V223">IF(Table8[[#This Row],[I_0]]&lt;Table24[Flitro de Ruido],1,Table8[[#This Row],[I_20]]/Table8[[#This Row],[I_0]])</f>
        <v>1</v>
      </c>
      <c r="W223" s="13" cm="1">
        <f t="array" ref="W223">IF(Table8[[#This Row],[I_0]]&lt;Table24[Flitro de Ruido],1,Table8[[#This Row],[I_30]]/Table8[[#This Row],[I_0]])</f>
        <v>1</v>
      </c>
      <c r="X223" s="13" cm="1">
        <f t="array" ref="X223">IF(Table8[[#This Row],[I_0]]&lt;Table24[Flitro de Ruido],1,Table8[[#This Row],[I_40]]/Table8[[#This Row],[I_0]])</f>
        <v>1</v>
      </c>
      <c r="Y223" s="13" cm="1">
        <f t="array" ref="Y223">IF(Table8[[#This Row],[I_0]]&lt;Table24[Flitro de Ruido],1,Table8[[#This Row],[I_50]]/Table8[[#This Row],[I_0]])</f>
        <v>1</v>
      </c>
    </row>
    <row r="224" spans="1:25" x14ac:dyDescent="0.3">
      <c r="A224" s="13">
        <v>290.45</v>
      </c>
      <c r="B224" s="12">
        <v>0</v>
      </c>
      <c r="C224" s="11">
        <v>290.45</v>
      </c>
      <c r="D224" s="12">
        <v>0</v>
      </c>
      <c r="E224" s="11">
        <v>290.45</v>
      </c>
      <c r="F224" s="12">
        <v>0</v>
      </c>
      <c r="G224" s="11">
        <v>290.45</v>
      </c>
      <c r="H224" s="12">
        <v>0</v>
      </c>
      <c r="I224" s="11">
        <v>290.45</v>
      </c>
      <c r="J224" s="12">
        <v>0</v>
      </c>
      <c r="K224" s="11">
        <v>290.45</v>
      </c>
      <c r="L224" s="12">
        <v>0</v>
      </c>
      <c r="M224" s="11">
        <v>290.45</v>
      </c>
      <c r="N224" s="13">
        <v>0</v>
      </c>
      <c r="O224" s="11">
        <v>0</v>
      </c>
      <c r="P224" s="11">
        <v>0</v>
      </c>
      <c r="Q224" s="11">
        <v>0</v>
      </c>
      <c r="R224" s="11">
        <v>0</v>
      </c>
      <c r="S224" s="14">
        <v>0</v>
      </c>
      <c r="T224" s="11">
        <v>290.45</v>
      </c>
      <c r="U224" s="13" cm="1">
        <f t="array" ref="U224">IF(Table8[[#This Row],[I_0]]&lt;Table24[Flitro de Ruido],1,Table8[[#This Row],[I_10]]/Table8[[#This Row],[I_0]])</f>
        <v>1</v>
      </c>
      <c r="V224" s="13" cm="1">
        <f t="array" ref="V224">IF(Table8[[#This Row],[I_0]]&lt;Table24[Flitro de Ruido],1,Table8[[#This Row],[I_20]]/Table8[[#This Row],[I_0]])</f>
        <v>1</v>
      </c>
      <c r="W224" s="13" cm="1">
        <f t="array" ref="W224">IF(Table8[[#This Row],[I_0]]&lt;Table24[Flitro de Ruido],1,Table8[[#This Row],[I_30]]/Table8[[#This Row],[I_0]])</f>
        <v>1</v>
      </c>
      <c r="X224" s="13" cm="1">
        <f t="array" ref="X224">IF(Table8[[#This Row],[I_0]]&lt;Table24[Flitro de Ruido],1,Table8[[#This Row],[I_40]]/Table8[[#This Row],[I_0]])</f>
        <v>1</v>
      </c>
      <c r="Y224" s="13" cm="1">
        <f t="array" ref="Y224">IF(Table8[[#This Row],[I_0]]&lt;Table24[Flitro de Ruido],1,Table8[[#This Row],[I_50]]/Table8[[#This Row],[I_0]])</f>
        <v>1</v>
      </c>
    </row>
    <row r="225" spans="1:25" x14ac:dyDescent="0.3">
      <c r="A225" s="13">
        <v>291.44</v>
      </c>
      <c r="B225" s="12">
        <v>0</v>
      </c>
      <c r="C225" s="11">
        <v>291.44</v>
      </c>
      <c r="D225" s="12">
        <v>0</v>
      </c>
      <c r="E225" s="11">
        <v>291.44</v>
      </c>
      <c r="F225" s="12">
        <v>0</v>
      </c>
      <c r="G225" s="11">
        <v>291.44</v>
      </c>
      <c r="H225" s="12">
        <v>0</v>
      </c>
      <c r="I225" s="11">
        <v>291.44</v>
      </c>
      <c r="J225" s="12">
        <v>0</v>
      </c>
      <c r="K225" s="11">
        <v>291.44</v>
      </c>
      <c r="L225" s="12">
        <v>0</v>
      </c>
      <c r="M225" s="11">
        <v>291.44</v>
      </c>
      <c r="N225" s="13">
        <v>0</v>
      </c>
      <c r="O225" s="11">
        <v>0</v>
      </c>
      <c r="P225" s="11">
        <v>0</v>
      </c>
      <c r="Q225" s="11">
        <v>0</v>
      </c>
      <c r="R225" s="11">
        <v>0</v>
      </c>
      <c r="S225" s="14">
        <v>0</v>
      </c>
      <c r="T225" s="11">
        <v>291.44</v>
      </c>
      <c r="U225" s="13" cm="1">
        <f t="array" ref="U225">IF(Table8[[#This Row],[I_0]]&lt;Table24[Flitro de Ruido],1,Table8[[#This Row],[I_10]]/Table8[[#This Row],[I_0]])</f>
        <v>1</v>
      </c>
      <c r="V225" s="13" cm="1">
        <f t="array" ref="V225">IF(Table8[[#This Row],[I_0]]&lt;Table24[Flitro de Ruido],1,Table8[[#This Row],[I_20]]/Table8[[#This Row],[I_0]])</f>
        <v>1</v>
      </c>
      <c r="W225" s="13" cm="1">
        <f t="array" ref="W225">IF(Table8[[#This Row],[I_0]]&lt;Table24[Flitro de Ruido],1,Table8[[#This Row],[I_30]]/Table8[[#This Row],[I_0]])</f>
        <v>1</v>
      </c>
      <c r="X225" s="13" cm="1">
        <f t="array" ref="X225">IF(Table8[[#This Row],[I_0]]&lt;Table24[Flitro de Ruido],1,Table8[[#This Row],[I_40]]/Table8[[#This Row],[I_0]])</f>
        <v>1</v>
      </c>
      <c r="Y225" s="13" cm="1">
        <f t="array" ref="Y225">IF(Table8[[#This Row],[I_0]]&lt;Table24[Flitro de Ruido],1,Table8[[#This Row],[I_50]]/Table8[[#This Row],[I_0]])</f>
        <v>1</v>
      </c>
    </row>
    <row r="226" spans="1:25" x14ac:dyDescent="0.3">
      <c r="A226" s="13">
        <v>292.44</v>
      </c>
      <c r="B226" s="12">
        <v>0</v>
      </c>
      <c r="C226" s="11">
        <v>292.44</v>
      </c>
      <c r="D226" s="12">
        <v>0</v>
      </c>
      <c r="E226" s="11">
        <v>292.44</v>
      </c>
      <c r="F226" s="12">
        <v>0</v>
      </c>
      <c r="G226" s="11">
        <v>292.44</v>
      </c>
      <c r="H226" s="12">
        <v>0</v>
      </c>
      <c r="I226" s="11">
        <v>292.44</v>
      </c>
      <c r="J226" s="12">
        <v>0</v>
      </c>
      <c r="K226" s="11">
        <v>292.44</v>
      </c>
      <c r="L226" s="12">
        <v>0</v>
      </c>
      <c r="M226" s="11">
        <v>292.44</v>
      </c>
      <c r="N226" s="13">
        <v>0</v>
      </c>
      <c r="O226" s="11">
        <v>0</v>
      </c>
      <c r="P226" s="11">
        <v>0</v>
      </c>
      <c r="Q226" s="11">
        <v>0</v>
      </c>
      <c r="R226" s="11">
        <v>0</v>
      </c>
      <c r="S226" s="14">
        <v>0</v>
      </c>
      <c r="T226" s="11">
        <v>292.44</v>
      </c>
      <c r="U226" s="13" cm="1">
        <f t="array" ref="U226">IF(Table8[[#This Row],[I_0]]&lt;Table24[Flitro de Ruido],1,Table8[[#This Row],[I_10]]/Table8[[#This Row],[I_0]])</f>
        <v>1</v>
      </c>
      <c r="V226" s="13" cm="1">
        <f t="array" ref="V226">IF(Table8[[#This Row],[I_0]]&lt;Table24[Flitro de Ruido],1,Table8[[#This Row],[I_20]]/Table8[[#This Row],[I_0]])</f>
        <v>1</v>
      </c>
      <c r="W226" s="13" cm="1">
        <f t="array" ref="W226">IF(Table8[[#This Row],[I_0]]&lt;Table24[Flitro de Ruido],1,Table8[[#This Row],[I_30]]/Table8[[#This Row],[I_0]])</f>
        <v>1</v>
      </c>
      <c r="X226" s="13" cm="1">
        <f t="array" ref="X226">IF(Table8[[#This Row],[I_0]]&lt;Table24[Flitro de Ruido],1,Table8[[#This Row],[I_40]]/Table8[[#This Row],[I_0]])</f>
        <v>1</v>
      </c>
      <c r="Y226" s="13" cm="1">
        <f t="array" ref="Y226">IF(Table8[[#This Row],[I_0]]&lt;Table24[Flitro de Ruido],1,Table8[[#This Row],[I_50]]/Table8[[#This Row],[I_0]])</f>
        <v>1</v>
      </c>
    </row>
    <row r="227" spans="1:25" x14ac:dyDescent="0.3">
      <c r="A227" s="13">
        <v>293.43</v>
      </c>
      <c r="B227" s="12">
        <v>0</v>
      </c>
      <c r="C227" s="11">
        <v>293.43</v>
      </c>
      <c r="D227" s="12">
        <v>0</v>
      </c>
      <c r="E227" s="11">
        <v>293.43</v>
      </c>
      <c r="F227" s="12">
        <v>0</v>
      </c>
      <c r="G227" s="11">
        <v>293.43</v>
      </c>
      <c r="H227" s="12">
        <v>0</v>
      </c>
      <c r="I227" s="11">
        <v>293.43</v>
      </c>
      <c r="J227" s="12">
        <v>0</v>
      </c>
      <c r="K227" s="11">
        <v>293.43</v>
      </c>
      <c r="L227" s="12">
        <v>0</v>
      </c>
      <c r="M227" s="11">
        <v>293.43</v>
      </c>
      <c r="N227" s="13">
        <v>0</v>
      </c>
      <c r="O227" s="11">
        <v>0</v>
      </c>
      <c r="P227" s="11">
        <v>0</v>
      </c>
      <c r="Q227" s="11">
        <v>0</v>
      </c>
      <c r="R227" s="11">
        <v>0</v>
      </c>
      <c r="S227" s="14">
        <v>0</v>
      </c>
      <c r="T227" s="11">
        <v>293.43</v>
      </c>
      <c r="U227" s="13" cm="1">
        <f t="array" ref="U227">IF(Table8[[#This Row],[I_0]]&lt;Table24[Flitro de Ruido],1,Table8[[#This Row],[I_10]]/Table8[[#This Row],[I_0]])</f>
        <v>1</v>
      </c>
      <c r="V227" s="13" cm="1">
        <f t="array" ref="V227">IF(Table8[[#This Row],[I_0]]&lt;Table24[Flitro de Ruido],1,Table8[[#This Row],[I_20]]/Table8[[#This Row],[I_0]])</f>
        <v>1</v>
      </c>
      <c r="W227" s="13" cm="1">
        <f t="array" ref="W227">IF(Table8[[#This Row],[I_0]]&lt;Table24[Flitro de Ruido],1,Table8[[#This Row],[I_30]]/Table8[[#This Row],[I_0]])</f>
        <v>1</v>
      </c>
      <c r="X227" s="13" cm="1">
        <f t="array" ref="X227">IF(Table8[[#This Row],[I_0]]&lt;Table24[Flitro de Ruido],1,Table8[[#This Row],[I_40]]/Table8[[#This Row],[I_0]])</f>
        <v>1</v>
      </c>
      <c r="Y227" s="13" cm="1">
        <f t="array" ref="Y227">IF(Table8[[#This Row],[I_0]]&lt;Table24[Flitro de Ruido],1,Table8[[#This Row],[I_50]]/Table8[[#This Row],[I_0]])</f>
        <v>1</v>
      </c>
    </row>
    <row r="228" spans="1:25" x14ac:dyDescent="0.3">
      <c r="A228" s="13">
        <v>294.42</v>
      </c>
      <c r="B228" s="12">
        <v>0</v>
      </c>
      <c r="C228" s="11">
        <v>294.42</v>
      </c>
      <c r="D228" s="12">
        <v>0</v>
      </c>
      <c r="E228" s="11">
        <v>294.42</v>
      </c>
      <c r="F228" s="12">
        <v>0</v>
      </c>
      <c r="G228" s="11">
        <v>294.42</v>
      </c>
      <c r="H228" s="12">
        <v>0</v>
      </c>
      <c r="I228" s="11">
        <v>294.42</v>
      </c>
      <c r="J228" s="12">
        <v>0</v>
      </c>
      <c r="K228" s="11">
        <v>294.42</v>
      </c>
      <c r="L228" s="12">
        <v>0</v>
      </c>
      <c r="M228" s="11">
        <v>294.42</v>
      </c>
      <c r="N228" s="13">
        <v>0</v>
      </c>
      <c r="O228" s="11">
        <v>0</v>
      </c>
      <c r="P228" s="11">
        <v>0</v>
      </c>
      <c r="Q228" s="11">
        <v>0</v>
      </c>
      <c r="R228" s="11">
        <v>0</v>
      </c>
      <c r="S228" s="14">
        <v>0</v>
      </c>
      <c r="T228" s="11">
        <v>294.42</v>
      </c>
      <c r="U228" s="13" cm="1">
        <f t="array" ref="U228">IF(Table8[[#This Row],[I_0]]&lt;Table24[Flitro de Ruido],1,Table8[[#This Row],[I_10]]/Table8[[#This Row],[I_0]])</f>
        <v>1</v>
      </c>
      <c r="V228" s="13" cm="1">
        <f t="array" ref="V228">IF(Table8[[#This Row],[I_0]]&lt;Table24[Flitro de Ruido],1,Table8[[#This Row],[I_20]]/Table8[[#This Row],[I_0]])</f>
        <v>1</v>
      </c>
      <c r="W228" s="13" cm="1">
        <f t="array" ref="W228">IF(Table8[[#This Row],[I_0]]&lt;Table24[Flitro de Ruido],1,Table8[[#This Row],[I_30]]/Table8[[#This Row],[I_0]])</f>
        <v>1</v>
      </c>
      <c r="X228" s="13" cm="1">
        <f t="array" ref="X228">IF(Table8[[#This Row],[I_0]]&lt;Table24[Flitro de Ruido],1,Table8[[#This Row],[I_40]]/Table8[[#This Row],[I_0]])</f>
        <v>1</v>
      </c>
      <c r="Y228" s="13" cm="1">
        <f t="array" ref="Y228">IF(Table8[[#This Row],[I_0]]&lt;Table24[Flitro de Ruido],1,Table8[[#This Row],[I_50]]/Table8[[#This Row],[I_0]])</f>
        <v>1</v>
      </c>
    </row>
    <row r="229" spans="1:25" x14ac:dyDescent="0.3">
      <c r="A229" s="13">
        <v>295.41000000000003</v>
      </c>
      <c r="B229" s="12">
        <v>0</v>
      </c>
      <c r="C229" s="11">
        <v>295.41000000000003</v>
      </c>
      <c r="D229" s="12">
        <v>0</v>
      </c>
      <c r="E229" s="11">
        <v>295.41000000000003</v>
      </c>
      <c r="F229" s="12">
        <v>0</v>
      </c>
      <c r="G229" s="11">
        <v>295.41000000000003</v>
      </c>
      <c r="H229" s="12">
        <v>0</v>
      </c>
      <c r="I229" s="11">
        <v>295.41000000000003</v>
      </c>
      <c r="J229" s="12">
        <v>0</v>
      </c>
      <c r="K229" s="11">
        <v>295.41000000000003</v>
      </c>
      <c r="L229" s="12">
        <v>0</v>
      </c>
      <c r="M229" s="11">
        <v>295.41000000000003</v>
      </c>
      <c r="N229" s="13">
        <v>0</v>
      </c>
      <c r="O229" s="11">
        <v>0</v>
      </c>
      <c r="P229" s="11">
        <v>0</v>
      </c>
      <c r="Q229" s="11">
        <v>0</v>
      </c>
      <c r="R229" s="11">
        <v>0</v>
      </c>
      <c r="S229" s="14">
        <v>0</v>
      </c>
      <c r="T229" s="11">
        <v>295.41000000000003</v>
      </c>
      <c r="U229" s="13" cm="1">
        <f t="array" ref="U229">IF(Table8[[#This Row],[I_0]]&lt;Table24[Flitro de Ruido],1,Table8[[#This Row],[I_10]]/Table8[[#This Row],[I_0]])</f>
        <v>1</v>
      </c>
      <c r="V229" s="13" cm="1">
        <f t="array" ref="V229">IF(Table8[[#This Row],[I_0]]&lt;Table24[Flitro de Ruido],1,Table8[[#This Row],[I_20]]/Table8[[#This Row],[I_0]])</f>
        <v>1</v>
      </c>
      <c r="W229" s="13" cm="1">
        <f t="array" ref="W229">IF(Table8[[#This Row],[I_0]]&lt;Table24[Flitro de Ruido],1,Table8[[#This Row],[I_30]]/Table8[[#This Row],[I_0]])</f>
        <v>1</v>
      </c>
      <c r="X229" s="13" cm="1">
        <f t="array" ref="X229">IF(Table8[[#This Row],[I_0]]&lt;Table24[Flitro de Ruido],1,Table8[[#This Row],[I_40]]/Table8[[#This Row],[I_0]])</f>
        <v>1</v>
      </c>
      <c r="Y229" s="13" cm="1">
        <f t="array" ref="Y229">IF(Table8[[#This Row],[I_0]]&lt;Table24[Flitro de Ruido],1,Table8[[#This Row],[I_50]]/Table8[[#This Row],[I_0]])</f>
        <v>1</v>
      </c>
    </row>
    <row r="230" spans="1:25" x14ac:dyDescent="0.3">
      <c r="A230" s="13">
        <v>296.39999999999998</v>
      </c>
      <c r="B230" s="12">
        <v>0</v>
      </c>
      <c r="C230" s="11">
        <v>296.39999999999998</v>
      </c>
      <c r="D230" s="12">
        <v>0</v>
      </c>
      <c r="E230" s="11">
        <v>296.39999999999998</v>
      </c>
      <c r="F230" s="12">
        <v>0</v>
      </c>
      <c r="G230" s="11">
        <v>296.39999999999998</v>
      </c>
      <c r="H230" s="12">
        <v>0</v>
      </c>
      <c r="I230" s="11">
        <v>296.39999999999998</v>
      </c>
      <c r="J230" s="12">
        <v>0</v>
      </c>
      <c r="K230" s="11">
        <v>296.39999999999998</v>
      </c>
      <c r="L230" s="12">
        <v>0</v>
      </c>
      <c r="M230" s="11">
        <v>296.39999999999998</v>
      </c>
      <c r="N230" s="13">
        <v>0</v>
      </c>
      <c r="O230" s="11">
        <v>0</v>
      </c>
      <c r="P230" s="11">
        <v>0</v>
      </c>
      <c r="Q230" s="11">
        <v>0</v>
      </c>
      <c r="R230" s="11">
        <v>0</v>
      </c>
      <c r="S230" s="14">
        <v>0</v>
      </c>
      <c r="T230" s="11">
        <v>296.39999999999998</v>
      </c>
      <c r="U230" s="13" cm="1">
        <f t="array" ref="U230">IF(Table8[[#This Row],[I_0]]&lt;Table24[Flitro de Ruido],1,Table8[[#This Row],[I_10]]/Table8[[#This Row],[I_0]])</f>
        <v>1</v>
      </c>
      <c r="V230" s="13" cm="1">
        <f t="array" ref="V230">IF(Table8[[#This Row],[I_0]]&lt;Table24[Flitro de Ruido],1,Table8[[#This Row],[I_20]]/Table8[[#This Row],[I_0]])</f>
        <v>1</v>
      </c>
      <c r="W230" s="13" cm="1">
        <f t="array" ref="W230">IF(Table8[[#This Row],[I_0]]&lt;Table24[Flitro de Ruido],1,Table8[[#This Row],[I_30]]/Table8[[#This Row],[I_0]])</f>
        <v>1</v>
      </c>
      <c r="X230" s="13" cm="1">
        <f t="array" ref="X230">IF(Table8[[#This Row],[I_0]]&lt;Table24[Flitro de Ruido],1,Table8[[#This Row],[I_40]]/Table8[[#This Row],[I_0]])</f>
        <v>1</v>
      </c>
      <c r="Y230" s="13" cm="1">
        <f t="array" ref="Y230">IF(Table8[[#This Row],[I_0]]&lt;Table24[Flitro de Ruido],1,Table8[[#This Row],[I_50]]/Table8[[#This Row],[I_0]])</f>
        <v>1</v>
      </c>
    </row>
    <row r="231" spans="1:25" x14ac:dyDescent="0.3">
      <c r="A231" s="13">
        <v>297.39999999999998</v>
      </c>
      <c r="B231" s="12">
        <v>0</v>
      </c>
      <c r="C231" s="11">
        <v>297.39999999999998</v>
      </c>
      <c r="D231" s="12">
        <v>0</v>
      </c>
      <c r="E231" s="11">
        <v>297.39999999999998</v>
      </c>
      <c r="F231" s="12">
        <v>0</v>
      </c>
      <c r="G231" s="11">
        <v>297.39999999999998</v>
      </c>
      <c r="H231" s="12">
        <v>0</v>
      </c>
      <c r="I231" s="11">
        <v>297.39999999999998</v>
      </c>
      <c r="J231" s="12">
        <v>0</v>
      </c>
      <c r="K231" s="11">
        <v>297.39999999999998</v>
      </c>
      <c r="L231" s="12">
        <v>0</v>
      </c>
      <c r="M231" s="11">
        <v>297.39999999999998</v>
      </c>
      <c r="N231" s="13">
        <v>0</v>
      </c>
      <c r="O231" s="11">
        <v>0</v>
      </c>
      <c r="P231" s="11">
        <v>0</v>
      </c>
      <c r="Q231" s="11">
        <v>0</v>
      </c>
      <c r="R231" s="11">
        <v>0</v>
      </c>
      <c r="S231" s="14">
        <v>0</v>
      </c>
      <c r="T231" s="11">
        <v>297.39999999999998</v>
      </c>
      <c r="U231" s="13" cm="1">
        <f t="array" ref="U231">IF(Table8[[#This Row],[I_0]]&lt;Table24[Flitro de Ruido],1,Table8[[#This Row],[I_10]]/Table8[[#This Row],[I_0]])</f>
        <v>1</v>
      </c>
      <c r="V231" s="13" cm="1">
        <f t="array" ref="V231">IF(Table8[[#This Row],[I_0]]&lt;Table24[Flitro de Ruido],1,Table8[[#This Row],[I_20]]/Table8[[#This Row],[I_0]])</f>
        <v>1</v>
      </c>
      <c r="W231" s="13" cm="1">
        <f t="array" ref="W231">IF(Table8[[#This Row],[I_0]]&lt;Table24[Flitro de Ruido],1,Table8[[#This Row],[I_30]]/Table8[[#This Row],[I_0]])</f>
        <v>1</v>
      </c>
      <c r="X231" s="13" cm="1">
        <f t="array" ref="X231">IF(Table8[[#This Row],[I_0]]&lt;Table24[Flitro de Ruido],1,Table8[[#This Row],[I_40]]/Table8[[#This Row],[I_0]])</f>
        <v>1</v>
      </c>
      <c r="Y231" s="13" cm="1">
        <f t="array" ref="Y231">IF(Table8[[#This Row],[I_0]]&lt;Table24[Flitro de Ruido],1,Table8[[#This Row],[I_50]]/Table8[[#This Row],[I_0]])</f>
        <v>1</v>
      </c>
    </row>
    <row r="232" spans="1:25" x14ac:dyDescent="0.3">
      <c r="A232" s="13">
        <v>298.39</v>
      </c>
      <c r="B232" s="12">
        <v>0</v>
      </c>
      <c r="C232" s="11">
        <v>298.39</v>
      </c>
      <c r="D232" s="12">
        <v>0</v>
      </c>
      <c r="E232" s="11">
        <v>298.39</v>
      </c>
      <c r="F232" s="12">
        <v>0</v>
      </c>
      <c r="G232" s="11">
        <v>298.39</v>
      </c>
      <c r="H232" s="12">
        <v>0</v>
      </c>
      <c r="I232" s="11">
        <v>298.39</v>
      </c>
      <c r="J232" s="12">
        <v>0</v>
      </c>
      <c r="K232" s="11">
        <v>298.39</v>
      </c>
      <c r="L232" s="12">
        <v>0</v>
      </c>
      <c r="M232" s="11">
        <v>298.39</v>
      </c>
      <c r="N232" s="13">
        <v>0</v>
      </c>
      <c r="O232" s="11">
        <v>0</v>
      </c>
      <c r="P232" s="11">
        <v>0</v>
      </c>
      <c r="Q232" s="11">
        <v>0</v>
      </c>
      <c r="R232" s="11">
        <v>0</v>
      </c>
      <c r="S232" s="14">
        <v>0</v>
      </c>
      <c r="T232" s="11">
        <v>298.39</v>
      </c>
      <c r="U232" s="13" cm="1">
        <f t="array" ref="U232">IF(Table8[[#This Row],[I_0]]&lt;Table24[Flitro de Ruido],1,Table8[[#This Row],[I_10]]/Table8[[#This Row],[I_0]])</f>
        <v>1</v>
      </c>
      <c r="V232" s="13" cm="1">
        <f t="array" ref="V232">IF(Table8[[#This Row],[I_0]]&lt;Table24[Flitro de Ruido],1,Table8[[#This Row],[I_20]]/Table8[[#This Row],[I_0]])</f>
        <v>1</v>
      </c>
      <c r="W232" s="13" cm="1">
        <f t="array" ref="W232">IF(Table8[[#This Row],[I_0]]&lt;Table24[Flitro de Ruido],1,Table8[[#This Row],[I_30]]/Table8[[#This Row],[I_0]])</f>
        <v>1</v>
      </c>
      <c r="X232" s="13" cm="1">
        <f t="array" ref="X232">IF(Table8[[#This Row],[I_0]]&lt;Table24[Flitro de Ruido],1,Table8[[#This Row],[I_40]]/Table8[[#This Row],[I_0]])</f>
        <v>1</v>
      </c>
      <c r="Y232" s="13" cm="1">
        <f t="array" ref="Y232">IF(Table8[[#This Row],[I_0]]&lt;Table24[Flitro de Ruido],1,Table8[[#This Row],[I_50]]/Table8[[#This Row],[I_0]])</f>
        <v>1</v>
      </c>
    </row>
    <row r="233" spans="1:25" x14ac:dyDescent="0.3">
      <c r="A233" s="13">
        <v>299.38</v>
      </c>
      <c r="B233" s="12">
        <v>0</v>
      </c>
      <c r="C233" s="11">
        <v>299.38</v>
      </c>
      <c r="D233" s="12">
        <v>0</v>
      </c>
      <c r="E233" s="11">
        <v>299.38</v>
      </c>
      <c r="F233" s="12">
        <v>0</v>
      </c>
      <c r="G233" s="11">
        <v>299.38</v>
      </c>
      <c r="H233" s="12">
        <v>0</v>
      </c>
      <c r="I233" s="11">
        <v>299.38</v>
      </c>
      <c r="J233" s="12">
        <v>0</v>
      </c>
      <c r="K233" s="11">
        <v>299.38</v>
      </c>
      <c r="L233" s="12">
        <v>0</v>
      </c>
      <c r="M233" s="11">
        <v>299.38</v>
      </c>
      <c r="N233" s="13">
        <v>0</v>
      </c>
      <c r="O233" s="11">
        <v>0</v>
      </c>
      <c r="P233" s="11">
        <v>0</v>
      </c>
      <c r="Q233" s="11">
        <v>0</v>
      </c>
      <c r="R233" s="11">
        <v>0</v>
      </c>
      <c r="S233" s="14">
        <v>0</v>
      </c>
      <c r="T233" s="11">
        <v>299.38</v>
      </c>
      <c r="U233" s="13" cm="1">
        <f t="array" ref="U233">IF(Table8[[#This Row],[I_0]]&lt;Table24[Flitro de Ruido],1,Table8[[#This Row],[I_10]]/Table8[[#This Row],[I_0]])</f>
        <v>1</v>
      </c>
      <c r="V233" s="13" cm="1">
        <f t="array" ref="V233">IF(Table8[[#This Row],[I_0]]&lt;Table24[Flitro de Ruido],1,Table8[[#This Row],[I_20]]/Table8[[#This Row],[I_0]])</f>
        <v>1</v>
      </c>
      <c r="W233" s="13" cm="1">
        <f t="array" ref="W233">IF(Table8[[#This Row],[I_0]]&lt;Table24[Flitro de Ruido],1,Table8[[#This Row],[I_30]]/Table8[[#This Row],[I_0]])</f>
        <v>1</v>
      </c>
      <c r="X233" s="13" cm="1">
        <f t="array" ref="X233">IF(Table8[[#This Row],[I_0]]&lt;Table24[Flitro de Ruido],1,Table8[[#This Row],[I_40]]/Table8[[#This Row],[I_0]])</f>
        <v>1</v>
      </c>
      <c r="Y233" s="13" cm="1">
        <f t="array" ref="Y233">IF(Table8[[#This Row],[I_0]]&lt;Table24[Flitro de Ruido],1,Table8[[#This Row],[I_50]]/Table8[[#This Row],[I_0]])</f>
        <v>1</v>
      </c>
    </row>
    <row r="234" spans="1:25" x14ac:dyDescent="0.3">
      <c r="A234" s="13">
        <v>300.37</v>
      </c>
      <c r="B234" s="12">
        <v>0</v>
      </c>
      <c r="C234" s="11">
        <v>300.37</v>
      </c>
      <c r="D234" s="12">
        <v>0</v>
      </c>
      <c r="E234" s="11">
        <v>300.37</v>
      </c>
      <c r="F234" s="12">
        <v>0</v>
      </c>
      <c r="G234" s="11">
        <v>300.37</v>
      </c>
      <c r="H234" s="12">
        <v>0</v>
      </c>
      <c r="I234" s="11">
        <v>300.37</v>
      </c>
      <c r="J234" s="12">
        <v>0</v>
      </c>
      <c r="K234" s="11">
        <v>300.37</v>
      </c>
      <c r="L234" s="12">
        <v>0</v>
      </c>
      <c r="M234" s="11">
        <v>300.37</v>
      </c>
      <c r="N234" s="13">
        <v>0</v>
      </c>
      <c r="O234" s="11">
        <v>0</v>
      </c>
      <c r="P234" s="11">
        <v>0</v>
      </c>
      <c r="Q234" s="11">
        <v>0</v>
      </c>
      <c r="R234" s="11">
        <v>0</v>
      </c>
      <c r="S234" s="14">
        <v>0</v>
      </c>
      <c r="T234" s="11">
        <v>300.37</v>
      </c>
      <c r="U234" s="13" cm="1">
        <f t="array" ref="U234">IF(Table8[[#This Row],[I_0]]&lt;Table24[Flitro de Ruido],1,Table8[[#This Row],[I_10]]/Table8[[#This Row],[I_0]])</f>
        <v>1</v>
      </c>
      <c r="V234" s="13" cm="1">
        <f t="array" ref="V234">IF(Table8[[#This Row],[I_0]]&lt;Table24[Flitro de Ruido],1,Table8[[#This Row],[I_20]]/Table8[[#This Row],[I_0]])</f>
        <v>1</v>
      </c>
      <c r="W234" s="13" cm="1">
        <f t="array" ref="W234">IF(Table8[[#This Row],[I_0]]&lt;Table24[Flitro de Ruido],1,Table8[[#This Row],[I_30]]/Table8[[#This Row],[I_0]])</f>
        <v>1</v>
      </c>
      <c r="X234" s="13" cm="1">
        <f t="array" ref="X234">IF(Table8[[#This Row],[I_0]]&lt;Table24[Flitro de Ruido],1,Table8[[#This Row],[I_40]]/Table8[[#This Row],[I_0]])</f>
        <v>1</v>
      </c>
      <c r="Y234" s="13" cm="1">
        <f t="array" ref="Y234">IF(Table8[[#This Row],[I_0]]&lt;Table24[Flitro de Ruido],1,Table8[[#This Row],[I_50]]/Table8[[#This Row],[I_0]])</f>
        <v>1</v>
      </c>
    </row>
    <row r="235" spans="1:25" x14ac:dyDescent="0.3">
      <c r="A235" s="13">
        <v>301.36</v>
      </c>
      <c r="B235" s="12">
        <v>0</v>
      </c>
      <c r="C235" s="11">
        <v>301.36</v>
      </c>
      <c r="D235" s="12">
        <v>0</v>
      </c>
      <c r="E235" s="11">
        <v>301.36</v>
      </c>
      <c r="F235" s="12">
        <v>0</v>
      </c>
      <c r="G235" s="11">
        <v>301.36</v>
      </c>
      <c r="H235" s="12">
        <v>0</v>
      </c>
      <c r="I235" s="11">
        <v>301.36</v>
      </c>
      <c r="J235" s="12">
        <v>0</v>
      </c>
      <c r="K235" s="11">
        <v>301.36</v>
      </c>
      <c r="L235" s="12">
        <v>0</v>
      </c>
      <c r="M235" s="11">
        <v>301.36</v>
      </c>
      <c r="N235" s="13">
        <v>0</v>
      </c>
      <c r="O235" s="11">
        <v>0</v>
      </c>
      <c r="P235" s="11">
        <v>0</v>
      </c>
      <c r="Q235" s="11">
        <v>0</v>
      </c>
      <c r="R235" s="11">
        <v>0</v>
      </c>
      <c r="S235" s="14">
        <v>0</v>
      </c>
      <c r="T235" s="11">
        <v>301.36</v>
      </c>
      <c r="U235" s="13" cm="1">
        <f t="array" ref="U235">IF(Table8[[#This Row],[I_0]]&lt;Table24[Flitro de Ruido],1,Table8[[#This Row],[I_10]]/Table8[[#This Row],[I_0]])</f>
        <v>1</v>
      </c>
      <c r="V235" s="13" cm="1">
        <f t="array" ref="V235">IF(Table8[[#This Row],[I_0]]&lt;Table24[Flitro de Ruido],1,Table8[[#This Row],[I_20]]/Table8[[#This Row],[I_0]])</f>
        <v>1</v>
      </c>
      <c r="W235" s="13" cm="1">
        <f t="array" ref="W235">IF(Table8[[#This Row],[I_0]]&lt;Table24[Flitro de Ruido],1,Table8[[#This Row],[I_30]]/Table8[[#This Row],[I_0]])</f>
        <v>1</v>
      </c>
      <c r="X235" s="13" cm="1">
        <f t="array" ref="X235">IF(Table8[[#This Row],[I_0]]&lt;Table24[Flitro de Ruido],1,Table8[[#This Row],[I_40]]/Table8[[#This Row],[I_0]])</f>
        <v>1</v>
      </c>
      <c r="Y235" s="13" cm="1">
        <f t="array" ref="Y235">IF(Table8[[#This Row],[I_0]]&lt;Table24[Flitro de Ruido],1,Table8[[#This Row],[I_50]]/Table8[[#This Row],[I_0]])</f>
        <v>1</v>
      </c>
    </row>
    <row r="236" spans="1:25" x14ac:dyDescent="0.3">
      <c r="A236" s="13">
        <v>302.35000000000002</v>
      </c>
      <c r="B236" s="12">
        <v>0</v>
      </c>
      <c r="C236" s="11">
        <v>302.35000000000002</v>
      </c>
      <c r="D236" s="12">
        <v>0</v>
      </c>
      <c r="E236" s="11">
        <v>302.35000000000002</v>
      </c>
      <c r="F236" s="12">
        <v>0</v>
      </c>
      <c r="G236" s="11">
        <v>302.35000000000002</v>
      </c>
      <c r="H236" s="12">
        <v>0</v>
      </c>
      <c r="I236" s="11">
        <v>302.35000000000002</v>
      </c>
      <c r="J236" s="12">
        <v>0</v>
      </c>
      <c r="K236" s="11">
        <v>302.35000000000002</v>
      </c>
      <c r="L236" s="12">
        <v>0</v>
      </c>
      <c r="M236" s="11">
        <v>302.35000000000002</v>
      </c>
      <c r="N236" s="13">
        <v>0</v>
      </c>
      <c r="O236" s="11">
        <v>0</v>
      </c>
      <c r="P236" s="11">
        <v>0</v>
      </c>
      <c r="Q236" s="11">
        <v>0</v>
      </c>
      <c r="R236" s="11">
        <v>0</v>
      </c>
      <c r="S236" s="14">
        <v>0</v>
      </c>
      <c r="T236" s="11">
        <v>302.35000000000002</v>
      </c>
      <c r="U236" s="13" cm="1">
        <f t="array" ref="U236">IF(Table8[[#This Row],[I_0]]&lt;Table24[Flitro de Ruido],1,Table8[[#This Row],[I_10]]/Table8[[#This Row],[I_0]])</f>
        <v>1</v>
      </c>
      <c r="V236" s="13" cm="1">
        <f t="array" ref="V236">IF(Table8[[#This Row],[I_0]]&lt;Table24[Flitro de Ruido],1,Table8[[#This Row],[I_20]]/Table8[[#This Row],[I_0]])</f>
        <v>1</v>
      </c>
      <c r="W236" s="13" cm="1">
        <f t="array" ref="W236">IF(Table8[[#This Row],[I_0]]&lt;Table24[Flitro de Ruido],1,Table8[[#This Row],[I_30]]/Table8[[#This Row],[I_0]])</f>
        <v>1</v>
      </c>
      <c r="X236" s="13" cm="1">
        <f t="array" ref="X236">IF(Table8[[#This Row],[I_0]]&lt;Table24[Flitro de Ruido],1,Table8[[#This Row],[I_40]]/Table8[[#This Row],[I_0]])</f>
        <v>1</v>
      </c>
      <c r="Y236" s="13" cm="1">
        <f t="array" ref="Y236">IF(Table8[[#This Row],[I_0]]&lt;Table24[Flitro de Ruido],1,Table8[[#This Row],[I_50]]/Table8[[#This Row],[I_0]])</f>
        <v>1</v>
      </c>
    </row>
    <row r="237" spans="1:25" x14ac:dyDescent="0.3">
      <c r="A237" s="13">
        <v>303.35000000000002</v>
      </c>
      <c r="B237" s="12">
        <v>0</v>
      </c>
      <c r="C237" s="11">
        <v>303.35000000000002</v>
      </c>
      <c r="D237" s="12">
        <v>0</v>
      </c>
      <c r="E237" s="11">
        <v>303.35000000000002</v>
      </c>
      <c r="F237" s="12">
        <v>0</v>
      </c>
      <c r="G237" s="11">
        <v>303.35000000000002</v>
      </c>
      <c r="H237" s="12">
        <v>0</v>
      </c>
      <c r="I237" s="11">
        <v>303.35000000000002</v>
      </c>
      <c r="J237" s="12">
        <v>0</v>
      </c>
      <c r="K237" s="11">
        <v>303.35000000000002</v>
      </c>
      <c r="L237" s="12">
        <v>0</v>
      </c>
      <c r="M237" s="11">
        <v>303.35000000000002</v>
      </c>
      <c r="N237" s="13">
        <v>0</v>
      </c>
      <c r="O237" s="11">
        <v>0</v>
      </c>
      <c r="P237" s="11">
        <v>0</v>
      </c>
      <c r="Q237" s="11">
        <v>0</v>
      </c>
      <c r="R237" s="11">
        <v>0</v>
      </c>
      <c r="S237" s="14">
        <v>0</v>
      </c>
      <c r="T237" s="11">
        <v>303.35000000000002</v>
      </c>
      <c r="U237" s="13" cm="1">
        <f t="array" ref="U237">IF(Table8[[#This Row],[I_0]]&lt;Table24[Flitro de Ruido],1,Table8[[#This Row],[I_10]]/Table8[[#This Row],[I_0]])</f>
        <v>1</v>
      </c>
      <c r="V237" s="13" cm="1">
        <f t="array" ref="V237">IF(Table8[[#This Row],[I_0]]&lt;Table24[Flitro de Ruido],1,Table8[[#This Row],[I_20]]/Table8[[#This Row],[I_0]])</f>
        <v>1</v>
      </c>
      <c r="W237" s="13" cm="1">
        <f t="array" ref="W237">IF(Table8[[#This Row],[I_0]]&lt;Table24[Flitro de Ruido],1,Table8[[#This Row],[I_30]]/Table8[[#This Row],[I_0]])</f>
        <v>1</v>
      </c>
      <c r="X237" s="13" cm="1">
        <f t="array" ref="X237">IF(Table8[[#This Row],[I_0]]&lt;Table24[Flitro de Ruido],1,Table8[[#This Row],[I_40]]/Table8[[#This Row],[I_0]])</f>
        <v>1</v>
      </c>
      <c r="Y237" s="13" cm="1">
        <f t="array" ref="Y237">IF(Table8[[#This Row],[I_0]]&lt;Table24[Flitro de Ruido],1,Table8[[#This Row],[I_50]]/Table8[[#This Row],[I_0]])</f>
        <v>1</v>
      </c>
    </row>
    <row r="238" spans="1:25" x14ac:dyDescent="0.3">
      <c r="A238" s="13">
        <v>304.33999999999997</v>
      </c>
      <c r="B238" s="12">
        <v>0</v>
      </c>
      <c r="C238" s="11">
        <v>304.33999999999997</v>
      </c>
      <c r="D238" s="12">
        <v>0</v>
      </c>
      <c r="E238" s="11">
        <v>304.33999999999997</v>
      </c>
      <c r="F238" s="12">
        <v>0</v>
      </c>
      <c r="G238" s="11">
        <v>304.33999999999997</v>
      </c>
      <c r="H238" s="12">
        <v>0</v>
      </c>
      <c r="I238" s="11">
        <v>304.33999999999997</v>
      </c>
      <c r="J238" s="12">
        <v>0</v>
      </c>
      <c r="K238" s="11">
        <v>304.33999999999997</v>
      </c>
      <c r="L238" s="12">
        <v>0</v>
      </c>
      <c r="M238" s="11">
        <v>304.33999999999997</v>
      </c>
      <c r="N238" s="13">
        <v>0</v>
      </c>
      <c r="O238" s="11">
        <v>0</v>
      </c>
      <c r="P238" s="11">
        <v>0</v>
      </c>
      <c r="Q238" s="11">
        <v>0</v>
      </c>
      <c r="R238" s="11">
        <v>0</v>
      </c>
      <c r="S238" s="14">
        <v>0</v>
      </c>
      <c r="T238" s="11">
        <v>304.33999999999997</v>
      </c>
      <c r="U238" s="13" cm="1">
        <f t="array" ref="U238">IF(Table8[[#This Row],[I_0]]&lt;Table24[Flitro de Ruido],1,Table8[[#This Row],[I_10]]/Table8[[#This Row],[I_0]])</f>
        <v>1</v>
      </c>
      <c r="V238" s="13" cm="1">
        <f t="array" ref="V238">IF(Table8[[#This Row],[I_0]]&lt;Table24[Flitro de Ruido],1,Table8[[#This Row],[I_20]]/Table8[[#This Row],[I_0]])</f>
        <v>1</v>
      </c>
      <c r="W238" s="13" cm="1">
        <f t="array" ref="W238">IF(Table8[[#This Row],[I_0]]&lt;Table24[Flitro de Ruido],1,Table8[[#This Row],[I_30]]/Table8[[#This Row],[I_0]])</f>
        <v>1</v>
      </c>
      <c r="X238" s="13" cm="1">
        <f t="array" ref="X238">IF(Table8[[#This Row],[I_0]]&lt;Table24[Flitro de Ruido],1,Table8[[#This Row],[I_40]]/Table8[[#This Row],[I_0]])</f>
        <v>1</v>
      </c>
      <c r="Y238" s="13" cm="1">
        <f t="array" ref="Y238">IF(Table8[[#This Row],[I_0]]&lt;Table24[Flitro de Ruido],1,Table8[[#This Row],[I_50]]/Table8[[#This Row],[I_0]])</f>
        <v>1</v>
      </c>
    </row>
    <row r="239" spans="1:25" x14ac:dyDescent="0.3">
      <c r="A239" s="13">
        <v>305.33</v>
      </c>
      <c r="B239" s="12">
        <v>0</v>
      </c>
      <c r="C239" s="11">
        <v>305.33</v>
      </c>
      <c r="D239" s="12">
        <v>0</v>
      </c>
      <c r="E239" s="11">
        <v>305.33</v>
      </c>
      <c r="F239" s="12">
        <v>0</v>
      </c>
      <c r="G239" s="11">
        <v>305.33</v>
      </c>
      <c r="H239" s="12">
        <v>0</v>
      </c>
      <c r="I239" s="11">
        <v>305.33</v>
      </c>
      <c r="J239" s="12">
        <v>0</v>
      </c>
      <c r="K239" s="11">
        <v>305.33</v>
      </c>
      <c r="L239" s="12">
        <v>0</v>
      </c>
      <c r="M239" s="11">
        <v>305.33</v>
      </c>
      <c r="N239" s="13">
        <v>0</v>
      </c>
      <c r="O239" s="11">
        <v>0</v>
      </c>
      <c r="P239" s="11">
        <v>0</v>
      </c>
      <c r="Q239" s="11">
        <v>0</v>
      </c>
      <c r="R239" s="11">
        <v>0</v>
      </c>
      <c r="S239" s="14">
        <v>0</v>
      </c>
      <c r="T239" s="11">
        <v>305.33</v>
      </c>
      <c r="U239" s="13" cm="1">
        <f t="array" ref="U239">IF(Table8[[#This Row],[I_0]]&lt;Table24[Flitro de Ruido],1,Table8[[#This Row],[I_10]]/Table8[[#This Row],[I_0]])</f>
        <v>1</v>
      </c>
      <c r="V239" s="13" cm="1">
        <f t="array" ref="V239">IF(Table8[[#This Row],[I_0]]&lt;Table24[Flitro de Ruido],1,Table8[[#This Row],[I_20]]/Table8[[#This Row],[I_0]])</f>
        <v>1</v>
      </c>
      <c r="W239" s="13" cm="1">
        <f t="array" ref="W239">IF(Table8[[#This Row],[I_0]]&lt;Table24[Flitro de Ruido],1,Table8[[#This Row],[I_30]]/Table8[[#This Row],[I_0]])</f>
        <v>1</v>
      </c>
      <c r="X239" s="13" cm="1">
        <f t="array" ref="X239">IF(Table8[[#This Row],[I_0]]&lt;Table24[Flitro de Ruido],1,Table8[[#This Row],[I_40]]/Table8[[#This Row],[I_0]])</f>
        <v>1</v>
      </c>
      <c r="Y239" s="13" cm="1">
        <f t="array" ref="Y239">IF(Table8[[#This Row],[I_0]]&lt;Table24[Flitro de Ruido],1,Table8[[#This Row],[I_50]]/Table8[[#This Row],[I_0]])</f>
        <v>1</v>
      </c>
    </row>
    <row r="240" spans="1:25" x14ac:dyDescent="0.3">
      <c r="A240" s="13">
        <v>306.32</v>
      </c>
      <c r="B240" s="12">
        <v>0</v>
      </c>
      <c r="C240" s="11">
        <v>306.32</v>
      </c>
      <c r="D240" s="12">
        <v>0</v>
      </c>
      <c r="E240" s="11">
        <v>306.32</v>
      </c>
      <c r="F240" s="12">
        <v>0</v>
      </c>
      <c r="G240" s="11">
        <v>306.32</v>
      </c>
      <c r="H240" s="12">
        <v>0</v>
      </c>
      <c r="I240" s="11">
        <v>306.32</v>
      </c>
      <c r="J240" s="12">
        <v>0</v>
      </c>
      <c r="K240" s="11">
        <v>306.32</v>
      </c>
      <c r="L240" s="12">
        <v>0</v>
      </c>
      <c r="M240" s="11">
        <v>306.32</v>
      </c>
      <c r="N240" s="13">
        <v>0</v>
      </c>
      <c r="O240" s="11">
        <v>0</v>
      </c>
      <c r="P240" s="11">
        <v>0</v>
      </c>
      <c r="Q240" s="11">
        <v>0</v>
      </c>
      <c r="R240" s="11">
        <v>0</v>
      </c>
      <c r="S240" s="14">
        <v>0</v>
      </c>
      <c r="T240" s="11">
        <v>306.32</v>
      </c>
      <c r="U240" s="13" cm="1">
        <f t="array" ref="U240">IF(Table8[[#This Row],[I_0]]&lt;Table24[Flitro de Ruido],1,Table8[[#This Row],[I_10]]/Table8[[#This Row],[I_0]])</f>
        <v>1</v>
      </c>
      <c r="V240" s="13" cm="1">
        <f t="array" ref="V240">IF(Table8[[#This Row],[I_0]]&lt;Table24[Flitro de Ruido],1,Table8[[#This Row],[I_20]]/Table8[[#This Row],[I_0]])</f>
        <v>1</v>
      </c>
      <c r="W240" s="13" cm="1">
        <f t="array" ref="W240">IF(Table8[[#This Row],[I_0]]&lt;Table24[Flitro de Ruido],1,Table8[[#This Row],[I_30]]/Table8[[#This Row],[I_0]])</f>
        <v>1</v>
      </c>
      <c r="X240" s="13" cm="1">
        <f t="array" ref="X240">IF(Table8[[#This Row],[I_0]]&lt;Table24[Flitro de Ruido],1,Table8[[#This Row],[I_40]]/Table8[[#This Row],[I_0]])</f>
        <v>1</v>
      </c>
      <c r="Y240" s="13" cm="1">
        <f t="array" ref="Y240">IF(Table8[[#This Row],[I_0]]&lt;Table24[Flitro de Ruido],1,Table8[[#This Row],[I_50]]/Table8[[#This Row],[I_0]])</f>
        <v>1</v>
      </c>
    </row>
    <row r="241" spans="1:25" x14ac:dyDescent="0.3">
      <c r="A241" s="13">
        <v>307.31</v>
      </c>
      <c r="B241" s="12">
        <v>0</v>
      </c>
      <c r="C241" s="11">
        <v>307.31</v>
      </c>
      <c r="D241" s="12">
        <v>0</v>
      </c>
      <c r="E241" s="11">
        <v>307.31</v>
      </c>
      <c r="F241" s="12">
        <v>0</v>
      </c>
      <c r="G241" s="11">
        <v>307.31</v>
      </c>
      <c r="H241" s="12">
        <v>0</v>
      </c>
      <c r="I241" s="11">
        <v>307.31</v>
      </c>
      <c r="J241" s="12">
        <v>0</v>
      </c>
      <c r="K241" s="11">
        <v>307.31</v>
      </c>
      <c r="L241" s="12">
        <v>0</v>
      </c>
      <c r="M241" s="11">
        <v>307.31</v>
      </c>
      <c r="N241" s="13">
        <v>0</v>
      </c>
      <c r="O241" s="11">
        <v>0</v>
      </c>
      <c r="P241" s="11">
        <v>0</v>
      </c>
      <c r="Q241" s="11">
        <v>0</v>
      </c>
      <c r="R241" s="11">
        <v>0</v>
      </c>
      <c r="S241" s="14">
        <v>0</v>
      </c>
      <c r="T241" s="11">
        <v>307.31</v>
      </c>
      <c r="U241" s="13" cm="1">
        <f t="array" ref="U241">IF(Table8[[#This Row],[I_0]]&lt;Table24[Flitro de Ruido],1,Table8[[#This Row],[I_10]]/Table8[[#This Row],[I_0]])</f>
        <v>1</v>
      </c>
      <c r="V241" s="13" cm="1">
        <f t="array" ref="V241">IF(Table8[[#This Row],[I_0]]&lt;Table24[Flitro de Ruido],1,Table8[[#This Row],[I_20]]/Table8[[#This Row],[I_0]])</f>
        <v>1</v>
      </c>
      <c r="W241" s="13" cm="1">
        <f t="array" ref="W241">IF(Table8[[#This Row],[I_0]]&lt;Table24[Flitro de Ruido],1,Table8[[#This Row],[I_30]]/Table8[[#This Row],[I_0]])</f>
        <v>1</v>
      </c>
      <c r="X241" s="13" cm="1">
        <f t="array" ref="X241">IF(Table8[[#This Row],[I_0]]&lt;Table24[Flitro de Ruido],1,Table8[[#This Row],[I_40]]/Table8[[#This Row],[I_0]])</f>
        <v>1</v>
      </c>
      <c r="Y241" s="13" cm="1">
        <f t="array" ref="Y241">IF(Table8[[#This Row],[I_0]]&lt;Table24[Flitro de Ruido],1,Table8[[#This Row],[I_50]]/Table8[[#This Row],[I_0]])</f>
        <v>1</v>
      </c>
    </row>
    <row r="242" spans="1:25" x14ac:dyDescent="0.3">
      <c r="A242" s="13">
        <v>308.3</v>
      </c>
      <c r="B242" s="12">
        <v>0</v>
      </c>
      <c r="C242" s="11">
        <v>308.3</v>
      </c>
      <c r="D242" s="12">
        <v>0</v>
      </c>
      <c r="E242" s="11">
        <v>308.3</v>
      </c>
      <c r="F242" s="12">
        <v>0</v>
      </c>
      <c r="G242" s="11">
        <v>308.3</v>
      </c>
      <c r="H242" s="12">
        <v>0</v>
      </c>
      <c r="I242" s="11">
        <v>308.3</v>
      </c>
      <c r="J242" s="12">
        <v>0</v>
      </c>
      <c r="K242" s="11">
        <v>308.3</v>
      </c>
      <c r="L242" s="12">
        <v>0</v>
      </c>
      <c r="M242" s="11">
        <v>308.3</v>
      </c>
      <c r="N242" s="13">
        <v>0</v>
      </c>
      <c r="O242" s="11">
        <v>0</v>
      </c>
      <c r="P242" s="11">
        <v>0</v>
      </c>
      <c r="Q242" s="11">
        <v>0</v>
      </c>
      <c r="R242" s="11">
        <v>0</v>
      </c>
      <c r="S242" s="14">
        <v>0</v>
      </c>
      <c r="T242" s="11">
        <v>308.3</v>
      </c>
      <c r="U242" s="13" cm="1">
        <f t="array" ref="U242">IF(Table8[[#This Row],[I_0]]&lt;Table24[Flitro de Ruido],1,Table8[[#This Row],[I_10]]/Table8[[#This Row],[I_0]])</f>
        <v>1</v>
      </c>
      <c r="V242" s="13" cm="1">
        <f t="array" ref="V242">IF(Table8[[#This Row],[I_0]]&lt;Table24[Flitro de Ruido],1,Table8[[#This Row],[I_20]]/Table8[[#This Row],[I_0]])</f>
        <v>1</v>
      </c>
      <c r="W242" s="13" cm="1">
        <f t="array" ref="W242">IF(Table8[[#This Row],[I_0]]&lt;Table24[Flitro de Ruido],1,Table8[[#This Row],[I_30]]/Table8[[#This Row],[I_0]])</f>
        <v>1</v>
      </c>
      <c r="X242" s="13" cm="1">
        <f t="array" ref="X242">IF(Table8[[#This Row],[I_0]]&lt;Table24[Flitro de Ruido],1,Table8[[#This Row],[I_40]]/Table8[[#This Row],[I_0]])</f>
        <v>1</v>
      </c>
      <c r="Y242" s="13" cm="1">
        <f t="array" ref="Y242">IF(Table8[[#This Row],[I_0]]&lt;Table24[Flitro de Ruido],1,Table8[[#This Row],[I_50]]/Table8[[#This Row],[I_0]])</f>
        <v>1</v>
      </c>
    </row>
    <row r="243" spans="1:25" x14ac:dyDescent="0.3">
      <c r="A243" s="13">
        <v>309.3</v>
      </c>
      <c r="B243" s="12">
        <v>0</v>
      </c>
      <c r="C243" s="11">
        <v>309.3</v>
      </c>
      <c r="D243" s="12">
        <v>0</v>
      </c>
      <c r="E243" s="11">
        <v>309.3</v>
      </c>
      <c r="F243" s="12">
        <v>0</v>
      </c>
      <c r="G243" s="11">
        <v>309.3</v>
      </c>
      <c r="H243" s="12">
        <v>0</v>
      </c>
      <c r="I243" s="11">
        <v>309.3</v>
      </c>
      <c r="J243" s="12">
        <v>0</v>
      </c>
      <c r="K243" s="11">
        <v>309.3</v>
      </c>
      <c r="L243" s="12">
        <v>0</v>
      </c>
      <c r="M243" s="11">
        <v>309.3</v>
      </c>
      <c r="N243" s="13">
        <v>0</v>
      </c>
      <c r="O243" s="11">
        <v>0</v>
      </c>
      <c r="P243" s="11">
        <v>0</v>
      </c>
      <c r="Q243" s="11">
        <v>0</v>
      </c>
      <c r="R243" s="11">
        <v>0</v>
      </c>
      <c r="S243" s="14">
        <v>0</v>
      </c>
      <c r="T243" s="11">
        <v>309.3</v>
      </c>
      <c r="U243" s="13" cm="1">
        <f t="array" ref="U243">IF(Table8[[#This Row],[I_0]]&lt;Table24[Flitro de Ruido],1,Table8[[#This Row],[I_10]]/Table8[[#This Row],[I_0]])</f>
        <v>1</v>
      </c>
      <c r="V243" s="13" cm="1">
        <f t="array" ref="V243">IF(Table8[[#This Row],[I_0]]&lt;Table24[Flitro de Ruido],1,Table8[[#This Row],[I_20]]/Table8[[#This Row],[I_0]])</f>
        <v>1</v>
      </c>
      <c r="W243" s="13" cm="1">
        <f t="array" ref="W243">IF(Table8[[#This Row],[I_0]]&lt;Table24[Flitro de Ruido],1,Table8[[#This Row],[I_30]]/Table8[[#This Row],[I_0]])</f>
        <v>1</v>
      </c>
      <c r="X243" s="13" cm="1">
        <f t="array" ref="X243">IF(Table8[[#This Row],[I_0]]&lt;Table24[Flitro de Ruido],1,Table8[[#This Row],[I_40]]/Table8[[#This Row],[I_0]])</f>
        <v>1</v>
      </c>
      <c r="Y243" s="13" cm="1">
        <f t="array" ref="Y243">IF(Table8[[#This Row],[I_0]]&lt;Table24[Flitro de Ruido],1,Table8[[#This Row],[I_50]]/Table8[[#This Row],[I_0]])</f>
        <v>1</v>
      </c>
    </row>
    <row r="244" spans="1:25" x14ac:dyDescent="0.3">
      <c r="A244" s="13">
        <v>310.29000000000002</v>
      </c>
      <c r="B244" s="12">
        <v>0</v>
      </c>
      <c r="C244" s="11">
        <v>310.29000000000002</v>
      </c>
      <c r="D244" s="12">
        <v>0</v>
      </c>
      <c r="E244" s="11">
        <v>310.29000000000002</v>
      </c>
      <c r="F244" s="12">
        <v>0</v>
      </c>
      <c r="G244" s="11">
        <v>310.29000000000002</v>
      </c>
      <c r="H244" s="12">
        <v>0</v>
      </c>
      <c r="I244" s="11">
        <v>310.29000000000002</v>
      </c>
      <c r="J244" s="12">
        <v>0</v>
      </c>
      <c r="K244" s="11">
        <v>310.29000000000002</v>
      </c>
      <c r="L244" s="12">
        <v>0</v>
      </c>
      <c r="M244" s="11">
        <v>310.29000000000002</v>
      </c>
      <c r="N244" s="13">
        <v>0</v>
      </c>
      <c r="O244" s="11">
        <v>0</v>
      </c>
      <c r="P244" s="11">
        <v>0</v>
      </c>
      <c r="Q244" s="11">
        <v>0</v>
      </c>
      <c r="R244" s="11">
        <v>0</v>
      </c>
      <c r="S244" s="14">
        <v>0</v>
      </c>
      <c r="T244" s="11">
        <v>310.29000000000002</v>
      </c>
      <c r="U244" s="13" cm="1">
        <f t="array" ref="U244">IF(Table8[[#This Row],[I_0]]&lt;Table24[Flitro de Ruido],1,Table8[[#This Row],[I_10]]/Table8[[#This Row],[I_0]])</f>
        <v>1</v>
      </c>
      <c r="V244" s="13" cm="1">
        <f t="array" ref="V244">IF(Table8[[#This Row],[I_0]]&lt;Table24[Flitro de Ruido],1,Table8[[#This Row],[I_20]]/Table8[[#This Row],[I_0]])</f>
        <v>1</v>
      </c>
      <c r="W244" s="13" cm="1">
        <f t="array" ref="W244">IF(Table8[[#This Row],[I_0]]&lt;Table24[Flitro de Ruido],1,Table8[[#This Row],[I_30]]/Table8[[#This Row],[I_0]])</f>
        <v>1</v>
      </c>
      <c r="X244" s="13" cm="1">
        <f t="array" ref="X244">IF(Table8[[#This Row],[I_0]]&lt;Table24[Flitro de Ruido],1,Table8[[#This Row],[I_40]]/Table8[[#This Row],[I_0]])</f>
        <v>1</v>
      </c>
      <c r="Y244" s="13" cm="1">
        <f t="array" ref="Y244">IF(Table8[[#This Row],[I_0]]&lt;Table24[Flitro de Ruido],1,Table8[[#This Row],[I_50]]/Table8[[#This Row],[I_0]])</f>
        <v>1</v>
      </c>
    </row>
    <row r="245" spans="1:25" x14ac:dyDescent="0.3">
      <c r="A245" s="13">
        <v>311.27999999999997</v>
      </c>
      <c r="B245" s="12">
        <v>0</v>
      </c>
      <c r="C245" s="11">
        <v>311.27999999999997</v>
      </c>
      <c r="D245" s="12">
        <v>0</v>
      </c>
      <c r="E245" s="11">
        <v>311.27999999999997</v>
      </c>
      <c r="F245" s="12">
        <v>0</v>
      </c>
      <c r="G245" s="11">
        <v>311.27999999999997</v>
      </c>
      <c r="H245" s="12">
        <v>0</v>
      </c>
      <c r="I245" s="11">
        <v>311.27999999999997</v>
      </c>
      <c r="J245" s="12">
        <v>0</v>
      </c>
      <c r="K245" s="11">
        <v>311.27999999999997</v>
      </c>
      <c r="L245" s="12">
        <v>0</v>
      </c>
      <c r="M245" s="11">
        <v>311.27999999999997</v>
      </c>
      <c r="N245" s="13">
        <v>0</v>
      </c>
      <c r="O245" s="11">
        <v>0</v>
      </c>
      <c r="P245" s="11">
        <v>0</v>
      </c>
      <c r="Q245" s="11">
        <v>0</v>
      </c>
      <c r="R245" s="11">
        <v>0</v>
      </c>
      <c r="S245" s="14">
        <v>0</v>
      </c>
      <c r="T245" s="11">
        <v>311.27999999999997</v>
      </c>
      <c r="U245" s="13" cm="1">
        <f t="array" ref="U245">IF(Table8[[#This Row],[I_0]]&lt;Table24[Flitro de Ruido],1,Table8[[#This Row],[I_10]]/Table8[[#This Row],[I_0]])</f>
        <v>1</v>
      </c>
      <c r="V245" s="13" cm="1">
        <f t="array" ref="V245">IF(Table8[[#This Row],[I_0]]&lt;Table24[Flitro de Ruido],1,Table8[[#This Row],[I_20]]/Table8[[#This Row],[I_0]])</f>
        <v>1</v>
      </c>
      <c r="W245" s="13" cm="1">
        <f t="array" ref="W245">IF(Table8[[#This Row],[I_0]]&lt;Table24[Flitro de Ruido],1,Table8[[#This Row],[I_30]]/Table8[[#This Row],[I_0]])</f>
        <v>1</v>
      </c>
      <c r="X245" s="13" cm="1">
        <f t="array" ref="X245">IF(Table8[[#This Row],[I_0]]&lt;Table24[Flitro de Ruido],1,Table8[[#This Row],[I_40]]/Table8[[#This Row],[I_0]])</f>
        <v>1</v>
      </c>
      <c r="Y245" s="13" cm="1">
        <f t="array" ref="Y245">IF(Table8[[#This Row],[I_0]]&lt;Table24[Flitro de Ruido],1,Table8[[#This Row],[I_50]]/Table8[[#This Row],[I_0]])</f>
        <v>1</v>
      </c>
    </row>
    <row r="246" spans="1:25" x14ac:dyDescent="0.3">
      <c r="A246" s="13">
        <v>312.27</v>
      </c>
      <c r="B246" s="12">
        <v>0</v>
      </c>
      <c r="C246" s="11">
        <v>312.27</v>
      </c>
      <c r="D246" s="12">
        <v>0</v>
      </c>
      <c r="E246" s="11">
        <v>312.27</v>
      </c>
      <c r="F246" s="12">
        <v>0</v>
      </c>
      <c r="G246" s="11">
        <v>312.27</v>
      </c>
      <c r="H246" s="12">
        <v>0</v>
      </c>
      <c r="I246" s="11">
        <v>312.27</v>
      </c>
      <c r="J246" s="12">
        <v>0</v>
      </c>
      <c r="K246" s="11">
        <v>312.27</v>
      </c>
      <c r="L246" s="12">
        <v>0</v>
      </c>
      <c r="M246" s="11">
        <v>312.27</v>
      </c>
      <c r="N246" s="13">
        <v>0</v>
      </c>
      <c r="O246" s="11">
        <v>0</v>
      </c>
      <c r="P246" s="11">
        <v>0</v>
      </c>
      <c r="Q246" s="11">
        <v>0</v>
      </c>
      <c r="R246" s="11">
        <v>0</v>
      </c>
      <c r="S246" s="14">
        <v>0</v>
      </c>
      <c r="T246" s="11">
        <v>312.27</v>
      </c>
      <c r="U246" s="13" cm="1">
        <f t="array" ref="U246">IF(Table8[[#This Row],[I_0]]&lt;Table24[Flitro de Ruido],1,Table8[[#This Row],[I_10]]/Table8[[#This Row],[I_0]])</f>
        <v>1</v>
      </c>
      <c r="V246" s="13" cm="1">
        <f t="array" ref="V246">IF(Table8[[#This Row],[I_0]]&lt;Table24[Flitro de Ruido],1,Table8[[#This Row],[I_20]]/Table8[[#This Row],[I_0]])</f>
        <v>1</v>
      </c>
      <c r="W246" s="13" cm="1">
        <f t="array" ref="W246">IF(Table8[[#This Row],[I_0]]&lt;Table24[Flitro de Ruido],1,Table8[[#This Row],[I_30]]/Table8[[#This Row],[I_0]])</f>
        <v>1</v>
      </c>
      <c r="X246" s="13" cm="1">
        <f t="array" ref="X246">IF(Table8[[#This Row],[I_0]]&lt;Table24[Flitro de Ruido],1,Table8[[#This Row],[I_40]]/Table8[[#This Row],[I_0]])</f>
        <v>1</v>
      </c>
      <c r="Y246" s="13" cm="1">
        <f t="array" ref="Y246">IF(Table8[[#This Row],[I_0]]&lt;Table24[Flitro de Ruido],1,Table8[[#This Row],[I_50]]/Table8[[#This Row],[I_0]])</f>
        <v>1</v>
      </c>
    </row>
    <row r="247" spans="1:25" x14ac:dyDescent="0.3">
      <c r="A247" s="13">
        <v>313.26</v>
      </c>
      <c r="B247" s="12">
        <v>0</v>
      </c>
      <c r="C247" s="11">
        <v>313.26</v>
      </c>
      <c r="D247" s="12">
        <v>0</v>
      </c>
      <c r="E247" s="11">
        <v>313.26</v>
      </c>
      <c r="F247" s="12">
        <v>0</v>
      </c>
      <c r="G247" s="11">
        <v>313.26</v>
      </c>
      <c r="H247" s="12">
        <v>0</v>
      </c>
      <c r="I247" s="11">
        <v>313.26</v>
      </c>
      <c r="J247" s="12">
        <v>0</v>
      </c>
      <c r="K247" s="11">
        <v>313.26</v>
      </c>
      <c r="L247" s="12">
        <v>0</v>
      </c>
      <c r="M247" s="11">
        <v>313.26</v>
      </c>
      <c r="N247" s="13">
        <v>0</v>
      </c>
      <c r="O247" s="11">
        <v>0</v>
      </c>
      <c r="P247" s="11">
        <v>0</v>
      </c>
      <c r="Q247" s="11">
        <v>0</v>
      </c>
      <c r="R247" s="11">
        <v>0</v>
      </c>
      <c r="S247" s="14">
        <v>0</v>
      </c>
      <c r="T247" s="11">
        <v>313.26</v>
      </c>
      <c r="U247" s="13" cm="1">
        <f t="array" ref="U247">IF(Table8[[#This Row],[I_0]]&lt;Table24[Flitro de Ruido],1,Table8[[#This Row],[I_10]]/Table8[[#This Row],[I_0]])</f>
        <v>1</v>
      </c>
      <c r="V247" s="13" cm="1">
        <f t="array" ref="V247">IF(Table8[[#This Row],[I_0]]&lt;Table24[Flitro de Ruido],1,Table8[[#This Row],[I_20]]/Table8[[#This Row],[I_0]])</f>
        <v>1</v>
      </c>
      <c r="W247" s="13" cm="1">
        <f t="array" ref="W247">IF(Table8[[#This Row],[I_0]]&lt;Table24[Flitro de Ruido],1,Table8[[#This Row],[I_30]]/Table8[[#This Row],[I_0]])</f>
        <v>1</v>
      </c>
      <c r="X247" s="13" cm="1">
        <f t="array" ref="X247">IF(Table8[[#This Row],[I_0]]&lt;Table24[Flitro de Ruido],1,Table8[[#This Row],[I_40]]/Table8[[#This Row],[I_0]])</f>
        <v>1</v>
      </c>
      <c r="Y247" s="13" cm="1">
        <f t="array" ref="Y247">IF(Table8[[#This Row],[I_0]]&lt;Table24[Flitro de Ruido],1,Table8[[#This Row],[I_50]]/Table8[[#This Row],[I_0]])</f>
        <v>1</v>
      </c>
    </row>
    <row r="248" spans="1:25" x14ac:dyDescent="0.3">
      <c r="A248" s="13">
        <v>314.26</v>
      </c>
      <c r="B248" s="12">
        <v>0</v>
      </c>
      <c r="C248" s="11">
        <v>314.26</v>
      </c>
      <c r="D248" s="12">
        <v>0</v>
      </c>
      <c r="E248" s="11">
        <v>314.26</v>
      </c>
      <c r="F248" s="12">
        <v>0</v>
      </c>
      <c r="G248" s="11">
        <v>314.26</v>
      </c>
      <c r="H248" s="12">
        <v>0</v>
      </c>
      <c r="I248" s="11">
        <v>314.26</v>
      </c>
      <c r="J248" s="12">
        <v>0</v>
      </c>
      <c r="K248" s="11">
        <v>314.26</v>
      </c>
      <c r="L248" s="12">
        <v>0</v>
      </c>
      <c r="M248" s="11">
        <v>314.26</v>
      </c>
      <c r="N248" s="13">
        <v>0</v>
      </c>
      <c r="O248" s="11">
        <v>0</v>
      </c>
      <c r="P248" s="11">
        <v>0</v>
      </c>
      <c r="Q248" s="11">
        <v>0</v>
      </c>
      <c r="R248" s="11">
        <v>0</v>
      </c>
      <c r="S248" s="14">
        <v>0</v>
      </c>
      <c r="T248" s="11">
        <v>314.26</v>
      </c>
      <c r="U248" s="13" cm="1">
        <f t="array" ref="U248">IF(Table8[[#This Row],[I_0]]&lt;Table24[Flitro de Ruido],1,Table8[[#This Row],[I_10]]/Table8[[#This Row],[I_0]])</f>
        <v>1</v>
      </c>
      <c r="V248" s="13" cm="1">
        <f t="array" ref="V248">IF(Table8[[#This Row],[I_0]]&lt;Table24[Flitro de Ruido],1,Table8[[#This Row],[I_20]]/Table8[[#This Row],[I_0]])</f>
        <v>1</v>
      </c>
      <c r="W248" s="13" cm="1">
        <f t="array" ref="W248">IF(Table8[[#This Row],[I_0]]&lt;Table24[Flitro de Ruido],1,Table8[[#This Row],[I_30]]/Table8[[#This Row],[I_0]])</f>
        <v>1</v>
      </c>
      <c r="X248" s="13" cm="1">
        <f t="array" ref="X248">IF(Table8[[#This Row],[I_0]]&lt;Table24[Flitro de Ruido],1,Table8[[#This Row],[I_40]]/Table8[[#This Row],[I_0]])</f>
        <v>1</v>
      </c>
      <c r="Y248" s="13" cm="1">
        <f t="array" ref="Y248">IF(Table8[[#This Row],[I_0]]&lt;Table24[Flitro de Ruido],1,Table8[[#This Row],[I_50]]/Table8[[#This Row],[I_0]])</f>
        <v>1</v>
      </c>
    </row>
    <row r="249" spans="1:25" x14ac:dyDescent="0.3">
      <c r="A249" s="13">
        <v>315.25</v>
      </c>
      <c r="B249" s="12">
        <v>0</v>
      </c>
      <c r="C249" s="11">
        <v>315.25</v>
      </c>
      <c r="D249" s="12">
        <v>0</v>
      </c>
      <c r="E249" s="11">
        <v>315.25</v>
      </c>
      <c r="F249" s="12">
        <v>0</v>
      </c>
      <c r="G249" s="11">
        <v>315.25</v>
      </c>
      <c r="H249" s="12">
        <v>0</v>
      </c>
      <c r="I249" s="11">
        <v>315.25</v>
      </c>
      <c r="J249" s="12">
        <v>0</v>
      </c>
      <c r="K249" s="11">
        <v>315.25</v>
      </c>
      <c r="L249" s="12">
        <v>0</v>
      </c>
      <c r="M249" s="11">
        <v>315.25</v>
      </c>
      <c r="N249" s="13">
        <v>0</v>
      </c>
      <c r="O249" s="11">
        <v>0</v>
      </c>
      <c r="P249" s="11">
        <v>0</v>
      </c>
      <c r="Q249" s="11">
        <v>0</v>
      </c>
      <c r="R249" s="11">
        <v>0</v>
      </c>
      <c r="S249" s="14">
        <v>0</v>
      </c>
      <c r="T249" s="11">
        <v>315.25</v>
      </c>
      <c r="U249" s="13" cm="1">
        <f t="array" ref="U249">IF(Table8[[#This Row],[I_0]]&lt;Table24[Flitro de Ruido],1,Table8[[#This Row],[I_10]]/Table8[[#This Row],[I_0]])</f>
        <v>1</v>
      </c>
      <c r="V249" s="13" cm="1">
        <f t="array" ref="V249">IF(Table8[[#This Row],[I_0]]&lt;Table24[Flitro de Ruido],1,Table8[[#This Row],[I_20]]/Table8[[#This Row],[I_0]])</f>
        <v>1</v>
      </c>
      <c r="W249" s="13" cm="1">
        <f t="array" ref="W249">IF(Table8[[#This Row],[I_0]]&lt;Table24[Flitro de Ruido],1,Table8[[#This Row],[I_30]]/Table8[[#This Row],[I_0]])</f>
        <v>1</v>
      </c>
      <c r="X249" s="13" cm="1">
        <f t="array" ref="X249">IF(Table8[[#This Row],[I_0]]&lt;Table24[Flitro de Ruido],1,Table8[[#This Row],[I_40]]/Table8[[#This Row],[I_0]])</f>
        <v>1</v>
      </c>
      <c r="Y249" s="13" cm="1">
        <f t="array" ref="Y249">IF(Table8[[#This Row],[I_0]]&lt;Table24[Flitro de Ruido],1,Table8[[#This Row],[I_50]]/Table8[[#This Row],[I_0]])</f>
        <v>1</v>
      </c>
    </row>
    <row r="250" spans="1:25" x14ac:dyDescent="0.3">
      <c r="A250" s="13">
        <v>316.24</v>
      </c>
      <c r="B250" s="12">
        <v>0</v>
      </c>
      <c r="C250" s="11">
        <v>316.24</v>
      </c>
      <c r="D250" s="12">
        <v>0</v>
      </c>
      <c r="E250" s="11">
        <v>316.24</v>
      </c>
      <c r="F250" s="12">
        <v>0</v>
      </c>
      <c r="G250" s="11">
        <v>316.24</v>
      </c>
      <c r="H250" s="12">
        <v>0</v>
      </c>
      <c r="I250" s="11">
        <v>316.24</v>
      </c>
      <c r="J250" s="12">
        <v>0</v>
      </c>
      <c r="K250" s="11">
        <v>316.24</v>
      </c>
      <c r="L250" s="12">
        <v>0</v>
      </c>
      <c r="M250" s="11">
        <v>316.24</v>
      </c>
      <c r="N250" s="13">
        <v>0</v>
      </c>
      <c r="O250" s="11">
        <v>0</v>
      </c>
      <c r="P250" s="11">
        <v>0</v>
      </c>
      <c r="Q250" s="11">
        <v>0</v>
      </c>
      <c r="R250" s="11">
        <v>0</v>
      </c>
      <c r="S250" s="14">
        <v>0</v>
      </c>
      <c r="T250" s="11">
        <v>316.24</v>
      </c>
      <c r="U250" s="13" cm="1">
        <f t="array" ref="U250">IF(Table8[[#This Row],[I_0]]&lt;Table24[Flitro de Ruido],1,Table8[[#This Row],[I_10]]/Table8[[#This Row],[I_0]])</f>
        <v>1</v>
      </c>
      <c r="V250" s="13" cm="1">
        <f t="array" ref="V250">IF(Table8[[#This Row],[I_0]]&lt;Table24[Flitro de Ruido],1,Table8[[#This Row],[I_20]]/Table8[[#This Row],[I_0]])</f>
        <v>1</v>
      </c>
      <c r="W250" s="13" cm="1">
        <f t="array" ref="W250">IF(Table8[[#This Row],[I_0]]&lt;Table24[Flitro de Ruido],1,Table8[[#This Row],[I_30]]/Table8[[#This Row],[I_0]])</f>
        <v>1</v>
      </c>
      <c r="X250" s="13" cm="1">
        <f t="array" ref="X250">IF(Table8[[#This Row],[I_0]]&lt;Table24[Flitro de Ruido],1,Table8[[#This Row],[I_40]]/Table8[[#This Row],[I_0]])</f>
        <v>1</v>
      </c>
      <c r="Y250" s="13" cm="1">
        <f t="array" ref="Y250">IF(Table8[[#This Row],[I_0]]&lt;Table24[Flitro de Ruido],1,Table8[[#This Row],[I_50]]/Table8[[#This Row],[I_0]])</f>
        <v>1</v>
      </c>
    </row>
    <row r="251" spans="1:25" x14ac:dyDescent="0.3">
      <c r="A251" s="13">
        <v>317.23</v>
      </c>
      <c r="B251" s="12">
        <v>0</v>
      </c>
      <c r="C251" s="11">
        <v>317.23</v>
      </c>
      <c r="D251" s="12">
        <v>0</v>
      </c>
      <c r="E251" s="11">
        <v>317.23</v>
      </c>
      <c r="F251" s="12">
        <v>0</v>
      </c>
      <c r="G251" s="11">
        <v>317.23</v>
      </c>
      <c r="H251" s="12">
        <v>0</v>
      </c>
      <c r="I251" s="11">
        <v>317.23</v>
      </c>
      <c r="J251" s="12">
        <v>0</v>
      </c>
      <c r="K251" s="11">
        <v>317.23</v>
      </c>
      <c r="L251" s="12">
        <v>0</v>
      </c>
      <c r="M251" s="11">
        <v>317.23</v>
      </c>
      <c r="N251" s="13">
        <v>0</v>
      </c>
      <c r="O251" s="11">
        <v>0</v>
      </c>
      <c r="P251" s="11">
        <v>0</v>
      </c>
      <c r="Q251" s="11">
        <v>0</v>
      </c>
      <c r="R251" s="11">
        <v>0</v>
      </c>
      <c r="S251" s="14">
        <v>0</v>
      </c>
      <c r="T251" s="11">
        <v>317.23</v>
      </c>
      <c r="U251" s="13" cm="1">
        <f t="array" ref="U251">IF(Table8[[#This Row],[I_0]]&lt;Table24[Flitro de Ruido],1,Table8[[#This Row],[I_10]]/Table8[[#This Row],[I_0]])</f>
        <v>1</v>
      </c>
      <c r="V251" s="13" cm="1">
        <f t="array" ref="V251">IF(Table8[[#This Row],[I_0]]&lt;Table24[Flitro de Ruido],1,Table8[[#This Row],[I_20]]/Table8[[#This Row],[I_0]])</f>
        <v>1</v>
      </c>
      <c r="W251" s="13" cm="1">
        <f t="array" ref="W251">IF(Table8[[#This Row],[I_0]]&lt;Table24[Flitro de Ruido],1,Table8[[#This Row],[I_30]]/Table8[[#This Row],[I_0]])</f>
        <v>1</v>
      </c>
      <c r="X251" s="13" cm="1">
        <f t="array" ref="X251">IF(Table8[[#This Row],[I_0]]&lt;Table24[Flitro de Ruido],1,Table8[[#This Row],[I_40]]/Table8[[#This Row],[I_0]])</f>
        <v>1</v>
      </c>
      <c r="Y251" s="13" cm="1">
        <f t="array" ref="Y251">IF(Table8[[#This Row],[I_0]]&lt;Table24[Flitro de Ruido],1,Table8[[#This Row],[I_50]]/Table8[[#This Row],[I_0]])</f>
        <v>1</v>
      </c>
    </row>
    <row r="252" spans="1:25" x14ac:dyDescent="0.3">
      <c r="A252" s="13">
        <v>318.22000000000003</v>
      </c>
      <c r="B252" s="12">
        <v>0</v>
      </c>
      <c r="C252" s="11">
        <v>318.22000000000003</v>
      </c>
      <c r="D252" s="12">
        <v>0</v>
      </c>
      <c r="E252" s="11">
        <v>318.22000000000003</v>
      </c>
      <c r="F252" s="12">
        <v>0</v>
      </c>
      <c r="G252" s="11">
        <v>318.22000000000003</v>
      </c>
      <c r="H252" s="12">
        <v>0</v>
      </c>
      <c r="I252" s="11">
        <v>318.22000000000003</v>
      </c>
      <c r="J252" s="12">
        <v>0</v>
      </c>
      <c r="K252" s="11">
        <v>318.22000000000003</v>
      </c>
      <c r="L252" s="12">
        <v>0</v>
      </c>
      <c r="M252" s="11">
        <v>318.22000000000003</v>
      </c>
      <c r="N252" s="13">
        <v>0</v>
      </c>
      <c r="O252" s="11">
        <v>0</v>
      </c>
      <c r="P252" s="11">
        <v>0</v>
      </c>
      <c r="Q252" s="11">
        <v>0</v>
      </c>
      <c r="R252" s="11">
        <v>0</v>
      </c>
      <c r="S252" s="14">
        <v>0</v>
      </c>
      <c r="T252" s="11">
        <v>318.22000000000003</v>
      </c>
      <c r="U252" s="13" cm="1">
        <f t="array" ref="U252">IF(Table8[[#This Row],[I_0]]&lt;Table24[Flitro de Ruido],1,Table8[[#This Row],[I_10]]/Table8[[#This Row],[I_0]])</f>
        <v>1</v>
      </c>
      <c r="V252" s="13" cm="1">
        <f t="array" ref="V252">IF(Table8[[#This Row],[I_0]]&lt;Table24[Flitro de Ruido],1,Table8[[#This Row],[I_20]]/Table8[[#This Row],[I_0]])</f>
        <v>1</v>
      </c>
      <c r="W252" s="13" cm="1">
        <f t="array" ref="W252">IF(Table8[[#This Row],[I_0]]&lt;Table24[Flitro de Ruido],1,Table8[[#This Row],[I_30]]/Table8[[#This Row],[I_0]])</f>
        <v>1</v>
      </c>
      <c r="X252" s="13" cm="1">
        <f t="array" ref="X252">IF(Table8[[#This Row],[I_0]]&lt;Table24[Flitro de Ruido],1,Table8[[#This Row],[I_40]]/Table8[[#This Row],[I_0]])</f>
        <v>1</v>
      </c>
      <c r="Y252" s="13" cm="1">
        <f t="array" ref="Y252">IF(Table8[[#This Row],[I_0]]&lt;Table24[Flitro de Ruido],1,Table8[[#This Row],[I_50]]/Table8[[#This Row],[I_0]])</f>
        <v>1</v>
      </c>
    </row>
    <row r="253" spans="1:25" x14ac:dyDescent="0.3">
      <c r="A253" s="13">
        <v>319.20999999999998</v>
      </c>
      <c r="B253" s="12">
        <v>0</v>
      </c>
      <c r="C253" s="11">
        <v>319.20999999999998</v>
      </c>
      <c r="D253" s="12">
        <v>0</v>
      </c>
      <c r="E253" s="11">
        <v>319.20999999999998</v>
      </c>
      <c r="F253" s="12">
        <v>0</v>
      </c>
      <c r="G253" s="11">
        <v>319.20999999999998</v>
      </c>
      <c r="H253" s="12">
        <v>0</v>
      </c>
      <c r="I253" s="11">
        <v>319.20999999999998</v>
      </c>
      <c r="J253" s="12">
        <v>0</v>
      </c>
      <c r="K253" s="11">
        <v>319.20999999999998</v>
      </c>
      <c r="L253" s="12">
        <v>0</v>
      </c>
      <c r="M253" s="11">
        <v>319.20999999999998</v>
      </c>
      <c r="N253" s="13">
        <v>0</v>
      </c>
      <c r="O253" s="11">
        <v>0</v>
      </c>
      <c r="P253" s="11">
        <v>0</v>
      </c>
      <c r="Q253" s="11">
        <v>0</v>
      </c>
      <c r="R253" s="11">
        <v>0</v>
      </c>
      <c r="S253" s="14">
        <v>0</v>
      </c>
      <c r="T253" s="11">
        <v>319.20999999999998</v>
      </c>
      <c r="U253" s="13" cm="1">
        <f t="array" ref="U253">IF(Table8[[#This Row],[I_0]]&lt;Table24[Flitro de Ruido],1,Table8[[#This Row],[I_10]]/Table8[[#This Row],[I_0]])</f>
        <v>1</v>
      </c>
      <c r="V253" s="13" cm="1">
        <f t="array" ref="V253">IF(Table8[[#This Row],[I_0]]&lt;Table24[Flitro de Ruido],1,Table8[[#This Row],[I_20]]/Table8[[#This Row],[I_0]])</f>
        <v>1</v>
      </c>
      <c r="W253" s="13" cm="1">
        <f t="array" ref="W253">IF(Table8[[#This Row],[I_0]]&lt;Table24[Flitro de Ruido],1,Table8[[#This Row],[I_30]]/Table8[[#This Row],[I_0]])</f>
        <v>1</v>
      </c>
      <c r="X253" s="13" cm="1">
        <f t="array" ref="X253">IF(Table8[[#This Row],[I_0]]&lt;Table24[Flitro de Ruido],1,Table8[[#This Row],[I_40]]/Table8[[#This Row],[I_0]])</f>
        <v>1</v>
      </c>
      <c r="Y253" s="13" cm="1">
        <f t="array" ref="Y253">IF(Table8[[#This Row],[I_0]]&lt;Table24[Flitro de Ruido],1,Table8[[#This Row],[I_50]]/Table8[[#This Row],[I_0]])</f>
        <v>1</v>
      </c>
    </row>
    <row r="254" spans="1:25" x14ac:dyDescent="0.3">
      <c r="A254" s="13">
        <v>320.20999999999998</v>
      </c>
      <c r="B254" s="12">
        <v>0</v>
      </c>
      <c r="C254" s="11">
        <v>320.20999999999998</v>
      </c>
      <c r="D254" s="12">
        <v>0</v>
      </c>
      <c r="E254" s="11">
        <v>320.20999999999998</v>
      </c>
      <c r="F254" s="12">
        <v>0</v>
      </c>
      <c r="G254" s="11">
        <v>320.20999999999998</v>
      </c>
      <c r="H254" s="12">
        <v>0</v>
      </c>
      <c r="I254" s="11">
        <v>320.20999999999998</v>
      </c>
      <c r="J254" s="12">
        <v>0</v>
      </c>
      <c r="K254" s="11">
        <v>320.20999999999998</v>
      </c>
      <c r="L254" s="12">
        <v>0</v>
      </c>
      <c r="M254" s="11">
        <v>320.20999999999998</v>
      </c>
      <c r="N254" s="13">
        <v>0</v>
      </c>
      <c r="O254" s="11">
        <v>0</v>
      </c>
      <c r="P254" s="11">
        <v>0</v>
      </c>
      <c r="Q254" s="11">
        <v>0</v>
      </c>
      <c r="R254" s="11">
        <v>0</v>
      </c>
      <c r="S254" s="14">
        <v>0</v>
      </c>
      <c r="T254" s="11">
        <v>320.20999999999998</v>
      </c>
      <c r="U254" s="13" cm="1">
        <f t="array" ref="U254">IF(Table8[[#This Row],[I_0]]&lt;Table24[Flitro de Ruido],1,Table8[[#This Row],[I_10]]/Table8[[#This Row],[I_0]])</f>
        <v>1</v>
      </c>
      <c r="V254" s="13" cm="1">
        <f t="array" ref="V254">IF(Table8[[#This Row],[I_0]]&lt;Table24[Flitro de Ruido],1,Table8[[#This Row],[I_20]]/Table8[[#This Row],[I_0]])</f>
        <v>1</v>
      </c>
      <c r="W254" s="13" cm="1">
        <f t="array" ref="W254">IF(Table8[[#This Row],[I_0]]&lt;Table24[Flitro de Ruido],1,Table8[[#This Row],[I_30]]/Table8[[#This Row],[I_0]])</f>
        <v>1</v>
      </c>
      <c r="X254" s="13" cm="1">
        <f t="array" ref="X254">IF(Table8[[#This Row],[I_0]]&lt;Table24[Flitro de Ruido],1,Table8[[#This Row],[I_40]]/Table8[[#This Row],[I_0]])</f>
        <v>1</v>
      </c>
      <c r="Y254" s="13" cm="1">
        <f t="array" ref="Y254">IF(Table8[[#This Row],[I_0]]&lt;Table24[Flitro de Ruido],1,Table8[[#This Row],[I_50]]/Table8[[#This Row],[I_0]])</f>
        <v>1</v>
      </c>
    </row>
    <row r="255" spans="1:25" x14ac:dyDescent="0.3">
      <c r="A255" s="13">
        <v>321.2</v>
      </c>
      <c r="B255" s="12">
        <v>0</v>
      </c>
      <c r="C255" s="11">
        <v>321.2</v>
      </c>
      <c r="D255" s="12">
        <v>0</v>
      </c>
      <c r="E255" s="11">
        <v>321.2</v>
      </c>
      <c r="F255" s="12">
        <v>0</v>
      </c>
      <c r="G255" s="11">
        <v>321.2</v>
      </c>
      <c r="H255" s="12">
        <v>0</v>
      </c>
      <c r="I255" s="11">
        <v>321.2</v>
      </c>
      <c r="J255" s="12">
        <v>0</v>
      </c>
      <c r="K255" s="11">
        <v>321.2</v>
      </c>
      <c r="L255" s="12">
        <v>0</v>
      </c>
      <c r="M255" s="11">
        <v>321.2</v>
      </c>
      <c r="N255" s="13">
        <v>0</v>
      </c>
      <c r="O255" s="11">
        <v>0</v>
      </c>
      <c r="P255" s="11">
        <v>0</v>
      </c>
      <c r="Q255" s="11">
        <v>0</v>
      </c>
      <c r="R255" s="11">
        <v>0</v>
      </c>
      <c r="S255" s="14">
        <v>0</v>
      </c>
      <c r="T255" s="11">
        <v>321.2</v>
      </c>
      <c r="U255" s="13" cm="1">
        <f t="array" ref="U255">IF(Table8[[#This Row],[I_0]]&lt;Table24[Flitro de Ruido],1,Table8[[#This Row],[I_10]]/Table8[[#This Row],[I_0]])</f>
        <v>1</v>
      </c>
      <c r="V255" s="13" cm="1">
        <f t="array" ref="V255">IF(Table8[[#This Row],[I_0]]&lt;Table24[Flitro de Ruido],1,Table8[[#This Row],[I_20]]/Table8[[#This Row],[I_0]])</f>
        <v>1</v>
      </c>
      <c r="W255" s="13" cm="1">
        <f t="array" ref="W255">IF(Table8[[#This Row],[I_0]]&lt;Table24[Flitro de Ruido],1,Table8[[#This Row],[I_30]]/Table8[[#This Row],[I_0]])</f>
        <v>1</v>
      </c>
      <c r="X255" s="13" cm="1">
        <f t="array" ref="X255">IF(Table8[[#This Row],[I_0]]&lt;Table24[Flitro de Ruido],1,Table8[[#This Row],[I_40]]/Table8[[#This Row],[I_0]])</f>
        <v>1</v>
      </c>
      <c r="Y255" s="13" cm="1">
        <f t="array" ref="Y255">IF(Table8[[#This Row],[I_0]]&lt;Table24[Flitro de Ruido],1,Table8[[#This Row],[I_50]]/Table8[[#This Row],[I_0]])</f>
        <v>1</v>
      </c>
    </row>
    <row r="256" spans="1:25" x14ac:dyDescent="0.3">
      <c r="A256" s="13">
        <v>322.19</v>
      </c>
      <c r="B256" s="12">
        <v>0</v>
      </c>
      <c r="C256" s="11">
        <v>322.19</v>
      </c>
      <c r="D256" s="12">
        <v>0</v>
      </c>
      <c r="E256" s="11">
        <v>322.19</v>
      </c>
      <c r="F256" s="12">
        <v>0</v>
      </c>
      <c r="G256" s="11">
        <v>322.19</v>
      </c>
      <c r="H256" s="12">
        <v>0</v>
      </c>
      <c r="I256" s="11">
        <v>322.19</v>
      </c>
      <c r="J256" s="12">
        <v>0</v>
      </c>
      <c r="K256" s="11">
        <v>322.19</v>
      </c>
      <c r="L256" s="12">
        <v>0</v>
      </c>
      <c r="M256" s="11">
        <v>322.19</v>
      </c>
      <c r="N256" s="13">
        <v>0</v>
      </c>
      <c r="O256" s="11">
        <v>0</v>
      </c>
      <c r="P256" s="11">
        <v>0</v>
      </c>
      <c r="Q256" s="11">
        <v>0</v>
      </c>
      <c r="R256" s="11">
        <v>0</v>
      </c>
      <c r="S256" s="14">
        <v>0</v>
      </c>
      <c r="T256" s="11">
        <v>322.19</v>
      </c>
      <c r="U256" s="13" cm="1">
        <f t="array" ref="U256">IF(Table8[[#This Row],[I_0]]&lt;Table24[Flitro de Ruido],1,Table8[[#This Row],[I_10]]/Table8[[#This Row],[I_0]])</f>
        <v>1</v>
      </c>
      <c r="V256" s="13" cm="1">
        <f t="array" ref="V256">IF(Table8[[#This Row],[I_0]]&lt;Table24[Flitro de Ruido],1,Table8[[#This Row],[I_20]]/Table8[[#This Row],[I_0]])</f>
        <v>1</v>
      </c>
      <c r="W256" s="13" cm="1">
        <f t="array" ref="W256">IF(Table8[[#This Row],[I_0]]&lt;Table24[Flitro de Ruido],1,Table8[[#This Row],[I_30]]/Table8[[#This Row],[I_0]])</f>
        <v>1</v>
      </c>
      <c r="X256" s="13" cm="1">
        <f t="array" ref="X256">IF(Table8[[#This Row],[I_0]]&lt;Table24[Flitro de Ruido],1,Table8[[#This Row],[I_40]]/Table8[[#This Row],[I_0]])</f>
        <v>1</v>
      </c>
      <c r="Y256" s="13" cm="1">
        <f t="array" ref="Y256">IF(Table8[[#This Row],[I_0]]&lt;Table24[Flitro de Ruido],1,Table8[[#This Row],[I_50]]/Table8[[#This Row],[I_0]])</f>
        <v>1</v>
      </c>
    </row>
    <row r="257" spans="1:25" x14ac:dyDescent="0.3">
      <c r="A257" s="13">
        <v>323.18</v>
      </c>
      <c r="B257" s="12">
        <v>0</v>
      </c>
      <c r="C257" s="11">
        <v>323.18</v>
      </c>
      <c r="D257" s="12">
        <v>0</v>
      </c>
      <c r="E257" s="11">
        <v>323.18</v>
      </c>
      <c r="F257" s="12">
        <v>0</v>
      </c>
      <c r="G257" s="11">
        <v>323.18</v>
      </c>
      <c r="H257" s="12">
        <v>0</v>
      </c>
      <c r="I257" s="11">
        <v>323.18</v>
      </c>
      <c r="J257" s="12">
        <v>0</v>
      </c>
      <c r="K257" s="11">
        <v>323.18</v>
      </c>
      <c r="L257" s="12">
        <v>0</v>
      </c>
      <c r="M257" s="11">
        <v>323.18</v>
      </c>
      <c r="N257" s="13">
        <v>0</v>
      </c>
      <c r="O257" s="11">
        <v>0</v>
      </c>
      <c r="P257" s="11">
        <v>0</v>
      </c>
      <c r="Q257" s="11">
        <v>0</v>
      </c>
      <c r="R257" s="11">
        <v>0</v>
      </c>
      <c r="S257" s="14">
        <v>0</v>
      </c>
      <c r="T257" s="11">
        <v>323.18</v>
      </c>
      <c r="U257" s="13" cm="1">
        <f t="array" ref="U257">IF(Table8[[#This Row],[I_0]]&lt;Table24[Flitro de Ruido],1,Table8[[#This Row],[I_10]]/Table8[[#This Row],[I_0]])</f>
        <v>1</v>
      </c>
      <c r="V257" s="13" cm="1">
        <f t="array" ref="V257">IF(Table8[[#This Row],[I_0]]&lt;Table24[Flitro de Ruido],1,Table8[[#This Row],[I_20]]/Table8[[#This Row],[I_0]])</f>
        <v>1</v>
      </c>
      <c r="W257" s="13" cm="1">
        <f t="array" ref="W257">IF(Table8[[#This Row],[I_0]]&lt;Table24[Flitro de Ruido],1,Table8[[#This Row],[I_30]]/Table8[[#This Row],[I_0]])</f>
        <v>1</v>
      </c>
      <c r="X257" s="13" cm="1">
        <f t="array" ref="X257">IF(Table8[[#This Row],[I_0]]&lt;Table24[Flitro de Ruido],1,Table8[[#This Row],[I_40]]/Table8[[#This Row],[I_0]])</f>
        <v>1</v>
      </c>
      <c r="Y257" s="13" cm="1">
        <f t="array" ref="Y257">IF(Table8[[#This Row],[I_0]]&lt;Table24[Flitro de Ruido],1,Table8[[#This Row],[I_50]]/Table8[[#This Row],[I_0]])</f>
        <v>1</v>
      </c>
    </row>
    <row r="258" spans="1:25" x14ac:dyDescent="0.3">
      <c r="A258" s="13">
        <v>324.17</v>
      </c>
      <c r="B258" s="12">
        <v>0</v>
      </c>
      <c r="C258" s="11">
        <v>324.17</v>
      </c>
      <c r="D258" s="12">
        <v>0</v>
      </c>
      <c r="E258" s="11">
        <v>324.17</v>
      </c>
      <c r="F258" s="12">
        <v>0</v>
      </c>
      <c r="G258" s="11">
        <v>324.17</v>
      </c>
      <c r="H258" s="12">
        <v>0</v>
      </c>
      <c r="I258" s="11">
        <v>324.17</v>
      </c>
      <c r="J258" s="12">
        <v>0</v>
      </c>
      <c r="K258" s="11">
        <v>324.17</v>
      </c>
      <c r="L258" s="12">
        <v>0</v>
      </c>
      <c r="M258" s="11">
        <v>324.17</v>
      </c>
      <c r="N258" s="13">
        <v>0</v>
      </c>
      <c r="O258" s="11">
        <v>0</v>
      </c>
      <c r="P258" s="11">
        <v>0</v>
      </c>
      <c r="Q258" s="11">
        <v>0</v>
      </c>
      <c r="R258" s="11">
        <v>0</v>
      </c>
      <c r="S258" s="14">
        <v>0</v>
      </c>
      <c r="T258" s="11">
        <v>324.17</v>
      </c>
      <c r="U258" s="13" cm="1">
        <f t="array" ref="U258">IF(Table8[[#This Row],[I_0]]&lt;Table24[Flitro de Ruido],1,Table8[[#This Row],[I_10]]/Table8[[#This Row],[I_0]])</f>
        <v>1</v>
      </c>
      <c r="V258" s="13" cm="1">
        <f t="array" ref="V258">IF(Table8[[#This Row],[I_0]]&lt;Table24[Flitro de Ruido],1,Table8[[#This Row],[I_20]]/Table8[[#This Row],[I_0]])</f>
        <v>1</v>
      </c>
      <c r="W258" s="13" cm="1">
        <f t="array" ref="W258">IF(Table8[[#This Row],[I_0]]&lt;Table24[Flitro de Ruido],1,Table8[[#This Row],[I_30]]/Table8[[#This Row],[I_0]])</f>
        <v>1</v>
      </c>
      <c r="X258" s="13" cm="1">
        <f t="array" ref="X258">IF(Table8[[#This Row],[I_0]]&lt;Table24[Flitro de Ruido],1,Table8[[#This Row],[I_40]]/Table8[[#This Row],[I_0]])</f>
        <v>1</v>
      </c>
      <c r="Y258" s="13" cm="1">
        <f t="array" ref="Y258">IF(Table8[[#This Row],[I_0]]&lt;Table24[Flitro de Ruido],1,Table8[[#This Row],[I_50]]/Table8[[#This Row],[I_0]])</f>
        <v>1</v>
      </c>
    </row>
    <row r="259" spans="1:25" x14ac:dyDescent="0.3">
      <c r="A259" s="13">
        <v>325.16000000000003</v>
      </c>
      <c r="B259" s="12">
        <v>0</v>
      </c>
      <c r="C259" s="11">
        <v>325.16000000000003</v>
      </c>
      <c r="D259" s="12">
        <v>0</v>
      </c>
      <c r="E259" s="11">
        <v>325.16000000000003</v>
      </c>
      <c r="F259" s="12">
        <v>0</v>
      </c>
      <c r="G259" s="11">
        <v>325.16000000000003</v>
      </c>
      <c r="H259" s="12">
        <v>0</v>
      </c>
      <c r="I259" s="11">
        <v>325.16000000000003</v>
      </c>
      <c r="J259" s="12">
        <v>0</v>
      </c>
      <c r="K259" s="11">
        <v>325.16000000000003</v>
      </c>
      <c r="L259" s="12">
        <v>0</v>
      </c>
      <c r="M259" s="11">
        <v>325.16000000000003</v>
      </c>
      <c r="N259" s="13">
        <v>0</v>
      </c>
      <c r="O259" s="11">
        <v>0</v>
      </c>
      <c r="P259" s="11">
        <v>0</v>
      </c>
      <c r="Q259" s="11">
        <v>0</v>
      </c>
      <c r="R259" s="11">
        <v>0</v>
      </c>
      <c r="S259" s="14">
        <v>0</v>
      </c>
      <c r="T259" s="11">
        <v>325.16000000000003</v>
      </c>
      <c r="U259" s="13" cm="1">
        <f t="array" ref="U259">IF(Table8[[#This Row],[I_0]]&lt;Table24[Flitro de Ruido],1,Table8[[#This Row],[I_10]]/Table8[[#This Row],[I_0]])</f>
        <v>1</v>
      </c>
      <c r="V259" s="13" cm="1">
        <f t="array" ref="V259">IF(Table8[[#This Row],[I_0]]&lt;Table24[Flitro de Ruido],1,Table8[[#This Row],[I_20]]/Table8[[#This Row],[I_0]])</f>
        <v>1</v>
      </c>
      <c r="W259" s="13" cm="1">
        <f t="array" ref="W259">IF(Table8[[#This Row],[I_0]]&lt;Table24[Flitro de Ruido],1,Table8[[#This Row],[I_30]]/Table8[[#This Row],[I_0]])</f>
        <v>1</v>
      </c>
      <c r="X259" s="13" cm="1">
        <f t="array" ref="X259">IF(Table8[[#This Row],[I_0]]&lt;Table24[Flitro de Ruido],1,Table8[[#This Row],[I_40]]/Table8[[#This Row],[I_0]])</f>
        <v>1</v>
      </c>
      <c r="Y259" s="13" cm="1">
        <f t="array" ref="Y259">IF(Table8[[#This Row],[I_0]]&lt;Table24[Flitro de Ruido],1,Table8[[#This Row],[I_50]]/Table8[[#This Row],[I_0]])</f>
        <v>1</v>
      </c>
    </row>
    <row r="260" spans="1:25" x14ac:dyDescent="0.3">
      <c r="A260" s="13">
        <v>326.16000000000003</v>
      </c>
      <c r="B260" s="12">
        <v>0</v>
      </c>
      <c r="C260" s="11">
        <v>326.16000000000003</v>
      </c>
      <c r="D260" s="12">
        <v>0</v>
      </c>
      <c r="E260" s="11">
        <v>326.16000000000003</v>
      </c>
      <c r="F260" s="12">
        <v>0</v>
      </c>
      <c r="G260" s="11">
        <v>326.16000000000003</v>
      </c>
      <c r="H260" s="12">
        <v>0</v>
      </c>
      <c r="I260" s="11">
        <v>326.16000000000003</v>
      </c>
      <c r="J260" s="12">
        <v>0</v>
      </c>
      <c r="K260" s="11">
        <v>326.16000000000003</v>
      </c>
      <c r="L260" s="12">
        <v>0</v>
      </c>
      <c r="M260" s="11">
        <v>326.16000000000003</v>
      </c>
      <c r="N260" s="13">
        <v>0</v>
      </c>
      <c r="O260" s="11">
        <v>0</v>
      </c>
      <c r="P260" s="11">
        <v>0</v>
      </c>
      <c r="Q260" s="11">
        <v>0</v>
      </c>
      <c r="R260" s="11">
        <v>0</v>
      </c>
      <c r="S260" s="14">
        <v>0</v>
      </c>
      <c r="T260" s="11">
        <v>326.16000000000003</v>
      </c>
      <c r="U260" s="13" cm="1">
        <f t="array" ref="U260">IF(Table8[[#This Row],[I_0]]&lt;Table24[Flitro de Ruido],1,Table8[[#This Row],[I_10]]/Table8[[#This Row],[I_0]])</f>
        <v>1</v>
      </c>
      <c r="V260" s="13" cm="1">
        <f t="array" ref="V260">IF(Table8[[#This Row],[I_0]]&lt;Table24[Flitro de Ruido],1,Table8[[#This Row],[I_20]]/Table8[[#This Row],[I_0]])</f>
        <v>1</v>
      </c>
      <c r="W260" s="13" cm="1">
        <f t="array" ref="W260">IF(Table8[[#This Row],[I_0]]&lt;Table24[Flitro de Ruido],1,Table8[[#This Row],[I_30]]/Table8[[#This Row],[I_0]])</f>
        <v>1</v>
      </c>
      <c r="X260" s="13" cm="1">
        <f t="array" ref="X260">IF(Table8[[#This Row],[I_0]]&lt;Table24[Flitro de Ruido],1,Table8[[#This Row],[I_40]]/Table8[[#This Row],[I_0]])</f>
        <v>1</v>
      </c>
      <c r="Y260" s="13" cm="1">
        <f t="array" ref="Y260">IF(Table8[[#This Row],[I_0]]&lt;Table24[Flitro de Ruido],1,Table8[[#This Row],[I_50]]/Table8[[#This Row],[I_0]])</f>
        <v>1</v>
      </c>
    </row>
    <row r="261" spans="1:25" x14ac:dyDescent="0.3">
      <c r="A261" s="13">
        <v>327.14999999999998</v>
      </c>
      <c r="B261" s="12">
        <v>0</v>
      </c>
      <c r="C261" s="11">
        <v>327.14999999999998</v>
      </c>
      <c r="D261" s="12">
        <v>0</v>
      </c>
      <c r="E261" s="11">
        <v>327.14999999999998</v>
      </c>
      <c r="F261" s="12">
        <v>0</v>
      </c>
      <c r="G261" s="11">
        <v>327.14999999999998</v>
      </c>
      <c r="H261" s="12">
        <v>0</v>
      </c>
      <c r="I261" s="11">
        <v>327.14999999999998</v>
      </c>
      <c r="J261" s="12">
        <v>0</v>
      </c>
      <c r="K261" s="11">
        <v>327.14999999999998</v>
      </c>
      <c r="L261" s="12">
        <v>0</v>
      </c>
      <c r="M261" s="11">
        <v>327.14999999999998</v>
      </c>
      <c r="N261" s="13">
        <v>0</v>
      </c>
      <c r="O261" s="11">
        <v>0</v>
      </c>
      <c r="P261" s="11">
        <v>0</v>
      </c>
      <c r="Q261" s="11">
        <v>0</v>
      </c>
      <c r="R261" s="11">
        <v>0</v>
      </c>
      <c r="S261" s="14">
        <v>0</v>
      </c>
      <c r="T261" s="11">
        <v>327.14999999999998</v>
      </c>
      <c r="U261" s="13" cm="1">
        <f t="array" ref="U261">IF(Table8[[#This Row],[I_0]]&lt;Table24[Flitro de Ruido],1,Table8[[#This Row],[I_10]]/Table8[[#This Row],[I_0]])</f>
        <v>1</v>
      </c>
      <c r="V261" s="13" cm="1">
        <f t="array" ref="V261">IF(Table8[[#This Row],[I_0]]&lt;Table24[Flitro de Ruido],1,Table8[[#This Row],[I_20]]/Table8[[#This Row],[I_0]])</f>
        <v>1</v>
      </c>
      <c r="W261" s="13" cm="1">
        <f t="array" ref="W261">IF(Table8[[#This Row],[I_0]]&lt;Table24[Flitro de Ruido],1,Table8[[#This Row],[I_30]]/Table8[[#This Row],[I_0]])</f>
        <v>1</v>
      </c>
      <c r="X261" s="13" cm="1">
        <f t="array" ref="X261">IF(Table8[[#This Row],[I_0]]&lt;Table24[Flitro de Ruido],1,Table8[[#This Row],[I_40]]/Table8[[#This Row],[I_0]])</f>
        <v>1</v>
      </c>
      <c r="Y261" s="13" cm="1">
        <f t="array" ref="Y261">IF(Table8[[#This Row],[I_0]]&lt;Table24[Flitro de Ruido],1,Table8[[#This Row],[I_50]]/Table8[[#This Row],[I_0]])</f>
        <v>1</v>
      </c>
    </row>
    <row r="262" spans="1:25" x14ac:dyDescent="0.3">
      <c r="A262" s="13">
        <v>328.14</v>
      </c>
      <c r="B262" s="12">
        <v>0</v>
      </c>
      <c r="C262" s="11">
        <v>328.14</v>
      </c>
      <c r="D262" s="12">
        <v>0</v>
      </c>
      <c r="E262" s="11">
        <v>328.14</v>
      </c>
      <c r="F262" s="12">
        <v>0</v>
      </c>
      <c r="G262" s="11">
        <v>328.14</v>
      </c>
      <c r="H262" s="12">
        <v>0</v>
      </c>
      <c r="I262" s="11">
        <v>328.14</v>
      </c>
      <c r="J262" s="12">
        <v>0</v>
      </c>
      <c r="K262" s="11">
        <v>328.14</v>
      </c>
      <c r="L262" s="12">
        <v>0</v>
      </c>
      <c r="M262" s="11">
        <v>328.14</v>
      </c>
      <c r="N262" s="13">
        <v>0</v>
      </c>
      <c r="O262" s="11">
        <v>0</v>
      </c>
      <c r="P262" s="11">
        <v>0</v>
      </c>
      <c r="Q262" s="11">
        <v>0</v>
      </c>
      <c r="R262" s="11">
        <v>0</v>
      </c>
      <c r="S262" s="14">
        <v>0</v>
      </c>
      <c r="T262" s="11">
        <v>328.14</v>
      </c>
      <c r="U262" s="13" cm="1">
        <f t="array" ref="U262">IF(Table8[[#This Row],[I_0]]&lt;Table24[Flitro de Ruido],1,Table8[[#This Row],[I_10]]/Table8[[#This Row],[I_0]])</f>
        <v>1</v>
      </c>
      <c r="V262" s="13" cm="1">
        <f t="array" ref="V262">IF(Table8[[#This Row],[I_0]]&lt;Table24[Flitro de Ruido],1,Table8[[#This Row],[I_20]]/Table8[[#This Row],[I_0]])</f>
        <v>1</v>
      </c>
      <c r="W262" s="13" cm="1">
        <f t="array" ref="W262">IF(Table8[[#This Row],[I_0]]&lt;Table24[Flitro de Ruido],1,Table8[[#This Row],[I_30]]/Table8[[#This Row],[I_0]])</f>
        <v>1</v>
      </c>
      <c r="X262" s="13" cm="1">
        <f t="array" ref="X262">IF(Table8[[#This Row],[I_0]]&lt;Table24[Flitro de Ruido],1,Table8[[#This Row],[I_40]]/Table8[[#This Row],[I_0]])</f>
        <v>1</v>
      </c>
      <c r="Y262" s="13" cm="1">
        <f t="array" ref="Y262">IF(Table8[[#This Row],[I_0]]&lt;Table24[Flitro de Ruido],1,Table8[[#This Row],[I_50]]/Table8[[#This Row],[I_0]])</f>
        <v>1</v>
      </c>
    </row>
    <row r="263" spans="1:25" x14ac:dyDescent="0.3">
      <c r="A263" s="13">
        <v>329.13</v>
      </c>
      <c r="B263" s="12">
        <v>0</v>
      </c>
      <c r="C263" s="11">
        <v>329.13</v>
      </c>
      <c r="D263" s="12">
        <v>0</v>
      </c>
      <c r="E263" s="11">
        <v>329.13</v>
      </c>
      <c r="F263" s="12">
        <v>0</v>
      </c>
      <c r="G263" s="11">
        <v>329.13</v>
      </c>
      <c r="H263" s="12">
        <v>0</v>
      </c>
      <c r="I263" s="11">
        <v>329.13</v>
      </c>
      <c r="J263" s="12">
        <v>0</v>
      </c>
      <c r="K263" s="11">
        <v>329.13</v>
      </c>
      <c r="L263" s="12">
        <v>0</v>
      </c>
      <c r="M263" s="11">
        <v>329.13</v>
      </c>
      <c r="N263" s="13">
        <v>0</v>
      </c>
      <c r="O263" s="11">
        <v>0</v>
      </c>
      <c r="P263" s="11">
        <v>0</v>
      </c>
      <c r="Q263" s="11">
        <v>0</v>
      </c>
      <c r="R263" s="11">
        <v>0</v>
      </c>
      <c r="S263" s="14">
        <v>0</v>
      </c>
      <c r="T263" s="11">
        <v>329.13</v>
      </c>
      <c r="U263" s="13" cm="1">
        <f t="array" ref="U263">IF(Table8[[#This Row],[I_0]]&lt;Table24[Flitro de Ruido],1,Table8[[#This Row],[I_10]]/Table8[[#This Row],[I_0]])</f>
        <v>1</v>
      </c>
      <c r="V263" s="13" cm="1">
        <f t="array" ref="V263">IF(Table8[[#This Row],[I_0]]&lt;Table24[Flitro de Ruido],1,Table8[[#This Row],[I_20]]/Table8[[#This Row],[I_0]])</f>
        <v>1</v>
      </c>
      <c r="W263" s="13" cm="1">
        <f t="array" ref="W263">IF(Table8[[#This Row],[I_0]]&lt;Table24[Flitro de Ruido],1,Table8[[#This Row],[I_30]]/Table8[[#This Row],[I_0]])</f>
        <v>1</v>
      </c>
      <c r="X263" s="13" cm="1">
        <f t="array" ref="X263">IF(Table8[[#This Row],[I_0]]&lt;Table24[Flitro de Ruido],1,Table8[[#This Row],[I_40]]/Table8[[#This Row],[I_0]])</f>
        <v>1</v>
      </c>
      <c r="Y263" s="13" cm="1">
        <f t="array" ref="Y263">IF(Table8[[#This Row],[I_0]]&lt;Table24[Flitro de Ruido],1,Table8[[#This Row],[I_50]]/Table8[[#This Row],[I_0]])</f>
        <v>1</v>
      </c>
    </row>
    <row r="264" spans="1:25" x14ac:dyDescent="0.3">
      <c r="A264" s="13">
        <v>330.12</v>
      </c>
      <c r="B264" s="12">
        <v>0</v>
      </c>
      <c r="C264" s="11">
        <v>330.12</v>
      </c>
      <c r="D264" s="12">
        <v>0</v>
      </c>
      <c r="E264" s="11">
        <v>330.12</v>
      </c>
      <c r="F264" s="12">
        <v>0</v>
      </c>
      <c r="G264" s="11">
        <v>330.12</v>
      </c>
      <c r="H264" s="12">
        <v>0</v>
      </c>
      <c r="I264" s="11">
        <v>330.12</v>
      </c>
      <c r="J264" s="12">
        <v>0</v>
      </c>
      <c r="K264" s="11">
        <v>330.12</v>
      </c>
      <c r="L264" s="12">
        <v>0</v>
      </c>
      <c r="M264" s="11">
        <v>330.12</v>
      </c>
      <c r="N264" s="13">
        <v>0</v>
      </c>
      <c r="O264" s="11">
        <v>0</v>
      </c>
      <c r="P264" s="11">
        <v>0</v>
      </c>
      <c r="Q264" s="11">
        <v>0</v>
      </c>
      <c r="R264" s="11">
        <v>0</v>
      </c>
      <c r="S264" s="14">
        <v>0</v>
      </c>
      <c r="T264" s="11">
        <v>330.12</v>
      </c>
      <c r="U264" s="13" cm="1">
        <f t="array" ref="U264">IF(Table8[[#This Row],[I_0]]&lt;Table24[Flitro de Ruido],1,Table8[[#This Row],[I_10]]/Table8[[#This Row],[I_0]])</f>
        <v>1</v>
      </c>
      <c r="V264" s="13" cm="1">
        <f t="array" ref="V264">IF(Table8[[#This Row],[I_0]]&lt;Table24[Flitro de Ruido],1,Table8[[#This Row],[I_20]]/Table8[[#This Row],[I_0]])</f>
        <v>1</v>
      </c>
      <c r="W264" s="13" cm="1">
        <f t="array" ref="W264">IF(Table8[[#This Row],[I_0]]&lt;Table24[Flitro de Ruido],1,Table8[[#This Row],[I_30]]/Table8[[#This Row],[I_0]])</f>
        <v>1</v>
      </c>
      <c r="X264" s="13" cm="1">
        <f t="array" ref="X264">IF(Table8[[#This Row],[I_0]]&lt;Table24[Flitro de Ruido],1,Table8[[#This Row],[I_40]]/Table8[[#This Row],[I_0]])</f>
        <v>1</v>
      </c>
      <c r="Y264" s="13" cm="1">
        <f t="array" ref="Y264">IF(Table8[[#This Row],[I_0]]&lt;Table24[Flitro de Ruido],1,Table8[[#This Row],[I_50]]/Table8[[#This Row],[I_0]])</f>
        <v>1</v>
      </c>
    </row>
    <row r="265" spans="1:25" x14ac:dyDescent="0.3">
      <c r="A265" s="13">
        <v>331.12</v>
      </c>
      <c r="B265" s="12">
        <v>0</v>
      </c>
      <c r="C265" s="11">
        <v>331.12</v>
      </c>
      <c r="D265" s="12">
        <v>0</v>
      </c>
      <c r="E265" s="11">
        <v>331.12</v>
      </c>
      <c r="F265" s="12">
        <v>0</v>
      </c>
      <c r="G265" s="11">
        <v>331.12</v>
      </c>
      <c r="H265" s="12">
        <v>0</v>
      </c>
      <c r="I265" s="11">
        <v>331.12</v>
      </c>
      <c r="J265" s="12">
        <v>0</v>
      </c>
      <c r="K265" s="11">
        <v>331.12</v>
      </c>
      <c r="L265" s="12">
        <v>0</v>
      </c>
      <c r="M265" s="11">
        <v>331.12</v>
      </c>
      <c r="N265" s="13">
        <v>0</v>
      </c>
      <c r="O265" s="11">
        <v>0</v>
      </c>
      <c r="P265" s="11">
        <v>0</v>
      </c>
      <c r="Q265" s="11">
        <v>0</v>
      </c>
      <c r="R265" s="11">
        <v>0</v>
      </c>
      <c r="S265" s="14">
        <v>0</v>
      </c>
      <c r="T265" s="11">
        <v>331.12</v>
      </c>
      <c r="U265" s="13" cm="1">
        <f t="array" ref="U265">IF(Table8[[#This Row],[I_0]]&lt;Table24[Flitro de Ruido],1,Table8[[#This Row],[I_10]]/Table8[[#This Row],[I_0]])</f>
        <v>1</v>
      </c>
      <c r="V265" s="13" cm="1">
        <f t="array" ref="V265">IF(Table8[[#This Row],[I_0]]&lt;Table24[Flitro de Ruido],1,Table8[[#This Row],[I_20]]/Table8[[#This Row],[I_0]])</f>
        <v>1</v>
      </c>
      <c r="W265" s="13" cm="1">
        <f t="array" ref="W265">IF(Table8[[#This Row],[I_0]]&lt;Table24[Flitro de Ruido],1,Table8[[#This Row],[I_30]]/Table8[[#This Row],[I_0]])</f>
        <v>1</v>
      </c>
      <c r="X265" s="13" cm="1">
        <f t="array" ref="X265">IF(Table8[[#This Row],[I_0]]&lt;Table24[Flitro de Ruido],1,Table8[[#This Row],[I_40]]/Table8[[#This Row],[I_0]])</f>
        <v>1</v>
      </c>
      <c r="Y265" s="13" cm="1">
        <f t="array" ref="Y265">IF(Table8[[#This Row],[I_0]]&lt;Table24[Flitro de Ruido],1,Table8[[#This Row],[I_50]]/Table8[[#This Row],[I_0]])</f>
        <v>1</v>
      </c>
    </row>
    <row r="266" spans="1:25" x14ac:dyDescent="0.3">
      <c r="A266" s="13">
        <v>332.11</v>
      </c>
      <c r="B266" s="12">
        <v>0</v>
      </c>
      <c r="C266" s="11">
        <v>332.11</v>
      </c>
      <c r="D266" s="12">
        <v>0</v>
      </c>
      <c r="E266" s="11">
        <v>332.11</v>
      </c>
      <c r="F266" s="12">
        <v>0</v>
      </c>
      <c r="G266" s="11">
        <v>332.11</v>
      </c>
      <c r="H266" s="12">
        <v>0</v>
      </c>
      <c r="I266" s="11">
        <v>332.11</v>
      </c>
      <c r="J266" s="12">
        <v>0</v>
      </c>
      <c r="K266" s="11">
        <v>332.11</v>
      </c>
      <c r="L266" s="12">
        <v>0</v>
      </c>
      <c r="M266" s="11">
        <v>332.11</v>
      </c>
      <c r="N266" s="13">
        <v>0</v>
      </c>
      <c r="O266" s="11">
        <v>0</v>
      </c>
      <c r="P266" s="11">
        <v>0</v>
      </c>
      <c r="Q266" s="11">
        <v>0</v>
      </c>
      <c r="R266" s="11">
        <v>0</v>
      </c>
      <c r="S266" s="14">
        <v>0</v>
      </c>
      <c r="T266" s="11">
        <v>332.11</v>
      </c>
      <c r="U266" s="13" cm="1">
        <f t="array" ref="U266">IF(Table8[[#This Row],[I_0]]&lt;Table24[Flitro de Ruido],1,Table8[[#This Row],[I_10]]/Table8[[#This Row],[I_0]])</f>
        <v>1</v>
      </c>
      <c r="V266" s="13" cm="1">
        <f t="array" ref="V266">IF(Table8[[#This Row],[I_0]]&lt;Table24[Flitro de Ruido],1,Table8[[#This Row],[I_20]]/Table8[[#This Row],[I_0]])</f>
        <v>1</v>
      </c>
      <c r="W266" s="13" cm="1">
        <f t="array" ref="W266">IF(Table8[[#This Row],[I_0]]&lt;Table24[Flitro de Ruido],1,Table8[[#This Row],[I_30]]/Table8[[#This Row],[I_0]])</f>
        <v>1</v>
      </c>
      <c r="X266" s="13" cm="1">
        <f t="array" ref="X266">IF(Table8[[#This Row],[I_0]]&lt;Table24[Flitro de Ruido],1,Table8[[#This Row],[I_40]]/Table8[[#This Row],[I_0]])</f>
        <v>1</v>
      </c>
      <c r="Y266" s="13" cm="1">
        <f t="array" ref="Y266">IF(Table8[[#This Row],[I_0]]&lt;Table24[Flitro de Ruido],1,Table8[[#This Row],[I_50]]/Table8[[#This Row],[I_0]])</f>
        <v>1</v>
      </c>
    </row>
    <row r="267" spans="1:25" x14ac:dyDescent="0.3">
      <c r="A267" s="13">
        <v>333.1</v>
      </c>
      <c r="B267" s="12">
        <v>0</v>
      </c>
      <c r="C267" s="11">
        <v>333.1</v>
      </c>
      <c r="D267" s="12">
        <v>0</v>
      </c>
      <c r="E267" s="11">
        <v>333.1</v>
      </c>
      <c r="F267" s="12">
        <v>0</v>
      </c>
      <c r="G267" s="11">
        <v>333.1</v>
      </c>
      <c r="H267" s="12">
        <v>0</v>
      </c>
      <c r="I267" s="11">
        <v>333.1</v>
      </c>
      <c r="J267" s="12">
        <v>0</v>
      </c>
      <c r="K267" s="11">
        <v>333.1</v>
      </c>
      <c r="L267" s="12">
        <v>0</v>
      </c>
      <c r="M267" s="11">
        <v>333.1</v>
      </c>
      <c r="N267" s="13">
        <v>0</v>
      </c>
      <c r="O267" s="11">
        <v>0</v>
      </c>
      <c r="P267" s="11">
        <v>0</v>
      </c>
      <c r="Q267" s="11">
        <v>0</v>
      </c>
      <c r="R267" s="11">
        <v>0</v>
      </c>
      <c r="S267" s="14">
        <v>0</v>
      </c>
      <c r="T267" s="11">
        <v>333.1</v>
      </c>
      <c r="U267" s="13" cm="1">
        <f t="array" ref="U267">IF(Table8[[#This Row],[I_0]]&lt;Table24[Flitro de Ruido],1,Table8[[#This Row],[I_10]]/Table8[[#This Row],[I_0]])</f>
        <v>1</v>
      </c>
      <c r="V267" s="13" cm="1">
        <f t="array" ref="V267">IF(Table8[[#This Row],[I_0]]&lt;Table24[Flitro de Ruido],1,Table8[[#This Row],[I_20]]/Table8[[#This Row],[I_0]])</f>
        <v>1</v>
      </c>
      <c r="W267" s="13" cm="1">
        <f t="array" ref="W267">IF(Table8[[#This Row],[I_0]]&lt;Table24[Flitro de Ruido],1,Table8[[#This Row],[I_30]]/Table8[[#This Row],[I_0]])</f>
        <v>1</v>
      </c>
      <c r="X267" s="13" cm="1">
        <f t="array" ref="X267">IF(Table8[[#This Row],[I_0]]&lt;Table24[Flitro de Ruido],1,Table8[[#This Row],[I_40]]/Table8[[#This Row],[I_0]])</f>
        <v>1</v>
      </c>
      <c r="Y267" s="13" cm="1">
        <f t="array" ref="Y267">IF(Table8[[#This Row],[I_0]]&lt;Table24[Flitro de Ruido],1,Table8[[#This Row],[I_50]]/Table8[[#This Row],[I_0]])</f>
        <v>1</v>
      </c>
    </row>
    <row r="268" spans="1:25" x14ac:dyDescent="0.3">
      <c r="A268" s="13">
        <v>334.09</v>
      </c>
      <c r="B268" s="12">
        <v>0</v>
      </c>
      <c r="C268" s="11">
        <v>334.09</v>
      </c>
      <c r="D268" s="12">
        <v>0</v>
      </c>
      <c r="E268" s="11">
        <v>334.09</v>
      </c>
      <c r="F268" s="12">
        <v>0</v>
      </c>
      <c r="G268" s="11">
        <v>334.09</v>
      </c>
      <c r="H268" s="12">
        <v>0</v>
      </c>
      <c r="I268" s="11">
        <v>334.09</v>
      </c>
      <c r="J268" s="12">
        <v>0</v>
      </c>
      <c r="K268" s="11">
        <v>334.09</v>
      </c>
      <c r="L268" s="12">
        <v>0</v>
      </c>
      <c r="M268" s="11">
        <v>334.09</v>
      </c>
      <c r="N268" s="13">
        <v>0</v>
      </c>
      <c r="O268" s="11">
        <v>0</v>
      </c>
      <c r="P268" s="11">
        <v>0</v>
      </c>
      <c r="Q268" s="11">
        <v>0</v>
      </c>
      <c r="R268" s="11">
        <v>0</v>
      </c>
      <c r="S268" s="14">
        <v>0</v>
      </c>
      <c r="T268" s="11">
        <v>334.09</v>
      </c>
      <c r="U268" s="13" cm="1">
        <f t="array" ref="U268">IF(Table8[[#This Row],[I_0]]&lt;Table24[Flitro de Ruido],1,Table8[[#This Row],[I_10]]/Table8[[#This Row],[I_0]])</f>
        <v>1</v>
      </c>
      <c r="V268" s="13" cm="1">
        <f t="array" ref="V268">IF(Table8[[#This Row],[I_0]]&lt;Table24[Flitro de Ruido],1,Table8[[#This Row],[I_20]]/Table8[[#This Row],[I_0]])</f>
        <v>1</v>
      </c>
      <c r="W268" s="13" cm="1">
        <f t="array" ref="W268">IF(Table8[[#This Row],[I_0]]&lt;Table24[Flitro de Ruido],1,Table8[[#This Row],[I_30]]/Table8[[#This Row],[I_0]])</f>
        <v>1</v>
      </c>
      <c r="X268" s="13" cm="1">
        <f t="array" ref="X268">IF(Table8[[#This Row],[I_0]]&lt;Table24[Flitro de Ruido],1,Table8[[#This Row],[I_40]]/Table8[[#This Row],[I_0]])</f>
        <v>1</v>
      </c>
      <c r="Y268" s="13" cm="1">
        <f t="array" ref="Y268">IF(Table8[[#This Row],[I_0]]&lt;Table24[Flitro de Ruido],1,Table8[[#This Row],[I_50]]/Table8[[#This Row],[I_0]])</f>
        <v>1</v>
      </c>
    </row>
    <row r="269" spans="1:25" x14ac:dyDescent="0.3">
      <c r="A269" s="13">
        <v>335.08</v>
      </c>
      <c r="B269" s="12">
        <v>0</v>
      </c>
      <c r="C269" s="11">
        <v>335.08</v>
      </c>
      <c r="D269" s="12">
        <v>0</v>
      </c>
      <c r="E269" s="11">
        <v>335.08</v>
      </c>
      <c r="F269" s="12">
        <v>0</v>
      </c>
      <c r="G269" s="11">
        <v>335.08</v>
      </c>
      <c r="H269" s="12">
        <v>0</v>
      </c>
      <c r="I269" s="11">
        <v>335.08</v>
      </c>
      <c r="J269" s="12">
        <v>0</v>
      </c>
      <c r="K269" s="11">
        <v>335.08</v>
      </c>
      <c r="L269" s="12">
        <v>0</v>
      </c>
      <c r="M269" s="11">
        <v>335.08</v>
      </c>
      <c r="N269" s="13">
        <v>0</v>
      </c>
      <c r="O269" s="11">
        <v>0</v>
      </c>
      <c r="P269" s="11">
        <v>0</v>
      </c>
      <c r="Q269" s="11">
        <v>0</v>
      </c>
      <c r="R269" s="11">
        <v>0</v>
      </c>
      <c r="S269" s="14">
        <v>0</v>
      </c>
      <c r="T269" s="11">
        <v>335.08</v>
      </c>
      <c r="U269" s="13" cm="1">
        <f t="array" ref="U269">IF(Table8[[#This Row],[I_0]]&lt;Table24[Flitro de Ruido],1,Table8[[#This Row],[I_10]]/Table8[[#This Row],[I_0]])</f>
        <v>1</v>
      </c>
      <c r="V269" s="13" cm="1">
        <f t="array" ref="V269">IF(Table8[[#This Row],[I_0]]&lt;Table24[Flitro de Ruido],1,Table8[[#This Row],[I_20]]/Table8[[#This Row],[I_0]])</f>
        <v>1</v>
      </c>
      <c r="W269" s="13" cm="1">
        <f t="array" ref="W269">IF(Table8[[#This Row],[I_0]]&lt;Table24[Flitro de Ruido],1,Table8[[#This Row],[I_30]]/Table8[[#This Row],[I_0]])</f>
        <v>1</v>
      </c>
      <c r="X269" s="13" cm="1">
        <f t="array" ref="X269">IF(Table8[[#This Row],[I_0]]&lt;Table24[Flitro de Ruido],1,Table8[[#This Row],[I_40]]/Table8[[#This Row],[I_0]])</f>
        <v>1</v>
      </c>
      <c r="Y269" s="13" cm="1">
        <f t="array" ref="Y269">IF(Table8[[#This Row],[I_0]]&lt;Table24[Flitro de Ruido],1,Table8[[#This Row],[I_50]]/Table8[[#This Row],[I_0]])</f>
        <v>1</v>
      </c>
    </row>
    <row r="270" spans="1:25" x14ac:dyDescent="0.3">
      <c r="A270" s="13">
        <v>336.07</v>
      </c>
      <c r="B270" s="12">
        <v>0</v>
      </c>
      <c r="C270" s="11">
        <v>336.07</v>
      </c>
      <c r="D270" s="12">
        <v>0</v>
      </c>
      <c r="E270" s="11">
        <v>336.07</v>
      </c>
      <c r="F270" s="12">
        <v>0</v>
      </c>
      <c r="G270" s="11">
        <v>336.07</v>
      </c>
      <c r="H270" s="12">
        <v>0</v>
      </c>
      <c r="I270" s="11">
        <v>336.07</v>
      </c>
      <c r="J270" s="12">
        <v>0</v>
      </c>
      <c r="K270" s="11">
        <v>336.07</v>
      </c>
      <c r="L270" s="12">
        <v>0</v>
      </c>
      <c r="M270" s="11">
        <v>336.07</v>
      </c>
      <c r="N270" s="13">
        <v>0</v>
      </c>
      <c r="O270" s="11">
        <v>0</v>
      </c>
      <c r="P270" s="11">
        <v>0</v>
      </c>
      <c r="Q270" s="11">
        <v>0</v>
      </c>
      <c r="R270" s="11">
        <v>0</v>
      </c>
      <c r="S270" s="14">
        <v>0</v>
      </c>
      <c r="T270" s="11">
        <v>336.07</v>
      </c>
      <c r="U270" s="13" cm="1">
        <f t="array" ref="U270">IF(Table8[[#This Row],[I_0]]&lt;Table24[Flitro de Ruido],1,Table8[[#This Row],[I_10]]/Table8[[#This Row],[I_0]])</f>
        <v>1</v>
      </c>
      <c r="V270" s="13" cm="1">
        <f t="array" ref="V270">IF(Table8[[#This Row],[I_0]]&lt;Table24[Flitro de Ruido],1,Table8[[#This Row],[I_20]]/Table8[[#This Row],[I_0]])</f>
        <v>1</v>
      </c>
      <c r="W270" s="13" cm="1">
        <f t="array" ref="W270">IF(Table8[[#This Row],[I_0]]&lt;Table24[Flitro de Ruido],1,Table8[[#This Row],[I_30]]/Table8[[#This Row],[I_0]])</f>
        <v>1</v>
      </c>
      <c r="X270" s="13" cm="1">
        <f t="array" ref="X270">IF(Table8[[#This Row],[I_0]]&lt;Table24[Flitro de Ruido],1,Table8[[#This Row],[I_40]]/Table8[[#This Row],[I_0]])</f>
        <v>1</v>
      </c>
      <c r="Y270" s="13" cm="1">
        <f t="array" ref="Y270">IF(Table8[[#This Row],[I_0]]&lt;Table24[Flitro de Ruido],1,Table8[[#This Row],[I_50]]/Table8[[#This Row],[I_0]])</f>
        <v>1</v>
      </c>
    </row>
    <row r="271" spans="1:25" x14ac:dyDescent="0.3">
      <c r="A271" s="13">
        <v>337.07</v>
      </c>
      <c r="B271" s="12">
        <v>0</v>
      </c>
      <c r="C271" s="11">
        <v>337.07</v>
      </c>
      <c r="D271" s="12">
        <v>0</v>
      </c>
      <c r="E271" s="11">
        <v>337.07</v>
      </c>
      <c r="F271" s="12">
        <v>0</v>
      </c>
      <c r="G271" s="11">
        <v>337.07</v>
      </c>
      <c r="H271" s="12">
        <v>0</v>
      </c>
      <c r="I271" s="11">
        <v>337.07</v>
      </c>
      <c r="J271" s="12">
        <v>0</v>
      </c>
      <c r="K271" s="11">
        <v>337.07</v>
      </c>
      <c r="L271" s="12">
        <v>0</v>
      </c>
      <c r="M271" s="11">
        <v>337.07</v>
      </c>
      <c r="N271" s="13">
        <v>0</v>
      </c>
      <c r="O271" s="11">
        <v>0</v>
      </c>
      <c r="P271" s="11">
        <v>0</v>
      </c>
      <c r="Q271" s="11">
        <v>0</v>
      </c>
      <c r="R271" s="11">
        <v>0</v>
      </c>
      <c r="S271" s="14">
        <v>0</v>
      </c>
      <c r="T271" s="11">
        <v>337.07</v>
      </c>
      <c r="U271" s="13" cm="1">
        <f t="array" ref="U271">IF(Table8[[#This Row],[I_0]]&lt;Table24[Flitro de Ruido],1,Table8[[#This Row],[I_10]]/Table8[[#This Row],[I_0]])</f>
        <v>1</v>
      </c>
      <c r="V271" s="13" cm="1">
        <f t="array" ref="V271">IF(Table8[[#This Row],[I_0]]&lt;Table24[Flitro de Ruido],1,Table8[[#This Row],[I_20]]/Table8[[#This Row],[I_0]])</f>
        <v>1</v>
      </c>
      <c r="W271" s="13" cm="1">
        <f t="array" ref="W271">IF(Table8[[#This Row],[I_0]]&lt;Table24[Flitro de Ruido],1,Table8[[#This Row],[I_30]]/Table8[[#This Row],[I_0]])</f>
        <v>1</v>
      </c>
      <c r="X271" s="13" cm="1">
        <f t="array" ref="X271">IF(Table8[[#This Row],[I_0]]&lt;Table24[Flitro de Ruido],1,Table8[[#This Row],[I_40]]/Table8[[#This Row],[I_0]])</f>
        <v>1</v>
      </c>
      <c r="Y271" s="13" cm="1">
        <f t="array" ref="Y271">IF(Table8[[#This Row],[I_0]]&lt;Table24[Flitro de Ruido],1,Table8[[#This Row],[I_50]]/Table8[[#This Row],[I_0]])</f>
        <v>1</v>
      </c>
    </row>
    <row r="272" spans="1:25" x14ac:dyDescent="0.3">
      <c r="A272" s="13">
        <v>338.06</v>
      </c>
      <c r="B272" s="12">
        <v>0</v>
      </c>
      <c r="C272" s="11">
        <v>338.06</v>
      </c>
      <c r="D272" s="12">
        <v>0</v>
      </c>
      <c r="E272" s="11">
        <v>338.06</v>
      </c>
      <c r="F272" s="12">
        <v>0</v>
      </c>
      <c r="G272" s="11">
        <v>338.06</v>
      </c>
      <c r="H272" s="12">
        <v>0</v>
      </c>
      <c r="I272" s="11">
        <v>338.06</v>
      </c>
      <c r="J272" s="12">
        <v>0</v>
      </c>
      <c r="K272" s="11">
        <v>338.06</v>
      </c>
      <c r="L272" s="12">
        <v>0</v>
      </c>
      <c r="M272" s="11">
        <v>338.06</v>
      </c>
      <c r="N272" s="13">
        <v>0</v>
      </c>
      <c r="O272" s="11">
        <v>0</v>
      </c>
      <c r="P272" s="11">
        <v>0</v>
      </c>
      <c r="Q272" s="11">
        <v>0</v>
      </c>
      <c r="R272" s="11">
        <v>0</v>
      </c>
      <c r="S272" s="14">
        <v>0</v>
      </c>
      <c r="T272" s="11">
        <v>338.06</v>
      </c>
      <c r="U272" s="13" cm="1">
        <f t="array" ref="U272">IF(Table8[[#This Row],[I_0]]&lt;Table24[Flitro de Ruido],1,Table8[[#This Row],[I_10]]/Table8[[#This Row],[I_0]])</f>
        <v>1</v>
      </c>
      <c r="V272" s="13" cm="1">
        <f t="array" ref="V272">IF(Table8[[#This Row],[I_0]]&lt;Table24[Flitro de Ruido],1,Table8[[#This Row],[I_20]]/Table8[[#This Row],[I_0]])</f>
        <v>1</v>
      </c>
      <c r="W272" s="13" cm="1">
        <f t="array" ref="W272">IF(Table8[[#This Row],[I_0]]&lt;Table24[Flitro de Ruido],1,Table8[[#This Row],[I_30]]/Table8[[#This Row],[I_0]])</f>
        <v>1</v>
      </c>
      <c r="X272" s="13" cm="1">
        <f t="array" ref="X272">IF(Table8[[#This Row],[I_0]]&lt;Table24[Flitro de Ruido],1,Table8[[#This Row],[I_40]]/Table8[[#This Row],[I_0]])</f>
        <v>1</v>
      </c>
      <c r="Y272" s="13" cm="1">
        <f t="array" ref="Y272">IF(Table8[[#This Row],[I_0]]&lt;Table24[Flitro de Ruido],1,Table8[[#This Row],[I_50]]/Table8[[#This Row],[I_0]])</f>
        <v>1</v>
      </c>
    </row>
    <row r="273" spans="1:25" x14ac:dyDescent="0.3">
      <c r="A273" s="13">
        <v>339.05</v>
      </c>
      <c r="B273" s="12">
        <v>0</v>
      </c>
      <c r="C273" s="11">
        <v>339.05</v>
      </c>
      <c r="D273" s="12">
        <v>0</v>
      </c>
      <c r="E273" s="11">
        <v>339.05</v>
      </c>
      <c r="F273" s="12">
        <v>0</v>
      </c>
      <c r="G273" s="11">
        <v>339.05</v>
      </c>
      <c r="H273" s="12">
        <v>0</v>
      </c>
      <c r="I273" s="11">
        <v>339.05</v>
      </c>
      <c r="J273" s="12">
        <v>0</v>
      </c>
      <c r="K273" s="11">
        <v>339.05</v>
      </c>
      <c r="L273" s="12">
        <v>0</v>
      </c>
      <c r="M273" s="11">
        <v>339.05</v>
      </c>
      <c r="N273" s="13">
        <v>0</v>
      </c>
      <c r="O273" s="11">
        <v>0</v>
      </c>
      <c r="P273" s="11">
        <v>0</v>
      </c>
      <c r="Q273" s="11">
        <v>0</v>
      </c>
      <c r="R273" s="11">
        <v>0</v>
      </c>
      <c r="S273" s="14">
        <v>0</v>
      </c>
      <c r="T273" s="11">
        <v>339.05</v>
      </c>
      <c r="U273" s="13" cm="1">
        <f t="array" ref="U273">IF(Table8[[#This Row],[I_0]]&lt;Table24[Flitro de Ruido],1,Table8[[#This Row],[I_10]]/Table8[[#This Row],[I_0]])</f>
        <v>1</v>
      </c>
      <c r="V273" s="13" cm="1">
        <f t="array" ref="V273">IF(Table8[[#This Row],[I_0]]&lt;Table24[Flitro de Ruido],1,Table8[[#This Row],[I_20]]/Table8[[#This Row],[I_0]])</f>
        <v>1</v>
      </c>
      <c r="W273" s="13" cm="1">
        <f t="array" ref="W273">IF(Table8[[#This Row],[I_0]]&lt;Table24[Flitro de Ruido],1,Table8[[#This Row],[I_30]]/Table8[[#This Row],[I_0]])</f>
        <v>1</v>
      </c>
      <c r="X273" s="13" cm="1">
        <f t="array" ref="X273">IF(Table8[[#This Row],[I_0]]&lt;Table24[Flitro de Ruido],1,Table8[[#This Row],[I_40]]/Table8[[#This Row],[I_0]])</f>
        <v>1</v>
      </c>
      <c r="Y273" s="13" cm="1">
        <f t="array" ref="Y273">IF(Table8[[#This Row],[I_0]]&lt;Table24[Flitro de Ruido],1,Table8[[#This Row],[I_50]]/Table8[[#This Row],[I_0]])</f>
        <v>1</v>
      </c>
    </row>
    <row r="274" spans="1:25" x14ac:dyDescent="0.3">
      <c r="A274" s="13">
        <v>340.04</v>
      </c>
      <c r="B274" s="12">
        <v>0</v>
      </c>
      <c r="C274" s="11">
        <v>340.04</v>
      </c>
      <c r="D274" s="12">
        <v>0</v>
      </c>
      <c r="E274" s="11">
        <v>340.04</v>
      </c>
      <c r="F274" s="12">
        <v>0</v>
      </c>
      <c r="G274" s="11">
        <v>340.04</v>
      </c>
      <c r="H274" s="12">
        <v>0</v>
      </c>
      <c r="I274" s="11">
        <v>340.04</v>
      </c>
      <c r="J274" s="12">
        <v>0</v>
      </c>
      <c r="K274" s="11">
        <v>340.04</v>
      </c>
      <c r="L274" s="12">
        <v>0</v>
      </c>
      <c r="M274" s="11">
        <v>340.04</v>
      </c>
      <c r="N274" s="13">
        <v>0</v>
      </c>
      <c r="O274" s="11">
        <v>0</v>
      </c>
      <c r="P274" s="11">
        <v>0</v>
      </c>
      <c r="Q274" s="11">
        <v>0</v>
      </c>
      <c r="R274" s="11">
        <v>0</v>
      </c>
      <c r="S274" s="14">
        <v>0</v>
      </c>
      <c r="T274" s="11">
        <v>340.04</v>
      </c>
      <c r="U274" s="13" cm="1">
        <f t="array" ref="U274">IF(Table8[[#This Row],[I_0]]&lt;Table24[Flitro de Ruido],1,Table8[[#This Row],[I_10]]/Table8[[#This Row],[I_0]])</f>
        <v>1</v>
      </c>
      <c r="V274" s="13" cm="1">
        <f t="array" ref="V274">IF(Table8[[#This Row],[I_0]]&lt;Table24[Flitro de Ruido],1,Table8[[#This Row],[I_20]]/Table8[[#This Row],[I_0]])</f>
        <v>1</v>
      </c>
      <c r="W274" s="13" cm="1">
        <f t="array" ref="W274">IF(Table8[[#This Row],[I_0]]&lt;Table24[Flitro de Ruido],1,Table8[[#This Row],[I_30]]/Table8[[#This Row],[I_0]])</f>
        <v>1</v>
      </c>
      <c r="X274" s="13" cm="1">
        <f t="array" ref="X274">IF(Table8[[#This Row],[I_0]]&lt;Table24[Flitro de Ruido],1,Table8[[#This Row],[I_40]]/Table8[[#This Row],[I_0]])</f>
        <v>1</v>
      </c>
      <c r="Y274" s="13" cm="1">
        <f t="array" ref="Y274">IF(Table8[[#This Row],[I_0]]&lt;Table24[Flitro de Ruido],1,Table8[[#This Row],[I_50]]/Table8[[#This Row],[I_0]])</f>
        <v>1</v>
      </c>
    </row>
    <row r="275" spans="1:25" x14ac:dyDescent="0.3">
      <c r="A275" s="13">
        <v>341.03</v>
      </c>
      <c r="B275" s="12">
        <v>0</v>
      </c>
      <c r="C275" s="11">
        <v>341.03</v>
      </c>
      <c r="D275" s="12">
        <v>0</v>
      </c>
      <c r="E275" s="11">
        <v>341.03</v>
      </c>
      <c r="F275" s="12">
        <v>0</v>
      </c>
      <c r="G275" s="11">
        <v>341.03</v>
      </c>
      <c r="H275" s="12">
        <v>0</v>
      </c>
      <c r="I275" s="11">
        <v>341.03</v>
      </c>
      <c r="J275" s="12">
        <v>0</v>
      </c>
      <c r="K275" s="11">
        <v>341.03</v>
      </c>
      <c r="L275" s="12">
        <v>0</v>
      </c>
      <c r="M275" s="11">
        <v>341.03</v>
      </c>
      <c r="N275" s="13">
        <v>0</v>
      </c>
      <c r="O275" s="11">
        <v>0</v>
      </c>
      <c r="P275" s="11">
        <v>0</v>
      </c>
      <c r="Q275" s="11">
        <v>0</v>
      </c>
      <c r="R275" s="11">
        <v>0</v>
      </c>
      <c r="S275" s="14">
        <v>0</v>
      </c>
      <c r="T275" s="11">
        <v>341.03</v>
      </c>
      <c r="U275" s="13" cm="1">
        <f t="array" ref="U275">IF(Table8[[#This Row],[I_0]]&lt;Table24[Flitro de Ruido],1,Table8[[#This Row],[I_10]]/Table8[[#This Row],[I_0]])</f>
        <v>1</v>
      </c>
      <c r="V275" s="13" cm="1">
        <f t="array" ref="V275">IF(Table8[[#This Row],[I_0]]&lt;Table24[Flitro de Ruido],1,Table8[[#This Row],[I_20]]/Table8[[#This Row],[I_0]])</f>
        <v>1</v>
      </c>
      <c r="W275" s="13" cm="1">
        <f t="array" ref="W275">IF(Table8[[#This Row],[I_0]]&lt;Table24[Flitro de Ruido],1,Table8[[#This Row],[I_30]]/Table8[[#This Row],[I_0]])</f>
        <v>1</v>
      </c>
      <c r="X275" s="13" cm="1">
        <f t="array" ref="X275">IF(Table8[[#This Row],[I_0]]&lt;Table24[Flitro de Ruido],1,Table8[[#This Row],[I_40]]/Table8[[#This Row],[I_0]])</f>
        <v>1</v>
      </c>
      <c r="Y275" s="13" cm="1">
        <f t="array" ref="Y275">IF(Table8[[#This Row],[I_0]]&lt;Table24[Flitro de Ruido],1,Table8[[#This Row],[I_50]]/Table8[[#This Row],[I_0]])</f>
        <v>1</v>
      </c>
    </row>
    <row r="276" spans="1:25" x14ac:dyDescent="0.3">
      <c r="A276" s="13">
        <v>342.02</v>
      </c>
      <c r="B276" s="12">
        <v>0</v>
      </c>
      <c r="C276" s="11">
        <v>342.02</v>
      </c>
      <c r="D276" s="12">
        <v>0</v>
      </c>
      <c r="E276" s="11">
        <v>342.02</v>
      </c>
      <c r="F276" s="12">
        <v>0</v>
      </c>
      <c r="G276" s="11">
        <v>342.02</v>
      </c>
      <c r="H276" s="12">
        <v>0</v>
      </c>
      <c r="I276" s="11">
        <v>342.02</v>
      </c>
      <c r="J276" s="12">
        <v>0</v>
      </c>
      <c r="K276" s="11">
        <v>342.02</v>
      </c>
      <c r="L276" s="12">
        <v>0</v>
      </c>
      <c r="M276" s="11">
        <v>342.02</v>
      </c>
      <c r="N276" s="13">
        <v>0</v>
      </c>
      <c r="O276" s="11">
        <v>0</v>
      </c>
      <c r="P276" s="11">
        <v>0</v>
      </c>
      <c r="Q276" s="11">
        <v>0</v>
      </c>
      <c r="R276" s="11">
        <v>0</v>
      </c>
      <c r="S276" s="14">
        <v>0</v>
      </c>
      <c r="T276" s="11">
        <v>342.02</v>
      </c>
      <c r="U276" s="13" cm="1">
        <f t="array" ref="U276">IF(Table8[[#This Row],[I_0]]&lt;Table24[Flitro de Ruido],1,Table8[[#This Row],[I_10]]/Table8[[#This Row],[I_0]])</f>
        <v>1</v>
      </c>
      <c r="V276" s="13" cm="1">
        <f t="array" ref="V276">IF(Table8[[#This Row],[I_0]]&lt;Table24[Flitro de Ruido],1,Table8[[#This Row],[I_20]]/Table8[[#This Row],[I_0]])</f>
        <v>1</v>
      </c>
      <c r="W276" s="13" cm="1">
        <f t="array" ref="W276">IF(Table8[[#This Row],[I_0]]&lt;Table24[Flitro de Ruido],1,Table8[[#This Row],[I_30]]/Table8[[#This Row],[I_0]])</f>
        <v>1</v>
      </c>
      <c r="X276" s="13" cm="1">
        <f t="array" ref="X276">IF(Table8[[#This Row],[I_0]]&lt;Table24[Flitro de Ruido],1,Table8[[#This Row],[I_40]]/Table8[[#This Row],[I_0]])</f>
        <v>1</v>
      </c>
      <c r="Y276" s="13" cm="1">
        <f t="array" ref="Y276">IF(Table8[[#This Row],[I_0]]&lt;Table24[Flitro de Ruido],1,Table8[[#This Row],[I_50]]/Table8[[#This Row],[I_0]])</f>
        <v>1</v>
      </c>
    </row>
    <row r="277" spans="1:25" x14ac:dyDescent="0.3">
      <c r="A277" s="13">
        <v>343.02</v>
      </c>
      <c r="B277" s="12">
        <v>0</v>
      </c>
      <c r="C277" s="11">
        <v>343.02</v>
      </c>
      <c r="D277" s="12">
        <v>0</v>
      </c>
      <c r="E277" s="11">
        <v>343.02</v>
      </c>
      <c r="F277" s="12">
        <v>0</v>
      </c>
      <c r="G277" s="11">
        <v>343.02</v>
      </c>
      <c r="H277" s="12">
        <v>0</v>
      </c>
      <c r="I277" s="11">
        <v>343.02</v>
      </c>
      <c r="J277" s="12">
        <v>0</v>
      </c>
      <c r="K277" s="11">
        <v>343.02</v>
      </c>
      <c r="L277" s="12">
        <v>0</v>
      </c>
      <c r="M277" s="11">
        <v>343.02</v>
      </c>
      <c r="N277" s="13">
        <v>0</v>
      </c>
      <c r="O277" s="11">
        <v>0</v>
      </c>
      <c r="P277" s="11">
        <v>0</v>
      </c>
      <c r="Q277" s="11">
        <v>0</v>
      </c>
      <c r="R277" s="11">
        <v>0</v>
      </c>
      <c r="S277" s="14">
        <v>0</v>
      </c>
      <c r="T277" s="11">
        <v>343.02</v>
      </c>
      <c r="U277" s="13" cm="1">
        <f t="array" ref="U277">IF(Table8[[#This Row],[I_0]]&lt;Table24[Flitro de Ruido],1,Table8[[#This Row],[I_10]]/Table8[[#This Row],[I_0]])</f>
        <v>1</v>
      </c>
      <c r="V277" s="13" cm="1">
        <f t="array" ref="V277">IF(Table8[[#This Row],[I_0]]&lt;Table24[Flitro de Ruido],1,Table8[[#This Row],[I_20]]/Table8[[#This Row],[I_0]])</f>
        <v>1</v>
      </c>
      <c r="W277" s="13" cm="1">
        <f t="array" ref="W277">IF(Table8[[#This Row],[I_0]]&lt;Table24[Flitro de Ruido],1,Table8[[#This Row],[I_30]]/Table8[[#This Row],[I_0]])</f>
        <v>1</v>
      </c>
      <c r="X277" s="13" cm="1">
        <f t="array" ref="X277">IF(Table8[[#This Row],[I_0]]&lt;Table24[Flitro de Ruido],1,Table8[[#This Row],[I_40]]/Table8[[#This Row],[I_0]])</f>
        <v>1</v>
      </c>
      <c r="Y277" s="13" cm="1">
        <f t="array" ref="Y277">IF(Table8[[#This Row],[I_0]]&lt;Table24[Flitro de Ruido],1,Table8[[#This Row],[I_50]]/Table8[[#This Row],[I_0]])</f>
        <v>1</v>
      </c>
    </row>
    <row r="278" spans="1:25" x14ac:dyDescent="0.3">
      <c r="A278" s="13">
        <v>344.01</v>
      </c>
      <c r="B278" s="12">
        <v>0</v>
      </c>
      <c r="C278" s="11">
        <v>344.01</v>
      </c>
      <c r="D278" s="12">
        <v>0</v>
      </c>
      <c r="E278" s="11">
        <v>344.01</v>
      </c>
      <c r="F278" s="12">
        <v>0</v>
      </c>
      <c r="G278" s="11">
        <v>344.01</v>
      </c>
      <c r="H278" s="12">
        <v>0</v>
      </c>
      <c r="I278" s="11">
        <v>344.01</v>
      </c>
      <c r="J278" s="12">
        <v>0</v>
      </c>
      <c r="K278" s="11">
        <v>344.01</v>
      </c>
      <c r="L278" s="12">
        <v>0</v>
      </c>
      <c r="M278" s="11">
        <v>344.01</v>
      </c>
      <c r="N278" s="13">
        <v>0</v>
      </c>
      <c r="O278" s="11">
        <v>0</v>
      </c>
      <c r="P278" s="11">
        <v>0</v>
      </c>
      <c r="Q278" s="11">
        <v>0</v>
      </c>
      <c r="R278" s="11">
        <v>0</v>
      </c>
      <c r="S278" s="14">
        <v>0</v>
      </c>
      <c r="T278" s="11">
        <v>344.01</v>
      </c>
      <c r="U278" s="13" cm="1">
        <f t="array" ref="U278">IF(Table8[[#This Row],[I_0]]&lt;Table24[Flitro de Ruido],1,Table8[[#This Row],[I_10]]/Table8[[#This Row],[I_0]])</f>
        <v>1</v>
      </c>
      <c r="V278" s="13" cm="1">
        <f t="array" ref="V278">IF(Table8[[#This Row],[I_0]]&lt;Table24[Flitro de Ruido],1,Table8[[#This Row],[I_20]]/Table8[[#This Row],[I_0]])</f>
        <v>1</v>
      </c>
      <c r="W278" s="13" cm="1">
        <f t="array" ref="W278">IF(Table8[[#This Row],[I_0]]&lt;Table24[Flitro de Ruido],1,Table8[[#This Row],[I_30]]/Table8[[#This Row],[I_0]])</f>
        <v>1</v>
      </c>
      <c r="X278" s="13" cm="1">
        <f t="array" ref="X278">IF(Table8[[#This Row],[I_0]]&lt;Table24[Flitro de Ruido],1,Table8[[#This Row],[I_40]]/Table8[[#This Row],[I_0]])</f>
        <v>1</v>
      </c>
      <c r="Y278" s="13" cm="1">
        <f t="array" ref="Y278">IF(Table8[[#This Row],[I_0]]&lt;Table24[Flitro de Ruido],1,Table8[[#This Row],[I_50]]/Table8[[#This Row],[I_0]])</f>
        <v>1</v>
      </c>
    </row>
    <row r="279" spans="1:25" x14ac:dyDescent="0.3">
      <c r="A279" s="13">
        <v>345</v>
      </c>
      <c r="B279" s="12">
        <v>0</v>
      </c>
      <c r="C279" s="11">
        <v>345</v>
      </c>
      <c r="D279" s="12">
        <v>0</v>
      </c>
      <c r="E279" s="11">
        <v>345</v>
      </c>
      <c r="F279" s="12">
        <v>0</v>
      </c>
      <c r="G279" s="11">
        <v>345</v>
      </c>
      <c r="H279" s="12">
        <v>0</v>
      </c>
      <c r="I279" s="11">
        <v>345</v>
      </c>
      <c r="J279" s="12">
        <v>0</v>
      </c>
      <c r="K279" s="11">
        <v>345</v>
      </c>
      <c r="L279" s="12">
        <v>0</v>
      </c>
      <c r="M279" s="11">
        <v>345</v>
      </c>
      <c r="N279" s="13">
        <v>0</v>
      </c>
      <c r="O279" s="11">
        <v>0</v>
      </c>
      <c r="P279" s="11">
        <v>0</v>
      </c>
      <c r="Q279" s="11">
        <v>0</v>
      </c>
      <c r="R279" s="11">
        <v>0</v>
      </c>
      <c r="S279" s="14">
        <v>0</v>
      </c>
      <c r="T279" s="11">
        <v>345</v>
      </c>
      <c r="U279" s="13" cm="1">
        <f t="array" ref="U279">IF(Table8[[#This Row],[I_0]]&lt;Table24[Flitro de Ruido],1,Table8[[#This Row],[I_10]]/Table8[[#This Row],[I_0]])</f>
        <v>1</v>
      </c>
      <c r="V279" s="13" cm="1">
        <f t="array" ref="V279">IF(Table8[[#This Row],[I_0]]&lt;Table24[Flitro de Ruido],1,Table8[[#This Row],[I_20]]/Table8[[#This Row],[I_0]])</f>
        <v>1</v>
      </c>
      <c r="W279" s="13" cm="1">
        <f t="array" ref="W279">IF(Table8[[#This Row],[I_0]]&lt;Table24[Flitro de Ruido],1,Table8[[#This Row],[I_30]]/Table8[[#This Row],[I_0]])</f>
        <v>1</v>
      </c>
      <c r="X279" s="13" cm="1">
        <f t="array" ref="X279">IF(Table8[[#This Row],[I_0]]&lt;Table24[Flitro de Ruido],1,Table8[[#This Row],[I_40]]/Table8[[#This Row],[I_0]])</f>
        <v>1</v>
      </c>
      <c r="Y279" s="13" cm="1">
        <f t="array" ref="Y279">IF(Table8[[#This Row],[I_0]]&lt;Table24[Flitro de Ruido],1,Table8[[#This Row],[I_50]]/Table8[[#This Row],[I_0]])</f>
        <v>1</v>
      </c>
    </row>
    <row r="280" spans="1:25" x14ac:dyDescent="0.3">
      <c r="A280" s="13">
        <v>345.99</v>
      </c>
      <c r="B280" s="12">
        <v>0</v>
      </c>
      <c r="C280" s="11">
        <v>345.99</v>
      </c>
      <c r="D280" s="12">
        <v>0</v>
      </c>
      <c r="E280" s="11">
        <v>345.99</v>
      </c>
      <c r="F280" s="12">
        <v>0</v>
      </c>
      <c r="G280" s="11">
        <v>345.99</v>
      </c>
      <c r="H280" s="12">
        <v>0</v>
      </c>
      <c r="I280" s="11">
        <v>345.99</v>
      </c>
      <c r="J280" s="12">
        <v>0</v>
      </c>
      <c r="K280" s="11">
        <v>345.99</v>
      </c>
      <c r="L280" s="12">
        <v>0</v>
      </c>
      <c r="M280" s="11">
        <v>345.99</v>
      </c>
      <c r="N280" s="13">
        <v>0</v>
      </c>
      <c r="O280" s="11">
        <v>0</v>
      </c>
      <c r="P280" s="11">
        <v>0</v>
      </c>
      <c r="Q280" s="11">
        <v>0</v>
      </c>
      <c r="R280" s="11">
        <v>0</v>
      </c>
      <c r="S280" s="14">
        <v>0</v>
      </c>
      <c r="T280" s="11">
        <v>345.99</v>
      </c>
      <c r="U280" s="13" cm="1">
        <f t="array" ref="U280">IF(Table8[[#This Row],[I_0]]&lt;Table24[Flitro de Ruido],1,Table8[[#This Row],[I_10]]/Table8[[#This Row],[I_0]])</f>
        <v>1</v>
      </c>
      <c r="V280" s="13" cm="1">
        <f t="array" ref="V280">IF(Table8[[#This Row],[I_0]]&lt;Table24[Flitro de Ruido],1,Table8[[#This Row],[I_20]]/Table8[[#This Row],[I_0]])</f>
        <v>1</v>
      </c>
      <c r="W280" s="13" cm="1">
        <f t="array" ref="W280">IF(Table8[[#This Row],[I_0]]&lt;Table24[Flitro de Ruido],1,Table8[[#This Row],[I_30]]/Table8[[#This Row],[I_0]])</f>
        <v>1</v>
      </c>
      <c r="X280" s="13" cm="1">
        <f t="array" ref="X280">IF(Table8[[#This Row],[I_0]]&lt;Table24[Flitro de Ruido],1,Table8[[#This Row],[I_40]]/Table8[[#This Row],[I_0]])</f>
        <v>1</v>
      </c>
      <c r="Y280" s="13" cm="1">
        <f t="array" ref="Y280">IF(Table8[[#This Row],[I_0]]&lt;Table24[Flitro de Ruido],1,Table8[[#This Row],[I_50]]/Table8[[#This Row],[I_0]])</f>
        <v>1</v>
      </c>
    </row>
    <row r="281" spans="1:25" x14ac:dyDescent="0.3">
      <c r="A281" s="13">
        <v>346.98</v>
      </c>
      <c r="B281" s="12">
        <v>0</v>
      </c>
      <c r="C281" s="11">
        <v>346.98</v>
      </c>
      <c r="D281" s="12">
        <v>0</v>
      </c>
      <c r="E281" s="11">
        <v>346.98</v>
      </c>
      <c r="F281" s="12">
        <v>0</v>
      </c>
      <c r="G281" s="11">
        <v>346.98</v>
      </c>
      <c r="H281" s="12">
        <v>0</v>
      </c>
      <c r="I281" s="11">
        <v>346.98</v>
      </c>
      <c r="J281" s="12">
        <v>0</v>
      </c>
      <c r="K281" s="11">
        <v>346.98</v>
      </c>
      <c r="L281" s="12">
        <v>0</v>
      </c>
      <c r="M281" s="11">
        <v>346.98</v>
      </c>
      <c r="N281" s="13">
        <v>0</v>
      </c>
      <c r="O281" s="11">
        <v>0</v>
      </c>
      <c r="P281" s="11">
        <v>0</v>
      </c>
      <c r="Q281" s="11">
        <v>0</v>
      </c>
      <c r="R281" s="11">
        <v>0</v>
      </c>
      <c r="S281" s="14">
        <v>0</v>
      </c>
      <c r="T281" s="11">
        <v>346.98</v>
      </c>
      <c r="U281" s="13" cm="1">
        <f t="array" ref="U281">IF(Table8[[#This Row],[I_0]]&lt;Table24[Flitro de Ruido],1,Table8[[#This Row],[I_10]]/Table8[[#This Row],[I_0]])</f>
        <v>1</v>
      </c>
      <c r="V281" s="13" cm="1">
        <f t="array" ref="V281">IF(Table8[[#This Row],[I_0]]&lt;Table24[Flitro de Ruido],1,Table8[[#This Row],[I_20]]/Table8[[#This Row],[I_0]])</f>
        <v>1</v>
      </c>
      <c r="W281" s="13" cm="1">
        <f t="array" ref="W281">IF(Table8[[#This Row],[I_0]]&lt;Table24[Flitro de Ruido],1,Table8[[#This Row],[I_30]]/Table8[[#This Row],[I_0]])</f>
        <v>1</v>
      </c>
      <c r="X281" s="13" cm="1">
        <f t="array" ref="X281">IF(Table8[[#This Row],[I_0]]&lt;Table24[Flitro de Ruido],1,Table8[[#This Row],[I_40]]/Table8[[#This Row],[I_0]])</f>
        <v>1</v>
      </c>
      <c r="Y281" s="13" cm="1">
        <f t="array" ref="Y281">IF(Table8[[#This Row],[I_0]]&lt;Table24[Flitro de Ruido],1,Table8[[#This Row],[I_50]]/Table8[[#This Row],[I_0]])</f>
        <v>1</v>
      </c>
    </row>
    <row r="282" spans="1:25" x14ac:dyDescent="0.3">
      <c r="A282" s="13">
        <v>347.98</v>
      </c>
      <c r="B282" s="12">
        <v>0</v>
      </c>
      <c r="C282" s="11">
        <v>347.98</v>
      </c>
      <c r="D282" s="12">
        <v>0</v>
      </c>
      <c r="E282" s="11">
        <v>347.98</v>
      </c>
      <c r="F282" s="12">
        <v>0</v>
      </c>
      <c r="G282" s="11">
        <v>347.98</v>
      </c>
      <c r="H282" s="12">
        <v>0</v>
      </c>
      <c r="I282" s="11">
        <v>347.98</v>
      </c>
      <c r="J282" s="12">
        <v>0</v>
      </c>
      <c r="K282" s="11">
        <v>347.98</v>
      </c>
      <c r="L282" s="12">
        <v>0</v>
      </c>
      <c r="M282" s="11">
        <v>347.98</v>
      </c>
      <c r="N282" s="13">
        <v>0</v>
      </c>
      <c r="O282" s="11">
        <v>0</v>
      </c>
      <c r="P282" s="11">
        <v>0</v>
      </c>
      <c r="Q282" s="11">
        <v>0</v>
      </c>
      <c r="R282" s="11">
        <v>0</v>
      </c>
      <c r="S282" s="14">
        <v>0</v>
      </c>
      <c r="T282" s="11">
        <v>347.98</v>
      </c>
      <c r="U282" s="13" cm="1">
        <f t="array" ref="U282">IF(Table8[[#This Row],[I_0]]&lt;Table24[Flitro de Ruido],1,Table8[[#This Row],[I_10]]/Table8[[#This Row],[I_0]])</f>
        <v>1</v>
      </c>
      <c r="V282" s="13" cm="1">
        <f t="array" ref="V282">IF(Table8[[#This Row],[I_0]]&lt;Table24[Flitro de Ruido],1,Table8[[#This Row],[I_20]]/Table8[[#This Row],[I_0]])</f>
        <v>1</v>
      </c>
      <c r="W282" s="13" cm="1">
        <f t="array" ref="W282">IF(Table8[[#This Row],[I_0]]&lt;Table24[Flitro de Ruido],1,Table8[[#This Row],[I_30]]/Table8[[#This Row],[I_0]])</f>
        <v>1</v>
      </c>
      <c r="X282" s="13" cm="1">
        <f t="array" ref="X282">IF(Table8[[#This Row],[I_0]]&lt;Table24[Flitro de Ruido],1,Table8[[#This Row],[I_40]]/Table8[[#This Row],[I_0]])</f>
        <v>1</v>
      </c>
      <c r="Y282" s="13" cm="1">
        <f t="array" ref="Y282">IF(Table8[[#This Row],[I_0]]&lt;Table24[Flitro de Ruido],1,Table8[[#This Row],[I_50]]/Table8[[#This Row],[I_0]])</f>
        <v>1</v>
      </c>
    </row>
    <row r="283" spans="1:25" x14ac:dyDescent="0.3">
      <c r="A283" s="13">
        <v>348.97</v>
      </c>
      <c r="B283" s="12">
        <v>0</v>
      </c>
      <c r="C283" s="11">
        <v>348.97</v>
      </c>
      <c r="D283" s="12">
        <v>0</v>
      </c>
      <c r="E283" s="11">
        <v>348.97</v>
      </c>
      <c r="F283" s="12">
        <v>0</v>
      </c>
      <c r="G283" s="11">
        <v>348.97</v>
      </c>
      <c r="H283" s="12">
        <v>0</v>
      </c>
      <c r="I283" s="11">
        <v>348.97</v>
      </c>
      <c r="J283" s="12">
        <v>0</v>
      </c>
      <c r="K283" s="11">
        <v>348.97</v>
      </c>
      <c r="L283" s="12">
        <v>0</v>
      </c>
      <c r="M283" s="11">
        <v>348.97</v>
      </c>
      <c r="N283" s="13">
        <v>0</v>
      </c>
      <c r="O283" s="11">
        <v>0</v>
      </c>
      <c r="P283" s="11">
        <v>0</v>
      </c>
      <c r="Q283" s="11">
        <v>0</v>
      </c>
      <c r="R283" s="11">
        <v>0</v>
      </c>
      <c r="S283" s="14">
        <v>0</v>
      </c>
      <c r="T283" s="11">
        <v>348.97</v>
      </c>
      <c r="U283" s="13" cm="1">
        <f t="array" ref="U283">IF(Table8[[#This Row],[I_0]]&lt;Table24[Flitro de Ruido],1,Table8[[#This Row],[I_10]]/Table8[[#This Row],[I_0]])</f>
        <v>1</v>
      </c>
      <c r="V283" s="13" cm="1">
        <f t="array" ref="V283">IF(Table8[[#This Row],[I_0]]&lt;Table24[Flitro de Ruido],1,Table8[[#This Row],[I_20]]/Table8[[#This Row],[I_0]])</f>
        <v>1</v>
      </c>
      <c r="W283" s="13" cm="1">
        <f t="array" ref="W283">IF(Table8[[#This Row],[I_0]]&lt;Table24[Flitro de Ruido],1,Table8[[#This Row],[I_30]]/Table8[[#This Row],[I_0]])</f>
        <v>1</v>
      </c>
      <c r="X283" s="13" cm="1">
        <f t="array" ref="X283">IF(Table8[[#This Row],[I_0]]&lt;Table24[Flitro de Ruido],1,Table8[[#This Row],[I_40]]/Table8[[#This Row],[I_0]])</f>
        <v>1</v>
      </c>
      <c r="Y283" s="13" cm="1">
        <f t="array" ref="Y283">IF(Table8[[#This Row],[I_0]]&lt;Table24[Flitro de Ruido],1,Table8[[#This Row],[I_50]]/Table8[[#This Row],[I_0]])</f>
        <v>1</v>
      </c>
    </row>
    <row r="284" spans="1:25" x14ac:dyDescent="0.3">
      <c r="A284" s="13">
        <v>349.96</v>
      </c>
      <c r="B284" s="12">
        <v>0</v>
      </c>
      <c r="C284" s="11">
        <v>349.96</v>
      </c>
      <c r="D284" s="12">
        <v>0</v>
      </c>
      <c r="E284" s="11">
        <v>349.96</v>
      </c>
      <c r="F284" s="12">
        <v>0</v>
      </c>
      <c r="G284" s="11">
        <v>349.96</v>
      </c>
      <c r="H284" s="12">
        <v>0</v>
      </c>
      <c r="I284" s="11">
        <v>349.96</v>
      </c>
      <c r="J284" s="12">
        <v>0</v>
      </c>
      <c r="K284" s="11">
        <v>349.96</v>
      </c>
      <c r="L284" s="12">
        <v>0</v>
      </c>
      <c r="M284" s="11">
        <v>349.96</v>
      </c>
      <c r="N284" s="13">
        <v>0</v>
      </c>
      <c r="O284" s="11">
        <v>0</v>
      </c>
      <c r="P284" s="11">
        <v>0</v>
      </c>
      <c r="Q284" s="11">
        <v>0</v>
      </c>
      <c r="R284" s="11">
        <v>0</v>
      </c>
      <c r="S284" s="14">
        <v>0</v>
      </c>
      <c r="T284" s="11">
        <v>349.96</v>
      </c>
      <c r="U284" s="13" cm="1">
        <f t="array" ref="U284">IF(Table8[[#This Row],[I_0]]&lt;Table24[Flitro de Ruido],1,Table8[[#This Row],[I_10]]/Table8[[#This Row],[I_0]])</f>
        <v>1</v>
      </c>
      <c r="V284" s="13" cm="1">
        <f t="array" ref="V284">IF(Table8[[#This Row],[I_0]]&lt;Table24[Flitro de Ruido],1,Table8[[#This Row],[I_20]]/Table8[[#This Row],[I_0]])</f>
        <v>1</v>
      </c>
      <c r="W284" s="13" cm="1">
        <f t="array" ref="W284">IF(Table8[[#This Row],[I_0]]&lt;Table24[Flitro de Ruido],1,Table8[[#This Row],[I_30]]/Table8[[#This Row],[I_0]])</f>
        <v>1</v>
      </c>
      <c r="X284" s="13" cm="1">
        <f t="array" ref="X284">IF(Table8[[#This Row],[I_0]]&lt;Table24[Flitro de Ruido],1,Table8[[#This Row],[I_40]]/Table8[[#This Row],[I_0]])</f>
        <v>1</v>
      </c>
      <c r="Y284" s="13" cm="1">
        <f t="array" ref="Y284">IF(Table8[[#This Row],[I_0]]&lt;Table24[Flitro de Ruido],1,Table8[[#This Row],[I_50]]/Table8[[#This Row],[I_0]])</f>
        <v>1</v>
      </c>
    </row>
    <row r="285" spans="1:25" x14ac:dyDescent="0.3">
      <c r="A285" s="13">
        <v>350.95</v>
      </c>
      <c r="B285" s="12">
        <v>0</v>
      </c>
      <c r="C285" s="11">
        <v>350.95</v>
      </c>
      <c r="D285" s="12">
        <v>0</v>
      </c>
      <c r="E285" s="11">
        <v>350.95</v>
      </c>
      <c r="F285" s="12">
        <v>0</v>
      </c>
      <c r="G285" s="11">
        <v>350.95</v>
      </c>
      <c r="H285" s="12">
        <v>0</v>
      </c>
      <c r="I285" s="11">
        <v>350.95</v>
      </c>
      <c r="J285" s="12">
        <v>0</v>
      </c>
      <c r="K285" s="11">
        <v>350.95</v>
      </c>
      <c r="L285" s="12">
        <v>0</v>
      </c>
      <c r="M285" s="11">
        <v>350.95</v>
      </c>
      <c r="N285" s="13">
        <v>0</v>
      </c>
      <c r="O285" s="11">
        <v>0</v>
      </c>
      <c r="P285" s="11">
        <v>0</v>
      </c>
      <c r="Q285" s="11">
        <v>0</v>
      </c>
      <c r="R285" s="11">
        <v>0</v>
      </c>
      <c r="S285" s="14">
        <v>0</v>
      </c>
      <c r="T285" s="11">
        <v>350.95</v>
      </c>
      <c r="U285" s="13" cm="1">
        <f t="array" ref="U285">IF(Table8[[#This Row],[I_0]]&lt;Table24[Flitro de Ruido],1,Table8[[#This Row],[I_10]]/Table8[[#This Row],[I_0]])</f>
        <v>1</v>
      </c>
      <c r="V285" s="13" cm="1">
        <f t="array" ref="V285">IF(Table8[[#This Row],[I_0]]&lt;Table24[Flitro de Ruido],1,Table8[[#This Row],[I_20]]/Table8[[#This Row],[I_0]])</f>
        <v>1</v>
      </c>
      <c r="W285" s="13" cm="1">
        <f t="array" ref="W285">IF(Table8[[#This Row],[I_0]]&lt;Table24[Flitro de Ruido],1,Table8[[#This Row],[I_30]]/Table8[[#This Row],[I_0]])</f>
        <v>1</v>
      </c>
      <c r="X285" s="13" cm="1">
        <f t="array" ref="X285">IF(Table8[[#This Row],[I_0]]&lt;Table24[Flitro de Ruido],1,Table8[[#This Row],[I_40]]/Table8[[#This Row],[I_0]])</f>
        <v>1</v>
      </c>
      <c r="Y285" s="13" cm="1">
        <f t="array" ref="Y285">IF(Table8[[#This Row],[I_0]]&lt;Table24[Flitro de Ruido],1,Table8[[#This Row],[I_50]]/Table8[[#This Row],[I_0]])</f>
        <v>1</v>
      </c>
    </row>
    <row r="286" spans="1:25" x14ac:dyDescent="0.3">
      <c r="A286" s="13">
        <v>351.94</v>
      </c>
      <c r="B286" s="12">
        <v>0</v>
      </c>
      <c r="C286" s="11">
        <v>351.94</v>
      </c>
      <c r="D286" s="12">
        <v>0</v>
      </c>
      <c r="E286" s="11">
        <v>351.94</v>
      </c>
      <c r="F286" s="12">
        <v>0</v>
      </c>
      <c r="G286" s="11">
        <v>351.94</v>
      </c>
      <c r="H286" s="12">
        <v>0</v>
      </c>
      <c r="I286" s="11">
        <v>351.94</v>
      </c>
      <c r="J286" s="12">
        <v>0</v>
      </c>
      <c r="K286" s="11">
        <v>351.94</v>
      </c>
      <c r="L286" s="12">
        <v>0</v>
      </c>
      <c r="M286" s="11">
        <v>351.94</v>
      </c>
      <c r="N286" s="13">
        <v>0</v>
      </c>
      <c r="O286" s="11">
        <v>0</v>
      </c>
      <c r="P286" s="11">
        <v>0</v>
      </c>
      <c r="Q286" s="11">
        <v>0</v>
      </c>
      <c r="R286" s="11">
        <v>0</v>
      </c>
      <c r="S286" s="14">
        <v>0</v>
      </c>
      <c r="T286" s="11">
        <v>351.94</v>
      </c>
      <c r="U286" s="13" cm="1">
        <f t="array" ref="U286">IF(Table8[[#This Row],[I_0]]&lt;Table24[Flitro de Ruido],1,Table8[[#This Row],[I_10]]/Table8[[#This Row],[I_0]])</f>
        <v>1</v>
      </c>
      <c r="V286" s="13" cm="1">
        <f t="array" ref="V286">IF(Table8[[#This Row],[I_0]]&lt;Table24[Flitro de Ruido],1,Table8[[#This Row],[I_20]]/Table8[[#This Row],[I_0]])</f>
        <v>1</v>
      </c>
      <c r="W286" s="13" cm="1">
        <f t="array" ref="W286">IF(Table8[[#This Row],[I_0]]&lt;Table24[Flitro de Ruido],1,Table8[[#This Row],[I_30]]/Table8[[#This Row],[I_0]])</f>
        <v>1</v>
      </c>
      <c r="X286" s="13" cm="1">
        <f t="array" ref="X286">IF(Table8[[#This Row],[I_0]]&lt;Table24[Flitro de Ruido],1,Table8[[#This Row],[I_40]]/Table8[[#This Row],[I_0]])</f>
        <v>1</v>
      </c>
      <c r="Y286" s="13" cm="1">
        <f t="array" ref="Y286">IF(Table8[[#This Row],[I_0]]&lt;Table24[Flitro de Ruido],1,Table8[[#This Row],[I_50]]/Table8[[#This Row],[I_0]])</f>
        <v>1</v>
      </c>
    </row>
    <row r="287" spans="1:25" x14ac:dyDescent="0.3">
      <c r="A287" s="13">
        <v>352.93</v>
      </c>
      <c r="B287" s="12">
        <v>0</v>
      </c>
      <c r="C287" s="11">
        <v>352.93</v>
      </c>
      <c r="D287" s="12">
        <v>0</v>
      </c>
      <c r="E287" s="11">
        <v>352.93</v>
      </c>
      <c r="F287" s="12">
        <v>0</v>
      </c>
      <c r="G287" s="11">
        <v>352.93</v>
      </c>
      <c r="H287" s="12">
        <v>0</v>
      </c>
      <c r="I287" s="11">
        <v>352.93</v>
      </c>
      <c r="J287" s="12">
        <v>0</v>
      </c>
      <c r="K287" s="11">
        <v>352.93</v>
      </c>
      <c r="L287" s="12">
        <v>0</v>
      </c>
      <c r="M287" s="11">
        <v>352.93</v>
      </c>
      <c r="N287" s="13">
        <v>0</v>
      </c>
      <c r="O287" s="11">
        <v>0</v>
      </c>
      <c r="P287" s="11">
        <v>0</v>
      </c>
      <c r="Q287" s="11">
        <v>0</v>
      </c>
      <c r="R287" s="11">
        <v>0</v>
      </c>
      <c r="S287" s="14">
        <v>0</v>
      </c>
      <c r="T287" s="11">
        <v>352.93</v>
      </c>
      <c r="U287" s="13" cm="1">
        <f t="array" ref="U287">IF(Table8[[#This Row],[I_0]]&lt;Table24[Flitro de Ruido],1,Table8[[#This Row],[I_10]]/Table8[[#This Row],[I_0]])</f>
        <v>1</v>
      </c>
      <c r="V287" s="13" cm="1">
        <f t="array" ref="V287">IF(Table8[[#This Row],[I_0]]&lt;Table24[Flitro de Ruido],1,Table8[[#This Row],[I_20]]/Table8[[#This Row],[I_0]])</f>
        <v>1</v>
      </c>
      <c r="W287" s="13" cm="1">
        <f t="array" ref="W287">IF(Table8[[#This Row],[I_0]]&lt;Table24[Flitro de Ruido],1,Table8[[#This Row],[I_30]]/Table8[[#This Row],[I_0]])</f>
        <v>1</v>
      </c>
      <c r="X287" s="13" cm="1">
        <f t="array" ref="X287">IF(Table8[[#This Row],[I_0]]&lt;Table24[Flitro de Ruido],1,Table8[[#This Row],[I_40]]/Table8[[#This Row],[I_0]])</f>
        <v>1</v>
      </c>
      <c r="Y287" s="13" cm="1">
        <f t="array" ref="Y287">IF(Table8[[#This Row],[I_0]]&lt;Table24[Flitro de Ruido],1,Table8[[#This Row],[I_50]]/Table8[[#This Row],[I_0]])</f>
        <v>1</v>
      </c>
    </row>
    <row r="288" spans="1:25" x14ac:dyDescent="0.3">
      <c r="A288" s="13">
        <v>353.93</v>
      </c>
      <c r="B288" s="12">
        <v>0</v>
      </c>
      <c r="C288" s="11">
        <v>353.93</v>
      </c>
      <c r="D288" s="12">
        <v>0</v>
      </c>
      <c r="E288" s="11">
        <v>353.93</v>
      </c>
      <c r="F288" s="12">
        <v>0</v>
      </c>
      <c r="G288" s="11">
        <v>353.93</v>
      </c>
      <c r="H288" s="12">
        <v>0</v>
      </c>
      <c r="I288" s="11">
        <v>353.93</v>
      </c>
      <c r="J288" s="12">
        <v>0</v>
      </c>
      <c r="K288" s="11">
        <v>353.93</v>
      </c>
      <c r="L288" s="12">
        <v>0</v>
      </c>
      <c r="M288" s="11">
        <v>353.93</v>
      </c>
      <c r="N288" s="13">
        <v>0</v>
      </c>
      <c r="O288" s="11">
        <v>0</v>
      </c>
      <c r="P288" s="11">
        <v>0</v>
      </c>
      <c r="Q288" s="11">
        <v>0</v>
      </c>
      <c r="R288" s="11">
        <v>0</v>
      </c>
      <c r="S288" s="14">
        <v>0</v>
      </c>
      <c r="T288" s="11">
        <v>353.93</v>
      </c>
      <c r="U288" s="13" cm="1">
        <f t="array" ref="U288">IF(Table8[[#This Row],[I_0]]&lt;Table24[Flitro de Ruido],1,Table8[[#This Row],[I_10]]/Table8[[#This Row],[I_0]])</f>
        <v>1</v>
      </c>
      <c r="V288" s="13" cm="1">
        <f t="array" ref="V288">IF(Table8[[#This Row],[I_0]]&lt;Table24[Flitro de Ruido],1,Table8[[#This Row],[I_20]]/Table8[[#This Row],[I_0]])</f>
        <v>1</v>
      </c>
      <c r="W288" s="13" cm="1">
        <f t="array" ref="W288">IF(Table8[[#This Row],[I_0]]&lt;Table24[Flitro de Ruido],1,Table8[[#This Row],[I_30]]/Table8[[#This Row],[I_0]])</f>
        <v>1</v>
      </c>
      <c r="X288" s="13" cm="1">
        <f t="array" ref="X288">IF(Table8[[#This Row],[I_0]]&lt;Table24[Flitro de Ruido],1,Table8[[#This Row],[I_40]]/Table8[[#This Row],[I_0]])</f>
        <v>1</v>
      </c>
      <c r="Y288" s="13" cm="1">
        <f t="array" ref="Y288">IF(Table8[[#This Row],[I_0]]&lt;Table24[Flitro de Ruido],1,Table8[[#This Row],[I_50]]/Table8[[#This Row],[I_0]])</f>
        <v>1</v>
      </c>
    </row>
    <row r="289" spans="1:25" x14ac:dyDescent="0.3">
      <c r="A289" s="13">
        <v>354.92</v>
      </c>
      <c r="B289" s="12">
        <v>0</v>
      </c>
      <c r="C289" s="11">
        <v>354.92</v>
      </c>
      <c r="D289" s="12">
        <v>0</v>
      </c>
      <c r="E289" s="11">
        <v>354.92</v>
      </c>
      <c r="F289" s="12">
        <v>0</v>
      </c>
      <c r="G289" s="11">
        <v>354.92</v>
      </c>
      <c r="H289" s="12">
        <v>0</v>
      </c>
      <c r="I289" s="11">
        <v>354.92</v>
      </c>
      <c r="J289" s="12">
        <v>0</v>
      </c>
      <c r="K289" s="11">
        <v>354.92</v>
      </c>
      <c r="L289" s="12">
        <v>0</v>
      </c>
      <c r="M289" s="11">
        <v>354.92</v>
      </c>
      <c r="N289" s="13">
        <v>0</v>
      </c>
      <c r="O289" s="11">
        <v>0</v>
      </c>
      <c r="P289" s="11">
        <v>0</v>
      </c>
      <c r="Q289" s="11">
        <v>0</v>
      </c>
      <c r="R289" s="11">
        <v>0</v>
      </c>
      <c r="S289" s="14">
        <v>0</v>
      </c>
      <c r="T289" s="11">
        <v>354.92</v>
      </c>
      <c r="U289" s="13" cm="1">
        <f t="array" ref="U289">IF(Table8[[#This Row],[I_0]]&lt;Table24[Flitro de Ruido],1,Table8[[#This Row],[I_10]]/Table8[[#This Row],[I_0]])</f>
        <v>1</v>
      </c>
      <c r="V289" s="13" cm="1">
        <f t="array" ref="V289">IF(Table8[[#This Row],[I_0]]&lt;Table24[Flitro de Ruido],1,Table8[[#This Row],[I_20]]/Table8[[#This Row],[I_0]])</f>
        <v>1</v>
      </c>
      <c r="W289" s="13" cm="1">
        <f t="array" ref="W289">IF(Table8[[#This Row],[I_0]]&lt;Table24[Flitro de Ruido],1,Table8[[#This Row],[I_30]]/Table8[[#This Row],[I_0]])</f>
        <v>1</v>
      </c>
      <c r="X289" s="13" cm="1">
        <f t="array" ref="X289">IF(Table8[[#This Row],[I_0]]&lt;Table24[Flitro de Ruido],1,Table8[[#This Row],[I_40]]/Table8[[#This Row],[I_0]])</f>
        <v>1</v>
      </c>
      <c r="Y289" s="13" cm="1">
        <f t="array" ref="Y289">IF(Table8[[#This Row],[I_0]]&lt;Table24[Flitro de Ruido],1,Table8[[#This Row],[I_50]]/Table8[[#This Row],[I_0]])</f>
        <v>1</v>
      </c>
    </row>
    <row r="290" spans="1:25" x14ac:dyDescent="0.3">
      <c r="A290" s="13">
        <v>355.91</v>
      </c>
      <c r="B290" s="12">
        <v>0</v>
      </c>
      <c r="C290" s="11">
        <v>355.91</v>
      </c>
      <c r="D290" s="12">
        <v>0</v>
      </c>
      <c r="E290" s="11">
        <v>355.91</v>
      </c>
      <c r="F290" s="12">
        <v>0</v>
      </c>
      <c r="G290" s="11">
        <v>355.91</v>
      </c>
      <c r="H290" s="12">
        <v>0</v>
      </c>
      <c r="I290" s="11">
        <v>355.91</v>
      </c>
      <c r="J290" s="12">
        <v>0</v>
      </c>
      <c r="K290" s="11">
        <v>355.91</v>
      </c>
      <c r="L290" s="12">
        <v>0</v>
      </c>
      <c r="M290" s="11">
        <v>355.91</v>
      </c>
      <c r="N290" s="13">
        <v>0</v>
      </c>
      <c r="O290" s="11">
        <v>0</v>
      </c>
      <c r="P290" s="11">
        <v>0</v>
      </c>
      <c r="Q290" s="11">
        <v>0</v>
      </c>
      <c r="R290" s="11">
        <v>0</v>
      </c>
      <c r="S290" s="14">
        <v>0</v>
      </c>
      <c r="T290" s="11">
        <v>355.91</v>
      </c>
      <c r="U290" s="13" cm="1">
        <f t="array" ref="U290">IF(Table8[[#This Row],[I_0]]&lt;Table24[Flitro de Ruido],1,Table8[[#This Row],[I_10]]/Table8[[#This Row],[I_0]])</f>
        <v>1</v>
      </c>
      <c r="V290" s="13" cm="1">
        <f t="array" ref="V290">IF(Table8[[#This Row],[I_0]]&lt;Table24[Flitro de Ruido],1,Table8[[#This Row],[I_20]]/Table8[[#This Row],[I_0]])</f>
        <v>1</v>
      </c>
      <c r="W290" s="13" cm="1">
        <f t="array" ref="W290">IF(Table8[[#This Row],[I_0]]&lt;Table24[Flitro de Ruido],1,Table8[[#This Row],[I_30]]/Table8[[#This Row],[I_0]])</f>
        <v>1</v>
      </c>
      <c r="X290" s="13" cm="1">
        <f t="array" ref="X290">IF(Table8[[#This Row],[I_0]]&lt;Table24[Flitro de Ruido],1,Table8[[#This Row],[I_40]]/Table8[[#This Row],[I_0]])</f>
        <v>1</v>
      </c>
      <c r="Y290" s="13" cm="1">
        <f t="array" ref="Y290">IF(Table8[[#This Row],[I_0]]&lt;Table24[Flitro de Ruido],1,Table8[[#This Row],[I_50]]/Table8[[#This Row],[I_0]])</f>
        <v>1</v>
      </c>
    </row>
    <row r="291" spans="1:25" x14ac:dyDescent="0.3">
      <c r="A291" s="13">
        <v>356.9</v>
      </c>
      <c r="B291" s="12">
        <v>0</v>
      </c>
      <c r="C291" s="11">
        <v>356.9</v>
      </c>
      <c r="D291" s="12">
        <v>0</v>
      </c>
      <c r="E291" s="11">
        <v>356.9</v>
      </c>
      <c r="F291" s="12">
        <v>0</v>
      </c>
      <c r="G291" s="11">
        <v>356.9</v>
      </c>
      <c r="H291" s="12">
        <v>0</v>
      </c>
      <c r="I291" s="11">
        <v>356.9</v>
      </c>
      <c r="J291" s="12">
        <v>0</v>
      </c>
      <c r="K291" s="11">
        <v>356.9</v>
      </c>
      <c r="L291" s="12">
        <v>0</v>
      </c>
      <c r="M291" s="11">
        <v>356.9</v>
      </c>
      <c r="N291" s="13">
        <v>0</v>
      </c>
      <c r="O291" s="11">
        <v>0</v>
      </c>
      <c r="P291" s="11">
        <v>0</v>
      </c>
      <c r="Q291" s="11">
        <v>0</v>
      </c>
      <c r="R291" s="11">
        <v>0</v>
      </c>
      <c r="S291" s="14">
        <v>0</v>
      </c>
      <c r="T291" s="11">
        <v>356.9</v>
      </c>
      <c r="U291" s="13" cm="1">
        <f t="array" ref="U291">IF(Table8[[#This Row],[I_0]]&lt;Table24[Flitro de Ruido],1,Table8[[#This Row],[I_10]]/Table8[[#This Row],[I_0]])</f>
        <v>1</v>
      </c>
      <c r="V291" s="13" cm="1">
        <f t="array" ref="V291">IF(Table8[[#This Row],[I_0]]&lt;Table24[Flitro de Ruido],1,Table8[[#This Row],[I_20]]/Table8[[#This Row],[I_0]])</f>
        <v>1</v>
      </c>
      <c r="W291" s="13" cm="1">
        <f t="array" ref="W291">IF(Table8[[#This Row],[I_0]]&lt;Table24[Flitro de Ruido],1,Table8[[#This Row],[I_30]]/Table8[[#This Row],[I_0]])</f>
        <v>1</v>
      </c>
      <c r="X291" s="13" cm="1">
        <f t="array" ref="X291">IF(Table8[[#This Row],[I_0]]&lt;Table24[Flitro de Ruido],1,Table8[[#This Row],[I_40]]/Table8[[#This Row],[I_0]])</f>
        <v>1</v>
      </c>
      <c r="Y291" s="13" cm="1">
        <f t="array" ref="Y291">IF(Table8[[#This Row],[I_0]]&lt;Table24[Flitro de Ruido],1,Table8[[#This Row],[I_50]]/Table8[[#This Row],[I_0]])</f>
        <v>1</v>
      </c>
    </row>
    <row r="292" spans="1:25" x14ac:dyDescent="0.3">
      <c r="A292" s="13">
        <v>357.89</v>
      </c>
      <c r="B292" s="12">
        <v>0</v>
      </c>
      <c r="C292" s="11">
        <v>357.89</v>
      </c>
      <c r="D292" s="12">
        <v>0</v>
      </c>
      <c r="E292" s="11">
        <v>357.89</v>
      </c>
      <c r="F292" s="12">
        <v>0</v>
      </c>
      <c r="G292" s="11">
        <v>357.89</v>
      </c>
      <c r="H292" s="12">
        <v>0</v>
      </c>
      <c r="I292" s="11">
        <v>357.89</v>
      </c>
      <c r="J292" s="12">
        <v>0</v>
      </c>
      <c r="K292" s="11">
        <v>357.89</v>
      </c>
      <c r="L292" s="12">
        <v>0</v>
      </c>
      <c r="M292" s="11">
        <v>357.89</v>
      </c>
      <c r="N292" s="13">
        <v>0</v>
      </c>
      <c r="O292" s="11">
        <v>0</v>
      </c>
      <c r="P292" s="11">
        <v>0</v>
      </c>
      <c r="Q292" s="11">
        <v>0</v>
      </c>
      <c r="R292" s="11">
        <v>0</v>
      </c>
      <c r="S292" s="14">
        <v>0</v>
      </c>
      <c r="T292" s="11">
        <v>357.89</v>
      </c>
      <c r="U292" s="13" cm="1">
        <f t="array" ref="U292">IF(Table8[[#This Row],[I_0]]&lt;Table24[Flitro de Ruido],1,Table8[[#This Row],[I_10]]/Table8[[#This Row],[I_0]])</f>
        <v>1</v>
      </c>
      <c r="V292" s="13" cm="1">
        <f t="array" ref="V292">IF(Table8[[#This Row],[I_0]]&lt;Table24[Flitro de Ruido],1,Table8[[#This Row],[I_20]]/Table8[[#This Row],[I_0]])</f>
        <v>1</v>
      </c>
      <c r="W292" s="13" cm="1">
        <f t="array" ref="W292">IF(Table8[[#This Row],[I_0]]&lt;Table24[Flitro de Ruido],1,Table8[[#This Row],[I_30]]/Table8[[#This Row],[I_0]])</f>
        <v>1</v>
      </c>
      <c r="X292" s="13" cm="1">
        <f t="array" ref="X292">IF(Table8[[#This Row],[I_0]]&lt;Table24[Flitro de Ruido],1,Table8[[#This Row],[I_40]]/Table8[[#This Row],[I_0]])</f>
        <v>1</v>
      </c>
      <c r="Y292" s="13" cm="1">
        <f t="array" ref="Y292">IF(Table8[[#This Row],[I_0]]&lt;Table24[Flitro de Ruido],1,Table8[[#This Row],[I_50]]/Table8[[#This Row],[I_0]])</f>
        <v>1</v>
      </c>
    </row>
    <row r="293" spans="1:25" x14ac:dyDescent="0.3">
      <c r="A293" s="13">
        <v>358.88</v>
      </c>
      <c r="B293" s="12">
        <v>0</v>
      </c>
      <c r="C293" s="11">
        <v>358.88</v>
      </c>
      <c r="D293" s="12">
        <v>0</v>
      </c>
      <c r="E293" s="11">
        <v>358.88</v>
      </c>
      <c r="F293" s="12">
        <v>0</v>
      </c>
      <c r="G293" s="11">
        <v>358.88</v>
      </c>
      <c r="H293" s="12">
        <v>0</v>
      </c>
      <c r="I293" s="11">
        <v>358.88</v>
      </c>
      <c r="J293" s="12">
        <v>0</v>
      </c>
      <c r="K293" s="11">
        <v>358.88</v>
      </c>
      <c r="L293" s="12">
        <v>0</v>
      </c>
      <c r="M293" s="11">
        <v>358.88</v>
      </c>
      <c r="N293" s="13">
        <v>0</v>
      </c>
      <c r="O293" s="11">
        <v>0</v>
      </c>
      <c r="P293" s="11">
        <v>0</v>
      </c>
      <c r="Q293" s="11">
        <v>0</v>
      </c>
      <c r="R293" s="11">
        <v>0</v>
      </c>
      <c r="S293" s="14">
        <v>0</v>
      </c>
      <c r="T293" s="11">
        <v>358.88</v>
      </c>
      <c r="U293" s="13" cm="1">
        <f t="array" ref="U293">IF(Table8[[#This Row],[I_0]]&lt;Table24[Flitro de Ruido],1,Table8[[#This Row],[I_10]]/Table8[[#This Row],[I_0]])</f>
        <v>1</v>
      </c>
      <c r="V293" s="13" cm="1">
        <f t="array" ref="V293">IF(Table8[[#This Row],[I_0]]&lt;Table24[Flitro de Ruido],1,Table8[[#This Row],[I_20]]/Table8[[#This Row],[I_0]])</f>
        <v>1</v>
      </c>
      <c r="W293" s="13" cm="1">
        <f t="array" ref="W293">IF(Table8[[#This Row],[I_0]]&lt;Table24[Flitro de Ruido],1,Table8[[#This Row],[I_30]]/Table8[[#This Row],[I_0]])</f>
        <v>1</v>
      </c>
      <c r="X293" s="13" cm="1">
        <f t="array" ref="X293">IF(Table8[[#This Row],[I_0]]&lt;Table24[Flitro de Ruido],1,Table8[[#This Row],[I_40]]/Table8[[#This Row],[I_0]])</f>
        <v>1</v>
      </c>
      <c r="Y293" s="13" cm="1">
        <f t="array" ref="Y293">IF(Table8[[#This Row],[I_0]]&lt;Table24[Flitro de Ruido],1,Table8[[#This Row],[I_50]]/Table8[[#This Row],[I_0]])</f>
        <v>1</v>
      </c>
    </row>
    <row r="294" spans="1:25" x14ac:dyDescent="0.3">
      <c r="A294" s="13">
        <v>359.88</v>
      </c>
      <c r="B294" s="12">
        <v>0</v>
      </c>
      <c r="C294" s="11">
        <v>359.88</v>
      </c>
      <c r="D294" s="12">
        <v>0</v>
      </c>
      <c r="E294" s="11">
        <v>359.88</v>
      </c>
      <c r="F294" s="12">
        <v>0</v>
      </c>
      <c r="G294" s="11">
        <v>359.88</v>
      </c>
      <c r="H294" s="12">
        <v>0</v>
      </c>
      <c r="I294" s="11">
        <v>359.88</v>
      </c>
      <c r="J294" s="12">
        <v>0</v>
      </c>
      <c r="K294" s="11">
        <v>359.88</v>
      </c>
      <c r="L294" s="12">
        <v>0</v>
      </c>
      <c r="M294" s="11">
        <v>359.88</v>
      </c>
      <c r="N294" s="13">
        <v>0</v>
      </c>
      <c r="O294" s="11">
        <v>0</v>
      </c>
      <c r="P294" s="11">
        <v>0</v>
      </c>
      <c r="Q294" s="11">
        <v>0</v>
      </c>
      <c r="R294" s="11">
        <v>0</v>
      </c>
      <c r="S294" s="14">
        <v>0</v>
      </c>
      <c r="T294" s="11">
        <v>359.88</v>
      </c>
      <c r="U294" s="13" cm="1">
        <f t="array" ref="U294">IF(Table8[[#This Row],[I_0]]&lt;Table24[Flitro de Ruido],1,Table8[[#This Row],[I_10]]/Table8[[#This Row],[I_0]])</f>
        <v>1</v>
      </c>
      <c r="V294" s="13" cm="1">
        <f t="array" ref="V294">IF(Table8[[#This Row],[I_0]]&lt;Table24[Flitro de Ruido],1,Table8[[#This Row],[I_20]]/Table8[[#This Row],[I_0]])</f>
        <v>1</v>
      </c>
      <c r="W294" s="13" cm="1">
        <f t="array" ref="W294">IF(Table8[[#This Row],[I_0]]&lt;Table24[Flitro de Ruido],1,Table8[[#This Row],[I_30]]/Table8[[#This Row],[I_0]])</f>
        <v>1</v>
      </c>
      <c r="X294" s="13" cm="1">
        <f t="array" ref="X294">IF(Table8[[#This Row],[I_0]]&lt;Table24[Flitro de Ruido],1,Table8[[#This Row],[I_40]]/Table8[[#This Row],[I_0]])</f>
        <v>1</v>
      </c>
      <c r="Y294" s="13" cm="1">
        <f t="array" ref="Y294">IF(Table8[[#This Row],[I_0]]&lt;Table24[Flitro de Ruido],1,Table8[[#This Row],[I_50]]/Table8[[#This Row],[I_0]])</f>
        <v>1</v>
      </c>
    </row>
    <row r="295" spans="1:25" x14ac:dyDescent="0.3">
      <c r="A295" s="13">
        <v>360.87</v>
      </c>
      <c r="B295" s="12">
        <v>0</v>
      </c>
      <c r="C295" s="11">
        <v>360.87</v>
      </c>
      <c r="D295" s="12">
        <v>0</v>
      </c>
      <c r="E295" s="11">
        <v>360.87</v>
      </c>
      <c r="F295" s="12">
        <v>0</v>
      </c>
      <c r="G295" s="11">
        <v>360.87</v>
      </c>
      <c r="H295" s="12">
        <v>0</v>
      </c>
      <c r="I295" s="11">
        <v>360.87</v>
      </c>
      <c r="J295" s="12">
        <v>0</v>
      </c>
      <c r="K295" s="11">
        <v>360.87</v>
      </c>
      <c r="L295" s="12">
        <v>0</v>
      </c>
      <c r="M295" s="11">
        <v>360.87</v>
      </c>
      <c r="N295" s="13">
        <v>0</v>
      </c>
      <c r="O295" s="11">
        <v>0</v>
      </c>
      <c r="P295" s="11">
        <v>0</v>
      </c>
      <c r="Q295" s="11">
        <v>0</v>
      </c>
      <c r="R295" s="11">
        <v>0</v>
      </c>
      <c r="S295" s="14">
        <v>0</v>
      </c>
      <c r="T295" s="11">
        <v>360.87</v>
      </c>
      <c r="U295" s="13" cm="1">
        <f t="array" ref="U295">IF(Table8[[#This Row],[I_0]]&lt;Table24[Flitro de Ruido],1,Table8[[#This Row],[I_10]]/Table8[[#This Row],[I_0]])</f>
        <v>1</v>
      </c>
      <c r="V295" s="13" cm="1">
        <f t="array" ref="V295">IF(Table8[[#This Row],[I_0]]&lt;Table24[Flitro de Ruido],1,Table8[[#This Row],[I_20]]/Table8[[#This Row],[I_0]])</f>
        <v>1</v>
      </c>
      <c r="W295" s="13" cm="1">
        <f t="array" ref="W295">IF(Table8[[#This Row],[I_0]]&lt;Table24[Flitro de Ruido],1,Table8[[#This Row],[I_30]]/Table8[[#This Row],[I_0]])</f>
        <v>1</v>
      </c>
      <c r="X295" s="13" cm="1">
        <f t="array" ref="X295">IF(Table8[[#This Row],[I_0]]&lt;Table24[Flitro de Ruido],1,Table8[[#This Row],[I_40]]/Table8[[#This Row],[I_0]])</f>
        <v>1</v>
      </c>
      <c r="Y295" s="13" cm="1">
        <f t="array" ref="Y295">IF(Table8[[#This Row],[I_0]]&lt;Table24[Flitro de Ruido],1,Table8[[#This Row],[I_50]]/Table8[[#This Row],[I_0]])</f>
        <v>1</v>
      </c>
    </row>
    <row r="296" spans="1:25" x14ac:dyDescent="0.3">
      <c r="A296" s="13">
        <v>361.86</v>
      </c>
      <c r="B296" s="12">
        <v>0</v>
      </c>
      <c r="C296" s="11">
        <v>361.86</v>
      </c>
      <c r="D296" s="12">
        <v>0</v>
      </c>
      <c r="E296" s="11">
        <v>361.86</v>
      </c>
      <c r="F296" s="12">
        <v>0</v>
      </c>
      <c r="G296" s="11">
        <v>361.86</v>
      </c>
      <c r="H296" s="12">
        <v>0</v>
      </c>
      <c r="I296" s="11">
        <v>361.86</v>
      </c>
      <c r="J296" s="12">
        <v>0</v>
      </c>
      <c r="K296" s="11">
        <v>361.86</v>
      </c>
      <c r="L296" s="12">
        <v>0</v>
      </c>
      <c r="M296" s="11">
        <v>361.86</v>
      </c>
      <c r="N296" s="13">
        <v>0</v>
      </c>
      <c r="O296" s="11">
        <v>0</v>
      </c>
      <c r="P296" s="11">
        <v>0</v>
      </c>
      <c r="Q296" s="11">
        <v>0</v>
      </c>
      <c r="R296" s="11">
        <v>0</v>
      </c>
      <c r="S296" s="14">
        <v>0</v>
      </c>
      <c r="T296" s="11">
        <v>361.86</v>
      </c>
      <c r="U296" s="13" cm="1">
        <f t="array" ref="U296">IF(Table8[[#This Row],[I_0]]&lt;Table24[Flitro de Ruido],1,Table8[[#This Row],[I_10]]/Table8[[#This Row],[I_0]])</f>
        <v>1</v>
      </c>
      <c r="V296" s="13" cm="1">
        <f t="array" ref="V296">IF(Table8[[#This Row],[I_0]]&lt;Table24[Flitro de Ruido],1,Table8[[#This Row],[I_20]]/Table8[[#This Row],[I_0]])</f>
        <v>1</v>
      </c>
      <c r="W296" s="13" cm="1">
        <f t="array" ref="W296">IF(Table8[[#This Row],[I_0]]&lt;Table24[Flitro de Ruido],1,Table8[[#This Row],[I_30]]/Table8[[#This Row],[I_0]])</f>
        <v>1</v>
      </c>
      <c r="X296" s="13" cm="1">
        <f t="array" ref="X296">IF(Table8[[#This Row],[I_0]]&lt;Table24[Flitro de Ruido],1,Table8[[#This Row],[I_40]]/Table8[[#This Row],[I_0]])</f>
        <v>1</v>
      </c>
      <c r="Y296" s="13" cm="1">
        <f t="array" ref="Y296">IF(Table8[[#This Row],[I_0]]&lt;Table24[Flitro de Ruido],1,Table8[[#This Row],[I_50]]/Table8[[#This Row],[I_0]])</f>
        <v>1</v>
      </c>
    </row>
    <row r="297" spans="1:25" x14ac:dyDescent="0.3">
      <c r="A297" s="13">
        <v>362.85</v>
      </c>
      <c r="B297" s="12">
        <v>0</v>
      </c>
      <c r="C297" s="11">
        <v>362.85</v>
      </c>
      <c r="D297" s="12">
        <v>0</v>
      </c>
      <c r="E297" s="11">
        <v>362.85</v>
      </c>
      <c r="F297" s="12">
        <v>0</v>
      </c>
      <c r="G297" s="11">
        <v>362.85</v>
      </c>
      <c r="H297" s="12">
        <v>0</v>
      </c>
      <c r="I297" s="11">
        <v>362.85</v>
      </c>
      <c r="J297" s="12">
        <v>0</v>
      </c>
      <c r="K297" s="11">
        <v>362.85</v>
      </c>
      <c r="L297" s="12">
        <v>0</v>
      </c>
      <c r="M297" s="11">
        <v>362.85</v>
      </c>
      <c r="N297" s="13">
        <v>0</v>
      </c>
      <c r="O297" s="11">
        <v>0</v>
      </c>
      <c r="P297" s="11">
        <v>0</v>
      </c>
      <c r="Q297" s="11">
        <v>0</v>
      </c>
      <c r="R297" s="11">
        <v>0</v>
      </c>
      <c r="S297" s="14">
        <v>0</v>
      </c>
      <c r="T297" s="11">
        <v>362.85</v>
      </c>
      <c r="U297" s="13" cm="1">
        <f t="array" ref="U297">IF(Table8[[#This Row],[I_0]]&lt;Table24[Flitro de Ruido],1,Table8[[#This Row],[I_10]]/Table8[[#This Row],[I_0]])</f>
        <v>1</v>
      </c>
      <c r="V297" s="13" cm="1">
        <f t="array" ref="V297">IF(Table8[[#This Row],[I_0]]&lt;Table24[Flitro de Ruido],1,Table8[[#This Row],[I_20]]/Table8[[#This Row],[I_0]])</f>
        <v>1</v>
      </c>
      <c r="W297" s="13" cm="1">
        <f t="array" ref="W297">IF(Table8[[#This Row],[I_0]]&lt;Table24[Flitro de Ruido],1,Table8[[#This Row],[I_30]]/Table8[[#This Row],[I_0]])</f>
        <v>1</v>
      </c>
      <c r="X297" s="13" cm="1">
        <f t="array" ref="X297">IF(Table8[[#This Row],[I_0]]&lt;Table24[Flitro de Ruido],1,Table8[[#This Row],[I_40]]/Table8[[#This Row],[I_0]])</f>
        <v>1</v>
      </c>
      <c r="Y297" s="13" cm="1">
        <f t="array" ref="Y297">IF(Table8[[#This Row],[I_0]]&lt;Table24[Flitro de Ruido],1,Table8[[#This Row],[I_50]]/Table8[[#This Row],[I_0]])</f>
        <v>1</v>
      </c>
    </row>
    <row r="298" spans="1:25" x14ac:dyDescent="0.3">
      <c r="A298" s="13">
        <v>363.84</v>
      </c>
      <c r="B298" s="12">
        <v>0</v>
      </c>
      <c r="C298" s="11">
        <v>363.84</v>
      </c>
      <c r="D298" s="12">
        <v>0</v>
      </c>
      <c r="E298" s="11">
        <v>363.84</v>
      </c>
      <c r="F298" s="12">
        <v>0</v>
      </c>
      <c r="G298" s="11">
        <v>363.84</v>
      </c>
      <c r="H298" s="12">
        <v>0</v>
      </c>
      <c r="I298" s="11">
        <v>363.84</v>
      </c>
      <c r="J298" s="12">
        <v>0</v>
      </c>
      <c r="K298" s="11">
        <v>363.84</v>
      </c>
      <c r="L298" s="12">
        <v>0</v>
      </c>
      <c r="M298" s="11">
        <v>363.84</v>
      </c>
      <c r="N298" s="13">
        <v>0</v>
      </c>
      <c r="O298" s="11">
        <v>0</v>
      </c>
      <c r="P298" s="11">
        <v>0</v>
      </c>
      <c r="Q298" s="11">
        <v>0</v>
      </c>
      <c r="R298" s="11">
        <v>0</v>
      </c>
      <c r="S298" s="14">
        <v>0</v>
      </c>
      <c r="T298" s="11">
        <v>363.84</v>
      </c>
      <c r="U298" s="13" cm="1">
        <f t="array" ref="U298">IF(Table8[[#This Row],[I_0]]&lt;Table24[Flitro de Ruido],1,Table8[[#This Row],[I_10]]/Table8[[#This Row],[I_0]])</f>
        <v>1</v>
      </c>
      <c r="V298" s="13" cm="1">
        <f t="array" ref="V298">IF(Table8[[#This Row],[I_0]]&lt;Table24[Flitro de Ruido],1,Table8[[#This Row],[I_20]]/Table8[[#This Row],[I_0]])</f>
        <v>1</v>
      </c>
      <c r="W298" s="13" cm="1">
        <f t="array" ref="W298">IF(Table8[[#This Row],[I_0]]&lt;Table24[Flitro de Ruido],1,Table8[[#This Row],[I_30]]/Table8[[#This Row],[I_0]])</f>
        <v>1</v>
      </c>
      <c r="X298" s="13" cm="1">
        <f t="array" ref="X298">IF(Table8[[#This Row],[I_0]]&lt;Table24[Flitro de Ruido],1,Table8[[#This Row],[I_40]]/Table8[[#This Row],[I_0]])</f>
        <v>1</v>
      </c>
      <c r="Y298" s="13" cm="1">
        <f t="array" ref="Y298">IF(Table8[[#This Row],[I_0]]&lt;Table24[Flitro de Ruido],1,Table8[[#This Row],[I_50]]/Table8[[#This Row],[I_0]])</f>
        <v>1</v>
      </c>
    </row>
    <row r="299" spans="1:25" x14ac:dyDescent="0.3">
      <c r="A299" s="13">
        <v>364.84</v>
      </c>
      <c r="B299" s="12">
        <v>0</v>
      </c>
      <c r="C299" s="11">
        <v>364.84</v>
      </c>
      <c r="D299" s="12">
        <v>0</v>
      </c>
      <c r="E299" s="11">
        <v>364.84</v>
      </c>
      <c r="F299" s="12">
        <v>0</v>
      </c>
      <c r="G299" s="11">
        <v>364.84</v>
      </c>
      <c r="H299" s="12">
        <v>0</v>
      </c>
      <c r="I299" s="11">
        <v>364.84</v>
      </c>
      <c r="J299" s="12">
        <v>0</v>
      </c>
      <c r="K299" s="11">
        <v>364.84</v>
      </c>
      <c r="L299" s="12">
        <v>0</v>
      </c>
      <c r="M299" s="11">
        <v>364.84</v>
      </c>
      <c r="N299" s="13">
        <v>0</v>
      </c>
      <c r="O299" s="11">
        <v>0</v>
      </c>
      <c r="P299" s="11">
        <v>0</v>
      </c>
      <c r="Q299" s="11">
        <v>0</v>
      </c>
      <c r="R299" s="11">
        <v>0</v>
      </c>
      <c r="S299" s="14">
        <v>0</v>
      </c>
      <c r="T299" s="11">
        <v>364.84</v>
      </c>
      <c r="U299" s="13" cm="1">
        <f t="array" ref="U299">IF(Table8[[#This Row],[I_0]]&lt;Table24[Flitro de Ruido],1,Table8[[#This Row],[I_10]]/Table8[[#This Row],[I_0]])</f>
        <v>1</v>
      </c>
      <c r="V299" s="13" cm="1">
        <f t="array" ref="V299">IF(Table8[[#This Row],[I_0]]&lt;Table24[Flitro de Ruido],1,Table8[[#This Row],[I_20]]/Table8[[#This Row],[I_0]])</f>
        <v>1</v>
      </c>
      <c r="W299" s="13" cm="1">
        <f t="array" ref="W299">IF(Table8[[#This Row],[I_0]]&lt;Table24[Flitro de Ruido],1,Table8[[#This Row],[I_30]]/Table8[[#This Row],[I_0]])</f>
        <v>1</v>
      </c>
      <c r="X299" s="13" cm="1">
        <f t="array" ref="X299">IF(Table8[[#This Row],[I_0]]&lt;Table24[Flitro de Ruido],1,Table8[[#This Row],[I_40]]/Table8[[#This Row],[I_0]])</f>
        <v>1</v>
      </c>
      <c r="Y299" s="13" cm="1">
        <f t="array" ref="Y299">IF(Table8[[#This Row],[I_0]]&lt;Table24[Flitro de Ruido],1,Table8[[#This Row],[I_50]]/Table8[[#This Row],[I_0]])</f>
        <v>1</v>
      </c>
    </row>
    <row r="300" spans="1:25" x14ac:dyDescent="0.3">
      <c r="A300" s="13">
        <v>365.83</v>
      </c>
      <c r="B300" s="12">
        <v>0</v>
      </c>
      <c r="C300" s="11">
        <v>365.83</v>
      </c>
      <c r="D300" s="12">
        <v>0</v>
      </c>
      <c r="E300" s="11">
        <v>365.83</v>
      </c>
      <c r="F300" s="12">
        <v>0</v>
      </c>
      <c r="G300" s="11">
        <v>365.83</v>
      </c>
      <c r="H300" s="12">
        <v>0</v>
      </c>
      <c r="I300" s="11">
        <v>365.83</v>
      </c>
      <c r="J300" s="12">
        <v>0</v>
      </c>
      <c r="K300" s="11">
        <v>365.83</v>
      </c>
      <c r="L300" s="12">
        <v>0</v>
      </c>
      <c r="M300" s="11">
        <v>365.83</v>
      </c>
      <c r="N300" s="13">
        <v>0</v>
      </c>
      <c r="O300" s="11">
        <v>0</v>
      </c>
      <c r="P300" s="11">
        <v>0</v>
      </c>
      <c r="Q300" s="11">
        <v>0</v>
      </c>
      <c r="R300" s="11">
        <v>0</v>
      </c>
      <c r="S300" s="14">
        <v>0</v>
      </c>
      <c r="T300" s="11">
        <v>365.83</v>
      </c>
      <c r="U300" s="13" cm="1">
        <f t="array" ref="U300">IF(Table8[[#This Row],[I_0]]&lt;Table24[Flitro de Ruido],1,Table8[[#This Row],[I_10]]/Table8[[#This Row],[I_0]])</f>
        <v>1</v>
      </c>
      <c r="V300" s="13" cm="1">
        <f t="array" ref="V300">IF(Table8[[#This Row],[I_0]]&lt;Table24[Flitro de Ruido],1,Table8[[#This Row],[I_20]]/Table8[[#This Row],[I_0]])</f>
        <v>1</v>
      </c>
      <c r="W300" s="13" cm="1">
        <f t="array" ref="W300">IF(Table8[[#This Row],[I_0]]&lt;Table24[Flitro de Ruido],1,Table8[[#This Row],[I_30]]/Table8[[#This Row],[I_0]])</f>
        <v>1</v>
      </c>
      <c r="X300" s="13" cm="1">
        <f t="array" ref="X300">IF(Table8[[#This Row],[I_0]]&lt;Table24[Flitro de Ruido],1,Table8[[#This Row],[I_40]]/Table8[[#This Row],[I_0]])</f>
        <v>1</v>
      </c>
      <c r="Y300" s="13" cm="1">
        <f t="array" ref="Y300">IF(Table8[[#This Row],[I_0]]&lt;Table24[Flitro de Ruido],1,Table8[[#This Row],[I_50]]/Table8[[#This Row],[I_0]])</f>
        <v>1</v>
      </c>
    </row>
    <row r="301" spans="1:25" x14ac:dyDescent="0.3">
      <c r="A301" s="13">
        <v>366.82</v>
      </c>
      <c r="B301" s="12">
        <v>0</v>
      </c>
      <c r="C301" s="11">
        <v>366.82</v>
      </c>
      <c r="D301" s="12">
        <v>0</v>
      </c>
      <c r="E301" s="11">
        <v>366.82</v>
      </c>
      <c r="F301" s="12">
        <v>0</v>
      </c>
      <c r="G301" s="11">
        <v>366.82</v>
      </c>
      <c r="H301" s="12">
        <v>0</v>
      </c>
      <c r="I301" s="11">
        <v>366.82</v>
      </c>
      <c r="J301" s="12">
        <v>0</v>
      </c>
      <c r="K301" s="11">
        <v>366.82</v>
      </c>
      <c r="L301" s="12">
        <v>0</v>
      </c>
      <c r="M301" s="11">
        <v>366.82</v>
      </c>
      <c r="N301" s="13">
        <v>0</v>
      </c>
      <c r="O301" s="11">
        <v>0</v>
      </c>
      <c r="P301" s="11">
        <v>0</v>
      </c>
      <c r="Q301" s="11">
        <v>0</v>
      </c>
      <c r="R301" s="11">
        <v>0</v>
      </c>
      <c r="S301" s="14">
        <v>0</v>
      </c>
      <c r="T301" s="11">
        <v>366.82</v>
      </c>
      <c r="U301" s="13" cm="1">
        <f t="array" ref="U301">IF(Table8[[#This Row],[I_0]]&lt;Table24[Flitro de Ruido],1,Table8[[#This Row],[I_10]]/Table8[[#This Row],[I_0]])</f>
        <v>1</v>
      </c>
      <c r="V301" s="13" cm="1">
        <f t="array" ref="V301">IF(Table8[[#This Row],[I_0]]&lt;Table24[Flitro de Ruido],1,Table8[[#This Row],[I_20]]/Table8[[#This Row],[I_0]])</f>
        <v>1</v>
      </c>
      <c r="W301" s="13" cm="1">
        <f t="array" ref="W301">IF(Table8[[#This Row],[I_0]]&lt;Table24[Flitro de Ruido],1,Table8[[#This Row],[I_30]]/Table8[[#This Row],[I_0]])</f>
        <v>1</v>
      </c>
      <c r="X301" s="13" cm="1">
        <f t="array" ref="X301">IF(Table8[[#This Row],[I_0]]&lt;Table24[Flitro de Ruido],1,Table8[[#This Row],[I_40]]/Table8[[#This Row],[I_0]])</f>
        <v>1</v>
      </c>
      <c r="Y301" s="13" cm="1">
        <f t="array" ref="Y301">IF(Table8[[#This Row],[I_0]]&lt;Table24[Flitro de Ruido],1,Table8[[#This Row],[I_50]]/Table8[[#This Row],[I_0]])</f>
        <v>1</v>
      </c>
    </row>
    <row r="302" spans="1:25" x14ac:dyDescent="0.3">
      <c r="A302" s="13">
        <v>367.81</v>
      </c>
      <c r="B302" s="12">
        <v>0</v>
      </c>
      <c r="C302" s="11">
        <v>367.81</v>
      </c>
      <c r="D302" s="12">
        <v>0</v>
      </c>
      <c r="E302" s="11">
        <v>367.81</v>
      </c>
      <c r="F302" s="12">
        <v>0</v>
      </c>
      <c r="G302" s="11">
        <v>367.81</v>
      </c>
      <c r="H302" s="12">
        <v>0</v>
      </c>
      <c r="I302" s="11">
        <v>367.81</v>
      </c>
      <c r="J302" s="12">
        <v>0</v>
      </c>
      <c r="K302" s="11">
        <v>367.81</v>
      </c>
      <c r="L302" s="12">
        <v>0</v>
      </c>
      <c r="M302" s="11">
        <v>367.81</v>
      </c>
      <c r="N302" s="13">
        <v>0</v>
      </c>
      <c r="O302" s="11">
        <v>0</v>
      </c>
      <c r="P302" s="11">
        <v>0</v>
      </c>
      <c r="Q302" s="11">
        <v>0</v>
      </c>
      <c r="R302" s="11">
        <v>0</v>
      </c>
      <c r="S302" s="14">
        <v>0</v>
      </c>
      <c r="T302" s="11">
        <v>367.81</v>
      </c>
      <c r="U302" s="13" cm="1">
        <f t="array" ref="U302">IF(Table8[[#This Row],[I_0]]&lt;Table24[Flitro de Ruido],1,Table8[[#This Row],[I_10]]/Table8[[#This Row],[I_0]])</f>
        <v>1</v>
      </c>
      <c r="V302" s="13" cm="1">
        <f t="array" ref="V302">IF(Table8[[#This Row],[I_0]]&lt;Table24[Flitro de Ruido],1,Table8[[#This Row],[I_20]]/Table8[[#This Row],[I_0]])</f>
        <v>1</v>
      </c>
      <c r="W302" s="13" cm="1">
        <f t="array" ref="W302">IF(Table8[[#This Row],[I_0]]&lt;Table24[Flitro de Ruido],1,Table8[[#This Row],[I_30]]/Table8[[#This Row],[I_0]])</f>
        <v>1</v>
      </c>
      <c r="X302" s="13" cm="1">
        <f t="array" ref="X302">IF(Table8[[#This Row],[I_0]]&lt;Table24[Flitro de Ruido],1,Table8[[#This Row],[I_40]]/Table8[[#This Row],[I_0]])</f>
        <v>1</v>
      </c>
      <c r="Y302" s="13" cm="1">
        <f t="array" ref="Y302">IF(Table8[[#This Row],[I_0]]&lt;Table24[Flitro de Ruido],1,Table8[[#This Row],[I_50]]/Table8[[#This Row],[I_0]])</f>
        <v>1</v>
      </c>
    </row>
    <row r="303" spans="1:25" x14ac:dyDescent="0.3">
      <c r="A303" s="13">
        <v>368.8</v>
      </c>
      <c r="B303" s="12">
        <v>0</v>
      </c>
      <c r="C303" s="11">
        <v>368.8</v>
      </c>
      <c r="D303" s="12">
        <v>0</v>
      </c>
      <c r="E303" s="11">
        <v>368.8</v>
      </c>
      <c r="F303" s="12">
        <v>0</v>
      </c>
      <c r="G303" s="11">
        <v>368.8</v>
      </c>
      <c r="H303" s="12">
        <v>0</v>
      </c>
      <c r="I303" s="11">
        <v>368.8</v>
      </c>
      <c r="J303" s="12">
        <v>0</v>
      </c>
      <c r="K303" s="11">
        <v>368.8</v>
      </c>
      <c r="L303" s="12">
        <v>0</v>
      </c>
      <c r="M303" s="11">
        <v>368.8</v>
      </c>
      <c r="N303" s="13">
        <v>0</v>
      </c>
      <c r="O303" s="11">
        <v>0</v>
      </c>
      <c r="P303" s="11">
        <v>0</v>
      </c>
      <c r="Q303" s="11">
        <v>0</v>
      </c>
      <c r="R303" s="11">
        <v>0</v>
      </c>
      <c r="S303" s="14">
        <v>0</v>
      </c>
      <c r="T303" s="11">
        <v>368.8</v>
      </c>
      <c r="U303" s="13" cm="1">
        <f t="array" ref="U303">IF(Table8[[#This Row],[I_0]]&lt;Table24[Flitro de Ruido],1,Table8[[#This Row],[I_10]]/Table8[[#This Row],[I_0]])</f>
        <v>1</v>
      </c>
      <c r="V303" s="13" cm="1">
        <f t="array" ref="V303">IF(Table8[[#This Row],[I_0]]&lt;Table24[Flitro de Ruido],1,Table8[[#This Row],[I_20]]/Table8[[#This Row],[I_0]])</f>
        <v>1</v>
      </c>
      <c r="W303" s="13" cm="1">
        <f t="array" ref="W303">IF(Table8[[#This Row],[I_0]]&lt;Table24[Flitro de Ruido],1,Table8[[#This Row],[I_30]]/Table8[[#This Row],[I_0]])</f>
        <v>1</v>
      </c>
      <c r="X303" s="13" cm="1">
        <f t="array" ref="X303">IF(Table8[[#This Row],[I_0]]&lt;Table24[Flitro de Ruido],1,Table8[[#This Row],[I_40]]/Table8[[#This Row],[I_0]])</f>
        <v>1</v>
      </c>
      <c r="Y303" s="13" cm="1">
        <f t="array" ref="Y303">IF(Table8[[#This Row],[I_0]]&lt;Table24[Flitro de Ruido],1,Table8[[#This Row],[I_50]]/Table8[[#This Row],[I_0]])</f>
        <v>1</v>
      </c>
    </row>
    <row r="304" spans="1:25" x14ac:dyDescent="0.3">
      <c r="A304" s="13">
        <v>369.79</v>
      </c>
      <c r="B304" s="12">
        <v>0</v>
      </c>
      <c r="C304" s="11">
        <v>369.79</v>
      </c>
      <c r="D304" s="12">
        <v>0</v>
      </c>
      <c r="E304" s="11">
        <v>369.79</v>
      </c>
      <c r="F304" s="12">
        <v>0</v>
      </c>
      <c r="G304" s="11">
        <v>369.79</v>
      </c>
      <c r="H304" s="12">
        <v>0</v>
      </c>
      <c r="I304" s="11">
        <v>369.79</v>
      </c>
      <c r="J304" s="12">
        <v>0</v>
      </c>
      <c r="K304" s="11">
        <v>369.79</v>
      </c>
      <c r="L304" s="12">
        <v>0</v>
      </c>
      <c r="M304" s="11">
        <v>369.79</v>
      </c>
      <c r="N304" s="13">
        <v>0</v>
      </c>
      <c r="O304" s="11">
        <v>0</v>
      </c>
      <c r="P304" s="11">
        <v>0</v>
      </c>
      <c r="Q304" s="11">
        <v>0</v>
      </c>
      <c r="R304" s="11">
        <v>0</v>
      </c>
      <c r="S304" s="14">
        <v>0</v>
      </c>
      <c r="T304" s="11">
        <v>369.79</v>
      </c>
      <c r="U304" s="13" cm="1">
        <f t="array" ref="U304">IF(Table8[[#This Row],[I_0]]&lt;Table24[Flitro de Ruido],1,Table8[[#This Row],[I_10]]/Table8[[#This Row],[I_0]])</f>
        <v>1</v>
      </c>
      <c r="V304" s="13" cm="1">
        <f t="array" ref="V304">IF(Table8[[#This Row],[I_0]]&lt;Table24[Flitro de Ruido],1,Table8[[#This Row],[I_20]]/Table8[[#This Row],[I_0]])</f>
        <v>1</v>
      </c>
      <c r="W304" s="13" cm="1">
        <f t="array" ref="W304">IF(Table8[[#This Row],[I_0]]&lt;Table24[Flitro de Ruido],1,Table8[[#This Row],[I_30]]/Table8[[#This Row],[I_0]])</f>
        <v>1</v>
      </c>
      <c r="X304" s="13" cm="1">
        <f t="array" ref="X304">IF(Table8[[#This Row],[I_0]]&lt;Table24[Flitro de Ruido],1,Table8[[#This Row],[I_40]]/Table8[[#This Row],[I_0]])</f>
        <v>1</v>
      </c>
      <c r="Y304" s="13" cm="1">
        <f t="array" ref="Y304">IF(Table8[[#This Row],[I_0]]&lt;Table24[Flitro de Ruido],1,Table8[[#This Row],[I_50]]/Table8[[#This Row],[I_0]])</f>
        <v>1</v>
      </c>
    </row>
    <row r="305" spans="1:25" x14ac:dyDescent="0.3">
      <c r="A305" s="13">
        <v>370.79</v>
      </c>
      <c r="B305" s="12">
        <v>0</v>
      </c>
      <c r="C305" s="11">
        <v>370.79</v>
      </c>
      <c r="D305" s="12">
        <v>0</v>
      </c>
      <c r="E305" s="11">
        <v>370.79</v>
      </c>
      <c r="F305" s="12">
        <v>0</v>
      </c>
      <c r="G305" s="11">
        <v>370.79</v>
      </c>
      <c r="H305" s="12">
        <v>0</v>
      </c>
      <c r="I305" s="11">
        <v>370.79</v>
      </c>
      <c r="J305" s="12">
        <v>0</v>
      </c>
      <c r="K305" s="11">
        <v>370.79</v>
      </c>
      <c r="L305" s="12">
        <v>0</v>
      </c>
      <c r="M305" s="11">
        <v>370.79</v>
      </c>
      <c r="N305" s="13">
        <v>0</v>
      </c>
      <c r="O305" s="11">
        <v>0</v>
      </c>
      <c r="P305" s="11">
        <v>0</v>
      </c>
      <c r="Q305" s="11">
        <v>0</v>
      </c>
      <c r="R305" s="11">
        <v>0</v>
      </c>
      <c r="S305" s="14">
        <v>0</v>
      </c>
      <c r="T305" s="11">
        <v>370.79</v>
      </c>
      <c r="U305" s="13" cm="1">
        <f t="array" ref="U305">IF(Table8[[#This Row],[I_0]]&lt;Table24[Flitro de Ruido],1,Table8[[#This Row],[I_10]]/Table8[[#This Row],[I_0]])</f>
        <v>1</v>
      </c>
      <c r="V305" s="13" cm="1">
        <f t="array" ref="V305">IF(Table8[[#This Row],[I_0]]&lt;Table24[Flitro de Ruido],1,Table8[[#This Row],[I_20]]/Table8[[#This Row],[I_0]])</f>
        <v>1</v>
      </c>
      <c r="W305" s="13" cm="1">
        <f t="array" ref="W305">IF(Table8[[#This Row],[I_0]]&lt;Table24[Flitro de Ruido],1,Table8[[#This Row],[I_30]]/Table8[[#This Row],[I_0]])</f>
        <v>1</v>
      </c>
      <c r="X305" s="13" cm="1">
        <f t="array" ref="X305">IF(Table8[[#This Row],[I_0]]&lt;Table24[Flitro de Ruido],1,Table8[[#This Row],[I_40]]/Table8[[#This Row],[I_0]])</f>
        <v>1</v>
      </c>
      <c r="Y305" s="13" cm="1">
        <f t="array" ref="Y305">IF(Table8[[#This Row],[I_0]]&lt;Table24[Flitro de Ruido],1,Table8[[#This Row],[I_50]]/Table8[[#This Row],[I_0]])</f>
        <v>1</v>
      </c>
    </row>
    <row r="306" spans="1:25" x14ac:dyDescent="0.3">
      <c r="A306" s="13">
        <v>371.78</v>
      </c>
      <c r="B306" s="12">
        <v>0</v>
      </c>
      <c r="C306" s="11">
        <v>371.78</v>
      </c>
      <c r="D306" s="12">
        <v>0</v>
      </c>
      <c r="E306" s="11">
        <v>371.78</v>
      </c>
      <c r="F306" s="12">
        <v>0</v>
      </c>
      <c r="G306" s="11">
        <v>371.78</v>
      </c>
      <c r="H306" s="12">
        <v>0</v>
      </c>
      <c r="I306" s="11">
        <v>371.78</v>
      </c>
      <c r="J306" s="12">
        <v>0</v>
      </c>
      <c r="K306" s="11">
        <v>371.78</v>
      </c>
      <c r="L306" s="12">
        <v>0</v>
      </c>
      <c r="M306" s="11">
        <v>371.78</v>
      </c>
      <c r="N306" s="13">
        <v>0</v>
      </c>
      <c r="O306" s="11">
        <v>0</v>
      </c>
      <c r="P306" s="11">
        <v>0</v>
      </c>
      <c r="Q306" s="11">
        <v>0</v>
      </c>
      <c r="R306" s="11">
        <v>0</v>
      </c>
      <c r="S306" s="14">
        <v>0</v>
      </c>
      <c r="T306" s="11">
        <v>371.78</v>
      </c>
      <c r="U306" s="13" cm="1">
        <f t="array" ref="U306">IF(Table8[[#This Row],[I_0]]&lt;Table24[Flitro de Ruido],1,Table8[[#This Row],[I_10]]/Table8[[#This Row],[I_0]])</f>
        <v>1</v>
      </c>
      <c r="V306" s="13" cm="1">
        <f t="array" ref="V306">IF(Table8[[#This Row],[I_0]]&lt;Table24[Flitro de Ruido],1,Table8[[#This Row],[I_20]]/Table8[[#This Row],[I_0]])</f>
        <v>1</v>
      </c>
      <c r="W306" s="13" cm="1">
        <f t="array" ref="W306">IF(Table8[[#This Row],[I_0]]&lt;Table24[Flitro de Ruido],1,Table8[[#This Row],[I_30]]/Table8[[#This Row],[I_0]])</f>
        <v>1</v>
      </c>
      <c r="X306" s="13" cm="1">
        <f t="array" ref="X306">IF(Table8[[#This Row],[I_0]]&lt;Table24[Flitro de Ruido],1,Table8[[#This Row],[I_40]]/Table8[[#This Row],[I_0]])</f>
        <v>1</v>
      </c>
      <c r="Y306" s="13" cm="1">
        <f t="array" ref="Y306">IF(Table8[[#This Row],[I_0]]&lt;Table24[Flitro de Ruido],1,Table8[[#This Row],[I_50]]/Table8[[#This Row],[I_0]])</f>
        <v>1</v>
      </c>
    </row>
    <row r="307" spans="1:25" x14ac:dyDescent="0.3">
      <c r="A307" s="13">
        <v>372.77</v>
      </c>
      <c r="B307" s="12">
        <v>0</v>
      </c>
      <c r="C307" s="11">
        <v>372.77</v>
      </c>
      <c r="D307" s="12">
        <v>0</v>
      </c>
      <c r="E307" s="11">
        <v>372.77</v>
      </c>
      <c r="F307" s="12">
        <v>0</v>
      </c>
      <c r="G307" s="11">
        <v>372.77</v>
      </c>
      <c r="H307" s="12">
        <v>0</v>
      </c>
      <c r="I307" s="11">
        <v>372.77</v>
      </c>
      <c r="J307" s="12">
        <v>0</v>
      </c>
      <c r="K307" s="11">
        <v>372.77</v>
      </c>
      <c r="L307" s="12">
        <v>0</v>
      </c>
      <c r="M307" s="11">
        <v>372.77</v>
      </c>
      <c r="N307" s="13">
        <v>0</v>
      </c>
      <c r="O307" s="11">
        <v>0</v>
      </c>
      <c r="P307" s="11">
        <v>0</v>
      </c>
      <c r="Q307" s="11">
        <v>0</v>
      </c>
      <c r="R307" s="11">
        <v>0</v>
      </c>
      <c r="S307" s="14">
        <v>0</v>
      </c>
      <c r="T307" s="11">
        <v>372.77</v>
      </c>
      <c r="U307" s="13" cm="1">
        <f t="array" ref="U307">IF(Table8[[#This Row],[I_0]]&lt;Table24[Flitro de Ruido],1,Table8[[#This Row],[I_10]]/Table8[[#This Row],[I_0]])</f>
        <v>1</v>
      </c>
      <c r="V307" s="13" cm="1">
        <f t="array" ref="V307">IF(Table8[[#This Row],[I_0]]&lt;Table24[Flitro de Ruido],1,Table8[[#This Row],[I_20]]/Table8[[#This Row],[I_0]])</f>
        <v>1</v>
      </c>
      <c r="W307" s="13" cm="1">
        <f t="array" ref="W307">IF(Table8[[#This Row],[I_0]]&lt;Table24[Flitro de Ruido],1,Table8[[#This Row],[I_30]]/Table8[[#This Row],[I_0]])</f>
        <v>1</v>
      </c>
      <c r="X307" s="13" cm="1">
        <f t="array" ref="X307">IF(Table8[[#This Row],[I_0]]&lt;Table24[Flitro de Ruido],1,Table8[[#This Row],[I_40]]/Table8[[#This Row],[I_0]])</f>
        <v>1</v>
      </c>
      <c r="Y307" s="13" cm="1">
        <f t="array" ref="Y307">IF(Table8[[#This Row],[I_0]]&lt;Table24[Flitro de Ruido],1,Table8[[#This Row],[I_50]]/Table8[[#This Row],[I_0]])</f>
        <v>1</v>
      </c>
    </row>
    <row r="308" spans="1:25" x14ac:dyDescent="0.3">
      <c r="A308" s="13">
        <v>373.76</v>
      </c>
      <c r="B308" s="12">
        <v>0</v>
      </c>
      <c r="C308" s="11">
        <v>373.76</v>
      </c>
      <c r="D308" s="12">
        <v>0</v>
      </c>
      <c r="E308" s="11">
        <v>373.76</v>
      </c>
      <c r="F308" s="12">
        <v>0</v>
      </c>
      <c r="G308" s="11">
        <v>373.76</v>
      </c>
      <c r="H308" s="12">
        <v>0</v>
      </c>
      <c r="I308" s="11">
        <v>373.76</v>
      </c>
      <c r="J308" s="12">
        <v>0</v>
      </c>
      <c r="K308" s="11">
        <v>373.76</v>
      </c>
      <c r="L308" s="12">
        <v>0</v>
      </c>
      <c r="M308" s="11">
        <v>373.76</v>
      </c>
      <c r="N308" s="13">
        <v>0</v>
      </c>
      <c r="O308" s="11">
        <v>0</v>
      </c>
      <c r="P308" s="11">
        <v>0</v>
      </c>
      <c r="Q308" s="11">
        <v>0</v>
      </c>
      <c r="R308" s="11">
        <v>0</v>
      </c>
      <c r="S308" s="14">
        <v>0</v>
      </c>
      <c r="T308" s="11">
        <v>373.76</v>
      </c>
      <c r="U308" s="13" cm="1">
        <f t="array" ref="U308">IF(Table8[[#This Row],[I_0]]&lt;Table24[Flitro de Ruido],1,Table8[[#This Row],[I_10]]/Table8[[#This Row],[I_0]])</f>
        <v>1</v>
      </c>
      <c r="V308" s="13" cm="1">
        <f t="array" ref="V308">IF(Table8[[#This Row],[I_0]]&lt;Table24[Flitro de Ruido],1,Table8[[#This Row],[I_20]]/Table8[[#This Row],[I_0]])</f>
        <v>1</v>
      </c>
      <c r="W308" s="13" cm="1">
        <f t="array" ref="W308">IF(Table8[[#This Row],[I_0]]&lt;Table24[Flitro de Ruido],1,Table8[[#This Row],[I_30]]/Table8[[#This Row],[I_0]])</f>
        <v>1</v>
      </c>
      <c r="X308" s="13" cm="1">
        <f t="array" ref="X308">IF(Table8[[#This Row],[I_0]]&lt;Table24[Flitro de Ruido],1,Table8[[#This Row],[I_40]]/Table8[[#This Row],[I_0]])</f>
        <v>1</v>
      </c>
      <c r="Y308" s="13" cm="1">
        <f t="array" ref="Y308">IF(Table8[[#This Row],[I_0]]&lt;Table24[Flitro de Ruido],1,Table8[[#This Row],[I_50]]/Table8[[#This Row],[I_0]])</f>
        <v>1</v>
      </c>
    </row>
    <row r="309" spans="1:25" x14ac:dyDescent="0.3">
      <c r="A309" s="13">
        <v>374.75</v>
      </c>
      <c r="B309" s="12">
        <v>0</v>
      </c>
      <c r="C309" s="11">
        <v>374.75</v>
      </c>
      <c r="D309" s="12">
        <v>0</v>
      </c>
      <c r="E309" s="11">
        <v>374.75</v>
      </c>
      <c r="F309" s="12">
        <v>0</v>
      </c>
      <c r="G309" s="11">
        <v>374.75</v>
      </c>
      <c r="H309" s="12">
        <v>0</v>
      </c>
      <c r="I309" s="11">
        <v>374.75</v>
      </c>
      <c r="J309" s="12">
        <v>0</v>
      </c>
      <c r="K309" s="11">
        <v>374.75</v>
      </c>
      <c r="L309" s="12">
        <v>0</v>
      </c>
      <c r="M309" s="11">
        <v>374.75</v>
      </c>
      <c r="N309" s="13">
        <v>0</v>
      </c>
      <c r="O309" s="11">
        <v>0</v>
      </c>
      <c r="P309" s="11">
        <v>0</v>
      </c>
      <c r="Q309" s="11">
        <v>0</v>
      </c>
      <c r="R309" s="11">
        <v>0</v>
      </c>
      <c r="S309" s="14">
        <v>0</v>
      </c>
      <c r="T309" s="11">
        <v>374.75</v>
      </c>
      <c r="U309" s="13" cm="1">
        <f t="array" ref="U309">IF(Table8[[#This Row],[I_0]]&lt;Table24[Flitro de Ruido],1,Table8[[#This Row],[I_10]]/Table8[[#This Row],[I_0]])</f>
        <v>1</v>
      </c>
      <c r="V309" s="13" cm="1">
        <f t="array" ref="V309">IF(Table8[[#This Row],[I_0]]&lt;Table24[Flitro de Ruido],1,Table8[[#This Row],[I_20]]/Table8[[#This Row],[I_0]])</f>
        <v>1</v>
      </c>
      <c r="W309" s="13" cm="1">
        <f t="array" ref="W309">IF(Table8[[#This Row],[I_0]]&lt;Table24[Flitro de Ruido],1,Table8[[#This Row],[I_30]]/Table8[[#This Row],[I_0]])</f>
        <v>1</v>
      </c>
      <c r="X309" s="13" cm="1">
        <f t="array" ref="X309">IF(Table8[[#This Row],[I_0]]&lt;Table24[Flitro de Ruido],1,Table8[[#This Row],[I_40]]/Table8[[#This Row],[I_0]])</f>
        <v>1</v>
      </c>
      <c r="Y309" s="13" cm="1">
        <f t="array" ref="Y309">IF(Table8[[#This Row],[I_0]]&lt;Table24[Flitro de Ruido],1,Table8[[#This Row],[I_50]]/Table8[[#This Row],[I_0]])</f>
        <v>1</v>
      </c>
    </row>
    <row r="310" spans="1:25" x14ac:dyDescent="0.3">
      <c r="A310" s="13">
        <v>375.74</v>
      </c>
      <c r="B310" s="12">
        <v>0</v>
      </c>
      <c r="C310" s="11">
        <v>375.74</v>
      </c>
      <c r="D310" s="12">
        <v>0</v>
      </c>
      <c r="E310" s="11">
        <v>375.74</v>
      </c>
      <c r="F310" s="12">
        <v>0</v>
      </c>
      <c r="G310" s="11">
        <v>375.74</v>
      </c>
      <c r="H310" s="12">
        <v>0</v>
      </c>
      <c r="I310" s="11">
        <v>375.74</v>
      </c>
      <c r="J310" s="12">
        <v>0</v>
      </c>
      <c r="K310" s="11">
        <v>375.74</v>
      </c>
      <c r="L310" s="12">
        <v>0</v>
      </c>
      <c r="M310" s="11">
        <v>375.74</v>
      </c>
      <c r="N310" s="13">
        <v>0</v>
      </c>
      <c r="O310" s="11">
        <v>0</v>
      </c>
      <c r="P310" s="11">
        <v>0</v>
      </c>
      <c r="Q310" s="11">
        <v>0</v>
      </c>
      <c r="R310" s="11">
        <v>0</v>
      </c>
      <c r="S310" s="14">
        <v>0</v>
      </c>
      <c r="T310" s="11">
        <v>375.74</v>
      </c>
      <c r="U310" s="13" cm="1">
        <f t="array" ref="U310">IF(Table8[[#This Row],[I_0]]&lt;Table24[Flitro de Ruido],1,Table8[[#This Row],[I_10]]/Table8[[#This Row],[I_0]])</f>
        <v>1</v>
      </c>
      <c r="V310" s="13" cm="1">
        <f t="array" ref="V310">IF(Table8[[#This Row],[I_0]]&lt;Table24[Flitro de Ruido],1,Table8[[#This Row],[I_20]]/Table8[[#This Row],[I_0]])</f>
        <v>1</v>
      </c>
      <c r="W310" s="13" cm="1">
        <f t="array" ref="W310">IF(Table8[[#This Row],[I_0]]&lt;Table24[Flitro de Ruido],1,Table8[[#This Row],[I_30]]/Table8[[#This Row],[I_0]])</f>
        <v>1</v>
      </c>
      <c r="X310" s="13" cm="1">
        <f t="array" ref="X310">IF(Table8[[#This Row],[I_0]]&lt;Table24[Flitro de Ruido],1,Table8[[#This Row],[I_40]]/Table8[[#This Row],[I_0]])</f>
        <v>1</v>
      </c>
      <c r="Y310" s="13" cm="1">
        <f t="array" ref="Y310">IF(Table8[[#This Row],[I_0]]&lt;Table24[Flitro de Ruido],1,Table8[[#This Row],[I_50]]/Table8[[#This Row],[I_0]])</f>
        <v>1</v>
      </c>
    </row>
    <row r="311" spans="1:25" x14ac:dyDescent="0.3">
      <c r="A311" s="13">
        <v>376.74</v>
      </c>
      <c r="B311" s="12">
        <v>0</v>
      </c>
      <c r="C311" s="11">
        <v>376.74</v>
      </c>
      <c r="D311" s="12">
        <v>0</v>
      </c>
      <c r="E311" s="11">
        <v>376.74</v>
      </c>
      <c r="F311" s="12">
        <v>0</v>
      </c>
      <c r="G311" s="11">
        <v>376.74</v>
      </c>
      <c r="H311" s="12">
        <v>0</v>
      </c>
      <c r="I311" s="11">
        <v>376.74</v>
      </c>
      <c r="J311" s="12">
        <v>0</v>
      </c>
      <c r="K311" s="11">
        <v>376.74</v>
      </c>
      <c r="L311" s="12">
        <v>0</v>
      </c>
      <c r="M311" s="11">
        <v>376.74</v>
      </c>
      <c r="N311" s="13">
        <v>0</v>
      </c>
      <c r="O311" s="11">
        <v>0</v>
      </c>
      <c r="P311" s="11">
        <v>0</v>
      </c>
      <c r="Q311" s="11">
        <v>0</v>
      </c>
      <c r="R311" s="11">
        <v>0</v>
      </c>
      <c r="S311" s="14">
        <v>0</v>
      </c>
      <c r="T311" s="11">
        <v>376.74</v>
      </c>
      <c r="U311" s="13" cm="1">
        <f t="array" ref="U311">IF(Table8[[#This Row],[I_0]]&lt;Table24[Flitro de Ruido],1,Table8[[#This Row],[I_10]]/Table8[[#This Row],[I_0]])</f>
        <v>1</v>
      </c>
      <c r="V311" s="13" cm="1">
        <f t="array" ref="V311">IF(Table8[[#This Row],[I_0]]&lt;Table24[Flitro de Ruido],1,Table8[[#This Row],[I_20]]/Table8[[#This Row],[I_0]])</f>
        <v>1</v>
      </c>
      <c r="W311" s="13" cm="1">
        <f t="array" ref="W311">IF(Table8[[#This Row],[I_0]]&lt;Table24[Flitro de Ruido],1,Table8[[#This Row],[I_30]]/Table8[[#This Row],[I_0]])</f>
        <v>1</v>
      </c>
      <c r="X311" s="13" cm="1">
        <f t="array" ref="X311">IF(Table8[[#This Row],[I_0]]&lt;Table24[Flitro de Ruido],1,Table8[[#This Row],[I_40]]/Table8[[#This Row],[I_0]])</f>
        <v>1</v>
      </c>
      <c r="Y311" s="13" cm="1">
        <f t="array" ref="Y311">IF(Table8[[#This Row],[I_0]]&lt;Table24[Flitro de Ruido],1,Table8[[#This Row],[I_50]]/Table8[[#This Row],[I_0]])</f>
        <v>1</v>
      </c>
    </row>
    <row r="312" spans="1:25" x14ac:dyDescent="0.3">
      <c r="A312" s="13">
        <v>377.73</v>
      </c>
      <c r="B312" s="12">
        <v>0</v>
      </c>
      <c r="C312" s="11">
        <v>377.73</v>
      </c>
      <c r="D312" s="12">
        <v>0</v>
      </c>
      <c r="E312" s="11">
        <v>377.73</v>
      </c>
      <c r="F312" s="12">
        <v>0</v>
      </c>
      <c r="G312" s="11">
        <v>377.73</v>
      </c>
      <c r="H312" s="12">
        <v>0</v>
      </c>
      <c r="I312" s="11">
        <v>377.73</v>
      </c>
      <c r="J312" s="12">
        <v>0</v>
      </c>
      <c r="K312" s="11">
        <v>377.73</v>
      </c>
      <c r="L312" s="12">
        <v>0</v>
      </c>
      <c r="M312" s="11">
        <v>377.73</v>
      </c>
      <c r="N312" s="13">
        <v>0</v>
      </c>
      <c r="O312" s="11">
        <v>0</v>
      </c>
      <c r="P312" s="11">
        <v>0</v>
      </c>
      <c r="Q312" s="11">
        <v>0</v>
      </c>
      <c r="R312" s="11">
        <v>0</v>
      </c>
      <c r="S312" s="14">
        <v>0</v>
      </c>
      <c r="T312" s="11">
        <v>377.73</v>
      </c>
      <c r="U312" s="13" cm="1">
        <f t="array" ref="U312">IF(Table8[[#This Row],[I_0]]&lt;Table24[Flitro de Ruido],1,Table8[[#This Row],[I_10]]/Table8[[#This Row],[I_0]])</f>
        <v>1</v>
      </c>
      <c r="V312" s="13" cm="1">
        <f t="array" ref="V312">IF(Table8[[#This Row],[I_0]]&lt;Table24[Flitro de Ruido],1,Table8[[#This Row],[I_20]]/Table8[[#This Row],[I_0]])</f>
        <v>1</v>
      </c>
      <c r="W312" s="13" cm="1">
        <f t="array" ref="W312">IF(Table8[[#This Row],[I_0]]&lt;Table24[Flitro de Ruido],1,Table8[[#This Row],[I_30]]/Table8[[#This Row],[I_0]])</f>
        <v>1</v>
      </c>
      <c r="X312" s="13" cm="1">
        <f t="array" ref="X312">IF(Table8[[#This Row],[I_0]]&lt;Table24[Flitro de Ruido],1,Table8[[#This Row],[I_40]]/Table8[[#This Row],[I_0]])</f>
        <v>1</v>
      </c>
      <c r="Y312" s="13" cm="1">
        <f t="array" ref="Y312">IF(Table8[[#This Row],[I_0]]&lt;Table24[Flitro de Ruido],1,Table8[[#This Row],[I_50]]/Table8[[#This Row],[I_0]])</f>
        <v>1</v>
      </c>
    </row>
    <row r="313" spans="1:25" x14ac:dyDescent="0.3">
      <c r="A313" s="13">
        <v>378.72</v>
      </c>
      <c r="B313" s="12">
        <v>0</v>
      </c>
      <c r="C313" s="11">
        <v>378.72</v>
      </c>
      <c r="D313" s="12">
        <v>0</v>
      </c>
      <c r="E313" s="11">
        <v>378.72</v>
      </c>
      <c r="F313" s="12">
        <v>0</v>
      </c>
      <c r="G313" s="11">
        <v>378.72</v>
      </c>
      <c r="H313" s="12">
        <v>0</v>
      </c>
      <c r="I313" s="11">
        <v>378.72</v>
      </c>
      <c r="J313" s="12">
        <v>0</v>
      </c>
      <c r="K313" s="11">
        <v>378.72</v>
      </c>
      <c r="L313" s="12">
        <v>0</v>
      </c>
      <c r="M313" s="11">
        <v>378.72</v>
      </c>
      <c r="N313" s="13">
        <v>0</v>
      </c>
      <c r="O313" s="11">
        <v>0</v>
      </c>
      <c r="P313" s="11">
        <v>0</v>
      </c>
      <c r="Q313" s="11">
        <v>0</v>
      </c>
      <c r="R313" s="11">
        <v>0</v>
      </c>
      <c r="S313" s="14">
        <v>0</v>
      </c>
      <c r="T313" s="11">
        <v>378.72</v>
      </c>
      <c r="U313" s="13" cm="1">
        <f t="array" ref="U313">IF(Table8[[#This Row],[I_0]]&lt;Table24[Flitro de Ruido],1,Table8[[#This Row],[I_10]]/Table8[[#This Row],[I_0]])</f>
        <v>1</v>
      </c>
      <c r="V313" s="13" cm="1">
        <f t="array" ref="V313">IF(Table8[[#This Row],[I_0]]&lt;Table24[Flitro de Ruido],1,Table8[[#This Row],[I_20]]/Table8[[#This Row],[I_0]])</f>
        <v>1</v>
      </c>
      <c r="W313" s="13" cm="1">
        <f t="array" ref="W313">IF(Table8[[#This Row],[I_0]]&lt;Table24[Flitro de Ruido],1,Table8[[#This Row],[I_30]]/Table8[[#This Row],[I_0]])</f>
        <v>1</v>
      </c>
      <c r="X313" s="13" cm="1">
        <f t="array" ref="X313">IF(Table8[[#This Row],[I_0]]&lt;Table24[Flitro de Ruido],1,Table8[[#This Row],[I_40]]/Table8[[#This Row],[I_0]])</f>
        <v>1</v>
      </c>
      <c r="Y313" s="13" cm="1">
        <f t="array" ref="Y313">IF(Table8[[#This Row],[I_0]]&lt;Table24[Flitro de Ruido],1,Table8[[#This Row],[I_50]]/Table8[[#This Row],[I_0]])</f>
        <v>1</v>
      </c>
    </row>
    <row r="314" spans="1:25" x14ac:dyDescent="0.3">
      <c r="A314" s="13">
        <v>379.71</v>
      </c>
      <c r="B314" s="12">
        <v>0</v>
      </c>
      <c r="C314" s="11">
        <v>379.71</v>
      </c>
      <c r="D314" s="12">
        <v>0</v>
      </c>
      <c r="E314" s="11">
        <v>379.71</v>
      </c>
      <c r="F314" s="12">
        <v>0</v>
      </c>
      <c r="G314" s="11">
        <v>379.71</v>
      </c>
      <c r="H314" s="12">
        <v>0</v>
      </c>
      <c r="I314" s="11">
        <v>379.71</v>
      </c>
      <c r="J314" s="12">
        <v>0</v>
      </c>
      <c r="K314" s="11">
        <v>379.71</v>
      </c>
      <c r="L314" s="12">
        <v>0</v>
      </c>
      <c r="M314" s="11">
        <v>379.71</v>
      </c>
      <c r="N314" s="13">
        <v>0</v>
      </c>
      <c r="O314" s="11">
        <v>0</v>
      </c>
      <c r="P314" s="11">
        <v>0</v>
      </c>
      <c r="Q314" s="11">
        <v>0</v>
      </c>
      <c r="R314" s="11">
        <v>0</v>
      </c>
      <c r="S314" s="14">
        <v>0</v>
      </c>
      <c r="T314" s="11">
        <v>379.71</v>
      </c>
      <c r="U314" s="13" cm="1">
        <f t="array" ref="U314">IF(Table8[[#This Row],[I_0]]&lt;Table24[Flitro de Ruido],1,Table8[[#This Row],[I_10]]/Table8[[#This Row],[I_0]])</f>
        <v>1</v>
      </c>
      <c r="V314" s="13" cm="1">
        <f t="array" ref="V314">IF(Table8[[#This Row],[I_0]]&lt;Table24[Flitro de Ruido],1,Table8[[#This Row],[I_20]]/Table8[[#This Row],[I_0]])</f>
        <v>1</v>
      </c>
      <c r="W314" s="13" cm="1">
        <f t="array" ref="W314">IF(Table8[[#This Row],[I_0]]&lt;Table24[Flitro de Ruido],1,Table8[[#This Row],[I_30]]/Table8[[#This Row],[I_0]])</f>
        <v>1</v>
      </c>
      <c r="X314" s="13" cm="1">
        <f t="array" ref="X314">IF(Table8[[#This Row],[I_0]]&lt;Table24[Flitro de Ruido],1,Table8[[#This Row],[I_40]]/Table8[[#This Row],[I_0]])</f>
        <v>1</v>
      </c>
      <c r="Y314" s="13" cm="1">
        <f t="array" ref="Y314">IF(Table8[[#This Row],[I_0]]&lt;Table24[Flitro de Ruido],1,Table8[[#This Row],[I_50]]/Table8[[#This Row],[I_0]])</f>
        <v>1</v>
      </c>
    </row>
    <row r="315" spans="1:25" x14ac:dyDescent="0.3">
      <c r="A315" s="13">
        <v>380.7</v>
      </c>
      <c r="B315" s="12">
        <v>0</v>
      </c>
      <c r="C315" s="11">
        <v>380.7</v>
      </c>
      <c r="D315" s="12">
        <v>0</v>
      </c>
      <c r="E315" s="11">
        <v>380.7</v>
      </c>
      <c r="F315" s="12">
        <v>0</v>
      </c>
      <c r="G315" s="11">
        <v>380.7</v>
      </c>
      <c r="H315" s="12">
        <v>0</v>
      </c>
      <c r="I315" s="11">
        <v>380.7</v>
      </c>
      <c r="J315" s="12">
        <v>0</v>
      </c>
      <c r="K315" s="11">
        <v>380.7</v>
      </c>
      <c r="L315" s="12">
        <v>0</v>
      </c>
      <c r="M315" s="11">
        <v>380.7</v>
      </c>
      <c r="N315" s="13">
        <v>0</v>
      </c>
      <c r="O315" s="11">
        <v>0</v>
      </c>
      <c r="P315" s="11">
        <v>0</v>
      </c>
      <c r="Q315" s="11">
        <v>0</v>
      </c>
      <c r="R315" s="11">
        <v>0</v>
      </c>
      <c r="S315" s="14">
        <v>0</v>
      </c>
      <c r="T315" s="11">
        <v>380.7</v>
      </c>
      <c r="U315" s="13" cm="1">
        <f t="array" ref="U315">IF(Table8[[#This Row],[I_0]]&lt;Table24[Flitro de Ruido],1,Table8[[#This Row],[I_10]]/Table8[[#This Row],[I_0]])</f>
        <v>1</v>
      </c>
      <c r="V315" s="13" cm="1">
        <f t="array" ref="V315">IF(Table8[[#This Row],[I_0]]&lt;Table24[Flitro de Ruido],1,Table8[[#This Row],[I_20]]/Table8[[#This Row],[I_0]])</f>
        <v>1</v>
      </c>
      <c r="W315" s="13" cm="1">
        <f t="array" ref="W315">IF(Table8[[#This Row],[I_0]]&lt;Table24[Flitro de Ruido],1,Table8[[#This Row],[I_30]]/Table8[[#This Row],[I_0]])</f>
        <v>1</v>
      </c>
      <c r="X315" s="13" cm="1">
        <f t="array" ref="X315">IF(Table8[[#This Row],[I_0]]&lt;Table24[Flitro de Ruido],1,Table8[[#This Row],[I_40]]/Table8[[#This Row],[I_0]])</f>
        <v>1</v>
      </c>
      <c r="Y315" s="13" cm="1">
        <f t="array" ref="Y315">IF(Table8[[#This Row],[I_0]]&lt;Table24[Flitro de Ruido],1,Table8[[#This Row],[I_50]]/Table8[[#This Row],[I_0]])</f>
        <v>1</v>
      </c>
    </row>
    <row r="316" spans="1:25" x14ac:dyDescent="0.3">
      <c r="A316" s="13">
        <v>381.7</v>
      </c>
      <c r="B316" s="12">
        <v>0</v>
      </c>
      <c r="C316" s="11">
        <v>381.7</v>
      </c>
      <c r="D316" s="12">
        <v>0</v>
      </c>
      <c r="E316" s="11">
        <v>381.7</v>
      </c>
      <c r="F316" s="12">
        <v>0</v>
      </c>
      <c r="G316" s="11">
        <v>381.7</v>
      </c>
      <c r="H316" s="12">
        <v>0</v>
      </c>
      <c r="I316" s="11">
        <v>381.7</v>
      </c>
      <c r="J316" s="12">
        <v>0</v>
      </c>
      <c r="K316" s="11">
        <v>381.7</v>
      </c>
      <c r="L316" s="12">
        <v>0</v>
      </c>
      <c r="M316" s="11">
        <v>381.7</v>
      </c>
      <c r="N316" s="13">
        <v>0</v>
      </c>
      <c r="O316" s="11">
        <v>0</v>
      </c>
      <c r="P316" s="11">
        <v>0</v>
      </c>
      <c r="Q316" s="11">
        <v>0</v>
      </c>
      <c r="R316" s="11">
        <v>0</v>
      </c>
      <c r="S316" s="14">
        <v>0</v>
      </c>
      <c r="T316" s="11">
        <v>381.7</v>
      </c>
      <c r="U316" s="13" cm="1">
        <f t="array" ref="U316">IF(Table8[[#This Row],[I_0]]&lt;Table24[Flitro de Ruido],1,Table8[[#This Row],[I_10]]/Table8[[#This Row],[I_0]])</f>
        <v>1</v>
      </c>
      <c r="V316" s="13" cm="1">
        <f t="array" ref="V316">IF(Table8[[#This Row],[I_0]]&lt;Table24[Flitro de Ruido],1,Table8[[#This Row],[I_20]]/Table8[[#This Row],[I_0]])</f>
        <v>1</v>
      </c>
      <c r="W316" s="13" cm="1">
        <f t="array" ref="W316">IF(Table8[[#This Row],[I_0]]&lt;Table24[Flitro de Ruido],1,Table8[[#This Row],[I_30]]/Table8[[#This Row],[I_0]])</f>
        <v>1</v>
      </c>
      <c r="X316" s="13" cm="1">
        <f t="array" ref="X316">IF(Table8[[#This Row],[I_0]]&lt;Table24[Flitro de Ruido],1,Table8[[#This Row],[I_40]]/Table8[[#This Row],[I_0]])</f>
        <v>1</v>
      </c>
      <c r="Y316" s="13" cm="1">
        <f t="array" ref="Y316">IF(Table8[[#This Row],[I_0]]&lt;Table24[Flitro de Ruido],1,Table8[[#This Row],[I_50]]/Table8[[#This Row],[I_0]])</f>
        <v>1</v>
      </c>
    </row>
    <row r="317" spans="1:25" x14ac:dyDescent="0.3">
      <c r="A317" s="13">
        <v>382.69</v>
      </c>
      <c r="B317" s="12">
        <v>0</v>
      </c>
      <c r="C317" s="11">
        <v>382.69</v>
      </c>
      <c r="D317" s="12">
        <v>0</v>
      </c>
      <c r="E317" s="11">
        <v>382.69</v>
      </c>
      <c r="F317" s="12">
        <v>0</v>
      </c>
      <c r="G317" s="11">
        <v>382.69</v>
      </c>
      <c r="H317" s="12">
        <v>0</v>
      </c>
      <c r="I317" s="11">
        <v>382.69</v>
      </c>
      <c r="J317" s="12">
        <v>0</v>
      </c>
      <c r="K317" s="11">
        <v>382.69</v>
      </c>
      <c r="L317" s="12">
        <v>0</v>
      </c>
      <c r="M317" s="11">
        <v>382.69</v>
      </c>
      <c r="N317" s="13">
        <v>0</v>
      </c>
      <c r="O317" s="11">
        <v>0</v>
      </c>
      <c r="P317" s="11">
        <v>0</v>
      </c>
      <c r="Q317" s="11">
        <v>0</v>
      </c>
      <c r="R317" s="11">
        <v>0</v>
      </c>
      <c r="S317" s="14">
        <v>0</v>
      </c>
      <c r="T317" s="11">
        <v>382.69</v>
      </c>
      <c r="U317" s="13" cm="1">
        <f t="array" ref="U317">IF(Table8[[#This Row],[I_0]]&lt;Table24[Flitro de Ruido],1,Table8[[#This Row],[I_10]]/Table8[[#This Row],[I_0]])</f>
        <v>1</v>
      </c>
      <c r="V317" s="13" cm="1">
        <f t="array" ref="V317">IF(Table8[[#This Row],[I_0]]&lt;Table24[Flitro de Ruido],1,Table8[[#This Row],[I_20]]/Table8[[#This Row],[I_0]])</f>
        <v>1</v>
      </c>
      <c r="W317" s="13" cm="1">
        <f t="array" ref="W317">IF(Table8[[#This Row],[I_0]]&lt;Table24[Flitro de Ruido],1,Table8[[#This Row],[I_30]]/Table8[[#This Row],[I_0]])</f>
        <v>1</v>
      </c>
      <c r="X317" s="13" cm="1">
        <f t="array" ref="X317">IF(Table8[[#This Row],[I_0]]&lt;Table24[Flitro de Ruido],1,Table8[[#This Row],[I_40]]/Table8[[#This Row],[I_0]])</f>
        <v>1</v>
      </c>
      <c r="Y317" s="13" cm="1">
        <f t="array" ref="Y317">IF(Table8[[#This Row],[I_0]]&lt;Table24[Flitro de Ruido],1,Table8[[#This Row],[I_50]]/Table8[[#This Row],[I_0]])</f>
        <v>1</v>
      </c>
    </row>
    <row r="318" spans="1:25" x14ac:dyDescent="0.3">
      <c r="A318" s="13">
        <v>383.68</v>
      </c>
      <c r="B318" s="12">
        <v>0</v>
      </c>
      <c r="C318" s="11">
        <v>383.68</v>
      </c>
      <c r="D318" s="12">
        <v>0</v>
      </c>
      <c r="E318" s="11">
        <v>383.68</v>
      </c>
      <c r="F318" s="12">
        <v>0</v>
      </c>
      <c r="G318" s="11">
        <v>383.68</v>
      </c>
      <c r="H318" s="12">
        <v>0</v>
      </c>
      <c r="I318" s="11">
        <v>383.68</v>
      </c>
      <c r="J318" s="12">
        <v>0</v>
      </c>
      <c r="K318" s="11">
        <v>383.68</v>
      </c>
      <c r="L318" s="12">
        <v>0</v>
      </c>
      <c r="M318" s="11">
        <v>383.68</v>
      </c>
      <c r="N318" s="13">
        <v>0</v>
      </c>
      <c r="O318" s="11">
        <v>0</v>
      </c>
      <c r="P318" s="11">
        <v>0</v>
      </c>
      <c r="Q318" s="11">
        <v>0</v>
      </c>
      <c r="R318" s="11">
        <v>0</v>
      </c>
      <c r="S318" s="14">
        <v>0</v>
      </c>
      <c r="T318" s="11">
        <v>383.68</v>
      </c>
      <c r="U318" s="13" cm="1">
        <f t="array" ref="U318">IF(Table8[[#This Row],[I_0]]&lt;Table24[Flitro de Ruido],1,Table8[[#This Row],[I_10]]/Table8[[#This Row],[I_0]])</f>
        <v>1</v>
      </c>
      <c r="V318" s="13" cm="1">
        <f t="array" ref="V318">IF(Table8[[#This Row],[I_0]]&lt;Table24[Flitro de Ruido],1,Table8[[#This Row],[I_20]]/Table8[[#This Row],[I_0]])</f>
        <v>1</v>
      </c>
      <c r="W318" s="13" cm="1">
        <f t="array" ref="W318">IF(Table8[[#This Row],[I_0]]&lt;Table24[Flitro de Ruido],1,Table8[[#This Row],[I_30]]/Table8[[#This Row],[I_0]])</f>
        <v>1</v>
      </c>
      <c r="X318" s="13" cm="1">
        <f t="array" ref="X318">IF(Table8[[#This Row],[I_0]]&lt;Table24[Flitro de Ruido],1,Table8[[#This Row],[I_40]]/Table8[[#This Row],[I_0]])</f>
        <v>1</v>
      </c>
      <c r="Y318" s="13" cm="1">
        <f t="array" ref="Y318">IF(Table8[[#This Row],[I_0]]&lt;Table24[Flitro de Ruido],1,Table8[[#This Row],[I_50]]/Table8[[#This Row],[I_0]])</f>
        <v>1</v>
      </c>
    </row>
    <row r="319" spans="1:25" x14ac:dyDescent="0.3">
      <c r="A319" s="13">
        <v>384.67</v>
      </c>
      <c r="B319" s="12">
        <v>0</v>
      </c>
      <c r="C319" s="11">
        <v>384.67</v>
      </c>
      <c r="D319" s="12">
        <v>0</v>
      </c>
      <c r="E319" s="11">
        <v>384.67</v>
      </c>
      <c r="F319" s="12">
        <v>0</v>
      </c>
      <c r="G319" s="11">
        <v>384.67</v>
      </c>
      <c r="H319" s="12">
        <v>0</v>
      </c>
      <c r="I319" s="11">
        <v>384.67</v>
      </c>
      <c r="J319" s="12">
        <v>0</v>
      </c>
      <c r="K319" s="11">
        <v>384.67</v>
      </c>
      <c r="L319" s="12">
        <v>0</v>
      </c>
      <c r="M319" s="11">
        <v>384.67</v>
      </c>
      <c r="N319" s="13">
        <v>0</v>
      </c>
      <c r="O319" s="11">
        <v>0</v>
      </c>
      <c r="P319" s="11">
        <v>0</v>
      </c>
      <c r="Q319" s="11">
        <v>0</v>
      </c>
      <c r="R319" s="11">
        <v>0</v>
      </c>
      <c r="S319" s="14">
        <v>0</v>
      </c>
      <c r="T319" s="11">
        <v>384.67</v>
      </c>
      <c r="U319" s="13" cm="1">
        <f t="array" ref="U319">IF(Table8[[#This Row],[I_0]]&lt;Table24[Flitro de Ruido],1,Table8[[#This Row],[I_10]]/Table8[[#This Row],[I_0]])</f>
        <v>1</v>
      </c>
      <c r="V319" s="13" cm="1">
        <f t="array" ref="V319">IF(Table8[[#This Row],[I_0]]&lt;Table24[Flitro de Ruido],1,Table8[[#This Row],[I_20]]/Table8[[#This Row],[I_0]])</f>
        <v>1</v>
      </c>
      <c r="W319" s="13" cm="1">
        <f t="array" ref="W319">IF(Table8[[#This Row],[I_0]]&lt;Table24[Flitro de Ruido],1,Table8[[#This Row],[I_30]]/Table8[[#This Row],[I_0]])</f>
        <v>1</v>
      </c>
      <c r="X319" s="13" cm="1">
        <f t="array" ref="X319">IF(Table8[[#This Row],[I_0]]&lt;Table24[Flitro de Ruido],1,Table8[[#This Row],[I_40]]/Table8[[#This Row],[I_0]])</f>
        <v>1</v>
      </c>
      <c r="Y319" s="13" cm="1">
        <f t="array" ref="Y319">IF(Table8[[#This Row],[I_0]]&lt;Table24[Flitro de Ruido],1,Table8[[#This Row],[I_50]]/Table8[[#This Row],[I_0]])</f>
        <v>1</v>
      </c>
    </row>
    <row r="320" spans="1:25" x14ac:dyDescent="0.3">
      <c r="A320" s="13">
        <v>385.66</v>
      </c>
      <c r="B320" s="12">
        <v>0</v>
      </c>
      <c r="C320" s="11">
        <v>385.66</v>
      </c>
      <c r="D320" s="12">
        <v>0</v>
      </c>
      <c r="E320" s="11">
        <v>385.66</v>
      </c>
      <c r="F320" s="12">
        <v>0</v>
      </c>
      <c r="G320" s="11">
        <v>385.66</v>
      </c>
      <c r="H320" s="12">
        <v>0</v>
      </c>
      <c r="I320" s="11">
        <v>385.66</v>
      </c>
      <c r="J320" s="12">
        <v>0</v>
      </c>
      <c r="K320" s="11">
        <v>385.66</v>
      </c>
      <c r="L320" s="12">
        <v>0</v>
      </c>
      <c r="M320" s="11">
        <v>385.66</v>
      </c>
      <c r="N320" s="13">
        <v>0</v>
      </c>
      <c r="O320" s="11">
        <v>0</v>
      </c>
      <c r="P320" s="11">
        <v>0</v>
      </c>
      <c r="Q320" s="11">
        <v>0</v>
      </c>
      <c r="R320" s="11">
        <v>0</v>
      </c>
      <c r="S320" s="14">
        <v>0</v>
      </c>
      <c r="T320" s="11">
        <v>385.66</v>
      </c>
      <c r="U320" s="13" cm="1">
        <f t="array" ref="U320">IF(Table8[[#This Row],[I_0]]&lt;Table24[Flitro de Ruido],1,Table8[[#This Row],[I_10]]/Table8[[#This Row],[I_0]])</f>
        <v>1</v>
      </c>
      <c r="V320" s="13" cm="1">
        <f t="array" ref="V320">IF(Table8[[#This Row],[I_0]]&lt;Table24[Flitro de Ruido],1,Table8[[#This Row],[I_20]]/Table8[[#This Row],[I_0]])</f>
        <v>1</v>
      </c>
      <c r="W320" s="13" cm="1">
        <f t="array" ref="W320">IF(Table8[[#This Row],[I_0]]&lt;Table24[Flitro de Ruido],1,Table8[[#This Row],[I_30]]/Table8[[#This Row],[I_0]])</f>
        <v>1</v>
      </c>
      <c r="X320" s="13" cm="1">
        <f t="array" ref="X320">IF(Table8[[#This Row],[I_0]]&lt;Table24[Flitro de Ruido],1,Table8[[#This Row],[I_40]]/Table8[[#This Row],[I_0]])</f>
        <v>1</v>
      </c>
      <c r="Y320" s="13" cm="1">
        <f t="array" ref="Y320">IF(Table8[[#This Row],[I_0]]&lt;Table24[Flitro de Ruido],1,Table8[[#This Row],[I_50]]/Table8[[#This Row],[I_0]])</f>
        <v>1</v>
      </c>
    </row>
    <row r="321" spans="1:25" x14ac:dyDescent="0.3">
      <c r="A321" s="13">
        <v>386.65</v>
      </c>
      <c r="B321" s="12">
        <v>0</v>
      </c>
      <c r="C321" s="11">
        <v>386.65</v>
      </c>
      <c r="D321" s="12">
        <v>0</v>
      </c>
      <c r="E321" s="11">
        <v>386.65</v>
      </c>
      <c r="F321" s="12">
        <v>0</v>
      </c>
      <c r="G321" s="11">
        <v>386.65</v>
      </c>
      <c r="H321" s="12">
        <v>0</v>
      </c>
      <c r="I321" s="11">
        <v>386.65</v>
      </c>
      <c r="J321" s="12">
        <v>0</v>
      </c>
      <c r="K321" s="11">
        <v>386.65</v>
      </c>
      <c r="L321" s="12">
        <v>0</v>
      </c>
      <c r="M321" s="11">
        <v>386.65</v>
      </c>
      <c r="N321" s="13">
        <v>0</v>
      </c>
      <c r="O321" s="11">
        <v>0</v>
      </c>
      <c r="P321" s="11">
        <v>0</v>
      </c>
      <c r="Q321" s="11">
        <v>0</v>
      </c>
      <c r="R321" s="11">
        <v>0</v>
      </c>
      <c r="S321" s="14">
        <v>0</v>
      </c>
      <c r="T321" s="11">
        <v>386.65</v>
      </c>
      <c r="U321" s="13" cm="1">
        <f t="array" ref="U321">IF(Table8[[#This Row],[I_0]]&lt;Table24[Flitro de Ruido],1,Table8[[#This Row],[I_10]]/Table8[[#This Row],[I_0]])</f>
        <v>1</v>
      </c>
      <c r="V321" s="13" cm="1">
        <f t="array" ref="V321">IF(Table8[[#This Row],[I_0]]&lt;Table24[Flitro de Ruido],1,Table8[[#This Row],[I_20]]/Table8[[#This Row],[I_0]])</f>
        <v>1</v>
      </c>
      <c r="W321" s="13" cm="1">
        <f t="array" ref="W321">IF(Table8[[#This Row],[I_0]]&lt;Table24[Flitro de Ruido],1,Table8[[#This Row],[I_30]]/Table8[[#This Row],[I_0]])</f>
        <v>1</v>
      </c>
      <c r="X321" s="13" cm="1">
        <f t="array" ref="X321">IF(Table8[[#This Row],[I_0]]&lt;Table24[Flitro de Ruido],1,Table8[[#This Row],[I_40]]/Table8[[#This Row],[I_0]])</f>
        <v>1</v>
      </c>
      <c r="Y321" s="13" cm="1">
        <f t="array" ref="Y321">IF(Table8[[#This Row],[I_0]]&lt;Table24[Flitro de Ruido],1,Table8[[#This Row],[I_50]]/Table8[[#This Row],[I_0]])</f>
        <v>1</v>
      </c>
    </row>
    <row r="322" spans="1:25" x14ac:dyDescent="0.3">
      <c r="A322" s="13">
        <v>387.65</v>
      </c>
      <c r="B322" s="12">
        <v>0</v>
      </c>
      <c r="C322" s="11">
        <v>387.65</v>
      </c>
      <c r="D322" s="12">
        <v>0</v>
      </c>
      <c r="E322" s="11">
        <v>387.65</v>
      </c>
      <c r="F322" s="12">
        <v>0</v>
      </c>
      <c r="G322" s="11">
        <v>387.65</v>
      </c>
      <c r="H322" s="12">
        <v>0</v>
      </c>
      <c r="I322" s="11">
        <v>387.65</v>
      </c>
      <c r="J322" s="12">
        <v>0</v>
      </c>
      <c r="K322" s="11">
        <v>387.65</v>
      </c>
      <c r="L322" s="12">
        <v>0</v>
      </c>
      <c r="M322" s="11">
        <v>387.65</v>
      </c>
      <c r="N322" s="13">
        <v>0</v>
      </c>
      <c r="O322" s="11">
        <v>0</v>
      </c>
      <c r="P322" s="11">
        <v>0</v>
      </c>
      <c r="Q322" s="11">
        <v>0</v>
      </c>
      <c r="R322" s="11">
        <v>0</v>
      </c>
      <c r="S322" s="14">
        <v>0</v>
      </c>
      <c r="T322" s="11">
        <v>387.65</v>
      </c>
      <c r="U322" s="13" cm="1">
        <f t="array" ref="U322">IF(Table8[[#This Row],[I_0]]&lt;Table24[Flitro de Ruido],1,Table8[[#This Row],[I_10]]/Table8[[#This Row],[I_0]])</f>
        <v>1</v>
      </c>
      <c r="V322" s="13" cm="1">
        <f t="array" ref="V322">IF(Table8[[#This Row],[I_0]]&lt;Table24[Flitro de Ruido],1,Table8[[#This Row],[I_20]]/Table8[[#This Row],[I_0]])</f>
        <v>1</v>
      </c>
      <c r="W322" s="13" cm="1">
        <f t="array" ref="W322">IF(Table8[[#This Row],[I_0]]&lt;Table24[Flitro de Ruido],1,Table8[[#This Row],[I_30]]/Table8[[#This Row],[I_0]])</f>
        <v>1</v>
      </c>
      <c r="X322" s="13" cm="1">
        <f t="array" ref="X322">IF(Table8[[#This Row],[I_0]]&lt;Table24[Flitro de Ruido],1,Table8[[#This Row],[I_40]]/Table8[[#This Row],[I_0]])</f>
        <v>1</v>
      </c>
      <c r="Y322" s="13" cm="1">
        <f t="array" ref="Y322">IF(Table8[[#This Row],[I_0]]&lt;Table24[Flitro de Ruido],1,Table8[[#This Row],[I_50]]/Table8[[#This Row],[I_0]])</f>
        <v>1</v>
      </c>
    </row>
    <row r="323" spans="1:25" x14ac:dyDescent="0.3">
      <c r="A323" s="13">
        <v>388.64</v>
      </c>
      <c r="B323" s="12">
        <v>0</v>
      </c>
      <c r="C323" s="11">
        <v>388.64</v>
      </c>
      <c r="D323" s="12">
        <v>0</v>
      </c>
      <c r="E323" s="11">
        <v>388.64</v>
      </c>
      <c r="F323" s="12">
        <v>0</v>
      </c>
      <c r="G323" s="11">
        <v>388.64</v>
      </c>
      <c r="H323" s="12">
        <v>0</v>
      </c>
      <c r="I323" s="11">
        <v>388.64</v>
      </c>
      <c r="J323" s="12">
        <v>0</v>
      </c>
      <c r="K323" s="11">
        <v>388.64</v>
      </c>
      <c r="L323" s="12">
        <v>0</v>
      </c>
      <c r="M323" s="11">
        <v>388.64</v>
      </c>
      <c r="N323" s="13">
        <v>0</v>
      </c>
      <c r="O323" s="11">
        <v>0</v>
      </c>
      <c r="P323" s="11">
        <v>0</v>
      </c>
      <c r="Q323" s="11">
        <v>0</v>
      </c>
      <c r="R323" s="11">
        <v>0</v>
      </c>
      <c r="S323" s="14">
        <v>0</v>
      </c>
      <c r="T323" s="11">
        <v>388.64</v>
      </c>
      <c r="U323" s="13" cm="1">
        <f t="array" ref="U323">IF(Table8[[#This Row],[I_0]]&lt;Table24[Flitro de Ruido],1,Table8[[#This Row],[I_10]]/Table8[[#This Row],[I_0]])</f>
        <v>1</v>
      </c>
      <c r="V323" s="13" cm="1">
        <f t="array" ref="V323">IF(Table8[[#This Row],[I_0]]&lt;Table24[Flitro de Ruido],1,Table8[[#This Row],[I_20]]/Table8[[#This Row],[I_0]])</f>
        <v>1</v>
      </c>
      <c r="W323" s="13" cm="1">
        <f t="array" ref="W323">IF(Table8[[#This Row],[I_0]]&lt;Table24[Flitro de Ruido],1,Table8[[#This Row],[I_30]]/Table8[[#This Row],[I_0]])</f>
        <v>1</v>
      </c>
      <c r="X323" s="13" cm="1">
        <f t="array" ref="X323">IF(Table8[[#This Row],[I_0]]&lt;Table24[Flitro de Ruido],1,Table8[[#This Row],[I_40]]/Table8[[#This Row],[I_0]])</f>
        <v>1</v>
      </c>
      <c r="Y323" s="13" cm="1">
        <f t="array" ref="Y323">IF(Table8[[#This Row],[I_0]]&lt;Table24[Flitro de Ruido],1,Table8[[#This Row],[I_50]]/Table8[[#This Row],[I_0]])</f>
        <v>1</v>
      </c>
    </row>
    <row r="324" spans="1:25" x14ac:dyDescent="0.3">
      <c r="A324" s="13">
        <v>389.63</v>
      </c>
      <c r="B324" s="12">
        <v>0</v>
      </c>
      <c r="C324" s="11">
        <v>389.63</v>
      </c>
      <c r="D324" s="12">
        <v>0</v>
      </c>
      <c r="E324" s="11">
        <v>389.63</v>
      </c>
      <c r="F324" s="12">
        <v>0</v>
      </c>
      <c r="G324" s="11">
        <v>389.63</v>
      </c>
      <c r="H324" s="12">
        <v>0</v>
      </c>
      <c r="I324" s="11">
        <v>389.63</v>
      </c>
      <c r="J324" s="12">
        <v>0</v>
      </c>
      <c r="K324" s="11">
        <v>389.63</v>
      </c>
      <c r="L324" s="12">
        <v>0</v>
      </c>
      <c r="M324" s="11">
        <v>389.63</v>
      </c>
      <c r="N324" s="13">
        <v>0</v>
      </c>
      <c r="O324" s="11">
        <v>0</v>
      </c>
      <c r="P324" s="11">
        <v>0</v>
      </c>
      <c r="Q324" s="11">
        <v>0</v>
      </c>
      <c r="R324" s="11">
        <v>0</v>
      </c>
      <c r="S324" s="14">
        <v>0</v>
      </c>
      <c r="T324" s="11">
        <v>389.63</v>
      </c>
      <c r="U324" s="13" cm="1">
        <f t="array" ref="U324">IF(Table8[[#This Row],[I_0]]&lt;Table24[Flitro de Ruido],1,Table8[[#This Row],[I_10]]/Table8[[#This Row],[I_0]])</f>
        <v>1</v>
      </c>
      <c r="V324" s="13" cm="1">
        <f t="array" ref="V324">IF(Table8[[#This Row],[I_0]]&lt;Table24[Flitro de Ruido],1,Table8[[#This Row],[I_20]]/Table8[[#This Row],[I_0]])</f>
        <v>1</v>
      </c>
      <c r="W324" s="13" cm="1">
        <f t="array" ref="W324">IF(Table8[[#This Row],[I_0]]&lt;Table24[Flitro de Ruido],1,Table8[[#This Row],[I_30]]/Table8[[#This Row],[I_0]])</f>
        <v>1</v>
      </c>
      <c r="X324" s="13" cm="1">
        <f t="array" ref="X324">IF(Table8[[#This Row],[I_0]]&lt;Table24[Flitro de Ruido],1,Table8[[#This Row],[I_40]]/Table8[[#This Row],[I_0]])</f>
        <v>1</v>
      </c>
      <c r="Y324" s="13" cm="1">
        <f t="array" ref="Y324">IF(Table8[[#This Row],[I_0]]&lt;Table24[Flitro de Ruido],1,Table8[[#This Row],[I_50]]/Table8[[#This Row],[I_0]])</f>
        <v>1</v>
      </c>
    </row>
    <row r="325" spans="1:25" x14ac:dyDescent="0.3">
      <c r="A325" s="13">
        <v>390.62</v>
      </c>
      <c r="B325" s="12">
        <v>0</v>
      </c>
      <c r="C325" s="11">
        <v>390.62</v>
      </c>
      <c r="D325" s="12">
        <v>0</v>
      </c>
      <c r="E325" s="11">
        <v>390.62</v>
      </c>
      <c r="F325" s="12">
        <v>0</v>
      </c>
      <c r="G325" s="11">
        <v>390.62</v>
      </c>
      <c r="H325" s="12">
        <v>0</v>
      </c>
      <c r="I325" s="11">
        <v>390.62</v>
      </c>
      <c r="J325" s="12">
        <v>0</v>
      </c>
      <c r="K325" s="11">
        <v>390.62</v>
      </c>
      <c r="L325" s="12">
        <v>0</v>
      </c>
      <c r="M325" s="11">
        <v>390.62</v>
      </c>
      <c r="N325" s="13">
        <v>0</v>
      </c>
      <c r="O325" s="11">
        <v>0</v>
      </c>
      <c r="P325" s="11">
        <v>0</v>
      </c>
      <c r="Q325" s="11">
        <v>0</v>
      </c>
      <c r="R325" s="11">
        <v>0</v>
      </c>
      <c r="S325" s="14">
        <v>0</v>
      </c>
      <c r="T325" s="11">
        <v>390.62</v>
      </c>
      <c r="U325" s="13" cm="1">
        <f t="array" ref="U325">IF(Table8[[#This Row],[I_0]]&lt;Table24[Flitro de Ruido],1,Table8[[#This Row],[I_10]]/Table8[[#This Row],[I_0]])</f>
        <v>1</v>
      </c>
      <c r="V325" s="13" cm="1">
        <f t="array" ref="V325">IF(Table8[[#This Row],[I_0]]&lt;Table24[Flitro de Ruido],1,Table8[[#This Row],[I_20]]/Table8[[#This Row],[I_0]])</f>
        <v>1</v>
      </c>
      <c r="W325" s="13" cm="1">
        <f t="array" ref="W325">IF(Table8[[#This Row],[I_0]]&lt;Table24[Flitro de Ruido],1,Table8[[#This Row],[I_30]]/Table8[[#This Row],[I_0]])</f>
        <v>1</v>
      </c>
      <c r="X325" s="13" cm="1">
        <f t="array" ref="X325">IF(Table8[[#This Row],[I_0]]&lt;Table24[Flitro de Ruido],1,Table8[[#This Row],[I_40]]/Table8[[#This Row],[I_0]])</f>
        <v>1</v>
      </c>
      <c r="Y325" s="13" cm="1">
        <f t="array" ref="Y325">IF(Table8[[#This Row],[I_0]]&lt;Table24[Flitro de Ruido],1,Table8[[#This Row],[I_50]]/Table8[[#This Row],[I_0]])</f>
        <v>1</v>
      </c>
    </row>
    <row r="326" spans="1:25" x14ac:dyDescent="0.3">
      <c r="A326" s="13">
        <v>391.61</v>
      </c>
      <c r="B326" s="12">
        <v>0</v>
      </c>
      <c r="C326" s="11">
        <v>391.61</v>
      </c>
      <c r="D326" s="12">
        <v>0</v>
      </c>
      <c r="E326" s="11">
        <v>391.61</v>
      </c>
      <c r="F326" s="12">
        <v>0</v>
      </c>
      <c r="G326" s="11">
        <v>391.61</v>
      </c>
      <c r="H326" s="12">
        <v>0</v>
      </c>
      <c r="I326" s="11">
        <v>391.61</v>
      </c>
      <c r="J326" s="12">
        <v>0</v>
      </c>
      <c r="K326" s="11">
        <v>391.61</v>
      </c>
      <c r="L326" s="12">
        <v>0</v>
      </c>
      <c r="M326" s="11">
        <v>391.61</v>
      </c>
      <c r="N326" s="13">
        <v>0</v>
      </c>
      <c r="O326" s="11">
        <v>0</v>
      </c>
      <c r="P326" s="11">
        <v>0</v>
      </c>
      <c r="Q326" s="11">
        <v>0</v>
      </c>
      <c r="R326" s="11">
        <v>0</v>
      </c>
      <c r="S326" s="14">
        <v>0</v>
      </c>
      <c r="T326" s="11">
        <v>391.61</v>
      </c>
      <c r="U326" s="13" cm="1">
        <f t="array" ref="U326">IF(Table8[[#This Row],[I_0]]&lt;Table24[Flitro de Ruido],1,Table8[[#This Row],[I_10]]/Table8[[#This Row],[I_0]])</f>
        <v>1</v>
      </c>
      <c r="V326" s="13" cm="1">
        <f t="array" ref="V326">IF(Table8[[#This Row],[I_0]]&lt;Table24[Flitro de Ruido],1,Table8[[#This Row],[I_20]]/Table8[[#This Row],[I_0]])</f>
        <v>1</v>
      </c>
      <c r="W326" s="13" cm="1">
        <f t="array" ref="W326">IF(Table8[[#This Row],[I_0]]&lt;Table24[Flitro de Ruido],1,Table8[[#This Row],[I_30]]/Table8[[#This Row],[I_0]])</f>
        <v>1</v>
      </c>
      <c r="X326" s="13" cm="1">
        <f t="array" ref="X326">IF(Table8[[#This Row],[I_0]]&lt;Table24[Flitro de Ruido],1,Table8[[#This Row],[I_40]]/Table8[[#This Row],[I_0]])</f>
        <v>1</v>
      </c>
      <c r="Y326" s="13" cm="1">
        <f t="array" ref="Y326">IF(Table8[[#This Row],[I_0]]&lt;Table24[Flitro de Ruido],1,Table8[[#This Row],[I_50]]/Table8[[#This Row],[I_0]])</f>
        <v>1</v>
      </c>
    </row>
    <row r="327" spans="1:25" x14ac:dyDescent="0.3">
      <c r="A327" s="13">
        <v>392.6</v>
      </c>
      <c r="B327" s="12">
        <v>0</v>
      </c>
      <c r="C327" s="11">
        <v>392.6</v>
      </c>
      <c r="D327" s="12">
        <v>0</v>
      </c>
      <c r="E327" s="11">
        <v>392.6</v>
      </c>
      <c r="F327" s="12">
        <v>0</v>
      </c>
      <c r="G327" s="11">
        <v>392.6</v>
      </c>
      <c r="H327" s="12">
        <v>0</v>
      </c>
      <c r="I327" s="11">
        <v>392.6</v>
      </c>
      <c r="J327" s="12">
        <v>0</v>
      </c>
      <c r="K327" s="11">
        <v>392.6</v>
      </c>
      <c r="L327" s="12">
        <v>0</v>
      </c>
      <c r="M327" s="11">
        <v>392.6</v>
      </c>
      <c r="N327" s="13">
        <v>0</v>
      </c>
      <c r="O327" s="11">
        <v>0</v>
      </c>
      <c r="P327" s="11">
        <v>0</v>
      </c>
      <c r="Q327" s="11">
        <v>0</v>
      </c>
      <c r="R327" s="11">
        <v>0</v>
      </c>
      <c r="S327" s="14">
        <v>0</v>
      </c>
      <c r="T327" s="11">
        <v>392.6</v>
      </c>
      <c r="U327" s="13" cm="1">
        <f t="array" ref="U327">IF(Table8[[#This Row],[I_0]]&lt;Table24[Flitro de Ruido],1,Table8[[#This Row],[I_10]]/Table8[[#This Row],[I_0]])</f>
        <v>1</v>
      </c>
      <c r="V327" s="13" cm="1">
        <f t="array" ref="V327">IF(Table8[[#This Row],[I_0]]&lt;Table24[Flitro de Ruido],1,Table8[[#This Row],[I_20]]/Table8[[#This Row],[I_0]])</f>
        <v>1</v>
      </c>
      <c r="W327" s="13" cm="1">
        <f t="array" ref="W327">IF(Table8[[#This Row],[I_0]]&lt;Table24[Flitro de Ruido],1,Table8[[#This Row],[I_30]]/Table8[[#This Row],[I_0]])</f>
        <v>1</v>
      </c>
      <c r="X327" s="13" cm="1">
        <f t="array" ref="X327">IF(Table8[[#This Row],[I_0]]&lt;Table24[Flitro de Ruido],1,Table8[[#This Row],[I_40]]/Table8[[#This Row],[I_0]])</f>
        <v>1</v>
      </c>
      <c r="Y327" s="13" cm="1">
        <f t="array" ref="Y327">IF(Table8[[#This Row],[I_0]]&lt;Table24[Flitro de Ruido],1,Table8[[#This Row],[I_50]]/Table8[[#This Row],[I_0]])</f>
        <v>1</v>
      </c>
    </row>
    <row r="328" spans="1:25" x14ac:dyDescent="0.3">
      <c r="A328" s="13">
        <v>393.6</v>
      </c>
      <c r="B328" s="12">
        <v>0</v>
      </c>
      <c r="C328" s="11">
        <v>393.6</v>
      </c>
      <c r="D328" s="12">
        <v>0</v>
      </c>
      <c r="E328" s="11">
        <v>393.6</v>
      </c>
      <c r="F328" s="12">
        <v>0</v>
      </c>
      <c r="G328" s="11">
        <v>393.6</v>
      </c>
      <c r="H328" s="12">
        <v>0</v>
      </c>
      <c r="I328" s="11">
        <v>393.6</v>
      </c>
      <c r="J328" s="12">
        <v>0</v>
      </c>
      <c r="K328" s="11">
        <v>393.6</v>
      </c>
      <c r="L328" s="12">
        <v>0</v>
      </c>
      <c r="M328" s="11">
        <v>393.6</v>
      </c>
      <c r="N328" s="13">
        <v>0</v>
      </c>
      <c r="O328" s="11">
        <v>0</v>
      </c>
      <c r="P328" s="11">
        <v>0</v>
      </c>
      <c r="Q328" s="11">
        <v>0</v>
      </c>
      <c r="R328" s="11">
        <v>0</v>
      </c>
      <c r="S328" s="14">
        <v>0</v>
      </c>
      <c r="T328" s="11">
        <v>393.6</v>
      </c>
      <c r="U328" s="13" cm="1">
        <f t="array" ref="U328">IF(Table8[[#This Row],[I_0]]&lt;Table24[Flitro de Ruido],1,Table8[[#This Row],[I_10]]/Table8[[#This Row],[I_0]])</f>
        <v>1</v>
      </c>
      <c r="V328" s="13" cm="1">
        <f t="array" ref="V328">IF(Table8[[#This Row],[I_0]]&lt;Table24[Flitro de Ruido],1,Table8[[#This Row],[I_20]]/Table8[[#This Row],[I_0]])</f>
        <v>1</v>
      </c>
      <c r="W328" s="13" cm="1">
        <f t="array" ref="W328">IF(Table8[[#This Row],[I_0]]&lt;Table24[Flitro de Ruido],1,Table8[[#This Row],[I_30]]/Table8[[#This Row],[I_0]])</f>
        <v>1</v>
      </c>
      <c r="X328" s="13" cm="1">
        <f t="array" ref="X328">IF(Table8[[#This Row],[I_0]]&lt;Table24[Flitro de Ruido],1,Table8[[#This Row],[I_40]]/Table8[[#This Row],[I_0]])</f>
        <v>1</v>
      </c>
      <c r="Y328" s="13" cm="1">
        <f t="array" ref="Y328">IF(Table8[[#This Row],[I_0]]&lt;Table24[Flitro de Ruido],1,Table8[[#This Row],[I_50]]/Table8[[#This Row],[I_0]])</f>
        <v>1</v>
      </c>
    </row>
    <row r="329" spans="1:25" x14ac:dyDescent="0.3">
      <c r="A329" s="13">
        <v>394.59</v>
      </c>
      <c r="B329" s="12">
        <v>0</v>
      </c>
      <c r="C329" s="11">
        <v>394.59</v>
      </c>
      <c r="D329" s="12">
        <v>0</v>
      </c>
      <c r="E329" s="11">
        <v>394.59</v>
      </c>
      <c r="F329" s="12">
        <v>0</v>
      </c>
      <c r="G329" s="11">
        <v>394.59</v>
      </c>
      <c r="H329" s="12">
        <v>0</v>
      </c>
      <c r="I329" s="11">
        <v>394.59</v>
      </c>
      <c r="J329" s="12">
        <v>0</v>
      </c>
      <c r="K329" s="11">
        <v>394.59</v>
      </c>
      <c r="L329" s="12">
        <v>0</v>
      </c>
      <c r="M329" s="11">
        <v>394.59</v>
      </c>
      <c r="N329" s="13">
        <v>0</v>
      </c>
      <c r="O329" s="11">
        <v>0</v>
      </c>
      <c r="P329" s="11">
        <v>0</v>
      </c>
      <c r="Q329" s="11">
        <v>0</v>
      </c>
      <c r="R329" s="11">
        <v>0</v>
      </c>
      <c r="S329" s="14">
        <v>0</v>
      </c>
      <c r="T329" s="11">
        <v>394.59</v>
      </c>
      <c r="U329" s="13" cm="1">
        <f t="array" ref="U329">IF(Table8[[#This Row],[I_0]]&lt;Table24[Flitro de Ruido],1,Table8[[#This Row],[I_10]]/Table8[[#This Row],[I_0]])</f>
        <v>1</v>
      </c>
      <c r="V329" s="13" cm="1">
        <f t="array" ref="V329">IF(Table8[[#This Row],[I_0]]&lt;Table24[Flitro de Ruido],1,Table8[[#This Row],[I_20]]/Table8[[#This Row],[I_0]])</f>
        <v>1</v>
      </c>
      <c r="W329" s="13" cm="1">
        <f t="array" ref="W329">IF(Table8[[#This Row],[I_0]]&lt;Table24[Flitro de Ruido],1,Table8[[#This Row],[I_30]]/Table8[[#This Row],[I_0]])</f>
        <v>1</v>
      </c>
      <c r="X329" s="13" cm="1">
        <f t="array" ref="X329">IF(Table8[[#This Row],[I_0]]&lt;Table24[Flitro de Ruido],1,Table8[[#This Row],[I_40]]/Table8[[#This Row],[I_0]])</f>
        <v>1</v>
      </c>
      <c r="Y329" s="13" cm="1">
        <f t="array" ref="Y329">IF(Table8[[#This Row],[I_0]]&lt;Table24[Flitro de Ruido],1,Table8[[#This Row],[I_50]]/Table8[[#This Row],[I_0]])</f>
        <v>1</v>
      </c>
    </row>
    <row r="330" spans="1:25" x14ac:dyDescent="0.3">
      <c r="A330" s="13">
        <v>395.58</v>
      </c>
      <c r="B330" s="12">
        <v>0</v>
      </c>
      <c r="C330" s="11">
        <v>395.58</v>
      </c>
      <c r="D330" s="12">
        <v>0</v>
      </c>
      <c r="E330" s="11">
        <v>395.58</v>
      </c>
      <c r="F330" s="12">
        <v>0</v>
      </c>
      <c r="G330" s="11">
        <v>395.58</v>
      </c>
      <c r="H330" s="12">
        <v>0</v>
      </c>
      <c r="I330" s="11">
        <v>395.58</v>
      </c>
      <c r="J330" s="12">
        <v>0</v>
      </c>
      <c r="K330" s="11">
        <v>395.58</v>
      </c>
      <c r="L330" s="12">
        <v>0</v>
      </c>
      <c r="M330" s="11">
        <v>395.58</v>
      </c>
      <c r="N330" s="13">
        <v>0</v>
      </c>
      <c r="O330" s="11">
        <v>0</v>
      </c>
      <c r="P330" s="11">
        <v>0</v>
      </c>
      <c r="Q330" s="11">
        <v>0</v>
      </c>
      <c r="R330" s="11">
        <v>0</v>
      </c>
      <c r="S330" s="14">
        <v>0</v>
      </c>
      <c r="T330" s="11">
        <v>395.58</v>
      </c>
      <c r="U330" s="13" cm="1">
        <f t="array" ref="U330">IF(Table8[[#This Row],[I_0]]&lt;Table24[Flitro de Ruido],1,Table8[[#This Row],[I_10]]/Table8[[#This Row],[I_0]])</f>
        <v>1</v>
      </c>
      <c r="V330" s="13" cm="1">
        <f t="array" ref="V330">IF(Table8[[#This Row],[I_0]]&lt;Table24[Flitro de Ruido],1,Table8[[#This Row],[I_20]]/Table8[[#This Row],[I_0]])</f>
        <v>1</v>
      </c>
      <c r="W330" s="13" cm="1">
        <f t="array" ref="W330">IF(Table8[[#This Row],[I_0]]&lt;Table24[Flitro de Ruido],1,Table8[[#This Row],[I_30]]/Table8[[#This Row],[I_0]])</f>
        <v>1</v>
      </c>
      <c r="X330" s="13" cm="1">
        <f t="array" ref="X330">IF(Table8[[#This Row],[I_0]]&lt;Table24[Flitro de Ruido],1,Table8[[#This Row],[I_40]]/Table8[[#This Row],[I_0]])</f>
        <v>1</v>
      </c>
      <c r="Y330" s="13" cm="1">
        <f t="array" ref="Y330">IF(Table8[[#This Row],[I_0]]&lt;Table24[Flitro de Ruido],1,Table8[[#This Row],[I_50]]/Table8[[#This Row],[I_0]])</f>
        <v>1</v>
      </c>
    </row>
    <row r="331" spans="1:25" x14ac:dyDescent="0.3">
      <c r="A331" s="13">
        <v>396.57</v>
      </c>
      <c r="B331" s="12">
        <v>0</v>
      </c>
      <c r="C331" s="11">
        <v>396.57</v>
      </c>
      <c r="D331" s="12">
        <v>0</v>
      </c>
      <c r="E331" s="11">
        <v>396.57</v>
      </c>
      <c r="F331" s="12">
        <v>0</v>
      </c>
      <c r="G331" s="11">
        <v>396.57</v>
      </c>
      <c r="H331" s="12">
        <v>0</v>
      </c>
      <c r="I331" s="11">
        <v>396.57</v>
      </c>
      <c r="J331" s="12">
        <v>0.1</v>
      </c>
      <c r="K331" s="11">
        <v>396.57</v>
      </c>
      <c r="L331" s="12">
        <v>0.1</v>
      </c>
      <c r="M331" s="11">
        <v>396.57</v>
      </c>
      <c r="N331" s="13">
        <v>0</v>
      </c>
      <c r="O331" s="11">
        <v>0</v>
      </c>
      <c r="P331" s="11">
        <v>0</v>
      </c>
      <c r="Q331" s="11">
        <v>0</v>
      </c>
      <c r="R331" s="11">
        <v>0.1</v>
      </c>
      <c r="S331" s="14">
        <v>0.1</v>
      </c>
      <c r="T331" s="11">
        <v>396.57</v>
      </c>
      <c r="U331" s="13" cm="1">
        <f t="array" ref="U331">IF(Table8[[#This Row],[I_0]]&lt;Table24[Flitro de Ruido],1,Table8[[#This Row],[I_10]]/Table8[[#This Row],[I_0]])</f>
        <v>1</v>
      </c>
      <c r="V331" s="13" cm="1">
        <f t="array" ref="V331">IF(Table8[[#This Row],[I_0]]&lt;Table24[Flitro de Ruido],1,Table8[[#This Row],[I_20]]/Table8[[#This Row],[I_0]])</f>
        <v>1</v>
      </c>
      <c r="W331" s="13" cm="1">
        <f t="array" ref="W331">IF(Table8[[#This Row],[I_0]]&lt;Table24[Flitro de Ruido],1,Table8[[#This Row],[I_30]]/Table8[[#This Row],[I_0]])</f>
        <v>1</v>
      </c>
      <c r="X331" s="13" cm="1">
        <f t="array" ref="X331">IF(Table8[[#This Row],[I_0]]&lt;Table24[Flitro de Ruido],1,Table8[[#This Row],[I_40]]/Table8[[#This Row],[I_0]])</f>
        <v>1</v>
      </c>
      <c r="Y331" s="13" cm="1">
        <f t="array" ref="Y331">IF(Table8[[#This Row],[I_0]]&lt;Table24[Flitro de Ruido],1,Table8[[#This Row],[I_50]]/Table8[[#This Row],[I_0]])</f>
        <v>1</v>
      </c>
    </row>
    <row r="332" spans="1:25" x14ac:dyDescent="0.3">
      <c r="A332" s="13">
        <v>397.56</v>
      </c>
      <c r="B332" s="12">
        <v>0</v>
      </c>
      <c r="C332" s="11">
        <v>397.56</v>
      </c>
      <c r="D332" s="12">
        <v>0.1</v>
      </c>
      <c r="E332" s="11">
        <v>397.56</v>
      </c>
      <c r="F332" s="12">
        <v>0.1</v>
      </c>
      <c r="G332" s="11">
        <v>397.56</v>
      </c>
      <c r="H332" s="12">
        <v>0.1</v>
      </c>
      <c r="I332" s="11">
        <v>397.56</v>
      </c>
      <c r="J332" s="12">
        <v>0.1</v>
      </c>
      <c r="K332" s="11">
        <v>397.56</v>
      </c>
      <c r="L332" s="12">
        <v>0.1</v>
      </c>
      <c r="M332" s="11">
        <v>397.56</v>
      </c>
      <c r="N332" s="13">
        <v>0</v>
      </c>
      <c r="O332" s="11">
        <v>0.1</v>
      </c>
      <c r="P332" s="11">
        <v>0.1</v>
      </c>
      <c r="Q332" s="11">
        <v>0.1</v>
      </c>
      <c r="R332" s="11">
        <v>0.1</v>
      </c>
      <c r="S332" s="14">
        <v>0.1</v>
      </c>
      <c r="T332" s="11">
        <v>397.56</v>
      </c>
      <c r="U332" s="13" cm="1">
        <f t="array" ref="U332">IF(Table8[[#This Row],[I_0]]&lt;Table24[Flitro de Ruido],1,Table8[[#This Row],[I_10]]/Table8[[#This Row],[I_0]])</f>
        <v>1</v>
      </c>
      <c r="V332" s="13" cm="1">
        <f t="array" ref="V332">IF(Table8[[#This Row],[I_0]]&lt;Table24[Flitro de Ruido],1,Table8[[#This Row],[I_20]]/Table8[[#This Row],[I_0]])</f>
        <v>1</v>
      </c>
      <c r="W332" s="13" cm="1">
        <f t="array" ref="W332">IF(Table8[[#This Row],[I_0]]&lt;Table24[Flitro de Ruido],1,Table8[[#This Row],[I_30]]/Table8[[#This Row],[I_0]])</f>
        <v>1</v>
      </c>
      <c r="X332" s="13" cm="1">
        <f t="array" ref="X332">IF(Table8[[#This Row],[I_0]]&lt;Table24[Flitro de Ruido],1,Table8[[#This Row],[I_40]]/Table8[[#This Row],[I_0]])</f>
        <v>1</v>
      </c>
      <c r="Y332" s="13" cm="1">
        <f t="array" ref="Y332">IF(Table8[[#This Row],[I_0]]&lt;Table24[Flitro de Ruido],1,Table8[[#This Row],[I_50]]/Table8[[#This Row],[I_0]])</f>
        <v>1</v>
      </c>
    </row>
    <row r="333" spans="1:25" x14ac:dyDescent="0.3">
      <c r="A333" s="13">
        <v>398.55</v>
      </c>
      <c r="B333" s="12">
        <v>0</v>
      </c>
      <c r="C333" s="11">
        <v>398.55</v>
      </c>
      <c r="D333" s="12">
        <v>0.1</v>
      </c>
      <c r="E333" s="11">
        <v>398.55</v>
      </c>
      <c r="F333" s="12">
        <v>0.1</v>
      </c>
      <c r="G333" s="11">
        <v>398.55</v>
      </c>
      <c r="H333" s="12">
        <v>0.1</v>
      </c>
      <c r="I333" s="11">
        <v>398.55</v>
      </c>
      <c r="J333" s="12">
        <v>0.1</v>
      </c>
      <c r="K333" s="11">
        <v>398.55</v>
      </c>
      <c r="L333" s="12">
        <v>0.1</v>
      </c>
      <c r="M333" s="11">
        <v>398.55</v>
      </c>
      <c r="N333" s="13">
        <v>0</v>
      </c>
      <c r="O333" s="11">
        <v>0.1</v>
      </c>
      <c r="P333" s="11">
        <v>0.1</v>
      </c>
      <c r="Q333" s="11">
        <v>0.1</v>
      </c>
      <c r="R333" s="11">
        <v>0.1</v>
      </c>
      <c r="S333" s="14">
        <v>0.1</v>
      </c>
      <c r="T333" s="11">
        <v>398.55</v>
      </c>
      <c r="U333" s="13" cm="1">
        <f t="array" ref="U333">IF(Table8[[#This Row],[I_0]]&lt;Table24[Flitro de Ruido],1,Table8[[#This Row],[I_10]]/Table8[[#This Row],[I_0]])</f>
        <v>1</v>
      </c>
      <c r="V333" s="13" cm="1">
        <f t="array" ref="V333">IF(Table8[[#This Row],[I_0]]&lt;Table24[Flitro de Ruido],1,Table8[[#This Row],[I_20]]/Table8[[#This Row],[I_0]])</f>
        <v>1</v>
      </c>
      <c r="W333" s="13" cm="1">
        <f t="array" ref="W333">IF(Table8[[#This Row],[I_0]]&lt;Table24[Flitro de Ruido],1,Table8[[#This Row],[I_30]]/Table8[[#This Row],[I_0]])</f>
        <v>1</v>
      </c>
      <c r="X333" s="13" cm="1">
        <f t="array" ref="X333">IF(Table8[[#This Row],[I_0]]&lt;Table24[Flitro de Ruido],1,Table8[[#This Row],[I_40]]/Table8[[#This Row],[I_0]])</f>
        <v>1</v>
      </c>
      <c r="Y333" s="13" cm="1">
        <f t="array" ref="Y333">IF(Table8[[#This Row],[I_0]]&lt;Table24[Flitro de Ruido],1,Table8[[#This Row],[I_50]]/Table8[[#This Row],[I_0]])</f>
        <v>1</v>
      </c>
    </row>
    <row r="334" spans="1:25" x14ac:dyDescent="0.3">
      <c r="A334" s="13">
        <v>399.55</v>
      </c>
      <c r="B334" s="12">
        <v>0.1</v>
      </c>
      <c r="C334" s="11">
        <v>399.55</v>
      </c>
      <c r="D334" s="12">
        <v>0.1</v>
      </c>
      <c r="E334" s="11">
        <v>399.55</v>
      </c>
      <c r="F334" s="12">
        <v>0.1</v>
      </c>
      <c r="G334" s="11">
        <v>399.55</v>
      </c>
      <c r="H334" s="12">
        <v>0.1</v>
      </c>
      <c r="I334" s="11">
        <v>399.55</v>
      </c>
      <c r="J334" s="12">
        <v>0.1</v>
      </c>
      <c r="K334" s="11">
        <v>399.55</v>
      </c>
      <c r="L334" s="12">
        <v>0.1</v>
      </c>
      <c r="M334" s="11">
        <v>399.55</v>
      </c>
      <c r="N334" s="13">
        <v>0.1</v>
      </c>
      <c r="O334" s="11">
        <v>0.1</v>
      </c>
      <c r="P334" s="11">
        <v>0.1</v>
      </c>
      <c r="Q334" s="11">
        <v>0.1</v>
      </c>
      <c r="R334" s="11">
        <v>0.1</v>
      </c>
      <c r="S334" s="14">
        <v>0.1</v>
      </c>
      <c r="T334" s="11">
        <v>399.55</v>
      </c>
      <c r="U334" s="13" cm="1">
        <f t="array" ref="U334">IF(Table8[[#This Row],[I_0]]&lt;Table24[Flitro de Ruido],1,Table8[[#This Row],[I_10]]/Table8[[#This Row],[I_0]])</f>
        <v>1</v>
      </c>
      <c r="V334" s="13" cm="1">
        <f t="array" ref="V334">IF(Table8[[#This Row],[I_0]]&lt;Table24[Flitro de Ruido],1,Table8[[#This Row],[I_20]]/Table8[[#This Row],[I_0]])</f>
        <v>1</v>
      </c>
      <c r="W334" s="13" cm="1">
        <f t="array" ref="W334">IF(Table8[[#This Row],[I_0]]&lt;Table24[Flitro de Ruido],1,Table8[[#This Row],[I_30]]/Table8[[#This Row],[I_0]])</f>
        <v>1</v>
      </c>
      <c r="X334" s="13" cm="1">
        <f t="array" ref="X334">IF(Table8[[#This Row],[I_0]]&lt;Table24[Flitro de Ruido],1,Table8[[#This Row],[I_40]]/Table8[[#This Row],[I_0]])</f>
        <v>1</v>
      </c>
      <c r="Y334" s="13" cm="1">
        <f t="array" ref="Y334">IF(Table8[[#This Row],[I_0]]&lt;Table24[Flitro de Ruido],1,Table8[[#This Row],[I_50]]/Table8[[#This Row],[I_0]])</f>
        <v>1</v>
      </c>
    </row>
    <row r="335" spans="1:25" x14ac:dyDescent="0.3">
      <c r="A335" s="13">
        <v>400.54</v>
      </c>
      <c r="B335" s="12">
        <v>0.1</v>
      </c>
      <c r="C335" s="11">
        <v>400.54</v>
      </c>
      <c r="D335" s="12">
        <v>0.1</v>
      </c>
      <c r="E335" s="11">
        <v>400.54</v>
      </c>
      <c r="F335" s="12">
        <v>0.1</v>
      </c>
      <c r="G335" s="11">
        <v>400.54</v>
      </c>
      <c r="H335" s="12">
        <v>0.1</v>
      </c>
      <c r="I335" s="11">
        <v>400.54</v>
      </c>
      <c r="J335" s="12">
        <v>0.1</v>
      </c>
      <c r="K335" s="11">
        <v>400.54</v>
      </c>
      <c r="L335" s="12">
        <v>0.1</v>
      </c>
      <c r="M335" s="11">
        <v>400.54</v>
      </c>
      <c r="N335" s="13">
        <v>0.1</v>
      </c>
      <c r="O335" s="11">
        <v>0.1</v>
      </c>
      <c r="P335" s="11">
        <v>0.1</v>
      </c>
      <c r="Q335" s="11">
        <v>0.1</v>
      </c>
      <c r="R335" s="11">
        <v>0.1</v>
      </c>
      <c r="S335" s="14">
        <v>0.1</v>
      </c>
      <c r="T335" s="11">
        <v>400.54</v>
      </c>
      <c r="U335" s="13" cm="1">
        <f t="array" ref="U335">IF(Table8[[#This Row],[I_0]]&lt;Table24[Flitro de Ruido],1,Table8[[#This Row],[I_10]]/Table8[[#This Row],[I_0]])</f>
        <v>1</v>
      </c>
      <c r="V335" s="13" cm="1">
        <f t="array" ref="V335">IF(Table8[[#This Row],[I_0]]&lt;Table24[Flitro de Ruido],1,Table8[[#This Row],[I_20]]/Table8[[#This Row],[I_0]])</f>
        <v>1</v>
      </c>
      <c r="W335" s="13" cm="1">
        <f t="array" ref="W335">IF(Table8[[#This Row],[I_0]]&lt;Table24[Flitro de Ruido],1,Table8[[#This Row],[I_30]]/Table8[[#This Row],[I_0]])</f>
        <v>1</v>
      </c>
      <c r="X335" s="13" cm="1">
        <f t="array" ref="X335">IF(Table8[[#This Row],[I_0]]&lt;Table24[Flitro de Ruido],1,Table8[[#This Row],[I_40]]/Table8[[#This Row],[I_0]])</f>
        <v>1</v>
      </c>
      <c r="Y335" s="13" cm="1">
        <f t="array" ref="Y335">IF(Table8[[#This Row],[I_0]]&lt;Table24[Flitro de Ruido],1,Table8[[#This Row],[I_50]]/Table8[[#This Row],[I_0]])</f>
        <v>1</v>
      </c>
    </row>
    <row r="336" spans="1:25" x14ac:dyDescent="0.3">
      <c r="A336" s="13">
        <v>401.53</v>
      </c>
      <c r="B336" s="12">
        <v>0.1</v>
      </c>
      <c r="C336" s="11">
        <v>401.53</v>
      </c>
      <c r="D336" s="12">
        <v>0.1</v>
      </c>
      <c r="E336" s="11">
        <v>401.53</v>
      </c>
      <c r="F336" s="12">
        <v>0.1</v>
      </c>
      <c r="G336" s="11">
        <v>401.53</v>
      </c>
      <c r="H336" s="12">
        <v>0.1</v>
      </c>
      <c r="I336" s="11">
        <v>401.53</v>
      </c>
      <c r="J336" s="12">
        <v>0.1</v>
      </c>
      <c r="K336" s="11">
        <v>401.53</v>
      </c>
      <c r="L336" s="12">
        <v>0.1</v>
      </c>
      <c r="M336" s="11">
        <v>401.53</v>
      </c>
      <c r="N336" s="13">
        <v>0.1</v>
      </c>
      <c r="O336" s="11">
        <v>0.1</v>
      </c>
      <c r="P336" s="11">
        <v>0.1</v>
      </c>
      <c r="Q336" s="11">
        <v>0.1</v>
      </c>
      <c r="R336" s="11">
        <v>0.1</v>
      </c>
      <c r="S336" s="14">
        <v>0.1</v>
      </c>
      <c r="T336" s="11">
        <v>401.53</v>
      </c>
      <c r="U336" s="13" cm="1">
        <f t="array" ref="U336">IF(Table8[[#This Row],[I_0]]&lt;Table24[Flitro de Ruido],1,Table8[[#This Row],[I_10]]/Table8[[#This Row],[I_0]])</f>
        <v>1</v>
      </c>
      <c r="V336" s="13" cm="1">
        <f t="array" ref="V336">IF(Table8[[#This Row],[I_0]]&lt;Table24[Flitro de Ruido],1,Table8[[#This Row],[I_20]]/Table8[[#This Row],[I_0]])</f>
        <v>1</v>
      </c>
      <c r="W336" s="13" cm="1">
        <f t="array" ref="W336">IF(Table8[[#This Row],[I_0]]&lt;Table24[Flitro de Ruido],1,Table8[[#This Row],[I_30]]/Table8[[#This Row],[I_0]])</f>
        <v>1</v>
      </c>
      <c r="X336" s="13" cm="1">
        <f t="array" ref="X336">IF(Table8[[#This Row],[I_0]]&lt;Table24[Flitro de Ruido],1,Table8[[#This Row],[I_40]]/Table8[[#This Row],[I_0]])</f>
        <v>1</v>
      </c>
      <c r="Y336" s="13" cm="1">
        <f t="array" ref="Y336">IF(Table8[[#This Row],[I_0]]&lt;Table24[Flitro de Ruido],1,Table8[[#This Row],[I_50]]/Table8[[#This Row],[I_0]])</f>
        <v>1</v>
      </c>
    </row>
    <row r="337" spans="1:25" x14ac:dyDescent="0.3">
      <c r="A337" s="13">
        <v>402.52</v>
      </c>
      <c r="B337" s="12">
        <v>0.1</v>
      </c>
      <c r="C337" s="11">
        <v>402.52</v>
      </c>
      <c r="D337" s="12">
        <v>0.1</v>
      </c>
      <c r="E337" s="11">
        <v>402.52</v>
      </c>
      <c r="F337" s="12">
        <v>0.2</v>
      </c>
      <c r="G337" s="11">
        <v>402.52</v>
      </c>
      <c r="H337" s="12">
        <v>0.1</v>
      </c>
      <c r="I337" s="11">
        <v>402.52</v>
      </c>
      <c r="J337" s="12">
        <v>0.2</v>
      </c>
      <c r="K337" s="11">
        <v>402.52</v>
      </c>
      <c r="L337" s="12">
        <v>0.2</v>
      </c>
      <c r="M337" s="11">
        <v>402.52</v>
      </c>
      <c r="N337" s="13">
        <v>0.1</v>
      </c>
      <c r="O337" s="11">
        <v>0.1</v>
      </c>
      <c r="P337" s="11">
        <v>0.2</v>
      </c>
      <c r="Q337" s="11">
        <v>0.1</v>
      </c>
      <c r="R337" s="11">
        <v>0.2</v>
      </c>
      <c r="S337" s="14">
        <v>0.2</v>
      </c>
      <c r="T337" s="11">
        <v>402.52</v>
      </c>
      <c r="U337" s="13" cm="1">
        <f t="array" ref="U337">IF(Table8[[#This Row],[I_0]]&lt;Table24[Flitro de Ruido],1,Table8[[#This Row],[I_10]]/Table8[[#This Row],[I_0]])</f>
        <v>1</v>
      </c>
      <c r="V337" s="13" cm="1">
        <f t="array" ref="V337">IF(Table8[[#This Row],[I_0]]&lt;Table24[Flitro de Ruido],1,Table8[[#This Row],[I_20]]/Table8[[#This Row],[I_0]])</f>
        <v>2</v>
      </c>
      <c r="W337" s="13" cm="1">
        <f t="array" ref="W337">IF(Table8[[#This Row],[I_0]]&lt;Table24[Flitro de Ruido],1,Table8[[#This Row],[I_30]]/Table8[[#This Row],[I_0]])</f>
        <v>1</v>
      </c>
      <c r="X337" s="13" cm="1">
        <f t="array" ref="X337">IF(Table8[[#This Row],[I_0]]&lt;Table24[Flitro de Ruido],1,Table8[[#This Row],[I_40]]/Table8[[#This Row],[I_0]])</f>
        <v>2</v>
      </c>
      <c r="Y337" s="13" cm="1">
        <f t="array" ref="Y337">IF(Table8[[#This Row],[I_0]]&lt;Table24[Flitro de Ruido],1,Table8[[#This Row],[I_50]]/Table8[[#This Row],[I_0]])</f>
        <v>2</v>
      </c>
    </row>
    <row r="338" spans="1:25" x14ac:dyDescent="0.3">
      <c r="A338" s="13">
        <v>403.51</v>
      </c>
      <c r="B338" s="12">
        <v>0.1</v>
      </c>
      <c r="C338" s="11">
        <v>403.51</v>
      </c>
      <c r="D338" s="12">
        <v>0.2</v>
      </c>
      <c r="E338" s="11">
        <v>403.51</v>
      </c>
      <c r="F338" s="12">
        <v>0.2</v>
      </c>
      <c r="G338" s="11">
        <v>403.51</v>
      </c>
      <c r="H338" s="12">
        <v>0.2</v>
      </c>
      <c r="I338" s="11">
        <v>403.51</v>
      </c>
      <c r="J338" s="12">
        <v>0.2</v>
      </c>
      <c r="K338" s="11">
        <v>403.51</v>
      </c>
      <c r="L338" s="12">
        <v>0.2</v>
      </c>
      <c r="M338" s="11">
        <v>403.51</v>
      </c>
      <c r="N338" s="13">
        <v>0.1</v>
      </c>
      <c r="O338" s="11">
        <v>0.2</v>
      </c>
      <c r="P338" s="11">
        <v>0.2</v>
      </c>
      <c r="Q338" s="11">
        <v>0.2</v>
      </c>
      <c r="R338" s="11">
        <v>0.2</v>
      </c>
      <c r="S338" s="14">
        <v>0.2</v>
      </c>
      <c r="T338" s="11">
        <v>403.51</v>
      </c>
      <c r="U338" s="13" cm="1">
        <f t="array" ref="U338">IF(Table8[[#This Row],[I_0]]&lt;Table24[Flitro de Ruido],1,Table8[[#This Row],[I_10]]/Table8[[#This Row],[I_0]])</f>
        <v>2</v>
      </c>
      <c r="V338" s="13" cm="1">
        <f t="array" ref="V338">IF(Table8[[#This Row],[I_0]]&lt;Table24[Flitro de Ruido],1,Table8[[#This Row],[I_20]]/Table8[[#This Row],[I_0]])</f>
        <v>2</v>
      </c>
      <c r="W338" s="13" cm="1">
        <f t="array" ref="W338">IF(Table8[[#This Row],[I_0]]&lt;Table24[Flitro de Ruido],1,Table8[[#This Row],[I_30]]/Table8[[#This Row],[I_0]])</f>
        <v>2</v>
      </c>
      <c r="X338" s="13" cm="1">
        <f t="array" ref="X338">IF(Table8[[#This Row],[I_0]]&lt;Table24[Flitro de Ruido],1,Table8[[#This Row],[I_40]]/Table8[[#This Row],[I_0]])</f>
        <v>2</v>
      </c>
      <c r="Y338" s="13" cm="1">
        <f t="array" ref="Y338">IF(Table8[[#This Row],[I_0]]&lt;Table24[Flitro de Ruido],1,Table8[[#This Row],[I_50]]/Table8[[#This Row],[I_0]])</f>
        <v>2</v>
      </c>
    </row>
    <row r="339" spans="1:25" x14ac:dyDescent="0.3">
      <c r="A339" s="13">
        <v>404.51</v>
      </c>
      <c r="B339" s="12">
        <v>0.2</v>
      </c>
      <c r="C339" s="11">
        <v>404.51</v>
      </c>
      <c r="D339" s="12">
        <v>0.2</v>
      </c>
      <c r="E339" s="11">
        <v>404.51</v>
      </c>
      <c r="F339" s="12">
        <v>0.2</v>
      </c>
      <c r="G339" s="11">
        <v>404.51</v>
      </c>
      <c r="H339" s="12">
        <v>0.2</v>
      </c>
      <c r="I339" s="11">
        <v>404.51</v>
      </c>
      <c r="J339" s="12">
        <v>0.3</v>
      </c>
      <c r="K339" s="11">
        <v>404.51</v>
      </c>
      <c r="L339" s="12">
        <v>0.3</v>
      </c>
      <c r="M339" s="11">
        <v>404.51</v>
      </c>
      <c r="N339" s="13">
        <v>0.2</v>
      </c>
      <c r="O339" s="11">
        <v>0.2</v>
      </c>
      <c r="P339" s="11">
        <v>0.2</v>
      </c>
      <c r="Q339" s="11">
        <v>0.2</v>
      </c>
      <c r="R339" s="11">
        <v>0.3</v>
      </c>
      <c r="S339" s="14">
        <v>0.3</v>
      </c>
      <c r="T339" s="11">
        <v>404.51</v>
      </c>
      <c r="U339" s="13" cm="1">
        <f t="array" ref="U339">IF(Table8[[#This Row],[I_0]]&lt;Table24[Flitro de Ruido],1,Table8[[#This Row],[I_10]]/Table8[[#This Row],[I_0]])</f>
        <v>1</v>
      </c>
      <c r="V339" s="13" cm="1">
        <f t="array" ref="V339">IF(Table8[[#This Row],[I_0]]&lt;Table24[Flitro de Ruido],1,Table8[[#This Row],[I_20]]/Table8[[#This Row],[I_0]])</f>
        <v>1</v>
      </c>
      <c r="W339" s="13" cm="1">
        <f t="array" ref="W339">IF(Table8[[#This Row],[I_0]]&lt;Table24[Flitro de Ruido],1,Table8[[#This Row],[I_30]]/Table8[[#This Row],[I_0]])</f>
        <v>1</v>
      </c>
      <c r="X339" s="13" cm="1">
        <f t="array" ref="X339">IF(Table8[[#This Row],[I_0]]&lt;Table24[Flitro de Ruido],1,Table8[[#This Row],[I_40]]/Table8[[#This Row],[I_0]])</f>
        <v>1.4999999999999998</v>
      </c>
      <c r="Y339" s="13" cm="1">
        <f t="array" ref="Y339">IF(Table8[[#This Row],[I_0]]&lt;Table24[Flitro de Ruido],1,Table8[[#This Row],[I_50]]/Table8[[#This Row],[I_0]])</f>
        <v>1.4999999999999998</v>
      </c>
    </row>
    <row r="340" spans="1:25" x14ac:dyDescent="0.3">
      <c r="A340" s="13">
        <v>405.5</v>
      </c>
      <c r="B340" s="12">
        <v>0.2</v>
      </c>
      <c r="C340" s="11">
        <v>405.5</v>
      </c>
      <c r="D340" s="12">
        <v>0.3</v>
      </c>
      <c r="E340" s="11">
        <v>405.5</v>
      </c>
      <c r="F340" s="12">
        <v>0.3</v>
      </c>
      <c r="G340" s="11">
        <v>405.5</v>
      </c>
      <c r="H340" s="12">
        <v>0.3</v>
      </c>
      <c r="I340" s="11">
        <v>405.5</v>
      </c>
      <c r="J340" s="12">
        <v>0.3</v>
      </c>
      <c r="K340" s="11">
        <v>405.5</v>
      </c>
      <c r="L340" s="12">
        <v>0.3</v>
      </c>
      <c r="M340" s="11">
        <v>405.5</v>
      </c>
      <c r="N340" s="13">
        <v>0.2</v>
      </c>
      <c r="O340" s="11">
        <v>0.3</v>
      </c>
      <c r="P340" s="11">
        <v>0.3</v>
      </c>
      <c r="Q340" s="11">
        <v>0.3</v>
      </c>
      <c r="R340" s="11">
        <v>0.3</v>
      </c>
      <c r="S340" s="14">
        <v>0.3</v>
      </c>
      <c r="T340" s="11">
        <v>405.5</v>
      </c>
      <c r="U340" s="13" cm="1">
        <f t="array" ref="U340">IF(Table8[[#This Row],[I_0]]&lt;Table24[Flitro de Ruido],1,Table8[[#This Row],[I_10]]/Table8[[#This Row],[I_0]])</f>
        <v>1.4999999999999998</v>
      </c>
      <c r="V340" s="13" cm="1">
        <f t="array" ref="V340">IF(Table8[[#This Row],[I_0]]&lt;Table24[Flitro de Ruido],1,Table8[[#This Row],[I_20]]/Table8[[#This Row],[I_0]])</f>
        <v>1.4999999999999998</v>
      </c>
      <c r="W340" s="13" cm="1">
        <f t="array" ref="W340">IF(Table8[[#This Row],[I_0]]&lt;Table24[Flitro de Ruido],1,Table8[[#This Row],[I_30]]/Table8[[#This Row],[I_0]])</f>
        <v>1.4999999999999998</v>
      </c>
      <c r="X340" s="13" cm="1">
        <f t="array" ref="X340">IF(Table8[[#This Row],[I_0]]&lt;Table24[Flitro de Ruido],1,Table8[[#This Row],[I_40]]/Table8[[#This Row],[I_0]])</f>
        <v>1.4999999999999998</v>
      </c>
      <c r="Y340" s="13" cm="1">
        <f t="array" ref="Y340">IF(Table8[[#This Row],[I_0]]&lt;Table24[Flitro de Ruido],1,Table8[[#This Row],[I_50]]/Table8[[#This Row],[I_0]])</f>
        <v>1.4999999999999998</v>
      </c>
    </row>
    <row r="341" spans="1:25" x14ac:dyDescent="0.3">
      <c r="A341" s="13">
        <v>406.49</v>
      </c>
      <c r="B341" s="12">
        <v>0.3</v>
      </c>
      <c r="C341" s="11">
        <v>406.49</v>
      </c>
      <c r="D341" s="12">
        <v>0.3</v>
      </c>
      <c r="E341" s="11">
        <v>406.49</v>
      </c>
      <c r="F341" s="12">
        <v>0.4</v>
      </c>
      <c r="G341" s="11">
        <v>406.49</v>
      </c>
      <c r="H341" s="12">
        <v>0.3</v>
      </c>
      <c r="I341" s="11">
        <v>406.49</v>
      </c>
      <c r="J341" s="12">
        <v>0.4</v>
      </c>
      <c r="K341" s="11">
        <v>406.49</v>
      </c>
      <c r="L341" s="12">
        <v>0.4</v>
      </c>
      <c r="M341" s="11">
        <v>406.49</v>
      </c>
      <c r="N341" s="13">
        <v>0.3</v>
      </c>
      <c r="O341" s="11">
        <v>0.3</v>
      </c>
      <c r="P341" s="11">
        <v>0.4</v>
      </c>
      <c r="Q341" s="11">
        <v>0.3</v>
      </c>
      <c r="R341" s="11">
        <v>0.4</v>
      </c>
      <c r="S341" s="14">
        <v>0.4</v>
      </c>
      <c r="T341" s="11">
        <v>406.49</v>
      </c>
      <c r="U341" s="13" cm="1">
        <f t="array" ref="U341">IF(Table8[[#This Row],[I_0]]&lt;Table24[Flitro de Ruido],1,Table8[[#This Row],[I_10]]/Table8[[#This Row],[I_0]])</f>
        <v>1</v>
      </c>
      <c r="V341" s="13" cm="1">
        <f t="array" ref="V341">IF(Table8[[#This Row],[I_0]]&lt;Table24[Flitro de Ruido],1,Table8[[#This Row],[I_20]]/Table8[[#This Row],[I_0]])</f>
        <v>1.3333333333333335</v>
      </c>
      <c r="W341" s="13" cm="1">
        <f t="array" ref="W341">IF(Table8[[#This Row],[I_0]]&lt;Table24[Flitro de Ruido],1,Table8[[#This Row],[I_30]]/Table8[[#This Row],[I_0]])</f>
        <v>1</v>
      </c>
      <c r="X341" s="13" cm="1">
        <f t="array" ref="X341">IF(Table8[[#This Row],[I_0]]&lt;Table24[Flitro de Ruido],1,Table8[[#This Row],[I_40]]/Table8[[#This Row],[I_0]])</f>
        <v>1.3333333333333335</v>
      </c>
      <c r="Y341" s="13" cm="1">
        <f t="array" ref="Y341">IF(Table8[[#This Row],[I_0]]&lt;Table24[Flitro de Ruido],1,Table8[[#This Row],[I_50]]/Table8[[#This Row],[I_0]])</f>
        <v>1.3333333333333335</v>
      </c>
    </row>
    <row r="342" spans="1:25" x14ac:dyDescent="0.3">
      <c r="A342" s="13">
        <v>407.48</v>
      </c>
      <c r="B342" s="12">
        <v>0.3</v>
      </c>
      <c r="C342" s="11">
        <v>407.48</v>
      </c>
      <c r="D342" s="12">
        <v>0.4</v>
      </c>
      <c r="E342" s="11">
        <v>407.48</v>
      </c>
      <c r="F342" s="12">
        <v>0.5</v>
      </c>
      <c r="G342" s="11">
        <v>407.48</v>
      </c>
      <c r="H342" s="12">
        <v>0.4</v>
      </c>
      <c r="I342" s="11">
        <v>407.48</v>
      </c>
      <c r="J342" s="12">
        <v>0.5</v>
      </c>
      <c r="K342" s="11">
        <v>407.48</v>
      </c>
      <c r="L342" s="12">
        <v>0.5</v>
      </c>
      <c r="M342" s="11">
        <v>407.48</v>
      </c>
      <c r="N342" s="13">
        <v>0.3</v>
      </c>
      <c r="O342" s="11">
        <v>0.4</v>
      </c>
      <c r="P342" s="11">
        <v>0.5</v>
      </c>
      <c r="Q342" s="11">
        <v>0.4</v>
      </c>
      <c r="R342" s="11">
        <v>0.5</v>
      </c>
      <c r="S342" s="14">
        <v>0.5</v>
      </c>
      <c r="T342" s="11">
        <v>407.48</v>
      </c>
      <c r="U342" s="13" cm="1">
        <f t="array" ref="U342">IF(Table8[[#This Row],[I_0]]&lt;Table24[Flitro de Ruido],1,Table8[[#This Row],[I_10]]/Table8[[#This Row],[I_0]])</f>
        <v>1.3333333333333335</v>
      </c>
      <c r="V342" s="13" cm="1">
        <f t="array" ref="V342">IF(Table8[[#This Row],[I_0]]&lt;Table24[Flitro de Ruido],1,Table8[[#This Row],[I_20]]/Table8[[#This Row],[I_0]])</f>
        <v>1.6666666666666667</v>
      </c>
      <c r="W342" s="13" cm="1">
        <f t="array" ref="W342">IF(Table8[[#This Row],[I_0]]&lt;Table24[Flitro de Ruido],1,Table8[[#This Row],[I_30]]/Table8[[#This Row],[I_0]])</f>
        <v>1.3333333333333335</v>
      </c>
      <c r="X342" s="13" cm="1">
        <f t="array" ref="X342">IF(Table8[[#This Row],[I_0]]&lt;Table24[Flitro de Ruido],1,Table8[[#This Row],[I_40]]/Table8[[#This Row],[I_0]])</f>
        <v>1.6666666666666667</v>
      </c>
      <c r="Y342" s="13" cm="1">
        <f t="array" ref="Y342">IF(Table8[[#This Row],[I_0]]&lt;Table24[Flitro de Ruido],1,Table8[[#This Row],[I_50]]/Table8[[#This Row],[I_0]])</f>
        <v>1.6666666666666667</v>
      </c>
    </row>
    <row r="343" spans="1:25" x14ac:dyDescent="0.3">
      <c r="A343" s="13">
        <v>408.47</v>
      </c>
      <c r="B343" s="12">
        <v>0.4</v>
      </c>
      <c r="C343" s="11">
        <v>408.47</v>
      </c>
      <c r="D343" s="12">
        <v>0.5</v>
      </c>
      <c r="E343" s="11">
        <v>408.47</v>
      </c>
      <c r="F343" s="12">
        <v>0.6</v>
      </c>
      <c r="G343" s="11">
        <v>408.47</v>
      </c>
      <c r="H343" s="12">
        <v>0.5</v>
      </c>
      <c r="I343" s="11">
        <v>408.47</v>
      </c>
      <c r="J343" s="12">
        <v>0.6</v>
      </c>
      <c r="K343" s="11">
        <v>408.47</v>
      </c>
      <c r="L343" s="12">
        <v>0.6</v>
      </c>
      <c r="M343" s="11">
        <v>408.47</v>
      </c>
      <c r="N343" s="13">
        <v>0.4</v>
      </c>
      <c r="O343" s="11">
        <v>0.5</v>
      </c>
      <c r="P343" s="11">
        <v>0.6</v>
      </c>
      <c r="Q343" s="11">
        <v>0.5</v>
      </c>
      <c r="R343" s="11">
        <v>0.6</v>
      </c>
      <c r="S343" s="14">
        <v>0.6</v>
      </c>
      <c r="T343" s="11">
        <v>408.47</v>
      </c>
      <c r="U343" s="13" cm="1">
        <f t="array" ref="U343">IF(Table8[[#This Row],[I_0]]&lt;Table24[Flitro de Ruido],1,Table8[[#This Row],[I_10]]/Table8[[#This Row],[I_0]])</f>
        <v>1.25</v>
      </c>
      <c r="V343" s="13" cm="1">
        <f t="array" ref="V343">IF(Table8[[#This Row],[I_0]]&lt;Table24[Flitro de Ruido],1,Table8[[#This Row],[I_20]]/Table8[[#This Row],[I_0]])</f>
        <v>1.4999999999999998</v>
      </c>
      <c r="W343" s="13" cm="1">
        <f t="array" ref="W343">IF(Table8[[#This Row],[I_0]]&lt;Table24[Flitro de Ruido],1,Table8[[#This Row],[I_30]]/Table8[[#This Row],[I_0]])</f>
        <v>1.25</v>
      </c>
      <c r="X343" s="13" cm="1">
        <f t="array" ref="X343">IF(Table8[[#This Row],[I_0]]&lt;Table24[Flitro de Ruido],1,Table8[[#This Row],[I_40]]/Table8[[#This Row],[I_0]])</f>
        <v>1.4999999999999998</v>
      </c>
      <c r="Y343" s="13" cm="1">
        <f t="array" ref="Y343">IF(Table8[[#This Row],[I_0]]&lt;Table24[Flitro de Ruido],1,Table8[[#This Row],[I_50]]/Table8[[#This Row],[I_0]])</f>
        <v>1.4999999999999998</v>
      </c>
    </row>
    <row r="344" spans="1:25" x14ac:dyDescent="0.3">
      <c r="A344" s="13">
        <v>409.46</v>
      </c>
      <c r="B344" s="12">
        <v>0.5</v>
      </c>
      <c r="C344" s="11">
        <v>409.46</v>
      </c>
      <c r="D344" s="12">
        <v>0.6</v>
      </c>
      <c r="E344" s="11">
        <v>409.46</v>
      </c>
      <c r="F344" s="12">
        <v>0.7</v>
      </c>
      <c r="G344" s="11">
        <v>409.46</v>
      </c>
      <c r="H344" s="12">
        <v>0.6</v>
      </c>
      <c r="I344" s="11">
        <v>409.46</v>
      </c>
      <c r="J344" s="12">
        <v>0.7</v>
      </c>
      <c r="K344" s="11">
        <v>409.46</v>
      </c>
      <c r="L344" s="12">
        <v>0.8</v>
      </c>
      <c r="M344" s="11">
        <v>409.46</v>
      </c>
      <c r="N344" s="13">
        <v>0.5</v>
      </c>
      <c r="O344" s="11">
        <v>0.6</v>
      </c>
      <c r="P344" s="11">
        <v>0.7</v>
      </c>
      <c r="Q344" s="11">
        <v>0.6</v>
      </c>
      <c r="R344" s="11">
        <v>0.7</v>
      </c>
      <c r="S344" s="14">
        <v>0.8</v>
      </c>
      <c r="T344" s="11">
        <v>409.46</v>
      </c>
      <c r="U344" s="13" cm="1">
        <f t="array" ref="U344">IF(Table8[[#This Row],[I_0]]&lt;Table24[Flitro de Ruido],1,Table8[[#This Row],[I_10]]/Table8[[#This Row],[I_0]])</f>
        <v>1.2</v>
      </c>
      <c r="V344" s="13" cm="1">
        <f t="array" ref="V344">IF(Table8[[#This Row],[I_0]]&lt;Table24[Flitro de Ruido],1,Table8[[#This Row],[I_20]]/Table8[[#This Row],[I_0]])</f>
        <v>1.4</v>
      </c>
      <c r="W344" s="13" cm="1">
        <f t="array" ref="W344">IF(Table8[[#This Row],[I_0]]&lt;Table24[Flitro de Ruido],1,Table8[[#This Row],[I_30]]/Table8[[#This Row],[I_0]])</f>
        <v>1.2</v>
      </c>
      <c r="X344" s="13" cm="1">
        <f t="array" ref="X344">IF(Table8[[#This Row],[I_0]]&lt;Table24[Flitro de Ruido],1,Table8[[#This Row],[I_40]]/Table8[[#This Row],[I_0]])</f>
        <v>1.4</v>
      </c>
      <c r="Y344" s="13" cm="1">
        <f t="array" ref="Y344">IF(Table8[[#This Row],[I_0]]&lt;Table24[Flitro de Ruido],1,Table8[[#This Row],[I_50]]/Table8[[#This Row],[I_0]])</f>
        <v>1.6</v>
      </c>
    </row>
    <row r="345" spans="1:25" x14ac:dyDescent="0.3">
      <c r="A345" s="13">
        <v>410.46</v>
      </c>
      <c r="B345" s="12">
        <v>0.6</v>
      </c>
      <c r="C345" s="11">
        <v>410.46</v>
      </c>
      <c r="D345" s="12">
        <v>0.7</v>
      </c>
      <c r="E345" s="11">
        <v>410.46</v>
      </c>
      <c r="F345" s="12">
        <v>0.9</v>
      </c>
      <c r="G345" s="11">
        <v>410.46</v>
      </c>
      <c r="H345" s="12">
        <v>0.7</v>
      </c>
      <c r="I345" s="11">
        <v>410.46</v>
      </c>
      <c r="J345" s="12">
        <v>0.9</v>
      </c>
      <c r="K345" s="11">
        <v>410.46</v>
      </c>
      <c r="L345" s="12">
        <v>1</v>
      </c>
      <c r="M345" s="11">
        <v>410.46</v>
      </c>
      <c r="N345" s="13">
        <v>0.6</v>
      </c>
      <c r="O345" s="11">
        <v>0.7</v>
      </c>
      <c r="P345" s="11">
        <v>0.9</v>
      </c>
      <c r="Q345" s="11">
        <v>0.7</v>
      </c>
      <c r="R345" s="11">
        <v>0.9</v>
      </c>
      <c r="S345" s="14">
        <v>1</v>
      </c>
      <c r="T345" s="11">
        <v>410.46</v>
      </c>
      <c r="U345" s="13" cm="1">
        <f t="array" ref="U345">IF(Table8[[#This Row],[I_0]]&lt;Table24[Flitro de Ruido],1,Table8[[#This Row],[I_10]]/Table8[[#This Row],[I_0]])</f>
        <v>1.1666666666666667</v>
      </c>
      <c r="V345" s="13" cm="1">
        <f t="array" ref="V345">IF(Table8[[#This Row],[I_0]]&lt;Table24[Flitro de Ruido],1,Table8[[#This Row],[I_20]]/Table8[[#This Row],[I_0]])</f>
        <v>1.5</v>
      </c>
      <c r="W345" s="13" cm="1">
        <f t="array" ref="W345">IF(Table8[[#This Row],[I_0]]&lt;Table24[Flitro de Ruido],1,Table8[[#This Row],[I_30]]/Table8[[#This Row],[I_0]])</f>
        <v>1.1666666666666667</v>
      </c>
      <c r="X345" s="13" cm="1">
        <f t="array" ref="X345">IF(Table8[[#This Row],[I_0]]&lt;Table24[Flitro de Ruido],1,Table8[[#This Row],[I_40]]/Table8[[#This Row],[I_0]])</f>
        <v>1.5</v>
      </c>
      <c r="Y345" s="13" cm="1">
        <f t="array" ref="Y345">IF(Table8[[#This Row],[I_0]]&lt;Table24[Flitro de Ruido],1,Table8[[#This Row],[I_50]]/Table8[[#This Row],[I_0]])</f>
        <v>1.6666666666666667</v>
      </c>
    </row>
    <row r="346" spans="1:25" x14ac:dyDescent="0.3">
      <c r="A346" s="13">
        <v>411.45</v>
      </c>
      <c r="B346" s="12">
        <v>0.7</v>
      </c>
      <c r="C346" s="11">
        <v>411.45</v>
      </c>
      <c r="D346" s="12">
        <v>0.9</v>
      </c>
      <c r="E346" s="11">
        <v>411.45</v>
      </c>
      <c r="F346" s="12">
        <v>1.1000000000000001</v>
      </c>
      <c r="G346" s="11">
        <v>411.45</v>
      </c>
      <c r="H346" s="12">
        <v>0.9</v>
      </c>
      <c r="I346" s="11">
        <v>411.45</v>
      </c>
      <c r="J346" s="12">
        <v>1.1000000000000001</v>
      </c>
      <c r="K346" s="11">
        <v>411.45</v>
      </c>
      <c r="L346" s="12">
        <v>1.2</v>
      </c>
      <c r="M346" s="11">
        <v>411.45</v>
      </c>
      <c r="N346" s="13">
        <v>0.7</v>
      </c>
      <c r="O346" s="11">
        <v>0.9</v>
      </c>
      <c r="P346" s="11">
        <v>1.1000000000000001</v>
      </c>
      <c r="Q346" s="11">
        <v>0.9</v>
      </c>
      <c r="R346" s="11">
        <v>1.1000000000000001</v>
      </c>
      <c r="S346" s="14">
        <v>1.2</v>
      </c>
      <c r="T346" s="11">
        <v>411.45</v>
      </c>
      <c r="U346" s="13" cm="1">
        <f t="array" ref="U346">IF(Table8[[#This Row],[I_0]]&lt;Table24[Flitro de Ruido],1,Table8[[#This Row],[I_10]]/Table8[[#This Row],[I_0]])</f>
        <v>1.2857142857142858</v>
      </c>
      <c r="V346" s="13" cm="1">
        <f t="array" ref="V346">IF(Table8[[#This Row],[I_0]]&lt;Table24[Flitro de Ruido],1,Table8[[#This Row],[I_20]]/Table8[[#This Row],[I_0]])</f>
        <v>1.5714285714285716</v>
      </c>
      <c r="W346" s="13" cm="1">
        <f t="array" ref="W346">IF(Table8[[#This Row],[I_0]]&lt;Table24[Flitro de Ruido],1,Table8[[#This Row],[I_30]]/Table8[[#This Row],[I_0]])</f>
        <v>1.2857142857142858</v>
      </c>
      <c r="X346" s="13" cm="1">
        <f t="array" ref="X346">IF(Table8[[#This Row],[I_0]]&lt;Table24[Flitro de Ruido],1,Table8[[#This Row],[I_40]]/Table8[[#This Row],[I_0]])</f>
        <v>1.5714285714285716</v>
      </c>
      <c r="Y346" s="13" cm="1">
        <f t="array" ref="Y346">IF(Table8[[#This Row],[I_0]]&lt;Table24[Flitro de Ruido],1,Table8[[#This Row],[I_50]]/Table8[[#This Row],[I_0]])</f>
        <v>1.7142857142857144</v>
      </c>
    </row>
    <row r="347" spans="1:25" x14ac:dyDescent="0.3">
      <c r="A347" s="13">
        <v>412.44</v>
      </c>
      <c r="B347" s="12">
        <v>0.9</v>
      </c>
      <c r="C347" s="11">
        <v>412.44</v>
      </c>
      <c r="D347" s="12">
        <v>1.1000000000000001</v>
      </c>
      <c r="E347" s="11">
        <v>412.44</v>
      </c>
      <c r="F347" s="12">
        <v>1.3</v>
      </c>
      <c r="G347" s="11">
        <v>412.44</v>
      </c>
      <c r="H347" s="12">
        <v>1.1000000000000001</v>
      </c>
      <c r="I347" s="11">
        <v>412.44</v>
      </c>
      <c r="J347" s="12">
        <v>1.4</v>
      </c>
      <c r="K347" s="11">
        <v>412.44</v>
      </c>
      <c r="L347" s="12">
        <v>1.5</v>
      </c>
      <c r="M347" s="11">
        <v>412.44</v>
      </c>
      <c r="N347" s="13">
        <v>0.9</v>
      </c>
      <c r="O347" s="11">
        <v>1.1000000000000001</v>
      </c>
      <c r="P347" s="11">
        <v>1.3</v>
      </c>
      <c r="Q347" s="11">
        <v>1.1000000000000001</v>
      </c>
      <c r="R347" s="11">
        <v>1.4</v>
      </c>
      <c r="S347" s="14">
        <v>1.5</v>
      </c>
      <c r="T347" s="11">
        <v>412.44</v>
      </c>
      <c r="U347" s="13" cm="1">
        <f t="array" ref="U347">IF(Table8[[#This Row],[I_0]]&lt;Table24[Flitro de Ruido],1,Table8[[#This Row],[I_10]]/Table8[[#This Row],[I_0]])</f>
        <v>1.2222222222222223</v>
      </c>
      <c r="V347" s="13" cm="1">
        <f t="array" ref="V347">IF(Table8[[#This Row],[I_0]]&lt;Table24[Flitro de Ruido],1,Table8[[#This Row],[I_20]]/Table8[[#This Row],[I_0]])</f>
        <v>1.4444444444444444</v>
      </c>
      <c r="W347" s="13" cm="1">
        <f t="array" ref="W347">IF(Table8[[#This Row],[I_0]]&lt;Table24[Flitro de Ruido],1,Table8[[#This Row],[I_30]]/Table8[[#This Row],[I_0]])</f>
        <v>1.2222222222222223</v>
      </c>
      <c r="X347" s="13" cm="1">
        <f t="array" ref="X347">IF(Table8[[#This Row],[I_0]]&lt;Table24[Flitro de Ruido],1,Table8[[#This Row],[I_40]]/Table8[[#This Row],[I_0]])</f>
        <v>1.5555555555555554</v>
      </c>
      <c r="Y347" s="13" cm="1">
        <f t="array" ref="Y347">IF(Table8[[#This Row],[I_0]]&lt;Table24[Flitro de Ruido],1,Table8[[#This Row],[I_50]]/Table8[[#This Row],[I_0]])</f>
        <v>1.6666666666666665</v>
      </c>
    </row>
    <row r="348" spans="1:25" x14ac:dyDescent="0.3">
      <c r="A348" s="13">
        <v>413.43</v>
      </c>
      <c r="B348" s="12">
        <v>1.1000000000000001</v>
      </c>
      <c r="C348" s="11">
        <v>413.43</v>
      </c>
      <c r="D348" s="12">
        <v>1.4</v>
      </c>
      <c r="E348" s="11">
        <v>413.43</v>
      </c>
      <c r="F348" s="12">
        <v>1.6</v>
      </c>
      <c r="G348" s="11">
        <v>413.43</v>
      </c>
      <c r="H348" s="12">
        <v>1.4</v>
      </c>
      <c r="I348" s="11">
        <v>413.43</v>
      </c>
      <c r="J348" s="12">
        <v>1.7</v>
      </c>
      <c r="K348" s="11">
        <v>413.43</v>
      </c>
      <c r="L348" s="12">
        <v>1.8</v>
      </c>
      <c r="M348" s="11">
        <v>413.43</v>
      </c>
      <c r="N348" s="13">
        <v>1.1000000000000001</v>
      </c>
      <c r="O348" s="11">
        <v>1.4</v>
      </c>
      <c r="P348" s="11">
        <v>1.6</v>
      </c>
      <c r="Q348" s="11">
        <v>1.4</v>
      </c>
      <c r="R348" s="11">
        <v>1.7</v>
      </c>
      <c r="S348" s="14">
        <v>1.8</v>
      </c>
      <c r="T348" s="11">
        <v>413.43</v>
      </c>
      <c r="U348" s="13" cm="1">
        <f t="array" ref="U348">IF(Table8[[#This Row],[I_0]]&lt;Table24[Flitro de Ruido],1,Table8[[#This Row],[I_10]]/Table8[[#This Row],[I_0]])</f>
        <v>1.2727272727272725</v>
      </c>
      <c r="V348" s="13" cm="1">
        <f t="array" ref="V348">IF(Table8[[#This Row],[I_0]]&lt;Table24[Flitro de Ruido],1,Table8[[#This Row],[I_20]]/Table8[[#This Row],[I_0]])</f>
        <v>1.4545454545454546</v>
      </c>
      <c r="W348" s="13" cm="1">
        <f t="array" ref="W348">IF(Table8[[#This Row],[I_0]]&lt;Table24[Flitro de Ruido],1,Table8[[#This Row],[I_30]]/Table8[[#This Row],[I_0]])</f>
        <v>1.2727272727272725</v>
      </c>
      <c r="X348" s="13" cm="1">
        <f t="array" ref="X348">IF(Table8[[#This Row],[I_0]]&lt;Table24[Flitro de Ruido],1,Table8[[#This Row],[I_40]]/Table8[[#This Row],[I_0]])</f>
        <v>1.5454545454545452</v>
      </c>
      <c r="Y348" s="13" cm="1">
        <f t="array" ref="Y348">IF(Table8[[#This Row],[I_0]]&lt;Table24[Flitro de Ruido],1,Table8[[#This Row],[I_50]]/Table8[[#This Row],[I_0]])</f>
        <v>1.6363636363636362</v>
      </c>
    </row>
    <row r="349" spans="1:25" x14ac:dyDescent="0.3">
      <c r="A349" s="13">
        <v>414.42</v>
      </c>
      <c r="B349" s="12">
        <v>1.4</v>
      </c>
      <c r="C349" s="11">
        <v>414.42</v>
      </c>
      <c r="D349" s="12">
        <v>1.7</v>
      </c>
      <c r="E349" s="11">
        <v>414.42</v>
      </c>
      <c r="F349" s="12">
        <v>2</v>
      </c>
      <c r="G349" s="11">
        <v>414.42</v>
      </c>
      <c r="H349" s="12">
        <v>1.7</v>
      </c>
      <c r="I349" s="11">
        <v>414.42</v>
      </c>
      <c r="J349" s="12">
        <v>2.1</v>
      </c>
      <c r="K349" s="11">
        <v>414.42</v>
      </c>
      <c r="L349" s="12">
        <v>2.2000000000000002</v>
      </c>
      <c r="M349" s="11">
        <v>414.42</v>
      </c>
      <c r="N349" s="13">
        <v>1.4</v>
      </c>
      <c r="O349" s="11">
        <v>1.7</v>
      </c>
      <c r="P349" s="11">
        <v>2</v>
      </c>
      <c r="Q349" s="11">
        <v>1.7</v>
      </c>
      <c r="R349" s="11">
        <v>2.1</v>
      </c>
      <c r="S349" s="14">
        <v>2.2000000000000002</v>
      </c>
      <c r="T349" s="11">
        <v>414.42</v>
      </c>
      <c r="U349" s="13" cm="1">
        <f t="array" ref="U349">IF(Table8[[#This Row],[I_0]]&lt;Table24[Flitro de Ruido],1,Table8[[#This Row],[I_10]]/Table8[[#This Row],[I_0]])</f>
        <v>1.2142857142857144</v>
      </c>
      <c r="V349" s="13" cm="1">
        <f t="array" ref="V349">IF(Table8[[#This Row],[I_0]]&lt;Table24[Flitro de Ruido],1,Table8[[#This Row],[I_20]]/Table8[[#This Row],[I_0]])</f>
        <v>1.4285714285714286</v>
      </c>
      <c r="W349" s="13" cm="1">
        <f t="array" ref="W349">IF(Table8[[#This Row],[I_0]]&lt;Table24[Flitro de Ruido],1,Table8[[#This Row],[I_30]]/Table8[[#This Row],[I_0]])</f>
        <v>1.2142857142857144</v>
      </c>
      <c r="X349" s="13" cm="1">
        <f t="array" ref="X349">IF(Table8[[#This Row],[I_0]]&lt;Table24[Flitro de Ruido],1,Table8[[#This Row],[I_40]]/Table8[[#This Row],[I_0]])</f>
        <v>1.5000000000000002</v>
      </c>
      <c r="Y349" s="13" cm="1">
        <f t="array" ref="Y349">IF(Table8[[#This Row],[I_0]]&lt;Table24[Flitro de Ruido],1,Table8[[#This Row],[I_50]]/Table8[[#This Row],[I_0]])</f>
        <v>1.5714285714285716</v>
      </c>
    </row>
    <row r="350" spans="1:25" x14ac:dyDescent="0.3">
      <c r="A350" s="13">
        <v>415.41</v>
      </c>
      <c r="B350" s="12">
        <v>1.7</v>
      </c>
      <c r="C350" s="11">
        <v>415.41</v>
      </c>
      <c r="D350" s="12">
        <v>2.1</v>
      </c>
      <c r="E350" s="11">
        <v>415.41</v>
      </c>
      <c r="F350" s="12">
        <v>2.4</v>
      </c>
      <c r="G350" s="11">
        <v>415.41</v>
      </c>
      <c r="H350" s="12">
        <v>2.1</v>
      </c>
      <c r="I350" s="11">
        <v>415.41</v>
      </c>
      <c r="J350" s="12">
        <v>2.6</v>
      </c>
      <c r="K350" s="11">
        <v>415.41</v>
      </c>
      <c r="L350" s="12">
        <v>2.7</v>
      </c>
      <c r="M350" s="11">
        <v>415.41</v>
      </c>
      <c r="N350" s="13">
        <v>1.7</v>
      </c>
      <c r="O350" s="11">
        <v>2.1</v>
      </c>
      <c r="P350" s="11">
        <v>2.4</v>
      </c>
      <c r="Q350" s="11">
        <v>2.1</v>
      </c>
      <c r="R350" s="11">
        <v>2.6</v>
      </c>
      <c r="S350" s="14">
        <v>2.7</v>
      </c>
      <c r="T350" s="11">
        <v>415.41</v>
      </c>
      <c r="U350" s="13" cm="1">
        <f t="array" ref="U350">IF(Table8[[#This Row],[I_0]]&lt;Table24[Flitro de Ruido],1,Table8[[#This Row],[I_10]]/Table8[[#This Row],[I_0]])</f>
        <v>1.2352941176470589</v>
      </c>
      <c r="V350" s="13" cm="1">
        <f t="array" ref="V350">IF(Table8[[#This Row],[I_0]]&lt;Table24[Flitro de Ruido],1,Table8[[#This Row],[I_20]]/Table8[[#This Row],[I_0]])</f>
        <v>1.411764705882353</v>
      </c>
      <c r="W350" s="13" cm="1">
        <f t="array" ref="W350">IF(Table8[[#This Row],[I_0]]&lt;Table24[Flitro de Ruido],1,Table8[[#This Row],[I_30]]/Table8[[#This Row],[I_0]])</f>
        <v>1.2352941176470589</v>
      </c>
      <c r="X350" s="13" cm="1">
        <f t="array" ref="X350">IF(Table8[[#This Row],[I_0]]&lt;Table24[Flitro de Ruido],1,Table8[[#This Row],[I_40]]/Table8[[#This Row],[I_0]])</f>
        <v>1.5294117647058825</v>
      </c>
      <c r="Y350" s="13" cm="1">
        <f t="array" ref="Y350">IF(Table8[[#This Row],[I_0]]&lt;Table24[Flitro de Ruido],1,Table8[[#This Row],[I_50]]/Table8[[#This Row],[I_0]])</f>
        <v>1.5882352941176472</v>
      </c>
    </row>
    <row r="351" spans="1:25" x14ac:dyDescent="0.3">
      <c r="A351" s="13">
        <v>416.41</v>
      </c>
      <c r="B351" s="12">
        <v>2.1</v>
      </c>
      <c r="C351" s="11">
        <v>416.41</v>
      </c>
      <c r="D351" s="12">
        <v>2.6</v>
      </c>
      <c r="E351" s="11">
        <v>416.41</v>
      </c>
      <c r="F351" s="12">
        <v>3</v>
      </c>
      <c r="G351" s="11">
        <v>416.41</v>
      </c>
      <c r="H351" s="12">
        <v>2.6</v>
      </c>
      <c r="I351" s="11">
        <v>416.41</v>
      </c>
      <c r="J351" s="12">
        <v>3.1</v>
      </c>
      <c r="K351" s="11">
        <v>416.41</v>
      </c>
      <c r="L351" s="12">
        <v>3.4</v>
      </c>
      <c r="M351" s="11">
        <v>416.41</v>
      </c>
      <c r="N351" s="13">
        <v>2.1</v>
      </c>
      <c r="O351" s="11">
        <v>2.6</v>
      </c>
      <c r="P351" s="11">
        <v>3</v>
      </c>
      <c r="Q351" s="11">
        <v>2.6</v>
      </c>
      <c r="R351" s="11">
        <v>3.1</v>
      </c>
      <c r="S351" s="14">
        <v>3.4</v>
      </c>
      <c r="T351" s="11">
        <v>416.41</v>
      </c>
      <c r="U351" s="13" cm="1">
        <f t="array" ref="U351">IF(Table8[[#This Row],[I_0]]&lt;Table24[Flitro de Ruido],1,Table8[[#This Row],[I_10]]/Table8[[#This Row],[I_0]])</f>
        <v>1.2380952380952381</v>
      </c>
      <c r="V351" s="13" cm="1">
        <f t="array" ref="V351">IF(Table8[[#This Row],[I_0]]&lt;Table24[Flitro de Ruido],1,Table8[[#This Row],[I_20]]/Table8[[#This Row],[I_0]])</f>
        <v>1.4285714285714286</v>
      </c>
      <c r="W351" s="13" cm="1">
        <f t="array" ref="W351">IF(Table8[[#This Row],[I_0]]&lt;Table24[Flitro de Ruido],1,Table8[[#This Row],[I_30]]/Table8[[#This Row],[I_0]])</f>
        <v>1.2380952380952381</v>
      </c>
      <c r="X351" s="13" cm="1">
        <f t="array" ref="X351">IF(Table8[[#This Row],[I_0]]&lt;Table24[Flitro de Ruido],1,Table8[[#This Row],[I_40]]/Table8[[#This Row],[I_0]])</f>
        <v>1.4761904761904763</v>
      </c>
      <c r="Y351" s="13" cm="1">
        <f t="array" ref="Y351">IF(Table8[[#This Row],[I_0]]&lt;Table24[Flitro de Ruido],1,Table8[[#This Row],[I_50]]/Table8[[#This Row],[I_0]])</f>
        <v>1.6190476190476188</v>
      </c>
    </row>
    <row r="352" spans="1:25" x14ac:dyDescent="0.3">
      <c r="A352" s="13">
        <v>417.4</v>
      </c>
      <c r="B352" s="12">
        <v>2.6</v>
      </c>
      <c r="C352" s="11">
        <v>417.4</v>
      </c>
      <c r="D352" s="12">
        <v>3.2</v>
      </c>
      <c r="E352" s="11">
        <v>417.4</v>
      </c>
      <c r="F352" s="12">
        <v>3.7</v>
      </c>
      <c r="G352" s="11">
        <v>417.4</v>
      </c>
      <c r="H352" s="12">
        <v>3.2</v>
      </c>
      <c r="I352" s="11">
        <v>417.4</v>
      </c>
      <c r="J352" s="12">
        <v>3.9</v>
      </c>
      <c r="K352" s="11">
        <v>417.4</v>
      </c>
      <c r="L352" s="12">
        <v>4.0999999999999996</v>
      </c>
      <c r="M352" s="11">
        <v>417.4</v>
      </c>
      <c r="N352" s="13">
        <v>2.6</v>
      </c>
      <c r="O352" s="11">
        <v>3.2</v>
      </c>
      <c r="P352" s="11">
        <v>3.7</v>
      </c>
      <c r="Q352" s="11">
        <v>3.2</v>
      </c>
      <c r="R352" s="11">
        <v>3.9</v>
      </c>
      <c r="S352" s="14">
        <v>4.0999999999999996</v>
      </c>
      <c r="T352" s="11">
        <v>417.4</v>
      </c>
      <c r="U352" s="13" cm="1">
        <f t="array" ref="U352">IF(Table8[[#This Row],[I_0]]&lt;Table24[Flitro de Ruido],1,Table8[[#This Row],[I_10]]/Table8[[#This Row],[I_0]])</f>
        <v>1.2307692307692308</v>
      </c>
      <c r="V352" s="13" cm="1">
        <f t="array" ref="V352">IF(Table8[[#This Row],[I_0]]&lt;Table24[Flitro de Ruido],1,Table8[[#This Row],[I_20]]/Table8[[#This Row],[I_0]])</f>
        <v>1.4230769230769231</v>
      </c>
      <c r="W352" s="13" cm="1">
        <f t="array" ref="W352">IF(Table8[[#This Row],[I_0]]&lt;Table24[Flitro de Ruido],1,Table8[[#This Row],[I_30]]/Table8[[#This Row],[I_0]])</f>
        <v>1.2307692307692308</v>
      </c>
      <c r="X352" s="13" cm="1">
        <f t="array" ref="X352">IF(Table8[[#This Row],[I_0]]&lt;Table24[Flitro de Ruido],1,Table8[[#This Row],[I_40]]/Table8[[#This Row],[I_0]])</f>
        <v>1.5</v>
      </c>
      <c r="Y352" s="13" cm="1">
        <f t="array" ref="Y352">IF(Table8[[#This Row],[I_0]]&lt;Table24[Flitro de Ruido],1,Table8[[#This Row],[I_50]]/Table8[[#This Row],[I_0]])</f>
        <v>1.5769230769230766</v>
      </c>
    </row>
    <row r="353" spans="1:25" x14ac:dyDescent="0.3">
      <c r="A353" s="13">
        <v>418.39</v>
      </c>
      <c r="B353" s="12">
        <v>3.2</v>
      </c>
      <c r="C353" s="11">
        <v>418.39</v>
      </c>
      <c r="D353" s="12">
        <v>3.9</v>
      </c>
      <c r="E353" s="11">
        <v>418.39</v>
      </c>
      <c r="F353" s="12">
        <v>4.5999999999999996</v>
      </c>
      <c r="G353" s="11">
        <v>418.39</v>
      </c>
      <c r="H353" s="12">
        <v>4</v>
      </c>
      <c r="I353" s="11">
        <v>418.39</v>
      </c>
      <c r="J353" s="12">
        <v>4.8</v>
      </c>
      <c r="K353" s="11">
        <v>418.39</v>
      </c>
      <c r="L353" s="12">
        <v>5.0999999999999996</v>
      </c>
      <c r="M353" s="11">
        <v>418.39</v>
      </c>
      <c r="N353" s="13">
        <v>3.2</v>
      </c>
      <c r="O353" s="11">
        <v>3.9</v>
      </c>
      <c r="P353" s="11">
        <v>4.5999999999999996</v>
      </c>
      <c r="Q353" s="11">
        <v>4</v>
      </c>
      <c r="R353" s="11">
        <v>4.8</v>
      </c>
      <c r="S353" s="14">
        <v>5.0999999999999996</v>
      </c>
      <c r="T353" s="11">
        <v>418.39</v>
      </c>
      <c r="U353" s="13" cm="1">
        <f t="array" ref="U353">IF(Table8[[#This Row],[I_0]]&lt;Table24[Flitro de Ruido],1,Table8[[#This Row],[I_10]]/Table8[[#This Row],[I_0]])</f>
        <v>1.21875</v>
      </c>
      <c r="V353" s="13" cm="1">
        <f t="array" ref="V353">IF(Table8[[#This Row],[I_0]]&lt;Table24[Flitro de Ruido],1,Table8[[#This Row],[I_20]]/Table8[[#This Row],[I_0]])</f>
        <v>1.4374999999999998</v>
      </c>
      <c r="W353" s="13" cm="1">
        <f t="array" ref="W353">IF(Table8[[#This Row],[I_0]]&lt;Table24[Flitro de Ruido],1,Table8[[#This Row],[I_30]]/Table8[[#This Row],[I_0]])</f>
        <v>1.25</v>
      </c>
      <c r="X353" s="13" cm="1">
        <f t="array" ref="X353">IF(Table8[[#This Row],[I_0]]&lt;Table24[Flitro de Ruido],1,Table8[[#This Row],[I_40]]/Table8[[#This Row],[I_0]])</f>
        <v>1.4999999999999998</v>
      </c>
      <c r="Y353" s="13" cm="1">
        <f t="array" ref="Y353">IF(Table8[[#This Row],[I_0]]&lt;Table24[Flitro de Ruido],1,Table8[[#This Row],[I_50]]/Table8[[#This Row],[I_0]])</f>
        <v>1.5937499999999998</v>
      </c>
    </row>
    <row r="354" spans="1:25" x14ac:dyDescent="0.3">
      <c r="A354" s="13">
        <v>419.38</v>
      </c>
      <c r="B354" s="12">
        <v>3.9</v>
      </c>
      <c r="C354" s="11">
        <v>419.38</v>
      </c>
      <c r="D354" s="12">
        <v>4.8</v>
      </c>
      <c r="E354" s="11">
        <v>419.38</v>
      </c>
      <c r="F354" s="12">
        <v>5.6</v>
      </c>
      <c r="G354" s="11">
        <v>419.38</v>
      </c>
      <c r="H354" s="12">
        <v>4.9000000000000004</v>
      </c>
      <c r="I354" s="11">
        <v>419.38</v>
      </c>
      <c r="J354" s="12">
        <v>5.9</v>
      </c>
      <c r="K354" s="11">
        <v>419.38</v>
      </c>
      <c r="L354" s="12">
        <v>6.3</v>
      </c>
      <c r="M354" s="11">
        <v>419.38</v>
      </c>
      <c r="N354" s="13">
        <v>3.9</v>
      </c>
      <c r="O354" s="11">
        <v>4.8</v>
      </c>
      <c r="P354" s="11">
        <v>5.6</v>
      </c>
      <c r="Q354" s="11">
        <v>4.9000000000000004</v>
      </c>
      <c r="R354" s="11">
        <v>5.9</v>
      </c>
      <c r="S354" s="14">
        <v>6.3</v>
      </c>
      <c r="T354" s="11">
        <v>419.38</v>
      </c>
      <c r="U354" s="13" cm="1">
        <f t="array" ref="U354">IF(Table8[[#This Row],[I_0]]&lt;Table24[Flitro de Ruido],1,Table8[[#This Row],[I_10]]/Table8[[#This Row],[I_0]])</f>
        <v>1.2307692307692308</v>
      </c>
      <c r="V354" s="13" cm="1">
        <f t="array" ref="V354">IF(Table8[[#This Row],[I_0]]&lt;Table24[Flitro de Ruido],1,Table8[[#This Row],[I_20]]/Table8[[#This Row],[I_0]])</f>
        <v>1.4358974358974359</v>
      </c>
      <c r="W354" s="13" cm="1">
        <f t="array" ref="W354">IF(Table8[[#This Row],[I_0]]&lt;Table24[Flitro de Ruido],1,Table8[[#This Row],[I_30]]/Table8[[#This Row],[I_0]])</f>
        <v>1.2564102564102566</v>
      </c>
      <c r="X354" s="13" cm="1">
        <f t="array" ref="X354">IF(Table8[[#This Row],[I_0]]&lt;Table24[Flitro de Ruido],1,Table8[[#This Row],[I_40]]/Table8[[#This Row],[I_0]])</f>
        <v>1.512820512820513</v>
      </c>
      <c r="Y354" s="13" cm="1">
        <f t="array" ref="Y354">IF(Table8[[#This Row],[I_0]]&lt;Table24[Flitro de Ruido],1,Table8[[#This Row],[I_50]]/Table8[[#This Row],[I_0]])</f>
        <v>1.6153846153846154</v>
      </c>
    </row>
    <row r="355" spans="1:25" x14ac:dyDescent="0.3">
      <c r="A355" s="13">
        <v>420.37</v>
      </c>
      <c r="B355" s="12">
        <v>4.8</v>
      </c>
      <c r="C355" s="11">
        <v>420.37</v>
      </c>
      <c r="D355" s="12">
        <v>6</v>
      </c>
      <c r="E355" s="11">
        <v>420.37</v>
      </c>
      <c r="F355" s="12">
        <v>7</v>
      </c>
      <c r="G355" s="11">
        <v>420.37</v>
      </c>
      <c r="H355" s="12">
        <v>6.1</v>
      </c>
      <c r="I355" s="11">
        <v>420.37</v>
      </c>
      <c r="J355" s="12">
        <v>7.3</v>
      </c>
      <c r="K355" s="11">
        <v>420.37</v>
      </c>
      <c r="L355" s="12">
        <v>7.8</v>
      </c>
      <c r="M355" s="11">
        <v>420.37</v>
      </c>
      <c r="N355" s="13">
        <v>4.8</v>
      </c>
      <c r="O355" s="11">
        <v>6</v>
      </c>
      <c r="P355" s="11">
        <v>7</v>
      </c>
      <c r="Q355" s="11">
        <v>6.1</v>
      </c>
      <c r="R355" s="11">
        <v>7.3</v>
      </c>
      <c r="S355" s="14">
        <v>7.8</v>
      </c>
      <c r="T355" s="11">
        <v>420.37</v>
      </c>
      <c r="U355" s="13" cm="1">
        <f t="array" ref="U355">IF(Table8[[#This Row],[I_0]]&lt;Table24[Flitro de Ruido],1,Table8[[#This Row],[I_10]]/Table8[[#This Row],[I_0]])</f>
        <v>1.25</v>
      </c>
      <c r="V355" s="13" cm="1">
        <f t="array" ref="V355">IF(Table8[[#This Row],[I_0]]&lt;Table24[Flitro de Ruido],1,Table8[[#This Row],[I_20]]/Table8[[#This Row],[I_0]])</f>
        <v>1.4583333333333335</v>
      </c>
      <c r="W355" s="13" cm="1">
        <f t="array" ref="W355">IF(Table8[[#This Row],[I_0]]&lt;Table24[Flitro de Ruido],1,Table8[[#This Row],[I_30]]/Table8[[#This Row],[I_0]])</f>
        <v>1.2708333333333333</v>
      </c>
      <c r="X355" s="13" cm="1">
        <f t="array" ref="X355">IF(Table8[[#This Row],[I_0]]&lt;Table24[Flitro de Ruido],1,Table8[[#This Row],[I_40]]/Table8[[#This Row],[I_0]])</f>
        <v>1.5208333333333333</v>
      </c>
      <c r="Y355" s="13" cm="1">
        <f t="array" ref="Y355">IF(Table8[[#This Row],[I_0]]&lt;Table24[Flitro de Ruido],1,Table8[[#This Row],[I_50]]/Table8[[#This Row],[I_0]])</f>
        <v>1.625</v>
      </c>
    </row>
    <row r="356" spans="1:25" x14ac:dyDescent="0.3">
      <c r="A356" s="13">
        <v>421.37</v>
      </c>
      <c r="B356" s="12">
        <v>5.9</v>
      </c>
      <c r="C356" s="11">
        <v>421.37</v>
      </c>
      <c r="D356" s="12">
        <v>7.4</v>
      </c>
      <c r="E356" s="11">
        <v>421.37</v>
      </c>
      <c r="F356" s="12">
        <v>8.6</v>
      </c>
      <c r="G356" s="11">
        <v>421.37</v>
      </c>
      <c r="H356" s="12">
        <v>7.5</v>
      </c>
      <c r="I356" s="11">
        <v>421.37</v>
      </c>
      <c r="J356" s="12">
        <v>9</v>
      </c>
      <c r="K356" s="11">
        <v>421.37</v>
      </c>
      <c r="L356" s="12">
        <v>9.6</v>
      </c>
      <c r="M356" s="11">
        <v>421.37</v>
      </c>
      <c r="N356" s="13">
        <v>5.9</v>
      </c>
      <c r="O356" s="11">
        <v>7.4</v>
      </c>
      <c r="P356" s="11">
        <v>8.6</v>
      </c>
      <c r="Q356" s="11">
        <v>7.5</v>
      </c>
      <c r="R356" s="11">
        <v>9</v>
      </c>
      <c r="S356" s="14">
        <v>9.6</v>
      </c>
      <c r="T356" s="11">
        <v>421.37</v>
      </c>
      <c r="U356" s="13" cm="1">
        <f t="array" ref="U356">IF(Table8[[#This Row],[I_0]]&lt;Table24[Flitro de Ruido],1,Table8[[#This Row],[I_10]]/Table8[[#This Row],[I_0]])</f>
        <v>1.2542372881355932</v>
      </c>
      <c r="V356" s="13" cm="1">
        <f t="array" ref="V356">IF(Table8[[#This Row],[I_0]]&lt;Table24[Flitro de Ruido],1,Table8[[#This Row],[I_20]]/Table8[[#This Row],[I_0]])</f>
        <v>1.4576271186440677</v>
      </c>
      <c r="W356" s="13" cm="1">
        <f t="array" ref="W356">IF(Table8[[#This Row],[I_0]]&lt;Table24[Flitro de Ruido],1,Table8[[#This Row],[I_30]]/Table8[[#This Row],[I_0]])</f>
        <v>1.271186440677966</v>
      </c>
      <c r="X356" s="13" cm="1">
        <f t="array" ref="X356">IF(Table8[[#This Row],[I_0]]&lt;Table24[Flitro de Ruido],1,Table8[[#This Row],[I_40]]/Table8[[#This Row],[I_0]])</f>
        <v>1.5254237288135593</v>
      </c>
      <c r="Y356" s="13" cm="1">
        <f t="array" ref="Y356">IF(Table8[[#This Row],[I_0]]&lt;Table24[Flitro de Ruido],1,Table8[[#This Row],[I_50]]/Table8[[#This Row],[I_0]])</f>
        <v>1.6271186440677965</v>
      </c>
    </row>
    <row r="357" spans="1:25" x14ac:dyDescent="0.3">
      <c r="A357" s="13">
        <v>422.36</v>
      </c>
      <c r="B357" s="12">
        <v>7.4</v>
      </c>
      <c r="C357" s="11">
        <v>422.36</v>
      </c>
      <c r="D357" s="12">
        <v>9.1999999999999993</v>
      </c>
      <c r="E357" s="11">
        <v>422.36</v>
      </c>
      <c r="F357" s="12">
        <v>10.7</v>
      </c>
      <c r="G357" s="11">
        <v>422.36</v>
      </c>
      <c r="H357" s="12">
        <v>9.3000000000000007</v>
      </c>
      <c r="I357" s="11">
        <v>422.36</v>
      </c>
      <c r="J357" s="12">
        <v>11.2</v>
      </c>
      <c r="K357" s="11">
        <v>422.36</v>
      </c>
      <c r="L357" s="12">
        <v>12</v>
      </c>
      <c r="M357" s="11">
        <v>422.36</v>
      </c>
      <c r="N357" s="13">
        <v>7.4</v>
      </c>
      <c r="O357" s="11">
        <v>9.1999999999999993</v>
      </c>
      <c r="P357" s="11">
        <v>10.7</v>
      </c>
      <c r="Q357" s="11">
        <v>9.3000000000000007</v>
      </c>
      <c r="R357" s="11">
        <v>11.2</v>
      </c>
      <c r="S357" s="14">
        <v>12</v>
      </c>
      <c r="T357" s="11">
        <v>422.36</v>
      </c>
      <c r="U357" s="13" cm="1">
        <f t="array" ref="U357">IF(Table8[[#This Row],[I_0]]&lt;Table24[Flitro de Ruido],1,Table8[[#This Row],[I_10]]/Table8[[#This Row],[I_0]])</f>
        <v>1.243243243243243</v>
      </c>
      <c r="V357" s="13" cm="1">
        <f t="array" ref="V357">IF(Table8[[#This Row],[I_0]]&lt;Table24[Flitro de Ruido],1,Table8[[#This Row],[I_20]]/Table8[[#This Row],[I_0]])</f>
        <v>1.4459459459459458</v>
      </c>
      <c r="W357" s="13" cm="1">
        <f t="array" ref="W357">IF(Table8[[#This Row],[I_0]]&lt;Table24[Flitro de Ruido],1,Table8[[#This Row],[I_30]]/Table8[[#This Row],[I_0]])</f>
        <v>1.2567567567567568</v>
      </c>
      <c r="X357" s="13" cm="1">
        <f t="array" ref="X357">IF(Table8[[#This Row],[I_0]]&lt;Table24[Flitro de Ruido],1,Table8[[#This Row],[I_40]]/Table8[[#This Row],[I_0]])</f>
        <v>1.5135135135135134</v>
      </c>
      <c r="Y357" s="13" cm="1">
        <f t="array" ref="Y357">IF(Table8[[#This Row],[I_0]]&lt;Table24[Flitro de Ruido],1,Table8[[#This Row],[I_50]]/Table8[[#This Row],[I_0]])</f>
        <v>1.6216216216216215</v>
      </c>
    </row>
    <row r="358" spans="1:25" x14ac:dyDescent="0.3">
      <c r="A358" s="13">
        <v>423.35</v>
      </c>
      <c r="B358" s="12">
        <v>9</v>
      </c>
      <c r="C358" s="11">
        <v>423.35</v>
      </c>
      <c r="D358" s="12">
        <v>11.2</v>
      </c>
      <c r="E358" s="11">
        <v>423.35</v>
      </c>
      <c r="F358" s="12">
        <v>13.1</v>
      </c>
      <c r="G358" s="11">
        <v>423.35</v>
      </c>
      <c r="H358" s="12">
        <v>11.4</v>
      </c>
      <c r="I358" s="11">
        <v>423.35</v>
      </c>
      <c r="J358" s="12">
        <v>13.7</v>
      </c>
      <c r="K358" s="11">
        <v>423.35</v>
      </c>
      <c r="L358" s="12">
        <v>14.6</v>
      </c>
      <c r="M358" s="11">
        <v>423.35</v>
      </c>
      <c r="N358" s="13">
        <v>9</v>
      </c>
      <c r="O358" s="11">
        <v>11.2</v>
      </c>
      <c r="P358" s="11">
        <v>13.1</v>
      </c>
      <c r="Q358" s="11">
        <v>11.4</v>
      </c>
      <c r="R358" s="11">
        <v>13.7</v>
      </c>
      <c r="S358" s="14">
        <v>14.6</v>
      </c>
      <c r="T358" s="11">
        <v>423.35</v>
      </c>
      <c r="U358" s="13" cm="1">
        <f t="array" ref="U358">IF(Table8[[#This Row],[I_0]]&lt;Table24[Flitro de Ruido],1,Table8[[#This Row],[I_10]]/Table8[[#This Row],[I_0]])</f>
        <v>1.2444444444444445</v>
      </c>
      <c r="V358" s="13" cm="1">
        <f t="array" ref="V358">IF(Table8[[#This Row],[I_0]]&lt;Table24[Flitro de Ruido],1,Table8[[#This Row],[I_20]]/Table8[[#This Row],[I_0]])</f>
        <v>1.4555555555555555</v>
      </c>
      <c r="W358" s="13" cm="1">
        <f t="array" ref="W358">IF(Table8[[#This Row],[I_0]]&lt;Table24[Flitro de Ruido],1,Table8[[#This Row],[I_30]]/Table8[[#This Row],[I_0]])</f>
        <v>1.2666666666666666</v>
      </c>
      <c r="X358" s="13" cm="1">
        <f t="array" ref="X358">IF(Table8[[#This Row],[I_0]]&lt;Table24[Flitro de Ruido],1,Table8[[#This Row],[I_40]]/Table8[[#This Row],[I_0]])</f>
        <v>1.5222222222222221</v>
      </c>
      <c r="Y358" s="13" cm="1">
        <f t="array" ref="Y358">IF(Table8[[#This Row],[I_0]]&lt;Table24[Flitro de Ruido],1,Table8[[#This Row],[I_50]]/Table8[[#This Row],[I_0]])</f>
        <v>1.6222222222222222</v>
      </c>
    </row>
    <row r="359" spans="1:25" x14ac:dyDescent="0.3">
      <c r="A359" s="13">
        <v>424.34</v>
      </c>
      <c r="B359" s="12">
        <v>11.2</v>
      </c>
      <c r="C359" s="11">
        <v>424.34</v>
      </c>
      <c r="D359" s="12">
        <v>13.9</v>
      </c>
      <c r="E359" s="11">
        <v>424.34</v>
      </c>
      <c r="F359" s="12">
        <v>16.2</v>
      </c>
      <c r="G359" s="11">
        <v>424.34</v>
      </c>
      <c r="H359" s="12">
        <v>14.1</v>
      </c>
      <c r="I359" s="11">
        <v>424.34</v>
      </c>
      <c r="J359" s="12">
        <v>17</v>
      </c>
      <c r="K359" s="11">
        <v>424.34</v>
      </c>
      <c r="L359" s="12">
        <v>18.100000000000001</v>
      </c>
      <c r="M359" s="11">
        <v>424.34</v>
      </c>
      <c r="N359" s="13">
        <v>11.2</v>
      </c>
      <c r="O359" s="11">
        <v>13.9</v>
      </c>
      <c r="P359" s="11">
        <v>16.2</v>
      </c>
      <c r="Q359" s="11">
        <v>14.1</v>
      </c>
      <c r="R359" s="11">
        <v>17</v>
      </c>
      <c r="S359" s="14">
        <v>18.100000000000001</v>
      </c>
      <c r="T359" s="11">
        <v>424.34</v>
      </c>
      <c r="U359" s="13" cm="1">
        <f t="array" ref="U359">IF(Table8[[#This Row],[I_0]]&lt;Table24[Flitro de Ruido],1,Table8[[#This Row],[I_10]]/Table8[[#This Row],[I_0]])</f>
        <v>1.2410714285714286</v>
      </c>
      <c r="V359" s="13" cm="1">
        <f t="array" ref="V359">IF(Table8[[#This Row],[I_0]]&lt;Table24[Flitro de Ruido],1,Table8[[#This Row],[I_20]]/Table8[[#This Row],[I_0]])</f>
        <v>1.4464285714285714</v>
      </c>
      <c r="W359" s="13" cm="1">
        <f t="array" ref="W359">IF(Table8[[#This Row],[I_0]]&lt;Table24[Flitro de Ruido],1,Table8[[#This Row],[I_30]]/Table8[[#This Row],[I_0]])</f>
        <v>1.2589285714285714</v>
      </c>
      <c r="X359" s="13" cm="1">
        <f t="array" ref="X359">IF(Table8[[#This Row],[I_0]]&lt;Table24[Flitro de Ruido],1,Table8[[#This Row],[I_40]]/Table8[[#This Row],[I_0]])</f>
        <v>1.517857142857143</v>
      </c>
      <c r="Y359" s="13" cm="1">
        <f t="array" ref="Y359">IF(Table8[[#This Row],[I_0]]&lt;Table24[Flitro de Ruido],1,Table8[[#This Row],[I_50]]/Table8[[#This Row],[I_0]])</f>
        <v>1.6160714285714288</v>
      </c>
    </row>
    <row r="360" spans="1:25" x14ac:dyDescent="0.3">
      <c r="A360" s="13">
        <v>425.33</v>
      </c>
      <c r="B360" s="12">
        <v>13.6</v>
      </c>
      <c r="C360" s="11">
        <v>425.33</v>
      </c>
      <c r="D360" s="12">
        <v>16.8</v>
      </c>
      <c r="E360" s="11">
        <v>425.33</v>
      </c>
      <c r="F360" s="12">
        <v>19.5</v>
      </c>
      <c r="G360" s="11">
        <v>425.33</v>
      </c>
      <c r="H360" s="12">
        <v>17.100000000000001</v>
      </c>
      <c r="I360" s="11">
        <v>425.33</v>
      </c>
      <c r="J360" s="12">
        <v>20.399999999999999</v>
      </c>
      <c r="K360" s="11">
        <v>425.33</v>
      </c>
      <c r="L360" s="12">
        <v>21.8</v>
      </c>
      <c r="M360" s="11">
        <v>425.33</v>
      </c>
      <c r="N360" s="13">
        <v>13.6</v>
      </c>
      <c r="O360" s="11">
        <v>16.8</v>
      </c>
      <c r="P360" s="11">
        <v>19.5</v>
      </c>
      <c r="Q360" s="11">
        <v>17.100000000000001</v>
      </c>
      <c r="R360" s="11">
        <v>20.399999999999999</v>
      </c>
      <c r="S360" s="14">
        <v>21.8</v>
      </c>
      <c r="T360" s="11">
        <v>425.33</v>
      </c>
      <c r="U360" s="13" cm="1">
        <f t="array" ref="U360">IF(Table8[[#This Row],[I_0]]&lt;Table24[Flitro de Ruido],1,Table8[[#This Row],[I_10]]/Table8[[#This Row],[I_0]])</f>
        <v>1.2352941176470589</v>
      </c>
      <c r="V360" s="13" cm="1">
        <f t="array" ref="V360">IF(Table8[[#This Row],[I_0]]&lt;Table24[Flitro de Ruido],1,Table8[[#This Row],[I_20]]/Table8[[#This Row],[I_0]])</f>
        <v>1.4338235294117647</v>
      </c>
      <c r="W360" s="13" cm="1">
        <f t="array" ref="W360">IF(Table8[[#This Row],[I_0]]&lt;Table24[Flitro de Ruido],1,Table8[[#This Row],[I_30]]/Table8[[#This Row],[I_0]])</f>
        <v>1.2573529411764708</v>
      </c>
      <c r="X360" s="13" cm="1">
        <f t="array" ref="X360">IF(Table8[[#This Row],[I_0]]&lt;Table24[Flitro de Ruido],1,Table8[[#This Row],[I_40]]/Table8[[#This Row],[I_0]])</f>
        <v>1.5</v>
      </c>
      <c r="Y360" s="13" cm="1">
        <f t="array" ref="Y360">IF(Table8[[#This Row],[I_0]]&lt;Table24[Flitro de Ruido],1,Table8[[#This Row],[I_50]]/Table8[[#This Row],[I_0]])</f>
        <v>1.6029411764705883</v>
      </c>
    </row>
    <row r="361" spans="1:25" x14ac:dyDescent="0.3">
      <c r="A361" s="13">
        <v>426.32</v>
      </c>
      <c r="B361" s="12">
        <v>16.899999999999999</v>
      </c>
      <c r="C361" s="11">
        <v>426.32</v>
      </c>
      <c r="D361" s="12">
        <v>20.9</v>
      </c>
      <c r="E361" s="11">
        <v>426.32</v>
      </c>
      <c r="F361" s="12">
        <v>24.2</v>
      </c>
      <c r="G361" s="11">
        <v>426.32</v>
      </c>
      <c r="H361" s="12">
        <v>21.3</v>
      </c>
      <c r="I361" s="11">
        <v>426.32</v>
      </c>
      <c r="J361" s="12">
        <v>25.3</v>
      </c>
      <c r="K361" s="11">
        <v>426.32</v>
      </c>
      <c r="L361" s="12">
        <v>26.9</v>
      </c>
      <c r="M361" s="11">
        <v>426.32</v>
      </c>
      <c r="N361" s="13">
        <v>16.899999999999999</v>
      </c>
      <c r="O361" s="11">
        <v>20.9</v>
      </c>
      <c r="P361" s="11">
        <v>24.2</v>
      </c>
      <c r="Q361" s="11">
        <v>21.3</v>
      </c>
      <c r="R361" s="11">
        <v>25.3</v>
      </c>
      <c r="S361" s="14">
        <v>26.9</v>
      </c>
      <c r="T361" s="11">
        <v>426.32</v>
      </c>
      <c r="U361" s="13" cm="1">
        <f t="array" ref="U361">IF(Table8[[#This Row],[I_0]]&lt;Table24[Flitro de Ruido],1,Table8[[#This Row],[I_10]]/Table8[[#This Row],[I_0]])</f>
        <v>1.2366863905325445</v>
      </c>
      <c r="V361" s="13" cm="1">
        <f t="array" ref="V361">IF(Table8[[#This Row],[I_0]]&lt;Table24[Flitro de Ruido],1,Table8[[#This Row],[I_20]]/Table8[[#This Row],[I_0]])</f>
        <v>1.4319526627218935</v>
      </c>
      <c r="W361" s="13" cm="1">
        <f t="array" ref="W361">IF(Table8[[#This Row],[I_0]]&lt;Table24[Flitro de Ruido],1,Table8[[#This Row],[I_30]]/Table8[[#This Row],[I_0]])</f>
        <v>1.260355029585799</v>
      </c>
      <c r="X361" s="13" cm="1">
        <f t="array" ref="X361">IF(Table8[[#This Row],[I_0]]&lt;Table24[Flitro de Ruido],1,Table8[[#This Row],[I_40]]/Table8[[#This Row],[I_0]])</f>
        <v>1.4970414201183433</v>
      </c>
      <c r="Y361" s="13" cm="1">
        <f t="array" ref="Y361">IF(Table8[[#This Row],[I_0]]&lt;Table24[Flitro de Ruido],1,Table8[[#This Row],[I_50]]/Table8[[#This Row],[I_0]])</f>
        <v>1.5917159763313611</v>
      </c>
    </row>
    <row r="362" spans="1:25" x14ac:dyDescent="0.3">
      <c r="A362" s="13">
        <v>427.32</v>
      </c>
      <c r="B362" s="12">
        <v>20.100000000000001</v>
      </c>
      <c r="C362" s="11">
        <v>427.32</v>
      </c>
      <c r="D362" s="12">
        <v>24.7</v>
      </c>
      <c r="E362" s="11">
        <v>427.32</v>
      </c>
      <c r="F362" s="12">
        <v>28.5</v>
      </c>
      <c r="G362" s="11">
        <v>427.32</v>
      </c>
      <c r="H362" s="12">
        <v>25.2</v>
      </c>
      <c r="I362" s="11">
        <v>427.32</v>
      </c>
      <c r="J362" s="12">
        <v>29.8</v>
      </c>
      <c r="K362" s="11">
        <v>427.32</v>
      </c>
      <c r="L362" s="12">
        <v>31.7</v>
      </c>
      <c r="M362" s="11">
        <v>427.32</v>
      </c>
      <c r="N362" s="13">
        <v>20.100000000000001</v>
      </c>
      <c r="O362" s="11">
        <v>24.7</v>
      </c>
      <c r="P362" s="11">
        <v>28.5</v>
      </c>
      <c r="Q362" s="11">
        <v>25.2</v>
      </c>
      <c r="R362" s="11">
        <v>29.8</v>
      </c>
      <c r="S362" s="14">
        <v>31.7</v>
      </c>
      <c r="T362" s="11">
        <v>427.32</v>
      </c>
      <c r="U362" s="13" cm="1">
        <f t="array" ref="U362">IF(Table8[[#This Row],[I_0]]&lt;Table24[Flitro de Ruido],1,Table8[[#This Row],[I_10]]/Table8[[#This Row],[I_0]])</f>
        <v>1.2288557213930347</v>
      </c>
      <c r="V362" s="13" cm="1">
        <f t="array" ref="V362">IF(Table8[[#This Row],[I_0]]&lt;Table24[Flitro de Ruido],1,Table8[[#This Row],[I_20]]/Table8[[#This Row],[I_0]])</f>
        <v>1.4179104477611939</v>
      </c>
      <c r="W362" s="13" cm="1">
        <f t="array" ref="W362">IF(Table8[[#This Row],[I_0]]&lt;Table24[Flitro de Ruido],1,Table8[[#This Row],[I_30]]/Table8[[#This Row],[I_0]])</f>
        <v>1.2537313432835819</v>
      </c>
      <c r="X362" s="13" cm="1">
        <f t="array" ref="X362">IF(Table8[[#This Row],[I_0]]&lt;Table24[Flitro de Ruido],1,Table8[[#This Row],[I_40]]/Table8[[#This Row],[I_0]])</f>
        <v>1.4825870646766168</v>
      </c>
      <c r="Y362" s="13" cm="1">
        <f t="array" ref="Y362">IF(Table8[[#This Row],[I_0]]&lt;Table24[Flitro de Ruido],1,Table8[[#This Row],[I_50]]/Table8[[#This Row],[I_0]])</f>
        <v>1.5771144278606963</v>
      </c>
    </row>
    <row r="363" spans="1:25" x14ac:dyDescent="0.3">
      <c r="A363" s="13">
        <v>428.31</v>
      </c>
      <c r="B363" s="12">
        <v>24.4</v>
      </c>
      <c r="C363" s="11">
        <v>428.31</v>
      </c>
      <c r="D363" s="12">
        <v>29.7</v>
      </c>
      <c r="E363" s="11">
        <v>428.31</v>
      </c>
      <c r="F363" s="12">
        <v>34.1</v>
      </c>
      <c r="G363" s="11">
        <v>428.31</v>
      </c>
      <c r="H363" s="12">
        <v>30.4</v>
      </c>
      <c r="I363" s="11">
        <v>428.31</v>
      </c>
      <c r="J363" s="12">
        <v>35.700000000000003</v>
      </c>
      <c r="K363" s="11">
        <v>428.31</v>
      </c>
      <c r="L363" s="12">
        <v>37.9</v>
      </c>
      <c r="M363" s="11">
        <v>428.31</v>
      </c>
      <c r="N363" s="13">
        <v>24.4</v>
      </c>
      <c r="O363" s="11">
        <v>29.7</v>
      </c>
      <c r="P363" s="11">
        <v>34.1</v>
      </c>
      <c r="Q363" s="11">
        <v>30.4</v>
      </c>
      <c r="R363" s="11">
        <v>35.700000000000003</v>
      </c>
      <c r="S363" s="14">
        <v>37.9</v>
      </c>
      <c r="T363" s="11">
        <v>428.31</v>
      </c>
      <c r="U363" s="13" cm="1">
        <f t="array" ref="U363">IF(Table8[[#This Row],[I_0]]&lt;Table24[Flitro de Ruido],1,Table8[[#This Row],[I_10]]/Table8[[#This Row],[I_0]])</f>
        <v>1.2172131147540983</v>
      </c>
      <c r="V363" s="13" cm="1">
        <f t="array" ref="V363">IF(Table8[[#This Row],[I_0]]&lt;Table24[Flitro de Ruido],1,Table8[[#This Row],[I_20]]/Table8[[#This Row],[I_0]])</f>
        <v>1.3975409836065575</v>
      </c>
      <c r="W363" s="13" cm="1">
        <f t="array" ref="W363">IF(Table8[[#This Row],[I_0]]&lt;Table24[Flitro de Ruido],1,Table8[[#This Row],[I_30]]/Table8[[#This Row],[I_0]])</f>
        <v>1.2459016393442623</v>
      </c>
      <c r="X363" s="13" cm="1">
        <f t="array" ref="X363">IF(Table8[[#This Row],[I_0]]&lt;Table24[Flitro de Ruido],1,Table8[[#This Row],[I_40]]/Table8[[#This Row],[I_0]])</f>
        <v>1.4631147540983609</v>
      </c>
      <c r="Y363" s="13" cm="1">
        <f t="array" ref="Y363">IF(Table8[[#This Row],[I_0]]&lt;Table24[Flitro de Ruido],1,Table8[[#This Row],[I_50]]/Table8[[#This Row],[I_0]])</f>
        <v>1.5532786885245902</v>
      </c>
    </row>
    <row r="364" spans="1:25" x14ac:dyDescent="0.3">
      <c r="A364" s="13">
        <v>429.3</v>
      </c>
      <c r="B364" s="12">
        <v>28.5</v>
      </c>
      <c r="C364" s="11">
        <v>429.3</v>
      </c>
      <c r="D364" s="12">
        <v>34.5</v>
      </c>
      <c r="E364" s="11">
        <v>429.3</v>
      </c>
      <c r="F364" s="12">
        <v>39.4</v>
      </c>
      <c r="G364" s="11">
        <v>429.3</v>
      </c>
      <c r="H364" s="12">
        <v>35.299999999999997</v>
      </c>
      <c r="I364" s="11">
        <v>429.3</v>
      </c>
      <c r="J364" s="12">
        <v>41.3</v>
      </c>
      <c r="K364" s="11">
        <v>429.3</v>
      </c>
      <c r="L364" s="12">
        <v>43.8</v>
      </c>
      <c r="M364" s="11">
        <v>429.3</v>
      </c>
      <c r="N364" s="13">
        <v>28.5</v>
      </c>
      <c r="O364" s="11">
        <v>34.5</v>
      </c>
      <c r="P364" s="11">
        <v>39.4</v>
      </c>
      <c r="Q364" s="11">
        <v>35.299999999999997</v>
      </c>
      <c r="R364" s="11">
        <v>41.3</v>
      </c>
      <c r="S364" s="14">
        <v>43.8</v>
      </c>
      <c r="T364" s="11">
        <v>429.3</v>
      </c>
      <c r="U364" s="13" cm="1">
        <f t="array" ref="U364">IF(Table8[[#This Row],[I_0]]&lt;Table24[Flitro de Ruido],1,Table8[[#This Row],[I_10]]/Table8[[#This Row],[I_0]])</f>
        <v>1.2105263157894737</v>
      </c>
      <c r="V364" s="13" cm="1">
        <f t="array" ref="V364">IF(Table8[[#This Row],[I_0]]&lt;Table24[Flitro de Ruido],1,Table8[[#This Row],[I_20]]/Table8[[#This Row],[I_0]])</f>
        <v>1.382456140350877</v>
      </c>
      <c r="W364" s="13" cm="1">
        <f t="array" ref="W364">IF(Table8[[#This Row],[I_0]]&lt;Table24[Flitro de Ruido],1,Table8[[#This Row],[I_30]]/Table8[[#This Row],[I_0]])</f>
        <v>1.23859649122807</v>
      </c>
      <c r="X364" s="13" cm="1">
        <f t="array" ref="X364">IF(Table8[[#This Row],[I_0]]&lt;Table24[Flitro de Ruido],1,Table8[[#This Row],[I_40]]/Table8[[#This Row],[I_0]])</f>
        <v>1.4491228070175437</v>
      </c>
      <c r="Y364" s="13" cm="1">
        <f t="array" ref="Y364">IF(Table8[[#This Row],[I_0]]&lt;Table24[Flitro de Ruido],1,Table8[[#This Row],[I_50]]/Table8[[#This Row],[I_0]])</f>
        <v>1.5368421052631578</v>
      </c>
    </row>
    <row r="365" spans="1:25" x14ac:dyDescent="0.3">
      <c r="A365" s="13">
        <v>430.29</v>
      </c>
      <c r="B365" s="12">
        <v>34.200000000000003</v>
      </c>
      <c r="C365" s="11">
        <v>430.29</v>
      </c>
      <c r="D365" s="12">
        <v>41.1</v>
      </c>
      <c r="E365" s="11">
        <v>430.29</v>
      </c>
      <c r="F365" s="12">
        <v>46.7</v>
      </c>
      <c r="G365" s="11">
        <v>430.29</v>
      </c>
      <c r="H365" s="12">
        <v>42</v>
      </c>
      <c r="I365" s="11">
        <v>430.29</v>
      </c>
      <c r="J365" s="12">
        <v>48.9</v>
      </c>
      <c r="K365" s="11">
        <v>430.29</v>
      </c>
      <c r="L365" s="12">
        <v>51.8</v>
      </c>
      <c r="M365" s="11">
        <v>430.29</v>
      </c>
      <c r="N365" s="13">
        <v>34.200000000000003</v>
      </c>
      <c r="O365" s="11">
        <v>41.1</v>
      </c>
      <c r="P365" s="11">
        <v>46.7</v>
      </c>
      <c r="Q365" s="11">
        <v>42</v>
      </c>
      <c r="R365" s="11">
        <v>48.9</v>
      </c>
      <c r="S365" s="14">
        <v>51.8</v>
      </c>
      <c r="T365" s="11">
        <v>430.29</v>
      </c>
      <c r="U365" s="13" cm="1">
        <f t="array" ref="U365">IF(Table8[[#This Row],[I_0]]&lt;Table24[Flitro de Ruido],1,Table8[[#This Row],[I_10]]/Table8[[#This Row],[I_0]])</f>
        <v>1.2017543859649122</v>
      </c>
      <c r="V365" s="13" cm="1">
        <f t="array" ref="V365">IF(Table8[[#This Row],[I_0]]&lt;Table24[Flitro de Ruido],1,Table8[[#This Row],[I_20]]/Table8[[#This Row],[I_0]])</f>
        <v>1.3654970760233918</v>
      </c>
      <c r="W365" s="13" cm="1">
        <f t="array" ref="W365">IF(Table8[[#This Row],[I_0]]&lt;Table24[Flitro de Ruido],1,Table8[[#This Row],[I_30]]/Table8[[#This Row],[I_0]])</f>
        <v>1.2280701754385963</v>
      </c>
      <c r="X365" s="13" cm="1">
        <f t="array" ref="X365">IF(Table8[[#This Row],[I_0]]&lt;Table24[Flitro de Ruido],1,Table8[[#This Row],[I_40]]/Table8[[#This Row],[I_0]])</f>
        <v>1.4298245614035086</v>
      </c>
      <c r="Y365" s="13" cm="1">
        <f t="array" ref="Y365">IF(Table8[[#This Row],[I_0]]&lt;Table24[Flitro de Ruido],1,Table8[[#This Row],[I_50]]/Table8[[#This Row],[I_0]])</f>
        <v>1.5146198830409354</v>
      </c>
    </row>
    <row r="366" spans="1:25" x14ac:dyDescent="0.3">
      <c r="A366" s="13">
        <v>431.28</v>
      </c>
      <c r="B366" s="12">
        <v>39.200000000000003</v>
      </c>
      <c r="C366" s="11">
        <v>431.28</v>
      </c>
      <c r="D366" s="12">
        <v>46.8</v>
      </c>
      <c r="E366" s="11">
        <v>431.28</v>
      </c>
      <c r="F366" s="12">
        <v>53</v>
      </c>
      <c r="G366" s="11">
        <v>431.28</v>
      </c>
      <c r="H366" s="12">
        <v>47.9</v>
      </c>
      <c r="I366" s="11">
        <v>431.28</v>
      </c>
      <c r="J366" s="12">
        <v>55.4</v>
      </c>
      <c r="K366" s="11">
        <v>431.28</v>
      </c>
      <c r="L366" s="12">
        <v>58.7</v>
      </c>
      <c r="M366" s="11">
        <v>431.28</v>
      </c>
      <c r="N366" s="13">
        <v>39.200000000000003</v>
      </c>
      <c r="O366" s="11">
        <v>46.8</v>
      </c>
      <c r="P366" s="11">
        <v>53</v>
      </c>
      <c r="Q366" s="11">
        <v>47.9</v>
      </c>
      <c r="R366" s="11">
        <v>55.4</v>
      </c>
      <c r="S366" s="14">
        <v>58.7</v>
      </c>
      <c r="T366" s="11">
        <v>431.28</v>
      </c>
      <c r="U366" s="13" cm="1">
        <f t="array" ref="U366">IF(Table8[[#This Row],[I_0]]&lt;Table24[Flitro de Ruido],1,Table8[[#This Row],[I_10]]/Table8[[#This Row],[I_0]])</f>
        <v>1.193877551020408</v>
      </c>
      <c r="V366" s="13" cm="1">
        <f t="array" ref="V366">IF(Table8[[#This Row],[I_0]]&lt;Table24[Flitro de Ruido],1,Table8[[#This Row],[I_20]]/Table8[[#This Row],[I_0]])</f>
        <v>1.3520408163265305</v>
      </c>
      <c r="W366" s="13" cm="1">
        <f t="array" ref="W366">IF(Table8[[#This Row],[I_0]]&lt;Table24[Flitro de Ruido],1,Table8[[#This Row],[I_30]]/Table8[[#This Row],[I_0]])</f>
        <v>1.221938775510204</v>
      </c>
      <c r="X366" s="13" cm="1">
        <f t="array" ref="X366">IF(Table8[[#This Row],[I_0]]&lt;Table24[Flitro de Ruido],1,Table8[[#This Row],[I_40]]/Table8[[#This Row],[I_0]])</f>
        <v>1.4132653061224489</v>
      </c>
      <c r="Y366" s="13" cm="1">
        <f t="array" ref="Y366">IF(Table8[[#This Row],[I_0]]&lt;Table24[Flitro de Ruido],1,Table8[[#This Row],[I_50]]/Table8[[#This Row],[I_0]])</f>
        <v>1.4974489795918366</v>
      </c>
    </row>
    <row r="367" spans="1:25" x14ac:dyDescent="0.3">
      <c r="A367" s="13">
        <v>432.27</v>
      </c>
      <c r="B367" s="12">
        <v>45.7</v>
      </c>
      <c r="C367" s="11">
        <v>432.27</v>
      </c>
      <c r="D367" s="12">
        <v>54.2</v>
      </c>
      <c r="E367" s="11">
        <v>432.27</v>
      </c>
      <c r="F367" s="12">
        <v>61.2</v>
      </c>
      <c r="G367" s="11">
        <v>432.27</v>
      </c>
      <c r="H367" s="12">
        <v>55.5</v>
      </c>
      <c r="I367" s="11">
        <v>432.27</v>
      </c>
      <c r="J367" s="12">
        <v>64</v>
      </c>
      <c r="K367" s="11">
        <v>432.27</v>
      </c>
      <c r="L367" s="12">
        <v>67.599999999999994</v>
      </c>
      <c r="M367" s="11">
        <v>432.27</v>
      </c>
      <c r="N367" s="13">
        <v>45.7</v>
      </c>
      <c r="O367" s="11">
        <v>54.2</v>
      </c>
      <c r="P367" s="11">
        <v>61.2</v>
      </c>
      <c r="Q367" s="11">
        <v>55.5</v>
      </c>
      <c r="R367" s="11">
        <v>64</v>
      </c>
      <c r="S367" s="14">
        <v>67.599999999999994</v>
      </c>
      <c r="T367" s="11">
        <v>432.27</v>
      </c>
      <c r="U367" s="13" cm="1">
        <f t="array" ref="U367">IF(Table8[[#This Row],[I_0]]&lt;Table24[Flitro de Ruido],1,Table8[[#This Row],[I_10]]/Table8[[#This Row],[I_0]])</f>
        <v>1.1859956236323852</v>
      </c>
      <c r="V367" s="13" cm="1">
        <f t="array" ref="V367">IF(Table8[[#This Row],[I_0]]&lt;Table24[Flitro de Ruido],1,Table8[[#This Row],[I_20]]/Table8[[#This Row],[I_0]])</f>
        <v>1.3391684901531729</v>
      </c>
      <c r="W367" s="13" cm="1">
        <f t="array" ref="W367">IF(Table8[[#This Row],[I_0]]&lt;Table24[Flitro de Ruido],1,Table8[[#This Row],[I_30]]/Table8[[#This Row],[I_0]])</f>
        <v>1.2144420131291027</v>
      </c>
      <c r="X367" s="13" cm="1">
        <f t="array" ref="X367">IF(Table8[[#This Row],[I_0]]&lt;Table24[Flitro de Ruido],1,Table8[[#This Row],[I_40]]/Table8[[#This Row],[I_0]])</f>
        <v>1.4004376367614879</v>
      </c>
      <c r="Y367" s="13" cm="1">
        <f t="array" ref="Y367">IF(Table8[[#This Row],[I_0]]&lt;Table24[Flitro de Ruido],1,Table8[[#This Row],[I_50]]/Table8[[#This Row],[I_0]])</f>
        <v>1.4792122538293215</v>
      </c>
    </row>
    <row r="368" spans="1:25" x14ac:dyDescent="0.3">
      <c r="A368" s="13">
        <v>433.27</v>
      </c>
      <c r="B368" s="12">
        <v>53.2</v>
      </c>
      <c r="C368" s="11">
        <v>433.27</v>
      </c>
      <c r="D368" s="12">
        <v>62.8</v>
      </c>
      <c r="E368" s="11">
        <v>433.27</v>
      </c>
      <c r="F368" s="12">
        <v>70.5</v>
      </c>
      <c r="G368" s="11">
        <v>433.27</v>
      </c>
      <c r="H368" s="12">
        <v>64.3</v>
      </c>
      <c r="I368" s="11">
        <v>433.27</v>
      </c>
      <c r="J368" s="12">
        <v>73.7</v>
      </c>
      <c r="K368" s="11">
        <v>433.27</v>
      </c>
      <c r="L368" s="12">
        <v>77.900000000000006</v>
      </c>
      <c r="M368" s="11">
        <v>433.27</v>
      </c>
      <c r="N368" s="13">
        <v>53.2</v>
      </c>
      <c r="O368" s="11">
        <v>62.8</v>
      </c>
      <c r="P368" s="11">
        <v>70.5</v>
      </c>
      <c r="Q368" s="11">
        <v>64.3</v>
      </c>
      <c r="R368" s="11">
        <v>73.7</v>
      </c>
      <c r="S368" s="14">
        <v>77.900000000000006</v>
      </c>
      <c r="T368" s="11">
        <v>433.27</v>
      </c>
      <c r="U368" s="13" cm="1">
        <f t="array" ref="U368">IF(Table8[[#This Row],[I_0]]&lt;Table24[Flitro de Ruido],1,Table8[[#This Row],[I_10]]/Table8[[#This Row],[I_0]])</f>
        <v>1.1804511278195489</v>
      </c>
      <c r="V368" s="13" cm="1">
        <f t="array" ref="V368">IF(Table8[[#This Row],[I_0]]&lt;Table24[Flitro de Ruido],1,Table8[[#This Row],[I_20]]/Table8[[#This Row],[I_0]])</f>
        <v>1.3251879699248119</v>
      </c>
      <c r="W368" s="13" cm="1">
        <f t="array" ref="W368">IF(Table8[[#This Row],[I_0]]&lt;Table24[Flitro de Ruido],1,Table8[[#This Row],[I_30]]/Table8[[#This Row],[I_0]])</f>
        <v>1.2086466165413532</v>
      </c>
      <c r="X368" s="13" cm="1">
        <f t="array" ref="X368">IF(Table8[[#This Row],[I_0]]&lt;Table24[Flitro de Ruido],1,Table8[[#This Row],[I_40]]/Table8[[#This Row],[I_0]])</f>
        <v>1.3853383458646615</v>
      </c>
      <c r="Y368" s="13" cm="1">
        <f t="array" ref="Y368">IF(Table8[[#This Row],[I_0]]&lt;Table24[Flitro de Ruido],1,Table8[[#This Row],[I_50]]/Table8[[#This Row],[I_0]])</f>
        <v>1.4642857142857144</v>
      </c>
    </row>
    <row r="369" spans="1:25" x14ac:dyDescent="0.3">
      <c r="A369" s="13">
        <v>434.26</v>
      </c>
      <c r="B369" s="12">
        <v>58.9</v>
      </c>
      <c r="C369" s="11">
        <v>434.26</v>
      </c>
      <c r="D369" s="12">
        <v>69.2</v>
      </c>
      <c r="E369" s="11">
        <v>434.26</v>
      </c>
      <c r="F369" s="12">
        <v>77.400000000000006</v>
      </c>
      <c r="G369" s="11">
        <v>434.26</v>
      </c>
      <c r="H369" s="12">
        <v>70.900000000000006</v>
      </c>
      <c r="I369" s="11">
        <v>434.26</v>
      </c>
      <c r="J369" s="12">
        <v>80.900000000000006</v>
      </c>
      <c r="K369" s="11">
        <v>434.26</v>
      </c>
      <c r="L369" s="12">
        <v>85.5</v>
      </c>
      <c r="M369" s="11">
        <v>434.26</v>
      </c>
      <c r="N369" s="13">
        <v>58.9</v>
      </c>
      <c r="O369" s="11">
        <v>69.2</v>
      </c>
      <c r="P369" s="11">
        <v>77.400000000000006</v>
      </c>
      <c r="Q369" s="11">
        <v>70.900000000000006</v>
      </c>
      <c r="R369" s="11">
        <v>80.900000000000006</v>
      </c>
      <c r="S369" s="14">
        <v>85.5</v>
      </c>
      <c r="T369" s="11">
        <v>434.26</v>
      </c>
      <c r="U369" s="13" cm="1">
        <f t="array" ref="U369">IF(Table8[[#This Row],[I_0]]&lt;Table24[Flitro de Ruido],1,Table8[[#This Row],[I_10]]/Table8[[#This Row],[I_0]])</f>
        <v>1.1748726655348047</v>
      </c>
      <c r="V369" s="13" cm="1">
        <f t="array" ref="V369">IF(Table8[[#This Row],[I_0]]&lt;Table24[Flitro de Ruido],1,Table8[[#This Row],[I_20]]/Table8[[#This Row],[I_0]])</f>
        <v>1.3140916808149408</v>
      </c>
      <c r="W369" s="13" cm="1">
        <f t="array" ref="W369">IF(Table8[[#This Row],[I_0]]&lt;Table24[Flitro de Ruido],1,Table8[[#This Row],[I_30]]/Table8[[#This Row],[I_0]])</f>
        <v>1.203735144312394</v>
      </c>
      <c r="X369" s="13" cm="1">
        <f t="array" ref="X369">IF(Table8[[#This Row],[I_0]]&lt;Table24[Flitro de Ruido],1,Table8[[#This Row],[I_40]]/Table8[[#This Row],[I_0]])</f>
        <v>1.373514431239389</v>
      </c>
      <c r="Y369" s="13" cm="1">
        <f t="array" ref="Y369">IF(Table8[[#This Row],[I_0]]&lt;Table24[Flitro de Ruido],1,Table8[[#This Row],[I_50]]/Table8[[#This Row],[I_0]])</f>
        <v>1.4516129032258065</v>
      </c>
    </row>
    <row r="370" spans="1:25" x14ac:dyDescent="0.3">
      <c r="A370" s="13">
        <v>435.25</v>
      </c>
      <c r="B370" s="12">
        <v>66.099999999999994</v>
      </c>
      <c r="C370" s="11">
        <v>435.25</v>
      </c>
      <c r="D370" s="12">
        <v>77.2</v>
      </c>
      <c r="E370" s="11">
        <v>435.25</v>
      </c>
      <c r="F370" s="12">
        <v>86.1</v>
      </c>
      <c r="G370" s="11">
        <v>435.25</v>
      </c>
      <c r="H370" s="12">
        <v>79.2</v>
      </c>
      <c r="I370" s="11">
        <v>435.25</v>
      </c>
      <c r="J370" s="12">
        <v>90</v>
      </c>
      <c r="K370" s="11">
        <v>435.25</v>
      </c>
      <c r="L370" s="12">
        <v>94.9</v>
      </c>
      <c r="M370" s="11">
        <v>435.25</v>
      </c>
      <c r="N370" s="13">
        <v>66.099999999999994</v>
      </c>
      <c r="O370" s="11">
        <v>77.2</v>
      </c>
      <c r="P370" s="11">
        <v>86.1</v>
      </c>
      <c r="Q370" s="11">
        <v>79.2</v>
      </c>
      <c r="R370" s="11">
        <v>90</v>
      </c>
      <c r="S370" s="14">
        <v>94.9</v>
      </c>
      <c r="T370" s="11">
        <v>435.25</v>
      </c>
      <c r="U370" s="13" cm="1">
        <f t="array" ref="U370">IF(Table8[[#This Row],[I_0]]&lt;Table24[Flitro de Ruido],1,Table8[[#This Row],[I_10]]/Table8[[#This Row],[I_0]])</f>
        <v>1.167927382753404</v>
      </c>
      <c r="V370" s="13" cm="1">
        <f t="array" ref="V370">IF(Table8[[#This Row],[I_0]]&lt;Table24[Flitro de Ruido],1,Table8[[#This Row],[I_20]]/Table8[[#This Row],[I_0]])</f>
        <v>1.3025718608169441</v>
      </c>
      <c r="W370" s="13" cm="1">
        <f t="array" ref="W370">IF(Table8[[#This Row],[I_0]]&lt;Table24[Flitro de Ruido],1,Table8[[#This Row],[I_30]]/Table8[[#This Row],[I_0]])</f>
        <v>1.1981845688350985</v>
      </c>
      <c r="X370" s="13" cm="1">
        <f t="array" ref="X370">IF(Table8[[#This Row],[I_0]]&lt;Table24[Flitro de Ruido],1,Table8[[#This Row],[I_40]]/Table8[[#This Row],[I_0]])</f>
        <v>1.3615733736762483</v>
      </c>
      <c r="Y370" s="13" cm="1">
        <f t="array" ref="Y370">IF(Table8[[#This Row],[I_0]]&lt;Table24[Flitro de Ruido],1,Table8[[#This Row],[I_50]]/Table8[[#This Row],[I_0]])</f>
        <v>1.4357034795763997</v>
      </c>
    </row>
    <row r="371" spans="1:25" x14ac:dyDescent="0.3">
      <c r="A371" s="13">
        <v>436.24</v>
      </c>
      <c r="B371" s="12">
        <v>71.5</v>
      </c>
      <c r="C371" s="11">
        <v>436.24</v>
      </c>
      <c r="D371" s="12">
        <v>83.3</v>
      </c>
      <c r="E371" s="11">
        <v>436.24</v>
      </c>
      <c r="F371" s="12">
        <v>92.7</v>
      </c>
      <c r="G371" s="11">
        <v>436.24</v>
      </c>
      <c r="H371" s="12">
        <v>85.4</v>
      </c>
      <c r="I371" s="11">
        <v>436.24</v>
      </c>
      <c r="J371" s="12">
        <v>96.7</v>
      </c>
      <c r="K371" s="11">
        <v>436.24</v>
      </c>
      <c r="L371" s="12">
        <v>101.9</v>
      </c>
      <c r="M371" s="11">
        <v>436.24</v>
      </c>
      <c r="N371" s="13">
        <v>71.5</v>
      </c>
      <c r="O371" s="11">
        <v>83.3</v>
      </c>
      <c r="P371" s="11">
        <v>92.7</v>
      </c>
      <c r="Q371" s="11">
        <v>85.4</v>
      </c>
      <c r="R371" s="11">
        <v>96.7</v>
      </c>
      <c r="S371" s="14">
        <v>101.9</v>
      </c>
      <c r="T371" s="11">
        <v>436.24</v>
      </c>
      <c r="U371" s="13" cm="1">
        <f t="array" ref="U371">IF(Table8[[#This Row],[I_0]]&lt;Table24[Flitro de Ruido],1,Table8[[#This Row],[I_10]]/Table8[[#This Row],[I_0]])</f>
        <v>1.165034965034965</v>
      </c>
      <c r="V371" s="13" cm="1">
        <f t="array" ref="V371">IF(Table8[[#This Row],[I_0]]&lt;Table24[Flitro de Ruido],1,Table8[[#This Row],[I_20]]/Table8[[#This Row],[I_0]])</f>
        <v>1.2965034965034965</v>
      </c>
      <c r="W371" s="13" cm="1">
        <f t="array" ref="W371">IF(Table8[[#This Row],[I_0]]&lt;Table24[Flitro de Ruido],1,Table8[[#This Row],[I_30]]/Table8[[#This Row],[I_0]])</f>
        <v>1.1944055944055945</v>
      </c>
      <c r="X371" s="13" cm="1">
        <f t="array" ref="X371">IF(Table8[[#This Row],[I_0]]&lt;Table24[Flitro de Ruido],1,Table8[[#This Row],[I_40]]/Table8[[#This Row],[I_0]])</f>
        <v>1.3524475524475525</v>
      </c>
      <c r="Y371" s="13" cm="1">
        <f t="array" ref="Y371">IF(Table8[[#This Row],[I_0]]&lt;Table24[Flitro de Ruido],1,Table8[[#This Row],[I_50]]/Table8[[#This Row],[I_0]])</f>
        <v>1.4251748251748253</v>
      </c>
    </row>
    <row r="372" spans="1:25" x14ac:dyDescent="0.3">
      <c r="A372" s="13">
        <v>437.23</v>
      </c>
      <c r="B372" s="12">
        <v>78.7</v>
      </c>
      <c r="C372" s="11">
        <v>437.23</v>
      </c>
      <c r="D372" s="12">
        <v>91.1</v>
      </c>
      <c r="E372" s="11">
        <v>437.23</v>
      </c>
      <c r="F372" s="12">
        <v>101.1</v>
      </c>
      <c r="G372" s="11">
        <v>437.23</v>
      </c>
      <c r="H372" s="12">
        <v>93.6</v>
      </c>
      <c r="I372" s="11">
        <v>437.23</v>
      </c>
      <c r="J372" s="12">
        <v>105.4</v>
      </c>
      <c r="K372" s="11">
        <v>437.23</v>
      </c>
      <c r="L372" s="12">
        <v>110.9</v>
      </c>
      <c r="M372" s="11">
        <v>437.23</v>
      </c>
      <c r="N372" s="13">
        <v>78.7</v>
      </c>
      <c r="O372" s="11">
        <v>91.1</v>
      </c>
      <c r="P372" s="11">
        <v>101.1</v>
      </c>
      <c r="Q372" s="11">
        <v>93.6</v>
      </c>
      <c r="R372" s="11">
        <v>105.4</v>
      </c>
      <c r="S372" s="14">
        <v>110.9</v>
      </c>
      <c r="T372" s="11">
        <v>437.23</v>
      </c>
      <c r="U372" s="13" cm="1">
        <f t="array" ref="U372">IF(Table8[[#This Row],[I_0]]&lt;Table24[Flitro de Ruido],1,Table8[[#This Row],[I_10]]/Table8[[#This Row],[I_0]])</f>
        <v>1.1575603557814484</v>
      </c>
      <c r="V372" s="13" cm="1">
        <f t="array" ref="V372">IF(Table8[[#This Row],[I_0]]&lt;Table24[Flitro de Ruido],1,Table8[[#This Row],[I_20]]/Table8[[#This Row],[I_0]])</f>
        <v>1.2846251588310036</v>
      </c>
      <c r="W372" s="13" cm="1">
        <f t="array" ref="W372">IF(Table8[[#This Row],[I_0]]&lt;Table24[Flitro de Ruido],1,Table8[[#This Row],[I_30]]/Table8[[#This Row],[I_0]])</f>
        <v>1.1893265565438373</v>
      </c>
      <c r="X372" s="13" cm="1">
        <f t="array" ref="X372">IF(Table8[[#This Row],[I_0]]&lt;Table24[Flitro de Ruido],1,Table8[[#This Row],[I_40]]/Table8[[#This Row],[I_0]])</f>
        <v>1.3392630241423127</v>
      </c>
      <c r="Y372" s="13" cm="1">
        <f t="array" ref="Y372">IF(Table8[[#This Row],[I_0]]&lt;Table24[Flitro de Ruido],1,Table8[[#This Row],[I_50]]/Table8[[#This Row],[I_0]])</f>
        <v>1.409148665819568</v>
      </c>
    </row>
    <row r="373" spans="1:25" x14ac:dyDescent="0.3">
      <c r="A373" s="13">
        <v>438.23</v>
      </c>
      <c r="B373" s="12">
        <v>83.4</v>
      </c>
      <c r="C373" s="11">
        <v>438.23</v>
      </c>
      <c r="D373" s="12">
        <v>96.3</v>
      </c>
      <c r="E373" s="11">
        <v>438.23</v>
      </c>
      <c r="F373" s="12">
        <v>106.7</v>
      </c>
      <c r="G373" s="11">
        <v>438.23</v>
      </c>
      <c r="H373" s="12">
        <v>98.9</v>
      </c>
      <c r="I373" s="11">
        <v>438.23</v>
      </c>
      <c r="J373" s="12">
        <v>111.1</v>
      </c>
      <c r="K373" s="11">
        <v>438.23</v>
      </c>
      <c r="L373" s="12">
        <v>116.8</v>
      </c>
      <c r="M373" s="11">
        <v>438.23</v>
      </c>
      <c r="N373" s="13">
        <v>83.4</v>
      </c>
      <c r="O373" s="11">
        <v>96.3</v>
      </c>
      <c r="P373" s="11">
        <v>106.7</v>
      </c>
      <c r="Q373" s="11">
        <v>98.9</v>
      </c>
      <c r="R373" s="11">
        <v>111.1</v>
      </c>
      <c r="S373" s="14">
        <v>116.8</v>
      </c>
      <c r="T373" s="11">
        <v>438.23</v>
      </c>
      <c r="U373" s="13" cm="1">
        <f t="array" ref="U373">IF(Table8[[#This Row],[I_0]]&lt;Table24[Flitro de Ruido],1,Table8[[#This Row],[I_10]]/Table8[[#This Row],[I_0]])</f>
        <v>1.1546762589928057</v>
      </c>
      <c r="V373" s="13" cm="1">
        <f t="array" ref="V373">IF(Table8[[#This Row],[I_0]]&lt;Table24[Flitro de Ruido],1,Table8[[#This Row],[I_20]]/Table8[[#This Row],[I_0]])</f>
        <v>1.2793764988009593</v>
      </c>
      <c r="W373" s="13" cm="1">
        <f t="array" ref="W373">IF(Table8[[#This Row],[I_0]]&lt;Table24[Flitro de Ruido],1,Table8[[#This Row],[I_30]]/Table8[[#This Row],[I_0]])</f>
        <v>1.1858513189448441</v>
      </c>
      <c r="X373" s="13" cm="1">
        <f t="array" ref="X373">IF(Table8[[#This Row],[I_0]]&lt;Table24[Flitro de Ruido],1,Table8[[#This Row],[I_40]]/Table8[[#This Row],[I_0]])</f>
        <v>1.3321342925659472</v>
      </c>
      <c r="Y373" s="13" cm="1">
        <f t="array" ref="Y373">IF(Table8[[#This Row],[I_0]]&lt;Table24[Flitro de Ruido],1,Table8[[#This Row],[I_50]]/Table8[[#This Row],[I_0]])</f>
        <v>1.4004796163069544</v>
      </c>
    </row>
    <row r="374" spans="1:25" x14ac:dyDescent="0.3">
      <c r="A374" s="13">
        <v>439.22</v>
      </c>
      <c r="B374" s="12">
        <v>88.8</v>
      </c>
      <c r="C374" s="11">
        <v>439.22</v>
      </c>
      <c r="D374" s="12">
        <v>102.3</v>
      </c>
      <c r="E374" s="11">
        <v>439.22</v>
      </c>
      <c r="F374" s="12">
        <v>113.2</v>
      </c>
      <c r="G374" s="11">
        <v>439.22</v>
      </c>
      <c r="H374" s="12">
        <v>105</v>
      </c>
      <c r="I374" s="11">
        <v>439.22</v>
      </c>
      <c r="J374" s="12">
        <v>117.6</v>
      </c>
      <c r="K374" s="11">
        <v>439.22</v>
      </c>
      <c r="L374" s="12">
        <v>123.5</v>
      </c>
      <c r="M374" s="11">
        <v>439.22</v>
      </c>
      <c r="N374" s="13">
        <v>88.8</v>
      </c>
      <c r="O374" s="11">
        <v>102.3</v>
      </c>
      <c r="P374" s="11">
        <v>113.2</v>
      </c>
      <c r="Q374" s="11">
        <v>105</v>
      </c>
      <c r="R374" s="11">
        <v>117.6</v>
      </c>
      <c r="S374" s="14">
        <v>123.5</v>
      </c>
      <c r="T374" s="11">
        <v>439.22</v>
      </c>
      <c r="U374" s="13" cm="1">
        <f t="array" ref="U374">IF(Table8[[#This Row],[I_0]]&lt;Table24[Flitro de Ruido],1,Table8[[#This Row],[I_10]]/Table8[[#This Row],[I_0]])</f>
        <v>1.152027027027027</v>
      </c>
      <c r="V374" s="13" cm="1">
        <f t="array" ref="V374">IF(Table8[[#This Row],[I_0]]&lt;Table24[Flitro de Ruido],1,Table8[[#This Row],[I_20]]/Table8[[#This Row],[I_0]])</f>
        <v>1.2747747747747749</v>
      </c>
      <c r="W374" s="13" cm="1">
        <f t="array" ref="W374">IF(Table8[[#This Row],[I_0]]&lt;Table24[Flitro de Ruido],1,Table8[[#This Row],[I_30]]/Table8[[#This Row],[I_0]])</f>
        <v>1.1824324324324325</v>
      </c>
      <c r="X374" s="13" cm="1">
        <f t="array" ref="X374">IF(Table8[[#This Row],[I_0]]&lt;Table24[Flitro de Ruido],1,Table8[[#This Row],[I_40]]/Table8[[#This Row],[I_0]])</f>
        <v>1.3243243243243243</v>
      </c>
      <c r="Y374" s="13" cm="1">
        <f t="array" ref="Y374">IF(Table8[[#This Row],[I_0]]&lt;Table24[Flitro de Ruido],1,Table8[[#This Row],[I_50]]/Table8[[#This Row],[I_0]])</f>
        <v>1.3907657657657657</v>
      </c>
    </row>
    <row r="375" spans="1:25" x14ac:dyDescent="0.3">
      <c r="A375" s="13">
        <v>440.21</v>
      </c>
      <c r="B375" s="12">
        <v>92.2</v>
      </c>
      <c r="C375" s="11">
        <v>440.21</v>
      </c>
      <c r="D375" s="12">
        <v>106</v>
      </c>
      <c r="E375" s="11">
        <v>440.21</v>
      </c>
      <c r="F375" s="12">
        <v>117.2</v>
      </c>
      <c r="G375" s="11">
        <v>440.21</v>
      </c>
      <c r="H375" s="12">
        <v>108.8</v>
      </c>
      <c r="I375" s="11">
        <v>440.21</v>
      </c>
      <c r="J375" s="12">
        <v>121.7</v>
      </c>
      <c r="K375" s="11">
        <v>440.21</v>
      </c>
      <c r="L375" s="12">
        <v>127.7</v>
      </c>
      <c r="M375" s="11">
        <v>440.21</v>
      </c>
      <c r="N375" s="13">
        <v>92.2</v>
      </c>
      <c r="O375" s="11">
        <v>106</v>
      </c>
      <c r="P375" s="11">
        <v>117.2</v>
      </c>
      <c r="Q375" s="11">
        <v>108.8</v>
      </c>
      <c r="R375" s="11">
        <v>121.7</v>
      </c>
      <c r="S375" s="14">
        <v>127.7</v>
      </c>
      <c r="T375" s="11">
        <v>440.21</v>
      </c>
      <c r="U375" s="13" cm="1">
        <f t="array" ref="U375">IF(Table8[[#This Row],[I_0]]&lt;Table24[Flitro de Ruido],1,Table8[[#This Row],[I_10]]/Table8[[#This Row],[I_0]])</f>
        <v>1.1496746203904555</v>
      </c>
      <c r="V375" s="13" cm="1">
        <f t="array" ref="V375">IF(Table8[[#This Row],[I_0]]&lt;Table24[Flitro de Ruido],1,Table8[[#This Row],[I_20]]/Table8[[#This Row],[I_0]])</f>
        <v>1.2711496746203905</v>
      </c>
      <c r="W375" s="13" cm="1">
        <f t="array" ref="W375">IF(Table8[[#This Row],[I_0]]&lt;Table24[Flitro de Ruido],1,Table8[[#This Row],[I_30]]/Table8[[#This Row],[I_0]])</f>
        <v>1.1800433839479392</v>
      </c>
      <c r="X375" s="13" cm="1">
        <f t="array" ref="X375">IF(Table8[[#This Row],[I_0]]&lt;Table24[Flitro de Ruido],1,Table8[[#This Row],[I_40]]/Table8[[#This Row],[I_0]])</f>
        <v>1.3199566160520608</v>
      </c>
      <c r="Y375" s="13" cm="1">
        <f t="array" ref="Y375">IF(Table8[[#This Row],[I_0]]&lt;Table24[Flitro de Ruido],1,Table8[[#This Row],[I_50]]/Table8[[#This Row],[I_0]])</f>
        <v>1.3850325379609545</v>
      </c>
    </row>
    <row r="376" spans="1:25" x14ac:dyDescent="0.3">
      <c r="A376" s="13">
        <v>441.2</v>
      </c>
      <c r="B376" s="12">
        <v>95.8</v>
      </c>
      <c r="C376" s="11">
        <v>441.2</v>
      </c>
      <c r="D376" s="12">
        <v>109.9</v>
      </c>
      <c r="E376" s="11">
        <v>441.2</v>
      </c>
      <c r="F376" s="12">
        <v>121.4</v>
      </c>
      <c r="G376" s="11">
        <v>441.2</v>
      </c>
      <c r="H376" s="12">
        <v>112.8</v>
      </c>
      <c r="I376" s="11">
        <v>441.2</v>
      </c>
      <c r="J376" s="12">
        <v>125.8</v>
      </c>
      <c r="K376" s="11">
        <v>441.2</v>
      </c>
      <c r="L376" s="12">
        <v>131.9</v>
      </c>
      <c r="M376" s="11">
        <v>441.2</v>
      </c>
      <c r="N376" s="13">
        <v>95.8</v>
      </c>
      <c r="O376" s="11">
        <v>109.9</v>
      </c>
      <c r="P376" s="11">
        <v>121.4</v>
      </c>
      <c r="Q376" s="11">
        <v>112.8</v>
      </c>
      <c r="R376" s="11">
        <v>125.8</v>
      </c>
      <c r="S376" s="14">
        <v>131.9</v>
      </c>
      <c r="T376" s="11">
        <v>441.2</v>
      </c>
      <c r="U376" s="13" cm="1">
        <f t="array" ref="U376">IF(Table8[[#This Row],[I_0]]&lt;Table24[Flitro de Ruido],1,Table8[[#This Row],[I_10]]/Table8[[#This Row],[I_0]])</f>
        <v>1.1471816283924845</v>
      </c>
      <c r="V376" s="13" cm="1">
        <f t="array" ref="V376">IF(Table8[[#This Row],[I_0]]&lt;Table24[Flitro de Ruido],1,Table8[[#This Row],[I_20]]/Table8[[#This Row],[I_0]])</f>
        <v>1.2672233820459291</v>
      </c>
      <c r="W376" s="13" cm="1">
        <f t="array" ref="W376">IF(Table8[[#This Row],[I_0]]&lt;Table24[Flitro de Ruido],1,Table8[[#This Row],[I_30]]/Table8[[#This Row],[I_0]])</f>
        <v>1.1774530271398747</v>
      </c>
      <c r="X376" s="13" cm="1">
        <f t="array" ref="X376">IF(Table8[[#This Row],[I_0]]&lt;Table24[Flitro de Ruido],1,Table8[[#This Row],[I_40]]/Table8[[#This Row],[I_0]])</f>
        <v>1.313152400835073</v>
      </c>
      <c r="Y376" s="13" cm="1">
        <f t="array" ref="Y376">IF(Table8[[#This Row],[I_0]]&lt;Table24[Flitro de Ruido],1,Table8[[#This Row],[I_50]]/Table8[[#This Row],[I_0]])</f>
        <v>1.3768267223382047</v>
      </c>
    </row>
    <row r="377" spans="1:25" x14ac:dyDescent="0.3">
      <c r="A377" s="13">
        <v>442.19</v>
      </c>
      <c r="B377" s="12">
        <v>97.4</v>
      </c>
      <c r="C377" s="11">
        <v>442.19</v>
      </c>
      <c r="D377" s="12">
        <v>111.6</v>
      </c>
      <c r="E377" s="11">
        <v>442.19</v>
      </c>
      <c r="F377" s="12">
        <v>123.3</v>
      </c>
      <c r="G377" s="11">
        <v>442.19</v>
      </c>
      <c r="H377" s="12">
        <v>114.5</v>
      </c>
      <c r="I377" s="11">
        <v>442.19</v>
      </c>
      <c r="J377" s="12">
        <v>127.7</v>
      </c>
      <c r="K377" s="11">
        <v>442.19</v>
      </c>
      <c r="L377" s="12">
        <v>133.80000000000001</v>
      </c>
      <c r="M377" s="11">
        <v>442.19</v>
      </c>
      <c r="N377" s="13">
        <v>97.4</v>
      </c>
      <c r="O377" s="11">
        <v>111.6</v>
      </c>
      <c r="P377" s="11">
        <v>123.3</v>
      </c>
      <c r="Q377" s="11">
        <v>114.5</v>
      </c>
      <c r="R377" s="11">
        <v>127.7</v>
      </c>
      <c r="S377" s="14">
        <v>133.80000000000001</v>
      </c>
      <c r="T377" s="11">
        <v>442.19</v>
      </c>
      <c r="U377" s="13" cm="1">
        <f t="array" ref="U377">IF(Table8[[#This Row],[I_0]]&lt;Table24[Flitro de Ruido],1,Table8[[#This Row],[I_10]]/Table8[[#This Row],[I_0]])</f>
        <v>1.1457905544147842</v>
      </c>
      <c r="V377" s="13" cm="1">
        <f t="array" ref="V377">IF(Table8[[#This Row],[I_0]]&lt;Table24[Flitro de Ruido],1,Table8[[#This Row],[I_20]]/Table8[[#This Row],[I_0]])</f>
        <v>1.2659137577002053</v>
      </c>
      <c r="W377" s="13" cm="1">
        <f t="array" ref="W377">IF(Table8[[#This Row],[I_0]]&lt;Table24[Flitro de Ruido],1,Table8[[#This Row],[I_30]]/Table8[[#This Row],[I_0]])</f>
        <v>1.175564681724846</v>
      </c>
      <c r="X377" s="13" cm="1">
        <f t="array" ref="X377">IF(Table8[[#This Row],[I_0]]&lt;Table24[Flitro de Ruido],1,Table8[[#This Row],[I_40]]/Table8[[#This Row],[I_0]])</f>
        <v>1.3110882956878849</v>
      </c>
      <c r="Y377" s="13" cm="1">
        <f t="array" ref="Y377">IF(Table8[[#This Row],[I_0]]&lt;Table24[Flitro de Ruido],1,Table8[[#This Row],[I_50]]/Table8[[#This Row],[I_0]])</f>
        <v>1.3737166324435319</v>
      </c>
    </row>
    <row r="378" spans="1:25" x14ac:dyDescent="0.3">
      <c r="A378" s="13">
        <v>443.18</v>
      </c>
      <c r="B378" s="12">
        <v>98.1</v>
      </c>
      <c r="C378" s="11">
        <v>443.18</v>
      </c>
      <c r="D378" s="12">
        <v>112.4</v>
      </c>
      <c r="E378" s="11">
        <v>443.18</v>
      </c>
      <c r="F378" s="12">
        <v>124.2</v>
      </c>
      <c r="G378" s="11">
        <v>443.18</v>
      </c>
      <c r="H378" s="12">
        <v>115.2</v>
      </c>
      <c r="I378" s="11">
        <v>443.18</v>
      </c>
      <c r="J378" s="12">
        <v>128.4</v>
      </c>
      <c r="K378" s="11">
        <v>443.18</v>
      </c>
      <c r="L378" s="12">
        <v>134.5</v>
      </c>
      <c r="M378" s="11">
        <v>443.18</v>
      </c>
      <c r="N378" s="13">
        <v>98.1</v>
      </c>
      <c r="O378" s="11">
        <v>112.4</v>
      </c>
      <c r="P378" s="11">
        <v>124.2</v>
      </c>
      <c r="Q378" s="11">
        <v>115.2</v>
      </c>
      <c r="R378" s="11">
        <v>128.4</v>
      </c>
      <c r="S378" s="14">
        <v>134.5</v>
      </c>
      <c r="T378" s="11">
        <v>443.18</v>
      </c>
      <c r="U378" s="13" cm="1">
        <f t="array" ref="U378">IF(Table8[[#This Row],[I_0]]&lt;Table24[Flitro de Ruido],1,Table8[[#This Row],[I_10]]/Table8[[#This Row],[I_0]])</f>
        <v>1.1457696228338432</v>
      </c>
      <c r="V378" s="13" cm="1">
        <f t="array" ref="V378">IF(Table8[[#This Row],[I_0]]&lt;Table24[Flitro de Ruido],1,Table8[[#This Row],[I_20]]/Table8[[#This Row],[I_0]])</f>
        <v>1.2660550458715598</v>
      </c>
      <c r="W378" s="13" cm="1">
        <f t="array" ref="W378">IF(Table8[[#This Row],[I_0]]&lt;Table24[Flitro de Ruido],1,Table8[[#This Row],[I_30]]/Table8[[#This Row],[I_0]])</f>
        <v>1.1743119266055047</v>
      </c>
      <c r="X378" s="13" cm="1">
        <f t="array" ref="X378">IF(Table8[[#This Row],[I_0]]&lt;Table24[Flitro de Ruido],1,Table8[[#This Row],[I_40]]/Table8[[#This Row],[I_0]])</f>
        <v>1.3088685015290522</v>
      </c>
      <c r="Y378" s="13" cm="1">
        <f t="array" ref="Y378">IF(Table8[[#This Row],[I_0]]&lt;Table24[Flitro de Ruido],1,Table8[[#This Row],[I_50]]/Table8[[#This Row],[I_0]])</f>
        <v>1.3710499490316004</v>
      </c>
    </row>
    <row r="379" spans="1:25" x14ac:dyDescent="0.3">
      <c r="A379" s="13">
        <v>444.18</v>
      </c>
      <c r="B379" s="12">
        <v>97.6</v>
      </c>
      <c r="C379" s="11">
        <v>444.18</v>
      </c>
      <c r="D379" s="12">
        <v>111.8</v>
      </c>
      <c r="E379" s="11">
        <v>444.18</v>
      </c>
      <c r="F379" s="12">
        <v>123.5</v>
      </c>
      <c r="G379" s="11">
        <v>444.18</v>
      </c>
      <c r="H379" s="12">
        <v>114.4</v>
      </c>
      <c r="I379" s="11">
        <v>444.18</v>
      </c>
      <c r="J379" s="12">
        <v>127.6</v>
      </c>
      <c r="K379" s="11">
        <v>444.18</v>
      </c>
      <c r="L379" s="12">
        <v>133.6</v>
      </c>
      <c r="M379" s="11">
        <v>444.18</v>
      </c>
      <c r="N379" s="13">
        <v>97.6</v>
      </c>
      <c r="O379" s="11">
        <v>111.8</v>
      </c>
      <c r="P379" s="11">
        <v>123.5</v>
      </c>
      <c r="Q379" s="11">
        <v>114.4</v>
      </c>
      <c r="R379" s="11">
        <v>127.6</v>
      </c>
      <c r="S379" s="14">
        <v>133.6</v>
      </c>
      <c r="T379" s="11">
        <v>444.18</v>
      </c>
      <c r="U379" s="13" cm="1">
        <f t="array" ref="U379">IF(Table8[[#This Row],[I_0]]&lt;Table24[Flitro de Ruido],1,Table8[[#This Row],[I_10]]/Table8[[#This Row],[I_0]])</f>
        <v>1.1454918032786885</v>
      </c>
      <c r="V379" s="13" cm="1">
        <f t="array" ref="V379">IF(Table8[[#This Row],[I_0]]&lt;Table24[Flitro de Ruido],1,Table8[[#This Row],[I_20]]/Table8[[#This Row],[I_0]])</f>
        <v>1.2653688524590165</v>
      </c>
      <c r="W379" s="13" cm="1">
        <f t="array" ref="W379">IF(Table8[[#This Row],[I_0]]&lt;Table24[Flitro de Ruido],1,Table8[[#This Row],[I_30]]/Table8[[#This Row],[I_0]])</f>
        <v>1.1721311475409837</v>
      </c>
      <c r="X379" s="13" cm="1">
        <f t="array" ref="X379">IF(Table8[[#This Row],[I_0]]&lt;Table24[Flitro de Ruido],1,Table8[[#This Row],[I_40]]/Table8[[#This Row],[I_0]])</f>
        <v>1.3073770491803278</v>
      </c>
      <c r="Y379" s="13" cm="1">
        <f t="array" ref="Y379">IF(Table8[[#This Row],[I_0]]&lt;Table24[Flitro de Ruido],1,Table8[[#This Row],[I_50]]/Table8[[#This Row],[I_0]])</f>
        <v>1.3688524590163935</v>
      </c>
    </row>
    <row r="380" spans="1:25" x14ac:dyDescent="0.3">
      <c r="A380" s="13">
        <v>445.17</v>
      </c>
      <c r="B380" s="12">
        <v>95.4</v>
      </c>
      <c r="C380" s="11">
        <v>445.17</v>
      </c>
      <c r="D380" s="12">
        <v>109.3</v>
      </c>
      <c r="E380" s="11">
        <v>445.17</v>
      </c>
      <c r="F380" s="12">
        <v>120.8</v>
      </c>
      <c r="G380" s="11">
        <v>445.17</v>
      </c>
      <c r="H380" s="12">
        <v>111.7</v>
      </c>
      <c r="I380" s="11">
        <v>445.17</v>
      </c>
      <c r="J380" s="12">
        <v>124.7</v>
      </c>
      <c r="K380" s="11">
        <v>445.17</v>
      </c>
      <c r="L380" s="12">
        <v>130.6</v>
      </c>
      <c r="M380" s="11">
        <v>445.17</v>
      </c>
      <c r="N380" s="13">
        <v>95.4</v>
      </c>
      <c r="O380" s="11">
        <v>109.3</v>
      </c>
      <c r="P380" s="11">
        <v>120.8</v>
      </c>
      <c r="Q380" s="11">
        <v>111.7</v>
      </c>
      <c r="R380" s="11">
        <v>124.7</v>
      </c>
      <c r="S380" s="14">
        <v>130.6</v>
      </c>
      <c r="T380" s="11">
        <v>445.17</v>
      </c>
      <c r="U380" s="13" cm="1">
        <f t="array" ref="U380">IF(Table8[[#This Row],[I_0]]&lt;Table24[Flitro de Ruido],1,Table8[[#This Row],[I_10]]/Table8[[#This Row],[I_0]])</f>
        <v>1.1457023060796645</v>
      </c>
      <c r="V380" s="13" cm="1">
        <f t="array" ref="V380">IF(Table8[[#This Row],[I_0]]&lt;Table24[Flitro de Ruido],1,Table8[[#This Row],[I_20]]/Table8[[#This Row],[I_0]])</f>
        <v>1.2662473794549265</v>
      </c>
      <c r="W380" s="13" cm="1">
        <f t="array" ref="W380">IF(Table8[[#This Row],[I_0]]&lt;Table24[Flitro de Ruido],1,Table8[[#This Row],[I_30]]/Table8[[#This Row],[I_0]])</f>
        <v>1.170859538784067</v>
      </c>
      <c r="X380" s="13" cm="1">
        <f t="array" ref="X380">IF(Table8[[#This Row],[I_0]]&lt;Table24[Flitro de Ruido],1,Table8[[#This Row],[I_40]]/Table8[[#This Row],[I_0]])</f>
        <v>1.3071278825995807</v>
      </c>
      <c r="Y380" s="13" cm="1">
        <f t="array" ref="Y380">IF(Table8[[#This Row],[I_0]]&lt;Table24[Flitro de Ruido],1,Table8[[#This Row],[I_50]]/Table8[[#This Row],[I_0]])</f>
        <v>1.3689727463312367</v>
      </c>
    </row>
    <row r="381" spans="1:25" x14ac:dyDescent="0.3">
      <c r="A381" s="13">
        <v>446.16</v>
      </c>
      <c r="B381" s="12">
        <v>92.7</v>
      </c>
      <c r="C381" s="11">
        <v>446.16</v>
      </c>
      <c r="D381" s="12">
        <v>106.2</v>
      </c>
      <c r="E381" s="11">
        <v>446.16</v>
      </c>
      <c r="F381" s="12">
        <v>117.4</v>
      </c>
      <c r="G381" s="11">
        <v>446.16</v>
      </c>
      <c r="H381" s="12">
        <v>108.3</v>
      </c>
      <c r="I381" s="11">
        <v>446.16</v>
      </c>
      <c r="J381" s="12">
        <v>121.1</v>
      </c>
      <c r="K381" s="11">
        <v>446.16</v>
      </c>
      <c r="L381" s="12">
        <v>126.8</v>
      </c>
      <c r="M381" s="11">
        <v>446.16</v>
      </c>
      <c r="N381" s="13">
        <v>92.7</v>
      </c>
      <c r="O381" s="11">
        <v>106.2</v>
      </c>
      <c r="P381" s="11">
        <v>117.4</v>
      </c>
      <c r="Q381" s="11">
        <v>108.3</v>
      </c>
      <c r="R381" s="11">
        <v>121.1</v>
      </c>
      <c r="S381" s="14">
        <v>126.8</v>
      </c>
      <c r="T381" s="11">
        <v>446.16</v>
      </c>
      <c r="U381" s="13" cm="1">
        <f t="array" ref="U381">IF(Table8[[#This Row],[I_0]]&lt;Table24[Flitro de Ruido],1,Table8[[#This Row],[I_10]]/Table8[[#This Row],[I_0]])</f>
        <v>1.145631067961165</v>
      </c>
      <c r="V381" s="13" cm="1">
        <f t="array" ref="V381">IF(Table8[[#This Row],[I_0]]&lt;Table24[Flitro de Ruido],1,Table8[[#This Row],[I_20]]/Table8[[#This Row],[I_0]])</f>
        <v>1.2664509169363538</v>
      </c>
      <c r="W381" s="13" cm="1">
        <f t="array" ref="W381">IF(Table8[[#This Row],[I_0]]&lt;Table24[Flitro de Ruido],1,Table8[[#This Row],[I_30]]/Table8[[#This Row],[I_0]])</f>
        <v>1.1682847896440129</v>
      </c>
      <c r="X381" s="13" cm="1">
        <f t="array" ref="X381">IF(Table8[[#This Row],[I_0]]&lt;Table24[Flitro de Ruido],1,Table8[[#This Row],[I_40]]/Table8[[#This Row],[I_0]])</f>
        <v>1.3063646170442287</v>
      </c>
      <c r="Y381" s="13" cm="1">
        <f t="array" ref="Y381">IF(Table8[[#This Row],[I_0]]&lt;Table24[Flitro de Ruido],1,Table8[[#This Row],[I_50]]/Table8[[#This Row],[I_0]])</f>
        <v>1.3678532901833873</v>
      </c>
    </row>
    <row r="382" spans="1:25" x14ac:dyDescent="0.3">
      <c r="A382" s="13">
        <v>447.15</v>
      </c>
      <c r="B382" s="12">
        <v>87.8</v>
      </c>
      <c r="C382" s="11">
        <v>447.15</v>
      </c>
      <c r="D382" s="12">
        <v>100.7</v>
      </c>
      <c r="E382" s="11">
        <v>447.15</v>
      </c>
      <c r="F382" s="12">
        <v>111.4</v>
      </c>
      <c r="G382" s="11">
        <v>447.15</v>
      </c>
      <c r="H382" s="12">
        <v>102.4</v>
      </c>
      <c r="I382" s="11">
        <v>447.15</v>
      </c>
      <c r="J382" s="12">
        <v>114.7</v>
      </c>
      <c r="K382" s="11">
        <v>447.15</v>
      </c>
      <c r="L382" s="12">
        <v>120.2</v>
      </c>
      <c r="M382" s="11">
        <v>447.15</v>
      </c>
      <c r="N382" s="13">
        <v>87.8</v>
      </c>
      <c r="O382" s="11">
        <v>100.7</v>
      </c>
      <c r="P382" s="11">
        <v>111.4</v>
      </c>
      <c r="Q382" s="11">
        <v>102.4</v>
      </c>
      <c r="R382" s="11">
        <v>114.7</v>
      </c>
      <c r="S382" s="14">
        <v>120.2</v>
      </c>
      <c r="T382" s="11">
        <v>447.15</v>
      </c>
      <c r="U382" s="13" cm="1">
        <f t="array" ref="U382">IF(Table8[[#This Row],[I_0]]&lt;Table24[Flitro de Ruido],1,Table8[[#This Row],[I_10]]/Table8[[#This Row],[I_0]])</f>
        <v>1.1469248291571754</v>
      </c>
      <c r="V382" s="13" cm="1">
        <f t="array" ref="V382">IF(Table8[[#This Row],[I_0]]&lt;Table24[Flitro de Ruido],1,Table8[[#This Row],[I_20]]/Table8[[#This Row],[I_0]])</f>
        <v>1.2687927107061505</v>
      </c>
      <c r="W382" s="13" cm="1">
        <f t="array" ref="W382">IF(Table8[[#This Row],[I_0]]&lt;Table24[Flitro de Ruido],1,Table8[[#This Row],[I_30]]/Table8[[#This Row],[I_0]])</f>
        <v>1.1662870159453305</v>
      </c>
      <c r="X382" s="13" cm="1">
        <f t="array" ref="X382">IF(Table8[[#This Row],[I_0]]&lt;Table24[Flitro de Ruido],1,Table8[[#This Row],[I_40]]/Table8[[#This Row],[I_0]])</f>
        <v>1.3063781321184511</v>
      </c>
      <c r="Y382" s="13" cm="1">
        <f t="array" ref="Y382">IF(Table8[[#This Row],[I_0]]&lt;Table24[Flitro de Ruido],1,Table8[[#This Row],[I_50]]/Table8[[#This Row],[I_0]])</f>
        <v>1.3690205011389522</v>
      </c>
    </row>
    <row r="383" spans="1:25" x14ac:dyDescent="0.3">
      <c r="A383" s="13">
        <v>448.14</v>
      </c>
      <c r="B383" s="12">
        <v>83.1</v>
      </c>
      <c r="C383" s="11">
        <v>448.14</v>
      </c>
      <c r="D383" s="12">
        <v>95.4</v>
      </c>
      <c r="E383" s="11">
        <v>448.14</v>
      </c>
      <c r="F383" s="12">
        <v>105.6</v>
      </c>
      <c r="G383" s="11">
        <v>448.14</v>
      </c>
      <c r="H383" s="12">
        <v>96.9</v>
      </c>
      <c r="I383" s="11">
        <v>448.14</v>
      </c>
      <c r="J383" s="12">
        <v>108.7</v>
      </c>
      <c r="K383" s="11">
        <v>448.14</v>
      </c>
      <c r="L383" s="12">
        <v>113.9</v>
      </c>
      <c r="M383" s="11">
        <v>448.14</v>
      </c>
      <c r="N383" s="13">
        <v>83.1</v>
      </c>
      <c r="O383" s="11">
        <v>95.4</v>
      </c>
      <c r="P383" s="11">
        <v>105.6</v>
      </c>
      <c r="Q383" s="11">
        <v>96.9</v>
      </c>
      <c r="R383" s="11">
        <v>108.7</v>
      </c>
      <c r="S383" s="14">
        <v>113.9</v>
      </c>
      <c r="T383" s="11">
        <v>448.14</v>
      </c>
      <c r="U383" s="13" cm="1">
        <f t="array" ref="U383">IF(Table8[[#This Row],[I_0]]&lt;Table24[Flitro de Ruido],1,Table8[[#This Row],[I_10]]/Table8[[#This Row],[I_0]])</f>
        <v>1.1480144404332131</v>
      </c>
      <c r="V383" s="13" cm="1">
        <f t="array" ref="V383">IF(Table8[[#This Row],[I_0]]&lt;Table24[Flitro de Ruido],1,Table8[[#This Row],[I_20]]/Table8[[#This Row],[I_0]])</f>
        <v>1.2707581227436824</v>
      </c>
      <c r="W383" s="13" cm="1">
        <f t="array" ref="W383">IF(Table8[[#This Row],[I_0]]&lt;Table24[Flitro de Ruido],1,Table8[[#This Row],[I_30]]/Table8[[#This Row],[I_0]])</f>
        <v>1.1660649819494586</v>
      </c>
      <c r="X383" s="13" cm="1">
        <f t="array" ref="X383">IF(Table8[[#This Row],[I_0]]&lt;Table24[Flitro de Ruido],1,Table8[[#This Row],[I_40]]/Table8[[#This Row],[I_0]])</f>
        <v>1.3080625752105899</v>
      </c>
      <c r="Y383" s="13" cm="1">
        <f t="array" ref="Y383">IF(Table8[[#This Row],[I_0]]&lt;Table24[Flitro de Ruido],1,Table8[[#This Row],[I_50]]/Table8[[#This Row],[I_0]])</f>
        <v>1.3706377858002408</v>
      </c>
    </row>
    <row r="384" spans="1:25" x14ac:dyDescent="0.3">
      <c r="A384" s="13">
        <v>449.13</v>
      </c>
      <c r="B384" s="12">
        <v>75.400000000000006</v>
      </c>
      <c r="C384" s="11">
        <v>449.13</v>
      </c>
      <c r="D384" s="12">
        <v>86.9</v>
      </c>
      <c r="E384" s="11">
        <v>449.13</v>
      </c>
      <c r="F384" s="12">
        <v>96.5</v>
      </c>
      <c r="G384" s="11">
        <v>449.13</v>
      </c>
      <c r="H384" s="12">
        <v>88.1</v>
      </c>
      <c r="I384" s="11">
        <v>449.13</v>
      </c>
      <c r="J384" s="12">
        <v>99.1</v>
      </c>
      <c r="K384" s="11">
        <v>449.13</v>
      </c>
      <c r="L384" s="12">
        <v>104</v>
      </c>
      <c r="M384" s="11">
        <v>449.13</v>
      </c>
      <c r="N384" s="13">
        <v>75.400000000000006</v>
      </c>
      <c r="O384" s="11">
        <v>86.9</v>
      </c>
      <c r="P384" s="11">
        <v>96.5</v>
      </c>
      <c r="Q384" s="11">
        <v>88.1</v>
      </c>
      <c r="R384" s="11">
        <v>99.1</v>
      </c>
      <c r="S384" s="14">
        <v>104</v>
      </c>
      <c r="T384" s="11">
        <v>449.13</v>
      </c>
      <c r="U384" s="13" cm="1">
        <f t="array" ref="U384">IF(Table8[[#This Row],[I_0]]&lt;Table24[Flitro de Ruido],1,Table8[[#This Row],[I_10]]/Table8[[#This Row],[I_0]])</f>
        <v>1.1525198938992043</v>
      </c>
      <c r="V384" s="13" cm="1">
        <f t="array" ref="V384">IF(Table8[[#This Row],[I_0]]&lt;Table24[Flitro de Ruido],1,Table8[[#This Row],[I_20]]/Table8[[#This Row],[I_0]])</f>
        <v>1.2798408488063659</v>
      </c>
      <c r="W384" s="13" cm="1">
        <f t="array" ref="W384">IF(Table8[[#This Row],[I_0]]&lt;Table24[Flitro de Ruido],1,Table8[[#This Row],[I_30]]/Table8[[#This Row],[I_0]])</f>
        <v>1.1684350132625994</v>
      </c>
      <c r="X384" s="13" cm="1">
        <f t="array" ref="X384">IF(Table8[[#This Row],[I_0]]&lt;Table24[Flitro de Ruido],1,Table8[[#This Row],[I_40]]/Table8[[#This Row],[I_0]])</f>
        <v>1.3143236074270555</v>
      </c>
      <c r="Y384" s="13" cm="1">
        <f t="array" ref="Y384">IF(Table8[[#This Row],[I_0]]&lt;Table24[Flitro de Ruido],1,Table8[[#This Row],[I_50]]/Table8[[#This Row],[I_0]])</f>
        <v>1.3793103448275861</v>
      </c>
    </row>
    <row r="385" spans="1:25" x14ac:dyDescent="0.3">
      <c r="A385" s="13">
        <v>450.13</v>
      </c>
      <c r="B385" s="12">
        <v>69.5</v>
      </c>
      <c r="C385" s="11">
        <v>450.13</v>
      </c>
      <c r="D385" s="12">
        <v>80.2</v>
      </c>
      <c r="E385" s="11">
        <v>450.13</v>
      </c>
      <c r="F385" s="12">
        <v>89.2</v>
      </c>
      <c r="G385" s="11">
        <v>450.13</v>
      </c>
      <c r="H385" s="12">
        <v>81.099999999999994</v>
      </c>
      <c r="I385" s="11">
        <v>450.13</v>
      </c>
      <c r="J385" s="12">
        <v>91.5</v>
      </c>
      <c r="K385" s="11">
        <v>450.13</v>
      </c>
      <c r="L385" s="12">
        <v>96.1</v>
      </c>
      <c r="M385" s="11">
        <v>450.13</v>
      </c>
      <c r="N385" s="13">
        <v>69.5</v>
      </c>
      <c r="O385" s="11">
        <v>80.2</v>
      </c>
      <c r="P385" s="11">
        <v>89.2</v>
      </c>
      <c r="Q385" s="11">
        <v>81.099999999999994</v>
      </c>
      <c r="R385" s="11">
        <v>91.5</v>
      </c>
      <c r="S385" s="14">
        <v>96.1</v>
      </c>
      <c r="T385" s="11">
        <v>450.13</v>
      </c>
      <c r="U385" s="13" cm="1">
        <f t="array" ref="U385">IF(Table8[[#This Row],[I_0]]&lt;Table24[Flitro de Ruido],1,Table8[[#This Row],[I_10]]/Table8[[#This Row],[I_0]])</f>
        <v>1.1539568345323741</v>
      </c>
      <c r="V385" s="13" cm="1">
        <f t="array" ref="V385">IF(Table8[[#This Row],[I_0]]&lt;Table24[Flitro de Ruido],1,Table8[[#This Row],[I_20]]/Table8[[#This Row],[I_0]])</f>
        <v>1.283453237410072</v>
      </c>
      <c r="W385" s="13" cm="1">
        <f t="array" ref="W385">IF(Table8[[#This Row],[I_0]]&lt;Table24[Flitro de Ruido],1,Table8[[#This Row],[I_30]]/Table8[[#This Row],[I_0]])</f>
        <v>1.1669064748201439</v>
      </c>
      <c r="X385" s="13" cm="1">
        <f t="array" ref="X385">IF(Table8[[#This Row],[I_0]]&lt;Table24[Flitro de Ruido],1,Table8[[#This Row],[I_40]]/Table8[[#This Row],[I_0]])</f>
        <v>1.3165467625899281</v>
      </c>
      <c r="Y385" s="13" cm="1">
        <f t="array" ref="Y385">IF(Table8[[#This Row],[I_0]]&lt;Table24[Flitro de Ruido],1,Table8[[#This Row],[I_50]]/Table8[[#This Row],[I_0]])</f>
        <v>1.3827338129496403</v>
      </c>
    </row>
    <row r="386" spans="1:25" x14ac:dyDescent="0.3">
      <c r="A386" s="13">
        <v>451.12</v>
      </c>
      <c r="B386" s="12">
        <v>61.4</v>
      </c>
      <c r="C386" s="11">
        <v>451.12</v>
      </c>
      <c r="D386" s="12">
        <v>71.099999999999994</v>
      </c>
      <c r="E386" s="11">
        <v>451.12</v>
      </c>
      <c r="F386" s="12">
        <v>79.3</v>
      </c>
      <c r="G386" s="11">
        <v>451.12</v>
      </c>
      <c r="H386" s="12">
        <v>71.7</v>
      </c>
      <c r="I386" s="11">
        <v>451.12</v>
      </c>
      <c r="J386" s="12">
        <v>81.2</v>
      </c>
      <c r="K386" s="11">
        <v>451.12</v>
      </c>
      <c r="L386" s="12">
        <v>85.3</v>
      </c>
      <c r="M386" s="11">
        <v>451.12</v>
      </c>
      <c r="N386" s="13">
        <v>61.4</v>
      </c>
      <c r="O386" s="11">
        <v>71.099999999999994</v>
      </c>
      <c r="P386" s="11">
        <v>79.3</v>
      </c>
      <c r="Q386" s="11">
        <v>71.7</v>
      </c>
      <c r="R386" s="11">
        <v>81.2</v>
      </c>
      <c r="S386" s="14">
        <v>85.3</v>
      </c>
      <c r="T386" s="11">
        <v>451.12</v>
      </c>
      <c r="U386" s="13" cm="1">
        <f t="array" ref="U386">IF(Table8[[#This Row],[I_0]]&lt;Table24[Flitro de Ruido],1,Table8[[#This Row],[I_10]]/Table8[[#This Row],[I_0]])</f>
        <v>1.1579804560260585</v>
      </c>
      <c r="V386" s="13" cm="1">
        <f t="array" ref="V386">IF(Table8[[#This Row],[I_0]]&lt;Table24[Flitro de Ruido],1,Table8[[#This Row],[I_20]]/Table8[[#This Row],[I_0]])</f>
        <v>1.2915309446254071</v>
      </c>
      <c r="W386" s="13" cm="1">
        <f t="array" ref="W386">IF(Table8[[#This Row],[I_0]]&lt;Table24[Flitro de Ruido],1,Table8[[#This Row],[I_30]]/Table8[[#This Row],[I_0]])</f>
        <v>1.1677524429967427</v>
      </c>
      <c r="X386" s="13" cm="1">
        <f t="array" ref="X386">IF(Table8[[#This Row],[I_0]]&lt;Table24[Flitro de Ruido],1,Table8[[#This Row],[I_40]]/Table8[[#This Row],[I_0]])</f>
        <v>1.3224755700325734</v>
      </c>
      <c r="Y386" s="13" cm="1">
        <f t="array" ref="Y386">IF(Table8[[#This Row],[I_0]]&lt;Table24[Flitro de Ruido],1,Table8[[#This Row],[I_50]]/Table8[[#This Row],[I_0]])</f>
        <v>1.3892508143322475</v>
      </c>
    </row>
    <row r="387" spans="1:25" x14ac:dyDescent="0.3">
      <c r="A387" s="13">
        <v>452.11</v>
      </c>
      <c r="B387" s="12">
        <v>52.8</v>
      </c>
      <c r="C387" s="11">
        <v>452.11</v>
      </c>
      <c r="D387" s="12">
        <v>61.5</v>
      </c>
      <c r="E387" s="11">
        <v>452.11</v>
      </c>
      <c r="F387" s="12">
        <v>68.8</v>
      </c>
      <c r="G387" s="11">
        <v>452.11</v>
      </c>
      <c r="H387" s="12">
        <v>61.8</v>
      </c>
      <c r="I387" s="11">
        <v>452.11</v>
      </c>
      <c r="J387" s="12">
        <v>70.2</v>
      </c>
      <c r="K387" s="11">
        <v>452.11</v>
      </c>
      <c r="L387" s="12">
        <v>73.8</v>
      </c>
      <c r="M387" s="11">
        <v>452.11</v>
      </c>
      <c r="N387" s="13">
        <v>52.8</v>
      </c>
      <c r="O387" s="11">
        <v>61.5</v>
      </c>
      <c r="P387" s="11">
        <v>68.8</v>
      </c>
      <c r="Q387" s="11">
        <v>61.8</v>
      </c>
      <c r="R387" s="11">
        <v>70.2</v>
      </c>
      <c r="S387" s="14">
        <v>73.8</v>
      </c>
      <c r="T387" s="11">
        <v>452.11</v>
      </c>
      <c r="U387" s="13" cm="1">
        <f t="array" ref="U387">IF(Table8[[#This Row],[I_0]]&lt;Table24[Flitro de Ruido],1,Table8[[#This Row],[I_10]]/Table8[[#This Row],[I_0]])</f>
        <v>1.1647727272727273</v>
      </c>
      <c r="V387" s="13" cm="1">
        <f t="array" ref="V387">IF(Table8[[#This Row],[I_0]]&lt;Table24[Flitro de Ruido],1,Table8[[#This Row],[I_20]]/Table8[[#This Row],[I_0]])</f>
        <v>1.303030303030303</v>
      </c>
      <c r="W387" s="13" cm="1">
        <f t="array" ref="W387">IF(Table8[[#This Row],[I_0]]&lt;Table24[Flitro de Ruido],1,Table8[[#This Row],[I_30]]/Table8[[#This Row],[I_0]])</f>
        <v>1.1704545454545454</v>
      </c>
      <c r="X387" s="13" cm="1">
        <f t="array" ref="X387">IF(Table8[[#This Row],[I_0]]&lt;Table24[Flitro de Ruido],1,Table8[[#This Row],[I_40]]/Table8[[#This Row],[I_0]])</f>
        <v>1.3295454545454546</v>
      </c>
      <c r="Y387" s="13" cm="1">
        <f t="array" ref="Y387">IF(Table8[[#This Row],[I_0]]&lt;Table24[Flitro de Ruido],1,Table8[[#This Row],[I_50]]/Table8[[#This Row],[I_0]])</f>
        <v>1.3977272727272727</v>
      </c>
    </row>
    <row r="388" spans="1:25" x14ac:dyDescent="0.3">
      <c r="A388" s="13">
        <v>453.1</v>
      </c>
      <c r="B388" s="12">
        <v>46.8</v>
      </c>
      <c r="C388" s="11">
        <v>453.1</v>
      </c>
      <c r="D388" s="12">
        <v>54.8</v>
      </c>
      <c r="E388" s="11">
        <v>453.1</v>
      </c>
      <c r="F388" s="12">
        <v>61.4</v>
      </c>
      <c r="G388" s="11">
        <v>453.1</v>
      </c>
      <c r="H388" s="12">
        <v>54.9</v>
      </c>
      <c r="I388" s="11">
        <v>453.1</v>
      </c>
      <c r="J388" s="12">
        <v>62.5</v>
      </c>
      <c r="K388" s="11">
        <v>453.1</v>
      </c>
      <c r="L388" s="12">
        <v>65.7</v>
      </c>
      <c r="M388" s="11">
        <v>453.1</v>
      </c>
      <c r="N388" s="13">
        <v>46.8</v>
      </c>
      <c r="O388" s="11">
        <v>54.8</v>
      </c>
      <c r="P388" s="11">
        <v>61.4</v>
      </c>
      <c r="Q388" s="11">
        <v>54.9</v>
      </c>
      <c r="R388" s="11">
        <v>62.5</v>
      </c>
      <c r="S388" s="14">
        <v>65.7</v>
      </c>
      <c r="T388" s="11">
        <v>453.1</v>
      </c>
      <c r="U388" s="13" cm="1">
        <f t="array" ref="U388">IF(Table8[[#This Row],[I_0]]&lt;Table24[Flitro de Ruido],1,Table8[[#This Row],[I_10]]/Table8[[#This Row],[I_0]])</f>
        <v>1.170940170940171</v>
      </c>
      <c r="V388" s="13" cm="1">
        <f t="array" ref="V388">IF(Table8[[#This Row],[I_0]]&lt;Table24[Flitro de Ruido],1,Table8[[#This Row],[I_20]]/Table8[[#This Row],[I_0]])</f>
        <v>1.311965811965812</v>
      </c>
      <c r="W388" s="13" cm="1">
        <f t="array" ref="W388">IF(Table8[[#This Row],[I_0]]&lt;Table24[Flitro de Ruido],1,Table8[[#This Row],[I_30]]/Table8[[#This Row],[I_0]])</f>
        <v>1.1730769230769231</v>
      </c>
      <c r="X388" s="13" cm="1">
        <f t="array" ref="X388">IF(Table8[[#This Row],[I_0]]&lt;Table24[Flitro de Ruido],1,Table8[[#This Row],[I_40]]/Table8[[#This Row],[I_0]])</f>
        <v>1.3354700854700856</v>
      </c>
      <c r="Y388" s="13" cm="1">
        <f t="array" ref="Y388">IF(Table8[[#This Row],[I_0]]&lt;Table24[Flitro de Ruido],1,Table8[[#This Row],[I_50]]/Table8[[#This Row],[I_0]])</f>
        <v>1.403846153846154</v>
      </c>
    </row>
    <row r="389" spans="1:25" x14ac:dyDescent="0.3">
      <c r="A389" s="13">
        <v>454.09</v>
      </c>
      <c r="B389" s="12">
        <v>40.200000000000003</v>
      </c>
      <c r="C389" s="11">
        <v>454.09</v>
      </c>
      <c r="D389" s="12">
        <v>47.3</v>
      </c>
      <c r="E389" s="11">
        <v>454.09</v>
      </c>
      <c r="F389" s="12">
        <v>53.2</v>
      </c>
      <c r="G389" s="11">
        <v>454.09</v>
      </c>
      <c r="H389" s="12">
        <v>47.2</v>
      </c>
      <c r="I389" s="11">
        <v>454.09</v>
      </c>
      <c r="J389" s="12">
        <v>53.9</v>
      </c>
      <c r="K389" s="11">
        <v>454.09</v>
      </c>
      <c r="L389" s="12">
        <v>56.7</v>
      </c>
      <c r="M389" s="11">
        <v>454.09</v>
      </c>
      <c r="N389" s="13">
        <v>40.200000000000003</v>
      </c>
      <c r="O389" s="11">
        <v>47.3</v>
      </c>
      <c r="P389" s="11">
        <v>53.2</v>
      </c>
      <c r="Q389" s="11">
        <v>47.2</v>
      </c>
      <c r="R389" s="11">
        <v>53.9</v>
      </c>
      <c r="S389" s="14">
        <v>56.7</v>
      </c>
      <c r="T389" s="11">
        <v>454.09</v>
      </c>
      <c r="U389" s="13" cm="1">
        <f t="array" ref="U389">IF(Table8[[#This Row],[I_0]]&lt;Table24[Flitro de Ruido],1,Table8[[#This Row],[I_10]]/Table8[[#This Row],[I_0]])</f>
        <v>1.1766169154228854</v>
      </c>
      <c r="V389" s="13" cm="1">
        <f t="array" ref="V389">IF(Table8[[#This Row],[I_0]]&lt;Table24[Flitro de Ruido],1,Table8[[#This Row],[I_20]]/Table8[[#This Row],[I_0]])</f>
        <v>1.3233830845771144</v>
      </c>
      <c r="W389" s="13" cm="1">
        <f t="array" ref="W389">IF(Table8[[#This Row],[I_0]]&lt;Table24[Flitro de Ruido],1,Table8[[#This Row],[I_30]]/Table8[[#This Row],[I_0]])</f>
        <v>1.1741293532338308</v>
      </c>
      <c r="X389" s="13" cm="1">
        <f t="array" ref="X389">IF(Table8[[#This Row],[I_0]]&lt;Table24[Flitro de Ruido],1,Table8[[#This Row],[I_40]]/Table8[[#This Row],[I_0]])</f>
        <v>1.3407960199004973</v>
      </c>
      <c r="Y389" s="13" cm="1">
        <f t="array" ref="Y389">IF(Table8[[#This Row],[I_0]]&lt;Table24[Flitro de Ruido],1,Table8[[#This Row],[I_50]]/Table8[[#This Row],[I_0]])</f>
        <v>1.4104477611940298</v>
      </c>
    </row>
    <row r="390" spans="1:25" x14ac:dyDescent="0.3">
      <c r="A390" s="13">
        <v>455.09</v>
      </c>
      <c r="B390" s="12">
        <v>35.1</v>
      </c>
      <c r="C390" s="11">
        <v>455.09</v>
      </c>
      <c r="D390" s="12">
        <v>41.5</v>
      </c>
      <c r="E390" s="11">
        <v>455.09</v>
      </c>
      <c r="F390" s="12">
        <v>46.9</v>
      </c>
      <c r="G390" s="11">
        <v>455.09</v>
      </c>
      <c r="H390" s="12">
        <v>41.3</v>
      </c>
      <c r="I390" s="11">
        <v>455.09</v>
      </c>
      <c r="J390" s="12">
        <v>47.4</v>
      </c>
      <c r="K390" s="11">
        <v>455.09</v>
      </c>
      <c r="L390" s="12">
        <v>49.7</v>
      </c>
      <c r="M390" s="11">
        <v>455.09</v>
      </c>
      <c r="N390" s="13">
        <v>35.1</v>
      </c>
      <c r="O390" s="11">
        <v>41.5</v>
      </c>
      <c r="P390" s="11">
        <v>46.9</v>
      </c>
      <c r="Q390" s="11">
        <v>41.3</v>
      </c>
      <c r="R390" s="11">
        <v>47.4</v>
      </c>
      <c r="S390" s="14">
        <v>49.7</v>
      </c>
      <c r="T390" s="11">
        <v>455.09</v>
      </c>
      <c r="U390" s="13" cm="1">
        <f t="array" ref="U390">IF(Table8[[#This Row],[I_0]]&lt;Table24[Flitro de Ruido],1,Table8[[#This Row],[I_10]]/Table8[[#This Row],[I_0]])</f>
        <v>1.1823361823361822</v>
      </c>
      <c r="V390" s="13" cm="1">
        <f t="array" ref="V390">IF(Table8[[#This Row],[I_0]]&lt;Table24[Flitro de Ruido],1,Table8[[#This Row],[I_20]]/Table8[[#This Row],[I_0]])</f>
        <v>1.3361823361823362</v>
      </c>
      <c r="W390" s="13" cm="1">
        <f t="array" ref="W390">IF(Table8[[#This Row],[I_0]]&lt;Table24[Flitro de Ruido],1,Table8[[#This Row],[I_30]]/Table8[[#This Row],[I_0]])</f>
        <v>1.1766381766381766</v>
      </c>
      <c r="X390" s="13" cm="1">
        <f t="array" ref="X390">IF(Table8[[#This Row],[I_0]]&lt;Table24[Flitro de Ruido],1,Table8[[#This Row],[I_40]]/Table8[[#This Row],[I_0]])</f>
        <v>1.3504273504273503</v>
      </c>
      <c r="Y390" s="13" cm="1">
        <f t="array" ref="Y390">IF(Table8[[#This Row],[I_0]]&lt;Table24[Flitro de Ruido],1,Table8[[#This Row],[I_50]]/Table8[[#This Row],[I_0]])</f>
        <v>1.415954415954416</v>
      </c>
    </row>
    <row r="391" spans="1:25" x14ac:dyDescent="0.3">
      <c r="A391" s="13">
        <v>456.08</v>
      </c>
      <c r="B391" s="12">
        <v>29.4</v>
      </c>
      <c r="C391" s="11">
        <v>456.08</v>
      </c>
      <c r="D391" s="12">
        <v>35.1</v>
      </c>
      <c r="E391" s="11">
        <v>456.08</v>
      </c>
      <c r="F391" s="12">
        <v>39.799999999999997</v>
      </c>
      <c r="G391" s="11">
        <v>456.08</v>
      </c>
      <c r="H391" s="12">
        <v>34.799999999999997</v>
      </c>
      <c r="I391" s="11">
        <v>456.08</v>
      </c>
      <c r="J391" s="12">
        <v>40.1</v>
      </c>
      <c r="K391" s="11">
        <v>456.08</v>
      </c>
      <c r="L391" s="12">
        <v>42</v>
      </c>
      <c r="M391" s="11">
        <v>456.08</v>
      </c>
      <c r="N391" s="13">
        <v>29.4</v>
      </c>
      <c r="O391" s="11">
        <v>35.1</v>
      </c>
      <c r="P391" s="11">
        <v>39.799999999999997</v>
      </c>
      <c r="Q391" s="11">
        <v>34.799999999999997</v>
      </c>
      <c r="R391" s="11">
        <v>40.1</v>
      </c>
      <c r="S391" s="14">
        <v>42</v>
      </c>
      <c r="T391" s="11">
        <v>456.08</v>
      </c>
      <c r="U391" s="13" cm="1">
        <f t="array" ref="U391">IF(Table8[[#This Row],[I_0]]&lt;Table24[Flitro de Ruido],1,Table8[[#This Row],[I_10]]/Table8[[#This Row],[I_0]])</f>
        <v>1.1938775510204083</v>
      </c>
      <c r="V391" s="13" cm="1">
        <f t="array" ref="V391">IF(Table8[[#This Row],[I_0]]&lt;Table24[Flitro de Ruido],1,Table8[[#This Row],[I_20]]/Table8[[#This Row],[I_0]])</f>
        <v>1.3537414965986394</v>
      </c>
      <c r="W391" s="13" cm="1">
        <f t="array" ref="W391">IF(Table8[[#This Row],[I_0]]&lt;Table24[Flitro de Ruido],1,Table8[[#This Row],[I_30]]/Table8[[#This Row],[I_0]])</f>
        <v>1.1836734693877551</v>
      </c>
      <c r="X391" s="13" cm="1">
        <f t="array" ref="X391">IF(Table8[[#This Row],[I_0]]&lt;Table24[Flitro de Ruido],1,Table8[[#This Row],[I_40]]/Table8[[#This Row],[I_0]])</f>
        <v>1.3639455782312926</v>
      </c>
      <c r="Y391" s="13" cm="1">
        <f t="array" ref="Y391">IF(Table8[[#This Row],[I_0]]&lt;Table24[Flitro de Ruido],1,Table8[[#This Row],[I_50]]/Table8[[#This Row],[I_0]])</f>
        <v>1.4285714285714286</v>
      </c>
    </row>
    <row r="392" spans="1:25" x14ac:dyDescent="0.3">
      <c r="A392" s="13">
        <v>457.07</v>
      </c>
      <c r="B392" s="12">
        <v>25.3</v>
      </c>
      <c r="C392" s="11">
        <v>457.07</v>
      </c>
      <c r="D392" s="12">
        <v>30.4</v>
      </c>
      <c r="E392" s="11">
        <v>457.07</v>
      </c>
      <c r="F392" s="12">
        <v>34.6</v>
      </c>
      <c r="G392" s="11">
        <v>457.07</v>
      </c>
      <c r="H392" s="12">
        <v>30</v>
      </c>
      <c r="I392" s="11">
        <v>457.07</v>
      </c>
      <c r="J392" s="12">
        <v>34.700000000000003</v>
      </c>
      <c r="K392" s="11">
        <v>457.07</v>
      </c>
      <c r="L392" s="12">
        <v>36.4</v>
      </c>
      <c r="M392" s="11">
        <v>457.07</v>
      </c>
      <c r="N392" s="13">
        <v>25.3</v>
      </c>
      <c r="O392" s="11">
        <v>30.4</v>
      </c>
      <c r="P392" s="11">
        <v>34.6</v>
      </c>
      <c r="Q392" s="11">
        <v>30</v>
      </c>
      <c r="R392" s="11">
        <v>34.700000000000003</v>
      </c>
      <c r="S392" s="14">
        <v>36.4</v>
      </c>
      <c r="T392" s="11">
        <v>457.07</v>
      </c>
      <c r="U392" s="13" cm="1">
        <f t="array" ref="U392">IF(Table8[[#This Row],[I_0]]&lt;Table24[Flitro de Ruido],1,Table8[[#This Row],[I_10]]/Table8[[#This Row],[I_0]])</f>
        <v>1.2015810276679841</v>
      </c>
      <c r="V392" s="13" cm="1">
        <f t="array" ref="V392">IF(Table8[[#This Row],[I_0]]&lt;Table24[Flitro de Ruido],1,Table8[[#This Row],[I_20]]/Table8[[#This Row],[I_0]])</f>
        <v>1.3675889328063242</v>
      </c>
      <c r="W392" s="13" cm="1">
        <f t="array" ref="W392">IF(Table8[[#This Row],[I_0]]&lt;Table24[Flitro de Ruido],1,Table8[[#This Row],[I_30]]/Table8[[#This Row],[I_0]])</f>
        <v>1.1857707509881423</v>
      </c>
      <c r="X392" s="13" cm="1">
        <f t="array" ref="X392">IF(Table8[[#This Row],[I_0]]&lt;Table24[Flitro de Ruido],1,Table8[[#This Row],[I_40]]/Table8[[#This Row],[I_0]])</f>
        <v>1.3715415019762847</v>
      </c>
      <c r="Y392" s="13" cm="1">
        <f t="array" ref="Y392">IF(Table8[[#This Row],[I_0]]&lt;Table24[Flitro de Ruido],1,Table8[[#This Row],[I_50]]/Table8[[#This Row],[I_0]])</f>
        <v>1.4387351778656126</v>
      </c>
    </row>
    <row r="393" spans="1:25" x14ac:dyDescent="0.3">
      <c r="A393" s="13">
        <v>458.06</v>
      </c>
      <c r="B393" s="12">
        <v>21.1</v>
      </c>
      <c r="C393" s="11">
        <v>458.06</v>
      </c>
      <c r="D393" s="12">
        <v>25.6</v>
      </c>
      <c r="E393" s="11">
        <v>458.06</v>
      </c>
      <c r="F393" s="12">
        <v>29.3</v>
      </c>
      <c r="G393" s="11">
        <v>458.06</v>
      </c>
      <c r="H393" s="12">
        <v>25.2</v>
      </c>
      <c r="I393" s="11">
        <v>458.06</v>
      </c>
      <c r="J393" s="12">
        <v>29.3</v>
      </c>
      <c r="K393" s="11">
        <v>458.06</v>
      </c>
      <c r="L393" s="12">
        <v>30.6</v>
      </c>
      <c r="M393" s="11">
        <v>458.06</v>
      </c>
      <c r="N393" s="13">
        <v>21.1</v>
      </c>
      <c r="O393" s="11">
        <v>25.6</v>
      </c>
      <c r="P393" s="11">
        <v>29.3</v>
      </c>
      <c r="Q393" s="11">
        <v>25.2</v>
      </c>
      <c r="R393" s="11">
        <v>29.3</v>
      </c>
      <c r="S393" s="14">
        <v>30.6</v>
      </c>
      <c r="T393" s="11">
        <v>458.06</v>
      </c>
      <c r="U393" s="13" cm="1">
        <f t="array" ref="U393">IF(Table8[[#This Row],[I_0]]&lt;Table24[Flitro de Ruido],1,Table8[[#This Row],[I_10]]/Table8[[#This Row],[I_0]])</f>
        <v>1.2132701421800949</v>
      </c>
      <c r="V393" s="13" cm="1">
        <f t="array" ref="V393">IF(Table8[[#This Row],[I_0]]&lt;Table24[Flitro de Ruido],1,Table8[[#This Row],[I_20]]/Table8[[#This Row],[I_0]])</f>
        <v>1.3886255924170616</v>
      </c>
      <c r="W393" s="13" cm="1">
        <f t="array" ref="W393">IF(Table8[[#This Row],[I_0]]&lt;Table24[Flitro de Ruido],1,Table8[[#This Row],[I_30]]/Table8[[#This Row],[I_0]])</f>
        <v>1.1943127962085307</v>
      </c>
      <c r="X393" s="13" cm="1">
        <f t="array" ref="X393">IF(Table8[[#This Row],[I_0]]&lt;Table24[Flitro de Ruido],1,Table8[[#This Row],[I_40]]/Table8[[#This Row],[I_0]])</f>
        <v>1.3886255924170616</v>
      </c>
      <c r="Y393" s="13" cm="1">
        <f t="array" ref="Y393">IF(Table8[[#This Row],[I_0]]&lt;Table24[Flitro de Ruido],1,Table8[[#This Row],[I_50]]/Table8[[#This Row],[I_0]])</f>
        <v>1.4502369668246444</v>
      </c>
    </row>
    <row r="394" spans="1:25" x14ac:dyDescent="0.3">
      <c r="A394" s="13">
        <v>459.05</v>
      </c>
      <c r="B394" s="12">
        <v>17.899999999999999</v>
      </c>
      <c r="C394" s="11">
        <v>459.05</v>
      </c>
      <c r="D394" s="12">
        <v>21.8</v>
      </c>
      <c r="E394" s="11">
        <v>459.05</v>
      </c>
      <c r="F394" s="12">
        <v>25.1</v>
      </c>
      <c r="G394" s="11">
        <v>459.05</v>
      </c>
      <c r="H394" s="12">
        <v>21.4</v>
      </c>
      <c r="I394" s="11">
        <v>459.05</v>
      </c>
      <c r="J394" s="12">
        <v>25</v>
      </c>
      <c r="K394" s="11">
        <v>459.05</v>
      </c>
      <c r="L394" s="12">
        <v>26.1</v>
      </c>
      <c r="M394" s="11">
        <v>459.05</v>
      </c>
      <c r="N394" s="13">
        <v>17.899999999999999</v>
      </c>
      <c r="O394" s="11">
        <v>21.8</v>
      </c>
      <c r="P394" s="11">
        <v>25.1</v>
      </c>
      <c r="Q394" s="11">
        <v>21.4</v>
      </c>
      <c r="R394" s="11">
        <v>25</v>
      </c>
      <c r="S394" s="14">
        <v>26.1</v>
      </c>
      <c r="T394" s="11">
        <v>459.05</v>
      </c>
      <c r="U394" s="13" cm="1">
        <f t="array" ref="U394">IF(Table8[[#This Row],[I_0]]&lt;Table24[Flitro de Ruido],1,Table8[[#This Row],[I_10]]/Table8[[#This Row],[I_0]])</f>
        <v>1.2178770949720672</v>
      </c>
      <c r="V394" s="13" cm="1">
        <f t="array" ref="V394">IF(Table8[[#This Row],[I_0]]&lt;Table24[Flitro de Ruido],1,Table8[[#This Row],[I_20]]/Table8[[#This Row],[I_0]])</f>
        <v>1.4022346368715086</v>
      </c>
      <c r="W394" s="13" cm="1">
        <f t="array" ref="W394">IF(Table8[[#This Row],[I_0]]&lt;Table24[Flitro de Ruido],1,Table8[[#This Row],[I_30]]/Table8[[#This Row],[I_0]])</f>
        <v>1.1955307262569832</v>
      </c>
      <c r="X394" s="13" cm="1">
        <f t="array" ref="X394">IF(Table8[[#This Row],[I_0]]&lt;Table24[Flitro de Ruido],1,Table8[[#This Row],[I_40]]/Table8[[#This Row],[I_0]])</f>
        <v>1.3966480446927376</v>
      </c>
      <c r="Y394" s="13" cm="1">
        <f t="array" ref="Y394">IF(Table8[[#This Row],[I_0]]&lt;Table24[Flitro de Ruido],1,Table8[[#This Row],[I_50]]/Table8[[#This Row],[I_0]])</f>
        <v>1.4581005586592182</v>
      </c>
    </row>
    <row r="395" spans="1:25" x14ac:dyDescent="0.3">
      <c r="A395" s="13">
        <v>460.04</v>
      </c>
      <c r="B395" s="12">
        <v>14.6</v>
      </c>
      <c r="C395" s="11">
        <v>460.04</v>
      </c>
      <c r="D395" s="12">
        <v>18</v>
      </c>
      <c r="E395" s="11">
        <v>460.04</v>
      </c>
      <c r="F395" s="12">
        <v>20.8</v>
      </c>
      <c r="G395" s="11">
        <v>460.04</v>
      </c>
      <c r="H395" s="12">
        <v>17.600000000000001</v>
      </c>
      <c r="I395" s="11">
        <v>460.04</v>
      </c>
      <c r="J395" s="12">
        <v>20.7</v>
      </c>
      <c r="K395" s="11">
        <v>460.04</v>
      </c>
      <c r="L395" s="12">
        <v>21.5</v>
      </c>
      <c r="M395" s="11">
        <v>460.04</v>
      </c>
      <c r="N395" s="13">
        <v>14.6</v>
      </c>
      <c r="O395" s="11">
        <v>18</v>
      </c>
      <c r="P395" s="11">
        <v>20.8</v>
      </c>
      <c r="Q395" s="11">
        <v>17.600000000000001</v>
      </c>
      <c r="R395" s="11">
        <v>20.7</v>
      </c>
      <c r="S395" s="14">
        <v>21.5</v>
      </c>
      <c r="T395" s="11">
        <v>460.04</v>
      </c>
      <c r="U395" s="13" cm="1">
        <f t="array" ref="U395">IF(Table8[[#This Row],[I_0]]&lt;Table24[Flitro de Ruido],1,Table8[[#This Row],[I_10]]/Table8[[#This Row],[I_0]])</f>
        <v>1.2328767123287672</v>
      </c>
      <c r="V395" s="13" cm="1">
        <f t="array" ref="V395">IF(Table8[[#This Row],[I_0]]&lt;Table24[Flitro de Ruido],1,Table8[[#This Row],[I_20]]/Table8[[#This Row],[I_0]])</f>
        <v>1.4246575342465755</v>
      </c>
      <c r="W395" s="13" cm="1">
        <f t="array" ref="W395">IF(Table8[[#This Row],[I_0]]&lt;Table24[Flitro de Ruido],1,Table8[[#This Row],[I_30]]/Table8[[#This Row],[I_0]])</f>
        <v>1.2054794520547947</v>
      </c>
      <c r="X395" s="13" cm="1">
        <f t="array" ref="X395">IF(Table8[[#This Row],[I_0]]&lt;Table24[Flitro de Ruido],1,Table8[[#This Row],[I_40]]/Table8[[#This Row],[I_0]])</f>
        <v>1.4178082191780821</v>
      </c>
      <c r="Y395" s="13" cm="1">
        <f t="array" ref="Y395">IF(Table8[[#This Row],[I_0]]&lt;Table24[Flitro de Ruido],1,Table8[[#This Row],[I_50]]/Table8[[#This Row],[I_0]])</f>
        <v>1.4726027397260275</v>
      </c>
    </row>
    <row r="396" spans="1:25" x14ac:dyDescent="0.3">
      <c r="A396" s="13">
        <v>461.04</v>
      </c>
      <c r="B396" s="12">
        <v>12.2</v>
      </c>
      <c r="C396" s="11">
        <v>461.04</v>
      </c>
      <c r="D396" s="12">
        <v>15.2</v>
      </c>
      <c r="E396" s="11">
        <v>461.04</v>
      </c>
      <c r="F396" s="12">
        <v>17.600000000000001</v>
      </c>
      <c r="G396" s="11">
        <v>461.04</v>
      </c>
      <c r="H396" s="12">
        <v>14.8</v>
      </c>
      <c r="I396" s="11">
        <v>461.04</v>
      </c>
      <c r="J396" s="12">
        <v>17.399999999999999</v>
      </c>
      <c r="K396" s="11">
        <v>461.04</v>
      </c>
      <c r="L396" s="12">
        <v>18.100000000000001</v>
      </c>
      <c r="M396" s="11">
        <v>461.04</v>
      </c>
      <c r="N396" s="13">
        <v>12.2</v>
      </c>
      <c r="O396" s="11">
        <v>15.2</v>
      </c>
      <c r="P396" s="11">
        <v>17.600000000000001</v>
      </c>
      <c r="Q396" s="11">
        <v>14.8</v>
      </c>
      <c r="R396" s="11">
        <v>17.399999999999999</v>
      </c>
      <c r="S396" s="14">
        <v>18.100000000000001</v>
      </c>
      <c r="T396" s="11">
        <v>461.04</v>
      </c>
      <c r="U396" s="13" cm="1">
        <f t="array" ref="U396">IF(Table8[[#This Row],[I_0]]&lt;Table24[Flitro de Ruido],1,Table8[[#This Row],[I_10]]/Table8[[#This Row],[I_0]])</f>
        <v>1.2459016393442623</v>
      </c>
      <c r="V396" s="13" cm="1">
        <f t="array" ref="V396">IF(Table8[[#This Row],[I_0]]&lt;Table24[Flitro de Ruido],1,Table8[[#This Row],[I_20]]/Table8[[#This Row],[I_0]])</f>
        <v>1.4426229508196724</v>
      </c>
      <c r="W396" s="13" cm="1">
        <f t="array" ref="W396">IF(Table8[[#This Row],[I_0]]&lt;Table24[Flitro de Ruido],1,Table8[[#This Row],[I_30]]/Table8[[#This Row],[I_0]])</f>
        <v>1.2131147540983609</v>
      </c>
      <c r="X396" s="13" cm="1">
        <f t="array" ref="X396">IF(Table8[[#This Row],[I_0]]&lt;Table24[Flitro de Ruido],1,Table8[[#This Row],[I_40]]/Table8[[#This Row],[I_0]])</f>
        <v>1.4262295081967213</v>
      </c>
      <c r="Y396" s="13" cm="1">
        <f t="array" ref="Y396">IF(Table8[[#This Row],[I_0]]&lt;Table24[Flitro de Ruido],1,Table8[[#This Row],[I_50]]/Table8[[#This Row],[I_0]])</f>
        <v>1.4836065573770494</v>
      </c>
    </row>
    <row r="397" spans="1:25" x14ac:dyDescent="0.3">
      <c r="A397" s="13">
        <v>462.03</v>
      </c>
      <c r="B397" s="12">
        <v>10</v>
      </c>
      <c r="C397" s="11">
        <v>462.03</v>
      </c>
      <c r="D397" s="12">
        <v>12.4</v>
      </c>
      <c r="E397" s="11">
        <v>462.03</v>
      </c>
      <c r="F397" s="12">
        <v>14.4</v>
      </c>
      <c r="G397" s="11">
        <v>462.03</v>
      </c>
      <c r="H397" s="12">
        <v>12</v>
      </c>
      <c r="I397" s="11">
        <v>462.03</v>
      </c>
      <c r="J397" s="12">
        <v>14.2</v>
      </c>
      <c r="K397" s="11">
        <v>462.03</v>
      </c>
      <c r="L397" s="12">
        <v>14.7</v>
      </c>
      <c r="M397" s="11">
        <v>462.03</v>
      </c>
      <c r="N397" s="13">
        <v>10</v>
      </c>
      <c r="O397" s="11">
        <v>12.4</v>
      </c>
      <c r="P397" s="11">
        <v>14.4</v>
      </c>
      <c r="Q397" s="11">
        <v>12</v>
      </c>
      <c r="R397" s="11">
        <v>14.2</v>
      </c>
      <c r="S397" s="14">
        <v>14.7</v>
      </c>
      <c r="T397" s="11">
        <v>462.03</v>
      </c>
      <c r="U397" s="13" cm="1">
        <f t="array" ref="U397">IF(Table8[[#This Row],[I_0]]&lt;Table24[Flitro de Ruido],1,Table8[[#This Row],[I_10]]/Table8[[#This Row],[I_0]])</f>
        <v>1.24</v>
      </c>
      <c r="V397" s="13" cm="1">
        <f t="array" ref="V397">IF(Table8[[#This Row],[I_0]]&lt;Table24[Flitro de Ruido],1,Table8[[#This Row],[I_20]]/Table8[[#This Row],[I_0]])</f>
        <v>1.44</v>
      </c>
      <c r="W397" s="13" cm="1">
        <f t="array" ref="W397">IF(Table8[[#This Row],[I_0]]&lt;Table24[Flitro de Ruido],1,Table8[[#This Row],[I_30]]/Table8[[#This Row],[I_0]])</f>
        <v>1.2</v>
      </c>
      <c r="X397" s="13" cm="1">
        <f t="array" ref="X397">IF(Table8[[#This Row],[I_0]]&lt;Table24[Flitro de Ruido],1,Table8[[#This Row],[I_40]]/Table8[[#This Row],[I_0]])</f>
        <v>1.42</v>
      </c>
      <c r="Y397" s="13" cm="1">
        <f t="array" ref="Y397">IF(Table8[[#This Row],[I_0]]&lt;Table24[Flitro de Ruido],1,Table8[[#This Row],[I_50]]/Table8[[#This Row],[I_0]])</f>
        <v>1.47</v>
      </c>
    </row>
    <row r="398" spans="1:25" x14ac:dyDescent="0.3">
      <c r="A398" s="13">
        <v>463.02</v>
      </c>
      <c r="B398" s="12">
        <v>8.1999999999999993</v>
      </c>
      <c r="C398" s="11">
        <v>463.02</v>
      </c>
      <c r="D398" s="12">
        <v>10.3</v>
      </c>
      <c r="E398" s="11">
        <v>463.02</v>
      </c>
      <c r="F398" s="12">
        <v>12</v>
      </c>
      <c r="G398" s="11">
        <v>463.02</v>
      </c>
      <c r="H398" s="12">
        <v>9.9</v>
      </c>
      <c r="I398" s="11">
        <v>463.02</v>
      </c>
      <c r="J398" s="12">
        <v>11.8</v>
      </c>
      <c r="K398" s="11">
        <v>463.02</v>
      </c>
      <c r="L398" s="12">
        <v>12.2</v>
      </c>
      <c r="M398" s="11">
        <v>463.02</v>
      </c>
      <c r="N398" s="13">
        <v>8.1999999999999993</v>
      </c>
      <c r="O398" s="11">
        <v>10.3</v>
      </c>
      <c r="P398" s="11">
        <v>12</v>
      </c>
      <c r="Q398" s="11">
        <v>9.9</v>
      </c>
      <c r="R398" s="11">
        <v>11.8</v>
      </c>
      <c r="S398" s="14">
        <v>12.2</v>
      </c>
      <c r="T398" s="11">
        <v>463.02</v>
      </c>
      <c r="U398" s="13" cm="1">
        <f t="array" ref="U398">IF(Table8[[#This Row],[I_0]]&lt;Table24[Flitro de Ruido],1,Table8[[#This Row],[I_10]]/Table8[[#This Row],[I_0]])</f>
        <v>1.25609756097561</v>
      </c>
      <c r="V398" s="13" cm="1">
        <f t="array" ref="V398">IF(Table8[[#This Row],[I_0]]&lt;Table24[Flitro de Ruido],1,Table8[[#This Row],[I_20]]/Table8[[#This Row],[I_0]])</f>
        <v>1.4634146341463417</v>
      </c>
      <c r="W398" s="13" cm="1">
        <f t="array" ref="W398">IF(Table8[[#This Row],[I_0]]&lt;Table24[Flitro de Ruido],1,Table8[[#This Row],[I_30]]/Table8[[#This Row],[I_0]])</f>
        <v>1.2073170731707319</v>
      </c>
      <c r="X398" s="13" cm="1">
        <f t="array" ref="X398">IF(Table8[[#This Row],[I_0]]&lt;Table24[Flitro de Ruido],1,Table8[[#This Row],[I_40]]/Table8[[#This Row],[I_0]])</f>
        <v>1.4390243902439026</v>
      </c>
      <c r="Y398" s="13" cm="1">
        <f t="array" ref="Y398">IF(Table8[[#This Row],[I_0]]&lt;Table24[Flitro de Ruido],1,Table8[[#This Row],[I_50]]/Table8[[#This Row],[I_0]])</f>
        <v>1.4878048780487805</v>
      </c>
    </row>
    <row r="399" spans="1:25" x14ac:dyDescent="0.3">
      <c r="A399" s="13">
        <v>464.01</v>
      </c>
      <c r="B399" s="12">
        <v>6.6</v>
      </c>
      <c r="C399" s="11">
        <v>464.01</v>
      </c>
      <c r="D399" s="12">
        <v>8.1999999999999993</v>
      </c>
      <c r="E399" s="11">
        <v>464.01</v>
      </c>
      <c r="F399" s="12">
        <v>9.6999999999999993</v>
      </c>
      <c r="G399" s="11">
        <v>464.01</v>
      </c>
      <c r="H399" s="12">
        <v>8</v>
      </c>
      <c r="I399" s="11">
        <v>464.01</v>
      </c>
      <c r="J399" s="12">
        <v>9.4</v>
      </c>
      <c r="K399" s="11">
        <v>464.01</v>
      </c>
      <c r="L399" s="12">
        <v>9.8000000000000007</v>
      </c>
      <c r="M399" s="11">
        <v>464.01</v>
      </c>
      <c r="N399" s="13">
        <v>6.6</v>
      </c>
      <c r="O399" s="11">
        <v>8.1999999999999993</v>
      </c>
      <c r="P399" s="11">
        <v>9.6999999999999993</v>
      </c>
      <c r="Q399" s="11">
        <v>8</v>
      </c>
      <c r="R399" s="11">
        <v>9.4</v>
      </c>
      <c r="S399" s="14">
        <v>9.8000000000000007</v>
      </c>
      <c r="T399" s="11">
        <v>464.01</v>
      </c>
      <c r="U399" s="13" cm="1">
        <f t="array" ref="U399">IF(Table8[[#This Row],[I_0]]&lt;Table24[Flitro de Ruido],1,Table8[[#This Row],[I_10]]/Table8[[#This Row],[I_0]])</f>
        <v>1.2424242424242424</v>
      </c>
      <c r="V399" s="13" cm="1">
        <f t="array" ref="V399">IF(Table8[[#This Row],[I_0]]&lt;Table24[Flitro de Ruido],1,Table8[[#This Row],[I_20]]/Table8[[#This Row],[I_0]])</f>
        <v>1.4696969696969697</v>
      </c>
      <c r="W399" s="13" cm="1">
        <f t="array" ref="W399">IF(Table8[[#This Row],[I_0]]&lt;Table24[Flitro de Ruido],1,Table8[[#This Row],[I_30]]/Table8[[#This Row],[I_0]])</f>
        <v>1.2121212121212122</v>
      </c>
      <c r="X399" s="13" cm="1">
        <f t="array" ref="X399">IF(Table8[[#This Row],[I_0]]&lt;Table24[Flitro de Ruido],1,Table8[[#This Row],[I_40]]/Table8[[#This Row],[I_0]])</f>
        <v>1.4242424242424243</v>
      </c>
      <c r="Y399" s="13" cm="1">
        <f t="array" ref="Y399">IF(Table8[[#This Row],[I_0]]&lt;Table24[Flitro de Ruido],1,Table8[[#This Row],[I_50]]/Table8[[#This Row],[I_0]])</f>
        <v>1.4848484848484851</v>
      </c>
    </row>
    <row r="400" spans="1:25" x14ac:dyDescent="0.3">
      <c r="A400" s="13">
        <v>465</v>
      </c>
      <c r="B400" s="12">
        <v>5.4</v>
      </c>
      <c r="C400" s="11">
        <v>465</v>
      </c>
      <c r="D400" s="12">
        <v>6.7</v>
      </c>
      <c r="E400" s="11">
        <v>465</v>
      </c>
      <c r="F400" s="12">
        <v>7.9</v>
      </c>
      <c r="G400" s="11">
        <v>465</v>
      </c>
      <c r="H400" s="12">
        <v>6.5</v>
      </c>
      <c r="I400" s="11">
        <v>465</v>
      </c>
      <c r="J400" s="12">
        <v>7.7</v>
      </c>
      <c r="K400" s="11">
        <v>465</v>
      </c>
      <c r="L400" s="12">
        <v>8</v>
      </c>
      <c r="M400" s="11">
        <v>465</v>
      </c>
      <c r="N400" s="13">
        <v>5.4</v>
      </c>
      <c r="O400" s="11">
        <v>6.7</v>
      </c>
      <c r="P400" s="11">
        <v>7.9</v>
      </c>
      <c r="Q400" s="11">
        <v>6.5</v>
      </c>
      <c r="R400" s="11">
        <v>7.7</v>
      </c>
      <c r="S400" s="14">
        <v>8</v>
      </c>
      <c r="T400" s="11">
        <v>465</v>
      </c>
      <c r="U400" s="13" cm="1">
        <f t="array" ref="U400">IF(Table8[[#This Row],[I_0]]&lt;Table24[Flitro de Ruido],1,Table8[[#This Row],[I_10]]/Table8[[#This Row],[I_0]])</f>
        <v>1.2407407407407407</v>
      </c>
      <c r="V400" s="13" cm="1">
        <f t="array" ref="V400">IF(Table8[[#This Row],[I_0]]&lt;Table24[Flitro de Ruido],1,Table8[[#This Row],[I_20]]/Table8[[#This Row],[I_0]])</f>
        <v>1.462962962962963</v>
      </c>
      <c r="W400" s="13" cm="1">
        <f t="array" ref="W400">IF(Table8[[#This Row],[I_0]]&lt;Table24[Flitro de Ruido],1,Table8[[#This Row],[I_30]]/Table8[[#This Row],[I_0]])</f>
        <v>1.2037037037037037</v>
      </c>
      <c r="X400" s="13" cm="1">
        <f t="array" ref="X400">IF(Table8[[#This Row],[I_0]]&lt;Table24[Flitro de Ruido],1,Table8[[#This Row],[I_40]]/Table8[[#This Row],[I_0]])</f>
        <v>1.4259259259259258</v>
      </c>
      <c r="Y400" s="13" cm="1">
        <f t="array" ref="Y400">IF(Table8[[#This Row],[I_0]]&lt;Table24[Flitro de Ruido],1,Table8[[#This Row],[I_50]]/Table8[[#This Row],[I_0]])</f>
        <v>1.4814814814814814</v>
      </c>
    </row>
    <row r="401" spans="1:25" x14ac:dyDescent="0.3">
      <c r="A401" s="13">
        <v>465.99</v>
      </c>
      <c r="B401" s="12">
        <v>4.3</v>
      </c>
      <c r="C401" s="11">
        <v>465.99</v>
      </c>
      <c r="D401" s="12">
        <v>5.4</v>
      </c>
      <c r="E401" s="11">
        <v>465.99</v>
      </c>
      <c r="F401" s="12">
        <v>6.4</v>
      </c>
      <c r="G401" s="11">
        <v>465.99</v>
      </c>
      <c r="H401" s="12">
        <v>5.2</v>
      </c>
      <c r="I401" s="11">
        <v>465.99</v>
      </c>
      <c r="J401" s="12">
        <v>6.2</v>
      </c>
      <c r="K401" s="11">
        <v>465.99</v>
      </c>
      <c r="L401" s="12">
        <v>6.4</v>
      </c>
      <c r="M401" s="11">
        <v>465.99</v>
      </c>
      <c r="N401" s="13">
        <v>4.3</v>
      </c>
      <c r="O401" s="11">
        <v>5.4</v>
      </c>
      <c r="P401" s="11">
        <v>6.4</v>
      </c>
      <c r="Q401" s="11">
        <v>5.2</v>
      </c>
      <c r="R401" s="11">
        <v>6.2</v>
      </c>
      <c r="S401" s="14">
        <v>6.4</v>
      </c>
      <c r="T401" s="11">
        <v>465.99</v>
      </c>
      <c r="U401" s="13" cm="1">
        <f t="array" ref="U401">IF(Table8[[#This Row],[I_0]]&lt;Table24[Flitro de Ruido],1,Table8[[#This Row],[I_10]]/Table8[[#This Row],[I_0]])</f>
        <v>1.2558139534883723</v>
      </c>
      <c r="V401" s="13" cm="1">
        <f t="array" ref="V401">IF(Table8[[#This Row],[I_0]]&lt;Table24[Flitro de Ruido],1,Table8[[#This Row],[I_20]]/Table8[[#This Row],[I_0]])</f>
        <v>1.488372093023256</v>
      </c>
      <c r="W401" s="13" cm="1">
        <f t="array" ref="W401">IF(Table8[[#This Row],[I_0]]&lt;Table24[Flitro de Ruido],1,Table8[[#This Row],[I_30]]/Table8[[#This Row],[I_0]])</f>
        <v>1.2093023255813955</v>
      </c>
      <c r="X401" s="13" cm="1">
        <f t="array" ref="X401">IF(Table8[[#This Row],[I_0]]&lt;Table24[Flitro de Ruido],1,Table8[[#This Row],[I_40]]/Table8[[#This Row],[I_0]])</f>
        <v>1.4418604651162792</v>
      </c>
      <c r="Y401" s="13" cm="1">
        <f t="array" ref="Y401">IF(Table8[[#This Row],[I_0]]&lt;Table24[Flitro de Ruido],1,Table8[[#This Row],[I_50]]/Table8[[#This Row],[I_0]])</f>
        <v>1.488372093023256</v>
      </c>
    </row>
    <row r="402" spans="1:25" x14ac:dyDescent="0.3">
      <c r="A402" s="13">
        <v>466.99</v>
      </c>
      <c r="B402" s="12">
        <v>3.5</v>
      </c>
      <c r="C402" s="11">
        <v>466.99</v>
      </c>
      <c r="D402" s="12">
        <v>4.4000000000000004</v>
      </c>
      <c r="E402" s="11">
        <v>466.99</v>
      </c>
      <c r="F402" s="12">
        <v>5.2</v>
      </c>
      <c r="G402" s="11">
        <v>466.99</v>
      </c>
      <c r="H402" s="12">
        <v>4.3</v>
      </c>
      <c r="I402" s="11">
        <v>466.99</v>
      </c>
      <c r="J402" s="12">
        <v>5.0999999999999996</v>
      </c>
      <c r="K402" s="11">
        <v>466.99</v>
      </c>
      <c r="L402" s="12">
        <v>5.2</v>
      </c>
      <c r="M402" s="11">
        <v>466.99</v>
      </c>
      <c r="N402" s="13">
        <v>3.5</v>
      </c>
      <c r="O402" s="11">
        <v>4.4000000000000004</v>
      </c>
      <c r="P402" s="11">
        <v>5.2</v>
      </c>
      <c r="Q402" s="11">
        <v>4.3</v>
      </c>
      <c r="R402" s="11">
        <v>5.0999999999999996</v>
      </c>
      <c r="S402" s="14">
        <v>5.2</v>
      </c>
      <c r="T402" s="11">
        <v>466.99</v>
      </c>
      <c r="U402" s="13" cm="1">
        <f t="array" ref="U402">IF(Table8[[#This Row],[I_0]]&lt;Table24[Flitro de Ruido],1,Table8[[#This Row],[I_10]]/Table8[[#This Row],[I_0]])</f>
        <v>1.2571428571428573</v>
      </c>
      <c r="V402" s="13" cm="1">
        <f t="array" ref="V402">IF(Table8[[#This Row],[I_0]]&lt;Table24[Flitro de Ruido],1,Table8[[#This Row],[I_20]]/Table8[[#This Row],[I_0]])</f>
        <v>1.4857142857142858</v>
      </c>
      <c r="W402" s="13" cm="1">
        <f t="array" ref="W402">IF(Table8[[#This Row],[I_0]]&lt;Table24[Flitro de Ruido],1,Table8[[#This Row],[I_30]]/Table8[[#This Row],[I_0]])</f>
        <v>1.2285714285714284</v>
      </c>
      <c r="X402" s="13" cm="1">
        <f t="array" ref="X402">IF(Table8[[#This Row],[I_0]]&lt;Table24[Flitro de Ruido],1,Table8[[#This Row],[I_40]]/Table8[[#This Row],[I_0]])</f>
        <v>1.4571428571428571</v>
      </c>
      <c r="Y402" s="13" cm="1">
        <f t="array" ref="Y402">IF(Table8[[#This Row],[I_0]]&lt;Table24[Flitro de Ruido],1,Table8[[#This Row],[I_50]]/Table8[[#This Row],[I_0]])</f>
        <v>1.4857142857142858</v>
      </c>
    </row>
    <row r="403" spans="1:25" x14ac:dyDescent="0.3">
      <c r="A403" s="13">
        <v>467.98</v>
      </c>
      <c r="B403" s="12">
        <v>2.8</v>
      </c>
      <c r="C403" s="11">
        <v>467.98</v>
      </c>
      <c r="D403" s="12">
        <v>3.6</v>
      </c>
      <c r="E403" s="11">
        <v>467.98</v>
      </c>
      <c r="F403" s="12">
        <v>4.2</v>
      </c>
      <c r="G403" s="11">
        <v>467.98</v>
      </c>
      <c r="H403" s="12">
        <v>3.4</v>
      </c>
      <c r="I403" s="11">
        <v>467.98</v>
      </c>
      <c r="J403" s="12">
        <v>4.0999999999999996</v>
      </c>
      <c r="K403" s="11">
        <v>467.98</v>
      </c>
      <c r="L403" s="12">
        <v>4.2</v>
      </c>
      <c r="M403" s="11">
        <v>467.98</v>
      </c>
      <c r="N403" s="13">
        <v>2.8</v>
      </c>
      <c r="O403" s="11">
        <v>3.6</v>
      </c>
      <c r="P403" s="11">
        <v>4.2</v>
      </c>
      <c r="Q403" s="11">
        <v>3.4</v>
      </c>
      <c r="R403" s="11">
        <v>4.0999999999999996</v>
      </c>
      <c r="S403" s="14">
        <v>4.2</v>
      </c>
      <c r="T403" s="11">
        <v>467.98</v>
      </c>
      <c r="U403" s="13" cm="1">
        <f t="array" ref="U403">IF(Table8[[#This Row],[I_0]]&lt;Table24[Flitro de Ruido],1,Table8[[#This Row],[I_10]]/Table8[[#This Row],[I_0]])</f>
        <v>1.2857142857142858</v>
      </c>
      <c r="V403" s="13" cm="1">
        <f t="array" ref="V403">IF(Table8[[#This Row],[I_0]]&lt;Table24[Flitro de Ruido],1,Table8[[#This Row],[I_20]]/Table8[[#This Row],[I_0]])</f>
        <v>1.5000000000000002</v>
      </c>
      <c r="W403" s="13" cm="1">
        <f t="array" ref="W403">IF(Table8[[#This Row],[I_0]]&lt;Table24[Flitro de Ruido],1,Table8[[#This Row],[I_30]]/Table8[[#This Row],[I_0]])</f>
        <v>1.2142857142857144</v>
      </c>
      <c r="X403" s="13" cm="1">
        <f t="array" ref="X403">IF(Table8[[#This Row],[I_0]]&lt;Table24[Flitro de Ruido],1,Table8[[#This Row],[I_40]]/Table8[[#This Row],[I_0]])</f>
        <v>1.4642857142857142</v>
      </c>
      <c r="Y403" s="13" cm="1">
        <f t="array" ref="Y403">IF(Table8[[#This Row],[I_0]]&lt;Table24[Flitro de Ruido],1,Table8[[#This Row],[I_50]]/Table8[[#This Row],[I_0]])</f>
        <v>1.5000000000000002</v>
      </c>
    </row>
    <row r="404" spans="1:25" x14ac:dyDescent="0.3">
      <c r="A404" s="13">
        <v>468.97</v>
      </c>
      <c r="B404" s="12">
        <v>2.2999999999999998</v>
      </c>
      <c r="C404" s="11">
        <v>468.97</v>
      </c>
      <c r="D404" s="12">
        <v>2.9</v>
      </c>
      <c r="E404" s="11">
        <v>468.97</v>
      </c>
      <c r="F404" s="12">
        <v>3.4</v>
      </c>
      <c r="G404" s="11">
        <v>468.97</v>
      </c>
      <c r="H404" s="12">
        <v>2.8</v>
      </c>
      <c r="I404" s="11">
        <v>468.97</v>
      </c>
      <c r="J404" s="12">
        <v>3.3</v>
      </c>
      <c r="K404" s="11">
        <v>468.97</v>
      </c>
      <c r="L404" s="12">
        <v>3.4</v>
      </c>
      <c r="M404" s="11">
        <v>468.97</v>
      </c>
      <c r="N404" s="13">
        <v>2.2999999999999998</v>
      </c>
      <c r="O404" s="11">
        <v>2.9</v>
      </c>
      <c r="P404" s="11">
        <v>3.4</v>
      </c>
      <c r="Q404" s="11">
        <v>2.8</v>
      </c>
      <c r="R404" s="11">
        <v>3.3</v>
      </c>
      <c r="S404" s="14">
        <v>3.4</v>
      </c>
      <c r="T404" s="11">
        <v>468.97</v>
      </c>
      <c r="U404" s="13" cm="1">
        <f t="array" ref="U404">IF(Table8[[#This Row],[I_0]]&lt;Table24[Flitro de Ruido],1,Table8[[#This Row],[I_10]]/Table8[[#This Row],[I_0]])</f>
        <v>1.2608695652173914</v>
      </c>
      <c r="V404" s="13" cm="1">
        <f t="array" ref="V404">IF(Table8[[#This Row],[I_0]]&lt;Table24[Flitro de Ruido],1,Table8[[#This Row],[I_20]]/Table8[[#This Row],[I_0]])</f>
        <v>1.4782608695652175</v>
      </c>
      <c r="W404" s="13" cm="1">
        <f t="array" ref="W404">IF(Table8[[#This Row],[I_0]]&lt;Table24[Flitro de Ruido],1,Table8[[#This Row],[I_30]]/Table8[[#This Row],[I_0]])</f>
        <v>1.2173913043478262</v>
      </c>
      <c r="X404" s="13" cm="1">
        <f t="array" ref="X404">IF(Table8[[#This Row],[I_0]]&lt;Table24[Flitro de Ruido],1,Table8[[#This Row],[I_40]]/Table8[[#This Row],[I_0]])</f>
        <v>1.4347826086956521</v>
      </c>
      <c r="Y404" s="13" cm="1">
        <f t="array" ref="Y404">IF(Table8[[#This Row],[I_0]]&lt;Table24[Flitro de Ruido],1,Table8[[#This Row],[I_50]]/Table8[[#This Row],[I_0]])</f>
        <v>1.4782608695652175</v>
      </c>
    </row>
    <row r="405" spans="1:25" x14ac:dyDescent="0.3">
      <c r="A405" s="13">
        <v>469.96</v>
      </c>
      <c r="B405" s="12">
        <v>1.9</v>
      </c>
      <c r="C405" s="11">
        <v>469.96</v>
      </c>
      <c r="D405" s="12">
        <v>2.2999999999999998</v>
      </c>
      <c r="E405" s="11">
        <v>469.96</v>
      </c>
      <c r="F405" s="12">
        <v>2.8</v>
      </c>
      <c r="G405" s="11">
        <v>469.96</v>
      </c>
      <c r="H405" s="12">
        <v>2.2999999999999998</v>
      </c>
      <c r="I405" s="11">
        <v>469.96</v>
      </c>
      <c r="J405" s="12">
        <v>2.7</v>
      </c>
      <c r="K405" s="11">
        <v>469.96</v>
      </c>
      <c r="L405" s="12">
        <v>2.8</v>
      </c>
      <c r="M405" s="11">
        <v>469.96</v>
      </c>
      <c r="N405" s="13">
        <v>1.9</v>
      </c>
      <c r="O405" s="11">
        <v>2.2999999999999998</v>
      </c>
      <c r="P405" s="11">
        <v>2.8</v>
      </c>
      <c r="Q405" s="11">
        <v>2.2999999999999998</v>
      </c>
      <c r="R405" s="11">
        <v>2.7</v>
      </c>
      <c r="S405" s="14">
        <v>2.8</v>
      </c>
      <c r="T405" s="11">
        <v>469.96</v>
      </c>
      <c r="U405" s="13" cm="1">
        <f t="array" ref="U405">IF(Table8[[#This Row],[I_0]]&lt;Table24[Flitro de Ruido],1,Table8[[#This Row],[I_10]]/Table8[[#This Row],[I_0]])</f>
        <v>1.2105263157894737</v>
      </c>
      <c r="V405" s="13" cm="1">
        <f t="array" ref="V405">IF(Table8[[#This Row],[I_0]]&lt;Table24[Flitro de Ruido],1,Table8[[#This Row],[I_20]]/Table8[[#This Row],[I_0]])</f>
        <v>1.4736842105263157</v>
      </c>
      <c r="W405" s="13" cm="1">
        <f t="array" ref="W405">IF(Table8[[#This Row],[I_0]]&lt;Table24[Flitro de Ruido],1,Table8[[#This Row],[I_30]]/Table8[[#This Row],[I_0]])</f>
        <v>1.2105263157894737</v>
      </c>
      <c r="X405" s="13" cm="1">
        <f t="array" ref="X405">IF(Table8[[#This Row],[I_0]]&lt;Table24[Flitro de Ruido],1,Table8[[#This Row],[I_40]]/Table8[[#This Row],[I_0]])</f>
        <v>1.4210526315789476</v>
      </c>
      <c r="Y405" s="13" cm="1">
        <f t="array" ref="Y405">IF(Table8[[#This Row],[I_0]]&lt;Table24[Flitro de Ruido],1,Table8[[#This Row],[I_50]]/Table8[[#This Row],[I_0]])</f>
        <v>1.4736842105263157</v>
      </c>
    </row>
    <row r="406" spans="1:25" x14ac:dyDescent="0.3">
      <c r="A406" s="13">
        <v>470.95</v>
      </c>
      <c r="B406" s="12">
        <v>1.5</v>
      </c>
      <c r="C406" s="11">
        <v>470.95</v>
      </c>
      <c r="D406" s="12">
        <v>1.9</v>
      </c>
      <c r="E406" s="11">
        <v>470.95</v>
      </c>
      <c r="F406" s="12">
        <v>2.2999999999999998</v>
      </c>
      <c r="G406" s="11">
        <v>470.95</v>
      </c>
      <c r="H406" s="12">
        <v>1.8</v>
      </c>
      <c r="I406" s="11">
        <v>470.95</v>
      </c>
      <c r="J406" s="12">
        <v>2.2000000000000002</v>
      </c>
      <c r="K406" s="11">
        <v>470.95</v>
      </c>
      <c r="L406" s="12">
        <v>2.2999999999999998</v>
      </c>
      <c r="M406" s="11">
        <v>470.95</v>
      </c>
      <c r="N406" s="13">
        <v>1.5</v>
      </c>
      <c r="O406" s="11">
        <v>1.9</v>
      </c>
      <c r="P406" s="11">
        <v>2.2999999999999998</v>
      </c>
      <c r="Q406" s="11">
        <v>1.8</v>
      </c>
      <c r="R406" s="11">
        <v>2.2000000000000002</v>
      </c>
      <c r="S406" s="14">
        <v>2.2999999999999998</v>
      </c>
      <c r="T406" s="11">
        <v>470.95</v>
      </c>
      <c r="U406" s="13" cm="1">
        <f t="array" ref="U406">IF(Table8[[#This Row],[I_0]]&lt;Table24[Flitro de Ruido],1,Table8[[#This Row],[I_10]]/Table8[[#This Row],[I_0]])</f>
        <v>1.2666666666666666</v>
      </c>
      <c r="V406" s="13" cm="1">
        <f t="array" ref="V406">IF(Table8[[#This Row],[I_0]]&lt;Table24[Flitro de Ruido],1,Table8[[#This Row],[I_20]]/Table8[[#This Row],[I_0]])</f>
        <v>1.5333333333333332</v>
      </c>
      <c r="W406" s="13" cm="1">
        <f t="array" ref="W406">IF(Table8[[#This Row],[I_0]]&lt;Table24[Flitro de Ruido],1,Table8[[#This Row],[I_30]]/Table8[[#This Row],[I_0]])</f>
        <v>1.2</v>
      </c>
      <c r="X406" s="13" cm="1">
        <f t="array" ref="X406">IF(Table8[[#This Row],[I_0]]&lt;Table24[Flitro de Ruido],1,Table8[[#This Row],[I_40]]/Table8[[#This Row],[I_0]])</f>
        <v>1.4666666666666668</v>
      </c>
      <c r="Y406" s="13" cm="1">
        <f t="array" ref="Y406">IF(Table8[[#This Row],[I_0]]&lt;Table24[Flitro de Ruido],1,Table8[[#This Row],[I_50]]/Table8[[#This Row],[I_0]])</f>
        <v>1.5333333333333332</v>
      </c>
    </row>
    <row r="407" spans="1:25" x14ac:dyDescent="0.3">
      <c r="A407" s="13">
        <v>471.95</v>
      </c>
      <c r="B407" s="12">
        <v>1.2</v>
      </c>
      <c r="C407" s="11">
        <v>471.95</v>
      </c>
      <c r="D407" s="12">
        <v>1.6</v>
      </c>
      <c r="E407" s="11">
        <v>471.95</v>
      </c>
      <c r="F407" s="12">
        <v>1.8</v>
      </c>
      <c r="G407" s="11">
        <v>471.95</v>
      </c>
      <c r="H407" s="12">
        <v>1.5</v>
      </c>
      <c r="I407" s="11">
        <v>471.95</v>
      </c>
      <c r="J407" s="12">
        <v>1.8</v>
      </c>
      <c r="K407" s="11">
        <v>471.95</v>
      </c>
      <c r="L407" s="12">
        <v>1.9</v>
      </c>
      <c r="M407" s="11">
        <v>471.95</v>
      </c>
      <c r="N407" s="13">
        <v>1.2</v>
      </c>
      <c r="O407" s="11">
        <v>1.6</v>
      </c>
      <c r="P407" s="11">
        <v>1.8</v>
      </c>
      <c r="Q407" s="11">
        <v>1.5</v>
      </c>
      <c r="R407" s="11">
        <v>1.8</v>
      </c>
      <c r="S407" s="14">
        <v>1.9</v>
      </c>
      <c r="T407" s="11">
        <v>471.95</v>
      </c>
      <c r="U407" s="13" cm="1">
        <f t="array" ref="U407">IF(Table8[[#This Row],[I_0]]&lt;Table24[Flitro de Ruido],1,Table8[[#This Row],[I_10]]/Table8[[#This Row],[I_0]])</f>
        <v>1.3333333333333335</v>
      </c>
      <c r="V407" s="13" cm="1">
        <f t="array" ref="V407">IF(Table8[[#This Row],[I_0]]&lt;Table24[Flitro de Ruido],1,Table8[[#This Row],[I_20]]/Table8[[#This Row],[I_0]])</f>
        <v>1.5</v>
      </c>
      <c r="W407" s="13" cm="1">
        <f t="array" ref="W407">IF(Table8[[#This Row],[I_0]]&lt;Table24[Flitro de Ruido],1,Table8[[#This Row],[I_30]]/Table8[[#This Row],[I_0]])</f>
        <v>1.25</v>
      </c>
      <c r="X407" s="13" cm="1">
        <f t="array" ref="X407">IF(Table8[[#This Row],[I_0]]&lt;Table24[Flitro de Ruido],1,Table8[[#This Row],[I_40]]/Table8[[#This Row],[I_0]])</f>
        <v>1.5</v>
      </c>
      <c r="Y407" s="13" cm="1">
        <f t="array" ref="Y407">IF(Table8[[#This Row],[I_0]]&lt;Table24[Flitro de Ruido],1,Table8[[#This Row],[I_50]]/Table8[[#This Row],[I_0]])</f>
        <v>1.5833333333333333</v>
      </c>
    </row>
    <row r="408" spans="1:25" x14ac:dyDescent="0.3">
      <c r="A408" s="13">
        <v>472.94</v>
      </c>
      <c r="B408" s="12">
        <v>1</v>
      </c>
      <c r="C408" s="11">
        <v>472.94</v>
      </c>
      <c r="D408" s="12">
        <v>1.3</v>
      </c>
      <c r="E408" s="11">
        <v>472.94</v>
      </c>
      <c r="F408" s="12">
        <v>1.5</v>
      </c>
      <c r="G408" s="11">
        <v>472.94</v>
      </c>
      <c r="H408" s="12">
        <v>1.2</v>
      </c>
      <c r="I408" s="11">
        <v>472.94</v>
      </c>
      <c r="J408" s="12">
        <v>1.5</v>
      </c>
      <c r="K408" s="11">
        <v>472.94</v>
      </c>
      <c r="L408" s="12">
        <v>1.5</v>
      </c>
      <c r="M408" s="11">
        <v>472.94</v>
      </c>
      <c r="N408" s="13">
        <v>1</v>
      </c>
      <c r="O408" s="11">
        <v>1.3</v>
      </c>
      <c r="P408" s="11">
        <v>1.5</v>
      </c>
      <c r="Q408" s="11">
        <v>1.2</v>
      </c>
      <c r="R408" s="11">
        <v>1.5</v>
      </c>
      <c r="S408" s="14">
        <v>1.5</v>
      </c>
      <c r="T408" s="11">
        <v>472.94</v>
      </c>
      <c r="U408" s="13" cm="1">
        <f t="array" ref="U408">IF(Table8[[#This Row],[I_0]]&lt;Table24[Flitro de Ruido],1,Table8[[#This Row],[I_10]]/Table8[[#This Row],[I_0]])</f>
        <v>1.3</v>
      </c>
      <c r="V408" s="13" cm="1">
        <f t="array" ref="V408">IF(Table8[[#This Row],[I_0]]&lt;Table24[Flitro de Ruido],1,Table8[[#This Row],[I_20]]/Table8[[#This Row],[I_0]])</f>
        <v>1.5</v>
      </c>
      <c r="W408" s="13" cm="1">
        <f t="array" ref="W408">IF(Table8[[#This Row],[I_0]]&lt;Table24[Flitro de Ruido],1,Table8[[#This Row],[I_30]]/Table8[[#This Row],[I_0]])</f>
        <v>1.2</v>
      </c>
      <c r="X408" s="13" cm="1">
        <f t="array" ref="X408">IF(Table8[[#This Row],[I_0]]&lt;Table24[Flitro de Ruido],1,Table8[[#This Row],[I_40]]/Table8[[#This Row],[I_0]])</f>
        <v>1.5</v>
      </c>
      <c r="Y408" s="13" cm="1">
        <f t="array" ref="Y408">IF(Table8[[#This Row],[I_0]]&lt;Table24[Flitro de Ruido],1,Table8[[#This Row],[I_50]]/Table8[[#This Row],[I_0]])</f>
        <v>1.5</v>
      </c>
    </row>
    <row r="409" spans="1:25" x14ac:dyDescent="0.3">
      <c r="A409" s="13">
        <v>473.93</v>
      </c>
      <c r="B409" s="12">
        <v>0.8</v>
      </c>
      <c r="C409" s="11">
        <v>473.93</v>
      </c>
      <c r="D409" s="12">
        <v>1</v>
      </c>
      <c r="E409" s="11">
        <v>473.93</v>
      </c>
      <c r="F409" s="12">
        <v>1.2</v>
      </c>
      <c r="G409" s="11">
        <v>473.93</v>
      </c>
      <c r="H409" s="12">
        <v>1</v>
      </c>
      <c r="I409" s="11">
        <v>473.93</v>
      </c>
      <c r="J409" s="12">
        <v>1.2</v>
      </c>
      <c r="K409" s="11">
        <v>473.93</v>
      </c>
      <c r="L409" s="12">
        <v>1.2</v>
      </c>
      <c r="M409" s="11">
        <v>473.93</v>
      </c>
      <c r="N409" s="13">
        <v>0.8</v>
      </c>
      <c r="O409" s="11">
        <v>1</v>
      </c>
      <c r="P409" s="11">
        <v>1.2</v>
      </c>
      <c r="Q409" s="11">
        <v>1</v>
      </c>
      <c r="R409" s="11">
        <v>1.2</v>
      </c>
      <c r="S409" s="14">
        <v>1.2</v>
      </c>
      <c r="T409" s="11">
        <v>473.93</v>
      </c>
      <c r="U409" s="13" cm="1">
        <f t="array" ref="U409">IF(Table8[[#This Row],[I_0]]&lt;Table24[Flitro de Ruido],1,Table8[[#This Row],[I_10]]/Table8[[#This Row],[I_0]])</f>
        <v>1.25</v>
      </c>
      <c r="V409" s="13" cm="1">
        <f t="array" ref="V409">IF(Table8[[#This Row],[I_0]]&lt;Table24[Flitro de Ruido],1,Table8[[#This Row],[I_20]]/Table8[[#This Row],[I_0]])</f>
        <v>1.4999999999999998</v>
      </c>
      <c r="W409" s="13" cm="1">
        <f t="array" ref="W409">IF(Table8[[#This Row],[I_0]]&lt;Table24[Flitro de Ruido],1,Table8[[#This Row],[I_30]]/Table8[[#This Row],[I_0]])</f>
        <v>1.25</v>
      </c>
      <c r="X409" s="13" cm="1">
        <f t="array" ref="X409">IF(Table8[[#This Row],[I_0]]&lt;Table24[Flitro de Ruido],1,Table8[[#This Row],[I_40]]/Table8[[#This Row],[I_0]])</f>
        <v>1.4999999999999998</v>
      </c>
      <c r="Y409" s="13" cm="1">
        <f t="array" ref="Y409">IF(Table8[[#This Row],[I_0]]&lt;Table24[Flitro de Ruido],1,Table8[[#This Row],[I_50]]/Table8[[#This Row],[I_0]])</f>
        <v>1.4999999999999998</v>
      </c>
    </row>
    <row r="410" spans="1:25" x14ac:dyDescent="0.3">
      <c r="A410" s="13">
        <v>474.92</v>
      </c>
      <c r="B410" s="12">
        <v>0.7</v>
      </c>
      <c r="C410" s="11">
        <v>474.92</v>
      </c>
      <c r="D410" s="12">
        <v>0.9</v>
      </c>
      <c r="E410" s="11">
        <v>474.92</v>
      </c>
      <c r="F410" s="12">
        <v>1</v>
      </c>
      <c r="G410" s="11">
        <v>474.92</v>
      </c>
      <c r="H410" s="12">
        <v>0.8</v>
      </c>
      <c r="I410" s="11">
        <v>474.92</v>
      </c>
      <c r="J410" s="12">
        <v>1</v>
      </c>
      <c r="K410" s="11">
        <v>474.92</v>
      </c>
      <c r="L410" s="12">
        <v>1</v>
      </c>
      <c r="M410" s="11">
        <v>474.92</v>
      </c>
      <c r="N410" s="13">
        <v>0.7</v>
      </c>
      <c r="O410" s="11">
        <v>0.9</v>
      </c>
      <c r="P410" s="11">
        <v>1</v>
      </c>
      <c r="Q410" s="11">
        <v>0.8</v>
      </c>
      <c r="R410" s="11">
        <v>1</v>
      </c>
      <c r="S410" s="14">
        <v>1</v>
      </c>
      <c r="T410" s="11">
        <v>474.92</v>
      </c>
      <c r="U410" s="13" cm="1">
        <f t="array" ref="U410">IF(Table8[[#This Row],[I_0]]&lt;Table24[Flitro de Ruido],1,Table8[[#This Row],[I_10]]/Table8[[#This Row],[I_0]])</f>
        <v>1.2857142857142858</v>
      </c>
      <c r="V410" s="13" cm="1">
        <f t="array" ref="V410">IF(Table8[[#This Row],[I_0]]&lt;Table24[Flitro de Ruido],1,Table8[[#This Row],[I_20]]/Table8[[#This Row],[I_0]])</f>
        <v>1.4285714285714286</v>
      </c>
      <c r="W410" s="13" cm="1">
        <f t="array" ref="W410">IF(Table8[[#This Row],[I_0]]&lt;Table24[Flitro de Ruido],1,Table8[[#This Row],[I_30]]/Table8[[#This Row],[I_0]])</f>
        <v>1.142857142857143</v>
      </c>
      <c r="X410" s="13" cm="1">
        <f t="array" ref="X410">IF(Table8[[#This Row],[I_0]]&lt;Table24[Flitro de Ruido],1,Table8[[#This Row],[I_40]]/Table8[[#This Row],[I_0]])</f>
        <v>1.4285714285714286</v>
      </c>
      <c r="Y410" s="13" cm="1">
        <f t="array" ref="Y410">IF(Table8[[#This Row],[I_0]]&lt;Table24[Flitro de Ruido],1,Table8[[#This Row],[I_50]]/Table8[[#This Row],[I_0]])</f>
        <v>1.4285714285714286</v>
      </c>
    </row>
    <row r="411" spans="1:25" x14ac:dyDescent="0.3">
      <c r="A411" s="13">
        <v>475.91</v>
      </c>
      <c r="B411" s="12">
        <v>0.6</v>
      </c>
      <c r="C411" s="11">
        <v>475.91</v>
      </c>
      <c r="D411" s="12">
        <v>0.7</v>
      </c>
      <c r="E411" s="11">
        <v>475.91</v>
      </c>
      <c r="F411" s="12">
        <v>0.9</v>
      </c>
      <c r="G411" s="11">
        <v>475.91</v>
      </c>
      <c r="H411" s="12">
        <v>0.7</v>
      </c>
      <c r="I411" s="11">
        <v>475.91</v>
      </c>
      <c r="J411" s="12">
        <v>0.8</v>
      </c>
      <c r="K411" s="11">
        <v>475.91</v>
      </c>
      <c r="L411" s="12">
        <v>0.9</v>
      </c>
      <c r="M411" s="11">
        <v>475.91</v>
      </c>
      <c r="N411" s="13">
        <v>0.6</v>
      </c>
      <c r="O411" s="11">
        <v>0.7</v>
      </c>
      <c r="P411" s="11">
        <v>0.9</v>
      </c>
      <c r="Q411" s="11">
        <v>0.7</v>
      </c>
      <c r="R411" s="11">
        <v>0.8</v>
      </c>
      <c r="S411" s="14">
        <v>0.9</v>
      </c>
      <c r="T411" s="11">
        <v>475.91</v>
      </c>
      <c r="U411" s="13" cm="1">
        <f t="array" ref="U411">IF(Table8[[#This Row],[I_0]]&lt;Table24[Flitro de Ruido],1,Table8[[#This Row],[I_10]]/Table8[[#This Row],[I_0]])</f>
        <v>1.1666666666666667</v>
      </c>
      <c r="V411" s="13" cm="1">
        <f t="array" ref="V411">IF(Table8[[#This Row],[I_0]]&lt;Table24[Flitro de Ruido],1,Table8[[#This Row],[I_20]]/Table8[[#This Row],[I_0]])</f>
        <v>1.5</v>
      </c>
      <c r="W411" s="13" cm="1">
        <f t="array" ref="W411">IF(Table8[[#This Row],[I_0]]&lt;Table24[Flitro de Ruido],1,Table8[[#This Row],[I_30]]/Table8[[#This Row],[I_0]])</f>
        <v>1.1666666666666667</v>
      </c>
      <c r="X411" s="13" cm="1">
        <f t="array" ref="X411">IF(Table8[[#This Row],[I_0]]&lt;Table24[Flitro de Ruido],1,Table8[[#This Row],[I_40]]/Table8[[#This Row],[I_0]])</f>
        <v>1.3333333333333335</v>
      </c>
      <c r="Y411" s="13" cm="1">
        <f t="array" ref="Y411">IF(Table8[[#This Row],[I_0]]&lt;Table24[Flitro de Ruido],1,Table8[[#This Row],[I_50]]/Table8[[#This Row],[I_0]])</f>
        <v>1.5</v>
      </c>
    </row>
    <row r="412" spans="1:25" x14ac:dyDescent="0.3">
      <c r="A412" s="13">
        <v>476.9</v>
      </c>
      <c r="B412" s="12">
        <v>0.5</v>
      </c>
      <c r="C412" s="11">
        <v>476.9</v>
      </c>
      <c r="D412" s="12">
        <v>0.6</v>
      </c>
      <c r="E412" s="11">
        <v>476.9</v>
      </c>
      <c r="F412" s="12">
        <v>0.7</v>
      </c>
      <c r="G412" s="11">
        <v>476.9</v>
      </c>
      <c r="H412" s="12">
        <v>0.6</v>
      </c>
      <c r="I412" s="11">
        <v>476.9</v>
      </c>
      <c r="J412" s="12">
        <v>0.7</v>
      </c>
      <c r="K412" s="11">
        <v>476.9</v>
      </c>
      <c r="L412" s="12">
        <v>0.7</v>
      </c>
      <c r="M412" s="11">
        <v>476.9</v>
      </c>
      <c r="N412" s="13">
        <v>0.5</v>
      </c>
      <c r="O412" s="11">
        <v>0.6</v>
      </c>
      <c r="P412" s="11">
        <v>0.7</v>
      </c>
      <c r="Q412" s="11">
        <v>0.6</v>
      </c>
      <c r="R412" s="11">
        <v>0.7</v>
      </c>
      <c r="S412" s="14">
        <v>0.7</v>
      </c>
      <c r="T412" s="11">
        <v>476.9</v>
      </c>
      <c r="U412" s="13" cm="1">
        <f t="array" ref="U412">IF(Table8[[#This Row],[I_0]]&lt;Table24[Flitro de Ruido],1,Table8[[#This Row],[I_10]]/Table8[[#This Row],[I_0]])</f>
        <v>1.2</v>
      </c>
      <c r="V412" s="13" cm="1">
        <f t="array" ref="V412">IF(Table8[[#This Row],[I_0]]&lt;Table24[Flitro de Ruido],1,Table8[[#This Row],[I_20]]/Table8[[#This Row],[I_0]])</f>
        <v>1.4</v>
      </c>
      <c r="W412" s="13" cm="1">
        <f t="array" ref="W412">IF(Table8[[#This Row],[I_0]]&lt;Table24[Flitro de Ruido],1,Table8[[#This Row],[I_30]]/Table8[[#This Row],[I_0]])</f>
        <v>1.2</v>
      </c>
      <c r="X412" s="13" cm="1">
        <f t="array" ref="X412">IF(Table8[[#This Row],[I_0]]&lt;Table24[Flitro de Ruido],1,Table8[[#This Row],[I_40]]/Table8[[#This Row],[I_0]])</f>
        <v>1.4</v>
      </c>
      <c r="Y412" s="13" cm="1">
        <f t="array" ref="Y412">IF(Table8[[#This Row],[I_0]]&lt;Table24[Flitro de Ruido],1,Table8[[#This Row],[I_50]]/Table8[[#This Row],[I_0]])</f>
        <v>1.4</v>
      </c>
    </row>
    <row r="413" spans="1:25" x14ac:dyDescent="0.3">
      <c r="A413" s="13">
        <v>477.9</v>
      </c>
      <c r="B413" s="12">
        <v>0.4</v>
      </c>
      <c r="C413" s="11">
        <v>477.9</v>
      </c>
      <c r="D413" s="12">
        <v>0.5</v>
      </c>
      <c r="E413" s="11">
        <v>477.9</v>
      </c>
      <c r="F413" s="12">
        <v>0.6</v>
      </c>
      <c r="G413" s="11">
        <v>477.9</v>
      </c>
      <c r="H413" s="12">
        <v>0.5</v>
      </c>
      <c r="I413" s="11">
        <v>477.9</v>
      </c>
      <c r="J413" s="12">
        <v>0.6</v>
      </c>
      <c r="K413" s="11">
        <v>477.9</v>
      </c>
      <c r="L413" s="12">
        <v>0.6</v>
      </c>
      <c r="M413" s="11">
        <v>477.9</v>
      </c>
      <c r="N413" s="13">
        <v>0.4</v>
      </c>
      <c r="O413" s="11">
        <v>0.5</v>
      </c>
      <c r="P413" s="11">
        <v>0.6</v>
      </c>
      <c r="Q413" s="11">
        <v>0.5</v>
      </c>
      <c r="R413" s="11">
        <v>0.6</v>
      </c>
      <c r="S413" s="14">
        <v>0.6</v>
      </c>
      <c r="T413" s="11">
        <v>477.9</v>
      </c>
      <c r="U413" s="13" cm="1">
        <f t="array" ref="U413">IF(Table8[[#This Row],[I_0]]&lt;Table24[Flitro de Ruido],1,Table8[[#This Row],[I_10]]/Table8[[#This Row],[I_0]])</f>
        <v>1.25</v>
      </c>
      <c r="V413" s="13" cm="1">
        <f t="array" ref="V413">IF(Table8[[#This Row],[I_0]]&lt;Table24[Flitro de Ruido],1,Table8[[#This Row],[I_20]]/Table8[[#This Row],[I_0]])</f>
        <v>1.4999999999999998</v>
      </c>
      <c r="W413" s="13" cm="1">
        <f t="array" ref="W413">IF(Table8[[#This Row],[I_0]]&lt;Table24[Flitro de Ruido],1,Table8[[#This Row],[I_30]]/Table8[[#This Row],[I_0]])</f>
        <v>1.25</v>
      </c>
      <c r="X413" s="13" cm="1">
        <f t="array" ref="X413">IF(Table8[[#This Row],[I_0]]&lt;Table24[Flitro de Ruido],1,Table8[[#This Row],[I_40]]/Table8[[#This Row],[I_0]])</f>
        <v>1.4999999999999998</v>
      </c>
      <c r="Y413" s="13" cm="1">
        <f t="array" ref="Y413">IF(Table8[[#This Row],[I_0]]&lt;Table24[Flitro de Ruido],1,Table8[[#This Row],[I_50]]/Table8[[#This Row],[I_0]])</f>
        <v>1.4999999999999998</v>
      </c>
    </row>
    <row r="414" spans="1:25" x14ac:dyDescent="0.3">
      <c r="A414" s="13">
        <v>478.89</v>
      </c>
      <c r="B414" s="12">
        <v>0.4</v>
      </c>
      <c r="C414" s="11">
        <v>478.89</v>
      </c>
      <c r="D414" s="12">
        <v>0.5</v>
      </c>
      <c r="E414" s="11">
        <v>478.89</v>
      </c>
      <c r="F414" s="12">
        <v>0.6</v>
      </c>
      <c r="G414" s="11">
        <v>478.89</v>
      </c>
      <c r="H414" s="12">
        <v>0.5</v>
      </c>
      <c r="I414" s="11">
        <v>478.89</v>
      </c>
      <c r="J414" s="12">
        <v>0.6</v>
      </c>
      <c r="K414" s="11">
        <v>478.89</v>
      </c>
      <c r="L414" s="12">
        <v>0.6</v>
      </c>
      <c r="M414" s="11">
        <v>478.89</v>
      </c>
      <c r="N414" s="13">
        <v>0.4</v>
      </c>
      <c r="O414" s="11">
        <v>0.5</v>
      </c>
      <c r="P414" s="11">
        <v>0.6</v>
      </c>
      <c r="Q414" s="11">
        <v>0.5</v>
      </c>
      <c r="R414" s="11">
        <v>0.6</v>
      </c>
      <c r="S414" s="14">
        <v>0.6</v>
      </c>
      <c r="T414" s="11">
        <v>478.89</v>
      </c>
      <c r="U414" s="13" cm="1">
        <f t="array" ref="U414">IF(Table8[[#This Row],[I_0]]&lt;Table24[Flitro de Ruido],1,Table8[[#This Row],[I_10]]/Table8[[#This Row],[I_0]])</f>
        <v>1.25</v>
      </c>
      <c r="V414" s="13" cm="1">
        <f t="array" ref="V414">IF(Table8[[#This Row],[I_0]]&lt;Table24[Flitro de Ruido],1,Table8[[#This Row],[I_20]]/Table8[[#This Row],[I_0]])</f>
        <v>1.4999999999999998</v>
      </c>
      <c r="W414" s="13" cm="1">
        <f t="array" ref="W414">IF(Table8[[#This Row],[I_0]]&lt;Table24[Flitro de Ruido],1,Table8[[#This Row],[I_30]]/Table8[[#This Row],[I_0]])</f>
        <v>1.25</v>
      </c>
      <c r="X414" s="13" cm="1">
        <f t="array" ref="X414">IF(Table8[[#This Row],[I_0]]&lt;Table24[Flitro de Ruido],1,Table8[[#This Row],[I_40]]/Table8[[#This Row],[I_0]])</f>
        <v>1.4999999999999998</v>
      </c>
      <c r="Y414" s="13" cm="1">
        <f t="array" ref="Y414">IF(Table8[[#This Row],[I_0]]&lt;Table24[Flitro de Ruido],1,Table8[[#This Row],[I_50]]/Table8[[#This Row],[I_0]])</f>
        <v>1.4999999999999998</v>
      </c>
    </row>
    <row r="415" spans="1:25" x14ac:dyDescent="0.3">
      <c r="A415" s="13">
        <v>479.88</v>
      </c>
      <c r="B415" s="12">
        <v>0.3</v>
      </c>
      <c r="C415" s="11">
        <v>479.88</v>
      </c>
      <c r="D415" s="12">
        <v>0.4</v>
      </c>
      <c r="E415" s="11">
        <v>479.88</v>
      </c>
      <c r="F415" s="12">
        <v>0.5</v>
      </c>
      <c r="G415" s="11">
        <v>479.88</v>
      </c>
      <c r="H415" s="12">
        <v>0.4</v>
      </c>
      <c r="I415" s="11">
        <v>479.88</v>
      </c>
      <c r="J415" s="12">
        <v>0.5</v>
      </c>
      <c r="K415" s="11">
        <v>479.88</v>
      </c>
      <c r="L415" s="12">
        <v>0.5</v>
      </c>
      <c r="M415" s="11">
        <v>479.88</v>
      </c>
      <c r="N415" s="13">
        <v>0.3</v>
      </c>
      <c r="O415" s="11">
        <v>0.4</v>
      </c>
      <c r="P415" s="11">
        <v>0.5</v>
      </c>
      <c r="Q415" s="11">
        <v>0.4</v>
      </c>
      <c r="R415" s="11">
        <v>0.5</v>
      </c>
      <c r="S415" s="14">
        <v>0.5</v>
      </c>
      <c r="T415" s="11">
        <v>479.88</v>
      </c>
      <c r="U415" s="13" cm="1">
        <f t="array" ref="U415">IF(Table8[[#This Row],[I_0]]&lt;Table24[Flitro de Ruido],1,Table8[[#This Row],[I_10]]/Table8[[#This Row],[I_0]])</f>
        <v>1.3333333333333335</v>
      </c>
      <c r="V415" s="13" cm="1">
        <f t="array" ref="V415">IF(Table8[[#This Row],[I_0]]&lt;Table24[Flitro de Ruido],1,Table8[[#This Row],[I_20]]/Table8[[#This Row],[I_0]])</f>
        <v>1.6666666666666667</v>
      </c>
      <c r="W415" s="13" cm="1">
        <f t="array" ref="W415">IF(Table8[[#This Row],[I_0]]&lt;Table24[Flitro de Ruido],1,Table8[[#This Row],[I_30]]/Table8[[#This Row],[I_0]])</f>
        <v>1.3333333333333335</v>
      </c>
      <c r="X415" s="13" cm="1">
        <f t="array" ref="X415">IF(Table8[[#This Row],[I_0]]&lt;Table24[Flitro de Ruido],1,Table8[[#This Row],[I_40]]/Table8[[#This Row],[I_0]])</f>
        <v>1.6666666666666667</v>
      </c>
      <c r="Y415" s="13" cm="1">
        <f t="array" ref="Y415">IF(Table8[[#This Row],[I_0]]&lt;Table24[Flitro de Ruido],1,Table8[[#This Row],[I_50]]/Table8[[#This Row],[I_0]])</f>
        <v>1.6666666666666667</v>
      </c>
    </row>
    <row r="416" spans="1:25" x14ac:dyDescent="0.3">
      <c r="A416" s="13">
        <v>480.87</v>
      </c>
      <c r="B416" s="12">
        <v>0.3</v>
      </c>
      <c r="C416" s="11">
        <v>480.87</v>
      </c>
      <c r="D416" s="12">
        <v>0.4</v>
      </c>
      <c r="E416" s="11">
        <v>480.87</v>
      </c>
      <c r="F416" s="12">
        <v>0.5</v>
      </c>
      <c r="G416" s="11">
        <v>480.87</v>
      </c>
      <c r="H416" s="12">
        <v>0.4</v>
      </c>
      <c r="I416" s="11">
        <v>480.87</v>
      </c>
      <c r="J416" s="12">
        <v>0.5</v>
      </c>
      <c r="K416" s="11">
        <v>480.87</v>
      </c>
      <c r="L416" s="12">
        <v>0.5</v>
      </c>
      <c r="M416" s="11">
        <v>480.87</v>
      </c>
      <c r="N416" s="13">
        <v>0.3</v>
      </c>
      <c r="O416" s="11">
        <v>0.4</v>
      </c>
      <c r="P416" s="11">
        <v>0.5</v>
      </c>
      <c r="Q416" s="11">
        <v>0.4</v>
      </c>
      <c r="R416" s="11">
        <v>0.5</v>
      </c>
      <c r="S416" s="14">
        <v>0.5</v>
      </c>
      <c r="T416" s="11">
        <v>480.87</v>
      </c>
      <c r="U416" s="13" cm="1">
        <f t="array" ref="U416">IF(Table8[[#This Row],[I_0]]&lt;Table24[Flitro de Ruido],1,Table8[[#This Row],[I_10]]/Table8[[#This Row],[I_0]])</f>
        <v>1.3333333333333335</v>
      </c>
      <c r="V416" s="13" cm="1">
        <f t="array" ref="V416">IF(Table8[[#This Row],[I_0]]&lt;Table24[Flitro de Ruido],1,Table8[[#This Row],[I_20]]/Table8[[#This Row],[I_0]])</f>
        <v>1.6666666666666667</v>
      </c>
      <c r="W416" s="13" cm="1">
        <f t="array" ref="W416">IF(Table8[[#This Row],[I_0]]&lt;Table24[Flitro de Ruido],1,Table8[[#This Row],[I_30]]/Table8[[#This Row],[I_0]])</f>
        <v>1.3333333333333335</v>
      </c>
      <c r="X416" s="13" cm="1">
        <f t="array" ref="X416">IF(Table8[[#This Row],[I_0]]&lt;Table24[Flitro de Ruido],1,Table8[[#This Row],[I_40]]/Table8[[#This Row],[I_0]])</f>
        <v>1.6666666666666667</v>
      </c>
      <c r="Y416" s="13" cm="1">
        <f t="array" ref="Y416">IF(Table8[[#This Row],[I_0]]&lt;Table24[Flitro de Ruido],1,Table8[[#This Row],[I_50]]/Table8[[#This Row],[I_0]])</f>
        <v>1.6666666666666667</v>
      </c>
    </row>
    <row r="417" spans="1:25" x14ac:dyDescent="0.3">
      <c r="A417" s="13">
        <v>481.86</v>
      </c>
      <c r="B417" s="12">
        <v>0.3</v>
      </c>
      <c r="C417" s="11">
        <v>481.86</v>
      </c>
      <c r="D417" s="12">
        <v>0.4</v>
      </c>
      <c r="E417" s="11">
        <v>481.86</v>
      </c>
      <c r="F417" s="12">
        <v>0.5</v>
      </c>
      <c r="G417" s="11">
        <v>481.86</v>
      </c>
      <c r="H417" s="12">
        <v>0.4</v>
      </c>
      <c r="I417" s="11">
        <v>481.86</v>
      </c>
      <c r="J417" s="12">
        <v>0.5</v>
      </c>
      <c r="K417" s="11">
        <v>481.86</v>
      </c>
      <c r="L417" s="12">
        <v>0.5</v>
      </c>
      <c r="M417" s="11">
        <v>481.86</v>
      </c>
      <c r="N417" s="13">
        <v>0.3</v>
      </c>
      <c r="O417" s="11">
        <v>0.4</v>
      </c>
      <c r="P417" s="11">
        <v>0.5</v>
      </c>
      <c r="Q417" s="11">
        <v>0.4</v>
      </c>
      <c r="R417" s="11">
        <v>0.5</v>
      </c>
      <c r="S417" s="14">
        <v>0.5</v>
      </c>
      <c r="T417" s="11">
        <v>481.86</v>
      </c>
      <c r="U417" s="13" cm="1">
        <f t="array" ref="U417">IF(Table8[[#This Row],[I_0]]&lt;Table24[Flitro de Ruido],1,Table8[[#This Row],[I_10]]/Table8[[#This Row],[I_0]])</f>
        <v>1.3333333333333335</v>
      </c>
      <c r="V417" s="13" cm="1">
        <f t="array" ref="V417">IF(Table8[[#This Row],[I_0]]&lt;Table24[Flitro de Ruido],1,Table8[[#This Row],[I_20]]/Table8[[#This Row],[I_0]])</f>
        <v>1.6666666666666667</v>
      </c>
      <c r="W417" s="13" cm="1">
        <f t="array" ref="W417">IF(Table8[[#This Row],[I_0]]&lt;Table24[Flitro de Ruido],1,Table8[[#This Row],[I_30]]/Table8[[#This Row],[I_0]])</f>
        <v>1.3333333333333335</v>
      </c>
      <c r="X417" s="13" cm="1">
        <f t="array" ref="X417">IF(Table8[[#This Row],[I_0]]&lt;Table24[Flitro de Ruido],1,Table8[[#This Row],[I_40]]/Table8[[#This Row],[I_0]])</f>
        <v>1.6666666666666667</v>
      </c>
      <c r="Y417" s="13" cm="1">
        <f t="array" ref="Y417">IF(Table8[[#This Row],[I_0]]&lt;Table24[Flitro de Ruido],1,Table8[[#This Row],[I_50]]/Table8[[#This Row],[I_0]])</f>
        <v>1.6666666666666667</v>
      </c>
    </row>
    <row r="418" spans="1:25" x14ac:dyDescent="0.3">
      <c r="A418" s="13">
        <v>482.85</v>
      </c>
      <c r="B418" s="12">
        <v>0.3</v>
      </c>
      <c r="C418" s="11">
        <v>482.85</v>
      </c>
      <c r="D418" s="12">
        <v>0.4</v>
      </c>
      <c r="E418" s="11">
        <v>482.85</v>
      </c>
      <c r="F418" s="12">
        <v>0.5</v>
      </c>
      <c r="G418" s="11">
        <v>482.85</v>
      </c>
      <c r="H418" s="12">
        <v>0.4</v>
      </c>
      <c r="I418" s="11">
        <v>482.85</v>
      </c>
      <c r="J418" s="12">
        <v>0.5</v>
      </c>
      <c r="K418" s="11">
        <v>482.85</v>
      </c>
      <c r="L418" s="12">
        <v>0.6</v>
      </c>
      <c r="M418" s="11">
        <v>482.85</v>
      </c>
      <c r="N418" s="13">
        <v>0.3</v>
      </c>
      <c r="O418" s="11">
        <v>0.4</v>
      </c>
      <c r="P418" s="11">
        <v>0.5</v>
      </c>
      <c r="Q418" s="11">
        <v>0.4</v>
      </c>
      <c r="R418" s="11">
        <v>0.5</v>
      </c>
      <c r="S418" s="14">
        <v>0.6</v>
      </c>
      <c r="T418" s="11">
        <v>482.85</v>
      </c>
      <c r="U418" s="13" cm="1">
        <f t="array" ref="U418">IF(Table8[[#This Row],[I_0]]&lt;Table24[Flitro de Ruido],1,Table8[[#This Row],[I_10]]/Table8[[#This Row],[I_0]])</f>
        <v>1.3333333333333335</v>
      </c>
      <c r="V418" s="13" cm="1">
        <f t="array" ref="V418">IF(Table8[[#This Row],[I_0]]&lt;Table24[Flitro de Ruido],1,Table8[[#This Row],[I_20]]/Table8[[#This Row],[I_0]])</f>
        <v>1.6666666666666667</v>
      </c>
      <c r="W418" s="13" cm="1">
        <f t="array" ref="W418">IF(Table8[[#This Row],[I_0]]&lt;Table24[Flitro de Ruido],1,Table8[[#This Row],[I_30]]/Table8[[#This Row],[I_0]])</f>
        <v>1.3333333333333335</v>
      </c>
      <c r="X418" s="13" cm="1">
        <f t="array" ref="X418">IF(Table8[[#This Row],[I_0]]&lt;Table24[Flitro de Ruido],1,Table8[[#This Row],[I_40]]/Table8[[#This Row],[I_0]])</f>
        <v>1.6666666666666667</v>
      </c>
      <c r="Y418" s="13" cm="1">
        <f t="array" ref="Y418">IF(Table8[[#This Row],[I_0]]&lt;Table24[Flitro de Ruido],1,Table8[[#This Row],[I_50]]/Table8[[#This Row],[I_0]])</f>
        <v>2</v>
      </c>
    </row>
    <row r="419" spans="1:25" x14ac:dyDescent="0.3">
      <c r="A419" s="13">
        <v>483.85</v>
      </c>
      <c r="B419" s="12">
        <v>0.4</v>
      </c>
      <c r="C419" s="11">
        <v>483.85</v>
      </c>
      <c r="D419" s="12">
        <v>0.5</v>
      </c>
      <c r="E419" s="11">
        <v>483.85</v>
      </c>
      <c r="F419" s="12">
        <v>0.6</v>
      </c>
      <c r="G419" s="11">
        <v>483.85</v>
      </c>
      <c r="H419" s="12">
        <v>0.5</v>
      </c>
      <c r="I419" s="11">
        <v>483.85</v>
      </c>
      <c r="J419" s="12">
        <v>0.6</v>
      </c>
      <c r="K419" s="11">
        <v>483.85</v>
      </c>
      <c r="L419" s="12">
        <v>0.6</v>
      </c>
      <c r="M419" s="11">
        <v>483.85</v>
      </c>
      <c r="N419" s="13">
        <v>0.4</v>
      </c>
      <c r="O419" s="11">
        <v>0.5</v>
      </c>
      <c r="P419" s="11">
        <v>0.6</v>
      </c>
      <c r="Q419" s="11">
        <v>0.5</v>
      </c>
      <c r="R419" s="11">
        <v>0.6</v>
      </c>
      <c r="S419" s="14">
        <v>0.6</v>
      </c>
      <c r="T419" s="11">
        <v>483.85</v>
      </c>
      <c r="U419" s="13" cm="1">
        <f t="array" ref="U419">IF(Table8[[#This Row],[I_0]]&lt;Table24[Flitro de Ruido],1,Table8[[#This Row],[I_10]]/Table8[[#This Row],[I_0]])</f>
        <v>1.25</v>
      </c>
      <c r="V419" s="13" cm="1">
        <f t="array" ref="V419">IF(Table8[[#This Row],[I_0]]&lt;Table24[Flitro de Ruido],1,Table8[[#This Row],[I_20]]/Table8[[#This Row],[I_0]])</f>
        <v>1.4999999999999998</v>
      </c>
      <c r="W419" s="13" cm="1">
        <f t="array" ref="W419">IF(Table8[[#This Row],[I_0]]&lt;Table24[Flitro de Ruido],1,Table8[[#This Row],[I_30]]/Table8[[#This Row],[I_0]])</f>
        <v>1.25</v>
      </c>
      <c r="X419" s="13" cm="1">
        <f t="array" ref="X419">IF(Table8[[#This Row],[I_0]]&lt;Table24[Flitro de Ruido],1,Table8[[#This Row],[I_40]]/Table8[[#This Row],[I_0]])</f>
        <v>1.4999999999999998</v>
      </c>
      <c r="Y419" s="13" cm="1">
        <f t="array" ref="Y419">IF(Table8[[#This Row],[I_0]]&lt;Table24[Flitro de Ruido],1,Table8[[#This Row],[I_50]]/Table8[[#This Row],[I_0]])</f>
        <v>1.4999999999999998</v>
      </c>
    </row>
    <row r="420" spans="1:25" x14ac:dyDescent="0.3">
      <c r="A420" s="13">
        <v>484.84</v>
      </c>
      <c r="B420" s="12">
        <v>0.4</v>
      </c>
      <c r="C420" s="11">
        <v>484.84</v>
      </c>
      <c r="D420" s="12">
        <v>0.5</v>
      </c>
      <c r="E420" s="11">
        <v>484.84</v>
      </c>
      <c r="F420" s="12">
        <v>0.6</v>
      </c>
      <c r="G420" s="11">
        <v>484.84</v>
      </c>
      <c r="H420" s="12">
        <v>0.5</v>
      </c>
      <c r="I420" s="11">
        <v>484.84</v>
      </c>
      <c r="J420" s="12">
        <v>0.7</v>
      </c>
      <c r="K420" s="11">
        <v>484.84</v>
      </c>
      <c r="L420" s="12">
        <v>0.7</v>
      </c>
      <c r="M420" s="11">
        <v>484.84</v>
      </c>
      <c r="N420" s="13">
        <v>0.4</v>
      </c>
      <c r="O420" s="11">
        <v>0.5</v>
      </c>
      <c r="P420" s="11">
        <v>0.6</v>
      </c>
      <c r="Q420" s="11">
        <v>0.5</v>
      </c>
      <c r="R420" s="11">
        <v>0.7</v>
      </c>
      <c r="S420" s="14">
        <v>0.7</v>
      </c>
      <c r="T420" s="11">
        <v>484.84</v>
      </c>
      <c r="U420" s="13" cm="1">
        <f t="array" ref="U420">IF(Table8[[#This Row],[I_0]]&lt;Table24[Flitro de Ruido],1,Table8[[#This Row],[I_10]]/Table8[[#This Row],[I_0]])</f>
        <v>1.25</v>
      </c>
      <c r="V420" s="13" cm="1">
        <f t="array" ref="V420">IF(Table8[[#This Row],[I_0]]&lt;Table24[Flitro de Ruido],1,Table8[[#This Row],[I_20]]/Table8[[#This Row],[I_0]])</f>
        <v>1.4999999999999998</v>
      </c>
      <c r="W420" s="13" cm="1">
        <f t="array" ref="W420">IF(Table8[[#This Row],[I_0]]&lt;Table24[Flitro de Ruido],1,Table8[[#This Row],[I_30]]/Table8[[#This Row],[I_0]])</f>
        <v>1.25</v>
      </c>
      <c r="X420" s="13" cm="1">
        <f t="array" ref="X420">IF(Table8[[#This Row],[I_0]]&lt;Table24[Flitro de Ruido],1,Table8[[#This Row],[I_40]]/Table8[[#This Row],[I_0]])</f>
        <v>1.7499999999999998</v>
      </c>
      <c r="Y420" s="13" cm="1">
        <f t="array" ref="Y420">IF(Table8[[#This Row],[I_0]]&lt;Table24[Flitro de Ruido],1,Table8[[#This Row],[I_50]]/Table8[[#This Row],[I_0]])</f>
        <v>1.7499999999999998</v>
      </c>
    </row>
    <row r="421" spans="1:25" x14ac:dyDescent="0.3">
      <c r="A421" s="13">
        <v>485.83</v>
      </c>
      <c r="B421" s="12">
        <v>0.5</v>
      </c>
      <c r="C421" s="11">
        <v>485.83</v>
      </c>
      <c r="D421" s="12">
        <v>0.6</v>
      </c>
      <c r="E421" s="11">
        <v>485.83</v>
      </c>
      <c r="F421" s="12">
        <v>0.7</v>
      </c>
      <c r="G421" s="11">
        <v>485.83</v>
      </c>
      <c r="H421" s="12">
        <v>0.6</v>
      </c>
      <c r="I421" s="11">
        <v>485.83</v>
      </c>
      <c r="J421" s="12">
        <v>0.8</v>
      </c>
      <c r="K421" s="11">
        <v>485.83</v>
      </c>
      <c r="L421" s="12">
        <v>0.8</v>
      </c>
      <c r="M421" s="11">
        <v>485.83</v>
      </c>
      <c r="N421" s="13">
        <v>0.5</v>
      </c>
      <c r="O421" s="11">
        <v>0.6</v>
      </c>
      <c r="P421" s="11">
        <v>0.7</v>
      </c>
      <c r="Q421" s="11">
        <v>0.6</v>
      </c>
      <c r="R421" s="11">
        <v>0.8</v>
      </c>
      <c r="S421" s="14">
        <v>0.8</v>
      </c>
      <c r="T421" s="11">
        <v>485.83</v>
      </c>
      <c r="U421" s="13" cm="1">
        <f t="array" ref="U421">IF(Table8[[#This Row],[I_0]]&lt;Table24[Flitro de Ruido],1,Table8[[#This Row],[I_10]]/Table8[[#This Row],[I_0]])</f>
        <v>1.2</v>
      </c>
      <c r="V421" s="13" cm="1">
        <f t="array" ref="V421">IF(Table8[[#This Row],[I_0]]&lt;Table24[Flitro de Ruido],1,Table8[[#This Row],[I_20]]/Table8[[#This Row],[I_0]])</f>
        <v>1.4</v>
      </c>
      <c r="W421" s="13" cm="1">
        <f t="array" ref="W421">IF(Table8[[#This Row],[I_0]]&lt;Table24[Flitro de Ruido],1,Table8[[#This Row],[I_30]]/Table8[[#This Row],[I_0]])</f>
        <v>1.2</v>
      </c>
      <c r="X421" s="13" cm="1">
        <f t="array" ref="X421">IF(Table8[[#This Row],[I_0]]&lt;Table24[Flitro de Ruido],1,Table8[[#This Row],[I_40]]/Table8[[#This Row],[I_0]])</f>
        <v>1.6</v>
      </c>
      <c r="Y421" s="13" cm="1">
        <f t="array" ref="Y421">IF(Table8[[#This Row],[I_0]]&lt;Table24[Flitro de Ruido],1,Table8[[#This Row],[I_50]]/Table8[[#This Row],[I_0]])</f>
        <v>1.6</v>
      </c>
    </row>
    <row r="422" spans="1:25" x14ac:dyDescent="0.3">
      <c r="A422" s="13">
        <v>486.82</v>
      </c>
      <c r="B422" s="12">
        <v>0.6</v>
      </c>
      <c r="C422" s="11">
        <v>486.82</v>
      </c>
      <c r="D422" s="12">
        <v>0.7</v>
      </c>
      <c r="E422" s="11">
        <v>486.82</v>
      </c>
      <c r="F422" s="12">
        <v>0.9</v>
      </c>
      <c r="G422" s="11">
        <v>486.82</v>
      </c>
      <c r="H422" s="12">
        <v>0.7</v>
      </c>
      <c r="I422" s="11">
        <v>486.82</v>
      </c>
      <c r="J422" s="12">
        <v>0.9</v>
      </c>
      <c r="K422" s="11">
        <v>486.82</v>
      </c>
      <c r="L422" s="12">
        <v>1</v>
      </c>
      <c r="M422" s="11">
        <v>486.82</v>
      </c>
      <c r="N422" s="13">
        <v>0.6</v>
      </c>
      <c r="O422" s="11">
        <v>0.7</v>
      </c>
      <c r="P422" s="11">
        <v>0.9</v>
      </c>
      <c r="Q422" s="11">
        <v>0.7</v>
      </c>
      <c r="R422" s="11">
        <v>0.9</v>
      </c>
      <c r="S422" s="14">
        <v>1</v>
      </c>
      <c r="T422" s="11">
        <v>486.82</v>
      </c>
      <c r="U422" s="13" cm="1">
        <f t="array" ref="U422">IF(Table8[[#This Row],[I_0]]&lt;Table24[Flitro de Ruido],1,Table8[[#This Row],[I_10]]/Table8[[#This Row],[I_0]])</f>
        <v>1.1666666666666667</v>
      </c>
      <c r="V422" s="13" cm="1">
        <f t="array" ref="V422">IF(Table8[[#This Row],[I_0]]&lt;Table24[Flitro de Ruido],1,Table8[[#This Row],[I_20]]/Table8[[#This Row],[I_0]])</f>
        <v>1.5</v>
      </c>
      <c r="W422" s="13" cm="1">
        <f t="array" ref="W422">IF(Table8[[#This Row],[I_0]]&lt;Table24[Flitro de Ruido],1,Table8[[#This Row],[I_30]]/Table8[[#This Row],[I_0]])</f>
        <v>1.1666666666666667</v>
      </c>
      <c r="X422" s="13" cm="1">
        <f t="array" ref="X422">IF(Table8[[#This Row],[I_0]]&lt;Table24[Flitro de Ruido],1,Table8[[#This Row],[I_40]]/Table8[[#This Row],[I_0]])</f>
        <v>1.5</v>
      </c>
      <c r="Y422" s="13" cm="1">
        <f t="array" ref="Y422">IF(Table8[[#This Row],[I_0]]&lt;Table24[Flitro de Ruido],1,Table8[[#This Row],[I_50]]/Table8[[#This Row],[I_0]])</f>
        <v>1.6666666666666667</v>
      </c>
    </row>
    <row r="423" spans="1:25" x14ac:dyDescent="0.3">
      <c r="A423" s="13">
        <v>487.81</v>
      </c>
      <c r="B423" s="12">
        <v>0.7</v>
      </c>
      <c r="C423" s="11">
        <v>487.81</v>
      </c>
      <c r="D423" s="12">
        <v>0.9</v>
      </c>
      <c r="E423" s="11">
        <v>487.81</v>
      </c>
      <c r="F423" s="12">
        <v>1</v>
      </c>
      <c r="G423" s="11">
        <v>487.81</v>
      </c>
      <c r="H423" s="12">
        <v>0.9</v>
      </c>
      <c r="I423" s="11">
        <v>487.81</v>
      </c>
      <c r="J423" s="12">
        <v>1.1000000000000001</v>
      </c>
      <c r="K423" s="11">
        <v>487.81</v>
      </c>
      <c r="L423" s="12">
        <v>1.2</v>
      </c>
      <c r="M423" s="11">
        <v>487.81</v>
      </c>
      <c r="N423" s="13">
        <v>0.7</v>
      </c>
      <c r="O423" s="11">
        <v>0.9</v>
      </c>
      <c r="P423" s="11">
        <v>1</v>
      </c>
      <c r="Q423" s="11">
        <v>0.9</v>
      </c>
      <c r="R423" s="11">
        <v>1.1000000000000001</v>
      </c>
      <c r="S423" s="14">
        <v>1.2</v>
      </c>
      <c r="T423" s="11">
        <v>487.81</v>
      </c>
      <c r="U423" s="13" cm="1">
        <f t="array" ref="U423">IF(Table8[[#This Row],[I_0]]&lt;Table24[Flitro de Ruido],1,Table8[[#This Row],[I_10]]/Table8[[#This Row],[I_0]])</f>
        <v>1.2857142857142858</v>
      </c>
      <c r="V423" s="13" cm="1">
        <f t="array" ref="V423">IF(Table8[[#This Row],[I_0]]&lt;Table24[Flitro de Ruido],1,Table8[[#This Row],[I_20]]/Table8[[#This Row],[I_0]])</f>
        <v>1.4285714285714286</v>
      </c>
      <c r="W423" s="13" cm="1">
        <f t="array" ref="W423">IF(Table8[[#This Row],[I_0]]&lt;Table24[Flitro de Ruido],1,Table8[[#This Row],[I_30]]/Table8[[#This Row],[I_0]])</f>
        <v>1.2857142857142858</v>
      </c>
      <c r="X423" s="13" cm="1">
        <f t="array" ref="X423">IF(Table8[[#This Row],[I_0]]&lt;Table24[Flitro de Ruido],1,Table8[[#This Row],[I_40]]/Table8[[#This Row],[I_0]])</f>
        <v>1.5714285714285716</v>
      </c>
      <c r="Y423" s="13" cm="1">
        <f t="array" ref="Y423">IF(Table8[[#This Row],[I_0]]&lt;Table24[Flitro de Ruido],1,Table8[[#This Row],[I_50]]/Table8[[#This Row],[I_0]])</f>
        <v>1.7142857142857144</v>
      </c>
    </row>
    <row r="424" spans="1:25" x14ac:dyDescent="0.3">
      <c r="A424" s="13">
        <v>488.81</v>
      </c>
      <c r="B424" s="12">
        <v>0.8</v>
      </c>
      <c r="C424" s="11">
        <v>488.81</v>
      </c>
      <c r="D424" s="12">
        <v>1</v>
      </c>
      <c r="E424" s="11">
        <v>488.81</v>
      </c>
      <c r="F424" s="12">
        <v>1.3</v>
      </c>
      <c r="G424" s="11">
        <v>488.81</v>
      </c>
      <c r="H424" s="12">
        <v>1</v>
      </c>
      <c r="I424" s="11">
        <v>488.81</v>
      </c>
      <c r="J424" s="12">
        <v>1.3</v>
      </c>
      <c r="K424" s="11">
        <v>488.81</v>
      </c>
      <c r="L424" s="12">
        <v>1.4</v>
      </c>
      <c r="M424" s="11">
        <v>488.81</v>
      </c>
      <c r="N424" s="13">
        <v>0.8</v>
      </c>
      <c r="O424" s="11">
        <v>1</v>
      </c>
      <c r="P424" s="11">
        <v>1.3</v>
      </c>
      <c r="Q424" s="11">
        <v>1</v>
      </c>
      <c r="R424" s="11">
        <v>1.3</v>
      </c>
      <c r="S424" s="14">
        <v>1.4</v>
      </c>
      <c r="T424" s="11">
        <v>488.81</v>
      </c>
      <c r="U424" s="13" cm="1">
        <f t="array" ref="U424">IF(Table8[[#This Row],[I_0]]&lt;Table24[Flitro de Ruido],1,Table8[[#This Row],[I_10]]/Table8[[#This Row],[I_0]])</f>
        <v>1.25</v>
      </c>
      <c r="V424" s="13" cm="1">
        <f t="array" ref="V424">IF(Table8[[#This Row],[I_0]]&lt;Table24[Flitro de Ruido],1,Table8[[#This Row],[I_20]]/Table8[[#This Row],[I_0]])</f>
        <v>1.625</v>
      </c>
      <c r="W424" s="13" cm="1">
        <f t="array" ref="W424">IF(Table8[[#This Row],[I_0]]&lt;Table24[Flitro de Ruido],1,Table8[[#This Row],[I_30]]/Table8[[#This Row],[I_0]])</f>
        <v>1.25</v>
      </c>
      <c r="X424" s="13" cm="1">
        <f t="array" ref="X424">IF(Table8[[#This Row],[I_0]]&lt;Table24[Flitro de Ruido],1,Table8[[#This Row],[I_40]]/Table8[[#This Row],[I_0]])</f>
        <v>1.625</v>
      </c>
      <c r="Y424" s="13" cm="1">
        <f t="array" ref="Y424">IF(Table8[[#This Row],[I_0]]&lt;Table24[Flitro de Ruido],1,Table8[[#This Row],[I_50]]/Table8[[#This Row],[I_0]])</f>
        <v>1.7499999999999998</v>
      </c>
    </row>
    <row r="425" spans="1:25" x14ac:dyDescent="0.3">
      <c r="A425" s="13">
        <v>489.8</v>
      </c>
      <c r="B425" s="12">
        <v>1</v>
      </c>
      <c r="C425" s="11">
        <v>489.8</v>
      </c>
      <c r="D425" s="12">
        <v>1.3</v>
      </c>
      <c r="E425" s="11">
        <v>489.8</v>
      </c>
      <c r="F425" s="12">
        <v>1.5</v>
      </c>
      <c r="G425" s="11">
        <v>489.8</v>
      </c>
      <c r="H425" s="12">
        <v>1.3</v>
      </c>
      <c r="I425" s="11">
        <v>489.8</v>
      </c>
      <c r="J425" s="12">
        <v>1.6</v>
      </c>
      <c r="K425" s="11">
        <v>489.8</v>
      </c>
      <c r="L425" s="12">
        <v>1.7</v>
      </c>
      <c r="M425" s="11">
        <v>489.8</v>
      </c>
      <c r="N425" s="13">
        <v>1</v>
      </c>
      <c r="O425" s="11">
        <v>1.3</v>
      </c>
      <c r="P425" s="11">
        <v>1.5</v>
      </c>
      <c r="Q425" s="11">
        <v>1.3</v>
      </c>
      <c r="R425" s="11">
        <v>1.6</v>
      </c>
      <c r="S425" s="14">
        <v>1.7</v>
      </c>
      <c r="T425" s="11">
        <v>489.8</v>
      </c>
      <c r="U425" s="13" cm="1">
        <f t="array" ref="U425">IF(Table8[[#This Row],[I_0]]&lt;Table24[Flitro de Ruido],1,Table8[[#This Row],[I_10]]/Table8[[#This Row],[I_0]])</f>
        <v>1.3</v>
      </c>
      <c r="V425" s="13" cm="1">
        <f t="array" ref="V425">IF(Table8[[#This Row],[I_0]]&lt;Table24[Flitro de Ruido],1,Table8[[#This Row],[I_20]]/Table8[[#This Row],[I_0]])</f>
        <v>1.5</v>
      </c>
      <c r="W425" s="13" cm="1">
        <f t="array" ref="W425">IF(Table8[[#This Row],[I_0]]&lt;Table24[Flitro de Ruido],1,Table8[[#This Row],[I_30]]/Table8[[#This Row],[I_0]])</f>
        <v>1.3</v>
      </c>
      <c r="X425" s="13" cm="1">
        <f t="array" ref="X425">IF(Table8[[#This Row],[I_0]]&lt;Table24[Flitro de Ruido],1,Table8[[#This Row],[I_40]]/Table8[[#This Row],[I_0]])</f>
        <v>1.6</v>
      </c>
      <c r="Y425" s="13" cm="1">
        <f t="array" ref="Y425">IF(Table8[[#This Row],[I_0]]&lt;Table24[Flitro de Ruido],1,Table8[[#This Row],[I_50]]/Table8[[#This Row],[I_0]])</f>
        <v>1.7</v>
      </c>
    </row>
    <row r="426" spans="1:25" x14ac:dyDescent="0.3">
      <c r="A426" s="13">
        <v>490.79</v>
      </c>
      <c r="B426" s="12">
        <v>1.2</v>
      </c>
      <c r="C426" s="11">
        <v>490.79</v>
      </c>
      <c r="D426" s="12">
        <v>1.5</v>
      </c>
      <c r="E426" s="11">
        <v>490.79</v>
      </c>
      <c r="F426" s="12">
        <v>1.9</v>
      </c>
      <c r="G426" s="11">
        <v>490.79</v>
      </c>
      <c r="H426" s="12">
        <v>1.5</v>
      </c>
      <c r="I426" s="11">
        <v>490.79</v>
      </c>
      <c r="J426" s="12">
        <v>2</v>
      </c>
      <c r="K426" s="11">
        <v>490.79</v>
      </c>
      <c r="L426" s="12">
        <v>2.1</v>
      </c>
      <c r="M426" s="11">
        <v>490.79</v>
      </c>
      <c r="N426" s="13">
        <v>1.2</v>
      </c>
      <c r="O426" s="11">
        <v>1.5</v>
      </c>
      <c r="P426" s="11">
        <v>1.9</v>
      </c>
      <c r="Q426" s="11">
        <v>1.5</v>
      </c>
      <c r="R426" s="11">
        <v>2</v>
      </c>
      <c r="S426" s="14">
        <v>2.1</v>
      </c>
      <c r="T426" s="11">
        <v>490.79</v>
      </c>
      <c r="U426" s="13" cm="1">
        <f t="array" ref="U426">IF(Table8[[#This Row],[I_0]]&lt;Table24[Flitro de Ruido],1,Table8[[#This Row],[I_10]]/Table8[[#This Row],[I_0]])</f>
        <v>1.25</v>
      </c>
      <c r="V426" s="13" cm="1">
        <f t="array" ref="V426">IF(Table8[[#This Row],[I_0]]&lt;Table24[Flitro de Ruido],1,Table8[[#This Row],[I_20]]/Table8[[#This Row],[I_0]])</f>
        <v>1.5833333333333333</v>
      </c>
      <c r="W426" s="13" cm="1">
        <f t="array" ref="W426">IF(Table8[[#This Row],[I_0]]&lt;Table24[Flitro de Ruido],1,Table8[[#This Row],[I_30]]/Table8[[#This Row],[I_0]])</f>
        <v>1.25</v>
      </c>
      <c r="X426" s="13" cm="1">
        <f t="array" ref="X426">IF(Table8[[#This Row],[I_0]]&lt;Table24[Flitro de Ruido],1,Table8[[#This Row],[I_40]]/Table8[[#This Row],[I_0]])</f>
        <v>1.6666666666666667</v>
      </c>
      <c r="Y426" s="13" cm="1">
        <f t="array" ref="Y426">IF(Table8[[#This Row],[I_0]]&lt;Table24[Flitro de Ruido],1,Table8[[#This Row],[I_50]]/Table8[[#This Row],[I_0]])</f>
        <v>1.7500000000000002</v>
      </c>
    </row>
    <row r="427" spans="1:25" x14ac:dyDescent="0.3">
      <c r="A427" s="13">
        <v>491.78</v>
      </c>
      <c r="B427" s="12">
        <v>1.5</v>
      </c>
      <c r="C427" s="11">
        <v>491.78</v>
      </c>
      <c r="D427" s="12">
        <v>1.9</v>
      </c>
      <c r="E427" s="11">
        <v>491.78</v>
      </c>
      <c r="F427" s="12">
        <v>2.2999999999999998</v>
      </c>
      <c r="G427" s="11">
        <v>491.78</v>
      </c>
      <c r="H427" s="12">
        <v>1.9</v>
      </c>
      <c r="I427" s="11">
        <v>491.78</v>
      </c>
      <c r="J427" s="12">
        <v>2.4</v>
      </c>
      <c r="K427" s="11">
        <v>491.78</v>
      </c>
      <c r="L427" s="12">
        <v>2.6</v>
      </c>
      <c r="M427" s="11">
        <v>491.78</v>
      </c>
      <c r="N427" s="13">
        <v>1.5</v>
      </c>
      <c r="O427" s="11">
        <v>1.9</v>
      </c>
      <c r="P427" s="11">
        <v>2.2999999999999998</v>
      </c>
      <c r="Q427" s="11">
        <v>1.9</v>
      </c>
      <c r="R427" s="11">
        <v>2.4</v>
      </c>
      <c r="S427" s="14">
        <v>2.6</v>
      </c>
      <c r="T427" s="11">
        <v>491.78</v>
      </c>
      <c r="U427" s="13" cm="1">
        <f t="array" ref="U427">IF(Table8[[#This Row],[I_0]]&lt;Table24[Flitro de Ruido],1,Table8[[#This Row],[I_10]]/Table8[[#This Row],[I_0]])</f>
        <v>1.2666666666666666</v>
      </c>
      <c r="V427" s="13" cm="1">
        <f t="array" ref="V427">IF(Table8[[#This Row],[I_0]]&lt;Table24[Flitro de Ruido],1,Table8[[#This Row],[I_20]]/Table8[[#This Row],[I_0]])</f>
        <v>1.5333333333333332</v>
      </c>
      <c r="W427" s="13" cm="1">
        <f t="array" ref="W427">IF(Table8[[#This Row],[I_0]]&lt;Table24[Flitro de Ruido],1,Table8[[#This Row],[I_30]]/Table8[[#This Row],[I_0]])</f>
        <v>1.2666666666666666</v>
      </c>
      <c r="X427" s="13" cm="1">
        <f t="array" ref="X427">IF(Table8[[#This Row],[I_0]]&lt;Table24[Flitro de Ruido],1,Table8[[#This Row],[I_40]]/Table8[[#This Row],[I_0]])</f>
        <v>1.5999999999999999</v>
      </c>
      <c r="Y427" s="13" cm="1">
        <f t="array" ref="Y427">IF(Table8[[#This Row],[I_0]]&lt;Table24[Flitro de Ruido],1,Table8[[#This Row],[I_50]]/Table8[[#This Row],[I_0]])</f>
        <v>1.7333333333333334</v>
      </c>
    </row>
    <row r="428" spans="1:25" x14ac:dyDescent="0.3">
      <c r="A428" s="13">
        <v>492.77</v>
      </c>
      <c r="B428" s="12">
        <v>1.8</v>
      </c>
      <c r="C428" s="11">
        <v>492.77</v>
      </c>
      <c r="D428" s="12">
        <v>2.2999999999999998</v>
      </c>
      <c r="E428" s="11">
        <v>492.77</v>
      </c>
      <c r="F428" s="12">
        <v>2.8</v>
      </c>
      <c r="G428" s="11">
        <v>492.77</v>
      </c>
      <c r="H428" s="12">
        <v>2.2999999999999998</v>
      </c>
      <c r="I428" s="11">
        <v>492.77</v>
      </c>
      <c r="J428" s="12">
        <v>3</v>
      </c>
      <c r="K428" s="11">
        <v>492.77</v>
      </c>
      <c r="L428" s="12">
        <v>3.2</v>
      </c>
      <c r="M428" s="11">
        <v>492.77</v>
      </c>
      <c r="N428" s="13">
        <v>1.8</v>
      </c>
      <c r="O428" s="11">
        <v>2.2999999999999998</v>
      </c>
      <c r="P428" s="11">
        <v>2.8</v>
      </c>
      <c r="Q428" s="11">
        <v>2.2999999999999998</v>
      </c>
      <c r="R428" s="11">
        <v>3</v>
      </c>
      <c r="S428" s="14">
        <v>3.2</v>
      </c>
      <c r="T428" s="11">
        <v>492.77</v>
      </c>
      <c r="U428" s="13" cm="1">
        <f t="array" ref="U428">IF(Table8[[#This Row],[I_0]]&lt;Table24[Flitro de Ruido],1,Table8[[#This Row],[I_10]]/Table8[[#This Row],[I_0]])</f>
        <v>1.2777777777777777</v>
      </c>
      <c r="V428" s="13" cm="1">
        <f t="array" ref="V428">IF(Table8[[#This Row],[I_0]]&lt;Table24[Flitro de Ruido],1,Table8[[#This Row],[I_20]]/Table8[[#This Row],[I_0]])</f>
        <v>1.5555555555555554</v>
      </c>
      <c r="W428" s="13" cm="1">
        <f t="array" ref="W428">IF(Table8[[#This Row],[I_0]]&lt;Table24[Flitro de Ruido],1,Table8[[#This Row],[I_30]]/Table8[[#This Row],[I_0]])</f>
        <v>1.2777777777777777</v>
      </c>
      <c r="X428" s="13" cm="1">
        <f t="array" ref="X428">IF(Table8[[#This Row],[I_0]]&lt;Table24[Flitro de Ruido],1,Table8[[#This Row],[I_40]]/Table8[[#This Row],[I_0]])</f>
        <v>1.6666666666666665</v>
      </c>
      <c r="Y428" s="13" cm="1">
        <f t="array" ref="Y428">IF(Table8[[#This Row],[I_0]]&lt;Table24[Flitro de Ruido],1,Table8[[#This Row],[I_50]]/Table8[[#This Row],[I_0]])</f>
        <v>1.7777777777777779</v>
      </c>
    </row>
    <row r="429" spans="1:25" x14ac:dyDescent="0.3">
      <c r="A429" s="13">
        <v>493.76</v>
      </c>
      <c r="B429" s="12">
        <v>2.2000000000000002</v>
      </c>
      <c r="C429" s="11">
        <v>493.76</v>
      </c>
      <c r="D429" s="12">
        <v>2.9</v>
      </c>
      <c r="E429" s="11">
        <v>493.76</v>
      </c>
      <c r="F429" s="12">
        <v>3.5</v>
      </c>
      <c r="G429" s="11">
        <v>493.76</v>
      </c>
      <c r="H429" s="12">
        <v>2.8</v>
      </c>
      <c r="I429" s="11">
        <v>493.76</v>
      </c>
      <c r="J429" s="12">
        <v>3.7</v>
      </c>
      <c r="K429" s="11">
        <v>493.76</v>
      </c>
      <c r="L429" s="12">
        <v>3.9</v>
      </c>
      <c r="M429" s="11">
        <v>493.76</v>
      </c>
      <c r="N429" s="13">
        <v>2.2000000000000002</v>
      </c>
      <c r="O429" s="11">
        <v>2.9</v>
      </c>
      <c r="P429" s="11">
        <v>3.5</v>
      </c>
      <c r="Q429" s="11">
        <v>2.8</v>
      </c>
      <c r="R429" s="11">
        <v>3.7</v>
      </c>
      <c r="S429" s="14">
        <v>3.9</v>
      </c>
      <c r="T429" s="11">
        <v>493.76</v>
      </c>
      <c r="U429" s="13" cm="1">
        <f t="array" ref="U429">IF(Table8[[#This Row],[I_0]]&lt;Table24[Flitro de Ruido],1,Table8[[#This Row],[I_10]]/Table8[[#This Row],[I_0]])</f>
        <v>1.3181818181818181</v>
      </c>
      <c r="V429" s="13" cm="1">
        <f t="array" ref="V429">IF(Table8[[#This Row],[I_0]]&lt;Table24[Flitro de Ruido],1,Table8[[#This Row],[I_20]]/Table8[[#This Row],[I_0]])</f>
        <v>1.5909090909090908</v>
      </c>
      <c r="W429" s="13" cm="1">
        <f t="array" ref="W429">IF(Table8[[#This Row],[I_0]]&lt;Table24[Flitro de Ruido],1,Table8[[#This Row],[I_30]]/Table8[[#This Row],[I_0]])</f>
        <v>1.2727272727272725</v>
      </c>
      <c r="X429" s="13" cm="1">
        <f t="array" ref="X429">IF(Table8[[#This Row],[I_0]]&lt;Table24[Flitro de Ruido],1,Table8[[#This Row],[I_40]]/Table8[[#This Row],[I_0]])</f>
        <v>1.6818181818181817</v>
      </c>
      <c r="Y429" s="13" cm="1">
        <f t="array" ref="Y429">IF(Table8[[#This Row],[I_0]]&lt;Table24[Flitro de Ruido],1,Table8[[#This Row],[I_50]]/Table8[[#This Row],[I_0]])</f>
        <v>1.7727272727272725</v>
      </c>
    </row>
    <row r="430" spans="1:25" x14ac:dyDescent="0.3">
      <c r="A430" s="13">
        <v>494.76</v>
      </c>
      <c r="B430" s="12">
        <v>2.7</v>
      </c>
      <c r="C430" s="11">
        <v>494.76</v>
      </c>
      <c r="D430" s="12">
        <v>3.5</v>
      </c>
      <c r="E430" s="11">
        <v>494.76</v>
      </c>
      <c r="F430" s="12">
        <v>4.3</v>
      </c>
      <c r="G430" s="11">
        <v>494.76</v>
      </c>
      <c r="H430" s="12">
        <v>3.5</v>
      </c>
      <c r="I430" s="11">
        <v>494.76</v>
      </c>
      <c r="J430" s="12">
        <v>4.5</v>
      </c>
      <c r="K430" s="11">
        <v>494.76</v>
      </c>
      <c r="L430" s="12">
        <v>4.8</v>
      </c>
      <c r="M430" s="11">
        <v>494.76</v>
      </c>
      <c r="N430" s="13">
        <v>2.7</v>
      </c>
      <c r="O430" s="11">
        <v>3.5</v>
      </c>
      <c r="P430" s="11">
        <v>4.3</v>
      </c>
      <c r="Q430" s="11">
        <v>3.5</v>
      </c>
      <c r="R430" s="11">
        <v>4.5</v>
      </c>
      <c r="S430" s="14">
        <v>4.8</v>
      </c>
      <c r="T430" s="11">
        <v>494.76</v>
      </c>
      <c r="U430" s="13" cm="1">
        <f t="array" ref="U430">IF(Table8[[#This Row],[I_0]]&lt;Table24[Flitro de Ruido],1,Table8[[#This Row],[I_10]]/Table8[[#This Row],[I_0]])</f>
        <v>1.2962962962962963</v>
      </c>
      <c r="V430" s="13" cm="1">
        <f t="array" ref="V430">IF(Table8[[#This Row],[I_0]]&lt;Table24[Flitro de Ruido],1,Table8[[#This Row],[I_20]]/Table8[[#This Row],[I_0]])</f>
        <v>1.5925925925925923</v>
      </c>
      <c r="W430" s="13" cm="1">
        <f t="array" ref="W430">IF(Table8[[#This Row],[I_0]]&lt;Table24[Flitro de Ruido],1,Table8[[#This Row],[I_30]]/Table8[[#This Row],[I_0]])</f>
        <v>1.2962962962962963</v>
      </c>
      <c r="X430" s="13" cm="1">
        <f t="array" ref="X430">IF(Table8[[#This Row],[I_0]]&lt;Table24[Flitro de Ruido],1,Table8[[#This Row],[I_40]]/Table8[[#This Row],[I_0]])</f>
        <v>1.6666666666666665</v>
      </c>
      <c r="Y430" s="13" cm="1">
        <f t="array" ref="Y430">IF(Table8[[#This Row],[I_0]]&lt;Table24[Flitro de Ruido],1,Table8[[#This Row],[I_50]]/Table8[[#This Row],[I_0]])</f>
        <v>1.7777777777777777</v>
      </c>
    </row>
    <row r="431" spans="1:25" x14ac:dyDescent="0.3">
      <c r="A431" s="13">
        <v>495.75</v>
      </c>
      <c r="B431" s="12">
        <v>3.3</v>
      </c>
      <c r="C431" s="11">
        <v>495.75</v>
      </c>
      <c r="D431" s="12">
        <v>4.3</v>
      </c>
      <c r="E431" s="11">
        <v>495.75</v>
      </c>
      <c r="F431" s="12">
        <v>5.2</v>
      </c>
      <c r="G431" s="11">
        <v>495.75</v>
      </c>
      <c r="H431" s="12">
        <v>4.3</v>
      </c>
      <c r="I431" s="11">
        <v>495.75</v>
      </c>
      <c r="J431" s="12">
        <v>5.5</v>
      </c>
      <c r="K431" s="11">
        <v>495.75</v>
      </c>
      <c r="L431" s="12">
        <v>6</v>
      </c>
      <c r="M431" s="11">
        <v>495.75</v>
      </c>
      <c r="N431" s="13">
        <v>3.3</v>
      </c>
      <c r="O431" s="11">
        <v>4.3</v>
      </c>
      <c r="P431" s="11">
        <v>5.2</v>
      </c>
      <c r="Q431" s="11">
        <v>4.3</v>
      </c>
      <c r="R431" s="11">
        <v>5.5</v>
      </c>
      <c r="S431" s="14">
        <v>6</v>
      </c>
      <c r="T431" s="11">
        <v>495.75</v>
      </c>
      <c r="U431" s="13" cm="1">
        <f t="array" ref="U431">IF(Table8[[#This Row],[I_0]]&lt;Table24[Flitro de Ruido],1,Table8[[#This Row],[I_10]]/Table8[[#This Row],[I_0]])</f>
        <v>1.303030303030303</v>
      </c>
      <c r="V431" s="13" cm="1">
        <f t="array" ref="V431">IF(Table8[[#This Row],[I_0]]&lt;Table24[Flitro de Ruido],1,Table8[[#This Row],[I_20]]/Table8[[#This Row],[I_0]])</f>
        <v>1.5757575757575759</v>
      </c>
      <c r="W431" s="13" cm="1">
        <f t="array" ref="W431">IF(Table8[[#This Row],[I_0]]&lt;Table24[Flitro de Ruido],1,Table8[[#This Row],[I_30]]/Table8[[#This Row],[I_0]])</f>
        <v>1.303030303030303</v>
      </c>
      <c r="X431" s="13" cm="1">
        <f t="array" ref="X431">IF(Table8[[#This Row],[I_0]]&lt;Table24[Flitro de Ruido],1,Table8[[#This Row],[I_40]]/Table8[[#This Row],[I_0]])</f>
        <v>1.6666666666666667</v>
      </c>
      <c r="Y431" s="13" cm="1">
        <f t="array" ref="Y431">IF(Table8[[#This Row],[I_0]]&lt;Table24[Flitro de Ruido],1,Table8[[#This Row],[I_50]]/Table8[[#This Row],[I_0]])</f>
        <v>1.8181818181818183</v>
      </c>
    </row>
    <row r="432" spans="1:25" x14ac:dyDescent="0.3">
      <c r="A432" s="13">
        <v>496.74</v>
      </c>
      <c r="B432" s="12">
        <v>4.0999999999999996</v>
      </c>
      <c r="C432" s="11">
        <v>496.74</v>
      </c>
      <c r="D432" s="12">
        <v>5.3</v>
      </c>
      <c r="E432" s="11">
        <v>496.74</v>
      </c>
      <c r="F432" s="12">
        <v>6.4</v>
      </c>
      <c r="G432" s="11">
        <v>496.74</v>
      </c>
      <c r="H432" s="12">
        <v>5.3</v>
      </c>
      <c r="I432" s="11">
        <v>496.74</v>
      </c>
      <c r="J432" s="12">
        <v>6.8</v>
      </c>
      <c r="K432" s="11">
        <v>496.74</v>
      </c>
      <c r="L432" s="12">
        <v>7.4</v>
      </c>
      <c r="M432" s="11">
        <v>496.74</v>
      </c>
      <c r="N432" s="13">
        <v>4.0999999999999996</v>
      </c>
      <c r="O432" s="11">
        <v>5.3</v>
      </c>
      <c r="P432" s="11">
        <v>6.4</v>
      </c>
      <c r="Q432" s="11">
        <v>5.3</v>
      </c>
      <c r="R432" s="11">
        <v>6.8</v>
      </c>
      <c r="S432" s="14">
        <v>7.4</v>
      </c>
      <c r="T432" s="11">
        <v>496.74</v>
      </c>
      <c r="U432" s="13" cm="1">
        <f t="array" ref="U432">IF(Table8[[#This Row],[I_0]]&lt;Table24[Flitro de Ruido],1,Table8[[#This Row],[I_10]]/Table8[[#This Row],[I_0]])</f>
        <v>1.2926829268292683</v>
      </c>
      <c r="V432" s="13" cm="1">
        <f t="array" ref="V432">IF(Table8[[#This Row],[I_0]]&lt;Table24[Flitro de Ruido],1,Table8[[#This Row],[I_20]]/Table8[[#This Row],[I_0]])</f>
        <v>1.5609756097560978</v>
      </c>
      <c r="W432" s="13" cm="1">
        <f t="array" ref="W432">IF(Table8[[#This Row],[I_0]]&lt;Table24[Flitro de Ruido],1,Table8[[#This Row],[I_30]]/Table8[[#This Row],[I_0]])</f>
        <v>1.2926829268292683</v>
      </c>
      <c r="X432" s="13" cm="1">
        <f t="array" ref="X432">IF(Table8[[#This Row],[I_0]]&lt;Table24[Flitro de Ruido],1,Table8[[#This Row],[I_40]]/Table8[[#This Row],[I_0]])</f>
        <v>1.6585365853658538</v>
      </c>
      <c r="Y432" s="13" cm="1">
        <f t="array" ref="Y432">IF(Table8[[#This Row],[I_0]]&lt;Table24[Flitro de Ruido],1,Table8[[#This Row],[I_50]]/Table8[[#This Row],[I_0]])</f>
        <v>1.8048780487804881</v>
      </c>
    </row>
    <row r="433" spans="1:25" x14ac:dyDescent="0.3">
      <c r="A433" s="13">
        <v>497.73</v>
      </c>
      <c r="B433" s="12">
        <v>5.0999999999999996</v>
      </c>
      <c r="C433" s="11">
        <v>497.73</v>
      </c>
      <c r="D433" s="12">
        <v>6.5</v>
      </c>
      <c r="E433" s="11">
        <v>497.73</v>
      </c>
      <c r="F433" s="12">
        <v>7.8</v>
      </c>
      <c r="G433" s="11">
        <v>497.73</v>
      </c>
      <c r="H433" s="12">
        <v>6.6</v>
      </c>
      <c r="I433" s="11">
        <v>497.73</v>
      </c>
      <c r="J433" s="12">
        <v>8.4</v>
      </c>
      <c r="K433" s="11">
        <v>497.73</v>
      </c>
      <c r="L433" s="12">
        <v>9</v>
      </c>
      <c r="M433" s="11">
        <v>497.73</v>
      </c>
      <c r="N433" s="13">
        <v>5.0999999999999996</v>
      </c>
      <c r="O433" s="11">
        <v>6.5</v>
      </c>
      <c r="P433" s="11">
        <v>7.8</v>
      </c>
      <c r="Q433" s="11">
        <v>6.6</v>
      </c>
      <c r="R433" s="11">
        <v>8.4</v>
      </c>
      <c r="S433" s="14">
        <v>9</v>
      </c>
      <c r="T433" s="11">
        <v>497.73</v>
      </c>
      <c r="U433" s="13" cm="1">
        <f t="array" ref="U433">IF(Table8[[#This Row],[I_0]]&lt;Table24[Flitro de Ruido],1,Table8[[#This Row],[I_10]]/Table8[[#This Row],[I_0]])</f>
        <v>1.2745098039215688</v>
      </c>
      <c r="V433" s="13" cm="1">
        <f t="array" ref="V433">IF(Table8[[#This Row],[I_0]]&lt;Table24[Flitro de Ruido],1,Table8[[#This Row],[I_20]]/Table8[[#This Row],[I_0]])</f>
        <v>1.5294117647058825</v>
      </c>
      <c r="W433" s="13" cm="1">
        <f t="array" ref="W433">IF(Table8[[#This Row],[I_0]]&lt;Table24[Flitro de Ruido],1,Table8[[#This Row],[I_30]]/Table8[[#This Row],[I_0]])</f>
        <v>1.2941176470588236</v>
      </c>
      <c r="X433" s="13" cm="1">
        <f t="array" ref="X433">IF(Table8[[#This Row],[I_0]]&lt;Table24[Flitro de Ruido],1,Table8[[#This Row],[I_40]]/Table8[[#This Row],[I_0]])</f>
        <v>1.6470588235294119</v>
      </c>
      <c r="Y433" s="13" cm="1">
        <f t="array" ref="Y433">IF(Table8[[#This Row],[I_0]]&lt;Table24[Flitro de Ruido],1,Table8[[#This Row],[I_50]]/Table8[[#This Row],[I_0]])</f>
        <v>1.7647058823529413</v>
      </c>
    </row>
    <row r="434" spans="1:25" x14ac:dyDescent="0.3">
      <c r="A434" s="13">
        <v>498.72</v>
      </c>
      <c r="B434" s="12">
        <v>6.3</v>
      </c>
      <c r="C434" s="11">
        <v>498.72</v>
      </c>
      <c r="D434" s="12">
        <v>8</v>
      </c>
      <c r="E434" s="11">
        <v>498.72</v>
      </c>
      <c r="F434" s="12">
        <v>9.5</v>
      </c>
      <c r="G434" s="11">
        <v>498.72</v>
      </c>
      <c r="H434" s="12">
        <v>8</v>
      </c>
      <c r="I434" s="11">
        <v>498.72</v>
      </c>
      <c r="J434" s="12">
        <v>10.199999999999999</v>
      </c>
      <c r="K434" s="11">
        <v>498.72</v>
      </c>
      <c r="L434" s="12">
        <v>11</v>
      </c>
      <c r="M434" s="11">
        <v>498.72</v>
      </c>
      <c r="N434" s="13">
        <v>6.3</v>
      </c>
      <c r="O434" s="11">
        <v>8</v>
      </c>
      <c r="P434" s="11">
        <v>9.5</v>
      </c>
      <c r="Q434" s="11">
        <v>8</v>
      </c>
      <c r="R434" s="11">
        <v>10.199999999999999</v>
      </c>
      <c r="S434" s="14">
        <v>11</v>
      </c>
      <c r="T434" s="11">
        <v>498.72</v>
      </c>
      <c r="U434" s="13" cm="1">
        <f t="array" ref="U434">IF(Table8[[#This Row],[I_0]]&lt;Table24[Flitro de Ruido],1,Table8[[#This Row],[I_10]]/Table8[[#This Row],[I_0]])</f>
        <v>1.2698412698412698</v>
      </c>
      <c r="V434" s="13" cm="1">
        <f t="array" ref="V434">IF(Table8[[#This Row],[I_0]]&lt;Table24[Flitro de Ruido],1,Table8[[#This Row],[I_20]]/Table8[[#This Row],[I_0]])</f>
        <v>1.5079365079365079</v>
      </c>
      <c r="W434" s="13" cm="1">
        <f t="array" ref="W434">IF(Table8[[#This Row],[I_0]]&lt;Table24[Flitro de Ruido],1,Table8[[#This Row],[I_30]]/Table8[[#This Row],[I_0]])</f>
        <v>1.2698412698412698</v>
      </c>
      <c r="X434" s="13" cm="1">
        <f t="array" ref="X434">IF(Table8[[#This Row],[I_0]]&lt;Table24[Flitro de Ruido],1,Table8[[#This Row],[I_40]]/Table8[[#This Row],[I_0]])</f>
        <v>1.6190476190476191</v>
      </c>
      <c r="Y434" s="13" cm="1">
        <f t="array" ref="Y434">IF(Table8[[#This Row],[I_0]]&lt;Table24[Flitro de Ruido],1,Table8[[#This Row],[I_50]]/Table8[[#This Row],[I_0]])</f>
        <v>1.746031746031746</v>
      </c>
    </row>
    <row r="435" spans="1:25" x14ac:dyDescent="0.3">
      <c r="A435" s="13">
        <v>499.71</v>
      </c>
      <c r="B435" s="12">
        <v>7.6</v>
      </c>
      <c r="C435" s="11">
        <v>499.71</v>
      </c>
      <c r="D435" s="12">
        <v>9.5</v>
      </c>
      <c r="E435" s="11">
        <v>499.71</v>
      </c>
      <c r="F435" s="12">
        <v>11.3</v>
      </c>
      <c r="G435" s="11">
        <v>499.71</v>
      </c>
      <c r="H435" s="12">
        <v>9.6</v>
      </c>
      <c r="I435" s="11">
        <v>499.71</v>
      </c>
      <c r="J435" s="12">
        <v>12.2</v>
      </c>
      <c r="K435" s="11">
        <v>499.71</v>
      </c>
      <c r="L435" s="12">
        <v>13</v>
      </c>
      <c r="M435" s="11">
        <v>499.71</v>
      </c>
      <c r="N435" s="13">
        <v>7.6</v>
      </c>
      <c r="O435" s="11">
        <v>9.5</v>
      </c>
      <c r="P435" s="11">
        <v>11.3</v>
      </c>
      <c r="Q435" s="11">
        <v>9.6</v>
      </c>
      <c r="R435" s="11">
        <v>12.2</v>
      </c>
      <c r="S435" s="14">
        <v>13</v>
      </c>
      <c r="T435" s="11">
        <v>499.71</v>
      </c>
      <c r="U435" s="13" cm="1">
        <f t="array" ref="U435">IF(Table8[[#This Row],[I_0]]&lt;Table24[Flitro de Ruido],1,Table8[[#This Row],[I_10]]/Table8[[#This Row],[I_0]])</f>
        <v>1.25</v>
      </c>
      <c r="V435" s="13" cm="1">
        <f t="array" ref="V435">IF(Table8[[#This Row],[I_0]]&lt;Table24[Flitro de Ruido],1,Table8[[#This Row],[I_20]]/Table8[[#This Row],[I_0]])</f>
        <v>1.486842105263158</v>
      </c>
      <c r="W435" s="13" cm="1">
        <f t="array" ref="W435">IF(Table8[[#This Row],[I_0]]&lt;Table24[Flitro de Ruido],1,Table8[[#This Row],[I_30]]/Table8[[#This Row],[I_0]])</f>
        <v>1.263157894736842</v>
      </c>
      <c r="X435" s="13" cm="1">
        <f t="array" ref="X435">IF(Table8[[#This Row],[I_0]]&lt;Table24[Flitro de Ruido],1,Table8[[#This Row],[I_40]]/Table8[[#This Row],[I_0]])</f>
        <v>1.6052631578947367</v>
      </c>
      <c r="Y435" s="13" cm="1">
        <f t="array" ref="Y435">IF(Table8[[#This Row],[I_0]]&lt;Table24[Flitro de Ruido],1,Table8[[#This Row],[I_50]]/Table8[[#This Row],[I_0]])</f>
        <v>1.7105263157894737</v>
      </c>
    </row>
    <row r="436" spans="1:25" x14ac:dyDescent="0.3">
      <c r="A436" s="13">
        <v>500.71</v>
      </c>
      <c r="B436" s="12">
        <v>9</v>
      </c>
      <c r="C436" s="11">
        <v>500.71</v>
      </c>
      <c r="D436" s="12">
        <v>11.2</v>
      </c>
      <c r="E436" s="11">
        <v>500.71</v>
      </c>
      <c r="F436" s="12">
        <v>13.3</v>
      </c>
      <c r="G436" s="11">
        <v>500.71</v>
      </c>
      <c r="H436" s="12">
        <v>11.4</v>
      </c>
      <c r="I436" s="11">
        <v>500.71</v>
      </c>
      <c r="J436" s="12">
        <v>14.3</v>
      </c>
      <c r="K436" s="11">
        <v>500.71</v>
      </c>
      <c r="L436" s="12">
        <v>15.2</v>
      </c>
      <c r="M436" s="11">
        <v>500.71</v>
      </c>
      <c r="N436" s="13">
        <v>9</v>
      </c>
      <c r="O436" s="11">
        <v>11.2</v>
      </c>
      <c r="P436" s="11">
        <v>13.3</v>
      </c>
      <c r="Q436" s="11">
        <v>11.4</v>
      </c>
      <c r="R436" s="11">
        <v>14.3</v>
      </c>
      <c r="S436" s="14">
        <v>15.2</v>
      </c>
      <c r="T436" s="11">
        <v>500.71</v>
      </c>
      <c r="U436" s="13" cm="1">
        <f t="array" ref="U436">IF(Table8[[#This Row],[I_0]]&lt;Table24[Flitro de Ruido],1,Table8[[#This Row],[I_10]]/Table8[[#This Row],[I_0]])</f>
        <v>1.2444444444444445</v>
      </c>
      <c r="V436" s="13" cm="1">
        <f t="array" ref="V436">IF(Table8[[#This Row],[I_0]]&lt;Table24[Flitro de Ruido],1,Table8[[#This Row],[I_20]]/Table8[[#This Row],[I_0]])</f>
        <v>1.4777777777777779</v>
      </c>
      <c r="W436" s="13" cm="1">
        <f t="array" ref="W436">IF(Table8[[#This Row],[I_0]]&lt;Table24[Flitro de Ruido],1,Table8[[#This Row],[I_30]]/Table8[[#This Row],[I_0]])</f>
        <v>1.2666666666666666</v>
      </c>
      <c r="X436" s="13" cm="1">
        <f t="array" ref="X436">IF(Table8[[#This Row],[I_0]]&lt;Table24[Flitro de Ruido],1,Table8[[#This Row],[I_40]]/Table8[[#This Row],[I_0]])</f>
        <v>1.588888888888889</v>
      </c>
      <c r="Y436" s="13" cm="1">
        <f t="array" ref="Y436">IF(Table8[[#This Row],[I_0]]&lt;Table24[Flitro de Ruido],1,Table8[[#This Row],[I_50]]/Table8[[#This Row],[I_0]])</f>
        <v>1.6888888888888889</v>
      </c>
    </row>
    <row r="437" spans="1:25" x14ac:dyDescent="0.3">
      <c r="A437" s="13">
        <v>501.7</v>
      </c>
      <c r="B437" s="12">
        <v>10.5</v>
      </c>
      <c r="C437" s="11">
        <v>501.7</v>
      </c>
      <c r="D437" s="12">
        <v>13</v>
      </c>
      <c r="E437" s="11">
        <v>501.7</v>
      </c>
      <c r="F437" s="12">
        <v>15.4</v>
      </c>
      <c r="G437" s="11">
        <v>501.7</v>
      </c>
      <c r="H437" s="12">
        <v>13.3</v>
      </c>
      <c r="I437" s="11">
        <v>501.7</v>
      </c>
      <c r="J437" s="12">
        <v>16.600000000000001</v>
      </c>
      <c r="K437" s="11">
        <v>501.7</v>
      </c>
      <c r="L437" s="12">
        <v>17.600000000000001</v>
      </c>
      <c r="M437" s="11">
        <v>501.7</v>
      </c>
      <c r="N437" s="13">
        <v>10.5</v>
      </c>
      <c r="O437" s="11">
        <v>13</v>
      </c>
      <c r="P437" s="11">
        <v>15.4</v>
      </c>
      <c r="Q437" s="11">
        <v>13.3</v>
      </c>
      <c r="R437" s="11">
        <v>16.600000000000001</v>
      </c>
      <c r="S437" s="14">
        <v>17.600000000000001</v>
      </c>
      <c r="T437" s="11">
        <v>501.7</v>
      </c>
      <c r="U437" s="13" cm="1">
        <f t="array" ref="U437">IF(Table8[[#This Row],[I_0]]&lt;Table24[Flitro de Ruido],1,Table8[[#This Row],[I_10]]/Table8[[#This Row],[I_0]])</f>
        <v>1.2380952380952381</v>
      </c>
      <c r="V437" s="13" cm="1">
        <f t="array" ref="V437">IF(Table8[[#This Row],[I_0]]&lt;Table24[Flitro de Ruido],1,Table8[[#This Row],[I_20]]/Table8[[#This Row],[I_0]])</f>
        <v>1.4666666666666668</v>
      </c>
      <c r="W437" s="13" cm="1">
        <f t="array" ref="W437">IF(Table8[[#This Row],[I_0]]&lt;Table24[Flitro de Ruido],1,Table8[[#This Row],[I_30]]/Table8[[#This Row],[I_0]])</f>
        <v>1.2666666666666668</v>
      </c>
      <c r="X437" s="13" cm="1">
        <f t="array" ref="X437">IF(Table8[[#This Row],[I_0]]&lt;Table24[Flitro de Ruido],1,Table8[[#This Row],[I_40]]/Table8[[#This Row],[I_0]])</f>
        <v>1.5809523809523811</v>
      </c>
      <c r="Y437" s="13" cm="1">
        <f t="array" ref="Y437">IF(Table8[[#This Row],[I_0]]&lt;Table24[Flitro de Ruido],1,Table8[[#This Row],[I_50]]/Table8[[#This Row],[I_0]])</f>
        <v>1.6761904761904762</v>
      </c>
    </row>
    <row r="438" spans="1:25" x14ac:dyDescent="0.3">
      <c r="A438" s="13">
        <v>502.69</v>
      </c>
      <c r="B438" s="12">
        <v>12.1</v>
      </c>
      <c r="C438" s="11">
        <v>502.69</v>
      </c>
      <c r="D438" s="12">
        <v>14.9</v>
      </c>
      <c r="E438" s="11">
        <v>502.69</v>
      </c>
      <c r="F438" s="12">
        <v>17.7</v>
      </c>
      <c r="G438" s="11">
        <v>502.69</v>
      </c>
      <c r="H438" s="12">
        <v>15.3</v>
      </c>
      <c r="I438" s="11">
        <v>502.69</v>
      </c>
      <c r="J438" s="12">
        <v>19.100000000000001</v>
      </c>
      <c r="K438" s="11">
        <v>502.69</v>
      </c>
      <c r="L438" s="12">
        <v>20.2</v>
      </c>
      <c r="M438" s="11">
        <v>502.69</v>
      </c>
      <c r="N438" s="13">
        <v>12.1</v>
      </c>
      <c r="O438" s="11">
        <v>14.9</v>
      </c>
      <c r="P438" s="11">
        <v>17.7</v>
      </c>
      <c r="Q438" s="11">
        <v>15.3</v>
      </c>
      <c r="R438" s="11">
        <v>19.100000000000001</v>
      </c>
      <c r="S438" s="14">
        <v>20.2</v>
      </c>
      <c r="T438" s="11">
        <v>502.69</v>
      </c>
      <c r="U438" s="13" cm="1">
        <f t="array" ref="U438">IF(Table8[[#This Row],[I_0]]&lt;Table24[Flitro de Ruido],1,Table8[[#This Row],[I_10]]/Table8[[#This Row],[I_0]])</f>
        <v>1.2314049586776861</v>
      </c>
      <c r="V438" s="13" cm="1">
        <f t="array" ref="V438">IF(Table8[[#This Row],[I_0]]&lt;Table24[Flitro de Ruido],1,Table8[[#This Row],[I_20]]/Table8[[#This Row],[I_0]])</f>
        <v>1.4628099173553719</v>
      </c>
      <c r="W438" s="13" cm="1">
        <f t="array" ref="W438">IF(Table8[[#This Row],[I_0]]&lt;Table24[Flitro de Ruido],1,Table8[[#This Row],[I_30]]/Table8[[#This Row],[I_0]])</f>
        <v>1.2644628099173554</v>
      </c>
      <c r="X438" s="13" cm="1">
        <f t="array" ref="X438">IF(Table8[[#This Row],[I_0]]&lt;Table24[Flitro de Ruido],1,Table8[[#This Row],[I_40]]/Table8[[#This Row],[I_0]])</f>
        <v>1.5785123966942149</v>
      </c>
      <c r="Y438" s="13" cm="1">
        <f t="array" ref="Y438">IF(Table8[[#This Row],[I_0]]&lt;Table24[Flitro de Ruido],1,Table8[[#This Row],[I_50]]/Table8[[#This Row],[I_0]])</f>
        <v>1.6694214876033058</v>
      </c>
    </row>
    <row r="439" spans="1:25" x14ac:dyDescent="0.3">
      <c r="A439" s="13">
        <v>503.68</v>
      </c>
      <c r="B439" s="12">
        <v>13.8</v>
      </c>
      <c r="C439" s="11">
        <v>503.68</v>
      </c>
      <c r="D439" s="12">
        <v>17.100000000000001</v>
      </c>
      <c r="E439" s="11">
        <v>503.68</v>
      </c>
      <c r="F439" s="12">
        <v>20.3</v>
      </c>
      <c r="G439" s="11">
        <v>503.68</v>
      </c>
      <c r="H439" s="12">
        <v>17.600000000000001</v>
      </c>
      <c r="I439" s="11">
        <v>503.68</v>
      </c>
      <c r="J439" s="12">
        <v>21.9</v>
      </c>
      <c r="K439" s="11">
        <v>503.68</v>
      </c>
      <c r="L439" s="12">
        <v>23.1</v>
      </c>
      <c r="M439" s="11">
        <v>503.68</v>
      </c>
      <c r="N439" s="13">
        <v>13.8</v>
      </c>
      <c r="O439" s="11">
        <v>17.100000000000001</v>
      </c>
      <c r="P439" s="11">
        <v>20.3</v>
      </c>
      <c r="Q439" s="11">
        <v>17.600000000000001</v>
      </c>
      <c r="R439" s="11">
        <v>21.9</v>
      </c>
      <c r="S439" s="14">
        <v>23.1</v>
      </c>
      <c r="T439" s="11">
        <v>503.68</v>
      </c>
      <c r="U439" s="13" cm="1">
        <f t="array" ref="U439">IF(Table8[[#This Row],[I_0]]&lt;Table24[Flitro de Ruido],1,Table8[[#This Row],[I_10]]/Table8[[#This Row],[I_0]])</f>
        <v>1.2391304347826086</v>
      </c>
      <c r="V439" s="13" cm="1">
        <f t="array" ref="V439">IF(Table8[[#This Row],[I_0]]&lt;Table24[Flitro de Ruido],1,Table8[[#This Row],[I_20]]/Table8[[#This Row],[I_0]])</f>
        <v>1.4710144927536231</v>
      </c>
      <c r="W439" s="13" cm="1">
        <f t="array" ref="W439">IF(Table8[[#This Row],[I_0]]&lt;Table24[Flitro de Ruido],1,Table8[[#This Row],[I_30]]/Table8[[#This Row],[I_0]])</f>
        <v>1.2753623188405798</v>
      </c>
      <c r="X439" s="13" cm="1">
        <f t="array" ref="X439">IF(Table8[[#This Row],[I_0]]&lt;Table24[Flitro de Ruido],1,Table8[[#This Row],[I_40]]/Table8[[#This Row],[I_0]])</f>
        <v>1.5869565217391302</v>
      </c>
      <c r="Y439" s="13" cm="1">
        <f t="array" ref="Y439">IF(Table8[[#This Row],[I_0]]&lt;Table24[Flitro de Ruido],1,Table8[[#This Row],[I_50]]/Table8[[#This Row],[I_0]])</f>
        <v>1.673913043478261</v>
      </c>
    </row>
    <row r="440" spans="1:25" x14ac:dyDescent="0.3">
      <c r="A440" s="13">
        <v>504.67</v>
      </c>
      <c r="B440" s="12">
        <v>15.8</v>
      </c>
      <c r="C440" s="11">
        <v>504.67</v>
      </c>
      <c r="D440" s="12">
        <v>19.5</v>
      </c>
      <c r="E440" s="11">
        <v>504.67</v>
      </c>
      <c r="F440" s="12">
        <v>23.3</v>
      </c>
      <c r="G440" s="11">
        <v>504.67</v>
      </c>
      <c r="H440" s="12">
        <v>20.100000000000001</v>
      </c>
      <c r="I440" s="11">
        <v>504.67</v>
      </c>
      <c r="J440" s="12">
        <v>25</v>
      </c>
      <c r="K440" s="11">
        <v>504.67</v>
      </c>
      <c r="L440" s="12">
        <v>26.4</v>
      </c>
      <c r="M440" s="11">
        <v>504.67</v>
      </c>
      <c r="N440" s="13">
        <v>15.8</v>
      </c>
      <c r="O440" s="11">
        <v>19.5</v>
      </c>
      <c r="P440" s="11">
        <v>23.3</v>
      </c>
      <c r="Q440" s="11">
        <v>20.100000000000001</v>
      </c>
      <c r="R440" s="11">
        <v>25</v>
      </c>
      <c r="S440" s="14">
        <v>26.4</v>
      </c>
      <c r="T440" s="11">
        <v>504.67</v>
      </c>
      <c r="U440" s="13" cm="1">
        <f t="array" ref="U440">IF(Table8[[#This Row],[I_0]]&lt;Table24[Flitro de Ruido],1,Table8[[#This Row],[I_10]]/Table8[[#This Row],[I_0]])</f>
        <v>1.2341772151898733</v>
      </c>
      <c r="V440" s="13" cm="1">
        <f t="array" ref="V440">IF(Table8[[#This Row],[I_0]]&lt;Table24[Flitro de Ruido],1,Table8[[#This Row],[I_20]]/Table8[[#This Row],[I_0]])</f>
        <v>1.4746835443037976</v>
      </c>
      <c r="W440" s="13" cm="1">
        <f t="array" ref="W440">IF(Table8[[#This Row],[I_0]]&lt;Table24[Flitro de Ruido],1,Table8[[#This Row],[I_30]]/Table8[[#This Row],[I_0]])</f>
        <v>1.2721518987341773</v>
      </c>
      <c r="X440" s="13" cm="1">
        <f t="array" ref="X440">IF(Table8[[#This Row],[I_0]]&lt;Table24[Flitro de Ruido],1,Table8[[#This Row],[I_40]]/Table8[[#This Row],[I_0]])</f>
        <v>1.5822784810126582</v>
      </c>
      <c r="Y440" s="13" cm="1">
        <f t="array" ref="Y440">IF(Table8[[#This Row],[I_0]]&lt;Table24[Flitro de Ruido],1,Table8[[#This Row],[I_50]]/Table8[[#This Row],[I_0]])</f>
        <v>1.6708860759493669</v>
      </c>
    </row>
    <row r="441" spans="1:25" x14ac:dyDescent="0.3">
      <c r="A441" s="13">
        <v>505.67</v>
      </c>
      <c r="B441" s="12">
        <v>17.899999999999999</v>
      </c>
      <c r="C441" s="11">
        <v>505.67</v>
      </c>
      <c r="D441" s="12">
        <v>22.2</v>
      </c>
      <c r="E441" s="11">
        <v>505.67</v>
      </c>
      <c r="F441" s="12">
        <v>26.6</v>
      </c>
      <c r="G441" s="11">
        <v>505.67</v>
      </c>
      <c r="H441" s="12">
        <v>22.8</v>
      </c>
      <c r="I441" s="11">
        <v>505.67</v>
      </c>
      <c r="J441" s="12">
        <v>28.5</v>
      </c>
      <c r="K441" s="11">
        <v>505.67</v>
      </c>
      <c r="L441" s="12">
        <v>30.1</v>
      </c>
      <c r="M441" s="11">
        <v>505.67</v>
      </c>
      <c r="N441" s="13">
        <v>17.899999999999999</v>
      </c>
      <c r="O441" s="11">
        <v>22.2</v>
      </c>
      <c r="P441" s="11">
        <v>26.6</v>
      </c>
      <c r="Q441" s="11">
        <v>22.8</v>
      </c>
      <c r="R441" s="11">
        <v>28.5</v>
      </c>
      <c r="S441" s="14">
        <v>30.1</v>
      </c>
      <c r="T441" s="11">
        <v>505.67</v>
      </c>
      <c r="U441" s="13" cm="1">
        <f t="array" ref="U441">IF(Table8[[#This Row],[I_0]]&lt;Table24[Flitro de Ruido],1,Table8[[#This Row],[I_10]]/Table8[[#This Row],[I_0]])</f>
        <v>1.240223463687151</v>
      </c>
      <c r="V441" s="13" cm="1">
        <f t="array" ref="V441">IF(Table8[[#This Row],[I_0]]&lt;Table24[Flitro de Ruido],1,Table8[[#This Row],[I_20]]/Table8[[#This Row],[I_0]])</f>
        <v>1.4860335195530727</v>
      </c>
      <c r="W441" s="13" cm="1">
        <f t="array" ref="W441">IF(Table8[[#This Row],[I_0]]&lt;Table24[Flitro de Ruido],1,Table8[[#This Row],[I_30]]/Table8[[#This Row],[I_0]])</f>
        <v>1.2737430167597767</v>
      </c>
      <c r="X441" s="13" cm="1">
        <f t="array" ref="X441">IF(Table8[[#This Row],[I_0]]&lt;Table24[Flitro de Ruido],1,Table8[[#This Row],[I_40]]/Table8[[#This Row],[I_0]])</f>
        <v>1.5921787709497208</v>
      </c>
      <c r="Y441" s="13" cm="1">
        <f t="array" ref="Y441">IF(Table8[[#This Row],[I_0]]&lt;Table24[Flitro de Ruido],1,Table8[[#This Row],[I_50]]/Table8[[#This Row],[I_0]])</f>
        <v>1.6815642458100561</v>
      </c>
    </row>
    <row r="442" spans="1:25" x14ac:dyDescent="0.3">
      <c r="A442" s="13">
        <v>506.66</v>
      </c>
      <c r="B442" s="12">
        <v>20.2</v>
      </c>
      <c r="C442" s="11">
        <v>506.66</v>
      </c>
      <c r="D442" s="12">
        <v>25.2</v>
      </c>
      <c r="E442" s="11">
        <v>506.66</v>
      </c>
      <c r="F442" s="12">
        <v>30.2</v>
      </c>
      <c r="G442" s="11">
        <v>506.66</v>
      </c>
      <c r="H442" s="12">
        <v>25.9</v>
      </c>
      <c r="I442" s="11">
        <v>506.66</v>
      </c>
      <c r="J442" s="12">
        <v>32.200000000000003</v>
      </c>
      <c r="K442" s="11">
        <v>506.66</v>
      </c>
      <c r="L442" s="12">
        <v>34.1</v>
      </c>
      <c r="M442" s="11">
        <v>506.66</v>
      </c>
      <c r="N442" s="13">
        <v>20.2</v>
      </c>
      <c r="O442" s="11">
        <v>25.2</v>
      </c>
      <c r="P442" s="11">
        <v>30.2</v>
      </c>
      <c r="Q442" s="11">
        <v>25.9</v>
      </c>
      <c r="R442" s="11">
        <v>32.200000000000003</v>
      </c>
      <c r="S442" s="14">
        <v>34.1</v>
      </c>
      <c r="T442" s="11">
        <v>506.66</v>
      </c>
      <c r="U442" s="13" cm="1">
        <f t="array" ref="U442">IF(Table8[[#This Row],[I_0]]&lt;Table24[Flitro de Ruido],1,Table8[[#This Row],[I_10]]/Table8[[#This Row],[I_0]])</f>
        <v>1.2475247524752475</v>
      </c>
      <c r="V442" s="13" cm="1">
        <f t="array" ref="V442">IF(Table8[[#This Row],[I_0]]&lt;Table24[Flitro de Ruido],1,Table8[[#This Row],[I_20]]/Table8[[#This Row],[I_0]])</f>
        <v>1.495049504950495</v>
      </c>
      <c r="W442" s="13" cm="1">
        <f t="array" ref="W442">IF(Table8[[#This Row],[I_0]]&lt;Table24[Flitro de Ruido],1,Table8[[#This Row],[I_30]]/Table8[[#This Row],[I_0]])</f>
        <v>1.2821782178217822</v>
      </c>
      <c r="X442" s="13" cm="1">
        <f t="array" ref="X442">IF(Table8[[#This Row],[I_0]]&lt;Table24[Flitro de Ruido],1,Table8[[#This Row],[I_40]]/Table8[[#This Row],[I_0]])</f>
        <v>1.5940594059405944</v>
      </c>
      <c r="Y442" s="13" cm="1">
        <f t="array" ref="Y442">IF(Table8[[#This Row],[I_0]]&lt;Table24[Flitro de Ruido],1,Table8[[#This Row],[I_50]]/Table8[[#This Row],[I_0]])</f>
        <v>1.6881188118811883</v>
      </c>
    </row>
    <row r="443" spans="1:25" x14ac:dyDescent="0.3">
      <c r="A443" s="13">
        <v>507.65</v>
      </c>
      <c r="B443" s="12">
        <v>22.8</v>
      </c>
      <c r="C443" s="11">
        <v>507.65</v>
      </c>
      <c r="D443" s="12">
        <v>28.5</v>
      </c>
      <c r="E443" s="11">
        <v>507.65</v>
      </c>
      <c r="F443" s="12">
        <v>34.1</v>
      </c>
      <c r="G443" s="11">
        <v>507.65</v>
      </c>
      <c r="H443" s="12">
        <v>29.2</v>
      </c>
      <c r="I443" s="11">
        <v>507.65</v>
      </c>
      <c r="J443" s="12">
        <v>36.4</v>
      </c>
      <c r="K443" s="11">
        <v>507.65</v>
      </c>
      <c r="L443" s="12">
        <v>38.6</v>
      </c>
      <c r="M443" s="11">
        <v>507.65</v>
      </c>
      <c r="N443" s="13">
        <v>22.8</v>
      </c>
      <c r="O443" s="11">
        <v>28.5</v>
      </c>
      <c r="P443" s="11">
        <v>34.1</v>
      </c>
      <c r="Q443" s="11">
        <v>29.2</v>
      </c>
      <c r="R443" s="11">
        <v>36.4</v>
      </c>
      <c r="S443" s="14">
        <v>38.6</v>
      </c>
      <c r="T443" s="11">
        <v>507.65</v>
      </c>
      <c r="U443" s="13" cm="1">
        <f t="array" ref="U443">IF(Table8[[#This Row],[I_0]]&lt;Table24[Flitro de Ruido],1,Table8[[#This Row],[I_10]]/Table8[[#This Row],[I_0]])</f>
        <v>1.25</v>
      </c>
      <c r="V443" s="13" cm="1">
        <f t="array" ref="V443">IF(Table8[[#This Row],[I_0]]&lt;Table24[Flitro de Ruido],1,Table8[[#This Row],[I_20]]/Table8[[#This Row],[I_0]])</f>
        <v>1.4956140350877194</v>
      </c>
      <c r="W443" s="13" cm="1">
        <f t="array" ref="W443">IF(Table8[[#This Row],[I_0]]&lt;Table24[Flitro de Ruido],1,Table8[[#This Row],[I_30]]/Table8[[#This Row],[I_0]])</f>
        <v>1.2807017543859649</v>
      </c>
      <c r="X443" s="13" cm="1">
        <f t="array" ref="X443">IF(Table8[[#This Row],[I_0]]&lt;Table24[Flitro de Ruido],1,Table8[[#This Row],[I_40]]/Table8[[#This Row],[I_0]])</f>
        <v>1.5964912280701753</v>
      </c>
      <c r="Y443" s="13" cm="1">
        <f t="array" ref="Y443">IF(Table8[[#This Row],[I_0]]&lt;Table24[Flitro de Ruido],1,Table8[[#This Row],[I_50]]/Table8[[#This Row],[I_0]])</f>
        <v>1.6929824561403508</v>
      </c>
    </row>
    <row r="444" spans="1:25" x14ac:dyDescent="0.3">
      <c r="A444" s="13">
        <v>508.64</v>
      </c>
      <c r="B444" s="12">
        <v>25.7</v>
      </c>
      <c r="C444" s="11">
        <v>508.64</v>
      </c>
      <c r="D444" s="12">
        <v>32.1</v>
      </c>
      <c r="E444" s="11">
        <v>508.64</v>
      </c>
      <c r="F444" s="12">
        <v>38.299999999999997</v>
      </c>
      <c r="G444" s="11">
        <v>508.64</v>
      </c>
      <c r="H444" s="12">
        <v>32.799999999999997</v>
      </c>
      <c r="I444" s="11">
        <v>508.64</v>
      </c>
      <c r="J444" s="12">
        <v>40.9</v>
      </c>
      <c r="K444" s="11">
        <v>508.64</v>
      </c>
      <c r="L444" s="12">
        <v>43.4</v>
      </c>
      <c r="M444" s="11">
        <v>508.64</v>
      </c>
      <c r="N444" s="13">
        <v>25.7</v>
      </c>
      <c r="O444" s="11">
        <v>32.1</v>
      </c>
      <c r="P444" s="11">
        <v>38.299999999999997</v>
      </c>
      <c r="Q444" s="11">
        <v>32.799999999999997</v>
      </c>
      <c r="R444" s="11">
        <v>40.9</v>
      </c>
      <c r="S444" s="14">
        <v>43.4</v>
      </c>
      <c r="T444" s="11">
        <v>508.64</v>
      </c>
      <c r="U444" s="13" cm="1">
        <f t="array" ref="U444">IF(Table8[[#This Row],[I_0]]&lt;Table24[Flitro de Ruido],1,Table8[[#This Row],[I_10]]/Table8[[#This Row],[I_0]])</f>
        <v>1.2490272373540856</v>
      </c>
      <c r="V444" s="13" cm="1">
        <f t="array" ref="V444">IF(Table8[[#This Row],[I_0]]&lt;Table24[Flitro de Ruido],1,Table8[[#This Row],[I_20]]/Table8[[#This Row],[I_0]])</f>
        <v>1.4902723735408561</v>
      </c>
      <c r="W444" s="13" cm="1">
        <f t="array" ref="W444">IF(Table8[[#This Row],[I_0]]&lt;Table24[Flitro de Ruido],1,Table8[[#This Row],[I_30]]/Table8[[#This Row],[I_0]])</f>
        <v>1.2762645914396886</v>
      </c>
      <c r="X444" s="13" cm="1">
        <f t="array" ref="X444">IF(Table8[[#This Row],[I_0]]&lt;Table24[Flitro de Ruido],1,Table8[[#This Row],[I_40]]/Table8[[#This Row],[I_0]])</f>
        <v>1.5914396887159532</v>
      </c>
      <c r="Y444" s="13" cm="1">
        <f t="array" ref="Y444">IF(Table8[[#This Row],[I_0]]&lt;Table24[Flitro de Ruido],1,Table8[[#This Row],[I_50]]/Table8[[#This Row],[I_0]])</f>
        <v>1.688715953307393</v>
      </c>
    </row>
    <row r="445" spans="1:25" x14ac:dyDescent="0.3">
      <c r="A445" s="13">
        <v>509.63</v>
      </c>
      <c r="B445" s="12">
        <v>28.9</v>
      </c>
      <c r="C445" s="11">
        <v>509.63</v>
      </c>
      <c r="D445" s="12">
        <v>36.1</v>
      </c>
      <c r="E445" s="11">
        <v>509.63</v>
      </c>
      <c r="F445" s="12">
        <v>43</v>
      </c>
      <c r="G445" s="11">
        <v>509.63</v>
      </c>
      <c r="H445" s="12">
        <v>36.799999999999997</v>
      </c>
      <c r="I445" s="11">
        <v>509.63</v>
      </c>
      <c r="J445" s="12">
        <v>45.8</v>
      </c>
      <c r="K445" s="11">
        <v>509.63</v>
      </c>
      <c r="L445" s="12">
        <v>48.7</v>
      </c>
      <c r="M445" s="11">
        <v>509.63</v>
      </c>
      <c r="N445" s="13">
        <v>28.9</v>
      </c>
      <c r="O445" s="11">
        <v>36.1</v>
      </c>
      <c r="P445" s="11">
        <v>43</v>
      </c>
      <c r="Q445" s="11">
        <v>36.799999999999997</v>
      </c>
      <c r="R445" s="11">
        <v>45.8</v>
      </c>
      <c r="S445" s="14">
        <v>48.7</v>
      </c>
      <c r="T445" s="11">
        <v>509.63</v>
      </c>
      <c r="U445" s="13" cm="1">
        <f t="array" ref="U445">IF(Table8[[#This Row],[I_0]]&lt;Table24[Flitro de Ruido],1,Table8[[#This Row],[I_10]]/Table8[[#This Row],[I_0]])</f>
        <v>1.2491349480968859</v>
      </c>
      <c r="V445" s="13" cm="1">
        <f t="array" ref="V445">IF(Table8[[#This Row],[I_0]]&lt;Table24[Flitro de Ruido],1,Table8[[#This Row],[I_20]]/Table8[[#This Row],[I_0]])</f>
        <v>1.4878892733564015</v>
      </c>
      <c r="W445" s="13" cm="1">
        <f t="array" ref="W445">IF(Table8[[#This Row],[I_0]]&lt;Table24[Flitro de Ruido],1,Table8[[#This Row],[I_30]]/Table8[[#This Row],[I_0]])</f>
        <v>1.273356401384083</v>
      </c>
      <c r="X445" s="13" cm="1">
        <f t="array" ref="X445">IF(Table8[[#This Row],[I_0]]&lt;Table24[Flitro de Ruido],1,Table8[[#This Row],[I_40]]/Table8[[#This Row],[I_0]])</f>
        <v>1.5847750865051904</v>
      </c>
      <c r="Y445" s="13" cm="1">
        <f t="array" ref="Y445">IF(Table8[[#This Row],[I_0]]&lt;Table24[Flitro de Ruido],1,Table8[[#This Row],[I_50]]/Table8[[#This Row],[I_0]])</f>
        <v>1.6851211072664363</v>
      </c>
    </row>
    <row r="446" spans="1:25" x14ac:dyDescent="0.3">
      <c r="A446" s="13">
        <v>510.62</v>
      </c>
      <c r="B446" s="12">
        <v>32.6</v>
      </c>
      <c r="C446" s="11">
        <v>510.62</v>
      </c>
      <c r="D446" s="12">
        <v>40.700000000000003</v>
      </c>
      <c r="E446" s="11">
        <v>510.62</v>
      </c>
      <c r="F446" s="12">
        <v>48.3</v>
      </c>
      <c r="G446" s="11">
        <v>510.62</v>
      </c>
      <c r="H446" s="12">
        <v>41.4</v>
      </c>
      <c r="I446" s="11">
        <v>510.62</v>
      </c>
      <c r="J446" s="12">
        <v>51.5</v>
      </c>
      <c r="K446" s="11">
        <v>510.62</v>
      </c>
      <c r="L446" s="12">
        <v>54.9</v>
      </c>
      <c r="M446" s="11">
        <v>510.62</v>
      </c>
      <c r="N446" s="13">
        <v>32.6</v>
      </c>
      <c r="O446" s="11">
        <v>40.700000000000003</v>
      </c>
      <c r="P446" s="11">
        <v>48.3</v>
      </c>
      <c r="Q446" s="11">
        <v>41.4</v>
      </c>
      <c r="R446" s="11">
        <v>51.5</v>
      </c>
      <c r="S446" s="14">
        <v>54.9</v>
      </c>
      <c r="T446" s="11">
        <v>510.62</v>
      </c>
      <c r="U446" s="13" cm="1">
        <f t="array" ref="U446">IF(Table8[[#This Row],[I_0]]&lt;Table24[Flitro de Ruido],1,Table8[[#This Row],[I_10]]/Table8[[#This Row],[I_0]])</f>
        <v>1.2484662576687118</v>
      </c>
      <c r="V446" s="13" cm="1">
        <f t="array" ref="V446">IF(Table8[[#This Row],[I_0]]&lt;Table24[Flitro de Ruido],1,Table8[[#This Row],[I_20]]/Table8[[#This Row],[I_0]])</f>
        <v>1.4815950920245398</v>
      </c>
      <c r="W446" s="13" cm="1">
        <f t="array" ref="W446">IF(Table8[[#This Row],[I_0]]&lt;Table24[Flitro de Ruido],1,Table8[[#This Row],[I_30]]/Table8[[#This Row],[I_0]])</f>
        <v>1.2699386503067485</v>
      </c>
      <c r="X446" s="13" cm="1">
        <f t="array" ref="X446">IF(Table8[[#This Row],[I_0]]&lt;Table24[Flitro de Ruido],1,Table8[[#This Row],[I_40]]/Table8[[#This Row],[I_0]])</f>
        <v>1.5797546012269938</v>
      </c>
      <c r="Y446" s="13" cm="1">
        <f t="array" ref="Y446">IF(Table8[[#This Row],[I_0]]&lt;Table24[Flitro de Ruido],1,Table8[[#This Row],[I_50]]/Table8[[#This Row],[I_0]])</f>
        <v>1.6840490797546011</v>
      </c>
    </row>
    <row r="447" spans="1:25" x14ac:dyDescent="0.3">
      <c r="A447" s="13">
        <v>511.62</v>
      </c>
      <c r="B447" s="12">
        <v>36.200000000000003</v>
      </c>
      <c r="C447" s="11">
        <v>511.62</v>
      </c>
      <c r="D447" s="12">
        <v>45.1</v>
      </c>
      <c r="E447" s="11">
        <v>511.62</v>
      </c>
      <c r="F447" s="12">
        <v>53.4</v>
      </c>
      <c r="G447" s="11">
        <v>511.62</v>
      </c>
      <c r="H447" s="12">
        <v>45.8</v>
      </c>
      <c r="I447" s="11">
        <v>511.62</v>
      </c>
      <c r="J447" s="12">
        <v>56.9</v>
      </c>
      <c r="K447" s="11">
        <v>511.62</v>
      </c>
      <c r="L447" s="12">
        <v>60.7</v>
      </c>
      <c r="M447" s="11">
        <v>511.62</v>
      </c>
      <c r="N447" s="13">
        <v>36.200000000000003</v>
      </c>
      <c r="O447" s="11">
        <v>45.1</v>
      </c>
      <c r="P447" s="11">
        <v>53.4</v>
      </c>
      <c r="Q447" s="11">
        <v>45.8</v>
      </c>
      <c r="R447" s="11">
        <v>56.9</v>
      </c>
      <c r="S447" s="14">
        <v>60.7</v>
      </c>
      <c r="T447" s="11">
        <v>511.62</v>
      </c>
      <c r="U447" s="13" cm="1">
        <f t="array" ref="U447">IF(Table8[[#This Row],[I_0]]&lt;Table24[Flitro de Ruido],1,Table8[[#This Row],[I_10]]/Table8[[#This Row],[I_0]])</f>
        <v>1.2458563535911602</v>
      </c>
      <c r="V447" s="13" cm="1">
        <f t="array" ref="V447">IF(Table8[[#This Row],[I_0]]&lt;Table24[Flitro de Ruido],1,Table8[[#This Row],[I_20]]/Table8[[#This Row],[I_0]])</f>
        <v>1.4751381215469612</v>
      </c>
      <c r="W447" s="13" cm="1">
        <f t="array" ref="W447">IF(Table8[[#This Row],[I_0]]&lt;Table24[Flitro de Ruido],1,Table8[[#This Row],[I_30]]/Table8[[#This Row],[I_0]])</f>
        <v>1.2651933701657456</v>
      </c>
      <c r="X447" s="13" cm="1">
        <f t="array" ref="X447">IF(Table8[[#This Row],[I_0]]&lt;Table24[Flitro de Ruido],1,Table8[[#This Row],[I_40]]/Table8[[#This Row],[I_0]])</f>
        <v>1.5718232044198894</v>
      </c>
      <c r="Y447" s="13" cm="1">
        <f t="array" ref="Y447">IF(Table8[[#This Row],[I_0]]&lt;Table24[Flitro de Ruido],1,Table8[[#This Row],[I_50]]/Table8[[#This Row],[I_0]])</f>
        <v>1.6767955801104972</v>
      </c>
    </row>
    <row r="448" spans="1:25" x14ac:dyDescent="0.3">
      <c r="A448" s="13">
        <v>512.61</v>
      </c>
      <c r="B448" s="12">
        <v>40</v>
      </c>
      <c r="C448" s="11">
        <v>512.61</v>
      </c>
      <c r="D448" s="12">
        <v>49.9</v>
      </c>
      <c r="E448" s="11">
        <v>512.61</v>
      </c>
      <c r="F448" s="12">
        <v>58.8</v>
      </c>
      <c r="G448" s="11">
        <v>512.61</v>
      </c>
      <c r="H448" s="12">
        <v>50.6</v>
      </c>
      <c r="I448" s="11">
        <v>512.61</v>
      </c>
      <c r="J448" s="12">
        <v>62.8</v>
      </c>
      <c r="K448" s="11">
        <v>512.61</v>
      </c>
      <c r="L448" s="12">
        <v>67.099999999999994</v>
      </c>
      <c r="M448" s="11">
        <v>512.61</v>
      </c>
      <c r="N448" s="13">
        <v>40</v>
      </c>
      <c r="O448" s="11">
        <v>49.9</v>
      </c>
      <c r="P448" s="11">
        <v>58.8</v>
      </c>
      <c r="Q448" s="11">
        <v>50.6</v>
      </c>
      <c r="R448" s="11">
        <v>62.8</v>
      </c>
      <c r="S448" s="14">
        <v>67.099999999999994</v>
      </c>
      <c r="T448" s="11">
        <v>512.61</v>
      </c>
      <c r="U448" s="13" cm="1">
        <f t="array" ref="U448">IF(Table8[[#This Row],[I_0]]&lt;Table24[Flitro de Ruido],1,Table8[[#This Row],[I_10]]/Table8[[#This Row],[I_0]])</f>
        <v>1.2475000000000001</v>
      </c>
      <c r="V448" s="13" cm="1">
        <f t="array" ref="V448">IF(Table8[[#This Row],[I_0]]&lt;Table24[Flitro de Ruido],1,Table8[[#This Row],[I_20]]/Table8[[#This Row],[I_0]])</f>
        <v>1.47</v>
      </c>
      <c r="W448" s="13" cm="1">
        <f t="array" ref="W448">IF(Table8[[#This Row],[I_0]]&lt;Table24[Flitro de Ruido],1,Table8[[#This Row],[I_30]]/Table8[[#This Row],[I_0]])</f>
        <v>1.2650000000000001</v>
      </c>
      <c r="X448" s="13" cm="1">
        <f t="array" ref="X448">IF(Table8[[#This Row],[I_0]]&lt;Table24[Flitro de Ruido],1,Table8[[#This Row],[I_40]]/Table8[[#This Row],[I_0]])</f>
        <v>1.5699999999999998</v>
      </c>
      <c r="Y448" s="13" cm="1">
        <f t="array" ref="Y448">IF(Table8[[#This Row],[I_0]]&lt;Table24[Flitro de Ruido],1,Table8[[#This Row],[I_50]]/Table8[[#This Row],[I_0]])</f>
        <v>1.6774999999999998</v>
      </c>
    </row>
    <row r="449" spans="1:25" x14ac:dyDescent="0.3">
      <c r="A449" s="13">
        <v>513.6</v>
      </c>
      <c r="B449" s="12">
        <v>43.9</v>
      </c>
      <c r="C449" s="11">
        <v>513.6</v>
      </c>
      <c r="D449" s="12">
        <v>54.6</v>
      </c>
      <c r="E449" s="11">
        <v>513.6</v>
      </c>
      <c r="F449" s="12">
        <v>64.2</v>
      </c>
      <c r="G449" s="11">
        <v>513.6</v>
      </c>
      <c r="H449" s="12">
        <v>55.4</v>
      </c>
      <c r="I449" s="11">
        <v>513.6</v>
      </c>
      <c r="J449" s="12">
        <v>68.599999999999994</v>
      </c>
      <c r="K449" s="11">
        <v>513.6</v>
      </c>
      <c r="L449" s="12">
        <v>73.400000000000006</v>
      </c>
      <c r="M449" s="11">
        <v>513.6</v>
      </c>
      <c r="N449" s="13">
        <v>43.9</v>
      </c>
      <c r="O449" s="11">
        <v>54.6</v>
      </c>
      <c r="P449" s="11">
        <v>64.2</v>
      </c>
      <c r="Q449" s="11">
        <v>55.4</v>
      </c>
      <c r="R449" s="11">
        <v>68.599999999999994</v>
      </c>
      <c r="S449" s="14">
        <v>73.400000000000006</v>
      </c>
      <c r="T449" s="11">
        <v>513.6</v>
      </c>
      <c r="U449" s="13" cm="1">
        <f t="array" ref="U449">IF(Table8[[#This Row],[I_0]]&lt;Table24[Flitro de Ruido],1,Table8[[#This Row],[I_10]]/Table8[[#This Row],[I_0]])</f>
        <v>1.24373576309795</v>
      </c>
      <c r="V449" s="13" cm="1">
        <f t="array" ref="V449">IF(Table8[[#This Row],[I_0]]&lt;Table24[Flitro de Ruido],1,Table8[[#This Row],[I_20]]/Table8[[#This Row],[I_0]])</f>
        <v>1.4624145785876994</v>
      </c>
      <c r="W449" s="13" cm="1">
        <f t="array" ref="W449">IF(Table8[[#This Row],[I_0]]&lt;Table24[Flitro de Ruido],1,Table8[[#This Row],[I_30]]/Table8[[#This Row],[I_0]])</f>
        <v>1.2619589977220957</v>
      </c>
      <c r="X449" s="13" cm="1">
        <f t="array" ref="X449">IF(Table8[[#This Row],[I_0]]&lt;Table24[Flitro de Ruido],1,Table8[[#This Row],[I_40]]/Table8[[#This Row],[I_0]])</f>
        <v>1.5626423690205011</v>
      </c>
      <c r="Y449" s="13" cm="1">
        <f t="array" ref="Y449">IF(Table8[[#This Row],[I_0]]&lt;Table24[Flitro de Ruido],1,Table8[[#This Row],[I_50]]/Table8[[#This Row],[I_0]])</f>
        <v>1.671981776765376</v>
      </c>
    </row>
    <row r="450" spans="1:25" x14ac:dyDescent="0.3">
      <c r="A450" s="13">
        <v>514.59</v>
      </c>
      <c r="B450" s="12">
        <v>48.1</v>
      </c>
      <c r="C450" s="11">
        <v>514.59</v>
      </c>
      <c r="D450" s="12">
        <v>59.6</v>
      </c>
      <c r="E450" s="11">
        <v>514.59</v>
      </c>
      <c r="F450" s="12">
        <v>69.8</v>
      </c>
      <c r="G450" s="11">
        <v>514.59</v>
      </c>
      <c r="H450" s="12">
        <v>60.5</v>
      </c>
      <c r="I450" s="11">
        <v>514.59</v>
      </c>
      <c r="J450" s="12">
        <v>74.7</v>
      </c>
      <c r="K450" s="11">
        <v>514.59</v>
      </c>
      <c r="L450" s="12">
        <v>80.099999999999994</v>
      </c>
      <c r="M450" s="11">
        <v>514.59</v>
      </c>
      <c r="N450" s="13">
        <v>48.1</v>
      </c>
      <c r="O450" s="11">
        <v>59.6</v>
      </c>
      <c r="P450" s="11">
        <v>69.8</v>
      </c>
      <c r="Q450" s="11">
        <v>60.5</v>
      </c>
      <c r="R450" s="11">
        <v>74.7</v>
      </c>
      <c r="S450" s="14">
        <v>80.099999999999994</v>
      </c>
      <c r="T450" s="11">
        <v>514.59</v>
      </c>
      <c r="U450" s="13" cm="1">
        <f t="array" ref="U450">IF(Table8[[#This Row],[I_0]]&lt;Table24[Flitro de Ruido],1,Table8[[#This Row],[I_10]]/Table8[[#This Row],[I_0]])</f>
        <v>1.2390852390852392</v>
      </c>
      <c r="V450" s="13" cm="1">
        <f t="array" ref="V450">IF(Table8[[#This Row],[I_0]]&lt;Table24[Flitro de Ruido],1,Table8[[#This Row],[I_20]]/Table8[[#This Row],[I_0]])</f>
        <v>1.4511434511434511</v>
      </c>
      <c r="W450" s="13" cm="1">
        <f t="array" ref="W450">IF(Table8[[#This Row],[I_0]]&lt;Table24[Flitro de Ruido],1,Table8[[#This Row],[I_30]]/Table8[[#This Row],[I_0]])</f>
        <v>1.2577962577962578</v>
      </c>
      <c r="X450" s="13" cm="1">
        <f t="array" ref="X450">IF(Table8[[#This Row],[I_0]]&lt;Table24[Flitro de Ruido],1,Table8[[#This Row],[I_40]]/Table8[[#This Row],[I_0]])</f>
        <v>1.5530145530145529</v>
      </c>
      <c r="Y450" s="13" cm="1">
        <f t="array" ref="Y450">IF(Table8[[#This Row],[I_0]]&lt;Table24[Flitro de Ruido],1,Table8[[#This Row],[I_50]]/Table8[[#This Row],[I_0]])</f>
        <v>1.6652806652806651</v>
      </c>
    </row>
    <row r="451" spans="1:25" x14ac:dyDescent="0.3">
      <c r="A451" s="13">
        <v>515.58000000000004</v>
      </c>
      <c r="B451" s="12">
        <v>52.3</v>
      </c>
      <c r="C451" s="11">
        <v>515.58000000000004</v>
      </c>
      <c r="D451" s="12">
        <v>64.599999999999994</v>
      </c>
      <c r="E451" s="11">
        <v>515.58000000000004</v>
      </c>
      <c r="F451" s="12">
        <v>75.3</v>
      </c>
      <c r="G451" s="11">
        <v>515.58000000000004</v>
      </c>
      <c r="H451" s="12">
        <v>65.599999999999994</v>
      </c>
      <c r="I451" s="11">
        <v>515.58000000000004</v>
      </c>
      <c r="J451" s="12">
        <v>80.8</v>
      </c>
      <c r="K451" s="11">
        <v>515.58000000000004</v>
      </c>
      <c r="L451" s="12">
        <v>86.7</v>
      </c>
      <c r="M451" s="11">
        <v>515.58000000000004</v>
      </c>
      <c r="N451" s="13">
        <v>52.3</v>
      </c>
      <c r="O451" s="11">
        <v>64.599999999999994</v>
      </c>
      <c r="P451" s="11">
        <v>75.3</v>
      </c>
      <c r="Q451" s="11">
        <v>65.599999999999994</v>
      </c>
      <c r="R451" s="11">
        <v>80.8</v>
      </c>
      <c r="S451" s="14">
        <v>86.7</v>
      </c>
      <c r="T451" s="11">
        <v>515.58000000000004</v>
      </c>
      <c r="U451" s="13" cm="1">
        <f t="array" ref="U451">IF(Table8[[#This Row],[I_0]]&lt;Table24[Flitro de Ruido],1,Table8[[#This Row],[I_10]]/Table8[[#This Row],[I_0]])</f>
        <v>1.2351816443594645</v>
      </c>
      <c r="V451" s="13" cm="1">
        <f t="array" ref="V451">IF(Table8[[#This Row],[I_0]]&lt;Table24[Flitro de Ruido],1,Table8[[#This Row],[I_20]]/Table8[[#This Row],[I_0]])</f>
        <v>1.4397705544933079</v>
      </c>
      <c r="W451" s="13" cm="1">
        <f t="array" ref="W451">IF(Table8[[#This Row],[I_0]]&lt;Table24[Flitro de Ruido],1,Table8[[#This Row],[I_30]]/Table8[[#This Row],[I_0]])</f>
        <v>1.254302103250478</v>
      </c>
      <c r="X451" s="13" cm="1">
        <f t="array" ref="X451">IF(Table8[[#This Row],[I_0]]&lt;Table24[Flitro de Ruido],1,Table8[[#This Row],[I_40]]/Table8[[#This Row],[I_0]])</f>
        <v>1.5449330783938815</v>
      </c>
      <c r="Y451" s="13" cm="1">
        <f t="array" ref="Y451">IF(Table8[[#This Row],[I_0]]&lt;Table24[Flitro de Ruido],1,Table8[[#This Row],[I_50]]/Table8[[#This Row],[I_0]])</f>
        <v>1.6577437858508606</v>
      </c>
    </row>
    <row r="452" spans="1:25" x14ac:dyDescent="0.3">
      <c r="A452" s="13">
        <v>516.57000000000005</v>
      </c>
      <c r="B452" s="12">
        <v>56.8</v>
      </c>
      <c r="C452" s="11">
        <v>516.57000000000005</v>
      </c>
      <c r="D452" s="12">
        <v>69.900000000000006</v>
      </c>
      <c r="E452" s="11">
        <v>516.57000000000005</v>
      </c>
      <c r="F452" s="12">
        <v>81.099999999999994</v>
      </c>
      <c r="G452" s="11">
        <v>516.57000000000005</v>
      </c>
      <c r="H452" s="12">
        <v>70.900000000000006</v>
      </c>
      <c r="I452" s="11">
        <v>516.57000000000005</v>
      </c>
      <c r="J452" s="12">
        <v>87.1</v>
      </c>
      <c r="K452" s="11">
        <v>516.57000000000005</v>
      </c>
      <c r="L452" s="12">
        <v>93.5</v>
      </c>
      <c r="M452" s="11">
        <v>516.57000000000005</v>
      </c>
      <c r="N452" s="13">
        <v>56.8</v>
      </c>
      <c r="O452" s="11">
        <v>69.900000000000006</v>
      </c>
      <c r="P452" s="11">
        <v>81.099999999999994</v>
      </c>
      <c r="Q452" s="11">
        <v>70.900000000000006</v>
      </c>
      <c r="R452" s="11">
        <v>87.1</v>
      </c>
      <c r="S452" s="14">
        <v>93.5</v>
      </c>
      <c r="T452" s="11">
        <v>516.57000000000005</v>
      </c>
      <c r="U452" s="13" cm="1">
        <f t="array" ref="U452">IF(Table8[[#This Row],[I_0]]&lt;Table24[Flitro de Ruido],1,Table8[[#This Row],[I_10]]/Table8[[#This Row],[I_0]])</f>
        <v>1.2306338028169015</v>
      </c>
      <c r="V452" s="13" cm="1">
        <f t="array" ref="V452">IF(Table8[[#This Row],[I_0]]&lt;Table24[Flitro de Ruido],1,Table8[[#This Row],[I_20]]/Table8[[#This Row],[I_0]])</f>
        <v>1.4278169014084507</v>
      </c>
      <c r="W452" s="13" cm="1">
        <f t="array" ref="W452">IF(Table8[[#This Row],[I_0]]&lt;Table24[Flitro de Ruido],1,Table8[[#This Row],[I_30]]/Table8[[#This Row],[I_0]])</f>
        <v>1.2482394366197185</v>
      </c>
      <c r="X452" s="13" cm="1">
        <f t="array" ref="X452">IF(Table8[[#This Row],[I_0]]&lt;Table24[Flitro de Ruido],1,Table8[[#This Row],[I_40]]/Table8[[#This Row],[I_0]])</f>
        <v>1.533450704225352</v>
      </c>
      <c r="Y452" s="13" cm="1">
        <f t="array" ref="Y452">IF(Table8[[#This Row],[I_0]]&lt;Table24[Flitro de Ruido],1,Table8[[#This Row],[I_50]]/Table8[[#This Row],[I_0]])</f>
        <v>1.6461267605633803</v>
      </c>
    </row>
    <row r="453" spans="1:25" x14ac:dyDescent="0.3">
      <c r="A453" s="13">
        <v>517.57000000000005</v>
      </c>
      <c r="B453" s="12">
        <v>61.2</v>
      </c>
      <c r="C453" s="11">
        <v>517.57000000000005</v>
      </c>
      <c r="D453" s="12">
        <v>75</v>
      </c>
      <c r="E453" s="11">
        <v>517.57000000000005</v>
      </c>
      <c r="F453" s="12">
        <v>86.8</v>
      </c>
      <c r="G453" s="11">
        <v>517.57000000000005</v>
      </c>
      <c r="H453" s="12">
        <v>76.2</v>
      </c>
      <c r="I453" s="11">
        <v>517.57000000000005</v>
      </c>
      <c r="J453" s="12">
        <v>93.3</v>
      </c>
      <c r="K453" s="11">
        <v>517.57000000000005</v>
      </c>
      <c r="L453" s="12">
        <v>100.1</v>
      </c>
      <c r="M453" s="11">
        <v>517.57000000000005</v>
      </c>
      <c r="N453" s="13">
        <v>61.2</v>
      </c>
      <c r="O453" s="11">
        <v>75</v>
      </c>
      <c r="P453" s="11">
        <v>86.8</v>
      </c>
      <c r="Q453" s="11">
        <v>76.2</v>
      </c>
      <c r="R453" s="11">
        <v>93.3</v>
      </c>
      <c r="S453" s="14">
        <v>100.1</v>
      </c>
      <c r="T453" s="11">
        <v>517.57000000000005</v>
      </c>
      <c r="U453" s="13" cm="1">
        <f t="array" ref="U453">IF(Table8[[#This Row],[I_0]]&lt;Table24[Flitro de Ruido],1,Table8[[#This Row],[I_10]]/Table8[[#This Row],[I_0]])</f>
        <v>1.2254901960784312</v>
      </c>
      <c r="V453" s="13" cm="1">
        <f t="array" ref="V453">IF(Table8[[#This Row],[I_0]]&lt;Table24[Flitro de Ruido],1,Table8[[#This Row],[I_20]]/Table8[[#This Row],[I_0]])</f>
        <v>1.4183006535947711</v>
      </c>
      <c r="W453" s="13" cm="1">
        <f t="array" ref="W453">IF(Table8[[#This Row],[I_0]]&lt;Table24[Flitro de Ruido],1,Table8[[#This Row],[I_30]]/Table8[[#This Row],[I_0]])</f>
        <v>1.2450980392156863</v>
      </c>
      <c r="X453" s="13" cm="1">
        <f t="array" ref="X453">IF(Table8[[#This Row],[I_0]]&lt;Table24[Flitro de Ruido],1,Table8[[#This Row],[I_40]]/Table8[[#This Row],[I_0]])</f>
        <v>1.5245098039215685</v>
      </c>
      <c r="Y453" s="13" cm="1">
        <f t="array" ref="Y453">IF(Table8[[#This Row],[I_0]]&lt;Table24[Flitro de Ruido],1,Table8[[#This Row],[I_50]]/Table8[[#This Row],[I_0]])</f>
        <v>1.6356209150326795</v>
      </c>
    </row>
    <row r="454" spans="1:25" x14ac:dyDescent="0.3">
      <c r="A454" s="13">
        <v>518.55999999999995</v>
      </c>
      <c r="B454" s="12">
        <v>65.7</v>
      </c>
      <c r="C454" s="11">
        <v>518.55999999999995</v>
      </c>
      <c r="D454" s="12">
        <v>80.3</v>
      </c>
      <c r="E454" s="11">
        <v>518.55999999999995</v>
      </c>
      <c r="F454" s="12">
        <v>92.5</v>
      </c>
      <c r="G454" s="11">
        <v>518.55999999999995</v>
      </c>
      <c r="H454" s="12">
        <v>81.599999999999994</v>
      </c>
      <c r="I454" s="11">
        <v>518.55999999999995</v>
      </c>
      <c r="J454" s="12">
        <v>99.6</v>
      </c>
      <c r="K454" s="11">
        <v>518.55999999999995</v>
      </c>
      <c r="L454" s="12">
        <v>106.8</v>
      </c>
      <c r="M454" s="11">
        <v>518.55999999999995</v>
      </c>
      <c r="N454" s="13">
        <v>65.7</v>
      </c>
      <c r="O454" s="11">
        <v>80.3</v>
      </c>
      <c r="P454" s="11">
        <v>92.5</v>
      </c>
      <c r="Q454" s="11">
        <v>81.599999999999994</v>
      </c>
      <c r="R454" s="11">
        <v>99.6</v>
      </c>
      <c r="S454" s="14">
        <v>106.8</v>
      </c>
      <c r="T454" s="11">
        <v>518.55999999999995</v>
      </c>
      <c r="U454" s="13" cm="1">
        <f t="array" ref="U454">IF(Table8[[#This Row],[I_0]]&lt;Table24[Flitro de Ruido],1,Table8[[#This Row],[I_10]]/Table8[[#This Row],[I_0]])</f>
        <v>1.2222222222222221</v>
      </c>
      <c r="V454" s="13" cm="1">
        <f t="array" ref="V454">IF(Table8[[#This Row],[I_0]]&lt;Table24[Flitro de Ruido],1,Table8[[#This Row],[I_20]]/Table8[[#This Row],[I_0]])</f>
        <v>1.4079147640791476</v>
      </c>
      <c r="W454" s="13" cm="1">
        <f t="array" ref="W454">IF(Table8[[#This Row],[I_0]]&lt;Table24[Flitro de Ruido],1,Table8[[#This Row],[I_30]]/Table8[[#This Row],[I_0]])</f>
        <v>1.2420091324200913</v>
      </c>
      <c r="X454" s="13" cm="1">
        <f t="array" ref="X454">IF(Table8[[#This Row],[I_0]]&lt;Table24[Flitro de Ruido],1,Table8[[#This Row],[I_40]]/Table8[[#This Row],[I_0]])</f>
        <v>1.5159817351598173</v>
      </c>
      <c r="Y454" s="13" cm="1">
        <f t="array" ref="Y454">IF(Table8[[#This Row],[I_0]]&lt;Table24[Flitro de Ruido],1,Table8[[#This Row],[I_50]]/Table8[[#This Row],[I_0]])</f>
        <v>1.6255707762557077</v>
      </c>
    </row>
    <row r="455" spans="1:25" x14ac:dyDescent="0.3">
      <c r="A455" s="13">
        <v>519.54999999999995</v>
      </c>
      <c r="B455" s="12">
        <v>70.2</v>
      </c>
      <c r="C455" s="11">
        <v>519.54999999999995</v>
      </c>
      <c r="D455" s="12">
        <v>85.4</v>
      </c>
      <c r="E455" s="11">
        <v>519.54999999999995</v>
      </c>
      <c r="F455" s="12">
        <v>98.1</v>
      </c>
      <c r="G455" s="11">
        <v>519.54999999999995</v>
      </c>
      <c r="H455" s="12">
        <v>86.8</v>
      </c>
      <c r="I455" s="11">
        <v>519.54999999999995</v>
      </c>
      <c r="J455" s="12">
        <v>105.7</v>
      </c>
      <c r="K455" s="11">
        <v>519.54999999999995</v>
      </c>
      <c r="L455" s="12">
        <v>113.3</v>
      </c>
      <c r="M455" s="11">
        <v>519.54999999999995</v>
      </c>
      <c r="N455" s="13">
        <v>70.2</v>
      </c>
      <c r="O455" s="11">
        <v>85.4</v>
      </c>
      <c r="P455" s="11">
        <v>98.1</v>
      </c>
      <c r="Q455" s="11">
        <v>86.8</v>
      </c>
      <c r="R455" s="11">
        <v>105.7</v>
      </c>
      <c r="S455" s="14">
        <v>113.3</v>
      </c>
      <c r="T455" s="11">
        <v>519.54999999999995</v>
      </c>
      <c r="U455" s="13" cm="1">
        <f t="array" ref="U455">IF(Table8[[#This Row],[I_0]]&lt;Table24[Flitro de Ruido],1,Table8[[#This Row],[I_10]]/Table8[[#This Row],[I_0]])</f>
        <v>1.2165242165242165</v>
      </c>
      <c r="V455" s="13" cm="1">
        <f t="array" ref="V455">IF(Table8[[#This Row],[I_0]]&lt;Table24[Flitro de Ruido],1,Table8[[#This Row],[I_20]]/Table8[[#This Row],[I_0]])</f>
        <v>1.3974358974358974</v>
      </c>
      <c r="W455" s="13" cm="1">
        <f t="array" ref="W455">IF(Table8[[#This Row],[I_0]]&lt;Table24[Flitro de Ruido],1,Table8[[#This Row],[I_30]]/Table8[[#This Row],[I_0]])</f>
        <v>1.2364672364672364</v>
      </c>
      <c r="X455" s="13" cm="1">
        <f t="array" ref="X455">IF(Table8[[#This Row],[I_0]]&lt;Table24[Flitro de Ruido],1,Table8[[#This Row],[I_40]]/Table8[[#This Row],[I_0]])</f>
        <v>1.5056980056980056</v>
      </c>
      <c r="Y455" s="13" cm="1">
        <f t="array" ref="Y455">IF(Table8[[#This Row],[I_0]]&lt;Table24[Flitro de Ruido],1,Table8[[#This Row],[I_50]]/Table8[[#This Row],[I_0]])</f>
        <v>1.6139601139601139</v>
      </c>
    </row>
    <row r="456" spans="1:25" x14ac:dyDescent="0.3">
      <c r="A456" s="13">
        <v>520.54</v>
      </c>
      <c r="B456" s="12">
        <v>74.7</v>
      </c>
      <c r="C456" s="11">
        <v>520.54</v>
      </c>
      <c r="D456" s="12">
        <v>90.5</v>
      </c>
      <c r="E456" s="11">
        <v>520.54</v>
      </c>
      <c r="F456" s="12">
        <v>103.7</v>
      </c>
      <c r="G456" s="11">
        <v>520.54</v>
      </c>
      <c r="H456" s="12">
        <v>92</v>
      </c>
      <c r="I456" s="11">
        <v>520.54</v>
      </c>
      <c r="J456" s="12">
        <v>111.9</v>
      </c>
      <c r="K456" s="11">
        <v>520.54</v>
      </c>
      <c r="L456" s="12">
        <v>119.8</v>
      </c>
      <c r="M456" s="11">
        <v>520.54</v>
      </c>
      <c r="N456" s="13">
        <v>74.7</v>
      </c>
      <c r="O456" s="11">
        <v>90.5</v>
      </c>
      <c r="P456" s="11">
        <v>103.7</v>
      </c>
      <c r="Q456" s="11">
        <v>92</v>
      </c>
      <c r="R456" s="11">
        <v>111.9</v>
      </c>
      <c r="S456" s="14">
        <v>119.8</v>
      </c>
      <c r="T456" s="11">
        <v>520.54</v>
      </c>
      <c r="U456" s="13" cm="1">
        <f t="array" ref="U456">IF(Table8[[#This Row],[I_0]]&lt;Table24[Flitro de Ruido],1,Table8[[#This Row],[I_10]]/Table8[[#This Row],[I_0]])</f>
        <v>1.2115127175368139</v>
      </c>
      <c r="V456" s="13" cm="1">
        <f t="array" ref="V456">IF(Table8[[#This Row],[I_0]]&lt;Table24[Flitro de Ruido],1,Table8[[#This Row],[I_20]]/Table8[[#This Row],[I_0]])</f>
        <v>1.3882195448460508</v>
      </c>
      <c r="W456" s="13" cm="1">
        <f t="array" ref="W456">IF(Table8[[#This Row],[I_0]]&lt;Table24[Flitro de Ruido],1,Table8[[#This Row],[I_30]]/Table8[[#This Row],[I_0]])</f>
        <v>1.2315930388219545</v>
      </c>
      <c r="X456" s="13" cm="1">
        <f t="array" ref="X456">IF(Table8[[#This Row],[I_0]]&lt;Table24[Flitro de Ruido],1,Table8[[#This Row],[I_40]]/Table8[[#This Row],[I_0]])</f>
        <v>1.4979919678714859</v>
      </c>
      <c r="Y456" s="13" cm="1">
        <f t="array" ref="Y456">IF(Table8[[#This Row],[I_0]]&lt;Table24[Flitro de Ruido],1,Table8[[#This Row],[I_50]]/Table8[[#This Row],[I_0]])</f>
        <v>1.6037483266398929</v>
      </c>
    </row>
    <row r="457" spans="1:25" x14ac:dyDescent="0.3">
      <c r="A457" s="13">
        <v>521.53</v>
      </c>
      <c r="B457" s="12">
        <v>79</v>
      </c>
      <c r="C457" s="11">
        <v>521.53</v>
      </c>
      <c r="D457" s="12">
        <v>95.3</v>
      </c>
      <c r="E457" s="11">
        <v>521.53</v>
      </c>
      <c r="F457" s="12">
        <v>109</v>
      </c>
      <c r="G457" s="11">
        <v>521.53</v>
      </c>
      <c r="H457" s="12">
        <v>96.9</v>
      </c>
      <c r="I457" s="11">
        <v>521.53</v>
      </c>
      <c r="J457" s="12">
        <v>117.8</v>
      </c>
      <c r="K457" s="11">
        <v>521.53</v>
      </c>
      <c r="L457" s="12">
        <v>125.9</v>
      </c>
      <c r="M457" s="11">
        <v>521.53</v>
      </c>
      <c r="N457" s="13">
        <v>79</v>
      </c>
      <c r="O457" s="11">
        <v>95.3</v>
      </c>
      <c r="P457" s="11">
        <v>109</v>
      </c>
      <c r="Q457" s="11">
        <v>96.9</v>
      </c>
      <c r="R457" s="11">
        <v>117.8</v>
      </c>
      <c r="S457" s="14">
        <v>125.9</v>
      </c>
      <c r="T457" s="11">
        <v>521.53</v>
      </c>
      <c r="U457" s="13" cm="1">
        <f t="array" ref="U457">IF(Table8[[#This Row],[I_0]]&lt;Table24[Flitro de Ruido],1,Table8[[#This Row],[I_10]]/Table8[[#This Row],[I_0]])</f>
        <v>1.2063291139240506</v>
      </c>
      <c r="V457" s="13" cm="1">
        <f t="array" ref="V457">IF(Table8[[#This Row],[I_0]]&lt;Table24[Flitro de Ruido],1,Table8[[#This Row],[I_20]]/Table8[[#This Row],[I_0]])</f>
        <v>1.379746835443038</v>
      </c>
      <c r="W457" s="13" cm="1">
        <f t="array" ref="W457">IF(Table8[[#This Row],[I_0]]&lt;Table24[Flitro de Ruido],1,Table8[[#This Row],[I_30]]/Table8[[#This Row],[I_0]])</f>
        <v>1.2265822784810128</v>
      </c>
      <c r="X457" s="13" cm="1">
        <f t="array" ref="X457">IF(Table8[[#This Row],[I_0]]&lt;Table24[Flitro de Ruido],1,Table8[[#This Row],[I_40]]/Table8[[#This Row],[I_0]])</f>
        <v>1.4911392405063291</v>
      </c>
      <c r="Y457" s="13" cm="1">
        <f t="array" ref="Y457">IF(Table8[[#This Row],[I_0]]&lt;Table24[Flitro de Ruido],1,Table8[[#This Row],[I_50]]/Table8[[#This Row],[I_0]])</f>
        <v>1.5936708860759494</v>
      </c>
    </row>
    <row r="458" spans="1:25" x14ac:dyDescent="0.3">
      <c r="A458" s="13">
        <v>522.53</v>
      </c>
      <c r="B458" s="12">
        <v>83.2</v>
      </c>
      <c r="C458" s="11">
        <v>522.53</v>
      </c>
      <c r="D458" s="12">
        <v>100.1</v>
      </c>
      <c r="E458" s="11">
        <v>522.53</v>
      </c>
      <c r="F458" s="12">
        <v>114.2</v>
      </c>
      <c r="G458" s="11">
        <v>522.53</v>
      </c>
      <c r="H458" s="12">
        <v>101.8</v>
      </c>
      <c r="I458" s="11">
        <v>522.53</v>
      </c>
      <c r="J458" s="12">
        <v>123.6</v>
      </c>
      <c r="K458" s="11">
        <v>522.53</v>
      </c>
      <c r="L458" s="12">
        <v>132</v>
      </c>
      <c r="M458" s="11">
        <v>522.53</v>
      </c>
      <c r="N458" s="13">
        <v>83.2</v>
      </c>
      <c r="O458" s="11">
        <v>100.1</v>
      </c>
      <c r="P458" s="11">
        <v>114.2</v>
      </c>
      <c r="Q458" s="11">
        <v>101.8</v>
      </c>
      <c r="R458" s="11">
        <v>123.6</v>
      </c>
      <c r="S458" s="14">
        <v>132</v>
      </c>
      <c r="T458" s="11">
        <v>522.53</v>
      </c>
      <c r="U458" s="13" cm="1">
        <f t="array" ref="U458">IF(Table8[[#This Row],[I_0]]&lt;Table24[Flitro de Ruido],1,Table8[[#This Row],[I_10]]/Table8[[#This Row],[I_0]])</f>
        <v>1.203125</v>
      </c>
      <c r="V458" s="13" cm="1">
        <f t="array" ref="V458">IF(Table8[[#This Row],[I_0]]&lt;Table24[Flitro de Ruido],1,Table8[[#This Row],[I_20]]/Table8[[#This Row],[I_0]])</f>
        <v>1.3725961538461537</v>
      </c>
      <c r="W458" s="13" cm="1">
        <f t="array" ref="W458">IF(Table8[[#This Row],[I_0]]&lt;Table24[Flitro de Ruido],1,Table8[[#This Row],[I_30]]/Table8[[#This Row],[I_0]])</f>
        <v>1.2235576923076923</v>
      </c>
      <c r="X458" s="13" cm="1">
        <f t="array" ref="X458">IF(Table8[[#This Row],[I_0]]&lt;Table24[Flitro de Ruido],1,Table8[[#This Row],[I_40]]/Table8[[#This Row],[I_0]])</f>
        <v>1.4855769230769229</v>
      </c>
      <c r="Y458" s="13" cm="1">
        <f t="array" ref="Y458">IF(Table8[[#This Row],[I_0]]&lt;Table24[Flitro de Ruido],1,Table8[[#This Row],[I_50]]/Table8[[#This Row],[I_0]])</f>
        <v>1.5865384615384615</v>
      </c>
    </row>
    <row r="459" spans="1:25" x14ac:dyDescent="0.3">
      <c r="A459" s="13">
        <v>523.52</v>
      </c>
      <c r="B459" s="12">
        <v>87.1</v>
      </c>
      <c r="C459" s="11">
        <v>523.52</v>
      </c>
      <c r="D459" s="12">
        <v>104.6</v>
      </c>
      <c r="E459" s="11">
        <v>523.52</v>
      </c>
      <c r="F459" s="12">
        <v>119.2</v>
      </c>
      <c r="G459" s="11">
        <v>523.52</v>
      </c>
      <c r="H459" s="12">
        <v>106.5</v>
      </c>
      <c r="I459" s="11">
        <v>523.52</v>
      </c>
      <c r="J459" s="12">
        <v>129.1</v>
      </c>
      <c r="K459" s="11">
        <v>523.52</v>
      </c>
      <c r="L459" s="12">
        <v>137.69999999999999</v>
      </c>
      <c r="M459" s="11">
        <v>523.52</v>
      </c>
      <c r="N459" s="13">
        <v>87.1</v>
      </c>
      <c r="O459" s="11">
        <v>104.6</v>
      </c>
      <c r="P459" s="11">
        <v>119.2</v>
      </c>
      <c r="Q459" s="11">
        <v>106.5</v>
      </c>
      <c r="R459" s="11">
        <v>129.1</v>
      </c>
      <c r="S459" s="14">
        <v>137.69999999999999</v>
      </c>
      <c r="T459" s="11">
        <v>523.52</v>
      </c>
      <c r="U459" s="13" cm="1">
        <f t="array" ref="U459">IF(Table8[[#This Row],[I_0]]&lt;Table24[Flitro de Ruido],1,Table8[[#This Row],[I_10]]/Table8[[#This Row],[I_0]])</f>
        <v>1.200918484500574</v>
      </c>
      <c r="V459" s="13" cm="1">
        <f t="array" ref="V459">IF(Table8[[#This Row],[I_0]]&lt;Table24[Flitro de Ruido],1,Table8[[#This Row],[I_20]]/Table8[[#This Row],[I_0]])</f>
        <v>1.3685419058553387</v>
      </c>
      <c r="W459" s="13" cm="1">
        <f t="array" ref="W459">IF(Table8[[#This Row],[I_0]]&lt;Table24[Flitro de Ruido],1,Table8[[#This Row],[I_30]]/Table8[[#This Row],[I_0]])</f>
        <v>1.2227324913892079</v>
      </c>
      <c r="X459" s="13" cm="1">
        <f t="array" ref="X459">IF(Table8[[#This Row],[I_0]]&lt;Table24[Flitro de Ruido],1,Table8[[#This Row],[I_40]]/Table8[[#This Row],[I_0]])</f>
        <v>1.4822043628013777</v>
      </c>
      <c r="Y459" s="13" cm="1">
        <f t="array" ref="Y459">IF(Table8[[#This Row],[I_0]]&lt;Table24[Flitro de Ruido],1,Table8[[#This Row],[I_50]]/Table8[[#This Row],[I_0]])</f>
        <v>1.5809414466130884</v>
      </c>
    </row>
    <row r="460" spans="1:25" x14ac:dyDescent="0.3">
      <c r="A460" s="13">
        <v>524.51</v>
      </c>
      <c r="B460" s="12">
        <v>91.1</v>
      </c>
      <c r="C460" s="11">
        <v>524.51</v>
      </c>
      <c r="D460" s="12">
        <v>108.9</v>
      </c>
      <c r="E460" s="11">
        <v>524.51</v>
      </c>
      <c r="F460" s="12">
        <v>124</v>
      </c>
      <c r="G460" s="11">
        <v>524.51</v>
      </c>
      <c r="H460" s="12">
        <v>111.1</v>
      </c>
      <c r="I460" s="11">
        <v>524.51</v>
      </c>
      <c r="J460" s="12">
        <v>134.69999999999999</v>
      </c>
      <c r="K460" s="11">
        <v>524.51</v>
      </c>
      <c r="L460" s="12">
        <v>143.5</v>
      </c>
      <c r="M460" s="11">
        <v>524.51</v>
      </c>
      <c r="N460" s="13">
        <v>91.1</v>
      </c>
      <c r="O460" s="11">
        <v>108.9</v>
      </c>
      <c r="P460" s="11">
        <v>124</v>
      </c>
      <c r="Q460" s="11">
        <v>111.1</v>
      </c>
      <c r="R460" s="11">
        <v>134.69999999999999</v>
      </c>
      <c r="S460" s="14">
        <v>143.5</v>
      </c>
      <c r="T460" s="11">
        <v>524.51</v>
      </c>
      <c r="U460" s="13" cm="1">
        <f t="array" ref="U460">IF(Table8[[#This Row],[I_0]]&lt;Table24[Flitro de Ruido],1,Table8[[#This Row],[I_10]]/Table8[[#This Row],[I_0]])</f>
        <v>1.1953896816684964</v>
      </c>
      <c r="V460" s="13" cm="1">
        <f t="array" ref="V460">IF(Table8[[#This Row],[I_0]]&lt;Table24[Flitro de Ruido],1,Table8[[#This Row],[I_20]]/Table8[[#This Row],[I_0]])</f>
        <v>1.3611416026344676</v>
      </c>
      <c r="W460" s="13" cm="1">
        <f t="array" ref="W460">IF(Table8[[#This Row],[I_0]]&lt;Table24[Flitro de Ruido],1,Table8[[#This Row],[I_30]]/Table8[[#This Row],[I_0]])</f>
        <v>1.2195389681668496</v>
      </c>
      <c r="X460" s="13" cm="1">
        <f t="array" ref="X460">IF(Table8[[#This Row],[I_0]]&lt;Table24[Flitro de Ruido],1,Table8[[#This Row],[I_40]]/Table8[[#This Row],[I_0]])</f>
        <v>1.4785949506037321</v>
      </c>
      <c r="Y460" s="13" cm="1">
        <f t="array" ref="Y460">IF(Table8[[#This Row],[I_0]]&lt;Table24[Flitro de Ruido],1,Table8[[#This Row],[I_50]]/Table8[[#This Row],[I_0]])</f>
        <v>1.575192096597146</v>
      </c>
    </row>
    <row r="461" spans="1:25" x14ac:dyDescent="0.3">
      <c r="A461" s="13">
        <v>525.5</v>
      </c>
      <c r="B461" s="12">
        <v>94.6</v>
      </c>
      <c r="C461" s="11">
        <v>525.5</v>
      </c>
      <c r="D461" s="12">
        <v>112.9</v>
      </c>
      <c r="E461" s="11">
        <v>525.5</v>
      </c>
      <c r="F461" s="12">
        <v>128.4</v>
      </c>
      <c r="G461" s="11">
        <v>525.5</v>
      </c>
      <c r="H461" s="12">
        <v>115.3</v>
      </c>
      <c r="I461" s="11">
        <v>525.5</v>
      </c>
      <c r="J461" s="12">
        <v>139.6</v>
      </c>
      <c r="K461" s="11">
        <v>525.5</v>
      </c>
      <c r="L461" s="12">
        <v>148.6</v>
      </c>
      <c r="M461" s="11">
        <v>525.5</v>
      </c>
      <c r="N461" s="13">
        <v>94.6</v>
      </c>
      <c r="O461" s="11">
        <v>112.9</v>
      </c>
      <c r="P461" s="11">
        <v>128.4</v>
      </c>
      <c r="Q461" s="11">
        <v>115.3</v>
      </c>
      <c r="R461" s="11">
        <v>139.6</v>
      </c>
      <c r="S461" s="14">
        <v>148.6</v>
      </c>
      <c r="T461" s="11">
        <v>525.5</v>
      </c>
      <c r="U461" s="13" cm="1">
        <f t="array" ref="U461">IF(Table8[[#This Row],[I_0]]&lt;Table24[Flitro de Ruido],1,Table8[[#This Row],[I_10]]/Table8[[#This Row],[I_0]])</f>
        <v>1.1934460887949261</v>
      </c>
      <c r="V461" s="13" cm="1">
        <f t="array" ref="V461">IF(Table8[[#This Row],[I_0]]&lt;Table24[Flitro de Ruido],1,Table8[[#This Row],[I_20]]/Table8[[#This Row],[I_0]])</f>
        <v>1.3572938689217759</v>
      </c>
      <c r="W461" s="13" cm="1">
        <f t="array" ref="W461">IF(Table8[[#This Row],[I_0]]&lt;Table24[Flitro de Ruido],1,Table8[[#This Row],[I_30]]/Table8[[#This Row],[I_0]])</f>
        <v>1.2188160676532771</v>
      </c>
      <c r="X461" s="13" cm="1">
        <f t="array" ref="X461">IF(Table8[[#This Row],[I_0]]&lt;Table24[Flitro de Ruido],1,Table8[[#This Row],[I_40]]/Table8[[#This Row],[I_0]])</f>
        <v>1.4756871035940804</v>
      </c>
      <c r="Y461" s="13" cm="1">
        <f t="array" ref="Y461">IF(Table8[[#This Row],[I_0]]&lt;Table24[Flitro de Ruido],1,Table8[[#This Row],[I_50]]/Table8[[#This Row],[I_0]])</f>
        <v>1.5708245243128964</v>
      </c>
    </row>
    <row r="462" spans="1:25" x14ac:dyDescent="0.3">
      <c r="A462" s="13">
        <v>526.49</v>
      </c>
      <c r="B462" s="12">
        <v>97.9</v>
      </c>
      <c r="C462" s="11">
        <v>526.49</v>
      </c>
      <c r="D462" s="12">
        <v>116.7</v>
      </c>
      <c r="E462" s="11">
        <v>526.49</v>
      </c>
      <c r="F462" s="12">
        <v>132.6</v>
      </c>
      <c r="G462" s="11">
        <v>526.49</v>
      </c>
      <c r="H462" s="12">
        <v>119.3</v>
      </c>
      <c r="I462" s="11">
        <v>526.49</v>
      </c>
      <c r="J462" s="12">
        <v>144.4</v>
      </c>
      <c r="K462" s="11">
        <v>526.49</v>
      </c>
      <c r="L462" s="12">
        <v>153.6</v>
      </c>
      <c r="M462" s="11">
        <v>526.49</v>
      </c>
      <c r="N462" s="13">
        <v>97.9</v>
      </c>
      <c r="O462" s="11">
        <v>116.7</v>
      </c>
      <c r="P462" s="11">
        <v>132.6</v>
      </c>
      <c r="Q462" s="11">
        <v>119.3</v>
      </c>
      <c r="R462" s="11">
        <v>144.4</v>
      </c>
      <c r="S462" s="14">
        <v>153.6</v>
      </c>
      <c r="T462" s="11">
        <v>526.49</v>
      </c>
      <c r="U462" s="13" cm="1">
        <f t="array" ref="U462">IF(Table8[[#This Row],[I_0]]&lt;Table24[Flitro de Ruido],1,Table8[[#This Row],[I_10]]/Table8[[#This Row],[I_0]])</f>
        <v>1.1920326864147088</v>
      </c>
      <c r="V462" s="13" cm="1">
        <f t="array" ref="V462">IF(Table8[[#This Row],[I_0]]&lt;Table24[Flitro de Ruido],1,Table8[[#This Row],[I_20]]/Table8[[#This Row],[I_0]])</f>
        <v>1.3544433094994892</v>
      </c>
      <c r="W462" s="13" cm="1">
        <f t="array" ref="W462">IF(Table8[[#This Row],[I_0]]&lt;Table24[Flitro de Ruido],1,Table8[[#This Row],[I_30]]/Table8[[#This Row],[I_0]])</f>
        <v>1.2185903983656792</v>
      </c>
      <c r="X462" s="13" cm="1">
        <f t="array" ref="X462">IF(Table8[[#This Row],[I_0]]&lt;Table24[Flitro de Ruido],1,Table8[[#This Row],[I_40]]/Table8[[#This Row],[I_0]])</f>
        <v>1.4749744637385087</v>
      </c>
      <c r="Y462" s="13" cm="1">
        <f t="array" ref="Y462">IF(Table8[[#This Row],[I_0]]&lt;Table24[Flitro de Ruido],1,Table8[[#This Row],[I_50]]/Table8[[#This Row],[I_0]])</f>
        <v>1.5689479060265576</v>
      </c>
    </row>
    <row r="463" spans="1:25" x14ac:dyDescent="0.3">
      <c r="A463" s="13">
        <v>527.48</v>
      </c>
      <c r="B463" s="12">
        <v>101</v>
      </c>
      <c r="C463" s="11">
        <v>527.48</v>
      </c>
      <c r="D463" s="12">
        <v>120.1</v>
      </c>
      <c r="E463" s="11">
        <v>527.48</v>
      </c>
      <c r="F463" s="12">
        <v>136.4</v>
      </c>
      <c r="G463" s="11">
        <v>527.48</v>
      </c>
      <c r="H463" s="12">
        <v>122.8</v>
      </c>
      <c r="I463" s="11">
        <v>527.48</v>
      </c>
      <c r="J463" s="12">
        <v>148.69999999999999</v>
      </c>
      <c r="K463" s="11">
        <v>527.48</v>
      </c>
      <c r="L463" s="12">
        <v>158.1</v>
      </c>
      <c r="M463" s="11">
        <v>527.48</v>
      </c>
      <c r="N463" s="13">
        <v>101</v>
      </c>
      <c r="O463" s="11">
        <v>120.1</v>
      </c>
      <c r="P463" s="11">
        <v>136.4</v>
      </c>
      <c r="Q463" s="11">
        <v>122.8</v>
      </c>
      <c r="R463" s="11">
        <v>148.69999999999999</v>
      </c>
      <c r="S463" s="14">
        <v>158.1</v>
      </c>
      <c r="T463" s="11">
        <v>527.48</v>
      </c>
      <c r="U463" s="13" cm="1">
        <f t="array" ref="U463">IF(Table8[[#This Row],[I_0]]&lt;Table24[Flitro de Ruido],1,Table8[[#This Row],[I_10]]/Table8[[#This Row],[I_0]])</f>
        <v>1.1891089108910891</v>
      </c>
      <c r="V463" s="13" cm="1">
        <f t="array" ref="V463">IF(Table8[[#This Row],[I_0]]&lt;Table24[Flitro de Ruido],1,Table8[[#This Row],[I_20]]/Table8[[#This Row],[I_0]])</f>
        <v>1.3504950495049506</v>
      </c>
      <c r="W463" s="13" cm="1">
        <f t="array" ref="W463">IF(Table8[[#This Row],[I_0]]&lt;Table24[Flitro de Ruido],1,Table8[[#This Row],[I_30]]/Table8[[#This Row],[I_0]])</f>
        <v>1.2158415841584158</v>
      </c>
      <c r="X463" s="13" cm="1">
        <f t="array" ref="X463">IF(Table8[[#This Row],[I_0]]&lt;Table24[Flitro de Ruido],1,Table8[[#This Row],[I_40]]/Table8[[#This Row],[I_0]])</f>
        <v>1.4722772277227723</v>
      </c>
      <c r="Y463" s="13" cm="1">
        <f t="array" ref="Y463">IF(Table8[[#This Row],[I_0]]&lt;Table24[Flitro de Ruido],1,Table8[[#This Row],[I_50]]/Table8[[#This Row],[I_0]])</f>
        <v>1.5653465346534652</v>
      </c>
    </row>
    <row r="464" spans="1:25" x14ac:dyDescent="0.3">
      <c r="A464" s="13">
        <v>528.48</v>
      </c>
      <c r="B464" s="12">
        <v>103.8</v>
      </c>
      <c r="C464" s="11">
        <v>528.48</v>
      </c>
      <c r="D464" s="12">
        <v>123.4</v>
      </c>
      <c r="E464" s="11">
        <v>528.48</v>
      </c>
      <c r="F464" s="12">
        <v>140.1</v>
      </c>
      <c r="G464" s="11">
        <v>528.48</v>
      </c>
      <c r="H464" s="12">
        <v>126.3</v>
      </c>
      <c r="I464" s="11">
        <v>528.48</v>
      </c>
      <c r="J464" s="12">
        <v>152.80000000000001</v>
      </c>
      <c r="K464" s="11">
        <v>528.48</v>
      </c>
      <c r="L464" s="12">
        <v>162.6</v>
      </c>
      <c r="M464" s="11">
        <v>528.48</v>
      </c>
      <c r="N464" s="13">
        <v>103.8</v>
      </c>
      <c r="O464" s="11">
        <v>123.4</v>
      </c>
      <c r="P464" s="11">
        <v>140.1</v>
      </c>
      <c r="Q464" s="11">
        <v>126.3</v>
      </c>
      <c r="R464" s="11">
        <v>152.80000000000001</v>
      </c>
      <c r="S464" s="14">
        <v>162.6</v>
      </c>
      <c r="T464" s="11">
        <v>528.48</v>
      </c>
      <c r="U464" s="13" cm="1">
        <f t="array" ref="U464">IF(Table8[[#This Row],[I_0]]&lt;Table24[Flitro de Ruido],1,Table8[[#This Row],[I_10]]/Table8[[#This Row],[I_0]])</f>
        <v>1.1888246628131023</v>
      </c>
      <c r="V464" s="13" cm="1">
        <f t="array" ref="V464">IF(Table8[[#This Row],[I_0]]&lt;Table24[Flitro de Ruido],1,Table8[[#This Row],[I_20]]/Table8[[#This Row],[I_0]])</f>
        <v>1.3497109826589595</v>
      </c>
      <c r="W464" s="13" cm="1">
        <f t="array" ref="W464">IF(Table8[[#This Row],[I_0]]&lt;Table24[Flitro de Ruido],1,Table8[[#This Row],[I_30]]/Table8[[#This Row],[I_0]])</f>
        <v>1.2167630057803469</v>
      </c>
      <c r="X464" s="13" cm="1">
        <f t="array" ref="X464">IF(Table8[[#This Row],[I_0]]&lt;Table24[Flitro de Ruido],1,Table8[[#This Row],[I_40]]/Table8[[#This Row],[I_0]])</f>
        <v>1.4720616570327554</v>
      </c>
      <c r="Y464" s="13" cm="1">
        <f t="array" ref="Y464">IF(Table8[[#This Row],[I_0]]&lt;Table24[Flitro de Ruido],1,Table8[[#This Row],[I_50]]/Table8[[#This Row],[I_0]])</f>
        <v>1.5664739884393064</v>
      </c>
    </row>
    <row r="465" spans="1:25" x14ac:dyDescent="0.3">
      <c r="A465" s="13">
        <v>529.47</v>
      </c>
      <c r="B465" s="12">
        <v>106.4</v>
      </c>
      <c r="C465" s="11">
        <v>529.47</v>
      </c>
      <c r="D465" s="12">
        <v>126.2</v>
      </c>
      <c r="E465" s="11">
        <v>529.47</v>
      </c>
      <c r="F465" s="12">
        <v>143.30000000000001</v>
      </c>
      <c r="G465" s="11">
        <v>529.47</v>
      </c>
      <c r="H465" s="12">
        <v>129.4</v>
      </c>
      <c r="I465" s="11">
        <v>529.47</v>
      </c>
      <c r="J465" s="12">
        <v>156.5</v>
      </c>
      <c r="K465" s="11">
        <v>529.47</v>
      </c>
      <c r="L465" s="12">
        <v>166.5</v>
      </c>
      <c r="M465" s="11">
        <v>529.47</v>
      </c>
      <c r="N465" s="13">
        <v>106.4</v>
      </c>
      <c r="O465" s="11">
        <v>126.2</v>
      </c>
      <c r="P465" s="11">
        <v>143.30000000000001</v>
      </c>
      <c r="Q465" s="11">
        <v>129.4</v>
      </c>
      <c r="R465" s="11">
        <v>156.5</v>
      </c>
      <c r="S465" s="14">
        <v>166.5</v>
      </c>
      <c r="T465" s="11">
        <v>529.47</v>
      </c>
      <c r="U465" s="13" cm="1">
        <f t="array" ref="U465">IF(Table8[[#This Row],[I_0]]&lt;Table24[Flitro de Ruido],1,Table8[[#This Row],[I_10]]/Table8[[#This Row],[I_0]])</f>
        <v>1.1860902255639096</v>
      </c>
      <c r="V465" s="13" cm="1">
        <f t="array" ref="V465">IF(Table8[[#This Row],[I_0]]&lt;Table24[Flitro de Ruido],1,Table8[[#This Row],[I_20]]/Table8[[#This Row],[I_0]])</f>
        <v>1.3468045112781954</v>
      </c>
      <c r="W465" s="13" cm="1">
        <f t="array" ref="W465">IF(Table8[[#This Row],[I_0]]&lt;Table24[Flitro de Ruido],1,Table8[[#This Row],[I_30]]/Table8[[#This Row],[I_0]])</f>
        <v>1.2161654135338347</v>
      </c>
      <c r="X465" s="13" cm="1">
        <f t="array" ref="X465">IF(Table8[[#This Row],[I_0]]&lt;Table24[Flitro de Ruido],1,Table8[[#This Row],[I_40]]/Table8[[#This Row],[I_0]])</f>
        <v>1.4708646616541352</v>
      </c>
      <c r="Y465" s="13" cm="1">
        <f t="array" ref="Y465">IF(Table8[[#This Row],[I_0]]&lt;Table24[Flitro de Ruido],1,Table8[[#This Row],[I_50]]/Table8[[#This Row],[I_0]])</f>
        <v>1.5648496240601504</v>
      </c>
    </row>
    <row r="466" spans="1:25" x14ac:dyDescent="0.3">
      <c r="A466" s="13">
        <v>530.46</v>
      </c>
      <c r="B466" s="12">
        <v>108.8</v>
      </c>
      <c r="C466" s="11">
        <v>530.46</v>
      </c>
      <c r="D466" s="12">
        <v>129</v>
      </c>
      <c r="E466" s="11">
        <v>530.46</v>
      </c>
      <c r="F466" s="12">
        <v>146.4</v>
      </c>
      <c r="G466" s="11">
        <v>530.46</v>
      </c>
      <c r="H466" s="12">
        <v>132.30000000000001</v>
      </c>
      <c r="I466" s="11">
        <v>530.46</v>
      </c>
      <c r="J466" s="12">
        <v>160</v>
      </c>
      <c r="K466" s="11">
        <v>530.46</v>
      </c>
      <c r="L466" s="12">
        <v>170.3</v>
      </c>
      <c r="M466" s="11">
        <v>530.46</v>
      </c>
      <c r="N466" s="13">
        <v>108.8</v>
      </c>
      <c r="O466" s="11">
        <v>129</v>
      </c>
      <c r="P466" s="11">
        <v>146.4</v>
      </c>
      <c r="Q466" s="11">
        <v>132.30000000000001</v>
      </c>
      <c r="R466" s="11">
        <v>160</v>
      </c>
      <c r="S466" s="14">
        <v>170.3</v>
      </c>
      <c r="T466" s="11">
        <v>530.46</v>
      </c>
      <c r="U466" s="13" cm="1">
        <f t="array" ref="U466">IF(Table8[[#This Row],[I_0]]&lt;Table24[Flitro de Ruido],1,Table8[[#This Row],[I_10]]/Table8[[#This Row],[I_0]])</f>
        <v>1.1856617647058825</v>
      </c>
      <c r="V466" s="13" cm="1">
        <f t="array" ref="V466">IF(Table8[[#This Row],[I_0]]&lt;Table24[Flitro de Ruido],1,Table8[[#This Row],[I_20]]/Table8[[#This Row],[I_0]])</f>
        <v>1.3455882352941178</v>
      </c>
      <c r="W466" s="13" cm="1">
        <f t="array" ref="W466">IF(Table8[[#This Row],[I_0]]&lt;Table24[Flitro de Ruido],1,Table8[[#This Row],[I_30]]/Table8[[#This Row],[I_0]])</f>
        <v>1.2159926470588236</v>
      </c>
      <c r="X466" s="13" cm="1">
        <f t="array" ref="X466">IF(Table8[[#This Row],[I_0]]&lt;Table24[Flitro de Ruido],1,Table8[[#This Row],[I_40]]/Table8[[#This Row],[I_0]])</f>
        <v>1.4705882352941178</v>
      </c>
      <c r="Y466" s="13" cm="1">
        <f t="array" ref="Y466">IF(Table8[[#This Row],[I_0]]&lt;Table24[Flitro de Ruido],1,Table8[[#This Row],[I_50]]/Table8[[#This Row],[I_0]])</f>
        <v>1.5652573529411766</v>
      </c>
    </row>
    <row r="467" spans="1:25" x14ac:dyDescent="0.3">
      <c r="A467" s="13">
        <v>531.45000000000005</v>
      </c>
      <c r="B467" s="12">
        <v>111.1</v>
      </c>
      <c r="C467" s="11">
        <v>531.45000000000005</v>
      </c>
      <c r="D467" s="12">
        <v>131.5</v>
      </c>
      <c r="E467" s="11">
        <v>531.45000000000005</v>
      </c>
      <c r="F467" s="12">
        <v>149.1</v>
      </c>
      <c r="G467" s="11">
        <v>531.45000000000005</v>
      </c>
      <c r="H467" s="12">
        <v>135</v>
      </c>
      <c r="I467" s="11">
        <v>531.45000000000005</v>
      </c>
      <c r="J467" s="12">
        <v>163.1</v>
      </c>
      <c r="K467" s="11">
        <v>531.45000000000005</v>
      </c>
      <c r="L467" s="12">
        <v>173.6</v>
      </c>
      <c r="M467" s="11">
        <v>531.45000000000005</v>
      </c>
      <c r="N467" s="13">
        <v>111.1</v>
      </c>
      <c r="O467" s="11">
        <v>131.5</v>
      </c>
      <c r="P467" s="11">
        <v>149.1</v>
      </c>
      <c r="Q467" s="11">
        <v>135</v>
      </c>
      <c r="R467" s="11">
        <v>163.1</v>
      </c>
      <c r="S467" s="14">
        <v>173.6</v>
      </c>
      <c r="T467" s="11">
        <v>531.45000000000005</v>
      </c>
      <c r="U467" s="13" cm="1">
        <f t="array" ref="U467">IF(Table8[[#This Row],[I_0]]&lt;Table24[Flitro de Ruido],1,Table8[[#This Row],[I_10]]/Table8[[#This Row],[I_0]])</f>
        <v>1.1836183618361837</v>
      </c>
      <c r="V467" s="13" cm="1">
        <f t="array" ref="V467">IF(Table8[[#This Row],[I_0]]&lt;Table24[Flitro de Ruido],1,Table8[[#This Row],[I_20]]/Table8[[#This Row],[I_0]])</f>
        <v>1.3420342034203421</v>
      </c>
      <c r="W467" s="13" cm="1">
        <f t="array" ref="W467">IF(Table8[[#This Row],[I_0]]&lt;Table24[Flitro de Ruido],1,Table8[[#This Row],[I_30]]/Table8[[#This Row],[I_0]])</f>
        <v>1.2151215121512151</v>
      </c>
      <c r="X467" s="13" cm="1">
        <f t="array" ref="X467">IF(Table8[[#This Row],[I_0]]&lt;Table24[Flitro de Ruido],1,Table8[[#This Row],[I_40]]/Table8[[#This Row],[I_0]])</f>
        <v>1.468046804680468</v>
      </c>
      <c r="Y467" s="13" cm="1">
        <f t="array" ref="Y467">IF(Table8[[#This Row],[I_0]]&lt;Table24[Flitro de Ruido],1,Table8[[#This Row],[I_50]]/Table8[[#This Row],[I_0]])</f>
        <v>1.5625562556255626</v>
      </c>
    </row>
    <row r="468" spans="1:25" x14ac:dyDescent="0.3">
      <c r="A468" s="13">
        <v>532.44000000000005</v>
      </c>
      <c r="B468" s="12">
        <v>113.2</v>
      </c>
      <c r="C468" s="11">
        <v>532.44000000000005</v>
      </c>
      <c r="D468" s="12">
        <v>133.80000000000001</v>
      </c>
      <c r="E468" s="11">
        <v>532.44000000000005</v>
      </c>
      <c r="F468" s="12">
        <v>151.69999999999999</v>
      </c>
      <c r="G468" s="11">
        <v>532.44000000000005</v>
      </c>
      <c r="H468" s="12">
        <v>137.6</v>
      </c>
      <c r="I468" s="11">
        <v>532.44000000000005</v>
      </c>
      <c r="J468" s="12">
        <v>166.1</v>
      </c>
      <c r="K468" s="11">
        <v>532.44000000000005</v>
      </c>
      <c r="L468" s="12">
        <v>176.8</v>
      </c>
      <c r="M468" s="11">
        <v>532.44000000000005</v>
      </c>
      <c r="N468" s="13">
        <v>113.2</v>
      </c>
      <c r="O468" s="11">
        <v>133.80000000000001</v>
      </c>
      <c r="P468" s="11">
        <v>151.69999999999999</v>
      </c>
      <c r="Q468" s="11">
        <v>137.6</v>
      </c>
      <c r="R468" s="11">
        <v>166.1</v>
      </c>
      <c r="S468" s="14">
        <v>176.8</v>
      </c>
      <c r="T468" s="11">
        <v>532.44000000000005</v>
      </c>
      <c r="U468" s="13" cm="1">
        <f t="array" ref="U468">IF(Table8[[#This Row],[I_0]]&lt;Table24[Flitro de Ruido],1,Table8[[#This Row],[I_10]]/Table8[[#This Row],[I_0]])</f>
        <v>1.1819787985865724</v>
      </c>
      <c r="V468" s="13" cm="1">
        <f t="array" ref="V468">IF(Table8[[#This Row],[I_0]]&lt;Table24[Flitro de Ruido],1,Table8[[#This Row],[I_20]]/Table8[[#This Row],[I_0]])</f>
        <v>1.3401060070671378</v>
      </c>
      <c r="W468" s="13" cm="1">
        <f t="array" ref="W468">IF(Table8[[#This Row],[I_0]]&lt;Table24[Flitro de Ruido],1,Table8[[#This Row],[I_30]]/Table8[[#This Row],[I_0]])</f>
        <v>1.215547703180212</v>
      </c>
      <c r="X468" s="13" cm="1">
        <f t="array" ref="X468">IF(Table8[[#This Row],[I_0]]&lt;Table24[Flitro de Ruido],1,Table8[[#This Row],[I_40]]/Table8[[#This Row],[I_0]])</f>
        <v>1.4673144876325088</v>
      </c>
      <c r="Y468" s="13" cm="1">
        <f t="array" ref="Y468">IF(Table8[[#This Row],[I_0]]&lt;Table24[Flitro de Ruido],1,Table8[[#This Row],[I_50]]/Table8[[#This Row],[I_0]])</f>
        <v>1.5618374558303887</v>
      </c>
    </row>
    <row r="469" spans="1:25" x14ac:dyDescent="0.3">
      <c r="A469" s="13">
        <v>533.42999999999995</v>
      </c>
      <c r="B469" s="12">
        <v>114.9</v>
      </c>
      <c r="C469" s="11">
        <v>533.42999999999995</v>
      </c>
      <c r="D469" s="12">
        <v>135.80000000000001</v>
      </c>
      <c r="E469" s="11">
        <v>533.42999999999995</v>
      </c>
      <c r="F469" s="12">
        <v>154</v>
      </c>
      <c r="G469" s="11">
        <v>533.42999999999995</v>
      </c>
      <c r="H469" s="12">
        <v>139.69999999999999</v>
      </c>
      <c r="I469" s="11">
        <v>533.42999999999995</v>
      </c>
      <c r="J469" s="12">
        <v>168.6</v>
      </c>
      <c r="K469" s="11">
        <v>533.42999999999995</v>
      </c>
      <c r="L469" s="12">
        <v>179.3</v>
      </c>
      <c r="M469" s="11">
        <v>533.42999999999995</v>
      </c>
      <c r="N469" s="13">
        <v>114.9</v>
      </c>
      <c r="O469" s="11">
        <v>135.80000000000001</v>
      </c>
      <c r="P469" s="11">
        <v>154</v>
      </c>
      <c r="Q469" s="11">
        <v>139.69999999999999</v>
      </c>
      <c r="R469" s="11">
        <v>168.6</v>
      </c>
      <c r="S469" s="14">
        <v>179.3</v>
      </c>
      <c r="T469" s="11">
        <v>533.42999999999995</v>
      </c>
      <c r="U469" s="13" cm="1">
        <f t="array" ref="U469">IF(Table8[[#This Row],[I_0]]&lt;Table24[Flitro de Ruido],1,Table8[[#This Row],[I_10]]/Table8[[#This Row],[I_0]])</f>
        <v>1.1818973020017407</v>
      </c>
      <c r="V469" s="13" cm="1">
        <f t="array" ref="V469">IF(Table8[[#This Row],[I_0]]&lt;Table24[Flitro de Ruido],1,Table8[[#This Row],[I_20]]/Table8[[#This Row],[I_0]])</f>
        <v>1.3402959094865099</v>
      </c>
      <c r="W469" s="13" cm="1">
        <f t="array" ref="W469">IF(Table8[[#This Row],[I_0]]&lt;Table24[Flitro de Ruido],1,Table8[[#This Row],[I_30]]/Table8[[#This Row],[I_0]])</f>
        <v>1.2158398607484768</v>
      </c>
      <c r="X469" s="13" cm="1">
        <f t="array" ref="X469">IF(Table8[[#This Row],[I_0]]&lt;Table24[Flitro de Ruido],1,Table8[[#This Row],[I_40]]/Table8[[#This Row],[I_0]])</f>
        <v>1.4673629242819841</v>
      </c>
      <c r="Y469" s="13" cm="1">
        <f t="array" ref="Y469">IF(Table8[[#This Row],[I_0]]&lt;Table24[Flitro de Ruido],1,Table8[[#This Row],[I_50]]/Table8[[#This Row],[I_0]])</f>
        <v>1.5604873803307224</v>
      </c>
    </row>
    <row r="470" spans="1:25" x14ac:dyDescent="0.3">
      <c r="A470" s="13">
        <v>534.42999999999995</v>
      </c>
      <c r="B470" s="12">
        <v>116.6</v>
      </c>
      <c r="C470" s="11">
        <v>534.42999999999995</v>
      </c>
      <c r="D470" s="12">
        <v>137.6</v>
      </c>
      <c r="E470" s="11">
        <v>534.42999999999995</v>
      </c>
      <c r="F470" s="12">
        <v>156</v>
      </c>
      <c r="G470" s="11">
        <v>534.42999999999995</v>
      </c>
      <c r="H470" s="12">
        <v>141.69999999999999</v>
      </c>
      <c r="I470" s="11">
        <v>534.42999999999995</v>
      </c>
      <c r="J470" s="12">
        <v>170.9</v>
      </c>
      <c r="K470" s="11">
        <v>534.42999999999995</v>
      </c>
      <c r="L470" s="12">
        <v>181.7</v>
      </c>
      <c r="M470" s="11">
        <v>534.42999999999995</v>
      </c>
      <c r="N470" s="13">
        <v>116.6</v>
      </c>
      <c r="O470" s="11">
        <v>137.6</v>
      </c>
      <c r="P470" s="11">
        <v>156</v>
      </c>
      <c r="Q470" s="11">
        <v>141.69999999999999</v>
      </c>
      <c r="R470" s="11">
        <v>170.9</v>
      </c>
      <c r="S470" s="14">
        <v>181.7</v>
      </c>
      <c r="T470" s="11">
        <v>534.42999999999995</v>
      </c>
      <c r="U470" s="13" cm="1">
        <f t="array" ref="U470">IF(Table8[[#This Row],[I_0]]&lt;Table24[Flitro de Ruido],1,Table8[[#This Row],[I_10]]/Table8[[#This Row],[I_0]])</f>
        <v>1.1801029159519725</v>
      </c>
      <c r="V470" s="13" cm="1">
        <f t="array" ref="V470">IF(Table8[[#This Row],[I_0]]&lt;Table24[Flitro de Ruido],1,Table8[[#This Row],[I_20]]/Table8[[#This Row],[I_0]])</f>
        <v>1.3379073756432247</v>
      </c>
      <c r="W470" s="13" cm="1">
        <f t="array" ref="W470">IF(Table8[[#This Row],[I_0]]&lt;Table24[Flitro de Ruido],1,Table8[[#This Row],[I_30]]/Table8[[#This Row],[I_0]])</f>
        <v>1.2152658662092624</v>
      </c>
      <c r="X470" s="13" cm="1">
        <f t="array" ref="X470">IF(Table8[[#This Row],[I_0]]&lt;Table24[Flitro de Ruido],1,Table8[[#This Row],[I_40]]/Table8[[#This Row],[I_0]])</f>
        <v>1.4656946826758148</v>
      </c>
      <c r="Y470" s="13" cm="1">
        <f t="array" ref="Y470">IF(Table8[[#This Row],[I_0]]&lt;Table24[Flitro de Ruido],1,Table8[[#This Row],[I_50]]/Table8[[#This Row],[I_0]])</f>
        <v>1.5583190394511148</v>
      </c>
    </row>
    <row r="471" spans="1:25" x14ac:dyDescent="0.3">
      <c r="A471" s="13">
        <v>535.41999999999996</v>
      </c>
      <c r="B471" s="12">
        <v>117.9</v>
      </c>
      <c r="C471" s="11">
        <v>535.41999999999996</v>
      </c>
      <c r="D471" s="12">
        <v>139.1</v>
      </c>
      <c r="E471" s="11">
        <v>535.41999999999996</v>
      </c>
      <c r="F471" s="12">
        <v>157.69999999999999</v>
      </c>
      <c r="G471" s="11">
        <v>535.41999999999996</v>
      </c>
      <c r="H471" s="12">
        <v>143.4</v>
      </c>
      <c r="I471" s="11">
        <v>535.41999999999996</v>
      </c>
      <c r="J471" s="12">
        <v>172.8</v>
      </c>
      <c r="K471" s="11">
        <v>535.41999999999996</v>
      </c>
      <c r="L471" s="12">
        <v>183.8</v>
      </c>
      <c r="M471" s="11">
        <v>535.41999999999996</v>
      </c>
      <c r="N471" s="13">
        <v>117.9</v>
      </c>
      <c r="O471" s="11">
        <v>139.1</v>
      </c>
      <c r="P471" s="11">
        <v>157.69999999999999</v>
      </c>
      <c r="Q471" s="11">
        <v>143.4</v>
      </c>
      <c r="R471" s="11">
        <v>172.8</v>
      </c>
      <c r="S471" s="14">
        <v>183.8</v>
      </c>
      <c r="T471" s="11">
        <v>535.41999999999996</v>
      </c>
      <c r="U471" s="13" cm="1">
        <f t="array" ref="U471">IF(Table8[[#This Row],[I_0]]&lt;Table24[Flitro de Ruido],1,Table8[[#This Row],[I_10]]/Table8[[#This Row],[I_0]])</f>
        <v>1.1798134011874468</v>
      </c>
      <c r="V471" s="13" cm="1">
        <f t="array" ref="V471">IF(Table8[[#This Row],[I_0]]&lt;Table24[Flitro de Ruido],1,Table8[[#This Row],[I_20]]/Table8[[#This Row],[I_0]])</f>
        <v>1.3375742154368107</v>
      </c>
      <c r="W471" s="13" cm="1">
        <f t="array" ref="W471">IF(Table8[[#This Row],[I_0]]&lt;Table24[Flitro de Ruido],1,Table8[[#This Row],[I_30]]/Table8[[#This Row],[I_0]])</f>
        <v>1.2162849872773536</v>
      </c>
      <c r="X471" s="13" cm="1">
        <f t="array" ref="X471">IF(Table8[[#This Row],[I_0]]&lt;Table24[Flitro de Ruido],1,Table8[[#This Row],[I_40]]/Table8[[#This Row],[I_0]])</f>
        <v>1.4656488549618321</v>
      </c>
      <c r="Y471" s="13" cm="1">
        <f t="array" ref="Y471">IF(Table8[[#This Row],[I_0]]&lt;Table24[Flitro de Ruido],1,Table8[[#This Row],[I_50]]/Table8[[#This Row],[I_0]])</f>
        <v>1.5589482612383376</v>
      </c>
    </row>
    <row r="472" spans="1:25" x14ac:dyDescent="0.3">
      <c r="A472" s="13">
        <v>536.41</v>
      </c>
      <c r="B472" s="12">
        <v>119.1</v>
      </c>
      <c r="C472" s="11">
        <v>536.41</v>
      </c>
      <c r="D472" s="12">
        <v>140.30000000000001</v>
      </c>
      <c r="E472" s="11">
        <v>536.41</v>
      </c>
      <c r="F472" s="12">
        <v>159.19999999999999</v>
      </c>
      <c r="G472" s="11">
        <v>536.41</v>
      </c>
      <c r="H472" s="12">
        <v>144.80000000000001</v>
      </c>
      <c r="I472" s="11">
        <v>536.41</v>
      </c>
      <c r="J472" s="12">
        <v>174.4</v>
      </c>
      <c r="K472" s="11">
        <v>536.41</v>
      </c>
      <c r="L472" s="12">
        <v>185.6</v>
      </c>
      <c r="M472" s="11">
        <v>536.41</v>
      </c>
      <c r="N472" s="13">
        <v>119.1</v>
      </c>
      <c r="O472" s="11">
        <v>140.30000000000001</v>
      </c>
      <c r="P472" s="11">
        <v>159.19999999999999</v>
      </c>
      <c r="Q472" s="11">
        <v>144.80000000000001</v>
      </c>
      <c r="R472" s="11">
        <v>174.4</v>
      </c>
      <c r="S472" s="14">
        <v>185.6</v>
      </c>
      <c r="T472" s="11">
        <v>536.41</v>
      </c>
      <c r="U472" s="13" cm="1">
        <f t="array" ref="U472">IF(Table8[[#This Row],[I_0]]&lt;Table24[Flitro de Ruido],1,Table8[[#This Row],[I_10]]/Table8[[#This Row],[I_0]])</f>
        <v>1.1780016792611252</v>
      </c>
      <c r="V472" s="13" cm="1">
        <f t="array" ref="V472">IF(Table8[[#This Row],[I_0]]&lt;Table24[Flitro de Ruido],1,Table8[[#This Row],[I_20]]/Table8[[#This Row],[I_0]])</f>
        <v>1.3366918555835432</v>
      </c>
      <c r="W472" s="13" cm="1">
        <f t="array" ref="W472">IF(Table8[[#This Row],[I_0]]&lt;Table24[Flitro de Ruido],1,Table8[[#This Row],[I_30]]/Table8[[#This Row],[I_0]])</f>
        <v>1.2157850545759867</v>
      </c>
      <c r="X472" s="13" cm="1">
        <f t="array" ref="X472">IF(Table8[[#This Row],[I_0]]&lt;Table24[Flitro de Ruido],1,Table8[[#This Row],[I_40]]/Table8[[#This Row],[I_0]])</f>
        <v>1.4643157010915198</v>
      </c>
      <c r="Y472" s="13" cm="1">
        <f t="array" ref="Y472">IF(Table8[[#This Row],[I_0]]&lt;Table24[Flitro de Ruido],1,Table8[[#This Row],[I_50]]/Table8[[#This Row],[I_0]])</f>
        <v>1.5583543240973972</v>
      </c>
    </row>
    <row r="473" spans="1:25" x14ac:dyDescent="0.3">
      <c r="A473" s="13">
        <v>537.4</v>
      </c>
      <c r="B473" s="12">
        <v>119.9</v>
      </c>
      <c r="C473" s="11">
        <v>537.4</v>
      </c>
      <c r="D473" s="12">
        <v>141.19999999999999</v>
      </c>
      <c r="E473" s="11">
        <v>537.4</v>
      </c>
      <c r="F473" s="12">
        <v>160.30000000000001</v>
      </c>
      <c r="G473" s="11">
        <v>537.4</v>
      </c>
      <c r="H473" s="12">
        <v>145.9</v>
      </c>
      <c r="I473" s="11">
        <v>537.4</v>
      </c>
      <c r="J473" s="12">
        <v>175.6</v>
      </c>
      <c r="K473" s="11">
        <v>537.4</v>
      </c>
      <c r="L473" s="12">
        <v>186.8</v>
      </c>
      <c r="M473" s="11">
        <v>537.4</v>
      </c>
      <c r="N473" s="13">
        <v>119.9</v>
      </c>
      <c r="O473" s="11">
        <v>141.19999999999999</v>
      </c>
      <c r="P473" s="11">
        <v>160.30000000000001</v>
      </c>
      <c r="Q473" s="11">
        <v>145.9</v>
      </c>
      <c r="R473" s="11">
        <v>175.6</v>
      </c>
      <c r="S473" s="14">
        <v>186.8</v>
      </c>
      <c r="T473" s="11">
        <v>537.4</v>
      </c>
      <c r="U473" s="13" cm="1">
        <f t="array" ref="U473">IF(Table8[[#This Row],[I_0]]&lt;Table24[Flitro de Ruido],1,Table8[[#This Row],[I_10]]/Table8[[#This Row],[I_0]])</f>
        <v>1.1776480400333609</v>
      </c>
      <c r="V473" s="13" cm="1">
        <f t="array" ref="V473">IF(Table8[[#This Row],[I_0]]&lt;Table24[Flitro de Ruido],1,Table8[[#This Row],[I_20]]/Table8[[#This Row],[I_0]])</f>
        <v>1.3369474562135113</v>
      </c>
      <c r="W473" s="13" cm="1">
        <f t="array" ref="W473">IF(Table8[[#This Row],[I_0]]&lt;Table24[Flitro de Ruido],1,Table8[[#This Row],[I_30]]/Table8[[#This Row],[I_0]])</f>
        <v>1.2168473728106755</v>
      </c>
      <c r="X473" s="13" cm="1">
        <f t="array" ref="X473">IF(Table8[[#This Row],[I_0]]&lt;Table24[Flitro de Ruido],1,Table8[[#This Row],[I_40]]/Table8[[#This Row],[I_0]])</f>
        <v>1.4645537948290241</v>
      </c>
      <c r="Y473" s="13" cm="1">
        <f t="array" ref="Y473">IF(Table8[[#This Row],[I_0]]&lt;Table24[Flitro de Ruido],1,Table8[[#This Row],[I_50]]/Table8[[#This Row],[I_0]])</f>
        <v>1.5579649708090075</v>
      </c>
    </row>
    <row r="474" spans="1:25" x14ac:dyDescent="0.3">
      <c r="A474" s="13">
        <v>538.39</v>
      </c>
      <c r="B474" s="12">
        <v>120.5</v>
      </c>
      <c r="C474" s="11">
        <v>538.39</v>
      </c>
      <c r="D474" s="12">
        <v>141.80000000000001</v>
      </c>
      <c r="E474" s="11">
        <v>538.39</v>
      </c>
      <c r="F474" s="12">
        <v>161.1</v>
      </c>
      <c r="G474" s="11">
        <v>538.39</v>
      </c>
      <c r="H474" s="12">
        <v>146.69999999999999</v>
      </c>
      <c r="I474" s="11">
        <v>538.39</v>
      </c>
      <c r="J474" s="12">
        <v>176.5</v>
      </c>
      <c r="K474" s="11">
        <v>538.39</v>
      </c>
      <c r="L474" s="12">
        <v>187.8</v>
      </c>
      <c r="M474" s="11">
        <v>538.39</v>
      </c>
      <c r="N474" s="13">
        <v>120.5</v>
      </c>
      <c r="O474" s="11">
        <v>141.80000000000001</v>
      </c>
      <c r="P474" s="11">
        <v>161.1</v>
      </c>
      <c r="Q474" s="11">
        <v>146.69999999999999</v>
      </c>
      <c r="R474" s="11">
        <v>176.5</v>
      </c>
      <c r="S474" s="14">
        <v>187.8</v>
      </c>
      <c r="T474" s="11">
        <v>538.39</v>
      </c>
      <c r="U474" s="13" cm="1">
        <f t="array" ref="U474">IF(Table8[[#This Row],[I_0]]&lt;Table24[Flitro de Ruido],1,Table8[[#This Row],[I_10]]/Table8[[#This Row],[I_0]])</f>
        <v>1.1767634854771785</v>
      </c>
      <c r="V474" s="13" cm="1">
        <f t="array" ref="V474">IF(Table8[[#This Row],[I_0]]&lt;Table24[Flitro de Ruido],1,Table8[[#This Row],[I_20]]/Table8[[#This Row],[I_0]])</f>
        <v>1.3369294605809128</v>
      </c>
      <c r="W474" s="13" cm="1">
        <f t="array" ref="W474">IF(Table8[[#This Row],[I_0]]&lt;Table24[Flitro de Ruido],1,Table8[[#This Row],[I_30]]/Table8[[#This Row],[I_0]])</f>
        <v>1.2174273858921161</v>
      </c>
      <c r="X474" s="13" cm="1">
        <f t="array" ref="X474">IF(Table8[[#This Row],[I_0]]&lt;Table24[Flitro de Ruido],1,Table8[[#This Row],[I_40]]/Table8[[#This Row],[I_0]])</f>
        <v>1.4647302904564314</v>
      </c>
      <c r="Y474" s="13" cm="1">
        <f t="array" ref="Y474">IF(Table8[[#This Row],[I_0]]&lt;Table24[Flitro de Ruido],1,Table8[[#This Row],[I_50]]/Table8[[#This Row],[I_0]])</f>
        <v>1.5585062240663901</v>
      </c>
    </row>
    <row r="475" spans="1:25" x14ac:dyDescent="0.3">
      <c r="A475" s="13">
        <v>539.39</v>
      </c>
      <c r="B475" s="12">
        <v>120.8</v>
      </c>
      <c r="C475" s="11">
        <v>539.39</v>
      </c>
      <c r="D475" s="12">
        <v>142.19999999999999</v>
      </c>
      <c r="E475" s="11">
        <v>539.39</v>
      </c>
      <c r="F475" s="12">
        <v>161.5</v>
      </c>
      <c r="G475" s="11">
        <v>539.39</v>
      </c>
      <c r="H475" s="12">
        <v>147.1</v>
      </c>
      <c r="I475" s="11">
        <v>539.39</v>
      </c>
      <c r="J475" s="12">
        <v>177</v>
      </c>
      <c r="K475" s="11">
        <v>539.39</v>
      </c>
      <c r="L475" s="12">
        <v>188.4</v>
      </c>
      <c r="M475" s="11">
        <v>539.39</v>
      </c>
      <c r="N475" s="13">
        <v>120.8</v>
      </c>
      <c r="O475" s="11">
        <v>142.19999999999999</v>
      </c>
      <c r="P475" s="11">
        <v>161.5</v>
      </c>
      <c r="Q475" s="11">
        <v>147.1</v>
      </c>
      <c r="R475" s="11">
        <v>177</v>
      </c>
      <c r="S475" s="14">
        <v>188.4</v>
      </c>
      <c r="T475" s="11">
        <v>539.39</v>
      </c>
      <c r="U475" s="13" cm="1">
        <f t="array" ref="U475">IF(Table8[[#This Row],[I_0]]&lt;Table24[Flitro de Ruido],1,Table8[[#This Row],[I_10]]/Table8[[#This Row],[I_0]])</f>
        <v>1.1771523178807946</v>
      </c>
      <c r="V475" s="13" cm="1">
        <f t="array" ref="V475">IF(Table8[[#This Row],[I_0]]&lt;Table24[Flitro de Ruido],1,Table8[[#This Row],[I_20]]/Table8[[#This Row],[I_0]])</f>
        <v>1.3369205298013245</v>
      </c>
      <c r="W475" s="13" cm="1">
        <f t="array" ref="W475">IF(Table8[[#This Row],[I_0]]&lt;Table24[Flitro de Ruido],1,Table8[[#This Row],[I_30]]/Table8[[#This Row],[I_0]])</f>
        <v>1.2177152317880795</v>
      </c>
      <c r="X475" s="13" cm="1">
        <f t="array" ref="X475">IF(Table8[[#This Row],[I_0]]&lt;Table24[Flitro de Ruido],1,Table8[[#This Row],[I_40]]/Table8[[#This Row],[I_0]])</f>
        <v>1.4652317880794703</v>
      </c>
      <c r="Y475" s="13" cm="1">
        <f t="array" ref="Y475">IF(Table8[[#This Row],[I_0]]&lt;Table24[Flitro de Ruido],1,Table8[[#This Row],[I_50]]/Table8[[#This Row],[I_0]])</f>
        <v>1.5596026490066226</v>
      </c>
    </row>
    <row r="476" spans="1:25" x14ac:dyDescent="0.3">
      <c r="A476" s="13">
        <v>540.38</v>
      </c>
      <c r="B476" s="12">
        <v>120.9</v>
      </c>
      <c r="C476" s="11">
        <v>540.38</v>
      </c>
      <c r="D476" s="12">
        <v>142.30000000000001</v>
      </c>
      <c r="E476" s="11">
        <v>540.38</v>
      </c>
      <c r="F476" s="12">
        <v>161.69999999999999</v>
      </c>
      <c r="G476" s="11">
        <v>540.38</v>
      </c>
      <c r="H476" s="12">
        <v>147.30000000000001</v>
      </c>
      <c r="I476" s="11">
        <v>540.38</v>
      </c>
      <c r="J476" s="12">
        <v>177.4</v>
      </c>
      <c r="K476" s="11">
        <v>540.38</v>
      </c>
      <c r="L476" s="12">
        <v>188.9</v>
      </c>
      <c r="M476" s="11">
        <v>540.38</v>
      </c>
      <c r="N476" s="13">
        <v>120.9</v>
      </c>
      <c r="O476" s="11">
        <v>142.30000000000001</v>
      </c>
      <c r="P476" s="11">
        <v>161.69999999999999</v>
      </c>
      <c r="Q476" s="11">
        <v>147.30000000000001</v>
      </c>
      <c r="R476" s="11">
        <v>177.4</v>
      </c>
      <c r="S476" s="14">
        <v>188.9</v>
      </c>
      <c r="T476" s="11">
        <v>540.38</v>
      </c>
      <c r="U476" s="13" cm="1">
        <f t="array" ref="U476">IF(Table8[[#This Row],[I_0]]&lt;Table24[Flitro de Ruido],1,Table8[[#This Row],[I_10]]/Table8[[#This Row],[I_0]])</f>
        <v>1.1770057899090158</v>
      </c>
      <c r="V476" s="13" cm="1">
        <f t="array" ref="V476">IF(Table8[[#This Row],[I_0]]&lt;Table24[Flitro de Ruido],1,Table8[[#This Row],[I_20]]/Table8[[#This Row],[I_0]])</f>
        <v>1.3374689826302728</v>
      </c>
      <c r="W476" s="13" cm="1">
        <f t="array" ref="W476">IF(Table8[[#This Row],[I_0]]&lt;Table24[Flitro de Ruido],1,Table8[[#This Row],[I_30]]/Table8[[#This Row],[I_0]])</f>
        <v>1.218362282878412</v>
      </c>
      <c r="X476" s="13" cm="1">
        <f t="array" ref="X476">IF(Table8[[#This Row],[I_0]]&lt;Table24[Flitro de Ruido],1,Table8[[#This Row],[I_40]]/Table8[[#This Row],[I_0]])</f>
        <v>1.4673283705541771</v>
      </c>
      <c r="Y476" s="13" cm="1">
        <f t="array" ref="Y476">IF(Table8[[#This Row],[I_0]]&lt;Table24[Flitro de Ruido],1,Table8[[#This Row],[I_50]]/Table8[[#This Row],[I_0]])</f>
        <v>1.5624483043837882</v>
      </c>
    </row>
    <row r="477" spans="1:25" x14ac:dyDescent="0.3">
      <c r="A477" s="13">
        <v>541.37</v>
      </c>
      <c r="B477" s="12">
        <v>120.9</v>
      </c>
      <c r="C477" s="11">
        <v>541.37</v>
      </c>
      <c r="D477" s="12">
        <v>142.19999999999999</v>
      </c>
      <c r="E477" s="11">
        <v>541.37</v>
      </c>
      <c r="F477" s="12">
        <v>161.69999999999999</v>
      </c>
      <c r="G477" s="11">
        <v>541.37</v>
      </c>
      <c r="H477" s="12">
        <v>147.30000000000001</v>
      </c>
      <c r="I477" s="11">
        <v>541.37</v>
      </c>
      <c r="J477" s="12">
        <v>177.5</v>
      </c>
      <c r="K477" s="11">
        <v>541.37</v>
      </c>
      <c r="L477" s="12">
        <v>188.9</v>
      </c>
      <c r="M477" s="11">
        <v>541.37</v>
      </c>
      <c r="N477" s="13">
        <v>120.9</v>
      </c>
      <c r="O477" s="11">
        <v>142.19999999999999</v>
      </c>
      <c r="P477" s="11">
        <v>161.69999999999999</v>
      </c>
      <c r="Q477" s="11">
        <v>147.30000000000001</v>
      </c>
      <c r="R477" s="11">
        <v>177.5</v>
      </c>
      <c r="S477" s="14">
        <v>188.9</v>
      </c>
      <c r="T477" s="11">
        <v>541.37</v>
      </c>
      <c r="U477" s="13" cm="1">
        <f t="array" ref="U477">IF(Table8[[#This Row],[I_0]]&lt;Table24[Flitro de Ruido],1,Table8[[#This Row],[I_10]]/Table8[[#This Row],[I_0]])</f>
        <v>1.1761786600496276</v>
      </c>
      <c r="V477" s="13" cm="1">
        <f t="array" ref="V477">IF(Table8[[#This Row],[I_0]]&lt;Table24[Flitro de Ruido],1,Table8[[#This Row],[I_20]]/Table8[[#This Row],[I_0]])</f>
        <v>1.3374689826302728</v>
      </c>
      <c r="W477" s="13" cm="1">
        <f t="array" ref="W477">IF(Table8[[#This Row],[I_0]]&lt;Table24[Flitro de Ruido],1,Table8[[#This Row],[I_30]]/Table8[[#This Row],[I_0]])</f>
        <v>1.218362282878412</v>
      </c>
      <c r="X477" s="13" cm="1">
        <f t="array" ref="X477">IF(Table8[[#This Row],[I_0]]&lt;Table24[Flitro de Ruido],1,Table8[[#This Row],[I_40]]/Table8[[#This Row],[I_0]])</f>
        <v>1.4681555004135649</v>
      </c>
      <c r="Y477" s="13" cm="1">
        <f t="array" ref="Y477">IF(Table8[[#This Row],[I_0]]&lt;Table24[Flitro de Ruido],1,Table8[[#This Row],[I_50]]/Table8[[#This Row],[I_0]])</f>
        <v>1.5624483043837882</v>
      </c>
    </row>
    <row r="478" spans="1:25" x14ac:dyDescent="0.3">
      <c r="A478" s="13">
        <v>542.36</v>
      </c>
      <c r="B478" s="12">
        <v>120.7</v>
      </c>
      <c r="C478" s="11">
        <v>542.36</v>
      </c>
      <c r="D478" s="12">
        <v>142</v>
      </c>
      <c r="E478" s="11">
        <v>542.36</v>
      </c>
      <c r="F478" s="12">
        <v>161.6</v>
      </c>
      <c r="G478" s="11">
        <v>542.36</v>
      </c>
      <c r="H478" s="12">
        <v>147.1</v>
      </c>
      <c r="I478" s="11">
        <v>542.36</v>
      </c>
      <c r="J478" s="12">
        <v>177.5</v>
      </c>
      <c r="K478" s="11">
        <v>542.36</v>
      </c>
      <c r="L478" s="12">
        <v>189</v>
      </c>
      <c r="M478" s="11">
        <v>542.36</v>
      </c>
      <c r="N478" s="13">
        <v>120.7</v>
      </c>
      <c r="O478" s="11">
        <v>142</v>
      </c>
      <c r="P478" s="11">
        <v>161.6</v>
      </c>
      <c r="Q478" s="11">
        <v>147.1</v>
      </c>
      <c r="R478" s="11">
        <v>177.5</v>
      </c>
      <c r="S478" s="14">
        <v>189</v>
      </c>
      <c r="T478" s="11">
        <v>542.36</v>
      </c>
      <c r="U478" s="13" cm="1">
        <f t="array" ref="U478">IF(Table8[[#This Row],[I_0]]&lt;Table24[Flitro de Ruido],1,Table8[[#This Row],[I_10]]/Table8[[#This Row],[I_0]])</f>
        <v>1.1764705882352942</v>
      </c>
      <c r="V478" s="13" cm="1">
        <f t="array" ref="V478">IF(Table8[[#This Row],[I_0]]&lt;Table24[Flitro de Ruido],1,Table8[[#This Row],[I_20]]/Table8[[#This Row],[I_0]])</f>
        <v>1.3388566694283346</v>
      </c>
      <c r="W478" s="13" cm="1">
        <f t="array" ref="W478">IF(Table8[[#This Row],[I_0]]&lt;Table24[Flitro de Ruido],1,Table8[[#This Row],[I_30]]/Table8[[#This Row],[I_0]])</f>
        <v>1.2187241093620547</v>
      </c>
      <c r="X478" s="13" cm="1">
        <f t="array" ref="X478">IF(Table8[[#This Row],[I_0]]&lt;Table24[Flitro de Ruido],1,Table8[[#This Row],[I_40]]/Table8[[#This Row],[I_0]])</f>
        <v>1.4705882352941175</v>
      </c>
      <c r="Y478" s="13" cm="1">
        <f t="array" ref="Y478">IF(Table8[[#This Row],[I_0]]&lt;Table24[Flitro de Ruido],1,Table8[[#This Row],[I_50]]/Table8[[#This Row],[I_0]])</f>
        <v>1.5658657829328915</v>
      </c>
    </row>
    <row r="479" spans="1:25" x14ac:dyDescent="0.3">
      <c r="A479" s="13">
        <v>543.35</v>
      </c>
      <c r="B479" s="12">
        <v>120.5</v>
      </c>
      <c r="C479" s="11">
        <v>543.35</v>
      </c>
      <c r="D479" s="12">
        <v>141.80000000000001</v>
      </c>
      <c r="E479" s="11">
        <v>543.35</v>
      </c>
      <c r="F479" s="12">
        <v>161.4</v>
      </c>
      <c r="G479" s="11">
        <v>543.35</v>
      </c>
      <c r="H479" s="12">
        <v>147</v>
      </c>
      <c r="I479" s="11">
        <v>543.35</v>
      </c>
      <c r="J479" s="12">
        <v>177.3</v>
      </c>
      <c r="K479" s="11">
        <v>543.35</v>
      </c>
      <c r="L479" s="12">
        <v>188.9</v>
      </c>
      <c r="M479" s="11">
        <v>543.35</v>
      </c>
      <c r="N479" s="13">
        <v>120.5</v>
      </c>
      <c r="O479" s="11">
        <v>141.80000000000001</v>
      </c>
      <c r="P479" s="11">
        <v>161.4</v>
      </c>
      <c r="Q479" s="11">
        <v>147</v>
      </c>
      <c r="R479" s="11">
        <v>177.3</v>
      </c>
      <c r="S479" s="14">
        <v>188.9</v>
      </c>
      <c r="T479" s="11">
        <v>543.35</v>
      </c>
      <c r="U479" s="13" cm="1">
        <f t="array" ref="U479">IF(Table8[[#This Row],[I_0]]&lt;Table24[Flitro de Ruido],1,Table8[[#This Row],[I_10]]/Table8[[#This Row],[I_0]])</f>
        <v>1.1767634854771785</v>
      </c>
      <c r="V479" s="13" cm="1">
        <f t="array" ref="V479">IF(Table8[[#This Row],[I_0]]&lt;Table24[Flitro de Ruido],1,Table8[[#This Row],[I_20]]/Table8[[#This Row],[I_0]])</f>
        <v>1.3394190871369296</v>
      </c>
      <c r="W479" s="13" cm="1">
        <f t="array" ref="W479">IF(Table8[[#This Row],[I_0]]&lt;Table24[Flitro de Ruido],1,Table8[[#This Row],[I_30]]/Table8[[#This Row],[I_0]])</f>
        <v>1.2199170124481329</v>
      </c>
      <c r="X479" s="13" cm="1">
        <f t="array" ref="X479">IF(Table8[[#This Row],[I_0]]&lt;Table24[Flitro de Ruido],1,Table8[[#This Row],[I_40]]/Table8[[#This Row],[I_0]])</f>
        <v>1.4713692946058092</v>
      </c>
      <c r="Y479" s="13" cm="1">
        <f t="array" ref="Y479">IF(Table8[[#This Row],[I_0]]&lt;Table24[Flitro de Ruido],1,Table8[[#This Row],[I_50]]/Table8[[#This Row],[I_0]])</f>
        <v>1.5676348547717842</v>
      </c>
    </row>
    <row r="480" spans="1:25" x14ac:dyDescent="0.3">
      <c r="A480" s="13">
        <v>544.34</v>
      </c>
      <c r="B480" s="12">
        <v>120.5</v>
      </c>
      <c r="C480" s="11">
        <v>544.34</v>
      </c>
      <c r="D480" s="12">
        <v>141.80000000000001</v>
      </c>
      <c r="E480" s="11">
        <v>544.34</v>
      </c>
      <c r="F480" s="12">
        <v>161.5</v>
      </c>
      <c r="G480" s="11">
        <v>544.34</v>
      </c>
      <c r="H480" s="12">
        <v>147</v>
      </c>
      <c r="I480" s="11">
        <v>544.34</v>
      </c>
      <c r="J480" s="12">
        <v>177.4</v>
      </c>
      <c r="K480" s="11">
        <v>544.34</v>
      </c>
      <c r="L480" s="12">
        <v>189.1</v>
      </c>
      <c r="M480" s="11">
        <v>544.34</v>
      </c>
      <c r="N480" s="13">
        <v>120.5</v>
      </c>
      <c r="O480" s="11">
        <v>141.80000000000001</v>
      </c>
      <c r="P480" s="11">
        <v>161.5</v>
      </c>
      <c r="Q480" s="11">
        <v>147</v>
      </c>
      <c r="R480" s="11">
        <v>177.4</v>
      </c>
      <c r="S480" s="14">
        <v>189.1</v>
      </c>
      <c r="T480" s="11">
        <v>544.34</v>
      </c>
      <c r="U480" s="13" cm="1">
        <f t="array" ref="U480">IF(Table8[[#This Row],[I_0]]&lt;Table24[Flitro de Ruido],1,Table8[[#This Row],[I_10]]/Table8[[#This Row],[I_0]])</f>
        <v>1.1767634854771785</v>
      </c>
      <c r="V480" s="13" cm="1">
        <f t="array" ref="V480">IF(Table8[[#This Row],[I_0]]&lt;Table24[Flitro de Ruido],1,Table8[[#This Row],[I_20]]/Table8[[#This Row],[I_0]])</f>
        <v>1.3402489626556016</v>
      </c>
      <c r="W480" s="13" cm="1">
        <f t="array" ref="W480">IF(Table8[[#This Row],[I_0]]&lt;Table24[Flitro de Ruido],1,Table8[[#This Row],[I_30]]/Table8[[#This Row],[I_0]])</f>
        <v>1.2199170124481329</v>
      </c>
      <c r="X480" s="13" cm="1">
        <f t="array" ref="X480">IF(Table8[[#This Row],[I_0]]&lt;Table24[Flitro de Ruido],1,Table8[[#This Row],[I_40]]/Table8[[#This Row],[I_0]])</f>
        <v>1.4721991701244814</v>
      </c>
      <c r="Y480" s="13" cm="1">
        <f t="array" ref="Y480">IF(Table8[[#This Row],[I_0]]&lt;Table24[Flitro de Ruido],1,Table8[[#This Row],[I_50]]/Table8[[#This Row],[I_0]])</f>
        <v>1.5692946058091286</v>
      </c>
    </row>
    <row r="481" spans="1:25" x14ac:dyDescent="0.3">
      <c r="A481" s="13">
        <v>545.34</v>
      </c>
      <c r="B481" s="12">
        <v>120.5</v>
      </c>
      <c r="C481" s="11">
        <v>545.34</v>
      </c>
      <c r="D481" s="12">
        <v>141.9</v>
      </c>
      <c r="E481" s="11">
        <v>545.34</v>
      </c>
      <c r="F481" s="12">
        <v>161.6</v>
      </c>
      <c r="G481" s="11">
        <v>545.34</v>
      </c>
      <c r="H481" s="12">
        <v>147.19999999999999</v>
      </c>
      <c r="I481" s="11">
        <v>545.34</v>
      </c>
      <c r="J481" s="12">
        <v>177.5</v>
      </c>
      <c r="K481" s="11">
        <v>545.34</v>
      </c>
      <c r="L481" s="12">
        <v>189.4</v>
      </c>
      <c r="M481" s="11">
        <v>545.34</v>
      </c>
      <c r="N481" s="13">
        <v>120.5</v>
      </c>
      <c r="O481" s="11">
        <v>141.9</v>
      </c>
      <c r="P481" s="11">
        <v>161.6</v>
      </c>
      <c r="Q481" s="11">
        <v>147.19999999999999</v>
      </c>
      <c r="R481" s="11">
        <v>177.5</v>
      </c>
      <c r="S481" s="14">
        <v>189.4</v>
      </c>
      <c r="T481" s="11">
        <v>545.34</v>
      </c>
      <c r="U481" s="13" cm="1">
        <f t="array" ref="U481">IF(Table8[[#This Row],[I_0]]&lt;Table24[Flitro de Ruido],1,Table8[[#This Row],[I_10]]/Table8[[#This Row],[I_0]])</f>
        <v>1.1775933609958507</v>
      </c>
      <c r="V481" s="13" cm="1">
        <f t="array" ref="V481">IF(Table8[[#This Row],[I_0]]&lt;Table24[Flitro de Ruido],1,Table8[[#This Row],[I_20]]/Table8[[#This Row],[I_0]])</f>
        <v>1.3410788381742738</v>
      </c>
      <c r="W481" s="13" cm="1">
        <f t="array" ref="W481">IF(Table8[[#This Row],[I_0]]&lt;Table24[Flitro de Ruido],1,Table8[[#This Row],[I_30]]/Table8[[#This Row],[I_0]])</f>
        <v>1.2215767634854771</v>
      </c>
      <c r="X481" s="13" cm="1">
        <f t="array" ref="X481">IF(Table8[[#This Row],[I_0]]&lt;Table24[Flitro de Ruido],1,Table8[[#This Row],[I_40]]/Table8[[#This Row],[I_0]])</f>
        <v>1.4730290456431536</v>
      </c>
      <c r="Y481" s="13" cm="1">
        <f t="array" ref="Y481">IF(Table8[[#This Row],[I_0]]&lt;Table24[Flitro de Ruido],1,Table8[[#This Row],[I_50]]/Table8[[#This Row],[I_0]])</f>
        <v>1.5717842323651452</v>
      </c>
    </row>
    <row r="482" spans="1:25" x14ac:dyDescent="0.3">
      <c r="A482" s="13">
        <v>546.33000000000004</v>
      </c>
      <c r="B482" s="12">
        <v>120.8</v>
      </c>
      <c r="C482" s="11">
        <v>546.33000000000004</v>
      </c>
      <c r="D482" s="12">
        <v>142.30000000000001</v>
      </c>
      <c r="E482" s="11">
        <v>546.33000000000004</v>
      </c>
      <c r="F482" s="12">
        <v>162</v>
      </c>
      <c r="G482" s="11">
        <v>546.33000000000004</v>
      </c>
      <c r="H482" s="12">
        <v>147.69999999999999</v>
      </c>
      <c r="I482" s="11">
        <v>546.33000000000004</v>
      </c>
      <c r="J482" s="12">
        <v>178.1</v>
      </c>
      <c r="K482" s="11">
        <v>546.33000000000004</v>
      </c>
      <c r="L482" s="12">
        <v>190</v>
      </c>
      <c r="M482" s="11">
        <v>546.33000000000004</v>
      </c>
      <c r="N482" s="13">
        <v>120.8</v>
      </c>
      <c r="O482" s="11">
        <v>142.30000000000001</v>
      </c>
      <c r="P482" s="11">
        <v>162</v>
      </c>
      <c r="Q482" s="11">
        <v>147.69999999999999</v>
      </c>
      <c r="R482" s="11">
        <v>178.1</v>
      </c>
      <c r="S482" s="14">
        <v>190</v>
      </c>
      <c r="T482" s="11">
        <v>546.33000000000004</v>
      </c>
      <c r="U482" s="13" cm="1">
        <f t="array" ref="U482">IF(Table8[[#This Row],[I_0]]&lt;Table24[Flitro de Ruido],1,Table8[[#This Row],[I_10]]/Table8[[#This Row],[I_0]])</f>
        <v>1.1779801324503312</v>
      </c>
      <c r="V482" s="13" cm="1">
        <f t="array" ref="V482">IF(Table8[[#This Row],[I_0]]&lt;Table24[Flitro de Ruido],1,Table8[[#This Row],[I_20]]/Table8[[#This Row],[I_0]])</f>
        <v>1.3410596026490067</v>
      </c>
      <c r="W482" s="13" cm="1">
        <f t="array" ref="W482">IF(Table8[[#This Row],[I_0]]&lt;Table24[Flitro de Ruido],1,Table8[[#This Row],[I_30]]/Table8[[#This Row],[I_0]])</f>
        <v>1.2226821192052979</v>
      </c>
      <c r="X482" s="13" cm="1">
        <f t="array" ref="X482">IF(Table8[[#This Row],[I_0]]&lt;Table24[Flitro de Ruido],1,Table8[[#This Row],[I_40]]/Table8[[#This Row],[I_0]])</f>
        <v>1.4743377483443709</v>
      </c>
      <c r="Y482" s="13" cm="1">
        <f t="array" ref="Y482">IF(Table8[[#This Row],[I_0]]&lt;Table24[Flitro de Ruido],1,Table8[[#This Row],[I_50]]/Table8[[#This Row],[I_0]])</f>
        <v>1.5728476821192052</v>
      </c>
    </row>
    <row r="483" spans="1:25" x14ac:dyDescent="0.3">
      <c r="A483" s="13">
        <v>547.32000000000005</v>
      </c>
      <c r="B483" s="12">
        <v>121.3</v>
      </c>
      <c r="C483" s="11">
        <v>547.32000000000005</v>
      </c>
      <c r="D483" s="12">
        <v>142.9</v>
      </c>
      <c r="E483" s="11">
        <v>547.32000000000005</v>
      </c>
      <c r="F483" s="12">
        <v>162.69999999999999</v>
      </c>
      <c r="G483" s="11">
        <v>547.32000000000005</v>
      </c>
      <c r="H483" s="12">
        <v>148.5</v>
      </c>
      <c r="I483" s="11">
        <v>547.32000000000005</v>
      </c>
      <c r="J483" s="12">
        <v>178.9</v>
      </c>
      <c r="K483" s="11">
        <v>547.32000000000005</v>
      </c>
      <c r="L483" s="12">
        <v>190.9</v>
      </c>
      <c r="M483" s="11">
        <v>547.32000000000005</v>
      </c>
      <c r="N483" s="13">
        <v>121.3</v>
      </c>
      <c r="O483" s="11">
        <v>142.9</v>
      </c>
      <c r="P483" s="11">
        <v>162.69999999999999</v>
      </c>
      <c r="Q483" s="11">
        <v>148.5</v>
      </c>
      <c r="R483" s="11">
        <v>178.9</v>
      </c>
      <c r="S483" s="14">
        <v>190.9</v>
      </c>
      <c r="T483" s="11">
        <v>547.32000000000005</v>
      </c>
      <c r="U483" s="13" cm="1">
        <f t="array" ref="U483">IF(Table8[[#This Row],[I_0]]&lt;Table24[Flitro de Ruido],1,Table8[[#This Row],[I_10]]/Table8[[#This Row],[I_0]])</f>
        <v>1.1780708985985162</v>
      </c>
      <c r="V483" s="13" cm="1">
        <f t="array" ref="V483">IF(Table8[[#This Row],[I_0]]&lt;Table24[Flitro de Ruido],1,Table8[[#This Row],[I_20]]/Table8[[#This Row],[I_0]])</f>
        <v>1.3413025556471558</v>
      </c>
      <c r="W483" s="13" cm="1">
        <f t="array" ref="W483">IF(Table8[[#This Row],[I_0]]&lt;Table24[Flitro de Ruido],1,Table8[[#This Row],[I_30]]/Table8[[#This Row],[I_0]])</f>
        <v>1.2242374278647981</v>
      </c>
      <c r="X483" s="13" cm="1">
        <f t="array" ref="X483">IF(Table8[[#This Row],[I_0]]&lt;Table24[Flitro de Ruido],1,Table8[[#This Row],[I_40]]/Table8[[#This Row],[I_0]])</f>
        <v>1.4748557295960429</v>
      </c>
      <c r="Y483" s="13" cm="1">
        <f t="array" ref="Y483">IF(Table8[[#This Row],[I_0]]&lt;Table24[Flitro de Ruido],1,Table8[[#This Row],[I_50]]/Table8[[#This Row],[I_0]])</f>
        <v>1.5737840065952184</v>
      </c>
    </row>
    <row r="484" spans="1:25" x14ac:dyDescent="0.3">
      <c r="A484" s="13">
        <v>548.30999999999995</v>
      </c>
      <c r="B484" s="12">
        <v>122</v>
      </c>
      <c r="C484" s="11">
        <v>548.30999999999995</v>
      </c>
      <c r="D484" s="12">
        <v>143.69999999999999</v>
      </c>
      <c r="E484" s="11">
        <v>548.30999999999995</v>
      </c>
      <c r="F484" s="12">
        <v>163.6</v>
      </c>
      <c r="G484" s="11">
        <v>548.30999999999995</v>
      </c>
      <c r="H484" s="12">
        <v>149.4</v>
      </c>
      <c r="I484" s="11">
        <v>548.30999999999995</v>
      </c>
      <c r="J484" s="12">
        <v>179.9</v>
      </c>
      <c r="K484" s="11">
        <v>548.30999999999995</v>
      </c>
      <c r="L484" s="12">
        <v>192</v>
      </c>
      <c r="M484" s="11">
        <v>548.30999999999995</v>
      </c>
      <c r="N484" s="13">
        <v>122</v>
      </c>
      <c r="O484" s="11">
        <v>143.69999999999999</v>
      </c>
      <c r="P484" s="11">
        <v>163.6</v>
      </c>
      <c r="Q484" s="11">
        <v>149.4</v>
      </c>
      <c r="R484" s="11">
        <v>179.9</v>
      </c>
      <c r="S484" s="14">
        <v>192</v>
      </c>
      <c r="T484" s="11">
        <v>548.30999999999995</v>
      </c>
      <c r="U484" s="13" cm="1">
        <f t="array" ref="U484">IF(Table8[[#This Row],[I_0]]&lt;Table24[Flitro de Ruido],1,Table8[[#This Row],[I_10]]/Table8[[#This Row],[I_0]])</f>
        <v>1.1778688524590164</v>
      </c>
      <c r="V484" s="13" cm="1">
        <f t="array" ref="V484">IF(Table8[[#This Row],[I_0]]&lt;Table24[Flitro de Ruido],1,Table8[[#This Row],[I_20]]/Table8[[#This Row],[I_0]])</f>
        <v>1.340983606557377</v>
      </c>
      <c r="W484" s="13" cm="1">
        <f t="array" ref="W484">IF(Table8[[#This Row],[I_0]]&lt;Table24[Flitro de Ruido],1,Table8[[#This Row],[I_30]]/Table8[[#This Row],[I_0]])</f>
        <v>1.2245901639344263</v>
      </c>
      <c r="X484" s="13" cm="1">
        <f t="array" ref="X484">IF(Table8[[#This Row],[I_0]]&lt;Table24[Flitro de Ruido],1,Table8[[#This Row],[I_40]]/Table8[[#This Row],[I_0]])</f>
        <v>1.4745901639344263</v>
      </c>
      <c r="Y484" s="13" cm="1">
        <f t="array" ref="Y484">IF(Table8[[#This Row],[I_0]]&lt;Table24[Flitro de Ruido],1,Table8[[#This Row],[I_50]]/Table8[[#This Row],[I_0]])</f>
        <v>1.5737704918032787</v>
      </c>
    </row>
    <row r="485" spans="1:25" x14ac:dyDescent="0.3">
      <c r="A485" s="13">
        <v>549.29999999999995</v>
      </c>
      <c r="B485" s="12">
        <v>123.1</v>
      </c>
      <c r="C485" s="11">
        <v>549.29999999999995</v>
      </c>
      <c r="D485" s="12">
        <v>145</v>
      </c>
      <c r="E485" s="11">
        <v>549.29999999999995</v>
      </c>
      <c r="F485" s="12">
        <v>165</v>
      </c>
      <c r="G485" s="11">
        <v>549.29999999999995</v>
      </c>
      <c r="H485" s="12">
        <v>150.9</v>
      </c>
      <c r="I485" s="11">
        <v>549.29999999999995</v>
      </c>
      <c r="J485" s="12">
        <v>181.4</v>
      </c>
      <c r="K485" s="11">
        <v>549.29999999999995</v>
      </c>
      <c r="L485" s="12">
        <v>193.8</v>
      </c>
      <c r="M485" s="11">
        <v>549.29999999999995</v>
      </c>
      <c r="N485" s="13">
        <v>123.1</v>
      </c>
      <c r="O485" s="11">
        <v>145</v>
      </c>
      <c r="P485" s="11">
        <v>165</v>
      </c>
      <c r="Q485" s="11">
        <v>150.9</v>
      </c>
      <c r="R485" s="11">
        <v>181.4</v>
      </c>
      <c r="S485" s="14">
        <v>193.8</v>
      </c>
      <c r="T485" s="11">
        <v>549.29999999999995</v>
      </c>
      <c r="U485" s="13" cm="1">
        <f t="array" ref="U485">IF(Table8[[#This Row],[I_0]]&lt;Table24[Flitro de Ruido],1,Table8[[#This Row],[I_10]]/Table8[[#This Row],[I_0]])</f>
        <v>1.1779041429731927</v>
      </c>
      <c r="V485" s="13" cm="1">
        <f t="array" ref="V485">IF(Table8[[#This Row],[I_0]]&lt;Table24[Flitro de Ruido],1,Table8[[#This Row],[I_20]]/Table8[[#This Row],[I_0]])</f>
        <v>1.3403736799350123</v>
      </c>
      <c r="W485" s="13" cm="1">
        <f t="array" ref="W485">IF(Table8[[#This Row],[I_0]]&lt;Table24[Flitro de Ruido],1,Table8[[#This Row],[I_30]]/Table8[[#This Row],[I_0]])</f>
        <v>1.2258326563769295</v>
      </c>
      <c r="X485" s="13" cm="1">
        <f t="array" ref="X485">IF(Table8[[#This Row],[I_0]]&lt;Table24[Flitro de Ruido],1,Table8[[#This Row],[I_40]]/Table8[[#This Row],[I_0]])</f>
        <v>1.4735987002437043</v>
      </c>
      <c r="Y485" s="13" cm="1">
        <f t="array" ref="Y485">IF(Table8[[#This Row],[I_0]]&lt;Table24[Flitro de Ruido],1,Table8[[#This Row],[I_50]]/Table8[[#This Row],[I_0]])</f>
        <v>1.5743298131600327</v>
      </c>
    </row>
    <row r="486" spans="1:25" x14ac:dyDescent="0.3">
      <c r="A486" s="13">
        <v>550.29</v>
      </c>
      <c r="B486" s="12">
        <v>124.4</v>
      </c>
      <c r="C486" s="11">
        <v>550.29</v>
      </c>
      <c r="D486" s="12">
        <v>146.4</v>
      </c>
      <c r="E486" s="11">
        <v>550.29</v>
      </c>
      <c r="F486" s="12">
        <v>166.6</v>
      </c>
      <c r="G486" s="11">
        <v>550.29</v>
      </c>
      <c r="H486" s="12">
        <v>152.6</v>
      </c>
      <c r="I486" s="11">
        <v>550.29</v>
      </c>
      <c r="J486" s="12">
        <v>183.1</v>
      </c>
      <c r="K486" s="11">
        <v>550.29</v>
      </c>
      <c r="L486" s="12">
        <v>195.7</v>
      </c>
      <c r="M486" s="11">
        <v>550.29</v>
      </c>
      <c r="N486" s="13">
        <v>124.4</v>
      </c>
      <c r="O486" s="11">
        <v>146.4</v>
      </c>
      <c r="P486" s="11">
        <v>166.6</v>
      </c>
      <c r="Q486" s="11">
        <v>152.6</v>
      </c>
      <c r="R486" s="11">
        <v>183.1</v>
      </c>
      <c r="S486" s="14">
        <v>195.7</v>
      </c>
      <c r="T486" s="11">
        <v>550.29</v>
      </c>
      <c r="U486" s="13" cm="1">
        <f t="array" ref="U486">IF(Table8[[#This Row],[I_0]]&lt;Table24[Flitro de Ruido],1,Table8[[#This Row],[I_10]]/Table8[[#This Row],[I_0]])</f>
        <v>1.1768488745980707</v>
      </c>
      <c r="V486" s="13" cm="1">
        <f t="array" ref="V486">IF(Table8[[#This Row],[I_0]]&lt;Table24[Flitro de Ruido],1,Table8[[#This Row],[I_20]]/Table8[[#This Row],[I_0]])</f>
        <v>1.3392282958199355</v>
      </c>
      <c r="W486" s="13" cm="1">
        <f t="array" ref="W486">IF(Table8[[#This Row],[I_0]]&lt;Table24[Flitro de Ruido],1,Table8[[#This Row],[I_30]]/Table8[[#This Row],[I_0]])</f>
        <v>1.2266881028938905</v>
      </c>
      <c r="X486" s="13" cm="1">
        <f t="array" ref="X486">IF(Table8[[#This Row],[I_0]]&lt;Table24[Flitro de Ruido],1,Table8[[#This Row],[I_40]]/Table8[[#This Row],[I_0]])</f>
        <v>1.4718649517684885</v>
      </c>
      <c r="Y486" s="13" cm="1">
        <f t="array" ref="Y486">IF(Table8[[#This Row],[I_0]]&lt;Table24[Flitro de Ruido],1,Table8[[#This Row],[I_50]]/Table8[[#This Row],[I_0]])</f>
        <v>1.573151125401929</v>
      </c>
    </row>
    <row r="487" spans="1:25" x14ac:dyDescent="0.3">
      <c r="A487" s="13">
        <v>551.29</v>
      </c>
      <c r="B487" s="12">
        <v>126.2</v>
      </c>
      <c r="C487" s="11">
        <v>551.29</v>
      </c>
      <c r="D487" s="12">
        <v>148.5</v>
      </c>
      <c r="E487" s="11">
        <v>551.29</v>
      </c>
      <c r="F487" s="12">
        <v>168.8</v>
      </c>
      <c r="G487" s="11">
        <v>551.29</v>
      </c>
      <c r="H487" s="12">
        <v>155</v>
      </c>
      <c r="I487" s="11">
        <v>551.29</v>
      </c>
      <c r="J487" s="12">
        <v>185.6</v>
      </c>
      <c r="K487" s="11">
        <v>551.29</v>
      </c>
      <c r="L487" s="12">
        <v>198.4</v>
      </c>
      <c r="M487" s="11">
        <v>551.29</v>
      </c>
      <c r="N487" s="13">
        <v>126.2</v>
      </c>
      <c r="O487" s="11">
        <v>148.5</v>
      </c>
      <c r="P487" s="11">
        <v>168.8</v>
      </c>
      <c r="Q487" s="11">
        <v>155</v>
      </c>
      <c r="R487" s="11">
        <v>185.6</v>
      </c>
      <c r="S487" s="14">
        <v>198.4</v>
      </c>
      <c r="T487" s="11">
        <v>551.29</v>
      </c>
      <c r="U487" s="13" cm="1">
        <f t="array" ref="U487">IF(Table8[[#This Row],[I_0]]&lt;Table24[Flitro de Ruido],1,Table8[[#This Row],[I_10]]/Table8[[#This Row],[I_0]])</f>
        <v>1.1767036450079238</v>
      </c>
      <c r="V487" s="13" cm="1">
        <f t="array" ref="V487">IF(Table8[[#This Row],[I_0]]&lt;Table24[Flitro de Ruido],1,Table8[[#This Row],[I_20]]/Table8[[#This Row],[I_0]])</f>
        <v>1.3375594294770206</v>
      </c>
      <c r="W487" s="13" cm="1">
        <f t="array" ref="W487">IF(Table8[[#This Row],[I_0]]&lt;Table24[Flitro de Ruido],1,Table8[[#This Row],[I_30]]/Table8[[#This Row],[I_0]])</f>
        <v>1.2282091917591125</v>
      </c>
      <c r="X487" s="13" cm="1">
        <f t="array" ref="X487">IF(Table8[[#This Row],[I_0]]&lt;Table24[Flitro de Ruido],1,Table8[[#This Row],[I_40]]/Table8[[#This Row],[I_0]])</f>
        <v>1.4706814580031695</v>
      </c>
      <c r="Y487" s="13" cm="1">
        <f t="array" ref="Y487">IF(Table8[[#This Row],[I_0]]&lt;Table24[Flitro de Ruido],1,Table8[[#This Row],[I_50]]/Table8[[#This Row],[I_0]])</f>
        <v>1.572107765451664</v>
      </c>
    </row>
    <row r="488" spans="1:25" x14ac:dyDescent="0.3">
      <c r="A488" s="13">
        <v>552.28</v>
      </c>
      <c r="B488" s="12">
        <v>128.30000000000001</v>
      </c>
      <c r="C488" s="11">
        <v>552.28</v>
      </c>
      <c r="D488" s="12">
        <v>150.9</v>
      </c>
      <c r="E488" s="11">
        <v>552.28</v>
      </c>
      <c r="F488" s="12">
        <v>171.3</v>
      </c>
      <c r="G488" s="11">
        <v>552.28</v>
      </c>
      <c r="H488" s="12">
        <v>157.6</v>
      </c>
      <c r="I488" s="11">
        <v>552.28</v>
      </c>
      <c r="J488" s="12">
        <v>188.3</v>
      </c>
      <c r="K488" s="11">
        <v>552.28</v>
      </c>
      <c r="L488" s="12">
        <v>201.3</v>
      </c>
      <c r="M488" s="11">
        <v>552.28</v>
      </c>
      <c r="N488" s="13">
        <v>128.30000000000001</v>
      </c>
      <c r="O488" s="11">
        <v>150.9</v>
      </c>
      <c r="P488" s="11">
        <v>171.3</v>
      </c>
      <c r="Q488" s="11">
        <v>157.6</v>
      </c>
      <c r="R488" s="11">
        <v>188.3</v>
      </c>
      <c r="S488" s="14">
        <v>201.3</v>
      </c>
      <c r="T488" s="11">
        <v>552.28</v>
      </c>
      <c r="U488" s="13" cm="1">
        <f t="array" ref="U488">IF(Table8[[#This Row],[I_0]]&lt;Table24[Flitro de Ruido],1,Table8[[#This Row],[I_10]]/Table8[[#This Row],[I_0]])</f>
        <v>1.1761496492595478</v>
      </c>
      <c r="V488" s="13" cm="1">
        <f t="array" ref="V488">IF(Table8[[#This Row],[I_0]]&lt;Table24[Flitro de Ruido],1,Table8[[#This Row],[I_20]]/Table8[[#This Row],[I_0]])</f>
        <v>1.3351519875292284</v>
      </c>
      <c r="W488" s="13" cm="1">
        <f t="array" ref="W488">IF(Table8[[#This Row],[I_0]]&lt;Table24[Flitro de Ruido],1,Table8[[#This Row],[I_30]]/Table8[[#This Row],[I_0]])</f>
        <v>1.2283710054559625</v>
      </c>
      <c r="X488" s="13" cm="1">
        <f t="array" ref="X488">IF(Table8[[#This Row],[I_0]]&lt;Table24[Flitro de Ruido],1,Table8[[#This Row],[I_40]]/Table8[[#This Row],[I_0]])</f>
        <v>1.4676539360872953</v>
      </c>
      <c r="Y488" s="13" cm="1">
        <f t="array" ref="Y488">IF(Table8[[#This Row],[I_0]]&lt;Table24[Flitro de Ruido],1,Table8[[#This Row],[I_50]]/Table8[[#This Row],[I_0]])</f>
        <v>1.5689789555728759</v>
      </c>
    </row>
    <row r="489" spans="1:25" x14ac:dyDescent="0.3">
      <c r="A489" s="13">
        <v>553.27</v>
      </c>
      <c r="B489" s="12">
        <v>131.1</v>
      </c>
      <c r="C489" s="11">
        <v>553.27</v>
      </c>
      <c r="D489" s="12">
        <v>154</v>
      </c>
      <c r="E489" s="11">
        <v>553.27</v>
      </c>
      <c r="F489" s="12">
        <v>174.6</v>
      </c>
      <c r="G489" s="11">
        <v>553.27</v>
      </c>
      <c r="H489" s="12">
        <v>161.1</v>
      </c>
      <c r="I489" s="11">
        <v>553.27</v>
      </c>
      <c r="J489" s="12">
        <v>191.9</v>
      </c>
      <c r="K489" s="11">
        <v>553.27</v>
      </c>
      <c r="L489" s="12">
        <v>205.1</v>
      </c>
      <c r="M489" s="11">
        <v>553.27</v>
      </c>
      <c r="N489" s="13">
        <v>131.1</v>
      </c>
      <c r="O489" s="11">
        <v>154</v>
      </c>
      <c r="P489" s="11">
        <v>174.6</v>
      </c>
      <c r="Q489" s="11">
        <v>161.1</v>
      </c>
      <c r="R489" s="11">
        <v>191.9</v>
      </c>
      <c r="S489" s="14">
        <v>205.1</v>
      </c>
      <c r="T489" s="11">
        <v>553.27</v>
      </c>
      <c r="U489" s="13" cm="1">
        <f t="array" ref="U489">IF(Table8[[#This Row],[I_0]]&lt;Table24[Flitro de Ruido],1,Table8[[#This Row],[I_10]]/Table8[[#This Row],[I_0]])</f>
        <v>1.1746758199847445</v>
      </c>
      <c r="V489" s="13" cm="1">
        <f t="array" ref="V489">IF(Table8[[#This Row],[I_0]]&lt;Table24[Flitro de Ruido],1,Table8[[#This Row],[I_20]]/Table8[[#This Row],[I_0]])</f>
        <v>1.3318077803203661</v>
      </c>
      <c r="W489" s="13" cm="1">
        <f t="array" ref="W489">IF(Table8[[#This Row],[I_0]]&lt;Table24[Flitro de Ruido],1,Table8[[#This Row],[I_30]]/Table8[[#This Row],[I_0]])</f>
        <v>1.22883295194508</v>
      </c>
      <c r="X489" s="13" cm="1">
        <f t="array" ref="X489">IF(Table8[[#This Row],[I_0]]&lt;Table24[Flitro de Ruido],1,Table8[[#This Row],[I_40]]/Table8[[#This Row],[I_0]])</f>
        <v>1.463768115942029</v>
      </c>
      <c r="Y489" s="13" cm="1">
        <f t="array" ref="Y489">IF(Table8[[#This Row],[I_0]]&lt;Table24[Flitro de Ruido],1,Table8[[#This Row],[I_50]]/Table8[[#This Row],[I_0]])</f>
        <v>1.5644546147978642</v>
      </c>
    </row>
    <row r="490" spans="1:25" x14ac:dyDescent="0.3">
      <c r="A490" s="13">
        <v>554.26</v>
      </c>
      <c r="B490" s="12">
        <v>133.6</v>
      </c>
      <c r="C490" s="11">
        <v>554.26</v>
      </c>
      <c r="D490" s="12">
        <v>156.6</v>
      </c>
      <c r="E490" s="11">
        <v>554.26</v>
      </c>
      <c r="F490" s="12">
        <v>177.4</v>
      </c>
      <c r="G490" s="11">
        <v>554.26</v>
      </c>
      <c r="H490" s="12">
        <v>164</v>
      </c>
      <c r="I490" s="11">
        <v>554.26</v>
      </c>
      <c r="J490" s="12">
        <v>194.8</v>
      </c>
      <c r="K490" s="11">
        <v>554.26</v>
      </c>
      <c r="L490" s="12">
        <v>208.2</v>
      </c>
      <c r="M490" s="11">
        <v>554.26</v>
      </c>
      <c r="N490" s="13">
        <v>133.6</v>
      </c>
      <c r="O490" s="11">
        <v>156.6</v>
      </c>
      <c r="P490" s="11">
        <v>177.4</v>
      </c>
      <c r="Q490" s="11">
        <v>164</v>
      </c>
      <c r="R490" s="11">
        <v>194.8</v>
      </c>
      <c r="S490" s="14">
        <v>208.2</v>
      </c>
      <c r="T490" s="11">
        <v>554.26</v>
      </c>
      <c r="U490" s="13" cm="1">
        <f t="array" ref="U490">IF(Table8[[#This Row],[I_0]]&lt;Table24[Flitro de Ruido],1,Table8[[#This Row],[I_10]]/Table8[[#This Row],[I_0]])</f>
        <v>1.1721556886227544</v>
      </c>
      <c r="V490" s="13" cm="1">
        <f t="array" ref="V490">IF(Table8[[#This Row],[I_0]]&lt;Table24[Flitro de Ruido],1,Table8[[#This Row],[I_20]]/Table8[[#This Row],[I_0]])</f>
        <v>1.3278443113772456</v>
      </c>
      <c r="W490" s="13" cm="1">
        <f t="array" ref="W490">IF(Table8[[#This Row],[I_0]]&lt;Table24[Flitro de Ruido],1,Table8[[#This Row],[I_30]]/Table8[[#This Row],[I_0]])</f>
        <v>1.2275449101796407</v>
      </c>
      <c r="X490" s="13" cm="1">
        <f t="array" ref="X490">IF(Table8[[#This Row],[I_0]]&lt;Table24[Flitro de Ruido],1,Table8[[#This Row],[I_40]]/Table8[[#This Row],[I_0]])</f>
        <v>1.4580838323353296</v>
      </c>
      <c r="Y490" s="13" cm="1">
        <f t="array" ref="Y490">IF(Table8[[#This Row],[I_0]]&lt;Table24[Flitro de Ruido],1,Table8[[#This Row],[I_50]]/Table8[[#This Row],[I_0]])</f>
        <v>1.5583832335329342</v>
      </c>
    </row>
    <row r="491" spans="1:25" x14ac:dyDescent="0.3">
      <c r="A491" s="13">
        <v>555.25</v>
      </c>
      <c r="B491" s="12">
        <v>135.4</v>
      </c>
      <c r="C491" s="11">
        <v>555.25</v>
      </c>
      <c r="D491" s="12">
        <v>158.6</v>
      </c>
      <c r="E491" s="11">
        <v>555.25</v>
      </c>
      <c r="F491" s="12">
        <v>179.4</v>
      </c>
      <c r="G491" s="11">
        <v>555.25</v>
      </c>
      <c r="H491" s="12">
        <v>166.2</v>
      </c>
      <c r="I491" s="11">
        <v>555.25</v>
      </c>
      <c r="J491" s="12">
        <v>197</v>
      </c>
      <c r="K491" s="11">
        <v>555.25</v>
      </c>
      <c r="L491" s="12">
        <v>210.4</v>
      </c>
      <c r="M491" s="11">
        <v>555.25</v>
      </c>
      <c r="N491" s="13">
        <v>135.4</v>
      </c>
      <c r="O491" s="11">
        <v>158.6</v>
      </c>
      <c r="P491" s="11">
        <v>179.4</v>
      </c>
      <c r="Q491" s="11">
        <v>166.2</v>
      </c>
      <c r="R491" s="11">
        <v>197</v>
      </c>
      <c r="S491" s="14">
        <v>210.4</v>
      </c>
      <c r="T491" s="11">
        <v>555.25</v>
      </c>
      <c r="U491" s="13" cm="1">
        <f t="array" ref="U491">IF(Table8[[#This Row],[I_0]]&lt;Table24[Flitro de Ruido],1,Table8[[#This Row],[I_10]]/Table8[[#This Row],[I_0]])</f>
        <v>1.1713441654357459</v>
      </c>
      <c r="V491" s="13" cm="1">
        <f t="array" ref="V491">IF(Table8[[#This Row],[I_0]]&lt;Table24[Flitro de Ruido],1,Table8[[#This Row],[I_20]]/Table8[[#This Row],[I_0]])</f>
        <v>1.3249630723781389</v>
      </c>
      <c r="W491" s="13" cm="1">
        <f t="array" ref="W491">IF(Table8[[#This Row],[I_0]]&lt;Table24[Flitro de Ruido],1,Table8[[#This Row],[I_30]]/Table8[[#This Row],[I_0]])</f>
        <v>1.2274741506646971</v>
      </c>
      <c r="X491" s="13" cm="1">
        <f t="array" ref="X491">IF(Table8[[#This Row],[I_0]]&lt;Table24[Flitro de Ruido],1,Table8[[#This Row],[I_40]]/Table8[[#This Row],[I_0]])</f>
        <v>1.4549483013293942</v>
      </c>
      <c r="Y491" s="13" cm="1">
        <f t="array" ref="Y491">IF(Table8[[#This Row],[I_0]]&lt;Table24[Flitro de Ruido],1,Table8[[#This Row],[I_50]]/Table8[[#This Row],[I_0]])</f>
        <v>1.553914327917282</v>
      </c>
    </row>
    <row r="492" spans="1:25" x14ac:dyDescent="0.3">
      <c r="A492" s="13">
        <v>556.25</v>
      </c>
      <c r="B492" s="12">
        <v>135.30000000000001</v>
      </c>
      <c r="C492" s="11">
        <v>556.25</v>
      </c>
      <c r="D492" s="12">
        <v>158.30000000000001</v>
      </c>
      <c r="E492" s="11">
        <v>556.25</v>
      </c>
      <c r="F492" s="12">
        <v>179.1</v>
      </c>
      <c r="G492" s="11">
        <v>556.25</v>
      </c>
      <c r="H492" s="12">
        <v>165.9</v>
      </c>
      <c r="I492" s="11">
        <v>556.25</v>
      </c>
      <c r="J492" s="12">
        <v>196.6</v>
      </c>
      <c r="K492" s="11">
        <v>556.25</v>
      </c>
      <c r="L492" s="12">
        <v>209.8</v>
      </c>
      <c r="M492" s="11">
        <v>556.25</v>
      </c>
      <c r="N492" s="13">
        <v>135.30000000000001</v>
      </c>
      <c r="O492" s="11">
        <v>158.30000000000001</v>
      </c>
      <c r="P492" s="11">
        <v>179.1</v>
      </c>
      <c r="Q492" s="11">
        <v>165.9</v>
      </c>
      <c r="R492" s="11">
        <v>196.6</v>
      </c>
      <c r="S492" s="14">
        <v>209.8</v>
      </c>
      <c r="T492" s="11">
        <v>556.25</v>
      </c>
      <c r="U492" s="13" cm="1">
        <f t="array" ref="U492">IF(Table8[[#This Row],[I_0]]&lt;Table24[Flitro de Ruido],1,Table8[[#This Row],[I_10]]/Table8[[#This Row],[I_0]])</f>
        <v>1.1699926090169992</v>
      </c>
      <c r="V492" s="13" cm="1">
        <f t="array" ref="V492">IF(Table8[[#This Row],[I_0]]&lt;Table24[Flitro de Ruido],1,Table8[[#This Row],[I_20]]/Table8[[#This Row],[I_0]])</f>
        <v>1.3237250554323723</v>
      </c>
      <c r="W492" s="13" cm="1">
        <f t="array" ref="W492">IF(Table8[[#This Row],[I_0]]&lt;Table24[Flitro de Ruido],1,Table8[[#This Row],[I_30]]/Table8[[#This Row],[I_0]])</f>
        <v>1.2261640798226163</v>
      </c>
      <c r="X492" s="13" cm="1">
        <f t="array" ref="X492">IF(Table8[[#This Row],[I_0]]&lt;Table24[Flitro de Ruido],1,Table8[[#This Row],[I_40]]/Table8[[#This Row],[I_0]])</f>
        <v>1.4530672579453066</v>
      </c>
      <c r="Y492" s="13" cm="1">
        <f t="array" ref="Y492">IF(Table8[[#This Row],[I_0]]&lt;Table24[Flitro de Ruido],1,Table8[[#This Row],[I_50]]/Table8[[#This Row],[I_0]])</f>
        <v>1.5506282335550627</v>
      </c>
    </row>
    <row r="493" spans="1:25" x14ac:dyDescent="0.3">
      <c r="A493" s="13">
        <v>557.24</v>
      </c>
      <c r="B493" s="12">
        <v>131.9</v>
      </c>
      <c r="C493" s="11">
        <v>557.24</v>
      </c>
      <c r="D493" s="12">
        <v>154.6</v>
      </c>
      <c r="E493" s="11">
        <v>557.24</v>
      </c>
      <c r="F493" s="12">
        <v>174.9</v>
      </c>
      <c r="G493" s="11">
        <v>557.24</v>
      </c>
      <c r="H493" s="12">
        <v>161.69999999999999</v>
      </c>
      <c r="I493" s="11">
        <v>557.24</v>
      </c>
      <c r="J493" s="12">
        <v>191.9</v>
      </c>
      <c r="K493" s="11">
        <v>557.24</v>
      </c>
      <c r="L493" s="12">
        <v>204.8</v>
      </c>
      <c r="M493" s="11">
        <v>557.24</v>
      </c>
      <c r="N493" s="13">
        <v>131.9</v>
      </c>
      <c r="O493" s="11">
        <v>154.6</v>
      </c>
      <c r="P493" s="11">
        <v>174.9</v>
      </c>
      <c r="Q493" s="11">
        <v>161.69999999999999</v>
      </c>
      <c r="R493" s="11">
        <v>191.9</v>
      </c>
      <c r="S493" s="14">
        <v>204.8</v>
      </c>
      <c r="T493" s="11">
        <v>557.24</v>
      </c>
      <c r="U493" s="13" cm="1">
        <f t="array" ref="U493">IF(Table8[[#This Row],[I_0]]&lt;Table24[Flitro de Ruido],1,Table8[[#This Row],[I_10]]/Table8[[#This Row],[I_0]])</f>
        <v>1.1721000758150113</v>
      </c>
      <c r="V493" s="13" cm="1">
        <f t="array" ref="V493">IF(Table8[[#This Row],[I_0]]&lt;Table24[Flitro de Ruido],1,Table8[[#This Row],[I_20]]/Table8[[#This Row],[I_0]])</f>
        <v>1.3260045489006824</v>
      </c>
      <c r="W493" s="13" cm="1">
        <f t="array" ref="W493">IF(Table8[[#This Row],[I_0]]&lt;Table24[Flitro de Ruido],1,Table8[[#This Row],[I_30]]/Table8[[#This Row],[I_0]])</f>
        <v>1.2259287338893099</v>
      </c>
      <c r="X493" s="13" cm="1">
        <f t="array" ref="X493">IF(Table8[[#This Row],[I_0]]&lt;Table24[Flitro de Ruido],1,Table8[[#This Row],[I_40]]/Table8[[#This Row],[I_0]])</f>
        <v>1.4548900682335102</v>
      </c>
      <c r="Y493" s="13" cm="1">
        <f t="array" ref="Y493">IF(Table8[[#This Row],[I_0]]&lt;Table24[Flitro de Ruido],1,Table8[[#This Row],[I_50]]/Table8[[#This Row],[I_0]])</f>
        <v>1.5526914329037149</v>
      </c>
    </row>
    <row r="494" spans="1:25" x14ac:dyDescent="0.3">
      <c r="A494" s="13">
        <v>558.23</v>
      </c>
      <c r="B494" s="12">
        <v>126.2</v>
      </c>
      <c r="C494" s="11">
        <v>558.23</v>
      </c>
      <c r="D494" s="12">
        <v>148.4</v>
      </c>
      <c r="E494" s="11">
        <v>558.23</v>
      </c>
      <c r="F494" s="12">
        <v>167.9</v>
      </c>
      <c r="G494" s="11">
        <v>558.23</v>
      </c>
      <c r="H494" s="12">
        <v>154.69999999999999</v>
      </c>
      <c r="I494" s="11">
        <v>558.23</v>
      </c>
      <c r="J494" s="12">
        <v>184.5</v>
      </c>
      <c r="K494" s="11">
        <v>558.23</v>
      </c>
      <c r="L494" s="12">
        <v>196.8</v>
      </c>
      <c r="M494" s="11">
        <v>558.23</v>
      </c>
      <c r="N494" s="13">
        <v>126.2</v>
      </c>
      <c r="O494" s="11">
        <v>148.4</v>
      </c>
      <c r="P494" s="11">
        <v>167.9</v>
      </c>
      <c r="Q494" s="11">
        <v>154.69999999999999</v>
      </c>
      <c r="R494" s="11">
        <v>184.5</v>
      </c>
      <c r="S494" s="14">
        <v>196.8</v>
      </c>
      <c r="T494" s="11">
        <v>558.23</v>
      </c>
      <c r="U494" s="13" cm="1">
        <f t="array" ref="U494">IF(Table8[[#This Row],[I_0]]&lt;Table24[Flitro de Ruido],1,Table8[[#This Row],[I_10]]/Table8[[#This Row],[I_0]])</f>
        <v>1.1759112519809827</v>
      </c>
      <c r="V494" s="13" cm="1">
        <f t="array" ref="V494">IF(Table8[[#This Row],[I_0]]&lt;Table24[Flitro de Ruido],1,Table8[[#This Row],[I_20]]/Table8[[#This Row],[I_0]])</f>
        <v>1.3304278922345483</v>
      </c>
      <c r="W494" s="13" cm="1">
        <f t="array" ref="W494">IF(Table8[[#This Row],[I_0]]&lt;Table24[Flitro de Ruido],1,Table8[[#This Row],[I_30]]/Table8[[#This Row],[I_0]])</f>
        <v>1.2258320126782882</v>
      </c>
      <c r="X494" s="13" cm="1">
        <f t="array" ref="X494">IF(Table8[[#This Row],[I_0]]&lt;Table24[Flitro de Ruido],1,Table8[[#This Row],[I_40]]/Table8[[#This Row],[I_0]])</f>
        <v>1.4619651347068146</v>
      </c>
      <c r="Y494" s="13" cm="1">
        <f t="array" ref="Y494">IF(Table8[[#This Row],[I_0]]&lt;Table24[Flitro de Ruido],1,Table8[[#This Row],[I_50]]/Table8[[#This Row],[I_0]])</f>
        <v>1.5594294770206023</v>
      </c>
    </row>
    <row r="495" spans="1:25" x14ac:dyDescent="0.3">
      <c r="A495" s="13">
        <v>559.22</v>
      </c>
      <c r="B495" s="12">
        <v>119.9</v>
      </c>
      <c r="C495" s="11">
        <v>559.22</v>
      </c>
      <c r="D495" s="12">
        <v>141.5</v>
      </c>
      <c r="E495" s="11">
        <v>559.22</v>
      </c>
      <c r="F495" s="12">
        <v>160.30000000000001</v>
      </c>
      <c r="G495" s="11">
        <v>559.22</v>
      </c>
      <c r="H495" s="12">
        <v>147.1</v>
      </c>
      <c r="I495" s="11">
        <v>559.22</v>
      </c>
      <c r="J495" s="12">
        <v>176.3</v>
      </c>
      <c r="K495" s="11">
        <v>559.22</v>
      </c>
      <c r="L495" s="12">
        <v>188.2</v>
      </c>
      <c r="M495" s="11">
        <v>559.22</v>
      </c>
      <c r="N495" s="13">
        <v>119.9</v>
      </c>
      <c r="O495" s="11">
        <v>141.5</v>
      </c>
      <c r="P495" s="11">
        <v>160.30000000000001</v>
      </c>
      <c r="Q495" s="11">
        <v>147.1</v>
      </c>
      <c r="R495" s="11">
        <v>176.3</v>
      </c>
      <c r="S495" s="14">
        <v>188.2</v>
      </c>
      <c r="T495" s="11">
        <v>559.22</v>
      </c>
      <c r="U495" s="13" cm="1">
        <f t="array" ref="U495">IF(Table8[[#This Row],[I_0]]&lt;Table24[Flitro de Ruido],1,Table8[[#This Row],[I_10]]/Table8[[#This Row],[I_0]])</f>
        <v>1.1801501251042534</v>
      </c>
      <c r="V495" s="13" cm="1">
        <f t="array" ref="V495">IF(Table8[[#This Row],[I_0]]&lt;Table24[Flitro de Ruido],1,Table8[[#This Row],[I_20]]/Table8[[#This Row],[I_0]])</f>
        <v>1.3369474562135113</v>
      </c>
      <c r="W495" s="13" cm="1">
        <f t="array" ref="W495">IF(Table8[[#This Row],[I_0]]&lt;Table24[Flitro de Ruido],1,Table8[[#This Row],[I_30]]/Table8[[#This Row],[I_0]])</f>
        <v>1.226855713094245</v>
      </c>
      <c r="X495" s="13" cm="1">
        <f t="array" ref="X495">IF(Table8[[#This Row],[I_0]]&lt;Table24[Flitro de Ruido],1,Table8[[#This Row],[I_40]]/Table8[[#This Row],[I_0]])</f>
        <v>1.4703919933277732</v>
      </c>
      <c r="Y495" s="13" cm="1">
        <f t="array" ref="Y495">IF(Table8[[#This Row],[I_0]]&lt;Table24[Flitro de Ruido],1,Table8[[#This Row],[I_50]]/Table8[[#This Row],[I_0]])</f>
        <v>1.5696413678065053</v>
      </c>
    </row>
    <row r="496" spans="1:25" x14ac:dyDescent="0.3">
      <c r="A496" s="13">
        <v>560.21</v>
      </c>
      <c r="B496" s="12">
        <v>113.9</v>
      </c>
      <c r="C496" s="11">
        <v>560.21</v>
      </c>
      <c r="D496" s="12">
        <v>134.9</v>
      </c>
      <c r="E496" s="11">
        <v>560.21</v>
      </c>
      <c r="F496" s="12">
        <v>153.1</v>
      </c>
      <c r="G496" s="11">
        <v>560.21</v>
      </c>
      <c r="H496" s="12">
        <v>140</v>
      </c>
      <c r="I496" s="11">
        <v>560.21</v>
      </c>
      <c r="J496" s="12">
        <v>168.6</v>
      </c>
      <c r="K496" s="11">
        <v>560.21</v>
      </c>
      <c r="L496" s="12">
        <v>180</v>
      </c>
      <c r="M496" s="11">
        <v>560.21</v>
      </c>
      <c r="N496" s="13">
        <v>113.9</v>
      </c>
      <c r="O496" s="11">
        <v>134.9</v>
      </c>
      <c r="P496" s="11">
        <v>153.1</v>
      </c>
      <c r="Q496" s="11">
        <v>140</v>
      </c>
      <c r="R496" s="11">
        <v>168.6</v>
      </c>
      <c r="S496" s="14">
        <v>180</v>
      </c>
      <c r="T496" s="11">
        <v>560.21</v>
      </c>
      <c r="U496" s="13" cm="1">
        <f t="array" ref="U496">IF(Table8[[#This Row],[I_0]]&lt;Table24[Flitro de Ruido],1,Table8[[#This Row],[I_10]]/Table8[[#This Row],[I_0]])</f>
        <v>1.1843722563652326</v>
      </c>
      <c r="V496" s="13" cm="1">
        <f t="array" ref="V496">IF(Table8[[#This Row],[I_0]]&lt;Table24[Flitro de Ruido],1,Table8[[#This Row],[I_20]]/Table8[[#This Row],[I_0]])</f>
        <v>1.3441615452151008</v>
      </c>
      <c r="W496" s="13" cm="1">
        <f t="array" ref="W496">IF(Table8[[#This Row],[I_0]]&lt;Table24[Flitro de Ruido],1,Table8[[#This Row],[I_30]]/Table8[[#This Row],[I_0]])</f>
        <v>1.2291483757682178</v>
      </c>
      <c r="X496" s="13" cm="1">
        <f t="array" ref="X496">IF(Table8[[#This Row],[I_0]]&lt;Table24[Flitro de Ruido],1,Table8[[#This Row],[I_40]]/Table8[[#This Row],[I_0]])</f>
        <v>1.4802458296751535</v>
      </c>
      <c r="Y496" s="13" cm="1">
        <f t="array" ref="Y496">IF(Table8[[#This Row],[I_0]]&lt;Table24[Flitro de Ruido],1,Table8[[#This Row],[I_50]]/Table8[[#This Row],[I_0]])</f>
        <v>1.5803336259877085</v>
      </c>
    </row>
    <row r="497" spans="1:25" x14ac:dyDescent="0.3">
      <c r="A497" s="13">
        <v>561.20000000000005</v>
      </c>
      <c r="B497" s="12">
        <v>108.5</v>
      </c>
      <c r="C497" s="11">
        <v>561.20000000000005</v>
      </c>
      <c r="D497" s="12">
        <v>129</v>
      </c>
      <c r="E497" s="11">
        <v>561.20000000000005</v>
      </c>
      <c r="F497" s="12">
        <v>146.6</v>
      </c>
      <c r="G497" s="11">
        <v>561.20000000000005</v>
      </c>
      <c r="H497" s="12">
        <v>133.80000000000001</v>
      </c>
      <c r="I497" s="11">
        <v>561.20000000000005</v>
      </c>
      <c r="J497" s="12">
        <v>161.6</v>
      </c>
      <c r="K497" s="11">
        <v>561.20000000000005</v>
      </c>
      <c r="L497" s="12">
        <v>172.6</v>
      </c>
      <c r="M497" s="11">
        <v>561.20000000000005</v>
      </c>
      <c r="N497" s="13">
        <v>108.5</v>
      </c>
      <c r="O497" s="11">
        <v>129</v>
      </c>
      <c r="P497" s="11">
        <v>146.6</v>
      </c>
      <c r="Q497" s="11">
        <v>133.80000000000001</v>
      </c>
      <c r="R497" s="11">
        <v>161.6</v>
      </c>
      <c r="S497" s="14">
        <v>172.6</v>
      </c>
      <c r="T497" s="11">
        <v>561.20000000000005</v>
      </c>
      <c r="U497" s="13" cm="1">
        <f t="array" ref="U497">IF(Table8[[#This Row],[I_0]]&lt;Table24[Flitro de Ruido],1,Table8[[#This Row],[I_10]]/Table8[[#This Row],[I_0]])</f>
        <v>1.1889400921658986</v>
      </c>
      <c r="V497" s="13" cm="1">
        <f t="array" ref="V497">IF(Table8[[#This Row],[I_0]]&lt;Table24[Flitro de Ruido],1,Table8[[#This Row],[I_20]]/Table8[[#This Row],[I_0]])</f>
        <v>1.351152073732719</v>
      </c>
      <c r="W497" s="13" cm="1">
        <f t="array" ref="W497">IF(Table8[[#This Row],[I_0]]&lt;Table24[Flitro de Ruido],1,Table8[[#This Row],[I_30]]/Table8[[#This Row],[I_0]])</f>
        <v>1.2331797235023043</v>
      </c>
      <c r="X497" s="13" cm="1">
        <f t="array" ref="X497">IF(Table8[[#This Row],[I_0]]&lt;Table24[Flitro de Ruido],1,Table8[[#This Row],[I_40]]/Table8[[#This Row],[I_0]])</f>
        <v>1.4894009216589861</v>
      </c>
      <c r="Y497" s="13" cm="1">
        <f t="array" ref="Y497">IF(Table8[[#This Row],[I_0]]&lt;Table24[Flitro de Ruido],1,Table8[[#This Row],[I_50]]/Table8[[#This Row],[I_0]])</f>
        <v>1.5907834101382488</v>
      </c>
    </row>
    <row r="498" spans="1:25" x14ac:dyDescent="0.3">
      <c r="A498" s="13">
        <v>562.20000000000005</v>
      </c>
      <c r="B498" s="12">
        <v>103.8</v>
      </c>
      <c r="C498" s="11">
        <v>562.20000000000005</v>
      </c>
      <c r="D498" s="12">
        <v>123.8</v>
      </c>
      <c r="E498" s="11">
        <v>562.20000000000005</v>
      </c>
      <c r="F498" s="12">
        <v>140.9</v>
      </c>
      <c r="G498" s="11">
        <v>562.20000000000005</v>
      </c>
      <c r="H498" s="12">
        <v>128.30000000000001</v>
      </c>
      <c r="I498" s="11">
        <v>562.20000000000005</v>
      </c>
      <c r="J498" s="12">
        <v>155.5</v>
      </c>
      <c r="K498" s="11">
        <v>562.20000000000005</v>
      </c>
      <c r="L498" s="12">
        <v>166.1</v>
      </c>
      <c r="M498" s="11">
        <v>562.20000000000005</v>
      </c>
      <c r="N498" s="13">
        <v>103.8</v>
      </c>
      <c r="O498" s="11">
        <v>123.8</v>
      </c>
      <c r="P498" s="11">
        <v>140.9</v>
      </c>
      <c r="Q498" s="11">
        <v>128.30000000000001</v>
      </c>
      <c r="R498" s="11">
        <v>155.5</v>
      </c>
      <c r="S498" s="14">
        <v>166.1</v>
      </c>
      <c r="T498" s="11">
        <v>562.20000000000005</v>
      </c>
      <c r="U498" s="13" cm="1">
        <f t="array" ref="U498">IF(Table8[[#This Row],[I_0]]&lt;Table24[Flitro de Ruido],1,Table8[[#This Row],[I_10]]/Table8[[#This Row],[I_0]])</f>
        <v>1.1926782273603083</v>
      </c>
      <c r="V498" s="13" cm="1">
        <f t="array" ref="V498">IF(Table8[[#This Row],[I_0]]&lt;Table24[Flitro de Ruido],1,Table8[[#This Row],[I_20]]/Table8[[#This Row],[I_0]])</f>
        <v>1.3574181117533719</v>
      </c>
      <c r="W498" s="13" cm="1">
        <f t="array" ref="W498">IF(Table8[[#This Row],[I_0]]&lt;Table24[Flitro de Ruido],1,Table8[[#This Row],[I_30]]/Table8[[#This Row],[I_0]])</f>
        <v>1.2360308285163777</v>
      </c>
      <c r="X498" s="13" cm="1">
        <f t="array" ref="X498">IF(Table8[[#This Row],[I_0]]&lt;Table24[Flitro de Ruido],1,Table8[[#This Row],[I_40]]/Table8[[#This Row],[I_0]])</f>
        <v>1.4980732177263969</v>
      </c>
      <c r="Y498" s="13" cm="1">
        <f t="array" ref="Y498">IF(Table8[[#This Row],[I_0]]&lt;Table24[Flitro de Ruido],1,Table8[[#This Row],[I_50]]/Table8[[#This Row],[I_0]])</f>
        <v>1.6001926782273603</v>
      </c>
    </row>
    <row r="499" spans="1:25" x14ac:dyDescent="0.3">
      <c r="A499" s="13">
        <v>563.19000000000005</v>
      </c>
      <c r="B499" s="12">
        <v>99.7</v>
      </c>
      <c r="C499" s="11">
        <v>563.19000000000005</v>
      </c>
      <c r="D499" s="12">
        <v>119.3</v>
      </c>
      <c r="E499" s="11">
        <v>563.19000000000005</v>
      </c>
      <c r="F499" s="12">
        <v>135.9</v>
      </c>
      <c r="G499" s="11">
        <v>563.19000000000005</v>
      </c>
      <c r="H499" s="12">
        <v>123.7</v>
      </c>
      <c r="I499" s="11">
        <v>563.19000000000005</v>
      </c>
      <c r="J499" s="12">
        <v>150.30000000000001</v>
      </c>
      <c r="K499" s="11">
        <v>563.19000000000005</v>
      </c>
      <c r="L499" s="12">
        <v>160.6</v>
      </c>
      <c r="M499" s="11">
        <v>563.19000000000005</v>
      </c>
      <c r="N499" s="13">
        <v>99.7</v>
      </c>
      <c r="O499" s="11">
        <v>119.3</v>
      </c>
      <c r="P499" s="11">
        <v>135.9</v>
      </c>
      <c r="Q499" s="11">
        <v>123.7</v>
      </c>
      <c r="R499" s="11">
        <v>150.30000000000001</v>
      </c>
      <c r="S499" s="14">
        <v>160.6</v>
      </c>
      <c r="T499" s="11">
        <v>563.19000000000005</v>
      </c>
      <c r="U499" s="13" cm="1">
        <f t="array" ref="U499">IF(Table8[[#This Row],[I_0]]&lt;Table24[Flitro de Ruido],1,Table8[[#This Row],[I_10]]/Table8[[#This Row],[I_0]])</f>
        <v>1.1965897693079237</v>
      </c>
      <c r="V499" s="13" cm="1">
        <f t="array" ref="V499">IF(Table8[[#This Row],[I_0]]&lt;Table24[Flitro de Ruido],1,Table8[[#This Row],[I_20]]/Table8[[#This Row],[I_0]])</f>
        <v>1.3630892678034103</v>
      </c>
      <c r="W499" s="13" cm="1">
        <f t="array" ref="W499">IF(Table8[[#This Row],[I_0]]&lt;Table24[Flitro de Ruido],1,Table8[[#This Row],[I_30]]/Table8[[#This Row],[I_0]])</f>
        <v>1.2407221664994985</v>
      </c>
      <c r="X499" s="13" cm="1">
        <f t="array" ref="X499">IF(Table8[[#This Row],[I_0]]&lt;Table24[Flitro de Ruido],1,Table8[[#This Row],[I_40]]/Table8[[#This Row],[I_0]])</f>
        <v>1.5075225677031094</v>
      </c>
      <c r="Y499" s="13" cm="1">
        <f t="array" ref="Y499">IF(Table8[[#This Row],[I_0]]&lt;Table24[Flitro de Ruido],1,Table8[[#This Row],[I_50]]/Table8[[#This Row],[I_0]])</f>
        <v>1.6108324974924773</v>
      </c>
    </row>
    <row r="500" spans="1:25" x14ac:dyDescent="0.3">
      <c r="A500" s="13">
        <v>564.17999999999995</v>
      </c>
      <c r="B500" s="12">
        <v>96.1</v>
      </c>
      <c r="C500" s="11">
        <v>564.17999999999995</v>
      </c>
      <c r="D500" s="12">
        <v>115.4</v>
      </c>
      <c r="E500" s="11">
        <v>564.17999999999995</v>
      </c>
      <c r="F500" s="12">
        <v>131.6</v>
      </c>
      <c r="G500" s="11">
        <v>564.17999999999995</v>
      </c>
      <c r="H500" s="12">
        <v>119.7</v>
      </c>
      <c r="I500" s="11">
        <v>564.17999999999995</v>
      </c>
      <c r="J500" s="12">
        <v>145.69999999999999</v>
      </c>
      <c r="K500" s="11">
        <v>564.17999999999995</v>
      </c>
      <c r="L500" s="12">
        <v>155.80000000000001</v>
      </c>
      <c r="M500" s="11">
        <v>564.17999999999995</v>
      </c>
      <c r="N500" s="13">
        <v>96.1</v>
      </c>
      <c r="O500" s="11">
        <v>115.4</v>
      </c>
      <c r="P500" s="11">
        <v>131.6</v>
      </c>
      <c r="Q500" s="11">
        <v>119.7</v>
      </c>
      <c r="R500" s="11">
        <v>145.69999999999999</v>
      </c>
      <c r="S500" s="14">
        <v>155.80000000000001</v>
      </c>
      <c r="T500" s="11">
        <v>564.17999999999995</v>
      </c>
      <c r="U500" s="13" cm="1">
        <f t="array" ref="U500">IF(Table8[[#This Row],[I_0]]&lt;Table24[Flitro de Ruido],1,Table8[[#This Row],[I_10]]/Table8[[#This Row],[I_0]])</f>
        <v>1.2008324661810614</v>
      </c>
      <c r="V500" s="13" cm="1">
        <f t="array" ref="V500">IF(Table8[[#This Row],[I_0]]&lt;Table24[Flitro de Ruido],1,Table8[[#This Row],[I_20]]/Table8[[#This Row],[I_0]])</f>
        <v>1.3694068678459939</v>
      </c>
      <c r="W500" s="13" cm="1">
        <f t="array" ref="W500">IF(Table8[[#This Row],[I_0]]&lt;Table24[Flitro de Ruido],1,Table8[[#This Row],[I_30]]/Table8[[#This Row],[I_0]])</f>
        <v>1.2455775234131115</v>
      </c>
      <c r="X500" s="13" cm="1">
        <f t="array" ref="X500">IF(Table8[[#This Row],[I_0]]&lt;Table24[Flitro de Ruido],1,Table8[[#This Row],[I_40]]/Table8[[#This Row],[I_0]])</f>
        <v>1.5161290322580645</v>
      </c>
      <c r="Y500" s="13" cm="1">
        <f t="array" ref="Y500">IF(Table8[[#This Row],[I_0]]&lt;Table24[Flitro de Ruido],1,Table8[[#This Row],[I_50]]/Table8[[#This Row],[I_0]])</f>
        <v>1.6212278876170658</v>
      </c>
    </row>
    <row r="501" spans="1:25" x14ac:dyDescent="0.3">
      <c r="A501" s="13">
        <v>565.16999999999996</v>
      </c>
      <c r="B501" s="12">
        <v>93</v>
      </c>
      <c r="C501" s="11">
        <v>565.16999999999996</v>
      </c>
      <c r="D501" s="12">
        <v>112</v>
      </c>
      <c r="E501" s="11">
        <v>565.16999999999996</v>
      </c>
      <c r="F501" s="12">
        <v>127.8</v>
      </c>
      <c r="G501" s="11">
        <v>565.16999999999996</v>
      </c>
      <c r="H501" s="12">
        <v>116.3</v>
      </c>
      <c r="I501" s="11">
        <v>565.16999999999996</v>
      </c>
      <c r="J501" s="12">
        <v>141.80000000000001</v>
      </c>
      <c r="K501" s="11">
        <v>565.16999999999996</v>
      </c>
      <c r="L501" s="12">
        <v>151.69999999999999</v>
      </c>
      <c r="M501" s="11">
        <v>565.16999999999996</v>
      </c>
      <c r="N501" s="13">
        <v>93</v>
      </c>
      <c r="O501" s="11">
        <v>112</v>
      </c>
      <c r="P501" s="11">
        <v>127.8</v>
      </c>
      <c r="Q501" s="11">
        <v>116.3</v>
      </c>
      <c r="R501" s="11">
        <v>141.80000000000001</v>
      </c>
      <c r="S501" s="14">
        <v>151.69999999999999</v>
      </c>
      <c r="T501" s="11">
        <v>565.16999999999996</v>
      </c>
      <c r="U501" s="13" cm="1">
        <f t="array" ref="U501">IF(Table8[[#This Row],[I_0]]&lt;Table24[Flitro de Ruido],1,Table8[[#This Row],[I_10]]/Table8[[#This Row],[I_0]])</f>
        <v>1.2043010752688172</v>
      </c>
      <c r="V501" s="13" cm="1">
        <f t="array" ref="V501">IF(Table8[[#This Row],[I_0]]&lt;Table24[Flitro de Ruido],1,Table8[[#This Row],[I_20]]/Table8[[#This Row],[I_0]])</f>
        <v>1.3741935483870968</v>
      </c>
      <c r="W501" s="13" cm="1">
        <f t="array" ref="W501">IF(Table8[[#This Row],[I_0]]&lt;Table24[Flitro de Ruido],1,Table8[[#This Row],[I_30]]/Table8[[#This Row],[I_0]])</f>
        <v>1.2505376344086021</v>
      </c>
      <c r="X501" s="13" cm="1">
        <f t="array" ref="X501">IF(Table8[[#This Row],[I_0]]&lt;Table24[Flitro de Ruido],1,Table8[[#This Row],[I_40]]/Table8[[#This Row],[I_0]])</f>
        <v>1.5247311827956991</v>
      </c>
      <c r="Y501" s="13" cm="1">
        <f t="array" ref="Y501">IF(Table8[[#This Row],[I_0]]&lt;Table24[Flitro de Ruido],1,Table8[[#This Row],[I_50]]/Table8[[#This Row],[I_0]])</f>
        <v>1.6311827956989247</v>
      </c>
    </row>
    <row r="502" spans="1:25" x14ac:dyDescent="0.3">
      <c r="A502" s="13">
        <v>566.16</v>
      </c>
      <c r="B502" s="12">
        <v>90.2</v>
      </c>
      <c r="C502" s="11">
        <v>566.16</v>
      </c>
      <c r="D502" s="12">
        <v>108.9</v>
      </c>
      <c r="E502" s="11">
        <v>566.16</v>
      </c>
      <c r="F502" s="12">
        <v>124.5</v>
      </c>
      <c r="G502" s="11">
        <v>566.16</v>
      </c>
      <c r="H502" s="12">
        <v>113.2</v>
      </c>
      <c r="I502" s="11">
        <v>566.16</v>
      </c>
      <c r="J502" s="12">
        <v>138.19999999999999</v>
      </c>
      <c r="K502" s="11">
        <v>566.16</v>
      </c>
      <c r="L502" s="12">
        <v>147.9</v>
      </c>
      <c r="M502" s="11">
        <v>566.16</v>
      </c>
      <c r="N502" s="13">
        <v>90.2</v>
      </c>
      <c r="O502" s="11">
        <v>108.9</v>
      </c>
      <c r="P502" s="11">
        <v>124.5</v>
      </c>
      <c r="Q502" s="11">
        <v>113.2</v>
      </c>
      <c r="R502" s="11">
        <v>138.19999999999999</v>
      </c>
      <c r="S502" s="14">
        <v>147.9</v>
      </c>
      <c r="T502" s="11">
        <v>566.16</v>
      </c>
      <c r="U502" s="13" cm="1">
        <f t="array" ref="U502">IF(Table8[[#This Row],[I_0]]&lt;Table24[Flitro de Ruido],1,Table8[[#This Row],[I_10]]/Table8[[#This Row],[I_0]])</f>
        <v>1.2073170731707317</v>
      </c>
      <c r="V502" s="13" cm="1">
        <f t="array" ref="V502">IF(Table8[[#This Row],[I_0]]&lt;Table24[Flitro de Ruido],1,Table8[[#This Row],[I_20]]/Table8[[#This Row],[I_0]])</f>
        <v>1.3802660753880265</v>
      </c>
      <c r="W502" s="13" cm="1">
        <f t="array" ref="W502">IF(Table8[[#This Row],[I_0]]&lt;Table24[Flitro de Ruido],1,Table8[[#This Row],[I_30]]/Table8[[#This Row],[I_0]])</f>
        <v>1.2549889135254988</v>
      </c>
      <c r="X502" s="13" cm="1">
        <f t="array" ref="X502">IF(Table8[[#This Row],[I_0]]&lt;Table24[Flitro de Ruido],1,Table8[[#This Row],[I_40]]/Table8[[#This Row],[I_0]])</f>
        <v>1.5321507760532149</v>
      </c>
      <c r="Y502" s="13" cm="1">
        <f t="array" ref="Y502">IF(Table8[[#This Row],[I_0]]&lt;Table24[Flitro de Ruido],1,Table8[[#This Row],[I_50]]/Table8[[#This Row],[I_0]])</f>
        <v>1.6396895787139689</v>
      </c>
    </row>
    <row r="503" spans="1:25" x14ac:dyDescent="0.3">
      <c r="A503" s="13">
        <v>567.15</v>
      </c>
      <c r="B503" s="12">
        <v>87.6</v>
      </c>
      <c r="C503" s="11">
        <v>567.15</v>
      </c>
      <c r="D503" s="12">
        <v>106.2</v>
      </c>
      <c r="E503" s="11">
        <v>567.15</v>
      </c>
      <c r="F503" s="12">
        <v>121.6</v>
      </c>
      <c r="G503" s="11">
        <v>567.15</v>
      </c>
      <c r="H503" s="12">
        <v>110.5</v>
      </c>
      <c r="I503" s="11">
        <v>567.15</v>
      </c>
      <c r="J503" s="12">
        <v>135.1</v>
      </c>
      <c r="K503" s="11">
        <v>567.15</v>
      </c>
      <c r="L503" s="12">
        <v>144.69999999999999</v>
      </c>
      <c r="M503" s="11">
        <v>567.15</v>
      </c>
      <c r="N503" s="13">
        <v>87.6</v>
      </c>
      <c r="O503" s="11">
        <v>106.2</v>
      </c>
      <c r="P503" s="11">
        <v>121.6</v>
      </c>
      <c r="Q503" s="11">
        <v>110.5</v>
      </c>
      <c r="R503" s="11">
        <v>135.1</v>
      </c>
      <c r="S503" s="14">
        <v>144.69999999999999</v>
      </c>
      <c r="T503" s="11">
        <v>567.15</v>
      </c>
      <c r="U503" s="13" cm="1">
        <f t="array" ref="U503">IF(Table8[[#This Row],[I_0]]&lt;Table24[Flitro de Ruido],1,Table8[[#This Row],[I_10]]/Table8[[#This Row],[I_0]])</f>
        <v>1.2123287671232879</v>
      </c>
      <c r="V503" s="13" cm="1">
        <f t="array" ref="V503">IF(Table8[[#This Row],[I_0]]&lt;Table24[Flitro de Ruido],1,Table8[[#This Row],[I_20]]/Table8[[#This Row],[I_0]])</f>
        <v>1.3881278538812785</v>
      </c>
      <c r="W503" s="13" cm="1">
        <f t="array" ref="W503">IF(Table8[[#This Row],[I_0]]&lt;Table24[Flitro de Ruido],1,Table8[[#This Row],[I_30]]/Table8[[#This Row],[I_0]])</f>
        <v>1.2614155251141552</v>
      </c>
      <c r="X503" s="13" cm="1">
        <f t="array" ref="X503">IF(Table8[[#This Row],[I_0]]&lt;Table24[Flitro de Ruido],1,Table8[[#This Row],[I_40]]/Table8[[#This Row],[I_0]])</f>
        <v>1.5422374429223744</v>
      </c>
      <c r="Y503" s="13" cm="1">
        <f t="array" ref="Y503">IF(Table8[[#This Row],[I_0]]&lt;Table24[Flitro de Ruido],1,Table8[[#This Row],[I_50]]/Table8[[#This Row],[I_0]])</f>
        <v>1.6518264840182648</v>
      </c>
    </row>
    <row r="504" spans="1:25" x14ac:dyDescent="0.3">
      <c r="A504" s="13">
        <v>568.15</v>
      </c>
      <c r="B504" s="12">
        <v>85.4</v>
      </c>
      <c r="C504" s="11">
        <v>568.15</v>
      </c>
      <c r="D504" s="12">
        <v>103.7</v>
      </c>
      <c r="E504" s="11">
        <v>568.15</v>
      </c>
      <c r="F504" s="12">
        <v>118.9</v>
      </c>
      <c r="G504" s="11">
        <v>568.15</v>
      </c>
      <c r="H504" s="12">
        <v>108</v>
      </c>
      <c r="I504" s="11">
        <v>568.15</v>
      </c>
      <c r="J504" s="12">
        <v>132.30000000000001</v>
      </c>
      <c r="K504" s="11">
        <v>568.15</v>
      </c>
      <c r="L504" s="12">
        <v>141.80000000000001</v>
      </c>
      <c r="M504" s="11">
        <v>568.15</v>
      </c>
      <c r="N504" s="13">
        <v>85.4</v>
      </c>
      <c r="O504" s="11">
        <v>103.7</v>
      </c>
      <c r="P504" s="11">
        <v>118.9</v>
      </c>
      <c r="Q504" s="11">
        <v>108</v>
      </c>
      <c r="R504" s="11">
        <v>132.30000000000001</v>
      </c>
      <c r="S504" s="14">
        <v>141.80000000000001</v>
      </c>
      <c r="T504" s="11">
        <v>568.15</v>
      </c>
      <c r="U504" s="13" cm="1">
        <f t="array" ref="U504">IF(Table8[[#This Row],[I_0]]&lt;Table24[Flitro de Ruido],1,Table8[[#This Row],[I_10]]/Table8[[#This Row],[I_0]])</f>
        <v>1.2142857142857142</v>
      </c>
      <c r="V504" s="13" cm="1">
        <f t="array" ref="V504">IF(Table8[[#This Row],[I_0]]&lt;Table24[Flitro de Ruido],1,Table8[[#This Row],[I_20]]/Table8[[#This Row],[I_0]])</f>
        <v>1.3922716627634659</v>
      </c>
      <c r="W504" s="13" cm="1">
        <f t="array" ref="W504">IF(Table8[[#This Row],[I_0]]&lt;Table24[Flitro de Ruido],1,Table8[[#This Row],[I_30]]/Table8[[#This Row],[I_0]])</f>
        <v>1.2646370023419202</v>
      </c>
      <c r="X504" s="13" cm="1">
        <f t="array" ref="X504">IF(Table8[[#This Row],[I_0]]&lt;Table24[Flitro de Ruido],1,Table8[[#This Row],[I_40]]/Table8[[#This Row],[I_0]])</f>
        <v>1.5491803278688525</v>
      </c>
      <c r="Y504" s="13" cm="1">
        <f t="array" ref="Y504">IF(Table8[[#This Row],[I_0]]&lt;Table24[Flitro de Ruido],1,Table8[[#This Row],[I_50]]/Table8[[#This Row],[I_0]])</f>
        <v>1.6604215456674474</v>
      </c>
    </row>
    <row r="505" spans="1:25" x14ac:dyDescent="0.3">
      <c r="A505" s="13">
        <v>569.14</v>
      </c>
      <c r="B505" s="12">
        <v>83.3</v>
      </c>
      <c r="C505" s="11">
        <v>569.14</v>
      </c>
      <c r="D505" s="12">
        <v>101.4</v>
      </c>
      <c r="E505" s="11">
        <v>569.14</v>
      </c>
      <c r="F505" s="12">
        <v>116.5</v>
      </c>
      <c r="G505" s="11">
        <v>569.14</v>
      </c>
      <c r="H505" s="12">
        <v>105.8</v>
      </c>
      <c r="I505" s="11">
        <v>569.14</v>
      </c>
      <c r="J505" s="12">
        <v>129.69999999999999</v>
      </c>
      <c r="K505" s="11">
        <v>569.14</v>
      </c>
      <c r="L505" s="12">
        <v>139.1</v>
      </c>
      <c r="M505" s="11">
        <v>569.14</v>
      </c>
      <c r="N505" s="13">
        <v>83.3</v>
      </c>
      <c r="O505" s="11">
        <v>101.4</v>
      </c>
      <c r="P505" s="11">
        <v>116.5</v>
      </c>
      <c r="Q505" s="11">
        <v>105.8</v>
      </c>
      <c r="R505" s="11">
        <v>129.69999999999999</v>
      </c>
      <c r="S505" s="14">
        <v>139.1</v>
      </c>
      <c r="T505" s="11">
        <v>569.14</v>
      </c>
      <c r="U505" s="13" cm="1">
        <f t="array" ref="U505">IF(Table8[[#This Row],[I_0]]&lt;Table24[Flitro de Ruido],1,Table8[[#This Row],[I_10]]/Table8[[#This Row],[I_0]])</f>
        <v>1.2172869147659064</v>
      </c>
      <c r="V505" s="13" cm="1">
        <f t="array" ref="V505">IF(Table8[[#This Row],[I_0]]&lt;Table24[Flitro de Ruido],1,Table8[[#This Row],[I_20]]/Table8[[#This Row],[I_0]])</f>
        <v>1.3985594237695078</v>
      </c>
      <c r="W505" s="13" cm="1">
        <f t="array" ref="W505">IF(Table8[[#This Row],[I_0]]&lt;Table24[Flitro de Ruido],1,Table8[[#This Row],[I_30]]/Table8[[#This Row],[I_0]])</f>
        <v>1.2701080432172869</v>
      </c>
      <c r="X505" s="13" cm="1">
        <f t="array" ref="X505">IF(Table8[[#This Row],[I_0]]&lt;Table24[Flitro de Ruido],1,Table8[[#This Row],[I_40]]/Table8[[#This Row],[I_0]])</f>
        <v>1.5570228091236493</v>
      </c>
      <c r="Y505" s="13" cm="1">
        <f t="array" ref="Y505">IF(Table8[[#This Row],[I_0]]&lt;Table24[Flitro de Ruido],1,Table8[[#This Row],[I_50]]/Table8[[#This Row],[I_0]])</f>
        <v>1.6698679471788715</v>
      </c>
    </row>
    <row r="506" spans="1:25" x14ac:dyDescent="0.3">
      <c r="A506" s="13">
        <v>570.13</v>
      </c>
      <c r="B506" s="12">
        <v>81.3</v>
      </c>
      <c r="C506" s="11">
        <v>570.13</v>
      </c>
      <c r="D506" s="12">
        <v>99.1</v>
      </c>
      <c r="E506" s="11">
        <v>570.13</v>
      </c>
      <c r="F506" s="12">
        <v>114.1</v>
      </c>
      <c r="G506" s="11">
        <v>570.13</v>
      </c>
      <c r="H506" s="12">
        <v>103.6</v>
      </c>
      <c r="I506" s="11">
        <v>570.13</v>
      </c>
      <c r="J506" s="12">
        <v>127.2</v>
      </c>
      <c r="K506" s="11">
        <v>570.13</v>
      </c>
      <c r="L506" s="12">
        <v>136.6</v>
      </c>
      <c r="M506" s="11">
        <v>570.13</v>
      </c>
      <c r="N506" s="13">
        <v>81.3</v>
      </c>
      <c r="O506" s="11">
        <v>99.1</v>
      </c>
      <c r="P506" s="11">
        <v>114.1</v>
      </c>
      <c r="Q506" s="11">
        <v>103.6</v>
      </c>
      <c r="R506" s="11">
        <v>127.2</v>
      </c>
      <c r="S506" s="14">
        <v>136.6</v>
      </c>
      <c r="T506" s="11">
        <v>570.13</v>
      </c>
      <c r="U506" s="13" cm="1">
        <f t="array" ref="U506">IF(Table8[[#This Row],[I_0]]&lt;Table24[Flitro de Ruido],1,Table8[[#This Row],[I_10]]/Table8[[#This Row],[I_0]])</f>
        <v>1.2189421894218941</v>
      </c>
      <c r="V506" s="13" cm="1">
        <f t="array" ref="V506">IF(Table8[[#This Row],[I_0]]&lt;Table24[Flitro de Ruido],1,Table8[[#This Row],[I_20]]/Table8[[#This Row],[I_0]])</f>
        <v>1.4034440344403445</v>
      </c>
      <c r="W506" s="13" cm="1">
        <f t="array" ref="W506">IF(Table8[[#This Row],[I_0]]&lt;Table24[Flitro de Ruido],1,Table8[[#This Row],[I_30]]/Table8[[#This Row],[I_0]])</f>
        <v>1.2742927429274293</v>
      </c>
      <c r="X506" s="13" cm="1">
        <f t="array" ref="X506">IF(Table8[[#This Row],[I_0]]&lt;Table24[Flitro de Ruido],1,Table8[[#This Row],[I_40]]/Table8[[#This Row],[I_0]])</f>
        <v>1.5645756457564577</v>
      </c>
      <c r="Y506" s="13" cm="1">
        <f t="array" ref="Y506">IF(Table8[[#This Row],[I_0]]&lt;Table24[Flitro de Ruido],1,Table8[[#This Row],[I_50]]/Table8[[#This Row],[I_0]])</f>
        <v>1.6801968019680196</v>
      </c>
    </row>
    <row r="507" spans="1:25" x14ac:dyDescent="0.3">
      <c r="A507" s="13">
        <v>571.12</v>
      </c>
      <c r="B507" s="12">
        <v>79.400000000000006</v>
      </c>
      <c r="C507" s="11">
        <v>571.12</v>
      </c>
      <c r="D507" s="12">
        <v>97</v>
      </c>
      <c r="E507" s="11">
        <v>571.12</v>
      </c>
      <c r="F507" s="12">
        <v>111.9</v>
      </c>
      <c r="G507" s="11">
        <v>571.12</v>
      </c>
      <c r="H507" s="12">
        <v>101.5</v>
      </c>
      <c r="I507" s="11">
        <v>571.12</v>
      </c>
      <c r="J507" s="12">
        <v>125</v>
      </c>
      <c r="K507" s="11">
        <v>571.12</v>
      </c>
      <c r="L507" s="12">
        <v>134.19999999999999</v>
      </c>
      <c r="M507" s="11">
        <v>571.12</v>
      </c>
      <c r="N507" s="13">
        <v>79.400000000000006</v>
      </c>
      <c r="O507" s="11">
        <v>97</v>
      </c>
      <c r="P507" s="11">
        <v>111.9</v>
      </c>
      <c r="Q507" s="11">
        <v>101.5</v>
      </c>
      <c r="R507" s="11">
        <v>125</v>
      </c>
      <c r="S507" s="14">
        <v>134.19999999999999</v>
      </c>
      <c r="T507" s="11">
        <v>571.12</v>
      </c>
      <c r="U507" s="13" cm="1">
        <f t="array" ref="U507">IF(Table8[[#This Row],[I_0]]&lt;Table24[Flitro de Ruido],1,Table8[[#This Row],[I_10]]/Table8[[#This Row],[I_0]])</f>
        <v>1.2216624685138537</v>
      </c>
      <c r="V507" s="13" cm="1">
        <f t="array" ref="V507">IF(Table8[[#This Row],[I_0]]&lt;Table24[Flitro de Ruido],1,Table8[[#This Row],[I_20]]/Table8[[#This Row],[I_0]])</f>
        <v>1.4093198992443325</v>
      </c>
      <c r="W507" s="13" cm="1">
        <f t="array" ref="W507">IF(Table8[[#This Row],[I_0]]&lt;Table24[Flitro de Ruido],1,Table8[[#This Row],[I_30]]/Table8[[#This Row],[I_0]])</f>
        <v>1.278337531486146</v>
      </c>
      <c r="X507" s="13" cm="1">
        <f t="array" ref="X507">IF(Table8[[#This Row],[I_0]]&lt;Table24[Flitro de Ruido],1,Table8[[#This Row],[I_40]]/Table8[[#This Row],[I_0]])</f>
        <v>1.5743073047858942</v>
      </c>
      <c r="Y507" s="13" cm="1">
        <f t="array" ref="Y507">IF(Table8[[#This Row],[I_0]]&lt;Table24[Flitro de Ruido],1,Table8[[#This Row],[I_50]]/Table8[[#This Row],[I_0]])</f>
        <v>1.6901763224181356</v>
      </c>
    </row>
    <row r="508" spans="1:25" x14ac:dyDescent="0.3">
      <c r="A508" s="13">
        <v>572.11</v>
      </c>
      <c r="B508" s="12">
        <v>77.599999999999994</v>
      </c>
      <c r="C508" s="11">
        <v>572.11</v>
      </c>
      <c r="D508" s="12">
        <v>95.1</v>
      </c>
      <c r="E508" s="11">
        <v>572.11</v>
      </c>
      <c r="F508" s="12">
        <v>109.9</v>
      </c>
      <c r="G508" s="11">
        <v>572.11</v>
      </c>
      <c r="H508" s="12">
        <v>99.5</v>
      </c>
      <c r="I508" s="11">
        <v>572.11</v>
      </c>
      <c r="J508" s="12">
        <v>122.8</v>
      </c>
      <c r="K508" s="11">
        <v>572.11</v>
      </c>
      <c r="L508" s="12">
        <v>131.9</v>
      </c>
      <c r="M508" s="11">
        <v>572.11</v>
      </c>
      <c r="N508" s="13">
        <v>77.599999999999994</v>
      </c>
      <c r="O508" s="11">
        <v>95.1</v>
      </c>
      <c r="P508" s="11">
        <v>109.9</v>
      </c>
      <c r="Q508" s="11">
        <v>99.5</v>
      </c>
      <c r="R508" s="11">
        <v>122.8</v>
      </c>
      <c r="S508" s="14">
        <v>131.9</v>
      </c>
      <c r="T508" s="11">
        <v>572.11</v>
      </c>
      <c r="U508" s="13" cm="1">
        <f t="array" ref="U508">IF(Table8[[#This Row],[I_0]]&lt;Table24[Flitro de Ruido],1,Table8[[#This Row],[I_10]]/Table8[[#This Row],[I_0]])</f>
        <v>1.2255154639175259</v>
      </c>
      <c r="V508" s="13" cm="1">
        <f t="array" ref="V508">IF(Table8[[#This Row],[I_0]]&lt;Table24[Flitro de Ruido],1,Table8[[#This Row],[I_20]]/Table8[[#This Row],[I_0]])</f>
        <v>1.4162371134020619</v>
      </c>
      <c r="W508" s="13" cm="1">
        <f t="array" ref="W508">IF(Table8[[#This Row],[I_0]]&lt;Table24[Flitro de Ruido],1,Table8[[#This Row],[I_30]]/Table8[[#This Row],[I_0]])</f>
        <v>1.2822164948453609</v>
      </c>
      <c r="X508" s="13" cm="1">
        <f t="array" ref="X508">IF(Table8[[#This Row],[I_0]]&lt;Table24[Flitro de Ruido],1,Table8[[#This Row],[I_40]]/Table8[[#This Row],[I_0]])</f>
        <v>1.5824742268041239</v>
      </c>
      <c r="Y508" s="13" cm="1">
        <f t="array" ref="Y508">IF(Table8[[#This Row],[I_0]]&lt;Table24[Flitro de Ruido],1,Table8[[#This Row],[I_50]]/Table8[[#This Row],[I_0]])</f>
        <v>1.6997422680412373</v>
      </c>
    </row>
    <row r="509" spans="1:25" x14ac:dyDescent="0.3">
      <c r="A509" s="13">
        <v>573.11</v>
      </c>
      <c r="B509" s="12">
        <v>75.900000000000006</v>
      </c>
      <c r="C509" s="11">
        <v>573.11</v>
      </c>
      <c r="D509" s="12">
        <v>93.2</v>
      </c>
      <c r="E509" s="11">
        <v>573.11</v>
      </c>
      <c r="F509" s="12">
        <v>107.9</v>
      </c>
      <c r="G509" s="11">
        <v>573.11</v>
      </c>
      <c r="H509" s="12">
        <v>97.6</v>
      </c>
      <c r="I509" s="11">
        <v>573.11</v>
      </c>
      <c r="J509" s="12">
        <v>120.7</v>
      </c>
      <c r="K509" s="11">
        <v>573.11</v>
      </c>
      <c r="L509" s="12">
        <v>129.80000000000001</v>
      </c>
      <c r="M509" s="11">
        <v>573.11</v>
      </c>
      <c r="N509" s="13">
        <v>75.900000000000006</v>
      </c>
      <c r="O509" s="11">
        <v>93.2</v>
      </c>
      <c r="P509" s="11">
        <v>107.9</v>
      </c>
      <c r="Q509" s="11">
        <v>97.6</v>
      </c>
      <c r="R509" s="11">
        <v>120.7</v>
      </c>
      <c r="S509" s="14">
        <v>129.80000000000001</v>
      </c>
      <c r="T509" s="11">
        <v>573.11</v>
      </c>
      <c r="U509" s="13" cm="1">
        <f t="array" ref="U509">IF(Table8[[#This Row],[I_0]]&lt;Table24[Flitro de Ruido],1,Table8[[#This Row],[I_10]]/Table8[[#This Row],[I_0]])</f>
        <v>1.227931488801054</v>
      </c>
      <c r="V509" s="13" cm="1">
        <f t="array" ref="V509">IF(Table8[[#This Row],[I_0]]&lt;Table24[Flitro de Ruido],1,Table8[[#This Row],[I_20]]/Table8[[#This Row],[I_0]])</f>
        <v>1.4216073781291172</v>
      </c>
      <c r="W509" s="13" cm="1">
        <f t="array" ref="W509">IF(Table8[[#This Row],[I_0]]&lt;Table24[Flitro de Ruido],1,Table8[[#This Row],[I_30]]/Table8[[#This Row],[I_0]])</f>
        <v>1.2859025032938074</v>
      </c>
      <c r="X509" s="13" cm="1">
        <f t="array" ref="X509">IF(Table8[[#This Row],[I_0]]&lt;Table24[Flitro de Ruido],1,Table8[[#This Row],[I_40]]/Table8[[#This Row],[I_0]])</f>
        <v>1.5902503293807642</v>
      </c>
      <c r="Y509" s="13" cm="1">
        <f t="array" ref="Y509">IF(Table8[[#This Row],[I_0]]&lt;Table24[Flitro de Ruido],1,Table8[[#This Row],[I_50]]/Table8[[#This Row],[I_0]])</f>
        <v>1.7101449275362319</v>
      </c>
    </row>
    <row r="510" spans="1:25" x14ac:dyDescent="0.3">
      <c r="A510" s="13">
        <v>574.1</v>
      </c>
      <c r="B510" s="12">
        <v>74.3</v>
      </c>
      <c r="C510" s="11">
        <v>574.1</v>
      </c>
      <c r="D510" s="12">
        <v>91.4</v>
      </c>
      <c r="E510" s="11">
        <v>574.1</v>
      </c>
      <c r="F510" s="12">
        <v>106.1</v>
      </c>
      <c r="G510" s="11">
        <v>574.1</v>
      </c>
      <c r="H510" s="12">
        <v>95.9</v>
      </c>
      <c r="I510" s="11">
        <v>574.1</v>
      </c>
      <c r="J510" s="12">
        <v>118.8</v>
      </c>
      <c r="K510" s="11">
        <v>574.1</v>
      </c>
      <c r="L510" s="12">
        <v>127.8</v>
      </c>
      <c r="M510" s="11">
        <v>574.1</v>
      </c>
      <c r="N510" s="13">
        <v>74.3</v>
      </c>
      <c r="O510" s="11">
        <v>91.4</v>
      </c>
      <c r="P510" s="11">
        <v>106.1</v>
      </c>
      <c r="Q510" s="11">
        <v>95.9</v>
      </c>
      <c r="R510" s="11">
        <v>118.8</v>
      </c>
      <c r="S510" s="14">
        <v>127.8</v>
      </c>
      <c r="T510" s="11">
        <v>574.1</v>
      </c>
      <c r="U510" s="13" cm="1">
        <f t="array" ref="U510">IF(Table8[[#This Row],[I_0]]&lt;Table24[Flitro de Ruido],1,Table8[[#This Row],[I_10]]/Table8[[#This Row],[I_0]])</f>
        <v>1.2301480484522209</v>
      </c>
      <c r="V510" s="13" cm="1">
        <f t="array" ref="V510">IF(Table8[[#This Row],[I_0]]&lt;Table24[Flitro de Ruido],1,Table8[[#This Row],[I_20]]/Table8[[#This Row],[I_0]])</f>
        <v>1.4279946164199193</v>
      </c>
      <c r="W510" s="13" cm="1">
        <f t="array" ref="W510">IF(Table8[[#This Row],[I_0]]&lt;Table24[Flitro de Ruido],1,Table8[[#This Row],[I_30]]/Table8[[#This Row],[I_0]])</f>
        <v>1.2907133243607001</v>
      </c>
      <c r="X510" s="13" cm="1">
        <f t="array" ref="X510">IF(Table8[[#This Row],[I_0]]&lt;Table24[Flitro de Ruido],1,Table8[[#This Row],[I_40]]/Table8[[#This Row],[I_0]])</f>
        <v>1.5989232839838492</v>
      </c>
      <c r="Y510" s="13" cm="1">
        <f t="array" ref="Y510">IF(Table8[[#This Row],[I_0]]&lt;Table24[Flitro de Ruido],1,Table8[[#This Row],[I_50]]/Table8[[#This Row],[I_0]])</f>
        <v>1.7200538358008075</v>
      </c>
    </row>
    <row r="511" spans="1:25" x14ac:dyDescent="0.3">
      <c r="A511" s="13">
        <v>575.09</v>
      </c>
      <c r="B511" s="12">
        <v>72.7</v>
      </c>
      <c r="C511" s="11">
        <v>575.09</v>
      </c>
      <c r="D511" s="12">
        <v>89.8</v>
      </c>
      <c r="E511" s="11">
        <v>575.09</v>
      </c>
      <c r="F511" s="12">
        <v>104.5</v>
      </c>
      <c r="G511" s="11">
        <v>575.09</v>
      </c>
      <c r="H511" s="12">
        <v>94.3</v>
      </c>
      <c r="I511" s="11">
        <v>575.09</v>
      </c>
      <c r="J511" s="12">
        <v>117.1</v>
      </c>
      <c r="K511" s="11">
        <v>575.09</v>
      </c>
      <c r="L511" s="12">
        <v>126</v>
      </c>
      <c r="M511" s="11">
        <v>575.09</v>
      </c>
      <c r="N511" s="13">
        <v>72.7</v>
      </c>
      <c r="O511" s="11">
        <v>89.8</v>
      </c>
      <c r="P511" s="11">
        <v>104.5</v>
      </c>
      <c r="Q511" s="11">
        <v>94.3</v>
      </c>
      <c r="R511" s="11">
        <v>117.1</v>
      </c>
      <c r="S511" s="14">
        <v>126</v>
      </c>
      <c r="T511" s="11">
        <v>575.09</v>
      </c>
      <c r="U511" s="13" cm="1">
        <f t="array" ref="U511">IF(Table8[[#This Row],[I_0]]&lt;Table24[Flitro de Ruido],1,Table8[[#This Row],[I_10]]/Table8[[#This Row],[I_0]])</f>
        <v>1.2352132049518569</v>
      </c>
      <c r="V511" s="13" cm="1">
        <f t="array" ref="V511">IF(Table8[[#This Row],[I_0]]&lt;Table24[Flitro de Ruido],1,Table8[[#This Row],[I_20]]/Table8[[#This Row],[I_0]])</f>
        <v>1.4374140302613478</v>
      </c>
      <c r="W511" s="13" cm="1">
        <f t="array" ref="W511">IF(Table8[[#This Row],[I_0]]&lt;Table24[Flitro de Ruido],1,Table8[[#This Row],[I_30]]/Table8[[#This Row],[I_0]])</f>
        <v>1.2971114167812929</v>
      </c>
      <c r="X511" s="13" cm="1">
        <f t="array" ref="X511">IF(Table8[[#This Row],[I_0]]&lt;Table24[Flitro de Ruido],1,Table8[[#This Row],[I_40]]/Table8[[#This Row],[I_0]])</f>
        <v>1.6107290233837688</v>
      </c>
      <c r="Y511" s="13" cm="1">
        <f t="array" ref="Y511">IF(Table8[[#This Row],[I_0]]&lt;Table24[Flitro de Ruido],1,Table8[[#This Row],[I_50]]/Table8[[#This Row],[I_0]])</f>
        <v>1.7331499312242089</v>
      </c>
    </row>
    <row r="512" spans="1:25" x14ac:dyDescent="0.3">
      <c r="A512" s="13">
        <v>576.08000000000004</v>
      </c>
      <c r="B512" s="12">
        <v>71.400000000000006</v>
      </c>
      <c r="C512" s="11">
        <v>576.08000000000004</v>
      </c>
      <c r="D512" s="12">
        <v>88.4</v>
      </c>
      <c r="E512" s="11">
        <v>576.08000000000004</v>
      </c>
      <c r="F512" s="12">
        <v>103</v>
      </c>
      <c r="G512" s="11">
        <v>576.08000000000004</v>
      </c>
      <c r="H512" s="12">
        <v>92.9</v>
      </c>
      <c r="I512" s="11">
        <v>576.08000000000004</v>
      </c>
      <c r="J512" s="12">
        <v>115.7</v>
      </c>
      <c r="K512" s="11">
        <v>576.08000000000004</v>
      </c>
      <c r="L512" s="12">
        <v>124.4</v>
      </c>
      <c r="M512" s="11">
        <v>576.08000000000004</v>
      </c>
      <c r="N512" s="13">
        <v>71.400000000000006</v>
      </c>
      <c r="O512" s="11">
        <v>88.4</v>
      </c>
      <c r="P512" s="11">
        <v>103</v>
      </c>
      <c r="Q512" s="11">
        <v>92.9</v>
      </c>
      <c r="R512" s="11">
        <v>115.7</v>
      </c>
      <c r="S512" s="14">
        <v>124.4</v>
      </c>
      <c r="T512" s="11">
        <v>576.08000000000004</v>
      </c>
      <c r="U512" s="13" cm="1">
        <f t="array" ref="U512">IF(Table8[[#This Row],[I_0]]&lt;Table24[Flitro de Ruido],1,Table8[[#This Row],[I_10]]/Table8[[#This Row],[I_0]])</f>
        <v>1.2380952380952381</v>
      </c>
      <c r="V512" s="13" cm="1">
        <f t="array" ref="V512">IF(Table8[[#This Row],[I_0]]&lt;Table24[Flitro de Ruido],1,Table8[[#This Row],[I_20]]/Table8[[#This Row],[I_0]])</f>
        <v>1.4425770308123249</v>
      </c>
      <c r="W512" s="13" cm="1">
        <f t="array" ref="W512">IF(Table8[[#This Row],[I_0]]&lt;Table24[Flitro de Ruido],1,Table8[[#This Row],[I_30]]/Table8[[#This Row],[I_0]])</f>
        <v>1.3011204481792717</v>
      </c>
      <c r="X512" s="13" cm="1">
        <f t="array" ref="X512">IF(Table8[[#This Row],[I_0]]&lt;Table24[Flitro de Ruido],1,Table8[[#This Row],[I_40]]/Table8[[#This Row],[I_0]])</f>
        <v>1.6204481792717087</v>
      </c>
      <c r="Y512" s="13" cm="1">
        <f t="array" ref="Y512">IF(Table8[[#This Row],[I_0]]&lt;Table24[Flitro de Ruido],1,Table8[[#This Row],[I_50]]/Table8[[#This Row],[I_0]])</f>
        <v>1.742296918767507</v>
      </c>
    </row>
    <row r="513" spans="1:25" x14ac:dyDescent="0.3">
      <c r="A513" s="13">
        <v>577.07000000000005</v>
      </c>
      <c r="B513" s="12">
        <v>70.3</v>
      </c>
      <c r="C513" s="11">
        <v>577.07000000000005</v>
      </c>
      <c r="D513" s="12">
        <v>87.1</v>
      </c>
      <c r="E513" s="11">
        <v>577.07000000000005</v>
      </c>
      <c r="F513" s="12">
        <v>101.8</v>
      </c>
      <c r="G513" s="11">
        <v>577.07000000000005</v>
      </c>
      <c r="H513" s="12">
        <v>91.7</v>
      </c>
      <c r="I513" s="11">
        <v>577.07000000000005</v>
      </c>
      <c r="J513" s="12">
        <v>114.5</v>
      </c>
      <c r="K513" s="11">
        <v>577.07000000000005</v>
      </c>
      <c r="L513" s="12">
        <v>123.2</v>
      </c>
      <c r="M513" s="11">
        <v>577.07000000000005</v>
      </c>
      <c r="N513" s="13">
        <v>70.3</v>
      </c>
      <c r="O513" s="11">
        <v>87.1</v>
      </c>
      <c r="P513" s="11">
        <v>101.8</v>
      </c>
      <c r="Q513" s="11">
        <v>91.7</v>
      </c>
      <c r="R513" s="11">
        <v>114.5</v>
      </c>
      <c r="S513" s="14">
        <v>123.2</v>
      </c>
      <c r="T513" s="11">
        <v>577.07000000000005</v>
      </c>
      <c r="U513" s="13" cm="1">
        <f t="array" ref="U513">IF(Table8[[#This Row],[I_0]]&lt;Table24[Flitro de Ruido],1,Table8[[#This Row],[I_10]]/Table8[[#This Row],[I_0]])</f>
        <v>1.2389758179231862</v>
      </c>
      <c r="V513" s="13" cm="1">
        <f t="array" ref="V513">IF(Table8[[#This Row],[I_0]]&lt;Table24[Flitro de Ruido],1,Table8[[#This Row],[I_20]]/Table8[[#This Row],[I_0]])</f>
        <v>1.4480796586059743</v>
      </c>
      <c r="W513" s="13" cm="1">
        <f t="array" ref="W513">IF(Table8[[#This Row],[I_0]]&lt;Table24[Flitro de Ruido],1,Table8[[#This Row],[I_30]]/Table8[[#This Row],[I_0]])</f>
        <v>1.3044096728307255</v>
      </c>
      <c r="X513" s="13" cm="1">
        <f t="array" ref="X513">IF(Table8[[#This Row],[I_0]]&lt;Table24[Flitro de Ruido],1,Table8[[#This Row],[I_40]]/Table8[[#This Row],[I_0]])</f>
        <v>1.6287339971550499</v>
      </c>
      <c r="Y513" s="13" cm="1">
        <f t="array" ref="Y513">IF(Table8[[#This Row],[I_0]]&lt;Table24[Flitro de Ruido],1,Table8[[#This Row],[I_50]]/Table8[[#This Row],[I_0]])</f>
        <v>1.7524893314367</v>
      </c>
    </row>
    <row r="514" spans="1:25" x14ac:dyDescent="0.3">
      <c r="A514" s="13">
        <v>578.05999999999995</v>
      </c>
      <c r="B514" s="12">
        <v>69.400000000000006</v>
      </c>
      <c r="C514" s="11">
        <v>578.05999999999995</v>
      </c>
      <c r="D514" s="12">
        <v>86.2</v>
      </c>
      <c r="E514" s="11">
        <v>578.05999999999995</v>
      </c>
      <c r="F514" s="12">
        <v>100.9</v>
      </c>
      <c r="G514" s="11">
        <v>578.05999999999995</v>
      </c>
      <c r="H514" s="12">
        <v>90.8</v>
      </c>
      <c r="I514" s="11">
        <v>578.05999999999995</v>
      </c>
      <c r="J514" s="12">
        <v>113.7</v>
      </c>
      <c r="K514" s="11">
        <v>578.05999999999995</v>
      </c>
      <c r="L514" s="12">
        <v>122.4</v>
      </c>
      <c r="M514" s="11">
        <v>578.05999999999995</v>
      </c>
      <c r="N514" s="13">
        <v>69.400000000000006</v>
      </c>
      <c r="O514" s="11">
        <v>86.2</v>
      </c>
      <c r="P514" s="11">
        <v>100.9</v>
      </c>
      <c r="Q514" s="11">
        <v>90.8</v>
      </c>
      <c r="R514" s="11">
        <v>113.7</v>
      </c>
      <c r="S514" s="14">
        <v>122.4</v>
      </c>
      <c r="T514" s="11">
        <v>578.05999999999995</v>
      </c>
      <c r="U514" s="13" cm="1">
        <f t="array" ref="U514">IF(Table8[[#This Row],[I_0]]&lt;Table24[Flitro de Ruido],1,Table8[[#This Row],[I_10]]/Table8[[#This Row],[I_0]])</f>
        <v>1.2420749279538905</v>
      </c>
      <c r="V514" s="13" cm="1">
        <f t="array" ref="V514">IF(Table8[[#This Row],[I_0]]&lt;Table24[Flitro de Ruido],1,Table8[[#This Row],[I_20]]/Table8[[#This Row],[I_0]])</f>
        <v>1.4538904899135445</v>
      </c>
      <c r="W514" s="13" cm="1">
        <f t="array" ref="W514">IF(Table8[[#This Row],[I_0]]&lt;Table24[Flitro de Ruido],1,Table8[[#This Row],[I_30]]/Table8[[#This Row],[I_0]])</f>
        <v>1.3083573487031699</v>
      </c>
      <c r="X514" s="13" cm="1">
        <f t="array" ref="X514">IF(Table8[[#This Row],[I_0]]&lt;Table24[Flitro de Ruido],1,Table8[[#This Row],[I_40]]/Table8[[#This Row],[I_0]])</f>
        <v>1.638328530259366</v>
      </c>
      <c r="Y514" s="13" cm="1">
        <f t="array" ref="Y514">IF(Table8[[#This Row],[I_0]]&lt;Table24[Flitro de Ruido],1,Table8[[#This Row],[I_50]]/Table8[[#This Row],[I_0]])</f>
        <v>1.7636887608069163</v>
      </c>
    </row>
    <row r="515" spans="1:25" x14ac:dyDescent="0.3">
      <c r="A515" s="13">
        <v>579.05999999999995</v>
      </c>
      <c r="B515" s="12">
        <v>68.8</v>
      </c>
      <c r="C515" s="11">
        <v>579.05999999999995</v>
      </c>
      <c r="D515" s="12">
        <v>85.7</v>
      </c>
      <c r="E515" s="11">
        <v>579.05999999999995</v>
      </c>
      <c r="F515" s="12">
        <v>100.5</v>
      </c>
      <c r="G515" s="11">
        <v>579.05999999999995</v>
      </c>
      <c r="H515" s="12">
        <v>90.4</v>
      </c>
      <c r="I515" s="11">
        <v>579.05999999999995</v>
      </c>
      <c r="J515" s="12">
        <v>113.5</v>
      </c>
      <c r="K515" s="11">
        <v>579.05999999999995</v>
      </c>
      <c r="L515" s="12">
        <v>122.2</v>
      </c>
      <c r="M515" s="11">
        <v>579.05999999999995</v>
      </c>
      <c r="N515" s="13">
        <v>68.8</v>
      </c>
      <c r="O515" s="11">
        <v>85.7</v>
      </c>
      <c r="P515" s="11">
        <v>100.5</v>
      </c>
      <c r="Q515" s="11">
        <v>90.4</v>
      </c>
      <c r="R515" s="11">
        <v>113.5</v>
      </c>
      <c r="S515" s="14">
        <v>122.2</v>
      </c>
      <c r="T515" s="11">
        <v>579.05999999999995</v>
      </c>
      <c r="U515" s="13" cm="1">
        <f t="array" ref="U515">IF(Table8[[#This Row],[I_0]]&lt;Table24[Flitro de Ruido],1,Table8[[#This Row],[I_10]]/Table8[[#This Row],[I_0]])</f>
        <v>1.245639534883721</v>
      </c>
      <c r="V515" s="13" cm="1">
        <f t="array" ref="V515">IF(Table8[[#This Row],[I_0]]&lt;Table24[Flitro de Ruido],1,Table8[[#This Row],[I_20]]/Table8[[#This Row],[I_0]])</f>
        <v>1.4607558139534884</v>
      </c>
      <c r="W515" s="13" cm="1">
        <f t="array" ref="W515">IF(Table8[[#This Row],[I_0]]&lt;Table24[Flitro de Ruido],1,Table8[[#This Row],[I_30]]/Table8[[#This Row],[I_0]])</f>
        <v>1.3139534883720931</v>
      </c>
      <c r="X515" s="13" cm="1">
        <f t="array" ref="X515">IF(Table8[[#This Row],[I_0]]&lt;Table24[Flitro de Ruido],1,Table8[[#This Row],[I_40]]/Table8[[#This Row],[I_0]])</f>
        <v>1.6497093023255816</v>
      </c>
      <c r="Y515" s="13" cm="1">
        <f t="array" ref="Y515">IF(Table8[[#This Row],[I_0]]&lt;Table24[Flitro de Ruido],1,Table8[[#This Row],[I_50]]/Table8[[#This Row],[I_0]])</f>
        <v>1.7761627906976745</v>
      </c>
    </row>
    <row r="516" spans="1:25" x14ac:dyDescent="0.3">
      <c r="A516" s="13">
        <v>580.04999999999995</v>
      </c>
      <c r="B516" s="12">
        <v>68.7</v>
      </c>
      <c r="C516" s="11">
        <v>580.04999999999995</v>
      </c>
      <c r="D516" s="12">
        <v>85.7</v>
      </c>
      <c r="E516" s="11">
        <v>580.04999999999995</v>
      </c>
      <c r="F516" s="12">
        <v>100.6</v>
      </c>
      <c r="G516" s="11">
        <v>580.04999999999995</v>
      </c>
      <c r="H516" s="12">
        <v>90.6</v>
      </c>
      <c r="I516" s="11">
        <v>580.04999999999995</v>
      </c>
      <c r="J516" s="12">
        <v>113.8</v>
      </c>
      <c r="K516" s="11">
        <v>580.04999999999995</v>
      </c>
      <c r="L516" s="12">
        <v>122.5</v>
      </c>
      <c r="M516" s="11">
        <v>580.04999999999995</v>
      </c>
      <c r="N516" s="13">
        <v>68.7</v>
      </c>
      <c r="O516" s="11">
        <v>85.7</v>
      </c>
      <c r="P516" s="11">
        <v>100.6</v>
      </c>
      <c r="Q516" s="11">
        <v>90.6</v>
      </c>
      <c r="R516" s="11">
        <v>113.8</v>
      </c>
      <c r="S516" s="14">
        <v>122.5</v>
      </c>
      <c r="T516" s="11">
        <v>580.04999999999995</v>
      </c>
      <c r="U516" s="13" cm="1">
        <f t="array" ref="U516">IF(Table8[[#This Row],[I_0]]&lt;Table24[Flitro de Ruido],1,Table8[[#This Row],[I_10]]/Table8[[#This Row],[I_0]])</f>
        <v>1.24745269286754</v>
      </c>
      <c r="V516" s="13" cm="1">
        <f t="array" ref="V516">IF(Table8[[#This Row],[I_0]]&lt;Table24[Flitro de Ruido],1,Table8[[#This Row],[I_20]]/Table8[[#This Row],[I_0]])</f>
        <v>1.4643377001455602</v>
      </c>
      <c r="W516" s="13" cm="1">
        <f t="array" ref="W516">IF(Table8[[#This Row],[I_0]]&lt;Table24[Flitro de Ruido],1,Table8[[#This Row],[I_30]]/Table8[[#This Row],[I_0]])</f>
        <v>1.3187772925764192</v>
      </c>
      <c r="X516" s="13" cm="1">
        <f t="array" ref="X516">IF(Table8[[#This Row],[I_0]]&lt;Table24[Flitro de Ruido],1,Table8[[#This Row],[I_40]]/Table8[[#This Row],[I_0]])</f>
        <v>1.6564774381368266</v>
      </c>
      <c r="Y516" s="13" cm="1">
        <f t="array" ref="Y516">IF(Table8[[#This Row],[I_0]]&lt;Table24[Flitro de Ruido],1,Table8[[#This Row],[I_50]]/Table8[[#This Row],[I_0]])</f>
        <v>1.7831149927219796</v>
      </c>
    </row>
    <row r="517" spans="1:25" x14ac:dyDescent="0.3">
      <c r="A517" s="13">
        <v>581.04</v>
      </c>
      <c r="B517" s="12">
        <v>69</v>
      </c>
      <c r="C517" s="11">
        <v>581.04</v>
      </c>
      <c r="D517" s="12">
        <v>86.2</v>
      </c>
      <c r="E517" s="11">
        <v>581.04</v>
      </c>
      <c r="F517" s="12">
        <v>101.2</v>
      </c>
      <c r="G517" s="11">
        <v>581.04</v>
      </c>
      <c r="H517" s="12">
        <v>91.1</v>
      </c>
      <c r="I517" s="11">
        <v>581.04</v>
      </c>
      <c r="J517" s="12">
        <v>114.7</v>
      </c>
      <c r="K517" s="11">
        <v>581.04</v>
      </c>
      <c r="L517" s="12">
        <v>123.5</v>
      </c>
      <c r="M517" s="11">
        <v>581.04</v>
      </c>
      <c r="N517" s="13">
        <v>69</v>
      </c>
      <c r="O517" s="11">
        <v>86.2</v>
      </c>
      <c r="P517" s="11">
        <v>101.2</v>
      </c>
      <c r="Q517" s="11">
        <v>91.1</v>
      </c>
      <c r="R517" s="11">
        <v>114.7</v>
      </c>
      <c r="S517" s="14">
        <v>123.5</v>
      </c>
      <c r="T517" s="11">
        <v>581.04</v>
      </c>
      <c r="U517" s="13" cm="1">
        <f t="array" ref="U517">IF(Table8[[#This Row],[I_0]]&lt;Table24[Flitro de Ruido],1,Table8[[#This Row],[I_10]]/Table8[[#This Row],[I_0]])</f>
        <v>1.2492753623188406</v>
      </c>
      <c r="V517" s="13" cm="1">
        <f t="array" ref="V517">IF(Table8[[#This Row],[I_0]]&lt;Table24[Flitro de Ruido],1,Table8[[#This Row],[I_20]]/Table8[[#This Row],[I_0]])</f>
        <v>1.4666666666666668</v>
      </c>
      <c r="W517" s="13" cm="1">
        <f t="array" ref="W517">IF(Table8[[#This Row],[I_0]]&lt;Table24[Flitro de Ruido],1,Table8[[#This Row],[I_30]]/Table8[[#This Row],[I_0]])</f>
        <v>1.3202898550724638</v>
      </c>
      <c r="X517" s="13" cm="1">
        <f t="array" ref="X517">IF(Table8[[#This Row],[I_0]]&lt;Table24[Flitro de Ruido],1,Table8[[#This Row],[I_40]]/Table8[[#This Row],[I_0]])</f>
        <v>1.6623188405797102</v>
      </c>
      <c r="Y517" s="13" cm="1">
        <f t="array" ref="Y517">IF(Table8[[#This Row],[I_0]]&lt;Table24[Flitro de Ruido],1,Table8[[#This Row],[I_50]]/Table8[[#This Row],[I_0]])</f>
        <v>1.7898550724637681</v>
      </c>
    </row>
    <row r="518" spans="1:25" x14ac:dyDescent="0.3">
      <c r="A518" s="13">
        <v>582.03</v>
      </c>
      <c r="B518" s="12">
        <v>69.7</v>
      </c>
      <c r="C518" s="11">
        <v>582.03</v>
      </c>
      <c r="D518" s="12">
        <v>87.2</v>
      </c>
      <c r="E518" s="11">
        <v>582.03</v>
      </c>
      <c r="F518" s="12">
        <v>102.5</v>
      </c>
      <c r="G518" s="11">
        <v>582.03</v>
      </c>
      <c r="H518" s="12">
        <v>92.3</v>
      </c>
      <c r="I518" s="11">
        <v>582.03</v>
      </c>
      <c r="J518" s="12">
        <v>116.3</v>
      </c>
      <c r="K518" s="11">
        <v>582.03</v>
      </c>
      <c r="L518" s="12">
        <v>125.3</v>
      </c>
      <c r="M518" s="11">
        <v>582.03</v>
      </c>
      <c r="N518" s="13">
        <v>69.7</v>
      </c>
      <c r="O518" s="11">
        <v>87.2</v>
      </c>
      <c r="P518" s="11">
        <v>102.5</v>
      </c>
      <c r="Q518" s="11">
        <v>92.3</v>
      </c>
      <c r="R518" s="11">
        <v>116.3</v>
      </c>
      <c r="S518" s="14">
        <v>125.3</v>
      </c>
      <c r="T518" s="11">
        <v>582.03</v>
      </c>
      <c r="U518" s="13" cm="1">
        <f t="array" ref="U518">IF(Table8[[#This Row],[I_0]]&lt;Table24[Flitro de Ruido],1,Table8[[#This Row],[I_10]]/Table8[[#This Row],[I_0]])</f>
        <v>1.2510760401721663</v>
      </c>
      <c r="V518" s="13" cm="1">
        <f t="array" ref="V518">IF(Table8[[#This Row],[I_0]]&lt;Table24[Flitro de Ruido],1,Table8[[#This Row],[I_20]]/Table8[[#This Row],[I_0]])</f>
        <v>1.4705882352941175</v>
      </c>
      <c r="W518" s="13" cm="1">
        <f t="array" ref="W518">IF(Table8[[#This Row],[I_0]]&lt;Table24[Flitro de Ruido],1,Table8[[#This Row],[I_30]]/Table8[[#This Row],[I_0]])</f>
        <v>1.3242467718794835</v>
      </c>
      <c r="X518" s="13" cm="1">
        <f t="array" ref="X518">IF(Table8[[#This Row],[I_0]]&lt;Table24[Flitro de Ruido],1,Table8[[#This Row],[I_40]]/Table8[[#This Row],[I_0]])</f>
        <v>1.6685796269727402</v>
      </c>
      <c r="Y518" s="13" cm="1">
        <f t="array" ref="Y518">IF(Table8[[#This Row],[I_0]]&lt;Table24[Flitro de Ruido],1,Table8[[#This Row],[I_50]]/Table8[[#This Row],[I_0]])</f>
        <v>1.7977044476327115</v>
      </c>
    </row>
    <row r="519" spans="1:25" x14ac:dyDescent="0.3">
      <c r="A519" s="13">
        <v>583.02</v>
      </c>
      <c r="B519" s="12">
        <v>70.900000000000006</v>
      </c>
      <c r="C519" s="11">
        <v>583.02</v>
      </c>
      <c r="D519" s="12">
        <v>88.7</v>
      </c>
      <c r="E519" s="11">
        <v>583.02</v>
      </c>
      <c r="F519" s="12">
        <v>104.2</v>
      </c>
      <c r="G519" s="11">
        <v>583.02</v>
      </c>
      <c r="H519" s="12">
        <v>94.1</v>
      </c>
      <c r="I519" s="11">
        <v>583.02</v>
      </c>
      <c r="J519" s="12">
        <v>118.5</v>
      </c>
      <c r="K519" s="11">
        <v>583.02</v>
      </c>
      <c r="L519" s="12">
        <v>127.6</v>
      </c>
      <c r="M519" s="11">
        <v>583.02</v>
      </c>
      <c r="N519" s="13">
        <v>70.900000000000006</v>
      </c>
      <c r="O519" s="11">
        <v>88.7</v>
      </c>
      <c r="P519" s="11">
        <v>104.2</v>
      </c>
      <c r="Q519" s="11">
        <v>94.1</v>
      </c>
      <c r="R519" s="11">
        <v>118.5</v>
      </c>
      <c r="S519" s="14">
        <v>127.6</v>
      </c>
      <c r="T519" s="11">
        <v>583.02</v>
      </c>
      <c r="U519" s="13" cm="1">
        <f t="array" ref="U519">IF(Table8[[#This Row],[I_0]]&lt;Table24[Flitro de Ruido],1,Table8[[#This Row],[I_10]]/Table8[[#This Row],[I_0]])</f>
        <v>1.2510578279266571</v>
      </c>
      <c r="V519" s="13" cm="1">
        <f t="array" ref="V519">IF(Table8[[#This Row],[I_0]]&lt;Table24[Flitro de Ruido],1,Table8[[#This Row],[I_20]]/Table8[[#This Row],[I_0]])</f>
        <v>1.469675599435825</v>
      </c>
      <c r="W519" s="13" cm="1">
        <f t="array" ref="W519">IF(Table8[[#This Row],[I_0]]&lt;Table24[Flitro de Ruido],1,Table8[[#This Row],[I_30]]/Table8[[#This Row],[I_0]])</f>
        <v>1.32722143864598</v>
      </c>
      <c r="X519" s="13" cm="1">
        <f t="array" ref="X519">IF(Table8[[#This Row],[I_0]]&lt;Table24[Flitro de Ruido],1,Table8[[#This Row],[I_40]]/Table8[[#This Row],[I_0]])</f>
        <v>1.6713681241184766</v>
      </c>
      <c r="Y519" s="13" cm="1">
        <f t="array" ref="Y519">IF(Table8[[#This Row],[I_0]]&lt;Table24[Flitro de Ruido],1,Table8[[#This Row],[I_50]]/Table8[[#This Row],[I_0]])</f>
        <v>1.7997179125528913</v>
      </c>
    </row>
    <row r="520" spans="1:25" x14ac:dyDescent="0.3">
      <c r="A520" s="13">
        <v>584.01</v>
      </c>
      <c r="B520" s="12">
        <v>72.400000000000006</v>
      </c>
      <c r="C520" s="11">
        <v>584.01</v>
      </c>
      <c r="D520" s="12">
        <v>90.7</v>
      </c>
      <c r="E520" s="11">
        <v>584.01</v>
      </c>
      <c r="F520" s="12">
        <v>106.4</v>
      </c>
      <c r="G520" s="11">
        <v>584.01</v>
      </c>
      <c r="H520" s="12">
        <v>96.3</v>
      </c>
      <c r="I520" s="11">
        <v>584.01</v>
      </c>
      <c r="J520" s="12">
        <v>121.3</v>
      </c>
      <c r="K520" s="11">
        <v>584.01</v>
      </c>
      <c r="L520" s="12">
        <v>130.6</v>
      </c>
      <c r="M520" s="11">
        <v>584.01</v>
      </c>
      <c r="N520" s="13">
        <v>72.400000000000006</v>
      </c>
      <c r="O520" s="11">
        <v>90.7</v>
      </c>
      <c r="P520" s="11">
        <v>106.4</v>
      </c>
      <c r="Q520" s="11">
        <v>96.3</v>
      </c>
      <c r="R520" s="11">
        <v>121.3</v>
      </c>
      <c r="S520" s="14">
        <v>130.6</v>
      </c>
      <c r="T520" s="11">
        <v>584.01</v>
      </c>
      <c r="U520" s="13" cm="1">
        <f t="array" ref="U520">IF(Table8[[#This Row],[I_0]]&lt;Table24[Flitro de Ruido],1,Table8[[#This Row],[I_10]]/Table8[[#This Row],[I_0]])</f>
        <v>1.2527624309392265</v>
      </c>
      <c r="V520" s="13" cm="1">
        <f t="array" ref="V520">IF(Table8[[#This Row],[I_0]]&lt;Table24[Flitro de Ruido],1,Table8[[#This Row],[I_20]]/Table8[[#This Row],[I_0]])</f>
        <v>1.4696132596685083</v>
      </c>
      <c r="W520" s="13" cm="1">
        <f t="array" ref="W520">IF(Table8[[#This Row],[I_0]]&lt;Table24[Flitro de Ruido],1,Table8[[#This Row],[I_30]]/Table8[[#This Row],[I_0]])</f>
        <v>1.330110497237569</v>
      </c>
      <c r="X520" s="13" cm="1">
        <f t="array" ref="X520">IF(Table8[[#This Row],[I_0]]&lt;Table24[Flitro de Ruido],1,Table8[[#This Row],[I_40]]/Table8[[#This Row],[I_0]])</f>
        <v>1.6754143646408839</v>
      </c>
      <c r="Y520" s="13" cm="1">
        <f t="array" ref="Y520">IF(Table8[[#This Row],[I_0]]&lt;Table24[Flitro de Ruido],1,Table8[[#This Row],[I_50]]/Table8[[#This Row],[I_0]])</f>
        <v>1.8038674033149169</v>
      </c>
    </row>
    <row r="521" spans="1:25" x14ac:dyDescent="0.3">
      <c r="A521" s="13">
        <v>585.01</v>
      </c>
      <c r="B521" s="12">
        <v>74.400000000000006</v>
      </c>
      <c r="C521" s="11">
        <v>585.01</v>
      </c>
      <c r="D521" s="12">
        <v>93</v>
      </c>
      <c r="E521" s="11">
        <v>585.01</v>
      </c>
      <c r="F521" s="12">
        <v>109</v>
      </c>
      <c r="G521" s="11">
        <v>585.01</v>
      </c>
      <c r="H521" s="12">
        <v>98.9</v>
      </c>
      <c r="I521" s="11">
        <v>585.01</v>
      </c>
      <c r="J521" s="12">
        <v>124.4</v>
      </c>
      <c r="K521" s="11">
        <v>585.01</v>
      </c>
      <c r="L521" s="12">
        <v>134</v>
      </c>
      <c r="M521" s="11">
        <v>585.01</v>
      </c>
      <c r="N521" s="13">
        <v>74.400000000000006</v>
      </c>
      <c r="O521" s="11">
        <v>93</v>
      </c>
      <c r="P521" s="11">
        <v>109</v>
      </c>
      <c r="Q521" s="11">
        <v>98.9</v>
      </c>
      <c r="R521" s="11">
        <v>124.4</v>
      </c>
      <c r="S521" s="14">
        <v>134</v>
      </c>
      <c r="T521" s="11">
        <v>585.01</v>
      </c>
      <c r="U521" s="13" cm="1">
        <f t="array" ref="U521">IF(Table8[[#This Row],[I_0]]&lt;Table24[Flitro de Ruido],1,Table8[[#This Row],[I_10]]/Table8[[#This Row],[I_0]])</f>
        <v>1.25</v>
      </c>
      <c r="V521" s="13" cm="1">
        <f t="array" ref="V521">IF(Table8[[#This Row],[I_0]]&lt;Table24[Flitro de Ruido],1,Table8[[#This Row],[I_20]]/Table8[[#This Row],[I_0]])</f>
        <v>1.46505376344086</v>
      </c>
      <c r="W521" s="13" cm="1">
        <f t="array" ref="W521">IF(Table8[[#This Row],[I_0]]&lt;Table24[Flitro de Ruido],1,Table8[[#This Row],[I_30]]/Table8[[#This Row],[I_0]])</f>
        <v>1.3293010752688172</v>
      </c>
      <c r="X521" s="13" cm="1">
        <f t="array" ref="X521">IF(Table8[[#This Row],[I_0]]&lt;Table24[Flitro de Ruido],1,Table8[[#This Row],[I_40]]/Table8[[#This Row],[I_0]])</f>
        <v>1.672043010752688</v>
      </c>
      <c r="Y521" s="13" cm="1">
        <f t="array" ref="Y521">IF(Table8[[#This Row],[I_0]]&lt;Table24[Flitro de Ruido],1,Table8[[#This Row],[I_50]]/Table8[[#This Row],[I_0]])</f>
        <v>1.8010752688172043</v>
      </c>
    </row>
    <row r="522" spans="1:25" x14ac:dyDescent="0.3">
      <c r="A522" s="13">
        <v>586</v>
      </c>
      <c r="B522" s="12">
        <v>76.599999999999994</v>
      </c>
      <c r="C522" s="11">
        <v>586</v>
      </c>
      <c r="D522" s="12">
        <v>95.6</v>
      </c>
      <c r="E522" s="11">
        <v>586</v>
      </c>
      <c r="F522" s="12">
        <v>111.9</v>
      </c>
      <c r="G522" s="11">
        <v>586</v>
      </c>
      <c r="H522" s="12">
        <v>101.8</v>
      </c>
      <c r="I522" s="11">
        <v>586</v>
      </c>
      <c r="J522" s="12">
        <v>128</v>
      </c>
      <c r="K522" s="11">
        <v>586</v>
      </c>
      <c r="L522" s="12">
        <v>137.9</v>
      </c>
      <c r="M522" s="11">
        <v>586</v>
      </c>
      <c r="N522" s="13">
        <v>76.599999999999994</v>
      </c>
      <c r="O522" s="11">
        <v>95.6</v>
      </c>
      <c r="P522" s="11">
        <v>111.9</v>
      </c>
      <c r="Q522" s="11">
        <v>101.8</v>
      </c>
      <c r="R522" s="11">
        <v>128</v>
      </c>
      <c r="S522" s="14">
        <v>137.9</v>
      </c>
      <c r="T522" s="11">
        <v>586</v>
      </c>
      <c r="U522" s="13" cm="1">
        <f t="array" ref="U522">IF(Table8[[#This Row],[I_0]]&lt;Table24[Flitro de Ruido],1,Table8[[#This Row],[I_10]]/Table8[[#This Row],[I_0]])</f>
        <v>1.2480417754569191</v>
      </c>
      <c r="V522" s="13" cm="1">
        <f t="array" ref="V522">IF(Table8[[#This Row],[I_0]]&lt;Table24[Flitro de Ruido],1,Table8[[#This Row],[I_20]]/Table8[[#This Row],[I_0]])</f>
        <v>1.4608355091383813</v>
      </c>
      <c r="W522" s="13" cm="1">
        <f t="array" ref="W522">IF(Table8[[#This Row],[I_0]]&lt;Table24[Flitro de Ruido],1,Table8[[#This Row],[I_30]]/Table8[[#This Row],[I_0]])</f>
        <v>1.328981723237598</v>
      </c>
      <c r="X522" s="13" cm="1">
        <f t="array" ref="X522">IF(Table8[[#This Row],[I_0]]&lt;Table24[Flitro de Ruido],1,Table8[[#This Row],[I_40]]/Table8[[#This Row],[I_0]])</f>
        <v>1.6710182767624022</v>
      </c>
      <c r="Y522" s="13" cm="1">
        <f t="array" ref="Y522">IF(Table8[[#This Row],[I_0]]&lt;Table24[Flitro de Ruido],1,Table8[[#This Row],[I_50]]/Table8[[#This Row],[I_0]])</f>
        <v>1.8002610966057444</v>
      </c>
    </row>
    <row r="523" spans="1:25" x14ac:dyDescent="0.3">
      <c r="A523" s="13">
        <v>586.99</v>
      </c>
      <c r="B523" s="12">
        <v>78.900000000000006</v>
      </c>
      <c r="C523" s="11">
        <v>586.99</v>
      </c>
      <c r="D523" s="12">
        <v>98.3</v>
      </c>
      <c r="E523" s="11">
        <v>586.99</v>
      </c>
      <c r="F523" s="12">
        <v>114.9</v>
      </c>
      <c r="G523" s="11">
        <v>586.99</v>
      </c>
      <c r="H523" s="12">
        <v>104.8</v>
      </c>
      <c r="I523" s="11">
        <v>586.99</v>
      </c>
      <c r="J523" s="12">
        <v>131.6</v>
      </c>
      <c r="K523" s="11">
        <v>586.99</v>
      </c>
      <c r="L523" s="12">
        <v>141.80000000000001</v>
      </c>
      <c r="M523" s="11">
        <v>586.99</v>
      </c>
      <c r="N523" s="13">
        <v>78.900000000000006</v>
      </c>
      <c r="O523" s="11">
        <v>98.3</v>
      </c>
      <c r="P523" s="11">
        <v>114.9</v>
      </c>
      <c r="Q523" s="11">
        <v>104.8</v>
      </c>
      <c r="R523" s="11">
        <v>131.6</v>
      </c>
      <c r="S523" s="14">
        <v>141.80000000000001</v>
      </c>
      <c r="T523" s="11">
        <v>586.99</v>
      </c>
      <c r="U523" s="13" cm="1">
        <f t="array" ref="U523">IF(Table8[[#This Row],[I_0]]&lt;Table24[Flitro de Ruido],1,Table8[[#This Row],[I_10]]/Table8[[#This Row],[I_0]])</f>
        <v>1.2458808618504436</v>
      </c>
      <c r="V523" s="13" cm="1">
        <f t="array" ref="V523">IF(Table8[[#This Row],[I_0]]&lt;Table24[Flitro de Ruido],1,Table8[[#This Row],[I_20]]/Table8[[#This Row],[I_0]])</f>
        <v>1.456273764258555</v>
      </c>
      <c r="W523" s="13" cm="1">
        <f t="array" ref="W523">IF(Table8[[#This Row],[I_0]]&lt;Table24[Flitro de Ruido],1,Table8[[#This Row],[I_30]]/Table8[[#This Row],[I_0]])</f>
        <v>1.3282636248415716</v>
      </c>
      <c r="X523" s="13" cm="1">
        <f t="array" ref="X523">IF(Table8[[#This Row],[I_0]]&lt;Table24[Flitro de Ruido],1,Table8[[#This Row],[I_40]]/Table8[[#This Row],[I_0]])</f>
        <v>1.667934093789607</v>
      </c>
      <c r="Y523" s="13" cm="1">
        <f t="array" ref="Y523">IF(Table8[[#This Row],[I_0]]&lt;Table24[Flitro de Ruido],1,Table8[[#This Row],[I_50]]/Table8[[#This Row],[I_0]])</f>
        <v>1.7972116603295312</v>
      </c>
    </row>
    <row r="524" spans="1:25" x14ac:dyDescent="0.3">
      <c r="A524" s="13">
        <v>587.98</v>
      </c>
      <c r="B524" s="12">
        <v>81.2</v>
      </c>
      <c r="C524" s="11">
        <v>587.98</v>
      </c>
      <c r="D524" s="12">
        <v>101</v>
      </c>
      <c r="E524" s="11">
        <v>587.98</v>
      </c>
      <c r="F524" s="12">
        <v>117.9</v>
      </c>
      <c r="G524" s="11">
        <v>587.98</v>
      </c>
      <c r="H524" s="12">
        <v>107.8</v>
      </c>
      <c r="I524" s="11">
        <v>587.98</v>
      </c>
      <c r="J524" s="12">
        <v>135.4</v>
      </c>
      <c r="K524" s="11">
        <v>587.98</v>
      </c>
      <c r="L524" s="12">
        <v>145.80000000000001</v>
      </c>
      <c r="M524" s="11">
        <v>587.98</v>
      </c>
      <c r="N524" s="13">
        <v>81.2</v>
      </c>
      <c r="O524" s="11">
        <v>101</v>
      </c>
      <c r="P524" s="11">
        <v>117.9</v>
      </c>
      <c r="Q524" s="11">
        <v>107.8</v>
      </c>
      <c r="R524" s="11">
        <v>135.4</v>
      </c>
      <c r="S524" s="14">
        <v>145.80000000000001</v>
      </c>
      <c r="T524" s="11">
        <v>587.98</v>
      </c>
      <c r="U524" s="13" cm="1">
        <f t="array" ref="U524">IF(Table8[[#This Row],[I_0]]&lt;Table24[Flitro de Ruido],1,Table8[[#This Row],[I_10]]/Table8[[#This Row],[I_0]])</f>
        <v>1.2438423645320196</v>
      </c>
      <c r="V524" s="13" cm="1">
        <f t="array" ref="V524">IF(Table8[[#This Row],[I_0]]&lt;Table24[Flitro de Ruido],1,Table8[[#This Row],[I_20]]/Table8[[#This Row],[I_0]])</f>
        <v>1.4519704433497538</v>
      </c>
      <c r="W524" s="13" cm="1">
        <f t="array" ref="W524">IF(Table8[[#This Row],[I_0]]&lt;Table24[Flitro de Ruido],1,Table8[[#This Row],[I_30]]/Table8[[#This Row],[I_0]])</f>
        <v>1.3275862068965516</v>
      </c>
      <c r="X524" s="13" cm="1">
        <f t="array" ref="X524">IF(Table8[[#This Row],[I_0]]&lt;Table24[Flitro de Ruido],1,Table8[[#This Row],[I_40]]/Table8[[#This Row],[I_0]])</f>
        <v>1.6674876847290641</v>
      </c>
      <c r="Y524" s="13" cm="1">
        <f t="array" ref="Y524">IF(Table8[[#This Row],[I_0]]&lt;Table24[Flitro de Ruido],1,Table8[[#This Row],[I_50]]/Table8[[#This Row],[I_0]])</f>
        <v>1.7955665024630543</v>
      </c>
    </row>
    <row r="525" spans="1:25" x14ac:dyDescent="0.3">
      <c r="A525" s="13">
        <v>588.97</v>
      </c>
      <c r="B525" s="12">
        <v>83.4</v>
      </c>
      <c r="C525" s="11">
        <v>588.97</v>
      </c>
      <c r="D525" s="12">
        <v>103.6</v>
      </c>
      <c r="E525" s="11">
        <v>588.97</v>
      </c>
      <c r="F525" s="12">
        <v>120.8</v>
      </c>
      <c r="G525" s="11">
        <v>588.97</v>
      </c>
      <c r="H525" s="12">
        <v>110.8</v>
      </c>
      <c r="I525" s="11">
        <v>588.97</v>
      </c>
      <c r="J525" s="12">
        <v>138.9</v>
      </c>
      <c r="K525" s="11">
        <v>588.97</v>
      </c>
      <c r="L525" s="12">
        <v>149.69999999999999</v>
      </c>
      <c r="M525" s="11">
        <v>588.97</v>
      </c>
      <c r="N525" s="13">
        <v>83.4</v>
      </c>
      <c r="O525" s="11">
        <v>103.6</v>
      </c>
      <c r="P525" s="11">
        <v>120.8</v>
      </c>
      <c r="Q525" s="11">
        <v>110.8</v>
      </c>
      <c r="R525" s="11">
        <v>138.9</v>
      </c>
      <c r="S525" s="14">
        <v>149.69999999999999</v>
      </c>
      <c r="T525" s="11">
        <v>588.97</v>
      </c>
      <c r="U525" s="13" cm="1">
        <f t="array" ref="U525">IF(Table8[[#This Row],[I_0]]&lt;Table24[Flitro de Ruido],1,Table8[[#This Row],[I_10]]/Table8[[#This Row],[I_0]])</f>
        <v>1.2422062350119902</v>
      </c>
      <c r="V525" s="13" cm="1">
        <f t="array" ref="V525">IF(Table8[[#This Row],[I_0]]&lt;Table24[Flitro de Ruido],1,Table8[[#This Row],[I_20]]/Table8[[#This Row],[I_0]])</f>
        <v>1.448441247002398</v>
      </c>
      <c r="W525" s="13" cm="1">
        <f t="array" ref="W525">IF(Table8[[#This Row],[I_0]]&lt;Table24[Flitro de Ruido],1,Table8[[#This Row],[I_30]]/Table8[[#This Row],[I_0]])</f>
        <v>1.3285371702637889</v>
      </c>
      <c r="X525" s="13" cm="1">
        <f t="array" ref="X525">IF(Table8[[#This Row],[I_0]]&lt;Table24[Flitro de Ruido],1,Table8[[#This Row],[I_40]]/Table8[[#This Row],[I_0]])</f>
        <v>1.6654676258992804</v>
      </c>
      <c r="Y525" s="13" cm="1">
        <f t="array" ref="Y525">IF(Table8[[#This Row],[I_0]]&lt;Table24[Flitro de Ruido],1,Table8[[#This Row],[I_50]]/Table8[[#This Row],[I_0]])</f>
        <v>1.7949640287769781</v>
      </c>
    </row>
    <row r="526" spans="1:25" x14ac:dyDescent="0.3">
      <c r="A526" s="13">
        <v>589.97</v>
      </c>
      <c r="B526" s="12">
        <v>85.6</v>
      </c>
      <c r="C526" s="11">
        <v>589.97</v>
      </c>
      <c r="D526" s="12">
        <v>106.2</v>
      </c>
      <c r="E526" s="11">
        <v>589.97</v>
      </c>
      <c r="F526" s="12">
        <v>123.7</v>
      </c>
      <c r="G526" s="11">
        <v>589.97</v>
      </c>
      <c r="H526" s="12">
        <v>113.7</v>
      </c>
      <c r="I526" s="11">
        <v>589.97</v>
      </c>
      <c r="J526" s="12">
        <v>142.5</v>
      </c>
      <c r="K526" s="11">
        <v>589.97</v>
      </c>
      <c r="L526" s="12">
        <v>153.6</v>
      </c>
      <c r="M526" s="11">
        <v>589.97</v>
      </c>
      <c r="N526" s="13">
        <v>85.6</v>
      </c>
      <c r="O526" s="11">
        <v>106.2</v>
      </c>
      <c r="P526" s="11">
        <v>123.7</v>
      </c>
      <c r="Q526" s="11">
        <v>113.7</v>
      </c>
      <c r="R526" s="11">
        <v>142.5</v>
      </c>
      <c r="S526" s="14">
        <v>153.6</v>
      </c>
      <c r="T526" s="11">
        <v>589.97</v>
      </c>
      <c r="U526" s="13" cm="1">
        <f t="array" ref="U526">IF(Table8[[#This Row],[I_0]]&lt;Table24[Flitro de Ruido],1,Table8[[#This Row],[I_10]]/Table8[[#This Row],[I_0]])</f>
        <v>1.2406542056074767</v>
      </c>
      <c r="V526" s="13" cm="1">
        <f t="array" ref="V526">IF(Table8[[#This Row],[I_0]]&lt;Table24[Flitro de Ruido],1,Table8[[#This Row],[I_20]]/Table8[[#This Row],[I_0]])</f>
        <v>1.4450934579439254</v>
      </c>
      <c r="W526" s="13" cm="1">
        <f t="array" ref="W526">IF(Table8[[#This Row],[I_0]]&lt;Table24[Flitro de Ruido],1,Table8[[#This Row],[I_30]]/Table8[[#This Row],[I_0]])</f>
        <v>1.3282710280373833</v>
      </c>
      <c r="X526" s="13" cm="1">
        <f t="array" ref="X526">IF(Table8[[#This Row],[I_0]]&lt;Table24[Flitro de Ruido],1,Table8[[#This Row],[I_40]]/Table8[[#This Row],[I_0]])</f>
        <v>1.6647196261682244</v>
      </c>
      <c r="Y526" s="13" cm="1">
        <f t="array" ref="Y526">IF(Table8[[#This Row],[I_0]]&lt;Table24[Flitro de Ruido],1,Table8[[#This Row],[I_50]]/Table8[[#This Row],[I_0]])</f>
        <v>1.794392523364486</v>
      </c>
    </row>
    <row r="527" spans="1:25" x14ac:dyDescent="0.3">
      <c r="A527" s="13">
        <v>590.96</v>
      </c>
      <c r="B527" s="12">
        <v>87.5</v>
      </c>
      <c r="C527" s="11">
        <v>590.96</v>
      </c>
      <c r="D527" s="12">
        <v>108.5</v>
      </c>
      <c r="E527" s="11">
        <v>590.96</v>
      </c>
      <c r="F527" s="12">
        <v>126.1</v>
      </c>
      <c r="G527" s="11">
        <v>590.96</v>
      </c>
      <c r="H527" s="12">
        <v>116.3</v>
      </c>
      <c r="I527" s="11">
        <v>590.96</v>
      </c>
      <c r="J527" s="12">
        <v>145.69999999999999</v>
      </c>
      <c r="K527" s="11">
        <v>590.96</v>
      </c>
      <c r="L527" s="12">
        <v>156.9</v>
      </c>
      <c r="M527" s="11">
        <v>590.96</v>
      </c>
      <c r="N527" s="13">
        <v>87.5</v>
      </c>
      <c r="O527" s="11">
        <v>108.5</v>
      </c>
      <c r="P527" s="11">
        <v>126.1</v>
      </c>
      <c r="Q527" s="11">
        <v>116.3</v>
      </c>
      <c r="R527" s="11">
        <v>145.69999999999999</v>
      </c>
      <c r="S527" s="14">
        <v>156.9</v>
      </c>
      <c r="T527" s="11">
        <v>590.96</v>
      </c>
      <c r="U527" s="13" cm="1">
        <f t="array" ref="U527">IF(Table8[[#This Row],[I_0]]&lt;Table24[Flitro de Ruido],1,Table8[[#This Row],[I_10]]/Table8[[#This Row],[I_0]])</f>
        <v>1.24</v>
      </c>
      <c r="V527" s="13" cm="1">
        <f t="array" ref="V527">IF(Table8[[#This Row],[I_0]]&lt;Table24[Flitro de Ruido],1,Table8[[#This Row],[I_20]]/Table8[[#This Row],[I_0]])</f>
        <v>1.4411428571428571</v>
      </c>
      <c r="W527" s="13" cm="1">
        <f t="array" ref="W527">IF(Table8[[#This Row],[I_0]]&lt;Table24[Flitro de Ruido],1,Table8[[#This Row],[I_30]]/Table8[[#This Row],[I_0]])</f>
        <v>1.3291428571428572</v>
      </c>
      <c r="X527" s="13" cm="1">
        <f t="array" ref="X527">IF(Table8[[#This Row],[I_0]]&lt;Table24[Flitro de Ruido],1,Table8[[#This Row],[I_40]]/Table8[[#This Row],[I_0]])</f>
        <v>1.665142857142857</v>
      </c>
      <c r="Y527" s="13" cm="1">
        <f t="array" ref="Y527">IF(Table8[[#This Row],[I_0]]&lt;Table24[Flitro de Ruido],1,Table8[[#This Row],[I_50]]/Table8[[#This Row],[I_0]])</f>
        <v>1.7931428571428571</v>
      </c>
    </row>
    <row r="528" spans="1:25" x14ac:dyDescent="0.3">
      <c r="A528" s="13">
        <v>591.95000000000005</v>
      </c>
      <c r="B528" s="12">
        <v>89.3</v>
      </c>
      <c r="C528" s="11">
        <v>591.95000000000005</v>
      </c>
      <c r="D528" s="12">
        <v>110.6</v>
      </c>
      <c r="E528" s="11">
        <v>591.95000000000005</v>
      </c>
      <c r="F528" s="12">
        <v>128.4</v>
      </c>
      <c r="G528" s="11">
        <v>591.95000000000005</v>
      </c>
      <c r="H528" s="12">
        <v>118.7</v>
      </c>
      <c r="I528" s="11">
        <v>591.95000000000005</v>
      </c>
      <c r="J528" s="12">
        <v>148.6</v>
      </c>
      <c r="K528" s="11">
        <v>591.95000000000005</v>
      </c>
      <c r="L528" s="12">
        <v>160</v>
      </c>
      <c r="M528" s="11">
        <v>591.95000000000005</v>
      </c>
      <c r="N528" s="13">
        <v>89.3</v>
      </c>
      <c r="O528" s="11">
        <v>110.6</v>
      </c>
      <c r="P528" s="11">
        <v>128.4</v>
      </c>
      <c r="Q528" s="11">
        <v>118.7</v>
      </c>
      <c r="R528" s="11">
        <v>148.6</v>
      </c>
      <c r="S528" s="14">
        <v>160</v>
      </c>
      <c r="T528" s="11">
        <v>591.95000000000005</v>
      </c>
      <c r="U528" s="13" cm="1">
        <f t="array" ref="U528">IF(Table8[[#This Row],[I_0]]&lt;Table24[Flitro de Ruido],1,Table8[[#This Row],[I_10]]/Table8[[#This Row],[I_0]])</f>
        <v>1.238521836506159</v>
      </c>
      <c r="V528" s="13" cm="1">
        <f t="array" ref="V528">IF(Table8[[#This Row],[I_0]]&lt;Table24[Flitro de Ruido],1,Table8[[#This Row],[I_20]]/Table8[[#This Row],[I_0]])</f>
        <v>1.4378499440089587</v>
      </c>
      <c r="W528" s="13" cm="1">
        <f t="array" ref="W528">IF(Table8[[#This Row],[I_0]]&lt;Table24[Flitro de Ruido],1,Table8[[#This Row],[I_30]]/Table8[[#This Row],[I_0]])</f>
        <v>1.3292273236282195</v>
      </c>
      <c r="X528" s="13" cm="1">
        <f t="array" ref="X528">IF(Table8[[#This Row],[I_0]]&lt;Table24[Flitro de Ruido],1,Table8[[#This Row],[I_40]]/Table8[[#This Row],[I_0]])</f>
        <v>1.664053751399776</v>
      </c>
      <c r="Y528" s="13" cm="1">
        <f t="array" ref="Y528">IF(Table8[[#This Row],[I_0]]&lt;Table24[Flitro de Ruido],1,Table8[[#This Row],[I_50]]/Table8[[#This Row],[I_0]])</f>
        <v>1.7917133258678613</v>
      </c>
    </row>
    <row r="529" spans="1:25" x14ac:dyDescent="0.3">
      <c r="A529" s="13">
        <v>592.94000000000005</v>
      </c>
      <c r="B529" s="12">
        <v>90.8</v>
      </c>
      <c r="C529" s="11">
        <v>592.94000000000005</v>
      </c>
      <c r="D529" s="12">
        <v>112.3</v>
      </c>
      <c r="E529" s="11">
        <v>592.94000000000005</v>
      </c>
      <c r="F529" s="12">
        <v>130.19999999999999</v>
      </c>
      <c r="G529" s="11">
        <v>592.94000000000005</v>
      </c>
      <c r="H529" s="12">
        <v>120.7</v>
      </c>
      <c r="I529" s="11">
        <v>592.94000000000005</v>
      </c>
      <c r="J529" s="12">
        <v>151</v>
      </c>
      <c r="K529" s="11">
        <v>592.94000000000005</v>
      </c>
      <c r="L529" s="12">
        <v>162.5</v>
      </c>
      <c r="M529" s="11">
        <v>592.94000000000005</v>
      </c>
      <c r="N529" s="13">
        <v>90.8</v>
      </c>
      <c r="O529" s="11">
        <v>112.3</v>
      </c>
      <c r="P529" s="11">
        <v>130.19999999999999</v>
      </c>
      <c r="Q529" s="11">
        <v>120.7</v>
      </c>
      <c r="R529" s="11">
        <v>151</v>
      </c>
      <c r="S529" s="14">
        <v>162.5</v>
      </c>
      <c r="T529" s="11">
        <v>592.94000000000005</v>
      </c>
      <c r="U529" s="13" cm="1">
        <f t="array" ref="U529">IF(Table8[[#This Row],[I_0]]&lt;Table24[Flitro de Ruido],1,Table8[[#This Row],[I_10]]/Table8[[#This Row],[I_0]])</f>
        <v>1.2367841409691629</v>
      </c>
      <c r="V529" s="13" cm="1">
        <f t="array" ref="V529">IF(Table8[[#This Row],[I_0]]&lt;Table24[Flitro de Ruido],1,Table8[[#This Row],[I_20]]/Table8[[#This Row],[I_0]])</f>
        <v>1.4339207048458149</v>
      </c>
      <c r="W529" s="13" cm="1">
        <f t="array" ref="W529">IF(Table8[[#This Row],[I_0]]&lt;Table24[Flitro de Ruido],1,Table8[[#This Row],[I_30]]/Table8[[#This Row],[I_0]])</f>
        <v>1.3292951541850222</v>
      </c>
      <c r="X529" s="13" cm="1">
        <f t="array" ref="X529">IF(Table8[[#This Row],[I_0]]&lt;Table24[Flitro de Ruido],1,Table8[[#This Row],[I_40]]/Table8[[#This Row],[I_0]])</f>
        <v>1.6629955947136565</v>
      </c>
      <c r="Y529" s="13" cm="1">
        <f t="array" ref="Y529">IF(Table8[[#This Row],[I_0]]&lt;Table24[Flitro de Ruido],1,Table8[[#This Row],[I_50]]/Table8[[#This Row],[I_0]])</f>
        <v>1.7896475770925111</v>
      </c>
    </row>
    <row r="530" spans="1:25" x14ac:dyDescent="0.3">
      <c r="A530" s="13">
        <v>593.92999999999995</v>
      </c>
      <c r="B530" s="12">
        <v>92.3</v>
      </c>
      <c r="C530" s="11">
        <v>593.92999999999995</v>
      </c>
      <c r="D530" s="12">
        <v>114</v>
      </c>
      <c r="E530" s="11">
        <v>593.92999999999995</v>
      </c>
      <c r="F530" s="12">
        <v>132</v>
      </c>
      <c r="G530" s="11">
        <v>593.92999999999995</v>
      </c>
      <c r="H530" s="12">
        <v>122.7</v>
      </c>
      <c r="I530" s="11">
        <v>593.92999999999995</v>
      </c>
      <c r="J530" s="12">
        <v>153.4</v>
      </c>
      <c r="K530" s="11">
        <v>593.92999999999995</v>
      </c>
      <c r="L530" s="12">
        <v>165</v>
      </c>
      <c r="M530" s="11">
        <v>593.92999999999995</v>
      </c>
      <c r="N530" s="13">
        <v>92.3</v>
      </c>
      <c r="O530" s="11">
        <v>114</v>
      </c>
      <c r="P530" s="11">
        <v>132</v>
      </c>
      <c r="Q530" s="11">
        <v>122.7</v>
      </c>
      <c r="R530" s="11">
        <v>153.4</v>
      </c>
      <c r="S530" s="14">
        <v>165</v>
      </c>
      <c r="T530" s="11">
        <v>593.92999999999995</v>
      </c>
      <c r="U530" s="13" cm="1">
        <f t="array" ref="U530">IF(Table8[[#This Row],[I_0]]&lt;Table24[Flitro de Ruido],1,Table8[[#This Row],[I_10]]/Table8[[#This Row],[I_0]])</f>
        <v>1.2351029252437704</v>
      </c>
      <c r="V530" s="13" cm="1">
        <f t="array" ref="V530">IF(Table8[[#This Row],[I_0]]&lt;Table24[Flitro de Ruido],1,Table8[[#This Row],[I_20]]/Table8[[#This Row],[I_0]])</f>
        <v>1.4301191765980499</v>
      </c>
      <c r="W530" s="13" cm="1">
        <f t="array" ref="W530">IF(Table8[[#This Row],[I_0]]&lt;Table24[Flitro de Ruido],1,Table8[[#This Row],[I_30]]/Table8[[#This Row],[I_0]])</f>
        <v>1.3293607800650056</v>
      </c>
      <c r="X530" s="13" cm="1">
        <f t="array" ref="X530">IF(Table8[[#This Row],[I_0]]&lt;Table24[Flitro de Ruido],1,Table8[[#This Row],[I_40]]/Table8[[#This Row],[I_0]])</f>
        <v>1.6619718309859155</v>
      </c>
      <c r="Y530" s="13" cm="1">
        <f t="array" ref="Y530">IF(Table8[[#This Row],[I_0]]&lt;Table24[Flitro de Ruido],1,Table8[[#This Row],[I_50]]/Table8[[#This Row],[I_0]])</f>
        <v>1.7876489707475625</v>
      </c>
    </row>
    <row r="531" spans="1:25" x14ac:dyDescent="0.3">
      <c r="A531" s="13">
        <v>594.91999999999996</v>
      </c>
      <c r="B531" s="12">
        <v>93.3</v>
      </c>
      <c r="C531" s="11">
        <v>594.91999999999996</v>
      </c>
      <c r="D531" s="12">
        <v>115.1</v>
      </c>
      <c r="E531" s="11">
        <v>594.91999999999996</v>
      </c>
      <c r="F531" s="12">
        <v>133.19999999999999</v>
      </c>
      <c r="G531" s="11">
        <v>594.91999999999996</v>
      </c>
      <c r="H531" s="12">
        <v>124.1</v>
      </c>
      <c r="I531" s="11">
        <v>594.91999999999996</v>
      </c>
      <c r="J531" s="12">
        <v>155.1</v>
      </c>
      <c r="K531" s="11">
        <v>594.91999999999996</v>
      </c>
      <c r="L531" s="12">
        <v>166.8</v>
      </c>
      <c r="M531" s="11">
        <v>594.91999999999996</v>
      </c>
      <c r="N531" s="13">
        <v>93.3</v>
      </c>
      <c r="O531" s="11">
        <v>115.1</v>
      </c>
      <c r="P531" s="11">
        <v>133.19999999999999</v>
      </c>
      <c r="Q531" s="11">
        <v>124.1</v>
      </c>
      <c r="R531" s="11">
        <v>155.1</v>
      </c>
      <c r="S531" s="14">
        <v>166.8</v>
      </c>
      <c r="T531" s="11">
        <v>594.91999999999996</v>
      </c>
      <c r="U531" s="13" cm="1">
        <f t="array" ref="U531">IF(Table8[[#This Row],[I_0]]&lt;Table24[Flitro de Ruido],1,Table8[[#This Row],[I_10]]/Table8[[#This Row],[I_0]])</f>
        <v>1.2336548767416935</v>
      </c>
      <c r="V531" s="13" cm="1">
        <f t="array" ref="V531">IF(Table8[[#This Row],[I_0]]&lt;Table24[Flitro de Ruido],1,Table8[[#This Row],[I_20]]/Table8[[#This Row],[I_0]])</f>
        <v>1.427652733118971</v>
      </c>
      <c r="W531" s="13" cm="1">
        <f t="array" ref="W531">IF(Table8[[#This Row],[I_0]]&lt;Table24[Flitro de Ruido],1,Table8[[#This Row],[I_30]]/Table8[[#This Row],[I_0]])</f>
        <v>1.330117899249732</v>
      </c>
      <c r="X531" s="13" cm="1">
        <f t="array" ref="X531">IF(Table8[[#This Row],[I_0]]&lt;Table24[Flitro de Ruido],1,Table8[[#This Row],[I_40]]/Table8[[#This Row],[I_0]])</f>
        <v>1.662379421221865</v>
      </c>
      <c r="Y531" s="13" cm="1">
        <f t="array" ref="Y531">IF(Table8[[#This Row],[I_0]]&lt;Table24[Flitro de Ruido],1,Table8[[#This Row],[I_50]]/Table8[[#This Row],[I_0]])</f>
        <v>1.7877813504823152</v>
      </c>
    </row>
    <row r="532" spans="1:25" x14ac:dyDescent="0.3">
      <c r="A532" s="13">
        <v>595.91999999999996</v>
      </c>
      <c r="B532" s="12">
        <v>94.2</v>
      </c>
      <c r="C532" s="11">
        <v>595.91999999999996</v>
      </c>
      <c r="D532" s="12">
        <v>116.1</v>
      </c>
      <c r="E532" s="11">
        <v>595.91999999999996</v>
      </c>
      <c r="F532" s="12">
        <v>134.5</v>
      </c>
      <c r="G532" s="11">
        <v>595.91999999999996</v>
      </c>
      <c r="H532" s="12">
        <v>125.5</v>
      </c>
      <c r="I532" s="11">
        <v>595.91999999999996</v>
      </c>
      <c r="J532" s="12">
        <v>156.69999999999999</v>
      </c>
      <c r="K532" s="11">
        <v>595.91999999999996</v>
      </c>
      <c r="L532" s="12">
        <v>168.5</v>
      </c>
      <c r="M532" s="11">
        <v>595.91999999999996</v>
      </c>
      <c r="N532" s="13">
        <v>94.2</v>
      </c>
      <c r="O532" s="11">
        <v>116.1</v>
      </c>
      <c r="P532" s="11">
        <v>134.5</v>
      </c>
      <c r="Q532" s="11">
        <v>125.5</v>
      </c>
      <c r="R532" s="11">
        <v>156.69999999999999</v>
      </c>
      <c r="S532" s="14">
        <v>168.5</v>
      </c>
      <c r="T532" s="11">
        <v>595.91999999999996</v>
      </c>
      <c r="U532" s="13" cm="1">
        <f t="array" ref="U532">IF(Table8[[#This Row],[I_0]]&lt;Table24[Flitro de Ruido],1,Table8[[#This Row],[I_10]]/Table8[[#This Row],[I_0]])</f>
        <v>1.2324840764331209</v>
      </c>
      <c r="V532" s="13" cm="1">
        <f t="array" ref="V532">IF(Table8[[#This Row],[I_0]]&lt;Table24[Flitro de Ruido],1,Table8[[#This Row],[I_20]]/Table8[[#This Row],[I_0]])</f>
        <v>1.4278131634819533</v>
      </c>
      <c r="W532" s="13" cm="1">
        <f t="array" ref="W532">IF(Table8[[#This Row],[I_0]]&lt;Table24[Flitro de Ruido],1,Table8[[#This Row],[I_30]]/Table8[[#This Row],[I_0]])</f>
        <v>1.332271762208068</v>
      </c>
      <c r="X532" s="13" cm="1">
        <f t="array" ref="X532">IF(Table8[[#This Row],[I_0]]&lt;Table24[Flitro de Ruido],1,Table8[[#This Row],[I_40]]/Table8[[#This Row],[I_0]])</f>
        <v>1.6634819532908702</v>
      </c>
      <c r="Y532" s="13" cm="1">
        <f t="array" ref="Y532">IF(Table8[[#This Row],[I_0]]&lt;Table24[Flitro de Ruido],1,Table8[[#This Row],[I_50]]/Table8[[#This Row],[I_0]])</f>
        <v>1.7887473460721868</v>
      </c>
    </row>
    <row r="533" spans="1:25" x14ac:dyDescent="0.3">
      <c r="A533" s="13">
        <v>596.91</v>
      </c>
      <c r="B533" s="12">
        <v>94.8</v>
      </c>
      <c r="C533" s="11">
        <v>596.91</v>
      </c>
      <c r="D533" s="12">
        <v>116.8</v>
      </c>
      <c r="E533" s="11">
        <v>596.91</v>
      </c>
      <c r="F533" s="12">
        <v>135.19999999999999</v>
      </c>
      <c r="G533" s="11">
        <v>596.91</v>
      </c>
      <c r="H533" s="12">
        <v>126.4</v>
      </c>
      <c r="I533" s="11">
        <v>596.91</v>
      </c>
      <c r="J533" s="12">
        <v>157.69999999999999</v>
      </c>
      <c r="K533" s="11">
        <v>596.91</v>
      </c>
      <c r="L533" s="12">
        <v>169.6</v>
      </c>
      <c r="M533" s="11">
        <v>596.91</v>
      </c>
      <c r="N533" s="13">
        <v>94.8</v>
      </c>
      <c r="O533" s="11">
        <v>116.8</v>
      </c>
      <c r="P533" s="11">
        <v>135.19999999999999</v>
      </c>
      <c r="Q533" s="11">
        <v>126.4</v>
      </c>
      <c r="R533" s="11">
        <v>157.69999999999999</v>
      </c>
      <c r="S533" s="14">
        <v>169.6</v>
      </c>
      <c r="T533" s="11">
        <v>596.91</v>
      </c>
      <c r="U533" s="13" cm="1">
        <f t="array" ref="U533">IF(Table8[[#This Row],[I_0]]&lt;Table24[Flitro de Ruido],1,Table8[[#This Row],[I_10]]/Table8[[#This Row],[I_0]])</f>
        <v>1.2320675105485233</v>
      </c>
      <c r="V533" s="13" cm="1">
        <f t="array" ref="V533">IF(Table8[[#This Row],[I_0]]&lt;Table24[Flitro de Ruido],1,Table8[[#This Row],[I_20]]/Table8[[#This Row],[I_0]])</f>
        <v>1.4261603375527425</v>
      </c>
      <c r="W533" s="13" cm="1">
        <f t="array" ref="W533">IF(Table8[[#This Row],[I_0]]&lt;Table24[Flitro de Ruido],1,Table8[[#This Row],[I_30]]/Table8[[#This Row],[I_0]])</f>
        <v>1.3333333333333335</v>
      </c>
      <c r="X533" s="13" cm="1">
        <f t="array" ref="X533">IF(Table8[[#This Row],[I_0]]&lt;Table24[Flitro de Ruido],1,Table8[[#This Row],[I_40]]/Table8[[#This Row],[I_0]])</f>
        <v>1.6635021097046412</v>
      </c>
      <c r="Y533" s="13" cm="1">
        <f t="array" ref="Y533">IF(Table8[[#This Row],[I_0]]&lt;Table24[Flitro de Ruido],1,Table8[[#This Row],[I_50]]/Table8[[#This Row],[I_0]])</f>
        <v>1.7890295358649788</v>
      </c>
    </row>
    <row r="534" spans="1:25" x14ac:dyDescent="0.3">
      <c r="A534" s="13">
        <v>597.9</v>
      </c>
      <c r="B534" s="12">
        <v>95.5</v>
      </c>
      <c r="C534" s="11">
        <v>597.9</v>
      </c>
      <c r="D534" s="12">
        <v>117.6</v>
      </c>
      <c r="E534" s="11">
        <v>597.9</v>
      </c>
      <c r="F534" s="12">
        <v>136.1</v>
      </c>
      <c r="G534" s="11">
        <v>597.9</v>
      </c>
      <c r="H534" s="12">
        <v>127.5</v>
      </c>
      <c r="I534" s="11">
        <v>597.9</v>
      </c>
      <c r="J534" s="12">
        <v>158.9</v>
      </c>
      <c r="K534" s="11">
        <v>597.9</v>
      </c>
      <c r="L534" s="12">
        <v>171</v>
      </c>
      <c r="M534" s="11">
        <v>597.9</v>
      </c>
      <c r="N534" s="13">
        <v>95.5</v>
      </c>
      <c r="O534" s="11">
        <v>117.6</v>
      </c>
      <c r="P534" s="11">
        <v>136.1</v>
      </c>
      <c r="Q534" s="11">
        <v>127.5</v>
      </c>
      <c r="R534" s="11">
        <v>158.9</v>
      </c>
      <c r="S534" s="14">
        <v>171</v>
      </c>
      <c r="T534" s="11">
        <v>597.9</v>
      </c>
      <c r="U534" s="13" cm="1">
        <f t="array" ref="U534">IF(Table8[[#This Row],[I_0]]&lt;Table24[Flitro de Ruido],1,Table8[[#This Row],[I_10]]/Table8[[#This Row],[I_0]])</f>
        <v>1.2314136125654449</v>
      </c>
      <c r="V534" s="13" cm="1">
        <f t="array" ref="V534">IF(Table8[[#This Row],[I_0]]&lt;Table24[Flitro de Ruido],1,Table8[[#This Row],[I_20]]/Table8[[#This Row],[I_0]])</f>
        <v>1.425130890052356</v>
      </c>
      <c r="W534" s="13" cm="1">
        <f t="array" ref="W534">IF(Table8[[#This Row],[I_0]]&lt;Table24[Flitro de Ruido],1,Table8[[#This Row],[I_30]]/Table8[[#This Row],[I_0]])</f>
        <v>1.3350785340314135</v>
      </c>
      <c r="X534" s="13" cm="1">
        <f t="array" ref="X534">IF(Table8[[#This Row],[I_0]]&lt;Table24[Flitro de Ruido],1,Table8[[#This Row],[I_40]]/Table8[[#This Row],[I_0]])</f>
        <v>1.6638743455497382</v>
      </c>
      <c r="Y534" s="13" cm="1">
        <f t="array" ref="Y534">IF(Table8[[#This Row],[I_0]]&lt;Table24[Flitro de Ruido],1,Table8[[#This Row],[I_50]]/Table8[[#This Row],[I_0]])</f>
        <v>1.7905759162303665</v>
      </c>
    </row>
    <row r="535" spans="1:25" x14ac:dyDescent="0.3">
      <c r="A535" s="13">
        <v>598.89</v>
      </c>
      <c r="B535" s="12">
        <v>95.8</v>
      </c>
      <c r="C535" s="11">
        <v>598.89</v>
      </c>
      <c r="D535" s="12">
        <v>118</v>
      </c>
      <c r="E535" s="11">
        <v>598.89</v>
      </c>
      <c r="F535" s="12">
        <v>136.6</v>
      </c>
      <c r="G535" s="11">
        <v>598.89</v>
      </c>
      <c r="H535" s="12">
        <v>128.19999999999999</v>
      </c>
      <c r="I535" s="11">
        <v>598.89</v>
      </c>
      <c r="J535" s="12">
        <v>159.6</v>
      </c>
      <c r="K535" s="11">
        <v>598.89</v>
      </c>
      <c r="L535" s="12">
        <v>171.7</v>
      </c>
      <c r="M535" s="11">
        <v>598.89</v>
      </c>
      <c r="N535" s="13">
        <v>95.8</v>
      </c>
      <c r="O535" s="11">
        <v>118</v>
      </c>
      <c r="P535" s="11">
        <v>136.6</v>
      </c>
      <c r="Q535" s="11">
        <v>128.19999999999999</v>
      </c>
      <c r="R535" s="11">
        <v>159.6</v>
      </c>
      <c r="S535" s="14">
        <v>171.7</v>
      </c>
      <c r="T535" s="11">
        <v>598.89</v>
      </c>
      <c r="U535" s="13" cm="1">
        <f t="array" ref="U535">IF(Table8[[#This Row],[I_0]]&lt;Table24[Flitro de Ruido],1,Table8[[#This Row],[I_10]]/Table8[[#This Row],[I_0]])</f>
        <v>1.2317327766179542</v>
      </c>
      <c r="V535" s="13" cm="1">
        <f t="array" ref="V535">IF(Table8[[#This Row],[I_0]]&lt;Table24[Flitro de Ruido],1,Table8[[#This Row],[I_20]]/Table8[[#This Row],[I_0]])</f>
        <v>1.4258872651356993</v>
      </c>
      <c r="W535" s="13" cm="1">
        <f t="array" ref="W535">IF(Table8[[#This Row],[I_0]]&lt;Table24[Flitro de Ruido],1,Table8[[#This Row],[I_30]]/Table8[[#This Row],[I_0]])</f>
        <v>1.3382045929018789</v>
      </c>
      <c r="X535" s="13" cm="1">
        <f t="array" ref="X535">IF(Table8[[#This Row],[I_0]]&lt;Table24[Flitro de Ruido],1,Table8[[#This Row],[I_40]]/Table8[[#This Row],[I_0]])</f>
        <v>1.6659707724425887</v>
      </c>
      <c r="Y535" s="13" cm="1">
        <f t="array" ref="Y535">IF(Table8[[#This Row],[I_0]]&lt;Table24[Flitro de Ruido],1,Table8[[#This Row],[I_50]]/Table8[[#This Row],[I_0]])</f>
        <v>1.7922755741127347</v>
      </c>
    </row>
    <row r="536" spans="1:25" x14ac:dyDescent="0.3">
      <c r="A536" s="13">
        <v>599.88</v>
      </c>
      <c r="B536" s="12">
        <v>96.4</v>
      </c>
      <c r="C536" s="11">
        <v>599.88</v>
      </c>
      <c r="D536" s="12">
        <v>118.6</v>
      </c>
      <c r="E536" s="11">
        <v>599.88</v>
      </c>
      <c r="F536" s="12">
        <v>137.30000000000001</v>
      </c>
      <c r="G536" s="11">
        <v>599.88</v>
      </c>
      <c r="H536" s="12">
        <v>129</v>
      </c>
      <c r="I536" s="11">
        <v>599.88</v>
      </c>
      <c r="J536" s="12">
        <v>160.6</v>
      </c>
      <c r="K536" s="11">
        <v>599.88</v>
      </c>
      <c r="L536" s="12">
        <v>172.9</v>
      </c>
      <c r="M536" s="11">
        <v>599.88</v>
      </c>
      <c r="N536" s="13">
        <v>96.4</v>
      </c>
      <c r="O536" s="11">
        <v>118.6</v>
      </c>
      <c r="P536" s="11">
        <v>137.30000000000001</v>
      </c>
      <c r="Q536" s="11">
        <v>129</v>
      </c>
      <c r="R536" s="11">
        <v>160.6</v>
      </c>
      <c r="S536" s="14">
        <v>172.9</v>
      </c>
      <c r="T536" s="11">
        <v>599.88</v>
      </c>
      <c r="U536" s="13" cm="1">
        <f t="array" ref="U536">IF(Table8[[#This Row],[I_0]]&lt;Table24[Flitro de Ruido],1,Table8[[#This Row],[I_10]]/Table8[[#This Row],[I_0]])</f>
        <v>1.2302904564315351</v>
      </c>
      <c r="V536" s="13" cm="1">
        <f t="array" ref="V536">IF(Table8[[#This Row],[I_0]]&lt;Table24[Flitro de Ruido],1,Table8[[#This Row],[I_20]]/Table8[[#This Row],[I_0]])</f>
        <v>1.4242738589211619</v>
      </c>
      <c r="W536" s="13" cm="1">
        <f t="array" ref="W536">IF(Table8[[#This Row],[I_0]]&lt;Table24[Flitro de Ruido],1,Table8[[#This Row],[I_30]]/Table8[[#This Row],[I_0]])</f>
        <v>1.3381742738589211</v>
      </c>
      <c r="X536" s="13" cm="1">
        <f t="array" ref="X536">IF(Table8[[#This Row],[I_0]]&lt;Table24[Flitro de Ruido],1,Table8[[#This Row],[I_40]]/Table8[[#This Row],[I_0]])</f>
        <v>1.6659751037344397</v>
      </c>
      <c r="Y536" s="13" cm="1">
        <f t="array" ref="Y536">IF(Table8[[#This Row],[I_0]]&lt;Table24[Flitro de Ruido],1,Table8[[#This Row],[I_50]]/Table8[[#This Row],[I_0]])</f>
        <v>1.7935684647302903</v>
      </c>
    </row>
    <row r="537" spans="1:25" x14ac:dyDescent="0.3">
      <c r="A537" s="13">
        <v>600.87</v>
      </c>
      <c r="B537" s="12">
        <v>96.7</v>
      </c>
      <c r="C537" s="11">
        <v>600.87</v>
      </c>
      <c r="D537" s="12">
        <v>118.9</v>
      </c>
      <c r="E537" s="11">
        <v>600.87</v>
      </c>
      <c r="F537" s="12">
        <v>137.80000000000001</v>
      </c>
      <c r="G537" s="11">
        <v>600.87</v>
      </c>
      <c r="H537" s="12">
        <v>129.69999999999999</v>
      </c>
      <c r="I537" s="11">
        <v>600.87</v>
      </c>
      <c r="J537" s="12">
        <v>161.19999999999999</v>
      </c>
      <c r="K537" s="11">
        <v>600.87</v>
      </c>
      <c r="L537" s="12">
        <v>173.6</v>
      </c>
      <c r="M537" s="11">
        <v>600.87</v>
      </c>
      <c r="N537" s="13">
        <v>96.7</v>
      </c>
      <c r="O537" s="11">
        <v>118.9</v>
      </c>
      <c r="P537" s="11">
        <v>137.80000000000001</v>
      </c>
      <c r="Q537" s="11">
        <v>129.69999999999999</v>
      </c>
      <c r="R537" s="11">
        <v>161.19999999999999</v>
      </c>
      <c r="S537" s="14">
        <v>173.6</v>
      </c>
      <c r="T537" s="11">
        <v>600.87</v>
      </c>
      <c r="U537" s="13" cm="1">
        <f t="array" ref="U537">IF(Table8[[#This Row],[I_0]]&lt;Table24[Flitro de Ruido],1,Table8[[#This Row],[I_10]]/Table8[[#This Row],[I_0]])</f>
        <v>1.2295760082730094</v>
      </c>
      <c r="V537" s="13" cm="1">
        <f t="array" ref="V537">IF(Table8[[#This Row],[I_0]]&lt;Table24[Flitro de Ruido],1,Table8[[#This Row],[I_20]]/Table8[[#This Row],[I_0]])</f>
        <v>1.4250258531540849</v>
      </c>
      <c r="W537" s="13" cm="1">
        <f t="array" ref="W537">IF(Table8[[#This Row],[I_0]]&lt;Table24[Flitro de Ruido],1,Table8[[#This Row],[I_30]]/Table8[[#This Row],[I_0]])</f>
        <v>1.3412616339193379</v>
      </c>
      <c r="X537" s="13" cm="1">
        <f t="array" ref="X537">IF(Table8[[#This Row],[I_0]]&lt;Table24[Flitro de Ruido],1,Table8[[#This Row],[I_40]]/Table8[[#This Row],[I_0]])</f>
        <v>1.6670113753877971</v>
      </c>
      <c r="Y537" s="13" cm="1">
        <f t="array" ref="Y537">IF(Table8[[#This Row],[I_0]]&lt;Table24[Flitro de Ruido],1,Table8[[#This Row],[I_50]]/Table8[[#This Row],[I_0]])</f>
        <v>1.7952430196483971</v>
      </c>
    </row>
    <row r="538" spans="1:25" x14ac:dyDescent="0.3">
      <c r="A538" s="13">
        <v>601.87</v>
      </c>
      <c r="B538" s="12">
        <v>97.3</v>
      </c>
      <c r="C538" s="11">
        <v>601.87</v>
      </c>
      <c r="D538" s="12">
        <v>119.6</v>
      </c>
      <c r="E538" s="11">
        <v>601.87</v>
      </c>
      <c r="F538" s="12">
        <v>138.6</v>
      </c>
      <c r="G538" s="11">
        <v>601.87</v>
      </c>
      <c r="H538" s="12">
        <v>130.80000000000001</v>
      </c>
      <c r="I538" s="11">
        <v>601.87</v>
      </c>
      <c r="J538" s="12">
        <v>162.4</v>
      </c>
      <c r="K538" s="11">
        <v>601.87</v>
      </c>
      <c r="L538" s="12">
        <v>174.9</v>
      </c>
      <c r="M538" s="11">
        <v>601.87</v>
      </c>
      <c r="N538" s="13">
        <v>97.3</v>
      </c>
      <c r="O538" s="11">
        <v>119.6</v>
      </c>
      <c r="P538" s="11">
        <v>138.6</v>
      </c>
      <c r="Q538" s="11">
        <v>130.80000000000001</v>
      </c>
      <c r="R538" s="11">
        <v>162.4</v>
      </c>
      <c r="S538" s="14">
        <v>174.9</v>
      </c>
      <c r="T538" s="11">
        <v>601.87</v>
      </c>
      <c r="U538" s="13" cm="1">
        <f t="array" ref="U538">IF(Table8[[#This Row],[I_0]]&lt;Table24[Flitro de Ruido],1,Table8[[#This Row],[I_10]]/Table8[[#This Row],[I_0]])</f>
        <v>1.2291880781089415</v>
      </c>
      <c r="V538" s="13" cm="1">
        <f t="array" ref="V538">IF(Table8[[#This Row],[I_0]]&lt;Table24[Flitro de Ruido],1,Table8[[#This Row],[I_20]]/Table8[[#This Row],[I_0]])</f>
        <v>1.4244604316546763</v>
      </c>
      <c r="W538" s="13" cm="1">
        <f t="array" ref="W538">IF(Table8[[#This Row],[I_0]]&lt;Table24[Flitro de Ruido],1,Table8[[#This Row],[I_30]]/Table8[[#This Row],[I_0]])</f>
        <v>1.3442959917780064</v>
      </c>
      <c r="X538" s="13" cm="1">
        <f t="array" ref="X538">IF(Table8[[#This Row],[I_0]]&lt;Table24[Flitro de Ruido],1,Table8[[#This Row],[I_40]]/Table8[[#This Row],[I_0]])</f>
        <v>1.6690647482014389</v>
      </c>
      <c r="Y538" s="13" cm="1">
        <f t="array" ref="Y538">IF(Table8[[#This Row],[I_0]]&lt;Table24[Flitro de Ruido],1,Table8[[#This Row],[I_50]]/Table8[[#This Row],[I_0]])</f>
        <v>1.7975334018499487</v>
      </c>
    </row>
    <row r="539" spans="1:25" x14ac:dyDescent="0.3">
      <c r="A539" s="13">
        <v>602.86</v>
      </c>
      <c r="B539" s="12">
        <v>97.7</v>
      </c>
      <c r="C539" s="11">
        <v>602.86</v>
      </c>
      <c r="D539" s="12">
        <v>120.1</v>
      </c>
      <c r="E539" s="11">
        <v>602.86</v>
      </c>
      <c r="F539" s="12">
        <v>139.19999999999999</v>
      </c>
      <c r="G539" s="11">
        <v>602.86</v>
      </c>
      <c r="H539" s="12">
        <v>131.69999999999999</v>
      </c>
      <c r="I539" s="11">
        <v>602.86</v>
      </c>
      <c r="J539" s="12">
        <v>163.19999999999999</v>
      </c>
      <c r="K539" s="11">
        <v>602.86</v>
      </c>
      <c r="L539" s="12">
        <v>175.8</v>
      </c>
      <c r="M539" s="11">
        <v>602.86</v>
      </c>
      <c r="N539" s="13">
        <v>97.7</v>
      </c>
      <c r="O539" s="11">
        <v>120.1</v>
      </c>
      <c r="P539" s="11">
        <v>139.19999999999999</v>
      </c>
      <c r="Q539" s="11">
        <v>131.69999999999999</v>
      </c>
      <c r="R539" s="11">
        <v>163.19999999999999</v>
      </c>
      <c r="S539" s="14">
        <v>175.8</v>
      </c>
      <c r="T539" s="11">
        <v>602.86</v>
      </c>
      <c r="U539" s="13" cm="1">
        <f t="array" ref="U539">IF(Table8[[#This Row],[I_0]]&lt;Table24[Flitro de Ruido],1,Table8[[#This Row],[I_10]]/Table8[[#This Row],[I_0]])</f>
        <v>1.2292732855680655</v>
      </c>
      <c r="V539" s="13" cm="1">
        <f t="array" ref="V539">IF(Table8[[#This Row],[I_0]]&lt;Table24[Flitro de Ruido],1,Table8[[#This Row],[I_20]]/Table8[[#This Row],[I_0]])</f>
        <v>1.4247697031729782</v>
      </c>
      <c r="W539" s="13" cm="1">
        <f t="array" ref="W539">IF(Table8[[#This Row],[I_0]]&lt;Table24[Flitro de Ruido],1,Table8[[#This Row],[I_30]]/Table8[[#This Row],[I_0]])</f>
        <v>1.3480040941658136</v>
      </c>
      <c r="X539" s="13" cm="1">
        <f t="array" ref="X539">IF(Table8[[#This Row],[I_0]]&lt;Table24[Flitro de Ruido],1,Table8[[#This Row],[I_40]]/Table8[[#This Row],[I_0]])</f>
        <v>1.6704196519959056</v>
      </c>
      <c r="Y539" s="13" cm="1">
        <f t="array" ref="Y539">IF(Table8[[#This Row],[I_0]]&lt;Table24[Flitro de Ruido],1,Table8[[#This Row],[I_50]]/Table8[[#This Row],[I_0]])</f>
        <v>1.7993858751279428</v>
      </c>
    </row>
    <row r="540" spans="1:25" x14ac:dyDescent="0.3">
      <c r="A540" s="13">
        <v>603.85</v>
      </c>
      <c r="B540" s="12">
        <v>98.4</v>
      </c>
      <c r="C540" s="11">
        <v>603.85</v>
      </c>
      <c r="D540" s="12">
        <v>121</v>
      </c>
      <c r="E540" s="11">
        <v>603.85</v>
      </c>
      <c r="F540" s="12">
        <v>140.30000000000001</v>
      </c>
      <c r="G540" s="11">
        <v>603.85</v>
      </c>
      <c r="H540" s="12">
        <v>133</v>
      </c>
      <c r="I540" s="11">
        <v>603.85</v>
      </c>
      <c r="J540" s="12">
        <v>164.7</v>
      </c>
      <c r="K540" s="11">
        <v>603.85</v>
      </c>
      <c r="L540" s="12">
        <v>177.4</v>
      </c>
      <c r="M540" s="11">
        <v>603.85</v>
      </c>
      <c r="N540" s="13">
        <v>98.4</v>
      </c>
      <c r="O540" s="11">
        <v>121</v>
      </c>
      <c r="P540" s="11">
        <v>140.30000000000001</v>
      </c>
      <c r="Q540" s="11">
        <v>133</v>
      </c>
      <c r="R540" s="11">
        <v>164.7</v>
      </c>
      <c r="S540" s="14">
        <v>177.4</v>
      </c>
      <c r="T540" s="11">
        <v>603.85</v>
      </c>
      <c r="U540" s="13" cm="1">
        <f t="array" ref="U540">IF(Table8[[#This Row],[I_0]]&lt;Table24[Flitro de Ruido],1,Table8[[#This Row],[I_10]]/Table8[[#This Row],[I_0]])</f>
        <v>1.2296747967479673</v>
      </c>
      <c r="V540" s="13" cm="1">
        <f t="array" ref="V540">IF(Table8[[#This Row],[I_0]]&lt;Table24[Flitro de Ruido],1,Table8[[#This Row],[I_20]]/Table8[[#This Row],[I_0]])</f>
        <v>1.4258130081300813</v>
      </c>
      <c r="W540" s="13" cm="1">
        <f t="array" ref="W540">IF(Table8[[#This Row],[I_0]]&lt;Table24[Flitro de Ruido],1,Table8[[#This Row],[I_30]]/Table8[[#This Row],[I_0]])</f>
        <v>1.3516260162601625</v>
      </c>
      <c r="X540" s="13" cm="1">
        <f t="array" ref="X540">IF(Table8[[#This Row],[I_0]]&lt;Table24[Flitro de Ruido],1,Table8[[#This Row],[I_40]]/Table8[[#This Row],[I_0]])</f>
        <v>1.6737804878048779</v>
      </c>
      <c r="Y540" s="13" cm="1">
        <f t="array" ref="Y540">IF(Table8[[#This Row],[I_0]]&lt;Table24[Flitro de Ruido],1,Table8[[#This Row],[I_50]]/Table8[[#This Row],[I_0]])</f>
        <v>1.8028455284552845</v>
      </c>
    </row>
    <row r="541" spans="1:25" x14ac:dyDescent="0.3">
      <c r="A541" s="13">
        <v>604.84</v>
      </c>
      <c r="B541" s="12">
        <v>99.1</v>
      </c>
      <c r="C541" s="11">
        <v>604.84</v>
      </c>
      <c r="D541" s="12">
        <v>121.9</v>
      </c>
      <c r="E541" s="11">
        <v>604.84</v>
      </c>
      <c r="F541" s="12">
        <v>141.30000000000001</v>
      </c>
      <c r="G541" s="11">
        <v>604.84</v>
      </c>
      <c r="H541" s="12">
        <v>134.30000000000001</v>
      </c>
      <c r="I541" s="11">
        <v>604.84</v>
      </c>
      <c r="J541" s="12">
        <v>166</v>
      </c>
      <c r="K541" s="11">
        <v>604.84</v>
      </c>
      <c r="L541" s="12">
        <v>178.8</v>
      </c>
      <c r="M541" s="11">
        <v>604.84</v>
      </c>
      <c r="N541" s="13">
        <v>99.1</v>
      </c>
      <c r="O541" s="11">
        <v>121.9</v>
      </c>
      <c r="P541" s="11">
        <v>141.30000000000001</v>
      </c>
      <c r="Q541" s="11">
        <v>134.30000000000001</v>
      </c>
      <c r="R541" s="11">
        <v>166</v>
      </c>
      <c r="S541" s="14">
        <v>178.8</v>
      </c>
      <c r="T541" s="11">
        <v>604.84</v>
      </c>
      <c r="U541" s="13" cm="1">
        <f t="array" ref="U541">IF(Table8[[#This Row],[I_0]]&lt;Table24[Flitro de Ruido],1,Table8[[#This Row],[I_10]]/Table8[[#This Row],[I_0]])</f>
        <v>1.2300706357214937</v>
      </c>
      <c r="V541" s="13" cm="1">
        <f t="array" ref="V541">IF(Table8[[#This Row],[I_0]]&lt;Table24[Flitro de Ruido],1,Table8[[#This Row],[I_20]]/Table8[[#This Row],[I_0]])</f>
        <v>1.4258324924318873</v>
      </c>
      <c r="W541" s="13" cm="1">
        <f t="array" ref="W541">IF(Table8[[#This Row],[I_0]]&lt;Table24[Flitro de Ruido],1,Table8[[#This Row],[I_30]]/Table8[[#This Row],[I_0]])</f>
        <v>1.3551967709384463</v>
      </c>
      <c r="X541" s="13" cm="1">
        <f t="array" ref="X541">IF(Table8[[#This Row],[I_0]]&lt;Table24[Flitro de Ruido],1,Table8[[#This Row],[I_40]]/Table8[[#This Row],[I_0]])</f>
        <v>1.6750756811301717</v>
      </c>
      <c r="Y541" s="13" cm="1">
        <f t="array" ref="Y541">IF(Table8[[#This Row],[I_0]]&lt;Table24[Flitro de Ruido],1,Table8[[#This Row],[I_50]]/Table8[[#This Row],[I_0]])</f>
        <v>1.8042381432896066</v>
      </c>
    </row>
    <row r="542" spans="1:25" x14ac:dyDescent="0.3">
      <c r="A542" s="13">
        <v>605.83000000000004</v>
      </c>
      <c r="B542" s="12">
        <v>100.2</v>
      </c>
      <c r="C542" s="11">
        <v>605.83000000000004</v>
      </c>
      <c r="D542" s="12">
        <v>123.4</v>
      </c>
      <c r="E542" s="11">
        <v>605.83000000000004</v>
      </c>
      <c r="F542" s="12">
        <v>143</v>
      </c>
      <c r="G542" s="11">
        <v>605.83000000000004</v>
      </c>
      <c r="H542" s="12">
        <v>136.19999999999999</v>
      </c>
      <c r="I542" s="11">
        <v>605.83000000000004</v>
      </c>
      <c r="J542" s="12">
        <v>168.1</v>
      </c>
      <c r="K542" s="11">
        <v>605.83000000000004</v>
      </c>
      <c r="L542" s="12">
        <v>181.1</v>
      </c>
      <c r="M542" s="11">
        <v>605.83000000000004</v>
      </c>
      <c r="N542" s="13">
        <v>100.2</v>
      </c>
      <c r="O542" s="11">
        <v>123.4</v>
      </c>
      <c r="P542" s="11">
        <v>143</v>
      </c>
      <c r="Q542" s="11">
        <v>136.19999999999999</v>
      </c>
      <c r="R542" s="11">
        <v>168.1</v>
      </c>
      <c r="S542" s="14">
        <v>181.1</v>
      </c>
      <c r="T542" s="11">
        <v>605.83000000000004</v>
      </c>
      <c r="U542" s="13" cm="1">
        <f t="array" ref="U542">IF(Table8[[#This Row],[I_0]]&lt;Table24[Flitro de Ruido],1,Table8[[#This Row],[I_10]]/Table8[[#This Row],[I_0]])</f>
        <v>1.2315369261477047</v>
      </c>
      <c r="V542" s="13" cm="1">
        <f t="array" ref="V542">IF(Table8[[#This Row],[I_0]]&lt;Table24[Flitro de Ruido],1,Table8[[#This Row],[I_20]]/Table8[[#This Row],[I_0]])</f>
        <v>1.4271457085828343</v>
      </c>
      <c r="W542" s="13" cm="1">
        <f t="array" ref="W542">IF(Table8[[#This Row],[I_0]]&lt;Table24[Flitro de Ruido],1,Table8[[#This Row],[I_30]]/Table8[[#This Row],[I_0]])</f>
        <v>1.3592814371257484</v>
      </c>
      <c r="X542" s="13" cm="1">
        <f t="array" ref="X542">IF(Table8[[#This Row],[I_0]]&lt;Table24[Flitro de Ruido],1,Table8[[#This Row],[I_40]]/Table8[[#This Row],[I_0]])</f>
        <v>1.6776447105788421</v>
      </c>
      <c r="Y542" s="13" cm="1">
        <f t="array" ref="Y542">IF(Table8[[#This Row],[I_0]]&lt;Table24[Flitro de Ruido],1,Table8[[#This Row],[I_50]]/Table8[[#This Row],[I_0]])</f>
        <v>1.8073852295409181</v>
      </c>
    </row>
    <row r="543" spans="1:25" x14ac:dyDescent="0.3">
      <c r="A543" s="13">
        <v>606.83000000000004</v>
      </c>
      <c r="B543" s="12">
        <v>101.2</v>
      </c>
      <c r="C543" s="11">
        <v>606.83000000000004</v>
      </c>
      <c r="D543" s="12">
        <v>124.7</v>
      </c>
      <c r="E543" s="11">
        <v>606.83000000000004</v>
      </c>
      <c r="F543" s="12">
        <v>144.4</v>
      </c>
      <c r="G543" s="11">
        <v>606.83000000000004</v>
      </c>
      <c r="H543" s="12">
        <v>137.80000000000001</v>
      </c>
      <c r="I543" s="11">
        <v>606.83000000000004</v>
      </c>
      <c r="J543" s="12">
        <v>169.9</v>
      </c>
      <c r="K543" s="11">
        <v>606.83000000000004</v>
      </c>
      <c r="L543" s="12">
        <v>183</v>
      </c>
      <c r="M543" s="11">
        <v>606.83000000000004</v>
      </c>
      <c r="N543" s="13">
        <v>101.2</v>
      </c>
      <c r="O543" s="11">
        <v>124.7</v>
      </c>
      <c r="P543" s="11">
        <v>144.4</v>
      </c>
      <c r="Q543" s="11">
        <v>137.80000000000001</v>
      </c>
      <c r="R543" s="11">
        <v>169.9</v>
      </c>
      <c r="S543" s="14">
        <v>183</v>
      </c>
      <c r="T543" s="11">
        <v>606.83000000000004</v>
      </c>
      <c r="U543" s="13" cm="1">
        <f t="array" ref="U543">IF(Table8[[#This Row],[I_0]]&lt;Table24[Flitro de Ruido],1,Table8[[#This Row],[I_10]]/Table8[[#This Row],[I_0]])</f>
        <v>1.232213438735178</v>
      </c>
      <c r="V543" s="13" cm="1">
        <f t="array" ref="V543">IF(Table8[[#This Row],[I_0]]&lt;Table24[Flitro de Ruido],1,Table8[[#This Row],[I_20]]/Table8[[#This Row],[I_0]])</f>
        <v>1.4268774703557312</v>
      </c>
      <c r="W543" s="13" cm="1">
        <f t="array" ref="W543">IF(Table8[[#This Row],[I_0]]&lt;Table24[Flitro de Ruido],1,Table8[[#This Row],[I_30]]/Table8[[#This Row],[I_0]])</f>
        <v>1.3616600790513835</v>
      </c>
      <c r="X543" s="13" cm="1">
        <f t="array" ref="X543">IF(Table8[[#This Row],[I_0]]&lt;Table24[Flitro de Ruido],1,Table8[[#This Row],[I_40]]/Table8[[#This Row],[I_0]])</f>
        <v>1.6788537549407114</v>
      </c>
      <c r="Y543" s="13" cm="1">
        <f t="array" ref="Y543">IF(Table8[[#This Row],[I_0]]&lt;Table24[Flitro de Ruido],1,Table8[[#This Row],[I_50]]/Table8[[#This Row],[I_0]])</f>
        <v>1.808300395256917</v>
      </c>
    </row>
    <row r="544" spans="1:25" x14ac:dyDescent="0.3">
      <c r="A544" s="13">
        <v>607.82000000000005</v>
      </c>
      <c r="B544" s="12">
        <v>102.6</v>
      </c>
      <c r="C544" s="11">
        <v>607.82000000000005</v>
      </c>
      <c r="D544" s="12">
        <v>126.6</v>
      </c>
      <c r="E544" s="11">
        <v>607.82000000000005</v>
      </c>
      <c r="F544" s="12">
        <v>146.4</v>
      </c>
      <c r="G544" s="11">
        <v>607.82000000000005</v>
      </c>
      <c r="H544" s="12">
        <v>140</v>
      </c>
      <c r="I544" s="11">
        <v>607.82000000000005</v>
      </c>
      <c r="J544" s="12">
        <v>172.4</v>
      </c>
      <c r="K544" s="11">
        <v>607.82000000000005</v>
      </c>
      <c r="L544" s="12">
        <v>185.7</v>
      </c>
      <c r="M544" s="11">
        <v>607.82000000000005</v>
      </c>
      <c r="N544" s="13">
        <v>102.6</v>
      </c>
      <c r="O544" s="11">
        <v>126.6</v>
      </c>
      <c r="P544" s="11">
        <v>146.4</v>
      </c>
      <c r="Q544" s="11">
        <v>140</v>
      </c>
      <c r="R544" s="11">
        <v>172.4</v>
      </c>
      <c r="S544" s="14">
        <v>185.7</v>
      </c>
      <c r="T544" s="11">
        <v>607.82000000000005</v>
      </c>
      <c r="U544" s="13" cm="1">
        <f t="array" ref="U544">IF(Table8[[#This Row],[I_0]]&lt;Table24[Flitro de Ruido],1,Table8[[#This Row],[I_10]]/Table8[[#This Row],[I_0]])</f>
        <v>1.2339181286549707</v>
      </c>
      <c r="V544" s="13" cm="1">
        <f t="array" ref="V544">IF(Table8[[#This Row],[I_0]]&lt;Table24[Flitro de Ruido],1,Table8[[#This Row],[I_20]]/Table8[[#This Row],[I_0]])</f>
        <v>1.4269005847953218</v>
      </c>
      <c r="W544" s="13" cm="1">
        <f t="array" ref="W544">IF(Table8[[#This Row],[I_0]]&lt;Table24[Flitro de Ruido],1,Table8[[#This Row],[I_30]]/Table8[[#This Row],[I_0]])</f>
        <v>1.3645224171539962</v>
      </c>
      <c r="X544" s="13" cm="1">
        <f t="array" ref="X544">IF(Table8[[#This Row],[I_0]]&lt;Table24[Flitro de Ruido],1,Table8[[#This Row],[I_40]]/Table8[[#This Row],[I_0]])</f>
        <v>1.6803118908382069</v>
      </c>
      <c r="Y544" s="13" cm="1">
        <f t="array" ref="Y544">IF(Table8[[#This Row],[I_0]]&lt;Table24[Flitro de Ruido],1,Table8[[#This Row],[I_50]]/Table8[[#This Row],[I_0]])</f>
        <v>1.8099415204678362</v>
      </c>
    </row>
    <row r="545" spans="1:25" x14ac:dyDescent="0.3">
      <c r="A545" s="13">
        <v>608.80999999999995</v>
      </c>
      <c r="B545" s="12">
        <v>104</v>
      </c>
      <c r="C545" s="11">
        <v>608.80999999999995</v>
      </c>
      <c r="D545" s="12">
        <v>128.30000000000001</v>
      </c>
      <c r="E545" s="11">
        <v>608.80999999999995</v>
      </c>
      <c r="F545" s="12">
        <v>148.4</v>
      </c>
      <c r="G545" s="11">
        <v>608.80999999999995</v>
      </c>
      <c r="H545" s="12">
        <v>142</v>
      </c>
      <c r="I545" s="11">
        <v>608.80999999999995</v>
      </c>
      <c r="J545" s="12">
        <v>174.7</v>
      </c>
      <c r="K545" s="11">
        <v>608.80999999999995</v>
      </c>
      <c r="L545" s="12">
        <v>188.1</v>
      </c>
      <c r="M545" s="11">
        <v>608.80999999999995</v>
      </c>
      <c r="N545" s="13">
        <v>104</v>
      </c>
      <c r="O545" s="11">
        <v>128.30000000000001</v>
      </c>
      <c r="P545" s="11">
        <v>148.4</v>
      </c>
      <c r="Q545" s="11">
        <v>142</v>
      </c>
      <c r="R545" s="11">
        <v>174.7</v>
      </c>
      <c r="S545" s="14">
        <v>188.1</v>
      </c>
      <c r="T545" s="11">
        <v>608.80999999999995</v>
      </c>
      <c r="U545" s="13" cm="1">
        <f t="array" ref="U545">IF(Table8[[#This Row],[I_0]]&lt;Table24[Flitro de Ruido],1,Table8[[#This Row],[I_10]]/Table8[[#This Row],[I_0]])</f>
        <v>1.2336538461538462</v>
      </c>
      <c r="V545" s="13" cm="1">
        <f t="array" ref="V545">IF(Table8[[#This Row],[I_0]]&lt;Table24[Flitro de Ruido],1,Table8[[#This Row],[I_20]]/Table8[[#This Row],[I_0]])</f>
        <v>1.426923076923077</v>
      </c>
      <c r="W545" s="13" cm="1">
        <f t="array" ref="W545">IF(Table8[[#This Row],[I_0]]&lt;Table24[Flitro de Ruido],1,Table8[[#This Row],[I_30]]/Table8[[#This Row],[I_0]])</f>
        <v>1.3653846153846154</v>
      </c>
      <c r="X545" s="13" cm="1">
        <f t="array" ref="X545">IF(Table8[[#This Row],[I_0]]&lt;Table24[Flitro de Ruido],1,Table8[[#This Row],[I_40]]/Table8[[#This Row],[I_0]])</f>
        <v>1.6798076923076921</v>
      </c>
      <c r="Y545" s="13" cm="1">
        <f t="array" ref="Y545">IF(Table8[[#This Row],[I_0]]&lt;Table24[Flitro de Ruido],1,Table8[[#This Row],[I_50]]/Table8[[#This Row],[I_0]])</f>
        <v>1.8086538461538462</v>
      </c>
    </row>
    <row r="546" spans="1:25" x14ac:dyDescent="0.3">
      <c r="A546" s="13">
        <v>609.79999999999995</v>
      </c>
      <c r="B546" s="12">
        <v>106</v>
      </c>
      <c r="C546" s="11">
        <v>609.79999999999995</v>
      </c>
      <c r="D546" s="12">
        <v>130.80000000000001</v>
      </c>
      <c r="E546" s="11">
        <v>609.79999999999995</v>
      </c>
      <c r="F546" s="12">
        <v>151.19999999999999</v>
      </c>
      <c r="G546" s="11">
        <v>609.79999999999995</v>
      </c>
      <c r="H546" s="12">
        <v>144.80000000000001</v>
      </c>
      <c r="I546" s="11">
        <v>609.79999999999995</v>
      </c>
      <c r="J546" s="12">
        <v>178</v>
      </c>
      <c r="K546" s="11">
        <v>609.79999999999995</v>
      </c>
      <c r="L546" s="12">
        <v>191.7</v>
      </c>
      <c r="M546" s="11">
        <v>609.79999999999995</v>
      </c>
      <c r="N546" s="13">
        <v>106</v>
      </c>
      <c r="O546" s="11">
        <v>130.80000000000001</v>
      </c>
      <c r="P546" s="11">
        <v>151.19999999999999</v>
      </c>
      <c r="Q546" s="11">
        <v>144.80000000000001</v>
      </c>
      <c r="R546" s="11">
        <v>178</v>
      </c>
      <c r="S546" s="14">
        <v>191.7</v>
      </c>
      <c r="T546" s="11">
        <v>609.79999999999995</v>
      </c>
      <c r="U546" s="13" cm="1">
        <f t="array" ref="U546">IF(Table8[[#This Row],[I_0]]&lt;Table24[Flitro de Ruido],1,Table8[[#This Row],[I_10]]/Table8[[#This Row],[I_0]])</f>
        <v>1.2339622641509436</v>
      </c>
      <c r="V546" s="13" cm="1">
        <f t="array" ref="V546">IF(Table8[[#This Row],[I_0]]&lt;Table24[Flitro de Ruido],1,Table8[[#This Row],[I_20]]/Table8[[#This Row],[I_0]])</f>
        <v>1.4264150943396225</v>
      </c>
      <c r="W546" s="13" cm="1">
        <f t="array" ref="W546">IF(Table8[[#This Row],[I_0]]&lt;Table24[Flitro de Ruido],1,Table8[[#This Row],[I_30]]/Table8[[#This Row],[I_0]])</f>
        <v>1.3660377358490567</v>
      </c>
      <c r="X546" s="13" cm="1">
        <f t="array" ref="X546">IF(Table8[[#This Row],[I_0]]&lt;Table24[Flitro de Ruido],1,Table8[[#This Row],[I_40]]/Table8[[#This Row],[I_0]])</f>
        <v>1.679245283018868</v>
      </c>
      <c r="Y546" s="13" cm="1">
        <f t="array" ref="Y546">IF(Table8[[#This Row],[I_0]]&lt;Table24[Flitro de Ruido],1,Table8[[#This Row],[I_50]]/Table8[[#This Row],[I_0]])</f>
        <v>1.8084905660377357</v>
      </c>
    </row>
    <row r="547" spans="1:25" x14ac:dyDescent="0.3">
      <c r="A547" s="13">
        <v>610.79</v>
      </c>
      <c r="B547" s="12">
        <v>108</v>
      </c>
      <c r="C547" s="11">
        <v>610.79</v>
      </c>
      <c r="D547" s="12">
        <v>133.19999999999999</v>
      </c>
      <c r="E547" s="11">
        <v>610.79</v>
      </c>
      <c r="F547" s="12">
        <v>153.9</v>
      </c>
      <c r="G547" s="11">
        <v>610.79</v>
      </c>
      <c r="H547" s="12">
        <v>147.5</v>
      </c>
      <c r="I547" s="11">
        <v>610.79</v>
      </c>
      <c r="J547" s="12">
        <v>181.1</v>
      </c>
      <c r="K547" s="11">
        <v>610.79</v>
      </c>
      <c r="L547" s="12">
        <v>195</v>
      </c>
      <c r="M547" s="11">
        <v>610.79</v>
      </c>
      <c r="N547" s="13">
        <v>108</v>
      </c>
      <c r="O547" s="11">
        <v>133.19999999999999</v>
      </c>
      <c r="P547" s="11">
        <v>153.9</v>
      </c>
      <c r="Q547" s="11">
        <v>147.5</v>
      </c>
      <c r="R547" s="11">
        <v>181.1</v>
      </c>
      <c r="S547" s="14">
        <v>195</v>
      </c>
      <c r="T547" s="11">
        <v>610.79</v>
      </c>
      <c r="U547" s="13" cm="1">
        <f t="array" ref="U547">IF(Table8[[#This Row],[I_0]]&lt;Table24[Flitro de Ruido],1,Table8[[#This Row],[I_10]]/Table8[[#This Row],[I_0]])</f>
        <v>1.2333333333333332</v>
      </c>
      <c r="V547" s="13" cm="1">
        <f t="array" ref="V547">IF(Table8[[#This Row],[I_0]]&lt;Table24[Flitro de Ruido],1,Table8[[#This Row],[I_20]]/Table8[[#This Row],[I_0]])</f>
        <v>1.425</v>
      </c>
      <c r="W547" s="13" cm="1">
        <f t="array" ref="W547">IF(Table8[[#This Row],[I_0]]&lt;Table24[Flitro de Ruido],1,Table8[[#This Row],[I_30]]/Table8[[#This Row],[I_0]])</f>
        <v>1.3657407407407407</v>
      </c>
      <c r="X547" s="13" cm="1">
        <f t="array" ref="X547">IF(Table8[[#This Row],[I_0]]&lt;Table24[Flitro de Ruido],1,Table8[[#This Row],[I_40]]/Table8[[#This Row],[I_0]])</f>
        <v>1.6768518518518518</v>
      </c>
      <c r="Y547" s="13" cm="1">
        <f t="array" ref="Y547">IF(Table8[[#This Row],[I_0]]&lt;Table24[Flitro de Ruido],1,Table8[[#This Row],[I_50]]/Table8[[#This Row],[I_0]])</f>
        <v>1.8055555555555556</v>
      </c>
    </row>
    <row r="548" spans="1:25" x14ac:dyDescent="0.3">
      <c r="A548" s="13">
        <v>611.78</v>
      </c>
      <c r="B548" s="12">
        <v>110.8</v>
      </c>
      <c r="C548" s="11">
        <v>611.78</v>
      </c>
      <c r="D548" s="12">
        <v>136.6</v>
      </c>
      <c r="E548" s="11">
        <v>611.78</v>
      </c>
      <c r="F548" s="12">
        <v>157.69999999999999</v>
      </c>
      <c r="G548" s="11">
        <v>611.78</v>
      </c>
      <c r="H548" s="12">
        <v>151.4</v>
      </c>
      <c r="I548" s="11">
        <v>611.78</v>
      </c>
      <c r="J548" s="12">
        <v>185.7</v>
      </c>
      <c r="K548" s="11">
        <v>611.78</v>
      </c>
      <c r="L548" s="12">
        <v>199.8</v>
      </c>
      <c r="M548" s="11">
        <v>611.78</v>
      </c>
      <c r="N548" s="13">
        <v>110.8</v>
      </c>
      <c r="O548" s="11">
        <v>136.6</v>
      </c>
      <c r="P548" s="11">
        <v>157.69999999999999</v>
      </c>
      <c r="Q548" s="11">
        <v>151.4</v>
      </c>
      <c r="R548" s="11">
        <v>185.7</v>
      </c>
      <c r="S548" s="14">
        <v>199.8</v>
      </c>
      <c r="T548" s="11">
        <v>611.78</v>
      </c>
      <c r="U548" s="13" cm="1">
        <f t="array" ref="U548">IF(Table8[[#This Row],[I_0]]&lt;Table24[Flitro de Ruido],1,Table8[[#This Row],[I_10]]/Table8[[#This Row],[I_0]])</f>
        <v>1.2328519855595668</v>
      </c>
      <c r="V548" s="13" cm="1">
        <f t="array" ref="V548">IF(Table8[[#This Row],[I_0]]&lt;Table24[Flitro de Ruido],1,Table8[[#This Row],[I_20]]/Table8[[#This Row],[I_0]])</f>
        <v>1.4232851985559567</v>
      </c>
      <c r="W548" s="13" cm="1">
        <f t="array" ref="W548">IF(Table8[[#This Row],[I_0]]&lt;Table24[Flitro de Ruido],1,Table8[[#This Row],[I_30]]/Table8[[#This Row],[I_0]])</f>
        <v>1.3664259927797835</v>
      </c>
      <c r="X548" s="13" cm="1">
        <f t="array" ref="X548">IF(Table8[[#This Row],[I_0]]&lt;Table24[Flitro de Ruido],1,Table8[[#This Row],[I_40]]/Table8[[#This Row],[I_0]])</f>
        <v>1.6759927797833933</v>
      </c>
      <c r="Y548" s="13" cm="1">
        <f t="array" ref="Y548">IF(Table8[[#This Row],[I_0]]&lt;Table24[Flitro de Ruido],1,Table8[[#This Row],[I_50]]/Table8[[#This Row],[I_0]])</f>
        <v>1.8032490974729243</v>
      </c>
    </row>
    <row r="549" spans="1:25" x14ac:dyDescent="0.3">
      <c r="A549" s="13">
        <v>612.78</v>
      </c>
      <c r="B549" s="12">
        <v>113.5</v>
      </c>
      <c r="C549" s="11">
        <v>612.78</v>
      </c>
      <c r="D549" s="12">
        <v>139.6</v>
      </c>
      <c r="E549" s="11">
        <v>612.78</v>
      </c>
      <c r="F549" s="12">
        <v>161.1</v>
      </c>
      <c r="G549" s="11">
        <v>612.78</v>
      </c>
      <c r="H549" s="12">
        <v>154.9</v>
      </c>
      <c r="I549" s="11">
        <v>612.78</v>
      </c>
      <c r="J549" s="12">
        <v>189.7</v>
      </c>
      <c r="K549" s="11">
        <v>612.78</v>
      </c>
      <c r="L549" s="12">
        <v>204</v>
      </c>
      <c r="M549" s="11">
        <v>612.78</v>
      </c>
      <c r="N549" s="13">
        <v>113.5</v>
      </c>
      <c r="O549" s="11">
        <v>139.6</v>
      </c>
      <c r="P549" s="11">
        <v>161.1</v>
      </c>
      <c r="Q549" s="11">
        <v>154.9</v>
      </c>
      <c r="R549" s="11">
        <v>189.7</v>
      </c>
      <c r="S549" s="14">
        <v>204</v>
      </c>
      <c r="T549" s="11">
        <v>612.78</v>
      </c>
      <c r="U549" s="13" cm="1">
        <f t="array" ref="U549">IF(Table8[[#This Row],[I_0]]&lt;Table24[Flitro de Ruido],1,Table8[[#This Row],[I_10]]/Table8[[#This Row],[I_0]])</f>
        <v>1.2299559471365638</v>
      </c>
      <c r="V549" s="13" cm="1">
        <f t="array" ref="V549">IF(Table8[[#This Row],[I_0]]&lt;Table24[Flitro de Ruido],1,Table8[[#This Row],[I_20]]/Table8[[#This Row],[I_0]])</f>
        <v>1.4193832599118943</v>
      </c>
      <c r="W549" s="13" cm="1">
        <f t="array" ref="W549">IF(Table8[[#This Row],[I_0]]&lt;Table24[Flitro de Ruido],1,Table8[[#This Row],[I_30]]/Table8[[#This Row],[I_0]])</f>
        <v>1.3647577092511014</v>
      </c>
      <c r="X549" s="13" cm="1">
        <f t="array" ref="X549">IF(Table8[[#This Row],[I_0]]&lt;Table24[Flitro de Ruido],1,Table8[[#This Row],[I_40]]/Table8[[#This Row],[I_0]])</f>
        <v>1.6713656387665197</v>
      </c>
      <c r="Y549" s="13" cm="1">
        <f t="array" ref="Y549">IF(Table8[[#This Row],[I_0]]&lt;Table24[Flitro de Ruido],1,Table8[[#This Row],[I_50]]/Table8[[#This Row],[I_0]])</f>
        <v>1.7973568281938326</v>
      </c>
    </row>
    <row r="550" spans="1:25" x14ac:dyDescent="0.3">
      <c r="A550" s="13">
        <v>613.77</v>
      </c>
      <c r="B550" s="12">
        <v>117.5</v>
      </c>
      <c r="C550" s="11">
        <v>613.77</v>
      </c>
      <c r="D550" s="12">
        <v>144.19999999999999</v>
      </c>
      <c r="E550" s="11">
        <v>613.77</v>
      </c>
      <c r="F550" s="12">
        <v>166.3</v>
      </c>
      <c r="G550" s="11">
        <v>613.77</v>
      </c>
      <c r="H550" s="12">
        <v>160.1</v>
      </c>
      <c r="I550" s="11">
        <v>613.77</v>
      </c>
      <c r="J550" s="12">
        <v>195.7</v>
      </c>
      <c r="K550" s="11">
        <v>613.77</v>
      </c>
      <c r="L550" s="12">
        <v>210.3</v>
      </c>
      <c r="M550" s="11">
        <v>613.77</v>
      </c>
      <c r="N550" s="13">
        <v>117.5</v>
      </c>
      <c r="O550" s="11">
        <v>144.19999999999999</v>
      </c>
      <c r="P550" s="11">
        <v>166.3</v>
      </c>
      <c r="Q550" s="11">
        <v>160.1</v>
      </c>
      <c r="R550" s="11">
        <v>195.7</v>
      </c>
      <c r="S550" s="14">
        <v>210.3</v>
      </c>
      <c r="T550" s="11">
        <v>613.77</v>
      </c>
      <c r="U550" s="13" cm="1">
        <f t="array" ref="U550">IF(Table8[[#This Row],[I_0]]&lt;Table24[Flitro de Ruido],1,Table8[[#This Row],[I_10]]/Table8[[#This Row],[I_0]])</f>
        <v>1.2272340425531914</v>
      </c>
      <c r="V550" s="13" cm="1">
        <f t="array" ref="V550">IF(Table8[[#This Row],[I_0]]&lt;Table24[Flitro de Ruido],1,Table8[[#This Row],[I_20]]/Table8[[#This Row],[I_0]])</f>
        <v>1.4153191489361703</v>
      </c>
      <c r="W550" s="13" cm="1">
        <f t="array" ref="W550">IF(Table8[[#This Row],[I_0]]&lt;Table24[Flitro de Ruido],1,Table8[[#This Row],[I_30]]/Table8[[#This Row],[I_0]])</f>
        <v>1.3625531914893616</v>
      </c>
      <c r="X550" s="13" cm="1">
        <f t="array" ref="X550">IF(Table8[[#This Row],[I_0]]&lt;Table24[Flitro de Ruido],1,Table8[[#This Row],[I_40]]/Table8[[#This Row],[I_0]])</f>
        <v>1.665531914893617</v>
      </c>
      <c r="Y550" s="13" cm="1">
        <f t="array" ref="Y550">IF(Table8[[#This Row],[I_0]]&lt;Table24[Flitro de Ruido],1,Table8[[#This Row],[I_50]]/Table8[[#This Row],[I_0]])</f>
        <v>1.7897872340425534</v>
      </c>
    </row>
    <row r="551" spans="1:25" x14ac:dyDescent="0.3">
      <c r="A551" s="13">
        <v>614.76</v>
      </c>
      <c r="B551" s="12">
        <v>120.4</v>
      </c>
      <c r="C551" s="11">
        <v>614.76</v>
      </c>
      <c r="D551" s="12">
        <v>147.5</v>
      </c>
      <c r="E551" s="11">
        <v>614.76</v>
      </c>
      <c r="F551" s="12">
        <v>170</v>
      </c>
      <c r="G551" s="11">
        <v>614.76</v>
      </c>
      <c r="H551" s="12">
        <v>163.9</v>
      </c>
      <c r="I551" s="11">
        <v>614.76</v>
      </c>
      <c r="J551" s="12">
        <v>199.9</v>
      </c>
      <c r="K551" s="11">
        <v>614.76</v>
      </c>
      <c r="L551" s="12">
        <v>214.7</v>
      </c>
      <c r="M551" s="11">
        <v>614.76</v>
      </c>
      <c r="N551" s="13">
        <v>120.4</v>
      </c>
      <c r="O551" s="11">
        <v>147.5</v>
      </c>
      <c r="P551" s="11">
        <v>170</v>
      </c>
      <c r="Q551" s="11">
        <v>163.9</v>
      </c>
      <c r="R551" s="11">
        <v>199.9</v>
      </c>
      <c r="S551" s="14">
        <v>214.7</v>
      </c>
      <c r="T551" s="11">
        <v>614.76</v>
      </c>
      <c r="U551" s="13" cm="1">
        <f t="array" ref="U551">IF(Table8[[#This Row],[I_0]]&lt;Table24[Flitro de Ruido],1,Table8[[#This Row],[I_10]]/Table8[[#This Row],[I_0]])</f>
        <v>1.2250830564784052</v>
      </c>
      <c r="V551" s="13" cm="1">
        <f t="array" ref="V551">IF(Table8[[#This Row],[I_0]]&lt;Table24[Flitro de Ruido],1,Table8[[#This Row],[I_20]]/Table8[[#This Row],[I_0]])</f>
        <v>1.4119601328903655</v>
      </c>
      <c r="W551" s="13" cm="1">
        <f t="array" ref="W551">IF(Table8[[#This Row],[I_0]]&lt;Table24[Flitro de Ruido],1,Table8[[#This Row],[I_30]]/Table8[[#This Row],[I_0]])</f>
        <v>1.3612956810631229</v>
      </c>
      <c r="X551" s="13" cm="1">
        <f t="array" ref="X551">IF(Table8[[#This Row],[I_0]]&lt;Table24[Flitro de Ruido],1,Table8[[#This Row],[I_40]]/Table8[[#This Row],[I_0]])</f>
        <v>1.6602990033222591</v>
      </c>
      <c r="Y551" s="13" cm="1">
        <f t="array" ref="Y551">IF(Table8[[#This Row],[I_0]]&lt;Table24[Flitro de Ruido],1,Table8[[#This Row],[I_50]]/Table8[[#This Row],[I_0]])</f>
        <v>1.783222591362126</v>
      </c>
    </row>
    <row r="552" spans="1:25" x14ac:dyDescent="0.3">
      <c r="A552" s="13">
        <v>615.75</v>
      </c>
      <c r="B552" s="12">
        <v>124.8</v>
      </c>
      <c r="C552" s="11">
        <v>615.75</v>
      </c>
      <c r="D552" s="12">
        <v>152.5</v>
      </c>
      <c r="E552" s="11">
        <v>615.75</v>
      </c>
      <c r="F552" s="12">
        <v>175.6</v>
      </c>
      <c r="G552" s="11">
        <v>615.75</v>
      </c>
      <c r="H552" s="12">
        <v>169.6</v>
      </c>
      <c r="I552" s="11">
        <v>615.75</v>
      </c>
      <c r="J552" s="12">
        <v>206.4</v>
      </c>
      <c r="K552" s="11">
        <v>615.75</v>
      </c>
      <c r="L552" s="12">
        <v>221.4</v>
      </c>
      <c r="M552" s="11">
        <v>615.75</v>
      </c>
      <c r="N552" s="13">
        <v>124.8</v>
      </c>
      <c r="O552" s="11">
        <v>152.5</v>
      </c>
      <c r="P552" s="11">
        <v>175.6</v>
      </c>
      <c r="Q552" s="11">
        <v>169.6</v>
      </c>
      <c r="R552" s="11">
        <v>206.4</v>
      </c>
      <c r="S552" s="14">
        <v>221.4</v>
      </c>
      <c r="T552" s="11">
        <v>615.75</v>
      </c>
      <c r="U552" s="13" cm="1">
        <f t="array" ref="U552">IF(Table8[[#This Row],[I_0]]&lt;Table24[Flitro de Ruido],1,Table8[[#This Row],[I_10]]/Table8[[#This Row],[I_0]])</f>
        <v>1.2219551282051282</v>
      </c>
      <c r="V552" s="13" cm="1">
        <f t="array" ref="V552">IF(Table8[[#This Row],[I_0]]&lt;Table24[Flitro de Ruido],1,Table8[[#This Row],[I_20]]/Table8[[#This Row],[I_0]])</f>
        <v>1.4070512820512819</v>
      </c>
      <c r="W552" s="13" cm="1">
        <f t="array" ref="W552">IF(Table8[[#This Row],[I_0]]&lt;Table24[Flitro de Ruido],1,Table8[[#This Row],[I_30]]/Table8[[#This Row],[I_0]])</f>
        <v>1.358974358974359</v>
      </c>
      <c r="X552" s="13" cm="1">
        <f t="array" ref="X552">IF(Table8[[#This Row],[I_0]]&lt;Table24[Flitro de Ruido],1,Table8[[#This Row],[I_40]]/Table8[[#This Row],[I_0]])</f>
        <v>1.653846153846154</v>
      </c>
      <c r="Y552" s="13" cm="1">
        <f t="array" ref="Y552">IF(Table8[[#This Row],[I_0]]&lt;Table24[Flitro de Ruido],1,Table8[[#This Row],[I_50]]/Table8[[#This Row],[I_0]])</f>
        <v>1.7740384615384617</v>
      </c>
    </row>
    <row r="553" spans="1:25" x14ac:dyDescent="0.3">
      <c r="A553" s="13">
        <v>616.74</v>
      </c>
      <c r="B553" s="12">
        <v>126.9</v>
      </c>
      <c r="C553" s="11">
        <v>616.74</v>
      </c>
      <c r="D553" s="12">
        <v>154.69999999999999</v>
      </c>
      <c r="E553" s="11">
        <v>616.74</v>
      </c>
      <c r="F553" s="12">
        <v>178.1</v>
      </c>
      <c r="G553" s="11">
        <v>616.74</v>
      </c>
      <c r="H553" s="12">
        <v>172.3</v>
      </c>
      <c r="I553" s="11">
        <v>616.74</v>
      </c>
      <c r="J553" s="12">
        <v>209.2</v>
      </c>
      <c r="K553" s="11">
        <v>616.74</v>
      </c>
      <c r="L553" s="12">
        <v>224.4</v>
      </c>
      <c r="M553" s="11">
        <v>616.74</v>
      </c>
      <c r="N553" s="13">
        <v>126.9</v>
      </c>
      <c r="O553" s="11">
        <v>154.69999999999999</v>
      </c>
      <c r="P553" s="11">
        <v>178.1</v>
      </c>
      <c r="Q553" s="11">
        <v>172.3</v>
      </c>
      <c r="R553" s="11">
        <v>209.2</v>
      </c>
      <c r="S553" s="14">
        <v>224.4</v>
      </c>
      <c r="T553" s="11">
        <v>616.74</v>
      </c>
      <c r="U553" s="13" cm="1">
        <f t="array" ref="U553">IF(Table8[[#This Row],[I_0]]&lt;Table24[Flitro de Ruido],1,Table8[[#This Row],[I_10]]/Table8[[#This Row],[I_0]])</f>
        <v>1.2190701339637509</v>
      </c>
      <c r="V553" s="13" cm="1">
        <f t="array" ref="V553">IF(Table8[[#This Row],[I_0]]&lt;Table24[Flitro de Ruido],1,Table8[[#This Row],[I_20]]/Table8[[#This Row],[I_0]])</f>
        <v>1.4034672970843183</v>
      </c>
      <c r="W553" s="13" cm="1">
        <f t="array" ref="W553">IF(Table8[[#This Row],[I_0]]&lt;Table24[Flitro de Ruido],1,Table8[[#This Row],[I_30]]/Table8[[#This Row],[I_0]])</f>
        <v>1.3577620173364855</v>
      </c>
      <c r="X553" s="13" cm="1">
        <f t="array" ref="X553">IF(Table8[[#This Row],[I_0]]&lt;Table24[Flitro de Ruido],1,Table8[[#This Row],[I_40]]/Table8[[#This Row],[I_0]])</f>
        <v>1.648542159180457</v>
      </c>
      <c r="Y553" s="13" cm="1">
        <f t="array" ref="Y553">IF(Table8[[#This Row],[I_0]]&lt;Table24[Flitro de Ruido],1,Table8[[#This Row],[I_50]]/Table8[[#This Row],[I_0]])</f>
        <v>1.768321513002364</v>
      </c>
    </row>
    <row r="554" spans="1:25" x14ac:dyDescent="0.3">
      <c r="A554" s="13">
        <v>617.73</v>
      </c>
      <c r="B554" s="12">
        <v>128.80000000000001</v>
      </c>
      <c r="C554" s="11">
        <v>617.73</v>
      </c>
      <c r="D554" s="12">
        <v>156.69999999999999</v>
      </c>
      <c r="E554" s="11">
        <v>617.73</v>
      </c>
      <c r="F554" s="12">
        <v>180.3</v>
      </c>
      <c r="G554" s="11">
        <v>617.73</v>
      </c>
      <c r="H554" s="12">
        <v>174.6</v>
      </c>
      <c r="I554" s="11">
        <v>617.73</v>
      </c>
      <c r="J554" s="12">
        <v>211.6</v>
      </c>
      <c r="K554" s="11">
        <v>617.73</v>
      </c>
      <c r="L554" s="12">
        <v>226.8</v>
      </c>
      <c r="M554" s="11">
        <v>617.73</v>
      </c>
      <c r="N554" s="13">
        <v>128.80000000000001</v>
      </c>
      <c r="O554" s="11">
        <v>156.69999999999999</v>
      </c>
      <c r="P554" s="11">
        <v>180.3</v>
      </c>
      <c r="Q554" s="11">
        <v>174.6</v>
      </c>
      <c r="R554" s="11">
        <v>211.6</v>
      </c>
      <c r="S554" s="14">
        <v>226.8</v>
      </c>
      <c r="T554" s="11">
        <v>617.73</v>
      </c>
      <c r="U554" s="13" cm="1">
        <f t="array" ref="U554">IF(Table8[[#This Row],[I_0]]&lt;Table24[Flitro de Ruido],1,Table8[[#This Row],[I_10]]/Table8[[#This Row],[I_0]])</f>
        <v>1.216614906832298</v>
      </c>
      <c r="V554" s="13" cm="1">
        <f t="array" ref="V554">IF(Table8[[#This Row],[I_0]]&lt;Table24[Flitro de Ruido],1,Table8[[#This Row],[I_20]]/Table8[[#This Row],[I_0]])</f>
        <v>1.3998447204968945</v>
      </c>
      <c r="W554" s="13" cm="1">
        <f t="array" ref="W554">IF(Table8[[#This Row],[I_0]]&lt;Table24[Flitro de Ruido],1,Table8[[#This Row],[I_30]]/Table8[[#This Row],[I_0]])</f>
        <v>1.3555900621118011</v>
      </c>
      <c r="X554" s="13" cm="1">
        <f t="array" ref="X554">IF(Table8[[#This Row],[I_0]]&lt;Table24[Flitro de Ruido],1,Table8[[#This Row],[I_40]]/Table8[[#This Row],[I_0]])</f>
        <v>1.6428571428571426</v>
      </c>
      <c r="Y554" s="13" cm="1">
        <f t="array" ref="Y554">IF(Table8[[#This Row],[I_0]]&lt;Table24[Flitro de Ruido],1,Table8[[#This Row],[I_50]]/Table8[[#This Row],[I_0]])</f>
        <v>1.7608695652173911</v>
      </c>
    </row>
    <row r="555" spans="1:25" x14ac:dyDescent="0.3">
      <c r="A555" s="13">
        <v>618.73</v>
      </c>
      <c r="B555" s="12">
        <v>132.30000000000001</v>
      </c>
      <c r="C555" s="11">
        <v>618.73</v>
      </c>
      <c r="D555" s="12">
        <v>160.5</v>
      </c>
      <c r="E555" s="11">
        <v>618.73</v>
      </c>
      <c r="F555" s="12">
        <v>184.5</v>
      </c>
      <c r="G555" s="11">
        <v>618.73</v>
      </c>
      <c r="H555" s="12">
        <v>178.9</v>
      </c>
      <c r="I555" s="11">
        <v>618.73</v>
      </c>
      <c r="J555" s="12">
        <v>216.3</v>
      </c>
      <c r="K555" s="11">
        <v>618.73</v>
      </c>
      <c r="L555" s="12">
        <v>231.5</v>
      </c>
      <c r="M555" s="11">
        <v>618.73</v>
      </c>
      <c r="N555" s="13">
        <v>132.30000000000001</v>
      </c>
      <c r="O555" s="11">
        <v>160.5</v>
      </c>
      <c r="P555" s="11">
        <v>184.5</v>
      </c>
      <c r="Q555" s="11">
        <v>178.9</v>
      </c>
      <c r="R555" s="11">
        <v>216.3</v>
      </c>
      <c r="S555" s="14">
        <v>231.5</v>
      </c>
      <c r="T555" s="11">
        <v>618.73</v>
      </c>
      <c r="U555" s="13" cm="1">
        <f t="array" ref="U555">IF(Table8[[#This Row],[I_0]]&lt;Table24[Flitro de Ruido],1,Table8[[#This Row],[I_10]]/Table8[[#This Row],[I_0]])</f>
        <v>1.2131519274376417</v>
      </c>
      <c r="V555" s="13" cm="1">
        <f t="array" ref="V555">IF(Table8[[#This Row],[I_0]]&lt;Table24[Flitro de Ruido],1,Table8[[#This Row],[I_20]]/Table8[[#This Row],[I_0]])</f>
        <v>1.3945578231292515</v>
      </c>
      <c r="W555" s="13" cm="1">
        <f t="array" ref="W555">IF(Table8[[#This Row],[I_0]]&lt;Table24[Flitro de Ruido],1,Table8[[#This Row],[I_30]]/Table8[[#This Row],[I_0]])</f>
        <v>1.3522297808012094</v>
      </c>
      <c r="X555" s="13" cm="1">
        <f t="array" ref="X555">IF(Table8[[#This Row],[I_0]]&lt;Table24[Flitro de Ruido],1,Table8[[#This Row],[I_40]]/Table8[[#This Row],[I_0]])</f>
        <v>1.6349206349206349</v>
      </c>
      <c r="Y555" s="13" cm="1">
        <f t="array" ref="Y555">IF(Table8[[#This Row],[I_0]]&lt;Table24[Flitro de Ruido],1,Table8[[#This Row],[I_50]]/Table8[[#This Row],[I_0]])</f>
        <v>1.7498110355253211</v>
      </c>
    </row>
    <row r="556" spans="1:25" x14ac:dyDescent="0.3">
      <c r="A556" s="13">
        <v>619.72</v>
      </c>
      <c r="B556" s="12">
        <v>131.9</v>
      </c>
      <c r="C556" s="11">
        <v>619.72</v>
      </c>
      <c r="D556" s="12">
        <v>159.9</v>
      </c>
      <c r="E556" s="11">
        <v>619.72</v>
      </c>
      <c r="F556" s="12">
        <v>183.7</v>
      </c>
      <c r="G556" s="11">
        <v>619.72</v>
      </c>
      <c r="H556" s="12">
        <v>178.4</v>
      </c>
      <c r="I556" s="11">
        <v>619.72</v>
      </c>
      <c r="J556" s="12">
        <v>215.3</v>
      </c>
      <c r="K556" s="11">
        <v>619.72</v>
      </c>
      <c r="L556" s="12">
        <v>230.4</v>
      </c>
      <c r="M556" s="11">
        <v>619.72</v>
      </c>
      <c r="N556" s="13">
        <v>131.9</v>
      </c>
      <c r="O556" s="11">
        <v>159.9</v>
      </c>
      <c r="P556" s="11">
        <v>183.7</v>
      </c>
      <c r="Q556" s="11">
        <v>178.4</v>
      </c>
      <c r="R556" s="11">
        <v>215.3</v>
      </c>
      <c r="S556" s="14">
        <v>230.4</v>
      </c>
      <c r="T556" s="11">
        <v>619.72</v>
      </c>
      <c r="U556" s="13" cm="1">
        <f t="array" ref="U556">IF(Table8[[#This Row],[I_0]]&lt;Table24[Flitro de Ruido],1,Table8[[#This Row],[I_10]]/Table8[[#This Row],[I_0]])</f>
        <v>1.2122820318423049</v>
      </c>
      <c r="V556" s="13" cm="1">
        <f t="array" ref="V556">IF(Table8[[#This Row],[I_0]]&lt;Table24[Flitro de Ruido],1,Table8[[#This Row],[I_20]]/Table8[[#This Row],[I_0]])</f>
        <v>1.3927217589082637</v>
      </c>
      <c r="W556" s="13" cm="1">
        <f t="array" ref="W556">IF(Table8[[#This Row],[I_0]]&lt;Table24[Flitro de Ruido],1,Table8[[#This Row],[I_30]]/Table8[[#This Row],[I_0]])</f>
        <v>1.3525398028809703</v>
      </c>
      <c r="X556" s="13" cm="1">
        <f t="array" ref="X556">IF(Table8[[#This Row],[I_0]]&lt;Table24[Flitro de Ruido],1,Table8[[#This Row],[I_40]]/Table8[[#This Row],[I_0]])</f>
        <v>1.6322971948445792</v>
      </c>
      <c r="Y556" s="13" cm="1">
        <f t="array" ref="Y556">IF(Table8[[#This Row],[I_0]]&lt;Table24[Flitro de Ruido],1,Table8[[#This Row],[I_50]]/Table8[[#This Row],[I_0]])</f>
        <v>1.7467778620166792</v>
      </c>
    </row>
    <row r="557" spans="1:25" x14ac:dyDescent="0.3">
      <c r="A557" s="13">
        <v>620.71</v>
      </c>
      <c r="B557" s="12">
        <v>130</v>
      </c>
      <c r="C557" s="11">
        <v>620.71</v>
      </c>
      <c r="D557" s="12">
        <v>157.5</v>
      </c>
      <c r="E557" s="11">
        <v>620.71</v>
      </c>
      <c r="F557" s="12">
        <v>181</v>
      </c>
      <c r="G557" s="11">
        <v>620.71</v>
      </c>
      <c r="H557" s="12">
        <v>175.9</v>
      </c>
      <c r="I557" s="11">
        <v>620.71</v>
      </c>
      <c r="J557" s="12">
        <v>212</v>
      </c>
      <c r="K557" s="11">
        <v>620.71</v>
      </c>
      <c r="L557" s="12">
        <v>226.8</v>
      </c>
      <c r="M557" s="11">
        <v>620.71</v>
      </c>
      <c r="N557" s="13">
        <v>130</v>
      </c>
      <c r="O557" s="11">
        <v>157.5</v>
      </c>
      <c r="P557" s="11">
        <v>181</v>
      </c>
      <c r="Q557" s="11">
        <v>175.9</v>
      </c>
      <c r="R557" s="11">
        <v>212</v>
      </c>
      <c r="S557" s="14">
        <v>226.8</v>
      </c>
      <c r="T557" s="11">
        <v>620.71</v>
      </c>
      <c r="U557" s="13" cm="1">
        <f t="array" ref="U557">IF(Table8[[#This Row],[I_0]]&lt;Table24[Flitro de Ruido],1,Table8[[#This Row],[I_10]]/Table8[[#This Row],[I_0]])</f>
        <v>1.2115384615384615</v>
      </c>
      <c r="V557" s="13" cm="1">
        <f t="array" ref="V557">IF(Table8[[#This Row],[I_0]]&lt;Table24[Flitro de Ruido],1,Table8[[#This Row],[I_20]]/Table8[[#This Row],[I_0]])</f>
        <v>1.3923076923076922</v>
      </c>
      <c r="W557" s="13" cm="1">
        <f t="array" ref="W557">IF(Table8[[#This Row],[I_0]]&lt;Table24[Flitro de Ruido],1,Table8[[#This Row],[I_30]]/Table8[[#This Row],[I_0]])</f>
        <v>1.3530769230769231</v>
      </c>
      <c r="X557" s="13" cm="1">
        <f t="array" ref="X557">IF(Table8[[#This Row],[I_0]]&lt;Table24[Flitro de Ruido],1,Table8[[#This Row],[I_40]]/Table8[[#This Row],[I_0]])</f>
        <v>1.6307692307692307</v>
      </c>
      <c r="Y557" s="13" cm="1">
        <f t="array" ref="Y557">IF(Table8[[#This Row],[I_0]]&lt;Table24[Flitro de Ruido],1,Table8[[#This Row],[I_50]]/Table8[[#This Row],[I_0]])</f>
        <v>1.7446153846153847</v>
      </c>
    </row>
    <row r="558" spans="1:25" x14ac:dyDescent="0.3">
      <c r="A558" s="13">
        <v>621.70000000000005</v>
      </c>
      <c r="B558" s="12">
        <v>125.3</v>
      </c>
      <c r="C558" s="11">
        <v>621.70000000000005</v>
      </c>
      <c r="D558" s="12">
        <v>151.9</v>
      </c>
      <c r="E558" s="11">
        <v>621.70000000000005</v>
      </c>
      <c r="F558" s="12">
        <v>174.7</v>
      </c>
      <c r="G558" s="11">
        <v>621.70000000000005</v>
      </c>
      <c r="H558" s="12">
        <v>169.8</v>
      </c>
      <c r="I558" s="11">
        <v>621.70000000000005</v>
      </c>
      <c r="J558" s="12">
        <v>204.7</v>
      </c>
      <c r="K558" s="11">
        <v>621.70000000000005</v>
      </c>
      <c r="L558" s="12">
        <v>218.9</v>
      </c>
      <c r="M558" s="11">
        <v>621.70000000000005</v>
      </c>
      <c r="N558" s="13">
        <v>125.3</v>
      </c>
      <c r="O558" s="11">
        <v>151.9</v>
      </c>
      <c r="P558" s="11">
        <v>174.7</v>
      </c>
      <c r="Q558" s="11">
        <v>169.8</v>
      </c>
      <c r="R558" s="11">
        <v>204.7</v>
      </c>
      <c r="S558" s="14">
        <v>218.9</v>
      </c>
      <c r="T558" s="11">
        <v>621.70000000000005</v>
      </c>
      <c r="U558" s="13" cm="1">
        <f t="array" ref="U558">IF(Table8[[#This Row],[I_0]]&lt;Table24[Flitro de Ruido],1,Table8[[#This Row],[I_10]]/Table8[[#This Row],[I_0]])</f>
        <v>1.2122905027932962</v>
      </c>
      <c r="V558" s="13" cm="1">
        <f t="array" ref="V558">IF(Table8[[#This Row],[I_0]]&lt;Table24[Flitro de Ruido],1,Table8[[#This Row],[I_20]]/Table8[[#This Row],[I_0]])</f>
        <v>1.3942537909018355</v>
      </c>
      <c r="W558" s="13" cm="1">
        <f t="array" ref="W558">IF(Table8[[#This Row],[I_0]]&lt;Table24[Flitro de Ruido],1,Table8[[#This Row],[I_30]]/Table8[[#This Row],[I_0]])</f>
        <v>1.355147645650439</v>
      </c>
      <c r="X558" s="13" cm="1">
        <f t="array" ref="X558">IF(Table8[[#This Row],[I_0]]&lt;Table24[Flitro de Ruido],1,Table8[[#This Row],[I_40]]/Table8[[#This Row],[I_0]])</f>
        <v>1.633679169992019</v>
      </c>
      <c r="Y558" s="13" cm="1">
        <f t="array" ref="Y558">IF(Table8[[#This Row],[I_0]]&lt;Table24[Flitro de Ruido],1,Table8[[#This Row],[I_50]]/Table8[[#This Row],[I_0]])</f>
        <v>1.7470071827613729</v>
      </c>
    </row>
    <row r="559" spans="1:25" x14ac:dyDescent="0.3">
      <c r="A559" s="13">
        <v>622.69000000000005</v>
      </c>
      <c r="B559" s="12">
        <v>115.6</v>
      </c>
      <c r="C559" s="11">
        <v>622.69000000000005</v>
      </c>
      <c r="D559" s="12">
        <v>140.6</v>
      </c>
      <c r="E559" s="11">
        <v>622.69000000000005</v>
      </c>
      <c r="F559" s="12">
        <v>161.9</v>
      </c>
      <c r="G559" s="11">
        <v>622.69000000000005</v>
      </c>
      <c r="H559" s="12">
        <v>157.30000000000001</v>
      </c>
      <c r="I559" s="11">
        <v>622.69000000000005</v>
      </c>
      <c r="J559" s="12">
        <v>190.1</v>
      </c>
      <c r="K559" s="11">
        <v>622.69000000000005</v>
      </c>
      <c r="L559" s="12">
        <v>203.5</v>
      </c>
      <c r="M559" s="11">
        <v>622.69000000000005</v>
      </c>
      <c r="N559" s="13">
        <v>115.6</v>
      </c>
      <c r="O559" s="11">
        <v>140.6</v>
      </c>
      <c r="P559" s="11">
        <v>161.9</v>
      </c>
      <c r="Q559" s="11">
        <v>157.30000000000001</v>
      </c>
      <c r="R559" s="11">
        <v>190.1</v>
      </c>
      <c r="S559" s="14">
        <v>203.5</v>
      </c>
      <c r="T559" s="11">
        <v>622.69000000000005</v>
      </c>
      <c r="U559" s="13" cm="1">
        <f t="array" ref="U559">IF(Table8[[#This Row],[I_0]]&lt;Table24[Flitro de Ruido],1,Table8[[#This Row],[I_10]]/Table8[[#This Row],[I_0]])</f>
        <v>1.2162629757785468</v>
      </c>
      <c r="V559" s="13" cm="1">
        <f t="array" ref="V559">IF(Table8[[#This Row],[I_0]]&lt;Table24[Flitro de Ruido],1,Table8[[#This Row],[I_20]]/Table8[[#This Row],[I_0]])</f>
        <v>1.4005190311418687</v>
      </c>
      <c r="W559" s="13" cm="1">
        <f t="array" ref="W559">IF(Table8[[#This Row],[I_0]]&lt;Table24[Flitro de Ruido],1,Table8[[#This Row],[I_30]]/Table8[[#This Row],[I_0]])</f>
        <v>1.3607266435986161</v>
      </c>
      <c r="X559" s="13" cm="1">
        <f t="array" ref="X559">IF(Table8[[#This Row],[I_0]]&lt;Table24[Flitro de Ruido],1,Table8[[#This Row],[I_40]]/Table8[[#This Row],[I_0]])</f>
        <v>1.6444636678200693</v>
      </c>
      <c r="Y559" s="13" cm="1">
        <f t="array" ref="Y559">IF(Table8[[#This Row],[I_0]]&lt;Table24[Flitro de Ruido],1,Table8[[#This Row],[I_50]]/Table8[[#This Row],[I_0]])</f>
        <v>1.7603806228373704</v>
      </c>
    </row>
    <row r="560" spans="1:25" x14ac:dyDescent="0.3">
      <c r="A560" s="13">
        <v>623.69000000000005</v>
      </c>
      <c r="B560" s="12">
        <v>105.1</v>
      </c>
      <c r="C560" s="11">
        <v>623.69000000000005</v>
      </c>
      <c r="D560" s="12">
        <v>128.4</v>
      </c>
      <c r="E560" s="11">
        <v>623.69000000000005</v>
      </c>
      <c r="F560" s="12">
        <v>148.1</v>
      </c>
      <c r="G560" s="11">
        <v>623.69000000000005</v>
      </c>
      <c r="H560" s="12">
        <v>143.69999999999999</v>
      </c>
      <c r="I560" s="11">
        <v>623.69000000000005</v>
      </c>
      <c r="J560" s="12">
        <v>174.2</v>
      </c>
      <c r="K560" s="11">
        <v>623.69000000000005</v>
      </c>
      <c r="L560" s="12">
        <v>186.7</v>
      </c>
      <c r="M560" s="11">
        <v>623.69000000000005</v>
      </c>
      <c r="N560" s="13">
        <v>105.1</v>
      </c>
      <c r="O560" s="11">
        <v>128.4</v>
      </c>
      <c r="P560" s="11">
        <v>148.1</v>
      </c>
      <c r="Q560" s="11">
        <v>143.69999999999999</v>
      </c>
      <c r="R560" s="11">
        <v>174.2</v>
      </c>
      <c r="S560" s="14">
        <v>186.7</v>
      </c>
      <c r="T560" s="11">
        <v>623.69000000000005</v>
      </c>
      <c r="U560" s="13" cm="1">
        <f t="array" ref="U560">IF(Table8[[#This Row],[I_0]]&lt;Table24[Flitro de Ruido],1,Table8[[#This Row],[I_10]]/Table8[[#This Row],[I_0]])</f>
        <v>1.2216936251189345</v>
      </c>
      <c r="V560" s="13" cm="1">
        <f t="array" ref="V560">IF(Table8[[#This Row],[I_0]]&lt;Table24[Flitro de Ruido],1,Table8[[#This Row],[I_20]]/Table8[[#This Row],[I_0]])</f>
        <v>1.4091341579448144</v>
      </c>
      <c r="W560" s="13" cm="1">
        <f t="array" ref="W560">IF(Table8[[#This Row],[I_0]]&lt;Table24[Flitro de Ruido],1,Table8[[#This Row],[I_30]]/Table8[[#This Row],[I_0]])</f>
        <v>1.3672692673644149</v>
      </c>
      <c r="X560" s="13" cm="1">
        <f t="array" ref="X560">IF(Table8[[#This Row],[I_0]]&lt;Table24[Flitro de Ruido],1,Table8[[#This Row],[I_40]]/Table8[[#This Row],[I_0]])</f>
        <v>1.6574690770694576</v>
      </c>
      <c r="Y560" s="13" cm="1">
        <f t="array" ref="Y560">IF(Table8[[#This Row],[I_0]]&lt;Table24[Flitro de Ruido],1,Table8[[#This Row],[I_50]]/Table8[[#This Row],[I_0]])</f>
        <v>1.7764034253092293</v>
      </c>
    </row>
    <row r="561" spans="1:25" x14ac:dyDescent="0.3">
      <c r="A561" s="13">
        <v>624.67999999999995</v>
      </c>
      <c r="B561" s="12">
        <v>88.6</v>
      </c>
      <c r="C561" s="11">
        <v>624.67999999999995</v>
      </c>
      <c r="D561" s="12">
        <v>108.8</v>
      </c>
      <c r="E561" s="11">
        <v>624.67999999999995</v>
      </c>
      <c r="F561" s="12">
        <v>126.1</v>
      </c>
      <c r="G561" s="11">
        <v>624.67999999999995</v>
      </c>
      <c r="H561" s="12">
        <v>122</v>
      </c>
      <c r="I561" s="11">
        <v>624.67999999999995</v>
      </c>
      <c r="J561" s="12">
        <v>148.80000000000001</v>
      </c>
      <c r="K561" s="11">
        <v>624.67999999999995</v>
      </c>
      <c r="L561" s="12">
        <v>159.80000000000001</v>
      </c>
      <c r="M561" s="11">
        <v>624.67999999999995</v>
      </c>
      <c r="N561" s="13">
        <v>88.6</v>
      </c>
      <c r="O561" s="11">
        <v>108.8</v>
      </c>
      <c r="P561" s="11">
        <v>126.1</v>
      </c>
      <c r="Q561" s="11">
        <v>122</v>
      </c>
      <c r="R561" s="11">
        <v>148.80000000000001</v>
      </c>
      <c r="S561" s="14">
        <v>159.80000000000001</v>
      </c>
      <c r="T561" s="11">
        <v>624.67999999999995</v>
      </c>
      <c r="U561" s="13" cm="1">
        <f t="array" ref="U561">IF(Table8[[#This Row],[I_0]]&lt;Table24[Flitro de Ruido],1,Table8[[#This Row],[I_10]]/Table8[[#This Row],[I_0]])</f>
        <v>1.2279909706546275</v>
      </c>
      <c r="V561" s="13" cm="1">
        <f t="array" ref="V561">IF(Table8[[#This Row],[I_0]]&lt;Table24[Flitro de Ruido],1,Table8[[#This Row],[I_20]]/Table8[[#This Row],[I_0]])</f>
        <v>1.4232505643340858</v>
      </c>
      <c r="W561" s="13" cm="1">
        <f t="array" ref="W561">IF(Table8[[#This Row],[I_0]]&lt;Table24[Flitro de Ruido],1,Table8[[#This Row],[I_30]]/Table8[[#This Row],[I_0]])</f>
        <v>1.3769751693002259</v>
      </c>
      <c r="X561" s="13" cm="1">
        <f t="array" ref="X561">IF(Table8[[#This Row],[I_0]]&lt;Table24[Flitro de Ruido],1,Table8[[#This Row],[I_40]]/Table8[[#This Row],[I_0]])</f>
        <v>1.6794582392776527</v>
      </c>
      <c r="Y561" s="13" cm="1">
        <f t="array" ref="Y561">IF(Table8[[#This Row],[I_0]]&lt;Table24[Flitro de Ruido],1,Table8[[#This Row],[I_50]]/Table8[[#This Row],[I_0]])</f>
        <v>1.8036117381489845</v>
      </c>
    </row>
    <row r="562" spans="1:25" x14ac:dyDescent="0.3">
      <c r="A562" s="13">
        <v>625.66999999999996</v>
      </c>
      <c r="B562" s="12">
        <v>74.099999999999994</v>
      </c>
      <c r="C562" s="11">
        <v>625.66999999999996</v>
      </c>
      <c r="D562" s="12">
        <v>91.4</v>
      </c>
      <c r="E562" s="11">
        <v>625.66999999999996</v>
      </c>
      <c r="F562" s="12">
        <v>106.3</v>
      </c>
      <c r="G562" s="11">
        <v>625.66999999999996</v>
      </c>
      <c r="H562" s="12">
        <v>102.7</v>
      </c>
      <c r="I562" s="11">
        <v>625.66999999999996</v>
      </c>
      <c r="J562" s="12">
        <v>125.7</v>
      </c>
      <c r="K562" s="11">
        <v>625.66999999999996</v>
      </c>
      <c r="L562" s="12">
        <v>135.19999999999999</v>
      </c>
      <c r="M562" s="11">
        <v>625.66999999999996</v>
      </c>
      <c r="N562" s="13">
        <v>74.099999999999994</v>
      </c>
      <c r="O562" s="11">
        <v>91.4</v>
      </c>
      <c r="P562" s="11">
        <v>106.3</v>
      </c>
      <c r="Q562" s="11">
        <v>102.7</v>
      </c>
      <c r="R562" s="11">
        <v>125.7</v>
      </c>
      <c r="S562" s="14">
        <v>135.19999999999999</v>
      </c>
      <c r="T562" s="11">
        <v>625.66999999999996</v>
      </c>
      <c r="U562" s="13" cm="1">
        <f t="array" ref="U562">IF(Table8[[#This Row],[I_0]]&lt;Table24[Flitro de Ruido],1,Table8[[#This Row],[I_10]]/Table8[[#This Row],[I_0]])</f>
        <v>1.2334682860998651</v>
      </c>
      <c r="V562" s="13" cm="1">
        <f t="array" ref="V562">IF(Table8[[#This Row],[I_0]]&lt;Table24[Flitro de Ruido],1,Table8[[#This Row],[I_20]]/Table8[[#This Row],[I_0]])</f>
        <v>1.4345479082321189</v>
      </c>
      <c r="W562" s="13" cm="1">
        <f t="array" ref="W562">IF(Table8[[#This Row],[I_0]]&lt;Table24[Flitro de Ruido],1,Table8[[#This Row],[I_30]]/Table8[[#This Row],[I_0]])</f>
        <v>1.3859649122807018</v>
      </c>
      <c r="X562" s="13" cm="1">
        <f t="array" ref="X562">IF(Table8[[#This Row],[I_0]]&lt;Table24[Flitro de Ruido],1,Table8[[#This Row],[I_40]]/Table8[[#This Row],[I_0]])</f>
        <v>1.6963562753036439</v>
      </c>
      <c r="Y562" s="13" cm="1">
        <f t="array" ref="Y562">IF(Table8[[#This Row],[I_0]]&lt;Table24[Flitro de Ruido],1,Table8[[#This Row],[I_50]]/Table8[[#This Row],[I_0]])</f>
        <v>1.8245614035087718</v>
      </c>
    </row>
    <row r="563" spans="1:25" x14ac:dyDescent="0.3">
      <c r="A563" s="13">
        <v>626.66</v>
      </c>
      <c r="B563" s="12">
        <v>57</v>
      </c>
      <c r="C563" s="11">
        <v>626.66</v>
      </c>
      <c r="D563" s="12">
        <v>70.3</v>
      </c>
      <c r="E563" s="11">
        <v>626.66</v>
      </c>
      <c r="F563" s="12">
        <v>81.8</v>
      </c>
      <c r="G563" s="11">
        <v>626.66</v>
      </c>
      <c r="H563" s="12">
        <v>78.900000000000006</v>
      </c>
      <c r="I563" s="11">
        <v>626.66</v>
      </c>
      <c r="J563" s="12">
        <v>96.9</v>
      </c>
      <c r="K563" s="11">
        <v>626.66</v>
      </c>
      <c r="L563" s="12">
        <v>104.3</v>
      </c>
      <c r="M563" s="11">
        <v>626.66</v>
      </c>
      <c r="N563" s="13">
        <v>57</v>
      </c>
      <c r="O563" s="11">
        <v>70.3</v>
      </c>
      <c r="P563" s="11">
        <v>81.8</v>
      </c>
      <c r="Q563" s="11">
        <v>78.900000000000006</v>
      </c>
      <c r="R563" s="11">
        <v>96.9</v>
      </c>
      <c r="S563" s="14">
        <v>104.3</v>
      </c>
      <c r="T563" s="11">
        <v>626.66</v>
      </c>
      <c r="U563" s="13" cm="1">
        <f t="array" ref="U563">IF(Table8[[#This Row],[I_0]]&lt;Table24[Flitro de Ruido],1,Table8[[#This Row],[I_10]]/Table8[[#This Row],[I_0]])</f>
        <v>1.2333333333333334</v>
      </c>
      <c r="V563" s="13" cm="1">
        <f t="array" ref="V563">IF(Table8[[#This Row],[I_0]]&lt;Table24[Flitro de Ruido],1,Table8[[#This Row],[I_20]]/Table8[[#This Row],[I_0]])</f>
        <v>1.4350877192982456</v>
      </c>
      <c r="W563" s="13" cm="1">
        <f t="array" ref="W563">IF(Table8[[#This Row],[I_0]]&lt;Table24[Flitro de Ruido],1,Table8[[#This Row],[I_30]]/Table8[[#This Row],[I_0]])</f>
        <v>1.3842105263157896</v>
      </c>
      <c r="X563" s="13" cm="1">
        <f t="array" ref="X563">IF(Table8[[#This Row],[I_0]]&lt;Table24[Flitro de Ruido],1,Table8[[#This Row],[I_40]]/Table8[[#This Row],[I_0]])</f>
        <v>1.7000000000000002</v>
      </c>
      <c r="Y563" s="13" cm="1">
        <f t="array" ref="Y563">IF(Table8[[#This Row],[I_0]]&lt;Table24[Flitro de Ruido],1,Table8[[#This Row],[I_50]]/Table8[[#This Row],[I_0]])</f>
        <v>1.8298245614035087</v>
      </c>
    </row>
    <row r="564" spans="1:25" x14ac:dyDescent="0.3">
      <c r="A564" s="13">
        <v>627.65</v>
      </c>
      <c r="B564" s="12">
        <v>45.6</v>
      </c>
      <c r="C564" s="11">
        <v>627.65</v>
      </c>
      <c r="D564" s="12">
        <v>56.3</v>
      </c>
      <c r="E564" s="11">
        <v>627.65</v>
      </c>
      <c r="F564" s="12">
        <v>65.5</v>
      </c>
      <c r="G564" s="11">
        <v>627.65</v>
      </c>
      <c r="H564" s="12">
        <v>63.1</v>
      </c>
      <c r="I564" s="11">
        <v>627.65</v>
      </c>
      <c r="J564" s="12">
        <v>77.599999999999994</v>
      </c>
      <c r="K564" s="11">
        <v>627.65</v>
      </c>
      <c r="L564" s="12">
        <v>83.6</v>
      </c>
      <c r="M564" s="11">
        <v>627.65</v>
      </c>
      <c r="N564" s="13">
        <v>45.6</v>
      </c>
      <c r="O564" s="11">
        <v>56.3</v>
      </c>
      <c r="P564" s="11">
        <v>65.5</v>
      </c>
      <c r="Q564" s="11">
        <v>63.1</v>
      </c>
      <c r="R564" s="11">
        <v>77.599999999999994</v>
      </c>
      <c r="S564" s="14">
        <v>83.6</v>
      </c>
      <c r="T564" s="11">
        <v>627.65</v>
      </c>
      <c r="U564" s="13" cm="1">
        <f t="array" ref="U564">IF(Table8[[#This Row],[I_0]]&lt;Table24[Flitro de Ruido],1,Table8[[#This Row],[I_10]]/Table8[[#This Row],[I_0]])</f>
        <v>1.2346491228070176</v>
      </c>
      <c r="V564" s="13" cm="1">
        <f t="array" ref="V564">IF(Table8[[#This Row],[I_0]]&lt;Table24[Flitro de Ruido],1,Table8[[#This Row],[I_20]]/Table8[[#This Row],[I_0]])</f>
        <v>1.4364035087719298</v>
      </c>
      <c r="W564" s="13" cm="1">
        <f t="array" ref="W564">IF(Table8[[#This Row],[I_0]]&lt;Table24[Flitro de Ruido],1,Table8[[#This Row],[I_30]]/Table8[[#This Row],[I_0]])</f>
        <v>1.3837719298245614</v>
      </c>
      <c r="X564" s="13" cm="1">
        <f t="array" ref="X564">IF(Table8[[#This Row],[I_0]]&lt;Table24[Flitro de Ruido],1,Table8[[#This Row],[I_40]]/Table8[[#This Row],[I_0]])</f>
        <v>1.701754385964912</v>
      </c>
      <c r="Y564" s="13" cm="1">
        <f t="array" ref="Y564">IF(Table8[[#This Row],[I_0]]&lt;Table24[Flitro de Ruido],1,Table8[[#This Row],[I_50]]/Table8[[#This Row],[I_0]])</f>
        <v>1.8333333333333333</v>
      </c>
    </row>
    <row r="565" spans="1:25" x14ac:dyDescent="0.3">
      <c r="A565" s="13">
        <v>628.64</v>
      </c>
      <c r="B565" s="12">
        <v>36.5</v>
      </c>
      <c r="C565" s="11">
        <v>628.64</v>
      </c>
      <c r="D565" s="12">
        <v>45</v>
      </c>
      <c r="E565" s="11">
        <v>628.64</v>
      </c>
      <c r="F565" s="12">
        <v>52.4</v>
      </c>
      <c r="G565" s="11">
        <v>628.64</v>
      </c>
      <c r="H565" s="12">
        <v>50.5</v>
      </c>
      <c r="I565" s="11">
        <v>628.64</v>
      </c>
      <c r="J565" s="12">
        <v>62</v>
      </c>
      <c r="K565" s="11">
        <v>628.64</v>
      </c>
      <c r="L565" s="12">
        <v>66.900000000000006</v>
      </c>
      <c r="M565" s="11">
        <v>628.64</v>
      </c>
      <c r="N565" s="13">
        <v>36.5</v>
      </c>
      <c r="O565" s="11">
        <v>45</v>
      </c>
      <c r="P565" s="11">
        <v>52.4</v>
      </c>
      <c r="Q565" s="11">
        <v>50.5</v>
      </c>
      <c r="R565" s="11">
        <v>62</v>
      </c>
      <c r="S565" s="14">
        <v>66.900000000000006</v>
      </c>
      <c r="T565" s="11">
        <v>628.64</v>
      </c>
      <c r="U565" s="13" cm="1">
        <f t="array" ref="U565">IF(Table8[[#This Row],[I_0]]&lt;Table24[Flitro de Ruido],1,Table8[[#This Row],[I_10]]/Table8[[#This Row],[I_0]])</f>
        <v>1.2328767123287672</v>
      </c>
      <c r="V565" s="13" cm="1">
        <f t="array" ref="V565">IF(Table8[[#This Row],[I_0]]&lt;Table24[Flitro de Ruido],1,Table8[[#This Row],[I_20]]/Table8[[#This Row],[I_0]])</f>
        <v>1.4356164383561643</v>
      </c>
      <c r="W565" s="13" cm="1">
        <f t="array" ref="W565">IF(Table8[[#This Row],[I_0]]&lt;Table24[Flitro de Ruido],1,Table8[[#This Row],[I_30]]/Table8[[#This Row],[I_0]])</f>
        <v>1.3835616438356164</v>
      </c>
      <c r="X565" s="13" cm="1">
        <f t="array" ref="X565">IF(Table8[[#This Row],[I_0]]&lt;Table24[Flitro de Ruido],1,Table8[[#This Row],[I_40]]/Table8[[#This Row],[I_0]])</f>
        <v>1.6986301369863013</v>
      </c>
      <c r="Y565" s="13" cm="1">
        <f t="array" ref="Y565">IF(Table8[[#This Row],[I_0]]&lt;Table24[Flitro de Ruido],1,Table8[[#This Row],[I_50]]/Table8[[#This Row],[I_0]])</f>
        <v>1.8328767123287673</v>
      </c>
    </row>
    <row r="566" spans="1:25" x14ac:dyDescent="0.3">
      <c r="A566" s="13">
        <v>629.64</v>
      </c>
      <c r="B566" s="12">
        <v>29.5</v>
      </c>
      <c r="C566" s="11">
        <v>629.64</v>
      </c>
      <c r="D566" s="12">
        <v>36.4</v>
      </c>
      <c r="E566" s="11">
        <v>629.64</v>
      </c>
      <c r="F566" s="12">
        <v>42.3</v>
      </c>
      <c r="G566" s="11">
        <v>629.64</v>
      </c>
      <c r="H566" s="12">
        <v>40.799999999999997</v>
      </c>
      <c r="I566" s="11">
        <v>629.64</v>
      </c>
      <c r="J566" s="12">
        <v>50.1</v>
      </c>
      <c r="K566" s="11">
        <v>629.64</v>
      </c>
      <c r="L566" s="12">
        <v>54</v>
      </c>
      <c r="M566" s="11">
        <v>629.64</v>
      </c>
      <c r="N566" s="13">
        <v>29.5</v>
      </c>
      <c r="O566" s="11">
        <v>36.4</v>
      </c>
      <c r="P566" s="11">
        <v>42.3</v>
      </c>
      <c r="Q566" s="11">
        <v>40.799999999999997</v>
      </c>
      <c r="R566" s="11">
        <v>50.1</v>
      </c>
      <c r="S566" s="14">
        <v>54</v>
      </c>
      <c r="T566" s="11">
        <v>629.64</v>
      </c>
      <c r="U566" s="13" cm="1">
        <f t="array" ref="U566">IF(Table8[[#This Row],[I_0]]&lt;Table24[Flitro de Ruido],1,Table8[[#This Row],[I_10]]/Table8[[#This Row],[I_0]])</f>
        <v>1.2338983050847456</v>
      </c>
      <c r="V566" s="13" cm="1">
        <f t="array" ref="V566">IF(Table8[[#This Row],[I_0]]&lt;Table24[Flitro de Ruido],1,Table8[[#This Row],[I_20]]/Table8[[#This Row],[I_0]])</f>
        <v>1.4338983050847456</v>
      </c>
      <c r="W566" s="13" cm="1">
        <f t="array" ref="W566">IF(Table8[[#This Row],[I_0]]&lt;Table24[Flitro de Ruido],1,Table8[[#This Row],[I_30]]/Table8[[#This Row],[I_0]])</f>
        <v>1.3830508474576271</v>
      </c>
      <c r="X566" s="13" cm="1">
        <f t="array" ref="X566">IF(Table8[[#This Row],[I_0]]&lt;Table24[Flitro de Ruido],1,Table8[[#This Row],[I_40]]/Table8[[#This Row],[I_0]])</f>
        <v>1.6983050847457628</v>
      </c>
      <c r="Y566" s="13" cm="1">
        <f t="array" ref="Y566">IF(Table8[[#This Row],[I_0]]&lt;Table24[Flitro de Ruido],1,Table8[[#This Row],[I_50]]/Table8[[#This Row],[I_0]])</f>
        <v>1.8305084745762712</v>
      </c>
    </row>
    <row r="567" spans="1:25" x14ac:dyDescent="0.3">
      <c r="A567" s="13">
        <v>630.63</v>
      </c>
      <c r="B567" s="12">
        <v>23.9</v>
      </c>
      <c r="C567" s="11">
        <v>630.63</v>
      </c>
      <c r="D567" s="12">
        <v>29.5</v>
      </c>
      <c r="E567" s="11">
        <v>630.63</v>
      </c>
      <c r="F567" s="12">
        <v>34.299999999999997</v>
      </c>
      <c r="G567" s="11">
        <v>630.63</v>
      </c>
      <c r="H567" s="12">
        <v>33.1</v>
      </c>
      <c r="I567" s="11">
        <v>630.63</v>
      </c>
      <c r="J567" s="12">
        <v>40.5</v>
      </c>
      <c r="K567" s="11">
        <v>630.63</v>
      </c>
      <c r="L567" s="12">
        <v>43.7</v>
      </c>
      <c r="M567" s="11">
        <v>630.63</v>
      </c>
      <c r="N567" s="13">
        <v>23.9</v>
      </c>
      <c r="O567" s="11">
        <v>29.5</v>
      </c>
      <c r="P567" s="11">
        <v>34.299999999999997</v>
      </c>
      <c r="Q567" s="11">
        <v>33.1</v>
      </c>
      <c r="R567" s="11">
        <v>40.5</v>
      </c>
      <c r="S567" s="14">
        <v>43.7</v>
      </c>
      <c r="T567" s="11">
        <v>630.63</v>
      </c>
      <c r="U567" s="13" cm="1">
        <f t="array" ref="U567">IF(Table8[[#This Row],[I_0]]&lt;Table24[Flitro de Ruido],1,Table8[[#This Row],[I_10]]/Table8[[#This Row],[I_0]])</f>
        <v>1.2343096234309625</v>
      </c>
      <c r="V567" s="13" cm="1">
        <f t="array" ref="V567">IF(Table8[[#This Row],[I_0]]&lt;Table24[Flitro de Ruido],1,Table8[[#This Row],[I_20]]/Table8[[#This Row],[I_0]])</f>
        <v>1.4351464435146444</v>
      </c>
      <c r="W567" s="13" cm="1">
        <f t="array" ref="W567">IF(Table8[[#This Row],[I_0]]&lt;Table24[Flitro de Ruido],1,Table8[[#This Row],[I_30]]/Table8[[#This Row],[I_0]])</f>
        <v>1.384937238493724</v>
      </c>
      <c r="X567" s="13" cm="1">
        <f t="array" ref="X567">IF(Table8[[#This Row],[I_0]]&lt;Table24[Flitro de Ruido],1,Table8[[#This Row],[I_40]]/Table8[[#This Row],[I_0]])</f>
        <v>1.6945606694560671</v>
      </c>
      <c r="Y567" s="13" cm="1">
        <f t="array" ref="Y567">IF(Table8[[#This Row],[I_0]]&lt;Table24[Flitro de Ruido],1,Table8[[#This Row],[I_50]]/Table8[[#This Row],[I_0]])</f>
        <v>1.8284518828451886</v>
      </c>
    </row>
    <row r="568" spans="1:25" x14ac:dyDescent="0.3">
      <c r="A568" s="13">
        <v>631.62</v>
      </c>
      <c r="B568" s="12">
        <v>19.399999999999999</v>
      </c>
      <c r="C568" s="11">
        <v>631.62</v>
      </c>
      <c r="D568" s="12">
        <v>23.9</v>
      </c>
      <c r="E568" s="11">
        <v>631.62</v>
      </c>
      <c r="F568" s="12">
        <v>27.8</v>
      </c>
      <c r="G568" s="11">
        <v>631.62</v>
      </c>
      <c r="H568" s="12">
        <v>26.8</v>
      </c>
      <c r="I568" s="11">
        <v>631.62</v>
      </c>
      <c r="J568" s="12">
        <v>32.799999999999997</v>
      </c>
      <c r="K568" s="11">
        <v>631.62</v>
      </c>
      <c r="L568" s="12">
        <v>35.4</v>
      </c>
      <c r="M568" s="11">
        <v>631.62</v>
      </c>
      <c r="N568" s="13">
        <v>19.399999999999999</v>
      </c>
      <c r="O568" s="11">
        <v>23.9</v>
      </c>
      <c r="P568" s="11">
        <v>27.8</v>
      </c>
      <c r="Q568" s="11">
        <v>26.8</v>
      </c>
      <c r="R568" s="11">
        <v>32.799999999999997</v>
      </c>
      <c r="S568" s="14">
        <v>35.4</v>
      </c>
      <c r="T568" s="11">
        <v>631.62</v>
      </c>
      <c r="U568" s="13" cm="1">
        <f t="array" ref="U568">IF(Table8[[#This Row],[I_0]]&lt;Table24[Flitro de Ruido],1,Table8[[#This Row],[I_10]]/Table8[[#This Row],[I_0]])</f>
        <v>1.231958762886598</v>
      </c>
      <c r="V568" s="13" cm="1">
        <f t="array" ref="V568">IF(Table8[[#This Row],[I_0]]&lt;Table24[Flitro de Ruido],1,Table8[[#This Row],[I_20]]/Table8[[#This Row],[I_0]])</f>
        <v>1.4329896907216497</v>
      </c>
      <c r="W568" s="13" cm="1">
        <f t="array" ref="W568">IF(Table8[[#This Row],[I_0]]&lt;Table24[Flitro de Ruido],1,Table8[[#This Row],[I_30]]/Table8[[#This Row],[I_0]])</f>
        <v>1.3814432989690724</v>
      </c>
      <c r="X568" s="13" cm="1">
        <f t="array" ref="X568">IF(Table8[[#This Row],[I_0]]&lt;Table24[Flitro de Ruido],1,Table8[[#This Row],[I_40]]/Table8[[#This Row],[I_0]])</f>
        <v>1.6907216494845361</v>
      </c>
      <c r="Y568" s="13" cm="1">
        <f t="array" ref="Y568">IF(Table8[[#This Row],[I_0]]&lt;Table24[Flitro de Ruido],1,Table8[[#This Row],[I_50]]/Table8[[#This Row],[I_0]])</f>
        <v>1.8247422680412371</v>
      </c>
    </row>
    <row r="569" spans="1:25" x14ac:dyDescent="0.3">
      <c r="A569" s="13">
        <v>632.61</v>
      </c>
      <c r="B569" s="12">
        <v>15.7</v>
      </c>
      <c r="C569" s="11">
        <v>632.61</v>
      </c>
      <c r="D569" s="12">
        <v>19.3</v>
      </c>
      <c r="E569" s="11">
        <v>632.61</v>
      </c>
      <c r="F569" s="12">
        <v>22.5</v>
      </c>
      <c r="G569" s="11">
        <v>632.61</v>
      </c>
      <c r="H569" s="12">
        <v>21.7</v>
      </c>
      <c r="I569" s="11">
        <v>632.61</v>
      </c>
      <c r="J569" s="12">
        <v>26.6</v>
      </c>
      <c r="K569" s="11">
        <v>632.61</v>
      </c>
      <c r="L569" s="12">
        <v>28.6</v>
      </c>
      <c r="M569" s="11">
        <v>632.61</v>
      </c>
      <c r="N569" s="13">
        <v>15.7</v>
      </c>
      <c r="O569" s="11">
        <v>19.3</v>
      </c>
      <c r="P569" s="11">
        <v>22.5</v>
      </c>
      <c r="Q569" s="11">
        <v>21.7</v>
      </c>
      <c r="R569" s="11">
        <v>26.6</v>
      </c>
      <c r="S569" s="14">
        <v>28.6</v>
      </c>
      <c r="T569" s="11">
        <v>632.61</v>
      </c>
      <c r="U569" s="13" cm="1">
        <f t="array" ref="U569">IF(Table8[[#This Row],[I_0]]&lt;Table24[Flitro de Ruido],1,Table8[[#This Row],[I_10]]/Table8[[#This Row],[I_0]])</f>
        <v>1.229299363057325</v>
      </c>
      <c r="V569" s="13" cm="1">
        <f t="array" ref="V569">IF(Table8[[#This Row],[I_0]]&lt;Table24[Flitro de Ruido],1,Table8[[#This Row],[I_20]]/Table8[[#This Row],[I_0]])</f>
        <v>1.4331210191082804</v>
      </c>
      <c r="W569" s="13" cm="1">
        <f t="array" ref="W569">IF(Table8[[#This Row],[I_0]]&lt;Table24[Flitro de Ruido],1,Table8[[#This Row],[I_30]]/Table8[[#This Row],[I_0]])</f>
        <v>1.3821656050955413</v>
      </c>
      <c r="X569" s="13" cm="1">
        <f t="array" ref="X569">IF(Table8[[#This Row],[I_0]]&lt;Table24[Flitro de Ruido],1,Table8[[#This Row],[I_40]]/Table8[[#This Row],[I_0]])</f>
        <v>1.6942675159235669</v>
      </c>
      <c r="Y569" s="13" cm="1">
        <f t="array" ref="Y569">IF(Table8[[#This Row],[I_0]]&lt;Table24[Flitro de Ruido],1,Table8[[#This Row],[I_50]]/Table8[[#This Row],[I_0]])</f>
        <v>1.8216560509554143</v>
      </c>
    </row>
    <row r="570" spans="1:25" x14ac:dyDescent="0.3">
      <c r="A570" s="13">
        <v>633.6</v>
      </c>
      <c r="B570" s="12">
        <v>12.7</v>
      </c>
      <c r="C570" s="11">
        <v>633.6</v>
      </c>
      <c r="D570" s="12">
        <v>15.7</v>
      </c>
      <c r="E570" s="11">
        <v>633.6</v>
      </c>
      <c r="F570" s="12">
        <v>18.2</v>
      </c>
      <c r="G570" s="11">
        <v>633.6</v>
      </c>
      <c r="H570" s="12">
        <v>17.600000000000001</v>
      </c>
      <c r="I570" s="11">
        <v>633.6</v>
      </c>
      <c r="J570" s="12">
        <v>21.5</v>
      </c>
      <c r="K570" s="11">
        <v>633.6</v>
      </c>
      <c r="L570" s="12">
        <v>23.2</v>
      </c>
      <c r="M570" s="11">
        <v>633.6</v>
      </c>
      <c r="N570" s="13">
        <v>12.7</v>
      </c>
      <c r="O570" s="11">
        <v>15.7</v>
      </c>
      <c r="P570" s="11">
        <v>18.2</v>
      </c>
      <c r="Q570" s="11">
        <v>17.600000000000001</v>
      </c>
      <c r="R570" s="11">
        <v>21.5</v>
      </c>
      <c r="S570" s="14">
        <v>23.2</v>
      </c>
      <c r="T570" s="11">
        <v>633.6</v>
      </c>
      <c r="U570" s="13" cm="1">
        <f t="array" ref="U570">IF(Table8[[#This Row],[I_0]]&lt;Table24[Flitro de Ruido],1,Table8[[#This Row],[I_10]]/Table8[[#This Row],[I_0]])</f>
        <v>1.2362204724409449</v>
      </c>
      <c r="V570" s="13" cm="1">
        <f t="array" ref="V570">IF(Table8[[#This Row],[I_0]]&lt;Table24[Flitro de Ruido],1,Table8[[#This Row],[I_20]]/Table8[[#This Row],[I_0]])</f>
        <v>1.4330708661417324</v>
      </c>
      <c r="W570" s="13" cm="1">
        <f t="array" ref="W570">IF(Table8[[#This Row],[I_0]]&lt;Table24[Flitro de Ruido],1,Table8[[#This Row],[I_30]]/Table8[[#This Row],[I_0]])</f>
        <v>1.3858267716535435</v>
      </c>
      <c r="X570" s="13" cm="1">
        <f t="array" ref="X570">IF(Table8[[#This Row],[I_0]]&lt;Table24[Flitro de Ruido],1,Table8[[#This Row],[I_40]]/Table8[[#This Row],[I_0]])</f>
        <v>1.6929133858267718</v>
      </c>
      <c r="Y570" s="13" cm="1">
        <f t="array" ref="Y570">IF(Table8[[#This Row],[I_0]]&lt;Table24[Flitro de Ruido],1,Table8[[#This Row],[I_50]]/Table8[[#This Row],[I_0]])</f>
        <v>1.8267716535433072</v>
      </c>
    </row>
    <row r="571" spans="1:25" x14ac:dyDescent="0.3">
      <c r="A571" s="13">
        <v>634.59</v>
      </c>
      <c r="B571" s="12">
        <v>10.3</v>
      </c>
      <c r="C571" s="11">
        <v>634.59</v>
      </c>
      <c r="D571" s="12">
        <v>12.7</v>
      </c>
      <c r="E571" s="11">
        <v>634.59</v>
      </c>
      <c r="F571" s="12">
        <v>14.8</v>
      </c>
      <c r="G571" s="11">
        <v>634.59</v>
      </c>
      <c r="H571" s="12">
        <v>14.2</v>
      </c>
      <c r="I571" s="11">
        <v>634.59</v>
      </c>
      <c r="J571" s="12">
        <v>17.5</v>
      </c>
      <c r="K571" s="11">
        <v>634.59</v>
      </c>
      <c r="L571" s="12">
        <v>18.8</v>
      </c>
      <c r="M571" s="11">
        <v>634.59</v>
      </c>
      <c r="N571" s="13">
        <v>10.3</v>
      </c>
      <c r="O571" s="11">
        <v>12.7</v>
      </c>
      <c r="P571" s="11">
        <v>14.8</v>
      </c>
      <c r="Q571" s="11">
        <v>14.2</v>
      </c>
      <c r="R571" s="11">
        <v>17.5</v>
      </c>
      <c r="S571" s="14">
        <v>18.8</v>
      </c>
      <c r="T571" s="11">
        <v>634.59</v>
      </c>
      <c r="U571" s="13" cm="1">
        <f t="array" ref="U571">IF(Table8[[#This Row],[I_0]]&lt;Table24[Flitro de Ruido],1,Table8[[#This Row],[I_10]]/Table8[[#This Row],[I_0]])</f>
        <v>1.233009708737864</v>
      </c>
      <c r="V571" s="13" cm="1">
        <f t="array" ref="V571">IF(Table8[[#This Row],[I_0]]&lt;Table24[Flitro de Ruido],1,Table8[[#This Row],[I_20]]/Table8[[#This Row],[I_0]])</f>
        <v>1.4368932038834952</v>
      </c>
      <c r="W571" s="13" cm="1">
        <f t="array" ref="W571">IF(Table8[[#This Row],[I_0]]&lt;Table24[Flitro de Ruido],1,Table8[[#This Row],[I_30]]/Table8[[#This Row],[I_0]])</f>
        <v>1.378640776699029</v>
      </c>
      <c r="X571" s="13" cm="1">
        <f t="array" ref="X571">IF(Table8[[#This Row],[I_0]]&lt;Table24[Flitro de Ruido],1,Table8[[#This Row],[I_40]]/Table8[[#This Row],[I_0]])</f>
        <v>1.6990291262135921</v>
      </c>
      <c r="Y571" s="13" cm="1">
        <f t="array" ref="Y571">IF(Table8[[#This Row],[I_0]]&lt;Table24[Flitro de Ruido],1,Table8[[#This Row],[I_50]]/Table8[[#This Row],[I_0]])</f>
        <v>1.8252427184466018</v>
      </c>
    </row>
    <row r="572" spans="1:25" x14ac:dyDescent="0.3">
      <c r="A572" s="13">
        <v>635.59</v>
      </c>
      <c r="B572" s="12">
        <v>8.3000000000000007</v>
      </c>
      <c r="C572" s="11">
        <v>635.59</v>
      </c>
      <c r="D572" s="12">
        <v>10.3</v>
      </c>
      <c r="E572" s="11">
        <v>635.59</v>
      </c>
      <c r="F572" s="12">
        <v>12</v>
      </c>
      <c r="G572" s="11">
        <v>635.59</v>
      </c>
      <c r="H572" s="12">
        <v>11.5</v>
      </c>
      <c r="I572" s="11">
        <v>635.59</v>
      </c>
      <c r="J572" s="12">
        <v>14.1</v>
      </c>
      <c r="K572" s="11">
        <v>635.59</v>
      </c>
      <c r="L572" s="12">
        <v>15.2</v>
      </c>
      <c r="M572" s="11">
        <v>635.59</v>
      </c>
      <c r="N572" s="13">
        <v>8.3000000000000007</v>
      </c>
      <c r="O572" s="11">
        <v>10.3</v>
      </c>
      <c r="P572" s="11">
        <v>12</v>
      </c>
      <c r="Q572" s="11">
        <v>11.5</v>
      </c>
      <c r="R572" s="11">
        <v>14.1</v>
      </c>
      <c r="S572" s="14">
        <v>15.2</v>
      </c>
      <c r="T572" s="11">
        <v>635.59</v>
      </c>
      <c r="U572" s="13" cm="1">
        <f t="array" ref="U572">IF(Table8[[#This Row],[I_0]]&lt;Table24[Flitro de Ruido],1,Table8[[#This Row],[I_10]]/Table8[[#This Row],[I_0]])</f>
        <v>1.2409638554216866</v>
      </c>
      <c r="V572" s="13" cm="1">
        <f t="array" ref="V572">IF(Table8[[#This Row],[I_0]]&lt;Table24[Flitro de Ruido],1,Table8[[#This Row],[I_20]]/Table8[[#This Row],[I_0]])</f>
        <v>1.4457831325301203</v>
      </c>
      <c r="W572" s="13" cm="1">
        <f t="array" ref="W572">IF(Table8[[#This Row],[I_0]]&lt;Table24[Flitro de Ruido],1,Table8[[#This Row],[I_30]]/Table8[[#This Row],[I_0]])</f>
        <v>1.3855421686746987</v>
      </c>
      <c r="X572" s="13" cm="1">
        <f t="array" ref="X572">IF(Table8[[#This Row],[I_0]]&lt;Table24[Flitro de Ruido],1,Table8[[#This Row],[I_40]]/Table8[[#This Row],[I_0]])</f>
        <v>1.6987951807228914</v>
      </c>
      <c r="Y572" s="13" cm="1">
        <f t="array" ref="Y572">IF(Table8[[#This Row],[I_0]]&lt;Table24[Flitro de Ruido],1,Table8[[#This Row],[I_50]]/Table8[[#This Row],[I_0]])</f>
        <v>1.831325301204819</v>
      </c>
    </row>
    <row r="573" spans="1:25" x14ac:dyDescent="0.3">
      <c r="A573" s="13">
        <v>636.58000000000004</v>
      </c>
      <c r="B573" s="12">
        <v>6.8</v>
      </c>
      <c r="C573" s="11">
        <v>636.58000000000004</v>
      </c>
      <c r="D573" s="12">
        <v>8.3000000000000007</v>
      </c>
      <c r="E573" s="11">
        <v>636.58000000000004</v>
      </c>
      <c r="F573" s="12">
        <v>9.6999999999999993</v>
      </c>
      <c r="G573" s="11">
        <v>636.58000000000004</v>
      </c>
      <c r="H573" s="12">
        <v>9.3000000000000007</v>
      </c>
      <c r="I573" s="11">
        <v>636.58000000000004</v>
      </c>
      <c r="J573" s="12">
        <v>11.5</v>
      </c>
      <c r="K573" s="11">
        <v>636.58000000000004</v>
      </c>
      <c r="L573" s="12">
        <v>12.3</v>
      </c>
      <c r="M573" s="11">
        <v>636.58000000000004</v>
      </c>
      <c r="N573" s="13">
        <v>6.8</v>
      </c>
      <c r="O573" s="11">
        <v>8.3000000000000007</v>
      </c>
      <c r="P573" s="11">
        <v>9.6999999999999993</v>
      </c>
      <c r="Q573" s="11">
        <v>9.3000000000000007</v>
      </c>
      <c r="R573" s="11">
        <v>11.5</v>
      </c>
      <c r="S573" s="14">
        <v>12.3</v>
      </c>
      <c r="T573" s="11">
        <v>636.58000000000004</v>
      </c>
      <c r="U573" s="13" cm="1">
        <f t="array" ref="U573">IF(Table8[[#This Row],[I_0]]&lt;Table24[Flitro de Ruido],1,Table8[[#This Row],[I_10]]/Table8[[#This Row],[I_0]])</f>
        <v>1.2205882352941178</v>
      </c>
      <c r="V573" s="13" cm="1">
        <f t="array" ref="V573">IF(Table8[[#This Row],[I_0]]&lt;Table24[Flitro de Ruido],1,Table8[[#This Row],[I_20]]/Table8[[#This Row],[I_0]])</f>
        <v>1.4264705882352942</v>
      </c>
      <c r="W573" s="13" cm="1">
        <f t="array" ref="W573">IF(Table8[[#This Row],[I_0]]&lt;Table24[Flitro de Ruido],1,Table8[[#This Row],[I_30]]/Table8[[#This Row],[I_0]])</f>
        <v>1.3676470588235297</v>
      </c>
      <c r="X573" s="13" cm="1">
        <f t="array" ref="X573">IF(Table8[[#This Row],[I_0]]&lt;Table24[Flitro de Ruido],1,Table8[[#This Row],[I_40]]/Table8[[#This Row],[I_0]])</f>
        <v>1.6911764705882353</v>
      </c>
      <c r="Y573" s="13" cm="1">
        <f t="array" ref="Y573">IF(Table8[[#This Row],[I_0]]&lt;Table24[Flitro de Ruido],1,Table8[[#This Row],[I_50]]/Table8[[#This Row],[I_0]])</f>
        <v>1.8088235294117649</v>
      </c>
    </row>
    <row r="574" spans="1:25" x14ac:dyDescent="0.3">
      <c r="A574" s="13">
        <v>637.57000000000005</v>
      </c>
      <c r="B574" s="12">
        <v>5.5</v>
      </c>
      <c r="C574" s="11">
        <v>637.57000000000005</v>
      </c>
      <c r="D574" s="12">
        <v>6.7</v>
      </c>
      <c r="E574" s="11">
        <v>637.57000000000005</v>
      </c>
      <c r="F574" s="12">
        <v>7.8</v>
      </c>
      <c r="G574" s="11">
        <v>637.57000000000005</v>
      </c>
      <c r="H574" s="12">
        <v>7.6</v>
      </c>
      <c r="I574" s="11">
        <v>637.57000000000005</v>
      </c>
      <c r="J574" s="12">
        <v>9.3000000000000007</v>
      </c>
      <c r="K574" s="11">
        <v>637.57000000000005</v>
      </c>
      <c r="L574" s="12">
        <v>10</v>
      </c>
      <c r="M574" s="11">
        <v>637.57000000000005</v>
      </c>
      <c r="N574" s="13">
        <v>5.5</v>
      </c>
      <c r="O574" s="11">
        <v>6.7</v>
      </c>
      <c r="P574" s="11">
        <v>7.8</v>
      </c>
      <c r="Q574" s="11">
        <v>7.6</v>
      </c>
      <c r="R574" s="11">
        <v>9.3000000000000007</v>
      </c>
      <c r="S574" s="14">
        <v>10</v>
      </c>
      <c r="T574" s="11">
        <v>637.57000000000005</v>
      </c>
      <c r="U574" s="13" cm="1">
        <f t="array" ref="U574">IF(Table8[[#This Row],[I_0]]&lt;Table24[Flitro de Ruido],1,Table8[[#This Row],[I_10]]/Table8[[#This Row],[I_0]])</f>
        <v>1.2181818181818183</v>
      </c>
      <c r="V574" s="13" cm="1">
        <f t="array" ref="V574">IF(Table8[[#This Row],[I_0]]&lt;Table24[Flitro de Ruido],1,Table8[[#This Row],[I_20]]/Table8[[#This Row],[I_0]])</f>
        <v>1.4181818181818182</v>
      </c>
      <c r="W574" s="13" cm="1">
        <f t="array" ref="W574">IF(Table8[[#This Row],[I_0]]&lt;Table24[Flitro de Ruido],1,Table8[[#This Row],[I_30]]/Table8[[#This Row],[I_0]])</f>
        <v>1.3818181818181818</v>
      </c>
      <c r="X574" s="13" cm="1">
        <f t="array" ref="X574">IF(Table8[[#This Row],[I_0]]&lt;Table24[Flitro de Ruido],1,Table8[[#This Row],[I_40]]/Table8[[#This Row],[I_0]])</f>
        <v>1.6909090909090911</v>
      </c>
      <c r="Y574" s="13" cm="1">
        <f t="array" ref="Y574">IF(Table8[[#This Row],[I_0]]&lt;Table24[Flitro de Ruido],1,Table8[[#This Row],[I_50]]/Table8[[#This Row],[I_0]])</f>
        <v>1.8181818181818181</v>
      </c>
    </row>
    <row r="575" spans="1:25" x14ac:dyDescent="0.3">
      <c r="A575" s="13">
        <v>638.55999999999995</v>
      </c>
      <c r="B575" s="12">
        <v>4.4000000000000004</v>
      </c>
      <c r="C575" s="11">
        <v>638.55999999999995</v>
      </c>
      <c r="D575" s="12">
        <v>5.5</v>
      </c>
      <c r="E575" s="11">
        <v>638.55999999999995</v>
      </c>
      <c r="F575" s="12">
        <v>6.4</v>
      </c>
      <c r="G575" s="11">
        <v>638.55999999999995</v>
      </c>
      <c r="H575" s="12">
        <v>6.1</v>
      </c>
      <c r="I575" s="11">
        <v>638.55999999999995</v>
      </c>
      <c r="J575" s="12">
        <v>7.5</v>
      </c>
      <c r="K575" s="11">
        <v>638.55999999999995</v>
      </c>
      <c r="L575" s="12">
        <v>8.1</v>
      </c>
      <c r="M575" s="11">
        <v>638.55999999999995</v>
      </c>
      <c r="N575" s="13">
        <v>4.4000000000000004</v>
      </c>
      <c r="O575" s="11">
        <v>5.5</v>
      </c>
      <c r="P575" s="11">
        <v>6.4</v>
      </c>
      <c r="Q575" s="11">
        <v>6.1</v>
      </c>
      <c r="R575" s="11">
        <v>7.5</v>
      </c>
      <c r="S575" s="14">
        <v>8.1</v>
      </c>
      <c r="T575" s="11">
        <v>638.55999999999995</v>
      </c>
      <c r="U575" s="13" cm="1">
        <f t="array" ref="U575">IF(Table8[[#This Row],[I_0]]&lt;Table24[Flitro de Ruido],1,Table8[[#This Row],[I_10]]/Table8[[#This Row],[I_0]])</f>
        <v>1.25</v>
      </c>
      <c r="V575" s="13" cm="1">
        <f t="array" ref="V575">IF(Table8[[#This Row],[I_0]]&lt;Table24[Flitro de Ruido],1,Table8[[#This Row],[I_20]]/Table8[[#This Row],[I_0]])</f>
        <v>1.4545454545454546</v>
      </c>
      <c r="W575" s="13" cm="1">
        <f t="array" ref="W575">IF(Table8[[#This Row],[I_0]]&lt;Table24[Flitro de Ruido],1,Table8[[#This Row],[I_30]]/Table8[[#This Row],[I_0]])</f>
        <v>1.3863636363636362</v>
      </c>
      <c r="X575" s="13" cm="1">
        <f t="array" ref="X575">IF(Table8[[#This Row],[I_0]]&lt;Table24[Flitro de Ruido],1,Table8[[#This Row],[I_40]]/Table8[[#This Row],[I_0]])</f>
        <v>1.7045454545454544</v>
      </c>
      <c r="Y575" s="13" cm="1">
        <f t="array" ref="Y575">IF(Table8[[#This Row],[I_0]]&lt;Table24[Flitro de Ruido],1,Table8[[#This Row],[I_50]]/Table8[[#This Row],[I_0]])</f>
        <v>1.8409090909090906</v>
      </c>
    </row>
    <row r="576" spans="1:25" x14ac:dyDescent="0.3">
      <c r="A576" s="13">
        <v>639.54999999999995</v>
      </c>
      <c r="B576" s="12">
        <v>3.6</v>
      </c>
      <c r="C576" s="11">
        <v>639.54999999999995</v>
      </c>
      <c r="D576" s="12">
        <v>4.4000000000000004</v>
      </c>
      <c r="E576" s="11">
        <v>639.54999999999995</v>
      </c>
      <c r="F576" s="12">
        <v>5.0999999999999996</v>
      </c>
      <c r="G576" s="11">
        <v>639.54999999999995</v>
      </c>
      <c r="H576" s="12">
        <v>5</v>
      </c>
      <c r="I576" s="11">
        <v>639.54999999999995</v>
      </c>
      <c r="J576" s="12">
        <v>6.1</v>
      </c>
      <c r="K576" s="11">
        <v>639.54999999999995</v>
      </c>
      <c r="L576" s="12">
        <v>6.6</v>
      </c>
      <c r="M576" s="11">
        <v>639.54999999999995</v>
      </c>
      <c r="N576" s="13">
        <v>3.6</v>
      </c>
      <c r="O576" s="11">
        <v>4.4000000000000004</v>
      </c>
      <c r="P576" s="11">
        <v>5.0999999999999996</v>
      </c>
      <c r="Q576" s="11">
        <v>5</v>
      </c>
      <c r="R576" s="11">
        <v>6.1</v>
      </c>
      <c r="S576" s="14">
        <v>6.6</v>
      </c>
      <c r="T576" s="11">
        <v>639.54999999999995</v>
      </c>
      <c r="U576" s="13" cm="1">
        <f t="array" ref="U576">IF(Table8[[#This Row],[I_0]]&lt;Table24[Flitro de Ruido],1,Table8[[#This Row],[I_10]]/Table8[[#This Row],[I_0]])</f>
        <v>1.2222222222222223</v>
      </c>
      <c r="V576" s="13" cm="1">
        <f t="array" ref="V576">IF(Table8[[#This Row],[I_0]]&lt;Table24[Flitro de Ruido],1,Table8[[#This Row],[I_20]]/Table8[[#This Row],[I_0]])</f>
        <v>1.4166666666666665</v>
      </c>
      <c r="W576" s="13" cm="1">
        <f t="array" ref="W576">IF(Table8[[#This Row],[I_0]]&lt;Table24[Flitro de Ruido],1,Table8[[#This Row],[I_30]]/Table8[[#This Row],[I_0]])</f>
        <v>1.3888888888888888</v>
      </c>
      <c r="X576" s="13" cm="1">
        <f t="array" ref="X576">IF(Table8[[#This Row],[I_0]]&lt;Table24[Flitro de Ruido],1,Table8[[#This Row],[I_40]]/Table8[[#This Row],[I_0]])</f>
        <v>1.6944444444444442</v>
      </c>
      <c r="Y576" s="13" cm="1">
        <f t="array" ref="Y576">IF(Table8[[#This Row],[I_0]]&lt;Table24[Flitro de Ruido],1,Table8[[#This Row],[I_50]]/Table8[[#This Row],[I_0]])</f>
        <v>1.8333333333333333</v>
      </c>
    </row>
    <row r="577" spans="1:25" x14ac:dyDescent="0.3">
      <c r="A577" s="13">
        <v>640.54999999999995</v>
      </c>
      <c r="B577" s="12">
        <v>2.9</v>
      </c>
      <c r="C577" s="11">
        <v>640.54999999999995</v>
      </c>
      <c r="D577" s="12">
        <v>3.6</v>
      </c>
      <c r="E577" s="11">
        <v>640.54999999999995</v>
      </c>
      <c r="F577" s="12">
        <v>4.2</v>
      </c>
      <c r="G577" s="11">
        <v>640.54999999999995</v>
      </c>
      <c r="H577" s="12">
        <v>4</v>
      </c>
      <c r="I577" s="11">
        <v>640.54999999999995</v>
      </c>
      <c r="J577" s="12">
        <v>4.9000000000000004</v>
      </c>
      <c r="K577" s="11">
        <v>640.54999999999995</v>
      </c>
      <c r="L577" s="12">
        <v>5.3</v>
      </c>
      <c r="M577" s="11">
        <v>640.54999999999995</v>
      </c>
      <c r="N577" s="13">
        <v>2.9</v>
      </c>
      <c r="O577" s="11">
        <v>3.6</v>
      </c>
      <c r="P577" s="11">
        <v>4.2</v>
      </c>
      <c r="Q577" s="11">
        <v>4</v>
      </c>
      <c r="R577" s="11">
        <v>4.9000000000000004</v>
      </c>
      <c r="S577" s="14">
        <v>5.3</v>
      </c>
      <c r="T577" s="11">
        <v>640.54999999999995</v>
      </c>
      <c r="U577" s="13" cm="1">
        <f t="array" ref="U577">IF(Table8[[#This Row],[I_0]]&lt;Table24[Flitro de Ruido],1,Table8[[#This Row],[I_10]]/Table8[[#This Row],[I_0]])</f>
        <v>1.2413793103448276</v>
      </c>
      <c r="V577" s="13" cm="1">
        <f t="array" ref="V577">IF(Table8[[#This Row],[I_0]]&lt;Table24[Flitro de Ruido],1,Table8[[#This Row],[I_20]]/Table8[[#This Row],[I_0]])</f>
        <v>1.4482758620689655</v>
      </c>
      <c r="W577" s="13" cm="1">
        <f t="array" ref="W577">IF(Table8[[#This Row],[I_0]]&lt;Table24[Flitro de Ruido],1,Table8[[#This Row],[I_30]]/Table8[[#This Row],[I_0]])</f>
        <v>1.3793103448275863</v>
      </c>
      <c r="X577" s="13" cm="1">
        <f t="array" ref="X577">IF(Table8[[#This Row],[I_0]]&lt;Table24[Flitro de Ruido],1,Table8[[#This Row],[I_40]]/Table8[[#This Row],[I_0]])</f>
        <v>1.6896551724137934</v>
      </c>
      <c r="Y577" s="13" cm="1">
        <f t="array" ref="Y577">IF(Table8[[#This Row],[I_0]]&lt;Table24[Flitro de Ruido],1,Table8[[#This Row],[I_50]]/Table8[[#This Row],[I_0]])</f>
        <v>1.8275862068965518</v>
      </c>
    </row>
    <row r="578" spans="1:25" x14ac:dyDescent="0.3">
      <c r="A578" s="13">
        <v>641.54</v>
      </c>
      <c r="B578" s="12">
        <v>2.4</v>
      </c>
      <c r="C578" s="11">
        <v>641.54</v>
      </c>
      <c r="D578" s="12">
        <v>2.9</v>
      </c>
      <c r="E578" s="11">
        <v>641.54</v>
      </c>
      <c r="F578" s="12">
        <v>3.4</v>
      </c>
      <c r="G578" s="11">
        <v>641.54</v>
      </c>
      <c r="H578" s="12">
        <v>3.3</v>
      </c>
      <c r="I578" s="11">
        <v>641.54</v>
      </c>
      <c r="J578" s="12">
        <v>4</v>
      </c>
      <c r="K578" s="11">
        <v>641.54</v>
      </c>
      <c r="L578" s="12">
        <v>4.3</v>
      </c>
      <c r="M578" s="11">
        <v>641.54</v>
      </c>
      <c r="N578" s="13">
        <v>2.4</v>
      </c>
      <c r="O578" s="11">
        <v>2.9</v>
      </c>
      <c r="P578" s="11">
        <v>3.4</v>
      </c>
      <c r="Q578" s="11">
        <v>3.3</v>
      </c>
      <c r="R578" s="11">
        <v>4</v>
      </c>
      <c r="S578" s="14">
        <v>4.3</v>
      </c>
      <c r="T578" s="11">
        <v>641.54</v>
      </c>
      <c r="U578" s="13" cm="1">
        <f t="array" ref="U578">IF(Table8[[#This Row],[I_0]]&lt;Table24[Flitro de Ruido],1,Table8[[#This Row],[I_10]]/Table8[[#This Row],[I_0]])</f>
        <v>1.2083333333333333</v>
      </c>
      <c r="V578" s="13" cm="1">
        <f t="array" ref="V578">IF(Table8[[#This Row],[I_0]]&lt;Table24[Flitro de Ruido],1,Table8[[#This Row],[I_20]]/Table8[[#This Row],[I_0]])</f>
        <v>1.4166666666666667</v>
      </c>
      <c r="W578" s="13" cm="1">
        <f t="array" ref="W578">IF(Table8[[#This Row],[I_0]]&lt;Table24[Flitro de Ruido],1,Table8[[#This Row],[I_30]]/Table8[[#This Row],[I_0]])</f>
        <v>1.375</v>
      </c>
      <c r="X578" s="13" cm="1">
        <f t="array" ref="X578">IF(Table8[[#This Row],[I_0]]&lt;Table24[Flitro de Ruido],1,Table8[[#This Row],[I_40]]/Table8[[#This Row],[I_0]])</f>
        <v>1.6666666666666667</v>
      </c>
      <c r="Y578" s="13" cm="1">
        <f t="array" ref="Y578">IF(Table8[[#This Row],[I_0]]&lt;Table24[Flitro de Ruido],1,Table8[[#This Row],[I_50]]/Table8[[#This Row],[I_0]])</f>
        <v>1.7916666666666667</v>
      </c>
    </row>
    <row r="579" spans="1:25" x14ac:dyDescent="0.3">
      <c r="A579" s="13">
        <v>642.53</v>
      </c>
      <c r="B579" s="12">
        <v>1.9</v>
      </c>
      <c r="C579" s="11">
        <v>642.53</v>
      </c>
      <c r="D579" s="12">
        <v>2.4</v>
      </c>
      <c r="E579" s="11">
        <v>642.53</v>
      </c>
      <c r="F579" s="12">
        <v>2.7</v>
      </c>
      <c r="G579" s="11">
        <v>642.53</v>
      </c>
      <c r="H579" s="12">
        <v>2.6</v>
      </c>
      <c r="I579" s="11">
        <v>642.53</v>
      </c>
      <c r="J579" s="12">
        <v>3.2</v>
      </c>
      <c r="K579" s="11">
        <v>642.53</v>
      </c>
      <c r="L579" s="12">
        <v>3.5</v>
      </c>
      <c r="M579" s="11">
        <v>642.53</v>
      </c>
      <c r="N579" s="13">
        <v>1.9</v>
      </c>
      <c r="O579" s="11">
        <v>2.4</v>
      </c>
      <c r="P579" s="11">
        <v>2.7</v>
      </c>
      <c r="Q579" s="11">
        <v>2.6</v>
      </c>
      <c r="R579" s="11">
        <v>3.2</v>
      </c>
      <c r="S579" s="14">
        <v>3.5</v>
      </c>
      <c r="T579" s="11">
        <v>642.53</v>
      </c>
      <c r="U579" s="13" cm="1">
        <f t="array" ref="U579">IF(Table8[[#This Row],[I_0]]&lt;Table24[Flitro de Ruido],1,Table8[[#This Row],[I_10]]/Table8[[#This Row],[I_0]])</f>
        <v>1.263157894736842</v>
      </c>
      <c r="V579" s="13" cm="1">
        <f t="array" ref="V579">IF(Table8[[#This Row],[I_0]]&lt;Table24[Flitro de Ruido],1,Table8[[#This Row],[I_20]]/Table8[[#This Row],[I_0]])</f>
        <v>1.4210526315789476</v>
      </c>
      <c r="W579" s="13" cm="1">
        <f t="array" ref="W579">IF(Table8[[#This Row],[I_0]]&lt;Table24[Flitro de Ruido],1,Table8[[#This Row],[I_30]]/Table8[[#This Row],[I_0]])</f>
        <v>1.368421052631579</v>
      </c>
      <c r="X579" s="13" cm="1">
        <f t="array" ref="X579">IF(Table8[[#This Row],[I_0]]&lt;Table24[Flitro de Ruido],1,Table8[[#This Row],[I_40]]/Table8[[#This Row],[I_0]])</f>
        <v>1.6842105263157896</v>
      </c>
      <c r="Y579" s="13" cm="1">
        <f t="array" ref="Y579">IF(Table8[[#This Row],[I_0]]&lt;Table24[Flitro de Ruido],1,Table8[[#This Row],[I_50]]/Table8[[#This Row],[I_0]])</f>
        <v>1.8421052631578949</v>
      </c>
    </row>
    <row r="580" spans="1:25" x14ac:dyDescent="0.3">
      <c r="A580" s="13">
        <v>643.52</v>
      </c>
      <c r="B580" s="12">
        <v>1.5</v>
      </c>
      <c r="C580" s="11">
        <v>643.52</v>
      </c>
      <c r="D580" s="12">
        <v>1.9</v>
      </c>
      <c r="E580" s="11">
        <v>643.52</v>
      </c>
      <c r="F580" s="12">
        <v>2.2000000000000002</v>
      </c>
      <c r="G580" s="11">
        <v>643.52</v>
      </c>
      <c r="H580" s="12">
        <v>2.1</v>
      </c>
      <c r="I580" s="11">
        <v>643.52</v>
      </c>
      <c r="J580" s="12">
        <v>2.6</v>
      </c>
      <c r="K580" s="11">
        <v>643.52</v>
      </c>
      <c r="L580" s="12">
        <v>2.8</v>
      </c>
      <c r="M580" s="11">
        <v>643.52</v>
      </c>
      <c r="N580" s="13">
        <v>1.5</v>
      </c>
      <c r="O580" s="11">
        <v>1.9</v>
      </c>
      <c r="P580" s="11">
        <v>2.2000000000000002</v>
      </c>
      <c r="Q580" s="11">
        <v>2.1</v>
      </c>
      <c r="R580" s="11">
        <v>2.6</v>
      </c>
      <c r="S580" s="14">
        <v>2.8</v>
      </c>
      <c r="T580" s="11">
        <v>643.52</v>
      </c>
      <c r="U580" s="13" cm="1">
        <f t="array" ref="U580">IF(Table8[[#This Row],[I_0]]&lt;Table24[Flitro de Ruido],1,Table8[[#This Row],[I_10]]/Table8[[#This Row],[I_0]])</f>
        <v>1.2666666666666666</v>
      </c>
      <c r="V580" s="13" cm="1">
        <f t="array" ref="V580">IF(Table8[[#This Row],[I_0]]&lt;Table24[Flitro de Ruido],1,Table8[[#This Row],[I_20]]/Table8[[#This Row],[I_0]])</f>
        <v>1.4666666666666668</v>
      </c>
      <c r="W580" s="13" cm="1">
        <f t="array" ref="W580">IF(Table8[[#This Row],[I_0]]&lt;Table24[Flitro de Ruido],1,Table8[[#This Row],[I_30]]/Table8[[#This Row],[I_0]])</f>
        <v>1.4000000000000001</v>
      </c>
      <c r="X580" s="13" cm="1">
        <f t="array" ref="X580">IF(Table8[[#This Row],[I_0]]&lt;Table24[Flitro de Ruido],1,Table8[[#This Row],[I_40]]/Table8[[#This Row],[I_0]])</f>
        <v>1.7333333333333334</v>
      </c>
      <c r="Y580" s="13" cm="1">
        <f t="array" ref="Y580">IF(Table8[[#This Row],[I_0]]&lt;Table24[Flitro de Ruido],1,Table8[[#This Row],[I_50]]/Table8[[#This Row],[I_0]])</f>
        <v>1.8666666666666665</v>
      </c>
    </row>
    <row r="581" spans="1:25" x14ac:dyDescent="0.3">
      <c r="A581" s="13">
        <v>644.51</v>
      </c>
      <c r="B581" s="12">
        <v>1.3</v>
      </c>
      <c r="C581" s="11">
        <v>644.51</v>
      </c>
      <c r="D581" s="12">
        <v>1.5</v>
      </c>
      <c r="E581" s="11">
        <v>644.51</v>
      </c>
      <c r="F581" s="12">
        <v>1.8</v>
      </c>
      <c r="G581" s="11">
        <v>644.51</v>
      </c>
      <c r="H581" s="12">
        <v>1.7</v>
      </c>
      <c r="I581" s="11">
        <v>644.51</v>
      </c>
      <c r="J581" s="12">
        <v>2.1</v>
      </c>
      <c r="K581" s="11">
        <v>644.51</v>
      </c>
      <c r="L581" s="12">
        <v>2.2999999999999998</v>
      </c>
      <c r="M581" s="11">
        <v>644.51</v>
      </c>
      <c r="N581" s="13">
        <v>1.3</v>
      </c>
      <c r="O581" s="11">
        <v>1.5</v>
      </c>
      <c r="P581" s="11">
        <v>1.8</v>
      </c>
      <c r="Q581" s="11">
        <v>1.7</v>
      </c>
      <c r="R581" s="11">
        <v>2.1</v>
      </c>
      <c r="S581" s="14">
        <v>2.2999999999999998</v>
      </c>
      <c r="T581" s="11">
        <v>644.51</v>
      </c>
      <c r="U581" s="13" cm="1">
        <f t="array" ref="U581">IF(Table8[[#This Row],[I_0]]&lt;Table24[Flitro de Ruido],1,Table8[[#This Row],[I_10]]/Table8[[#This Row],[I_0]])</f>
        <v>1.1538461538461537</v>
      </c>
      <c r="V581" s="13" cm="1">
        <f t="array" ref="V581">IF(Table8[[#This Row],[I_0]]&lt;Table24[Flitro de Ruido],1,Table8[[#This Row],[I_20]]/Table8[[#This Row],[I_0]])</f>
        <v>1.3846153846153846</v>
      </c>
      <c r="W581" s="13" cm="1">
        <f t="array" ref="W581">IF(Table8[[#This Row],[I_0]]&lt;Table24[Flitro de Ruido],1,Table8[[#This Row],[I_30]]/Table8[[#This Row],[I_0]])</f>
        <v>1.3076923076923077</v>
      </c>
      <c r="X581" s="13" cm="1">
        <f t="array" ref="X581">IF(Table8[[#This Row],[I_0]]&lt;Table24[Flitro de Ruido],1,Table8[[#This Row],[I_40]]/Table8[[#This Row],[I_0]])</f>
        <v>1.6153846153846154</v>
      </c>
      <c r="Y581" s="13" cm="1">
        <f t="array" ref="Y581">IF(Table8[[#This Row],[I_0]]&lt;Table24[Flitro de Ruido],1,Table8[[#This Row],[I_50]]/Table8[[#This Row],[I_0]])</f>
        <v>1.7692307692307689</v>
      </c>
    </row>
    <row r="582" spans="1:25" x14ac:dyDescent="0.3">
      <c r="A582" s="13">
        <v>645.5</v>
      </c>
      <c r="B582" s="12">
        <v>1</v>
      </c>
      <c r="C582" s="11">
        <v>645.5</v>
      </c>
      <c r="D582" s="12">
        <v>1.3</v>
      </c>
      <c r="E582" s="11">
        <v>645.5</v>
      </c>
      <c r="F582" s="12">
        <v>1.5</v>
      </c>
      <c r="G582" s="11">
        <v>645.5</v>
      </c>
      <c r="H582" s="12">
        <v>1.4</v>
      </c>
      <c r="I582" s="11">
        <v>645.5</v>
      </c>
      <c r="J582" s="12">
        <v>1.7</v>
      </c>
      <c r="K582" s="11">
        <v>645.5</v>
      </c>
      <c r="L582" s="12">
        <v>1.9</v>
      </c>
      <c r="M582" s="11">
        <v>645.5</v>
      </c>
      <c r="N582" s="13">
        <v>1</v>
      </c>
      <c r="O582" s="11">
        <v>1.3</v>
      </c>
      <c r="P582" s="11">
        <v>1.5</v>
      </c>
      <c r="Q582" s="11">
        <v>1.4</v>
      </c>
      <c r="R582" s="11">
        <v>1.7</v>
      </c>
      <c r="S582" s="14">
        <v>1.9</v>
      </c>
      <c r="T582" s="11">
        <v>645.5</v>
      </c>
      <c r="U582" s="13" cm="1">
        <f t="array" ref="U582">IF(Table8[[#This Row],[I_0]]&lt;Table24[Flitro de Ruido],1,Table8[[#This Row],[I_10]]/Table8[[#This Row],[I_0]])</f>
        <v>1.3</v>
      </c>
      <c r="V582" s="13" cm="1">
        <f t="array" ref="V582">IF(Table8[[#This Row],[I_0]]&lt;Table24[Flitro de Ruido],1,Table8[[#This Row],[I_20]]/Table8[[#This Row],[I_0]])</f>
        <v>1.5</v>
      </c>
      <c r="W582" s="13" cm="1">
        <f t="array" ref="W582">IF(Table8[[#This Row],[I_0]]&lt;Table24[Flitro de Ruido],1,Table8[[#This Row],[I_30]]/Table8[[#This Row],[I_0]])</f>
        <v>1.4</v>
      </c>
      <c r="X582" s="13" cm="1">
        <f t="array" ref="X582">IF(Table8[[#This Row],[I_0]]&lt;Table24[Flitro de Ruido],1,Table8[[#This Row],[I_40]]/Table8[[#This Row],[I_0]])</f>
        <v>1.7</v>
      </c>
      <c r="Y582" s="13" cm="1">
        <f t="array" ref="Y582">IF(Table8[[#This Row],[I_0]]&lt;Table24[Flitro de Ruido],1,Table8[[#This Row],[I_50]]/Table8[[#This Row],[I_0]])</f>
        <v>1.9</v>
      </c>
    </row>
    <row r="583" spans="1:25" x14ac:dyDescent="0.3">
      <c r="A583" s="13">
        <v>646.5</v>
      </c>
      <c r="B583" s="12">
        <v>0.8</v>
      </c>
      <c r="C583" s="11">
        <v>646.5</v>
      </c>
      <c r="D583" s="12">
        <v>1</v>
      </c>
      <c r="E583" s="11">
        <v>646.5</v>
      </c>
      <c r="F583" s="12">
        <v>1.2</v>
      </c>
      <c r="G583" s="11">
        <v>646.5</v>
      </c>
      <c r="H583" s="12">
        <v>1.1000000000000001</v>
      </c>
      <c r="I583" s="11">
        <v>646.5</v>
      </c>
      <c r="J583" s="12">
        <v>1.4</v>
      </c>
      <c r="K583" s="11">
        <v>646.5</v>
      </c>
      <c r="L583" s="12">
        <v>1.5</v>
      </c>
      <c r="M583" s="11">
        <v>646.5</v>
      </c>
      <c r="N583" s="13">
        <v>0.8</v>
      </c>
      <c r="O583" s="11">
        <v>1</v>
      </c>
      <c r="P583" s="11">
        <v>1.2</v>
      </c>
      <c r="Q583" s="11">
        <v>1.1000000000000001</v>
      </c>
      <c r="R583" s="11">
        <v>1.4</v>
      </c>
      <c r="S583" s="14">
        <v>1.5</v>
      </c>
      <c r="T583" s="11">
        <v>646.5</v>
      </c>
      <c r="U583" s="13" cm="1">
        <f t="array" ref="U583">IF(Table8[[#This Row],[I_0]]&lt;Table24[Flitro de Ruido],1,Table8[[#This Row],[I_10]]/Table8[[#This Row],[I_0]])</f>
        <v>1.25</v>
      </c>
      <c r="V583" s="13" cm="1">
        <f t="array" ref="V583">IF(Table8[[#This Row],[I_0]]&lt;Table24[Flitro de Ruido],1,Table8[[#This Row],[I_20]]/Table8[[#This Row],[I_0]])</f>
        <v>1.4999999999999998</v>
      </c>
      <c r="W583" s="13" cm="1">
        <f t="array" ref="W583">IF(Table8[[#This Row],[I_0]]&lt;Table24[Flitro de Ruido],1,Table8[[#This Row],[I_30]]/Table8[[#This Row],[I_0]])</f>
        <v>1.375</v>
      </c>
      <c r="X583" s="13" cm="1">
        <f t="array" ref="X583">IF(Table8[[#This Row],[I_0]]&lt;Table24[Flitro de Ruido],1,Table8[[#This Row],[I_40]]/Table8[[#This Row],[I_0]])</f>
        <v>1.7499999999999998</v>
      </c>
      <c r="Y583" s="13" cm="1">
        <f t="array" ref="Y583">IF(Table8[[#This Row],[I_0]]&lt;Table24[Flitro de Ruido],1,Table8[[#This Row],[I_50]]/Table8[[#This Row],[I_0]])</f>
        <v>1.875</v>
      </c>
    </row>
    <row r="584" spans="1:25" x14ac:dyDescent="0.3">
      <c r="A584" s="13">
        <v>647.49</v>
      </c>
      <c r="B584" s="12">
        <v>0.7</v>
      </c>
      <c r="C584" s="11">
        <v>647.49</v>
      </c>
      <c r="D584" s="12">
        <v>0.8</v>
      </c>
      <c r="E584" s="11">
        <v>647.49</v>
      </c>
      <c r="F584" s="12">
        <v>1</v>
      </c>
      <c r="G584" s="11">
        <v>647.49</v>
      </c>
      <c r="H584" s="12">
        <v>0.9</v>
      </c>
      <c r="I584" s="11">
        <v>647.49</v>
      </c>
      <c r="J584" s="12">
        <v>1.1000000000000001</v>
      </c>
      <c r="K584" s="11">
        <v>647.49</v>
      </c>
      <c r="L584" s="12">
        <v>1.2</v>
      </c>
      <c r="M584" s="11">
        <v>647.49</v>
      </c>
      <c r="N584" s="13">
        <v>0.7</v>
      </c>
      <c r="O584" s="11">
        <v>0.8</v>
      </c>
      <c r="P584" s="11">
        <v>1</v>
      </c>
      <c r="Q584" s="11">
        <v>0.9</v>
      </c>
      <c r="R584" s="11">
        <v>1.1000000000000001</v>
      </c>
      <c r="S584" s="14">
        <v>1.2</v>
      </c>
      <c r="T584" s="11">
        <v>647.49</v>
      </c>
      <c r="U584" s="13" cm="1">
        <f t="array" ref="U584">IF(Table8[[#This Row],[I_0]]&lt;Table24[Flitro de Ruido],1,Table8[[#This Row],[I_10]]/Table8[[#This Row],[I_0]])</f>
        <v>1.142857142857143</v>
      </c>
      <c r="V584" s="13" cm="1">
        <f t="array" ref="V584">IF(Table8[[#This Row],[I_0]]&lt;Table24[Flitro de Ruido],1,Table8[[#This Row],[I_20]]/Table8[[#This Row],[I_0]])</f>
        <v>1.4285714285714286</v>
      </c>
      <c r="W584" s="13" cm="1">
        <f t="array" ref="W584">IF(Table8[[#This Row],[I_0]]&lt;Table24[Flitro de Ruido],1,Table8[[#This Row],[I_30]]/Table8[[#This Row],[I_0]])</f>
        <v>1.2857142857142858</v>
      </c>
      <c r="X584" s="13" cm="1">
        <f t="array" ref="X584">IF(Table8[[#This Row],[I_0]]&lt;Table24[Flitro de Ruido],1,Table8[[#This Row],[I_40]]/Table8[[#This Row],[I_0]])</f>
        <v>1.5714285714285716</v>
      </c>
      <c r="Y584" s="13" cm="1">
        <f t="array" ref="Y584">IF(Table8[[#This Row],[I_0]]&lt;Table24[Flitro de Ruido],1,Table8[[#This Row],[I_50]]/Table8[[#This Row],[I_0]])</f>
        <v>1.7142857142857144</v>
      </c>
    </row>
    <row r="585" spans="1:25" x14ac:dyDescent="0.3">
      <c r="A585" s="13">
        <v>648.48</v>
      </c>
      <c r="B585" s="12">
        <v>0.5</v>
      </c>
      <c r="C585" s="11">
        <v>648.48</v>
      </c>
      <c r="D585" s="12">
        <v>0.7</v>
      </c>
      <c r="E585" s="11">
        <v>648.48</v>
      </c>
      <c r="F585" s="12">
        <v>0.8</v>
      </c>
      <c r="G585" s="11">
        <v>648.48</v>
      </c>
      <c r="H585" s="12">
        <v>0.7</v>
      </c>
      <c r="I585" s="11">
        <v>648.48</v>
      </c>
      <c r="J585" s="12">
        <v>0.9</v>
      </c>
      <c r="K585" s="11">
        <v>648.48</v>
      </c>
      <c r="L585" s="12">
        <v>1</v>
      </c>
      <c r="M585" s="11">
        <v>648.48</v>
      </c>
      <c r="N585" s="13">
        <v>0.5</v>
      </c>
      <c r="O585" s="11">
        <v>0.7</v>
      </c>
      <c r="P585" s="11">
        <v>0.8</v>
      </c>
      <c r="Q585" s="11">
        <v>0.7</v>
      </c>
      <c r="R585" s="11">
        <v>0.9</v>
      </c>
      <c r="S585" s="14">
        <v>1</v>
      </c>
      <c r="T585" s="11">
        <v>648.48</v>
      </c>
      <c r="U585" s="13" cm="1">
        <f t="array" ref="U585">IF(Table8[[#This Row],[I_0]]&lt;Table24[Flitro de Ruido],1,Table8[[#This Row],[I_10]]/Table8[[#This Row],[I_0]])</f>
        <v>1.4</v>
      </c>
      <c r="V585" s="13" cm="1">
        <f t="array" ref="V585">IF(Table8[[#This Row],[I_0]]&lt;Table24[Flitro de Ruido],1,Table8[[#This Row],[I_20]]/Table8[[#This Row],[I_0]])</f>
        <v>1.6</v>
      </c>
      <c r="W585" s="13" cm="1">
        <f t="array" ref="W585">IF(Table8[[#This Row],[I_0]]&lt;Table24[Flitro de Ruido],1,Table8[[#This Row],[I_30]]/Table8[[#This Row],[I_0]])</f>
        <v>1.4</v>
      </c>
      <c r="X585" s="13" cm="1">
        <f t="array" ref="X585">IF(Table8[[#This Row],[I_0]]&lt;Table24[Flitro de Ruido],1,Table8[[#This Row],[I_40]]/Table8[[#This Row],[I_0]])</f>
        <v>1.8</v>
      </c>
      <c r="Y585" s="13" cm="1">
        <f t="array" ref="Y585">IF(Table8[[#This Row],[I_0]]&lt;Table24[Flitro de Ruido],1,Table8[[#This Row],[I_50]]/Table8[[#This Row],[I_0]])</f>
        <v>2</v>
      </c>
    </row>
    <row r="586" spans="1:25" x14ac:dyDescent="0.3">
      <c r="A586" s="13">
        <v>649.47</v>
      </c>
      <c r="B586" s="12">
        <v>0.4</v>
      </c>
      <c r="C586" s="11">
        <v>649.47</v>
      </c>
      <c r="D586" s="12">
        <v>0.5</v>
      </c>
      <c r="E586" s="11">
        <v>649.47</v>
      </c>
      <c r="F586" s="12">
        <v>0.6</v>
      </c>
      <c r="G586" s="11">
        <v>649.47</v>
      </c>
      <c r="H586" s="12">
        <v>0.6</v>
      </c>
      <c r="I586" s="11">
        <v>649.47</v>
      </c>
      <c r="J586" s="12">
        <v>0.7</v>
      </c>
      <c r="K586" s="11">
        <v>649.47</v>
      </c>
      <c r="L586" s="12">
        <v>0.8</v>
      </c>
      <c r="M586" s="11">
        <v>649.47</v>
      </c>
      <c r="N586" s="13">
        <v>0.4</v>
      </c>
      <c r="O586" s="11">
        <v>0.5</v>
      </c>
      <c r="P586" s="11">
        <v>0.6</v>
      </c>
      <c r="Q586" s="11">
        <v>0.6</v>
      </c>
      <c r="R586" s="11">
        <v>0.7</v>
      </c>
      <c r="S586" s="14">
        <v>0.8</v>
      </c>
      <c r="T586" s="11">
        <v>649.47</v>
      </c>
      <c r="U586" s="13" cm="1">
        <f t="array" ref="U586">IF(Table8[[#This Row],[I_0]]&lt;Table24[Flitro de Ruido],1,Table8[[#This Row],[I_10]]/Table8[[#This Row],[I_0]])</f>
        <v>1.25</v>
      </c>
      <c r="V586" s="13" cm="1">
        <f t="array" ref="V586">IF(Table8[[#This Row],[I_0]]&lt;Table24[Flitro de Ruido],1,Table8[[#This Row],[I_20]]/Table8[[#This Row],[I_0]])</f>
        <v>1.4999999999999998</v>
      </c>
      <c r="W586" s="13" cm="1">
        <f t="array" ref="W586">IF(Table8[[#This Row],[I_0]]&lt;Table24[Flitro de Ruido],1,Table8[[#This Row],[I_30]]/Table8[[#This Row],[I_0]])</f>
        <v>1.4999999999999998</v>
      </c>
      <c r="X586" s="13" cm="1">
        <f t="array" ref="X586">IF(Table8[[#This Row],[I_0]]&lt;Table24[Flitro de Ruido],1,Table8[[#This Row],[I_40]]/Table8[[#This Row],[I_0]])</f>
        <v>1.7499999999999998</v>
      </c>
      <c r="Y586" s="13" cm="1">
        <f t="array" ref="Y586">IF(Table8[[#This Row],[I_0]]&lt;Table24[Flitro de Ruido],1,Table8[[#This Row],[I_50]]/Table8[[#This Row],[I_0]])</f>
        <v>2</v>
      </c>
    </row>
    <row r="587" spans="1:25" x14ac:dyDescent="0.3">
      <c r="A587" s="13">
        <v>650.46</v>
      </c>
      <c r="B587" s="12">
        <v>0.4</v>
      </c>
      <c r="C587" s="11">
        <v>650.46</v>
      </c>
      <c r="D587" s="12">
        <v>0.4</v>
      </c>
      <c r="E587" s="11">
        <v>650.46</v>
      </c>
      <c r="F587" s="12">
        <v>0.5</v>
      </c>
      <c r="G587" s="11">
        <v>650.46</v>
      </c>
      <c r="H587" s="12">
        <v>0.5</v>
      </c>
      <c r="I587" s="11">
        <v>650.46</v>
      </c>
      <c r="J587" s="12">
        <v>0.6</v>
      </c>
      <c r="K587" s="11">
        <v>650.46</v>
      </c>
      <c r="L587" s="12">
        <v>0.6</v>
      </c>
      <c r="M587" s="11">
        <v>650.46</v>
      </c>
      <c r="N587" s="13">
        <v>0.4</v>
      </c>
      <c r="O587" s="11">
        <v>0.4</v>
      </c>
      <c r="P587" s="11">
        <v>0.5</v>
      </c>
      <c r="Q587" s="11">
        <v>0.5</v>
      </c>
      <c r="R587" s="11">
        <v>0.6</v>
      </c>
      <c r="S587" s="14">
        <v>0.6</v>
      </c>
      <c r="T587" s="11">
        <v>650.46</v>
      </c>
      <c r="U587" s="13" cm="1">
        <f t="array" ref="U587">IF(Table8[[#This Row],[I_0]]&lt;Table24[Flitro de Ruido],1,Table8[[#This Row],[I_10]]/Table8[[#This Row],[I_0]])</f>
        <v>1</v>
      </c>
      <c r="V587" s="13" cm="1">
        <f t="array" ref="V587">IF(Table8[[#This Row],[I_0]]&lt;Table24[Flitro de Ruido],1,Table8[[#This Row],[I_20]]/Table8[[#This Row],[I_0]])</f>
        <v>1.25</v>
      </c>
      <c r="W587" s="13" cm="1">
        <f t="array" ref="W587">IF(Table8[[#This Row],[I_0]]&lt;Table24[Flitro de Ruido],1,Table8[[#This Row],[I_30]]/Table8[[#This Row],[I_0]])</f>
        <v>1.25</v>
      </c>
      <c r="X587" s="13" cm="1">
        <f t="array" ref="X587">IF(Table8[[#This Row],[I_0]]&lt;Table24[Flitro de Ruido],1,Table8[[#This Row],[I_40]]/Table8[[#This Row],[I_0]])</f>
        <v>1.4999999999999998</v>
      </c>
      <c r="Y587" s="13" cm="1">
        <f t="array" ref="Y587">IF(Table8[[#This Row],[I_0]]&lt;Table24[Flitro de Ruido],1,Table8[[#This Row],[I_50]]/Table8[[#This Row],[I_0]])</f>
        <v>1.4999999999999998</v>
      </c>
    </row>
    <row r="588" spans="1:25" x14ac:dyDescent="0.3">
      <c r="A588" s="13">
        <v>651.45000000000005</v>
      </c>
      <c r="B588" s="12">
        <v>0.3</v>
      </c>
      <c r="C588" s="11">
        <v>651.45000000000005</v>
      </c>
      <c r="D588" s="12">
        <v>0.4</v>
      </c>
      <c r="E588" s="11">
        <v>651.45000000000005</v>
      </c>
      <c r="F588" s="12">
        <v>0.4</v>
      </c>
      <c r="G588" s="11">
        <v>651.45000000000005</v>
      </c>
      <c r="H588" s="12">
        <v>0.4</v>
      </c>
      <c r="I588" s="11">
        <v>651.45000000000005</v>
      </c>
      <c r="J588" s="12">
        <v>0.5</v>
      </c>
      <c r="K588" s="11">
        <v>651.45000000000005</v>
      </c>
      <c r="L588" s="12">
        <v>0.5</v>
      </c>
      <c r="M588" s="11">
        <v>651.45000000000005</v>
      </c>
      <c r="N588" s="13">
        <v>0.3</v>
      </c>
      <c r="O588" s="11">
        <v>0.4</v>
      </c>
      <c r="P588" s="11">
        <v>0.4</v>
      </c>
      <c r="Q588" s="11">
        <v>0.4</v>
      </c>
      <c r="R588" s="11">
        <v>0.5</v>
      </c>
      <c r="S588" s="14">
        <v>0.5</v>
      </c>
      <c r="T588" s="11">
        <v>651.45000000000005</v>
      </c>
      <c r="U588" s="13" cm="1">
        <f t="array" ref="U588">IF(Table8[[#This Row],[I_0]]&lt;Table24[Flitro de Ruido],1,Table8[[#This Row],[I_10]]/Table8[[#This Row],[I_0]])</f>
        <v>1.3333333333333335</v>
      </c>
      <c r="V588" s="13" cm="1">
        <f t="array" ref="V588">IF(Table8[[#This Row],[I_0]]&lt;Table24[Flitro de Ruido],1,Table8[[#This Row],[I_20]]/Table8[[#This Row],[I_0]])</f>
        <v>1.3333333333333335</v>
      </c>
      <c r="W588" s="13" cm="1">
        <f t="array" ref="W588">IF(Table8[[#This Row],[I_0]]&lt;Table24[Flitro de Ruido],1,Table8[[#This Row],[I_30]]/Table8[[#This Row],[I_0]])</f>
        <v>1.3333333333333335</v>
      </c>
      <c r="X588" s="13" cm="1">
        <f t="array" ref="X588">IF(Table8[[#This Row],[I_0]]&lt;Table24[Flitro de Ruido],1,Table8[[#This Row],[I_40]]/Table8[[#This Row],[I_0]])</f>
        <v>1.6666666666666667</v>
      </c>
      <c r="Y588" s="13" cm="1">
        <f t="array" ref="Y588">IF(Table8[[#This Row],[I_0]]&lt;Table24[Flitro de Ruido],1,Table8[[#This Row],[I_50]]/Table8[[#This Row],[I_0]])</f>
        <v>1.6666666666666667</v>
      </c>
    </row>
    <row r="589" spans="1:25" x14ac:dyDescent="0.3">
      <c r="A589" s="13">
        <v>652.45000000000005</v>
      </c>
      <c r="B589" s="12">
        <v>0.2</v>
      </c>
      <c r="C589" s="11">
        <v>652.45000000000005</v>
      </c>
      <c r="D589" s="12">
        <v>0.3</v>
      </c>
      <c r="E589" s="11">
        <v>652.45000000000005</v>
      </c>
      <c r="F589" s="12">
        <v>0.3</v>
      </c>
      <c r="G589" s="11">
        <v>652.45000000000005</v>
      </c>
      <c r="H589" s="12">
        <v>0.3</v>
      </c>
      <c r="I589" s="11">
        <v>652.45000000000005</v>
      </c>
      <c r="J589" s="12">
        <v>0.4</v>
      </c>
      <c r="K589" s="11">
        <v>652.45000000000005</v>
      </c>
      <c r="L589" s="12">
        <v>0.4</v>
      </c>
      <c r="M589" s="11">
        <v>652.45000000000005</v>
      </c>
      <c r="N589" s="13">
        <v>0.2</v>
      </c>
      <c r="O589" s="11">
        <v>0.3</v>
      </c>
      <c r="P589" s="11">
        <v>0.3</v>
      </c>
      <c r="Q589" s="11">
        <v>0.3</v>
      </c>
      <c r="R589" s="11">
        <v>0.4</v>
      </c>
      <c r="S589" s="14">
        <v>0.4</v>
      </c>
      <c r="T589" s="11">
        <v>652.45000000000005</v>
      </c>
      <c r="U589" s="13" cm="1">
        <f t="array" ref="U589">IF(Table8[[#This Row],[I_0]]&lt;Table24[Flitro de Ruido],1,Table8[[#This Row],[I_10]]/Table8[[#This Row],[I_0]])</f>
        <v>1.4999999999999998</v>
      </c>
      <c r="V589" s="13" cm="1">
        <f t="array" ref="V589">IF(Table8[[#This Row],[I_0]]&lt;Table24[Flitro de Ruido],1,Table8[[#This Row],[I_20]]/Table8[[#This Row],[I_0]])</f>
        <v>1.4999999999999998</v>
      </c>
      <c r="W589" s="13" cm="1">
        <f t="array" ref="W589">IF(Table8[[#This Row],[I_0]]&lt;Table24[Flitro de Ruido],1,Table8[[#This Row],[I_30]]/Table8[[#This Row],[I_0]])</f>
        <v>1.4999999999999998</v>
      </c>
      <c r="X589" s="13" cm="1">
        <f t="array" ref="X589">IF(Table8[[#This Row],[I_0]]&lt;Table24[Flitro de Ruido],1,Table8[[#This Row],[I_40]]/Table8[[#This Row],[I_0]])</f>
        <v>2</v>
      </c>
      <c r="Y589" s="13" cm="1">
        <f t="array" ref="Y589">IF(Table8[[#This Row],[I_0]]&lt;Table24[Flitro de Ruido],1,Table8[[#This Row],[I_50]]/Table8[[#This Row],[I_0]])</f>
        <v>2</v>
      </c>
    </row>
    <row r="590" spans="1:25" x14ac:dyDescent="0.3">
      <c r="A590" s="13">
        <v>653.44000000000005</v>
      </c>
      <c r="B590" s="12">
        <v>0.2</v>
      </c>
      <c r="C590" s="11">
        <v>653.44000000000005</v>
      </c>
      <c r="D590" s="12">
        <v>0.2</v>
      </c>
      <c r="E590" s="11">
        <v>653.44000000000005</v>
      </c>
      <c r="F590" s="12">
        <v>0.3</v>
      </c>
      <c r="G590" s="11">
        <v>653.44000000000005</v>
      </c>
      <c r="H590" s="12">
        <v>0.3</v>
      </c>
      <c r="I590" s="11">
        <v>653.44000000000005</v>
      </c>
      <c r="J590" s="12">
        <v>0.3</v>
      </c>
      <c r="K590" s="11">
        <v>653.44000000000005</v>
      </c>
      <c r="L590" s="12">
        <v>0.3</v>
      </c>
      <c r="M590" s="11">
        <v>653.44000000000005</v>
      </c>
      <c r="N590" s="13">
        <v>0.2</v>
      </c>
      <c r="O590" s="11">
        <v>0.2</v>
      </c>
      <c r="P590" s="11">
        <v>0.3</v>
      </c>
      <c r="Q590" s="11">
        <v>0.3</v>
      </c>
      <c r="R590" s="11">
        <v>0.3</v>
      </c>
      <c r="S590" s="14">
        <v>0.3</v>
      </c>
      <c r="T590" s="11">
        <v>653.44000000000005</v>
      </c>
      <c r="U590" s="13" cm="1">
        <f t="array" ref="U590">IF(Table8[[#This Row],[I_0]]&lt;Table24[Flitro de Ruido],1,Table8[[#This Row],[I_10]]/Table8[[#This Row],[I_0]])</f>
        <v>1</v>
      </c>
      <c r="V590" s="13" cm="1">
        <f t="array" ref="V590">IF(Table8[[#This Row],[I_0]]&lt;Table24[Flitro de Ruido],1,Table8[[#This Row],[I_20]]/Table8[[#This Row],[I_0]])</f>
        <v>1.4999999999999998</v>
      </c>
      <c r="W590" s="13" cm="1">
        <f t="array" ref="W590">IF(Table8[[#This Row],[I_0]]&lt;Table24[Flitro de Ruido],1,Table8[[#This Row],[I_30]]/Table8[[#This Row],[I_0]])</f>
        <v>1.4999999999999998</v>
      </c>
      <c r="X590" s="13" cm="1">
        <f t="array" ref="X590">IF(Table8[[#This Row],[I_0]]&lt;Table24[Flitro de Ruido],1,Table8[[#This Row],[I_40]]/Table8[[#This Row],[I_0]])</f>
        <v>1.4999999999999998</v>
      </c>
      <c r="Y590" s="13" cm="1">
        <f t="array" ref="Y590">IF(Table8[[#This Row],[I_0]]&lt;Table24[Flitro de Ruido],1,Table8[[#This Row],[I_50]]/Table8[[#This Row],[I_0]])</f>
        <v>1.4999999999999998</v>
      </c>
    </row>
    <row r="591" spans="1:25" x14ac:dyDescent="0.3">
      <c r="A591" s="13">
        <v>654.42999999999995</v>
      </c>
      <c r="B591" s="12">
        <v>0.2</v>
      </c>
      <c r="C591" s="11">
        <v>654.42999999999995</v>
      </c>
      <c r="D591" s="12">
        <v>0.2</v>
      </c>
      <c r="E591" s="11">
        <v>654.42999999999995</v>
      </c>
      <c r="F591" s="12">
        <v>0.2</v>
      </c>
      <c r="G591" s="11">
        <v>654.42999999999995</v>
      </c>
      <c r="H591" s="12">
        <v>0.2</v>
      </c>
      <c r="I591" s="11">
        <v>654.42999999999995</v>
      </c>
      <c r="J591" s="12">
        <v>0.3</v>
      </c>
      <c r="K591" s="11">
        <v>654.42999999999995</v>
      </c>
      <c r="L591" s="12">
        <v>0.3</v>
      </c>
      <c r="M591" s="11">
        <v>654.42999999999995</v>
      </c>
      <c r="N591" s="13">
        <v>0.2</v>
      </c>
      <c r="O591" s="11">
        <v>0.2</v>
      </c>
      <c r="P591" s="11">
        <v>0.2</v>
      </c>
      <c r="Q591" s="11">
        <v>0.2</v>
      </c>
      <c r="R591" s="11">
        <v>0.3</v>
      </c>
      <c r="S591" s="14">
        <v>0.3</v>
      </c>
      <c r="T591" s="11">
        <v>654.42999999999995</v>
      </c>
      <c r="U591" s="13" cm="1">
        <f t="array" ref="U591">IF(Table8[[#This Row],[I_0]]&lt;Table24[Flitro de Ruido],1,Table8[[#This Row],[I_10]]/Table8[[#This Row],[I_0]])</f>
        <v>1</v>
      </c>
      <c r="V591" s="13" cm="1">
        <f t="array" ref="V591">IF(Table8[[#This Row],[I_0]]&lt;Table24[Flitro de Ruido],1,Table8[[#This Row],[I_20]]/Table8[[#This Row],[I_0]])</f>
        <v>1</v>
      </c>
      <c r="W591" s="13" cm="1">
        <f t="array" ref="W591">IF(Table8[[#This Row],[I_0]]&lt;Table24[Flitro de Ruido],1,Table8[[#This Row],[I_30]]/Table8[[#This Row],[I_0]])</f>
        <v>1</v>
      </c>
      <c r="X591" s="13" cm="1">
        <f t="array" ref="X591">IF(Table8[[#This Row],[I_0]]&lt;Table24[Flitro de Ruido],1,Table8[[#This Row],[I_40]]/Table8[[#This Row],[I_0]])</f>
        <v>1.4999999999999998</v>
      </c>
      <c r="Y591" s="13" cm="1">
        <f t="array" ref="Y591">IF(Table8[[#This Row],[I_0]]&lt;Table24[Flitro de Ruido],1,Table8[[#This Row],[I_50]]/Table8[[#This Row],[I_0]])</f>
        <v>1.4999999999999998</v>
      </c>
    </row>
    <row r="592" spans="1:25" x14ac:dyDescent="0.3">
      <c r="A592" s="13">
        <v>655.42</v>
      </c>
      <c r="B592" s="12">
        <v>0.1</v>
      </c>
      <c r="C592" s="11">
        <v>655.42</v>
      </c>
      <c r="D592" s="12">
        <v>0.2</v>
      </c>
      <c r="E592" s="11">
        <v>655.42</v>
      </c>
      <c r="F592" s="12">
        <v>0.2</v>
      </c>
      <c r="G592" s="11">
        <v>655.42</v>
      </c>
      <c r="H592" s="12">
        <v>0.2</v>
      </c>
      <c r="I592" s="11">
        <v>655.42</v>
      </c>
      <c r="J592" s="12">
        <v>0.2</v>
      </c>
      <c r="K592" s="11">
        <v>655.42</v>
      </c>
      <c r="L592" s="12">
        <v>0.2</v>
      </c>
      <c r="M592" s="11">
        <v>655.42</v>
      </c>
      <c r="N592" s="13">
        <v>0.1</v>
      </c>
      <c r="O592" s="11">
        <v>0.2</v>
      </c>
      <c r="P592" s="11">
        <v>0.2</v>
      </c>
      <c r="Q592" s="11">
        <v>0.2</v>
      </c>
      <c r="R592" s="11">
        <v>0.2</v>
      </c>
      <c r="S592" s="14">
        <v>0.2</v>
      </c>
      <c r="T592" s="11">
        <v>655.42</v>
      </c>
      <c r="U592" s="13" cm="1">
        <f t="array" ref="U592">IF(Table8[[#This Row],[I_0]]&lt;Table24[Flitro de Ruido],1,Table8[[#This Row],[I_10]]/Table8[[#This Row],[I_0]])</f>
        <v>2</v>
      </c>
      <c r="V592" s="13" cm="1">
        <f t="array" ref="V592">IF(Table8[[#This Row],[I_0]]&lt;Table24[Flitro de Ruido],1,Table8[[#This Row],[I_20]]/Table8[[#This Row],[I_0]])</f>
        <v>2</v>
      </c>
      <c r="W592" s="13" cm="1">
        <f t="array" ref="W592">IF(Table8[[#This Row],[I_0]]&lt;Table24[Flitro de Ruido],1,Table8[[#This Row],[I_30]]/Table8[[#This Row],[I_0]])</f>
        <v>2</v>
      </c>
      <c r="X592" s="13" cm="1">
        <f t="array" ref="X592">IF(Table8[[#This Row],[I_0]]&lt;Table24[Flitro de Ruido],1,Table8[[#This Row],[I_40]]/Table8[[#This Row],[I_0]])</f>
        <v>2</v>
      </c>
      <c r="Y592" s="13" cm="1">
        <f t="array" ref="Y592">IF(Table8[[#This Row],[I_0]]&lt;Table24[Flitro de Ruido],1,Table8[[#This Row],[I_50]]/Table8[[#This Row],[I_0]])</f>
        <v>2</v>
      </c>
    </row>
    <row r="593" spans="1:25" x14ac:dyDescent="0.3">
      <c r="A593" s="13">
        <v>656.41</v>
      </c>
      <c r="B593" s="12">
        <v>0.1</v>
      </c>
      <c r="C593" s="11">
        <v>656.41</v>
      </c>
      <c r="D593" s="12">
        <v>0.1</v>
      </c>
      <c r="E593" s="11">
        <v>656.41</v>
      </c>
      <c r="F593" s="12">
        <v>0.1</v>
      </c>
      <c r="G593" s="11">
        <v>656.41</v>
      </c>
      <c r="H593" s="12">
        <v>0.1</v>
      </c>
      <c r="I593" s="11">
        <v>656.41</v>
      </c>
      <c r="J593" s="12">
        <v>0.2</v>
      </c>
      <c r="K593" s="11">
        <v>656.41</v>
      </c>
      <c r="L593" s="12">
        <v>0.2</v>
      </c>
      <c r="M593" s="11">
        <v>656.41</v>
      </c>
      <c r="N593" s="13">
        <v>0.1</v>
      </c>
      <c r="O593" s="11">
        <v>0.1</v>
      </c>
      <c r="P593" s="11">
        <v>0.1</v>
      </c>
      <c r="Q593" s="11">
        <v>0.1</v>
      </c>
      <c r="R593" s="11">
        <v>0.2</v>
      </c>
      <c r="S593" s="14">
        <v>0.2</v>
      </c>
      <c r="T593" s="11">
        <v>656.41</v>
      </c>
      <c r="U593" s="13" cm="1">
        <f t="array" ref="U593">IF(Table8[[#This Row],[I_0]]&lt;Table24[Flitro de Ruido],1,Table8[[#This Row],[I_10]]/Table8[[#This Row],[I_0]])</f>
        <v>1</v>
      </c>
      <c r="V593" s="13" cm="1">
        <f t="array" ref="V593">IF(Table8[[#This Row],[I_0]]&lt;Table24[Flitro de Ruido],1,Table8[[#This Row],[I_20]]/Table8[[#This Row],[I_0]])</f>
        <v>1</v>
      </c>
      <c r="W593" s="13" cm="1">
        <f t="array" ref="W593">IF(Table8[[#This Row],[I_0]]&lt;Table24[Flitro de Ruido],1,Table8[[#This Row],[I_30]]/Table8[[#This Row],[I_0]])</f>
        <v>1</v>
      </c>
      <c r="X593" s="13" cm="1">
        <f t="array" ref="X593">IF(Table8[[#This Row],[I_0]]&lt;Table24[Flitro de Ruido],1,Table8[[#This Row],[I_40]]/Table8[[#This Row],[I_0]])</f>
        <v>2</v>
      </c>
      <c r="Y593" s="13" cm="1">
        <f t="array" ref="Y593">IF(Table8[[#This Row],[I_0]]&lt;Table24[Flitro de Ruido],1,Table8[[#This Row],[I_50]]/Table8[[#This Row],[I_0]])</f>
        <v>2</v>
      </c>
    </row>
    <row r="594" spans="1:25" x14ac:dyDescent="0.3">
      <c r="A594" s="13">
        <v>657.41</v>
      </c>
      <c r="B594" s="12">
        <v>0.1</v>
      </c>
      <c r="C594" s="11">
        <v>657.41</v>
      </c>
      <c r="D594" s="12">
        <v>0.1</v>
      </c>
      <c r="E594" s="11">
        <v>657.41</v>
      </c>
      <c r="F594" s="12">
        <v>0.1</v>
      </c>
      <c r="G594" s="11">
        <v>657.41</v>
      </c>
      <c r="H594" s="12">
        <v>0.1</v>
      </c>
      <c r="I594" s="11">
        <v>657.41</v>
      </c>
      <c r="J594" s="12">
        <v>0.1</v>
      </c>
      <c r="K594" s="11">
        <v>657.41</v>
      </c>
      <c r="L594" s="12">
        <v>0.1</v>
      </c>
      <c r="M594" s="11">
        <v>657.41</v>
      </c>
      <c r="N594" s="13">
        <v>0.1</v>
      </c>
      <c r="O594" s="11">
        <v>0.1</v>
      </c>
      <c r="P594" s="11">
        <v>0.1</v>
      </c>
      <c r="Q594" s="11">
        <v>0.1</v>
      </c>
      <c r="R594" s="11">
        <v>0.1</v>
      </c>
      <c r="S594" s="14">
        <v>0.1</v>
      </c>
      <c r="T594" s="11">
        <v>657.41</v>
      </c>
      <c r="U594" s="13" cm="1">
        <f t="array" ref="U594">IF(Table8[[#This Row],[I_0]]&lt;Table24[Flitro de Ruido],1,Table8[[#This Row],[I_10]]/Table8[[#This Row],[I_0]])</f>
        <v>1</v>
      </c>
      <c r="V594" s="13" cm="1">
        <f t="array" ref="V594">IF(Table8[[#This Row],[I_0]]&lt;Table24[Flitro de Ruido],1,Table8[[#This Row],[I_20]]/Table8[[#This Row],[I_0]])</f>
        <v>1</v>
      </c>
      <c r="W594" s="13" cm="1">
        <f t="array" ref="W594">IF(Table8[[#This Row],[I_0]]&lt;Table24[Flitro de Ruido],1,Table8[[#This Row],[I_30]]/Table8[[#This Row],[I_0]])</f>
        <v>1</v>
      </c>
      <c r="X594" s="13" cm="1">
        <f t="array" ref="X594">IF(Table8[[#This Row],[I_0]]&lt;Table24[Flitro de Ruido],1,Table8[[#This Row],[I_40]]/Table8[[#This Row],[I_0]])</f>
        <v>1</v>
      </c>
      <c r="Y594" s="13" cm="1">
        <f t="array" ref="Y594">IF(Table8[[#This Row],[I_0]]&lt;Table24[Flitro de Ruido],1,Table8[[#This Row],[I_50]]/Table8[[#This Row],[I_0]])</f>
        <v>1</v>
      </c>
    </row>
    <row r="595" spans="1:25" x14ac:dyDescent="0.3">
      <c r="A595" s="13">
        <v>658.4</v>
      </c>
      <c r="B595" s="12">
        <v>0.1</v>
      </c>
      <c r="C595" s="11">
        <v>658.4</v>
      </c>
      <c r="D595" s="12">
        <v>0.1</v>
      </c>
      <c r="E595" s="11">
        <v>658.4</v>
      </c>
      <c r="F595" s="12">
        <v>0.1</v>
      </c>
      <c r="G595" s="11">
        <v>658.4</v>
      </c>
      <c r="H595" s="12">
        <v>0.1</v>
      </c>
      <c r="I595" s="11">
        <v>658.4</v>
      </c>
      <c r="J595" s="12">
        <v>0.1</v>
      </c>
      <c r="K595" s="11">
        <v>658.4</v>
      </c>
      <c r="L595" s="12">
        <v>0.1</v>
      </c>
      <c r="M595" s="11">
        <v>658.4</v>
      </c>
      <c r="N595" s="13">
        <v>0.1</v>
      </c>
      <c r="O595" s="11">
        <v>0.1</v>
      </c>
      <c r="P595" s="11">
        <v>0.1</v>
      </c>
      <c r="Q595" s="11">
        <v>0.1</v>
      </c>
      <c r="R595" s="11">
        <v>0.1</v>
      </c>
      <c r="S595" s="14">
        <v>0.1</v>
      </c>
      <c r="T595" s="11">
        <v>658.4</v>
      </c>
      <c r="U595" s="13" cm="1">
        <f t="array" ref="U595">IF(Table8[[#This Row],[I_0]]&lt;Table24[Flitro de Ruido],1,Table8[[#This Row],[I_10]]/Table8[[#This Row],[I_0]])</f>
        <v>1</v>
      </c>
      <c r="V595" s="13" cm="1">
        <f t="array" ref="V595">IF(Table8[[#This Row],[I_0]]&lt;Table24[Flitro de Ruido],1,Table8[[#This Row],[I_20]]/Table8[[#This Row],[I_0]])</f>
        <v>1</v>
      </c>
      <c r="W595" s="13" cm="1">
        <f t="array" ref="W595">IF(Table8[[#This Row],[I_0]]&lt;Table24[Flitro de Ruido],1,Table8[[#This Row],[I_30]]/Table8[[#This Row],[I_0]])</f>
        <v>1</v>
      </c>
      <c r="X595" s="13" cm="1">
        <f t="array" ref="X595">IF(Table8[[#This Row],[I_0]]&lt;Table24[Flitro de Ruido],1,Table8[[#This Row],[I_40]]/Table8[[#This Row],[I_0]])</f>
        <v>1</v>
      </c>
      <c r="Y595" s="13" cm="1">
        <f t="array" ref="Y595">IF(Table8[[#This Row],[I_0]]&lt;Table24[Flitro de Ruido],1,Table8[[#This Row],[I_50]]/Table8[[#This Row],[I_0]])</f>
        <v>1</v>
      </c>
    </row>
    <row r="596" spans="1:25" x14ac:dyDescent="0.3">
      <c r="A596" s="13">
        <v>659.39</v>
      </c>
      <c r="B596" s="12">
        <v>0.1</v>
      </c>
      <c r="C596" s="11">
        <v>659.39</v>
      </c>
      <c r="D596" s="12">
        <v>0.1</v>
      </c>
      <c r="E596" s="11">
        <v>659.39</v>
      </c>
      <c r="F596" s="12">
        <v>0.1</v>
      </c>
      <c r="G596" s="11">
        <v>659.39</v>
      </c>
      <c r="H596" s="12">
        <v>0.1</v>
      </c>
      <c r="I596" s="11">
        <v>659.39</v>
      </c>
      <c r="J596" s="12">
        <v>0.1</v>
      </c>
      <c r="K596" s="11">
        <v>659.39</v>
      </c>
      <c r="L596" s="12">
        <v>0.1</v>
      </c>
      <c r="M596" s="11">
        <v>659.39</v>
      </c>
      <c r="N596" s="13">
        <v>0.1</v>
      </c>
      <c r="O596" s="11">
        <v>0.1</v>
      </c>
      <c r="P596" s="11">
        <v>0.1</v>
      </c>
      <c r="Q596" s="11">
        <v>0.1</v>
      </c>
      <c r="R596" s="11">
        <v>0.1</v>
      </c>
      <c r="S596" s="14">
        <v>0.1</v>
      </c>
      <c r="T596" s="11">
        <v>659.39</v>
      </c>
      <c r="U596" s="13" cm="1">
        <f t="array" ref="U596">IF(Table8[[#This Row],[I_0]]&lt;Table24[Flitro de Ruido],1,Table8[[#This Row],[I_10]]/Table8[[#This Row],[I_0]])</f>
        <v>1</v>
      </c>
      <c r="V596" s="13" cm="1">
        <f t="array" ref="V596">IF(Table8[[#This Row],[I_0]]&lt;Table24[Flitro de Ruido],1,Table8[[#This Row],[I_20]]/Table8[[#This Row],[I_0]])</f>
        <v>1</v>
      </c>
      <c r="W596" s="13" cm="1">
        <f t="array" ref="W596">IF(Table8[[#This Row],[I_0]]&lt;Table24[Flitro de Ruido],1,Table8[[#This Row],[I_30]]/Table8[[#This Row],[I_0]])</f>
        <v>1</v>
      </c>
      <c r="X596" s="13" cm="1">
        <f t="array" ref="X596">IF(Table8[[#This Row],[I_0]]&lt;Table24[Flitro de Ruido],1,Table8[[#This Row],[I_40]]/Table8[[#This Row],[I_0]])</f>
        <v>1</v>
      </c>
      <c r="Y596" s="13" cm="1">
        <f t="array" ref="Y596">IF(Table8[[#This Row],[I_0]]&lt;Table24[Flitro de Ruido],1,Table8[[#This Row],[I_50]]/Table8[[#This Row],[I_0]])</f>
        <v>1</v>
      </c>
    </row>
    <row r="597" spans="1:25" x14ac:dyDescent="0.3">
      <c r="A597" s="13">
        <v>660.38</v>
      </c>
      <c r="B597" s="12">
        <v>0</v>
      </c>
      <c r="C597" s="11">
        <v>660.38</v>
      </c>
      <c r="D597" s="12">
        <v>0.1</v>
      </c>
      <c r="E597" s="11">
        <v>660.38</v>
      </c>
      <c r="F597" s="12">
        <v>0.1</v>
      </c>
      <c r="G597" s="11">
        <v>660.38</v>
      </c>
      <c r="H597" s="12">
        <v>0.1</v>
      </c>
      <c r="I597" s="11">
        <v>660.38</v>
      </c>
      <c r="J597" s="12">
        <v>0.1</v>
      </c>
      <c r="K597" s="11">
        <v>660.38</v>
      </c>
      <c r="L597" s="12">
        <v>0.1</v>
      </c>
      <c r="M597" s="11">
        <v>660.38</v>
      </c>
      <c r="N597" s="13">
        <v>0</v>
      </c>
      <c r="O597" s="11">
        <v>0.1</v>
      </c>
      <c r="P597" s="11">
        <v>0.1</v>
      </c>
      <c r="Q597" s="11">
        <v>0.1</v>
      </c>
      <c r="R597" s="11">
        <v>0.1</v>
      </c>
      <c r="S597" s="14">
        <v>0.1</v>
      </c>
      <c r="T597" s="11">
        <v>660.38</v>
      </c>
      <c r="U597" s="13" cm="1">
        <f t="array" ref="U597">IF(Table8[[#This Row],[I_0]]&lt;Table24[Flitro de Ruido],1,Table8[[#This Row],[I_10]]/Table8[[#This Row],[I_0]])</f>
        <v>1</v>
      </c>
      <c r="V597" s="13" cm="1">
        <f t="array" ref="V597">IF(Table8[[#This Row],[I_0]]&lt;Table24[Flitro de Ruido],1,Table8[[#This Row],[I_20]]/Table8[[#This Row],[I_0]])</f>
        <v>1</v>
      </c>
      <c r="W597" s="13" cm="1">
        <f t="array" ref="W597">IF(Table8[[#This Row],[I_0]]&lt;Table24[Flitro de Ruido],1,Table8[[#This Row],[I_30]]/Table8[[#This Row],[I_0]])</f>
        <v>1</v>
      </c>
      <c r="X597" s="13" cm="1">
        <f t="array" ref="X597">IF(Table8[[#This Row],[I_0]]&lt;Table24[Flitro de Ruido],1,Table8[[#This Row],[I_40]]/Table8[[#This Row],[I_0]])</f>
        <v>1</v>
      </c>
      <c r="Y597" s="13" cm="1">
        <f t="array" ref="Y597">IF(Table8[[#This Row],[I_0]]&lt;Table24[Flitro de Ruido],1,Table8[[#This Row],[I_50]]/Table8[[#This Row],[I_0]])</f>
        <v>1</v>
      </c>
    </row>
    <row r="598" spans="1:25" x14ac:dyDescent="0.3">
      <c r="A598" s="13">
        <v>661.37</v>
      </c>
      <c r="B598" s="12">
        <v>0</v>
      </c>
      <c r="C598" s="11">
        <v>661.37</v>
      </c>
      <c r="D598" s="12">
        <v>0</v>
      </c>
      <c r="E598" s="11">
        <v>661.37</v>
      </c>
      <c r="F598" s="12">
        <v>0</v>
      </c>
      <c r="G598" s="11">
        <v>661.37</v>
      </c>
      <c r="H598" s="12">
        <v>0</v>
      </c>
      <c r="I598" s="11">
        <v>661.37</v>
      </c>
      <c r="J598" s="12">
        <v>0.1</v>
      </c>
      <c r="K598" s="11">
        <v>661.37</v>
      </c>
      <c r="L598" s="12">
        <v>0.1</v>
      </c>
      <c r="M598" s="11">
        <v>661.37</v>
      </c>
      <c r="N598" s="13">
        <v>0</v>
      </c>
      <c r="O598" s="11">
        <v>0</v>
      </c>
      <c r="P598" s="11">
        <v>0</v>
      </c>
      <c r="Q598" s="11">
        <v>0</v>
      </c>
      <c r="R598" s="11">
        <v>0.1</v>
      </c>
      <c r="S598" s="14">
        <v>0.1</v>
      </c>
      <c r="T598" s="11">
        <v>661.37</v>
      </c>
      <c r="U598" s="13" cm="1">
        <f t="array" ref="U598">IF(Table8[[#This Row],[I_0]]&lt;Table24[Flitro de Ruido],1,Table8[[#This Row],[I_10]]/Table8[[#This Row],[I_0]])</f>
        <v>1</v>
      </c>
      <c r="V598" s="13" cm="1">
        <f t="array" ref="V598">IF(Table8[[#This Row],[I_0]]&lt;Table24[Flitro de Ruido],1,Table8[[#This Row],[I_20]]/Table8[[#This Row],[I_0]])</f>
        <v>1</v>
      </c>
      <c r="W598" s="13" cm="1">
        <f t="array" ref="W598">IF(Table8[[#This Row],[I_0]]&lt;Table24[Flitro de Ruido],1,Table8[[#This Row],[I_30]]/Table8[[#This Row],[I_0]])</f>
        <v>1</v>
      </c>
      <c r="X598" s="13" cm="1">
        <f t="array" ref="X598">IF(Table8[[#This Row],[I_0]]&lt;Table24[Flitro de Ruido],1,Table8[[#This Row],[I_40]]/Table8[[#This Row],[I_0]])</f>
        <v>1</v>
      </c>
      <c r="Y598" s="13" cm="1">
        <f t="array" ref="Y598">IF(Table8[[#This Row],[I_0]]&lt;Table24[Flitro de Ruido],1,Table8[[#This Row],[I_50]]/Table8[[#This Row],[I_0]])</f>
        <v>1</v>
      </c>
    </row>
    <row r="599" spans="1:25" x14ac:dyDescent="0.3">
      <c r="A599" s="13">
        <v>662.36</v>
      </c>
      <c r="B599" s="12">
        <v>0</v>
      </c>
      <c r="C599" s="11">
        <v>662.36</v>
      </c>
      <c r="D599" s="12">
        <v>0</v>
      </c>
      <c r="E599" s="11">
        <v>662.36</v>
      </c>
      <c r="F599" s="12">
        <v>0</v>
      </c>
      <c r="G599" s="11">
        <v>662.36</v>
      </c>
      <c r="H599" s="12">
        <v>0</v>
      </c>
      <c r="I599" s="11">
        <v>662.36</v>
      </c>
      <c r="J599" s="12">
        <v>0</v>
      </c>
      <c r="K599" s="11">
        <v>662.36</v>
      </c>
      <c r="L599" s="12">
        <v>0.1</v>
      </c>
      <c r="M599" s="11">
        <v>662.36</v>
      </c>
      <c r="N599" s="13">
        <v>0</v>
      </c>
      <c r="O599" s="11">
        <v>0</v>
      </c>
      <c r="P599" s="11">
        <v>0</v>
      </c>
      <c r="Q599" s="11">
        <v>0</v>
      </c>
      <c r="R599" s="11">
        <v>0</v>
      </c>
      <c r="S599" s="14">
        <v>0.1</v>
      </c>
      <c r="T599" s="11">
        <v>662.36</v>
      </c>
      <c r="U599" s="13" cm="1">
        <f t="array" ref="U599">IF(Table8[[#This Row],[I_0]]&lt;Table24[Flitro de Ruido],1,Table8[[#This Row],[I_10]]/Table8[[#This Row],[I_0]])</f>
        <v>1</v>
      </c>
      <c r="V599" s="13" cm="1">
        <f t="array" ref="V599">IF(Table8[[#This Row],[I_0]]&lt;Table24[Flitro de Ruido],1,Table8[[#This Row],[I_20]]/Table8[[#This Row],[I_0]])</f>
        <v>1</v>
      </c>
      <c r="W599" s="13" cm="1">
        <f t="array" ref="W599">IF(Table8[[#This Row],[I_0]]&lt;Table24[Flitro de Ruido],1,Table8[[#This Row],[I_30]]/Table8[[#This Row],[I_0]])</f>
        <v>1</v>
      </c>
      <c r="X599" s="13" cm="1">
        <f t="array" ref="X599">IF(Table8[[#This Row],[I_0]]&lt;Table24[Flitro de Ruido],1,Table8[[#This Row],[I_40]]/Table8[[#This Row],[I_0]])</f>
        <v>1</v>
      </c>
      <c r="Y599" s="13" cm="1">
        <f t="array" ref="Y599">IF(Table8[[#This Row],[I_0]]&lt;Table24[Flitro de Ruido],1,Table8[[#This Row],[I_50]]/Table8[[#This Row],[I_0]])</f>
        <v>1</v>
      </c>
    </row>
    <row r="600" spans="1:25" x14ac:dyDescent="0.3">
      <c r="A600" s="13">
        <v>663.36</v>
      </c>
      <c r="B600" s="12">
        <v>0</v>
      </c>
      <c r="C600" s="11">
        <v>663.36</v>
      </c>
      <c r="D600" s="12">
        <v>0</v>
      </c>
      <c r="E600" s="11">
        <v>663.36</v>
      </c>
      <c r="F600" s="12">
        <v>0</v>
      </c>
      <c r="G600" s="11">
        <v>663.36</v>
      </c>
      <c r="H600" s="12">
        <v>0</v>
      </c>
      <c r="I600" s="11">
        <v>663.36</v>
      </c>
      <c r="J600" s="12">
        <v>0</v>
      </c>
      <c r="K600" s="11">
        <v>663.36</v>
      </c>
      <c r="L600" s="12">
        <v>0</v>
      </c>
      <c r="M600" s="11">
        <v>663.36</v>
      </c>
      <c r="N600" s="13">
        <v>0</v>
      </c>
      <c r="O600" s="11">
        <v>0</v>
      </c>
      <c r="P600" s="11">
        <v>0</v>
      </c>
      <c r="Q600" s="11">
        <v>0</v>
      </c>
      <c r="R600" s="11">
        <v>0</v>
      </c>
      <c r="S600" s="14">
        <v>0</v>
      </c>
      <c r="T600" s="11">
        <v>663.36</v>
      </c>
      <c r="U600" s="13" cm="1">
        <f t="array" ref="U600">IF(Table8[[#This Row],[I_0]]&lt;Table24[Flitro de Ruido],1,Table8[[#This Row],[I_10]]/Table8[[#This Row],[I_0]])</f>
        <v>1</v>
      </c>
      <c r="V600" s="13" cm="1">
        <f t="array" ref="V600">IF(Table8[[#This Row],[I_0]]&lt;Table24[Flitro de Ruido],1,Table8[[#This Row],[I_20]]/Table8[[#This Row],[I_0]])</f>
        <v>1</v>
      </c>
      <c r="W600" s="13" cm="1">
        <f t="array" ref="W600">IF(Table8[[#This Row],[I_0]]&lt;Table24[Flitro de Ruido],1,Table8[[#This Row],[I_30]]/Table8[[#This Row],[I_0]])</f>
        <v>1</v>
      </c>
      <c r="X600" s="13" cm="1">
        <f t="array" ref="X600">IF(Table8[[#This Row],[I_0]]&lt;Table24[Flitro de Ruido],1,Table8[[#This Row],[I_40]]/Table8[[#This Row],[I_0]])</f>
        <v>1</v>
      </c>
      <c r="Y600" s="13" cm="1">
        <f t="array" ref="Y600">IF(Table8[[#This Row],[I_0]]&lt;Table24[Flitro de Ruido],1,Table8[[#This Row],[I_50]]/Table8[[#This Row],[I_0]])</f>
        <v>1</v>
      </c>
    </row>
    <row r="601" spans="1:25" x14ac:dyDescent="0.3">
      <c r="A601" s="13">
        <v>664.35</v>
      </c>
      <c r="B601" s="12">
        <v>0</v>
      </c>
      <c r="C601" s="11">
        <v>664.35</v>
      </c>
      <c r="D601" s="12">
        <v>0</v>
      </c>
      <c r="E601" s="11">
        <v>664.35</v>
      </c>
      <c r="F601" s="12">
        <v>0</v>
      </c>
      <c r="G601" s="11">
        <v>664.35</v>
      </c>
      <c r="H601" s="12">
        <v>0</v>
      </c>
      <c r="I601" s="11">
        <v>664.35</v>
      </c>
      <c r="J601" s="12">
        <v>0</v>
      </c>
      <c r="K601" s="11">
        <v>664.35</v>
      </c>
      <c r="L601" s="12">
        <v>0</v>
      </c>
      <c r="M601" s="11">
        <v>664.35</v>
      </c>
      <c r="N601" s="13">
        <v>0</v>
      </c>
      <c r="O601" s="11">
        <v>0</v>
      </c>
      <c r="P601" s="11">
        <v>0</v>
      </c>
      <c r="Q601" s="11">
        <v>0</v>
      </c>
      <c r="R601" s="11">
        <v>0</v>
      </c>
      <c r="S601" s="14">
        <v>0</v>
      </c>
      <c r="T601" s="11">
        <v>664.35</v>
      </c>
      <c r="U601" s="13" cm="1">
        <f t="array" ref="U601">IF(Table8[[#This Row],[I_0]]&lt;Table24[Flitro de Ruido],1,Table8[[#This Row],[I_10]]/Table8[[#This Row],[I_0]])</f>
        <v>1</v>
      </c>
      <c r="V601" s="13" cm="1">
        <f t="array" ref="V601">IF(Table8[[#This Row],[I_0]]&lt;Table24[Flitro de Ruido],1,Table8[[#This Row],[I_20]]/Table8[[#This Row],[I_0]])</f>
        <v>1</v>
      </c>
      <c r="W601" s="13" cm="1">
        <f t="array" ref="W601">IF(Table8[[#This Row],[I_0]]&lt;Table24[Flitro de Ruido],1,Table8[[#This Row],[I_30]]/Table8[[#This Row],[I_0]])</f>
        <v>1</v>
      </c>
      <c r="X601" s="13" cm="1">
        <f t="array" ref="X601">IF(Table8[[#This Row],[I_0]]&lt;Table24[Flitro de Ruido],1,Table8[[#This Row],[I_40]]/Table8[[#This Row],[I_0]])</f>
        <v>1</v>
      </c>
      <c r="Y601" s="13" cm="1">
        <f t="array" ref="Y601">IF(Table8[[#This Row],[I_0]]&lt;Table24[Flitro de Ruido],1,Table8[[#This Row],[I_50]]/Table8[[#This Row],[I_0]])</f>
        <v>1</v>
      </c>
    </row>
    <row r="602" spans="1:25" x14ac:dyDescent="0.3">
      <c r="A602" s="13">
        <v>665.34</v>
      </c>
      <c r="B602" s="12">
        <v>0</v>
      </c>
      <c r="C602" s="11">
        <v>665.34</v>
      </c>
      <c r="D602" s="12">
        <v>0</v>
      </c>
      <c r="E602" s="11">
        <v>665.34</v>
      </c>
      <c r="F602" s="12">
        <v>0</v>
      </c>
      <c r="G602" s="11">
        <v>665.34</v>
      </c>
      <c r="H602" s="12">
        <v>0</v>
      </c>
      <c r="I602" s="11">
        <v>665.34</v>
      </c>
      <c r="J602" s="12">
        <v>0</v>
      </c>
      <c r="K602" s="11">
        <v>665.34</v>
      </c>
      <c r="L602" s="12">
        <v>0</v>
      </c>
      <c r="M602" s="11">
        <v>665.34</v>
      </c>
      <c r="N602" s="13">
        <v>0</v>
      </c>
      <c r="O602" s="11">
        <v>0</v>
      </c>
      <c r="P602" s="11">
        <v>0</v>
      </c>
      <c r="Q602" s="11">
        <v>0</v>
      </c>
      <c r="R602" s="11">
        <v>0</v>
      </c>
      <c r="S602" s="14">
        <v>0</v>
      </c>
      <c r="T602" s="11">
        <v>665.34</v>
      </c>
      <c r="U602" s="13" cm="1">
        <f t="array" ref="U602">IF(Table8[[#This Row],[I_0]]&lt;Table24[Flitro de Ruido],1,Table8[[#This Row],[I_10]]/Table8[[#This Row],[I_0]])</f>
        <v>1</v>
      </c>
      <c r="V602" s="13" cm="1">
        <f t="array" ref="V602">IF(Table8[[#This Row],[I_0]]&lt;Table24[Flitro de Ruido],1,Table8[[#This Row],[I_20]]/Table8[[#This Row],[I_0]])</f>
        <v>1</v>
      </c>
      <c r="W602" s="13" cm="1">
        <f t="array" ref="W602">IF(Table8[[#This Row],[I_0]]&lt;Table24[Flitro de Ruido],1,Table8[[#This Row],[I_30]]/Table8[[#This Row],[I_0]])</f>
        <v>1</v>
      </c>
      <c r="X602" s="13" cm="1">
        <f t="array" ref="X602">IF(Table8[[#This Row],[I_0]]&lt;Table24[Flitro de Ruido],1,Table8[[#This Row],[I_40]]/Table8[[#This Row],[I_0]])</f>
        <v>1</v>
      </c>
      <c r="Y602" s="13" cm="1">
        <f t="array" ref="Y602">IF(Table8[[#This Row],[I_0]]&lt;Table24[Flitro de Ruido],1,Table8[[#This Row],[I_50]]/Table8[[#This Row],[I_0]])</f>
        <v>1</v>
      </c>
    </row>
    <row r="603" spans="1:25" x14ac:dyDescent="0.3">
      <c r="A603" s="13">
        <v>666.33</v>
      </c>
      <c r="B603" s="12">
        <v>0</v>
      </c>
      <c r="C603" s="11">
        <v>666.33</v>
      </c>
      <c r="D603" s="12">
        <v>0</v>
      </c>
      <c r="E603" s="11">
        <v>666.33</v>
      </c>
      <c r="F603" s="12">
        <v>0</v>
      </c>
      <c r="G603" s="11">
        <v>666.33</v>
      </c>
      <c r="H603" s="12">
        <v>0</v>
      </c>
      <c r="I603" s="11">
        <v>666.33</v>
      </c>
      <c r="J603" s="12">
        <v>0</v>
      </c>
      <c r="K603" s="11">
        <v>666.33</v>
      </c>
      <c r="L603" s="12">
        <v>0</v>
      </c>
      <c r="M603" s="11">
        <v>666.33</v>
      </c>
      <c r="N603" s="13">
        <v>0</v>
      </c>
      <c r="O603" s="11">
        <v>0</v>
      </c>
      <c r="P603" s="11">
        <v>0</v>
      </c>
      <c r="Q603" s="11">
        <v>0</v>
      </c>
      <c r="R603" s="11">
        <v>0</v>
      </c>
      <c r="S603" s="14">
        <v>0</v>
      </c>
      <c r="T603" s="11">
        <v>666.33</v>
      </c>
      <c r="U603" s="13" cm="1">
        <f t="array" ref="U603">IF(Table8[[#This Row],[I_0]]&lt;Table24[Flitro de Ruido],1,Table8[[#This Row],[I_10]]/Table8[[#This Row],[I_0]])</f>
        <v>1</v>
      </c>
      <c r="V603" s="13" cm="1">
        <f t="array" ref="V603">IF(Table8[[#This Row],[I_0]]&lt;Table24[Flitro de Ruido],1,Table8[[#This Row],[I_20]]/Table8[[#This Row],[I_0]])</f>
        <v>1</v>
      </c>
      <c r="W603" s="13" cm="1">
        <f t="array" ref="W603">IF(Table8[[#This Row],[I_0]]&lt;Table24[Flitro de Ruido],1,Table8[[#This Row],[I_30]]/Table8[[#This Row],[I_0]])</f>
        <v>1</v>
      </c>
      <c r="X603" s="13" cm="1">
        <f t="array" ref="X603">IF(Table8[[#This Row],[I_0]]&lt;Table24[Flitro de Ruido],1,Table8[[#This Row],[I_40]]/Table8[[#This Row],[I_0]])</f>
        <v>1</v>
      </c>
      <c r="Y603" s="13" cm="1">
        <f t="array" ref="Y603">IF(Table8[[#This Row],[I_0]]&lt;Table24[Flitro de Ruido],1,Table8[[#This Row],[I_50]]/Table8[[#This Row],[I_0]])</f>
        <v>1</v>
      </c>
    </row>
    <row r="604" spans="1:25" x14ac:dyDescent="0.3">
      <c r="A604" s="13">
        <v>667.32</v>
      </c>
      <c r="B604" s="12">
        <v>0</v>
      </c>
      <c r="C604" s="11">
        <v>667.32</v>
      </c>
      <c r="D604" s="12">
        <v>0</v>
      </c>
      <c r="E604" s="11">
        <v>667.32</v>
      </c>
      <c r="F604" s="12">
        <v>0</v>
      </c>
      <c r="G604" s="11">
        <v>667.32</v>
      </c>
      <c r="H604" s="12">
        <v>0</v>
      </c>
      <c r="I604" s="11">
        <v>667.32</v>
      </c>
      <c r="J604" s="12">
        <v>0</v>
      </c>
      <c r="K604" s="11">
        <v>667.32</v>
      </c>
      <c r="L604" s="12">
        <v>0</v>
      </c>
      <c r="M604" s="11">
        <v>667.32</v>
      </c>
      <c r="N604" s="13">
        <v>0</v>
      </c>
      <c r="O604" s="11">
        <v>0</v>
      </c>
      <c r="P604" s="11">
        <v>0</v>
      </c>
      <c r="Q604" s="11">
        <v>0</v>
      </c>
      <c r="R604" s="11">
        <v>0</v>
      </c>
      <c r="S604" s="14">
        <v>0</v>
      </c>
      <c r="T604" s="11">
        <v>667.32</v>
      </c>
      <c r="U604" s="13" cm="1">
        <f t="array" ref="U604">IF(Table8[[#This Row],[I_0]]&lt;Table24[Flitro de Ruido],1,Table8[[#This Row],[I_10]]/Table8[[#This Row],[I_0]])</f>
        <v>1</v>
      </c>
      <c r="V604" s="13" cm="1">
        <f t="array" ref="V604">IF(Table8[[#This Row],[I_0]]&lt;Table24[Flitro de Ruido],1,Table8[[#This Row],[I_20]]/Table8[[#This Row],[I_0]])</f>
        <v>1</v>
      </c>
      <c r="W604" s="13" cm="1">
        <f t="array" ref="W604">IF(Table8[[#This Row],[I_0]]&lt;Table24[Flitro de Ruido],1,Table8[[#This Row],[I_30]]/Table8[[#This Row],[I_0]])</f>
        <v>1</v>
      </c>
      <c r="X604" s="13" cm="1">
        <f t="array" ref="X604">IF(Table8[[#This Row],[I_0]]&lt;Table24[Flitro de Ruido],1,Table8[[#This Row],[I_40]]/Table8[[#This Row],[I_0]])</f>
        <v>1</v>
      </c>
      <c r="Y604" s="13" cm="1">
        <f t="array" ref="Y604">IF(Table8[[#This Row],[I_0]]&lt;Table24[Flitro de Ruido],1,Table8[[#This Row],[I_50]]/Table8[[#This Row],[I_0]])</f>
        <v>1</v>
      </c>
    </row>
    <row r="605" spans="1:25" x14ac:dyDescent="0.3">
      <c r="A605" s="13">
        <v>668.31</v>
      </c>
      <c r="B605" s="12">
        <v>0</v>
      </c>
      <c r="C605" s="11">
        <v>668.31</v>
      </c>
      <c r="D605" s="12">
        <v>0</v>
      </c>
      <c r="E605" s="11">
        <v>668.31</v>
      </c>
      <c r="F605" s="12">
        <v>0</v>
      </c>
      <c r="G605" s="11">
        <v>668.31</v>
      </c>
      <c r="H605" s="12">
        <v>0</v>
      </c>
      <c r="I605" s="11">
        <v>668.31</v>
      </c>
      <c r="J605" s="12">
        <v>0</v>
      </c>
      <c r="K605" s="11">
        <v>668.31</v>
      </c>
      <c r="L605" s="12">
        <v>0</v>
      </c>
      <c r="M605" s="11">
        <v>668.31</v>
      </c>
      <c r="N605" s="13">
        <v>0</v>
      </c>
      <c r="O605" s="11">
        <v>0</v>
      </c>
      <c r="P605" s="11">
        <v>0</v>
      </c>
      <c r="Q605" s="11">
        <v>0</v>
      </c>
      <c r="R605" s="11">
        <v>0</v>
      </c>
      <c r="S605" s="14">
        <v>0</v>
      </c>
      <c r="T605" s="11">
        <v>668.31</v>
      </c>
      <c r="U605" s="13" cm="1">
        <f t="array" ref="U605">IF(Table8[[#This Row],[I_0]]&lt;Table24[Flitro de Ruido],1,Table8[[#This Row],[I_10]]/Table8[[#This Row],[I_0]])</f>
        <v>1</v>
      </c>
      <c r="V605" s="13" cm="1">
        <f t="array" ref="V605">IF(Table8[[#This Row],[I_0]]&lt;Table24[Flitro de Ruido],1,Table8[[#This Row],[I_20]]/Table8[[#This Row],[I_0]])</f>
        <v>1</v>
      </c>
      <c r="W605" s="13" cm="1">
        <f t="array" ref="W605">IF(Table8[[#This Row],[I_0]]&lt;Table24[Flitro de Ruido],1,Table8[[#This Row],[I_30]]/Table8[[#This Row],[I_0]])</f>
        <v>1</v>
      </c>
      <c r="X605" s="13" cm="1">
        <f t="array" ref="X605">IF(Table8[[#This Row],[I_0]]&lt;Table24[Flitro de Ruido],1,Table8[[#This Row],[I_40]]/Table8[[#This Row],[I_0]])</f>
        <v>1</v>
      </c>
      <c r="Y605" s="13" cm="1">
        <f t="array" ref="Y605">IF(Table8[[#This Row],[I_0]]&lt;Table24[Flitro de Ruido],1,Table8[[#This Row],[I_50]]/Table8[[#This Row],[I_0]])</f>
        <v>1</v>
      </c>
    </row>
    <row r="606" spans="1:25" x14ac:dyDescent="0.3">
      <c r="A606" s="13">
        <v>669.31</v>
      </c>
      <c r="B606" s="12">
        <v>0</v>
      </c>
      <c r="C606" s="11">
        <v>669.31</v>
      </c>
      <c r="D606" s="12">
        <v>0</v>
      </c>
      <c r="E606" s="11">
        <v>669.31</v>
      </c>
      <c r="F606" s="12">
        <v>0</v>
      </c>
      <c r="G606" s="11">
        <v>669.31</v>
      </c>
      <c r="H606" s="12">
        <v>0</v>
      </c>
      <c r="I606" s="11">
        <v>669.31</v>
      </c>
      <c r="J606" s="12">
        <v>0</v>
      </c>
      <c r="K606" s="11">
        <v>669.31</v>
      </c>
      <c r="L606" s="12">
        <v>0</v>
      </c>
      <c r="M606" s="11">
        <v>669.31</v>
      </c>
      <c r="N606" s="13">
        <v>0</v>
      </c>
      <c r="O606" s="11">
        <v>0</v>
      </c>
      <c r="P606" s="11">
        <v>0</v>
      </c>
      <c r="Q606" s="11">
        <v>0</v>
      </c>
      <c r="R606" s="11">
        <v>0</v>
      </c>
      <c r="S606" s="14">
        <v>0</v>
      </c>
      <c r="T606" s="11">
        <v>669.31</v>
      </c>
      <c r="U606" s="13" cm="1">
        <f t="array" ref="U606">IF(Table8[[#This Row],[I_0]]&lt;Table24[Flitro de Ruido],1,Table8[[#This Row],[I_10]]/Table8[[#This Row],[I_0]])</f>
        <v>1</v>
      </c>
      <c r="V606" s="13" cm="1">
        <f t="array" ref="V606">IF(Table8[[#This Row],[I_0]]&lt;Table24[Flitro de Ruido],1,Table8[[#This Row],[I_20]]/Table8[[#This Row],[I_0]])</f>
        <v>1</v>
      </c>
      <c r="W606" s="13" cm="1">
        <f t="array" ref="W606">IF(Table8[[#This Row],[I_0]]&lt;Table24[Flitro de Ruido],1,Table8[[#This Row],[I_30]]/Table8[[#This Row],[I_0]])</f>
        <v>1</v>
      </c>
      <c r="X606" s="13" cm="1">
        <f t="array" ref="X606">IF(Table8[[#This Row],[I_0]]&lt;Table24[Flitro de Ruido],1,Table8[[#This Row],[I_40]]/Table8[[#This Row],[I_0]])</f>
        <v>1</v>
      </c>
      <c r="Y606" s="13" cm="1">
        <f t="array" ref="Y606">IF(Table8[[#This Row],[I_0]]&lt;Table24[Flitro de Ruido],1,Table8[[#This Row],[I_50]]/Table8[[#This Row],[I_0]])</f>
        <v>1</v>
      </c>
    </row>
    <row r="607" spans="1:25" x14ac:dyDescent="0.3">
      <c r="A607" s="13">
        <v>670.3</v>
      </c>
      <c r="B607" s="12">
        <v>0</v>
      </c>
      <c r="C607" s="11">
        <v>670.3</v>
      </c>
      <c r="D607" s="12">
        <v>0</v>
      </c>
      <c r="E607" s="11">
        <v>670.3</v>
      </c>
      <c r="F607" s="12">
        <v>0</v>
      </c>
      <c r="G607" s="11">
        <v>670.3</v>
      </c>
      <c r="H607" s="12">
        <v>0</v>
      </c>
      <c r="I607" s="11">
        <v>670.3</v>
      </c>
      <c r="J607" s="12">
        <v>0</v>
      </c>
      <c r="K607" s="11">
        <v>670.3</v>
      </c>
      <c r="L607" s="12">
        <v>0</v>
      </c>
      <c r="M607" s="11">
        <v>670.3</v>
      </c>
      <c r="N607" s="13">
        <v>0</v>
      </c>
      <c r="O607" s="11">
        <v>0</v>
      </c>
      <c r="P607" s="11">
        <v>0</v>
      </c>
      <c r="Q607" s="11">
        <v>0</v>
      </c>
      <c r="R607" s="11">
        <v>0</v>
      </c>
      <c r="S607" s="14">
        <v>0</v>
      </c>
      <c r="T607" s="11">
        <v>670.3</v>
      </c>
      <c r="U607" s="13" cm="1">
        <f t="array" ref="U607">IF(Table8[[#This Row],[I_0]]&lt;Table24[Flitro de Ruido],1,Table8[[#This Row],[I_10]]/Table8[[#This Row],[I_0]])</f>
        <v>1</v>
      </c>
      <c r="V607" s="13" cm="1">
        <f t="array" ref="V607">IF(Table8[[#This Row],[I_0]]&lt;Table24[Flitro de Ruido],1,Table8[[#This Row],[I_20]]/Table8[[#This Row],[I_0]])</f>
        <v>1</v>
      </c>
      <c r="W607" s="13" cm="1">
        <f t="array" ref="W607">IF(Table8[[#This Row],[I_0]]&lt;Table24[Flitro de Ruido],1,Table8[[#This Row],[I_30]]/Table8[[#This Row],[I_0]])</f>
        <v>1</v>
      </c>
      <c r="X607" s="13" cm="1">
        <f t="array" ref="X607">IF(Table8[[#This Row],[I_0]]&lt;Table24[Flitro de Ruido],1,Table8[[#This Row],[I_40]]/Table8[[#This Row],[I_0]])</f>
        <v>1</v>
      </c>
      <c r="Y607" s="13" cm="1">
        <f t="array" ref="Y607">IF(Table8[[#This Row],[I_0]]&lt;Table24[Flitro de Ruido],1,Table8[[#This Row],[I_50]]/Table8[[#This Row],[I_0]])</f>
        <v>1</v>
      </c>
    </row>
    <row r="608" spans="1:25" x14ac:dyDescent="0.3">
      <c r="A608" s="13">
        <v>671.29</v>
      </c>
      <c r="B608" s="12">
        <v>0</v>
      </c>
      <c r="C608" s="11">
        <v>671.29</v>
      </c>
      <c r="D608" s="12">
        <v>0</v>
      </c>
      <c r="E608" s="11">
        <v>671.29</v>
      </c>
      <c r="F608" s="12">
        <v>0</v>
      </c>
      <c r="G608" s="11">
        <v>671.29</v>
      </c>
      <c r="H608" s="12">
        <v>0</v>
      </c>
      <c r="I608" s="11">
        <v>671.29</v>
      </c>
      <c r="J608" s="12">
        <v>0</v>
      </c>
      <c r="K608" s="11">
        <v>671.29</v>
      </c>
      <c r="L608" s="12">
        <v>0</v>
      </c>
      <c r="M608" s="11">
        <v>671.29</v>
      </c>
      <c r="N608" s="13">
        <v>0</v>
      </c>
      <c r="O608" s="11">
        <v>0</v>
      </c>
      <c r="P608" s="11">
        <v>0</v>
      </c>
      <c r="Q608" s="11">
        <v>0</v>
      </c>
      <c r="R608" s="11">
        <v>0</v>
      </c>
      <c r="S608" s="14">
        <v>0</v>
      </c>
      <c r="T608" s="11">
        <v>671.29</v>
      </c>
      <c r="U608" s="13" cm="1">
        <f t="array" ref="U608">IF(Table8[[#This Row],[I_0]]&lt;Table24[Flitro de Ruido],1,Table8[[#This Row],[I_10]]/Table8[[#This Row],[I_0]])</f>
        <v>1</v>
      </c>
      <c r="V608" s="13" cm="1">
        <f t="array" ref="V608">IF(Table8[[#This Row],[I_0]]&lt;Table24[Flitro de Ruido],1,Table8[[#This Row],[I_20]]/Table8[[#This Row],[I_0]])</f>
        <v>1</v>
      </c>
      <c r="W608" s="13" cm="1">
        <f t="array" ref="W608">IF(Table8[[#This Row],[I_0]]&lt;Table24[Flitro de Ruido],1,Table8[[#This Row],[I_30]]/Table8[[#This Row],[I_0]])</f>
        <v>1</v>
      </c>
      <c r="X608" s="13" cm="1">
        <f t="array" ref="X608">IF(Table8[[#This Row],[I_0]]&lt;Table24[Flitro de Ruido],1,Table8[[#This Row],[I_40]]/Table8[[#This Row],[I_0]])</f>
        <v>1</v>
      </c>
      <c r="Y608" s="13" cm="1">
        <f t="array" ref="Y608">IF(Table8[[#This Row],[I_0]]&lt;Table24[Flitro de Ruido],1,Table8[[#This Row],[I_50]]/Table8[[#This Row],[I_0]])</f>
        <v>1</v>
      </c>
    </row>
    <row r="609" spans="1:25" x14ac:dyDescent="0.3">
      <c r="A609" s="13">
        <v>672.28</v>
      </c>
      <c r="B609" s="12">
        <v>0</v>
      </c>
      <c r="C609" s="11">
        <v>672.28</v>
      </c>
      <c r="D609" s="12">
        <v>0</v>
      </c>
      <c r="E609" s="11">
        <v>672.28</v>
      </c>
      <c r="F609" s="12">
        <v>0</v>
      </c>
      <c r="G609" s="11">
        <v>672.28</v>
      </c>
      <c r="H609" s="12">
        <v>0</v>
      </c>
      <c r="I609" s="11">
        <v>672.28</v>
      </c>
      <c r="J609" s="12">
        <v>0</v>
      </c>
      <c r="K609" s="11">
        <v>672.28</v>
      </c>
      <c r="L609" s="12">
        <v>0</v>
      </c>
      <c r="M609" s="11">
        <v>672.28</v>
      </c>
      <c r="N609" s="13">
        <v>0</v>
      </c>
      <c r="O609" s="11">
        <v>0</v>
      </c>
      <c r="P609" s="11">
        <v>0</v>
      </c>
      <c r="Q609" s="11">
        <v>0</v>
      </c>
      <c r="R609" s="11">
        <v>0</v>
      </c>
      <c r="S609" s="14">
        <v>0</v>
      </c>
      <c r="T609" s="11">
        <v>672.28</v>
      </c>
      <c r="U609" s="13" cm="1">
        <f t="array" ref="U609">IF(Table8[[#This Row],[I_0]]&lt;Table24[Flitro de Ruido],1,Table8[[#This Row],[I_10]]/Table8[[#This Row],[I_0]])</f>
        <v>1</v>
      </c>
      <c r="V609" s="13" cm="1">
        <f t="array" ref="V609">IF(Table8[[#This Row],[I_0]]&lt;Table24[Flitro de Ruido],1,Table8[[#This Row],[I_20]]/Table8[[#This Row],[I_0]])</f>
        <v>1</v>
      </c>
      <c r="W609" s="13" cm="1">
        <f t="array" ref="W609">IF(Table8[[#This Row],[I_0]]&lt;Table24[Flitro de Ruido],1,Table8[[#This Row],[I_30]]/Table8[[#This Row],[I_0]])</f>
        <v>1</v>
      </c>
      <c r="X609" s="13" cm="1">
        <f t="array" ref="X609">IF(Table8[[#This Row],[I_0]]&lt;Table24[Flitro de Ruido],1,Table8[[#This Row],[I_40]]/Table8[[#This Row],[I_0]])</f>
        <v>1</v>
      </c>
      <c r="Y609" s="13" cm="1">
        <f t="array" ref="Y609">IF(Table8[[#This Row],[I_0]]&lt;Table24[Flitro de Ruido],1,Table8[[#This Row],[I_50]]/Table8[[#This Row],[I_0]])</f>
        <v>1</v>
      </c>
    </row>
    <row r="610" spans="1:25" x14ac:dyDescent="0.3">
      <c r="A610" s="13">
        <v>673.27</v>
      </c>
      <c r="B610" s="12">
        <v>0</v>
      </c>
      <c r="C610" s="11">
        <v>673.27</v>
      </c>
      <c r="D610" s="12">
        <v>0</v>
      </c>
      <c r="E610" s="11">
        <v>673.27</v>
      </c>
      <c r="F610" s="12">
        <v>0</v>
      </c>
      <c r="G610" s="11">
        <v>673.27</v>
      </c>
      <c r="H610" s="12">
        <v>0</v>
      </c>
      <c r="I610" s="11">
        <v>673.27</v>
      </c>
      <c r="J610" s="12">
        <v>0</v>
      </c>
      <c r="K610" s="11">
        <v>673.27</v>
      </c>
      <c r="L610" s="12">
        <v>0</v>
      </c>
      <c r="M610" s="11">
        <v>673.27</v>
      </c>
      <c r="N610" s="13">
        <v>0</v>
      </c>
      <c r="O610" s="11">
        <v>0</v>
      </c>
      <c r="P610" s="11">
        <v>0</v>
      </c>
      <c r="Q610" s="11">
        <v>0</v>
      </c>
      <c r="R610" s="11">
        <v>0</v>
      </c>
      <c r="S610" s="14">
        <v>0</v>
      </c>
      <c r="T610" s="11">
        <v>673.27</v>
      </c>
      <c r="U610" s="13" cm="1">
        <f t="array" ref="U610">IF(Table8[[#This Row],[I_0]]&lt;Table24[Flitro de Ruido],1,Table8[[#This Row],[I_10]]/Table8[[#This Row],[I_0]])</f>
        <v>1</v>
      </c>
      <c r="V610" s="13" cm="1">
        <f t="array" ref="V610">IF(Table8[[#This Row],[I_0]]&lt;Table24[Flitro de Ruido],1,Table8[[#This Row],[I_20]]/Table8[[#This Row],[I_0]])</f>
        <v>1</v>
      </c>
      <c r="W610" s="13" cm="1">
        <f t="array" ref="W610">IF(Table8[[#This Row],[I_0]]&lt;Table24[Flitro de Ruido],1,Table8[[#This Row],[I_30]]/Table8[[#This Row],[I_0]])</f>
        <v>1</v>
      </c>
      <c r="X610" s="13" cm="1">
        <f t="array" ref="X610">IF(Table8[[#This Row],[I_0]]&lt;Table24[Flitro de Ruido],1,Table8[[#This Row],[I_40]]/Table8[[#This Row],[I_0]])</f>
        <v>1</v>
      </c>
      <c r="Y610" s="13" cm="1">
        <f t="array" ref="Y610">IF(Table8[[#This Row],[I_0]]&lt;Table24[Flitro de Ruido],1,Table8[[#This Row],[I_50]]/Table8[[#This Row],[I_0]])</f>
        <v>1</v>
      </c>
    </row>
    <row r="611" spans="1:25" x14ac:dyDescent="0.3">
      <c r="A611" s="13">
        <v>674.27</v>
      </c>
      <c r="B611" s="12">
        <v>0</v>
      </c>
      <c r="C611" s="11">
        <v>674.27</v>
      </c>
      <c r="D611" s="12">
        <v>0</v>
      </c>
      <c r="E611" s="11">
        <v>674.27</v>
      </c>
      <c r="F611" s="12">
        <v>0</v>
      </c>
      <c r="G611" s="11">
        <v>674.27</v>
      </c>
      <c r="H611" s="12">
        <v>0</v>
      </c>
      <c r="I611" s="11">
        <v>674.27</v>
      </c>
      <c r="J611" s="12">
        <v>0</v>
      </c>
      <c r="K611" s="11">
        <v>674.27</v>
      </c>
      <c r="L611" s="12">
        <v>0</v>
      </c>
      <c r="M611" s="11">
        <v>674.27</v>
      </c>
      <c r="N611" s="13">
        <v>0</v>
      </c>
      <c r="O611" s="11">
        <v>0</v>
      </c>
      <c r="P611" s="11">
        <v>0</v>
      </c>
      <c r="Q611" s="11">
        <v>0</v>
      </c>
      <c r="R611" s="11">
        <v>0</v>
      </c>
      <c r="S611" s="14">
        <v>0</v>
      </c>
      <c r="T611" s="11">
        <v>674.27</v>
      </c>
      <c r="U611" s="13" cm="1">
        <f t="array" ref="U611">IF(Table8[[#This Row],[I_0]]&lt;Table24[Flitro de Ruido],1,Table8[[#This Row],[I_10]]/Table8[[#This Row],[I_0]])</f>
        <v>1</v>
      </c>
      <c r="V611" s="13" cm="1">
        <f t="array" ref="V611">IF(Table8[[#This Row],[I_0]]&lt;Table24[Flitro de Ruido],1,Table8[[#This Row],[I_20]]/Table8[[#This Row],[I_0]])</f>
        <v>1</v>
      </c>
      <c r="W611" s="13" cm="1">
        <f t="array" ref="W611">IF(Table8[[#This Row],[I_0]]&lt;Table24[Flitro de Ruido],1,Table8[[#This Row],[I_30]]/Table8[[#This Row],[I_0]])</f>
        <v>1</v>
      </c>
      <c r="X611" s="13" cm="1">
        <f t="array" ref="X611">IF(Table8[[#This Row],[I_0]]&lt;Table24[Flitro de Ruido],1,Table8[[#This Row],[I_40]]/Table8[[#This Row],[I_0]])</f>
        <v>1</v>
      </c>
      <c r="Y611" s="13" cm="1">
        <f t="array" ref="Y611">IF(Table8[[#This Row],[I_0]]&lt;Table24[Flitro de Ruido],1,Table8[[#This Row],[I_50]]/Table8[[#This Row],[I_0]])</f>
        <v>1</v>
      </c>
    </row>
    <row r="612" spans="1:25" x14ac:dyDescent="0.3">
      <c r="A612" s="13">
        <v>675.26</v>
      </c>
      <c r="B612" s="12">
        <v>0</v>
      </c>
      <c r="C612" s="11">
        <v>675.26</v>
      </c>
      <c r="D612" s="12">
        <v>0</v>
      </c>
      <c r="E612" s="11">
        <v>675.26</v>
      </c>
      <c r="F612" s="12">
        <v>0</v>
      </c>
      <c r="G612" s="11">
        <v>675.26</v>
      </c>
      <c r="H612" s="12">
        <v>0</v>
      </c>
      <c r="I612" s="11">
        <v>675.26</v>
      </c>
      <c r="J612" s="12">
        <v>0</v>
      </c>
      <c r="K612" s="11">
        <v>675.26</v>
      </c>
      <c r="L612" s="12">
        <v>0</v>
      </c>
      <c r="M612" s="11">
        <v>675.26</v>
      </c>
      <c r="N612" s="13">
        <v>0</v>
      </c>
      <c r="O612" s="11">
        <v>0</v>
      </c>
      <c r="P612" s="11">
        <v>0</v>
      </c>
      <c r="Q612" s="11">
        <v>0</v>
      </c>
      <c r="R612" s="11">
        <v>0</v>
      </c>
      <c r="S612" s="14">
        <v>0</v>
      </c>
      <c r="T612" s="11">
        <v>675.26</v>
      </c>
      <c r="U612" s="13" cm="1">
        <f t="array" ref="U612">IF(Table8[[#This Row],[I_0]]&lt;Table24[Flitro de Ruido],1,Table8[[#This Row],[I_10]]/Table8[[#This Row],[I_0]])</f>
        <v>1</v>
      </c>
      <c r="V612" s="13" cm="1">
        <f t="array" ref="V612">IF(Table8[[#This Row],[I_0]]&lt;Table24[Flitro de Ruido],1,Table8[[#This Row],[I_20]]/Table8[[#This Row],[I_0]])</f>
        <v>1</v>
      </c>
      <c r="W612" s="13" cm="1">
        <f t="array" ref="W612">IF(Table8[[#This Row],[I_0]]&lt;Table24[Flitro de Ruido],1,Table8[[#This Row],[I_30]]/Table8[[#This Row],[I_0]])</f>
        <v>1</v>
      </c>
      <c r="X612" s="13" cm="1">
        <f t="array" ref="X612">IF(Table8[[#This Row],[I_0]]&lt;Table24[Flitro de Ruido],1,Table8[[#This Row],[I_40]]/Table8[[#This Row],[I_0]])</f>
        <v>1</v>
      </c>
      <c r="Y612" s="13" cm="1">
        <f t="array" ref="Y612">IF(Table8[[#This Row],[I_0]]&lt;Table24[Flitro de Ruido],1,Table8[[#This Row],[I_50]]/Table8[[#This Row],[I_0]])</f>
        <v>1</v>
      </c>
    </row>
    <row r="613" spans="1:25" x14ac:dyDescent="0.3">
      <c r="A613" s="13">
        <v>676.25</v>
      </c>
      <c r="B613" s="12">
        <v>0</v>
      </c>
      <c r="C613" s="11">
        <v>676.25</v>
      </c>
      <c r="D613" s="12">
        <v>0</v>
      </c>
      <c r="E613" s="11">
        <v>676.25</v>
      </c>
      <c r="F613" s="12">
        <v>0</v>
      </c>
      <c r="G613" s="11">
        <v>676.25</v>
      </c>
      <c r="H613" s="12">
        <v>0</v>
      </c>
      <c r="I613" s="11">
        <v>676.25</v>
      </c>
      <c r="J613" s="12">
        <v>0</v>
      </c>
      <c r="K613" s="11">
        <v>676.25</v>
      </c>
      <c r="L613" s="12">
        <v>0</v>
      </c>
      <c r="M613" s="11">
        <v>676.25</v>
      </c>
      <c r="N613" s="13">
        <v>0</v>
      </c>
      <c r="O613" s="11">
        <v>0</v>
      </c>
      <c r="P613" s="11">
        <v>0</v>
      </c>
      <c r="Q613" s="11">
        <v>0</v>
      </c>
      <c r="R613" s="11">
        <v>0</v>
      </c>
      <c r="S613" s="14">
        <v>0</v>
      </c>
      <c r="T613" s="11">
        <v>676.25</v>
      </c>
      <c r="U613" s="13" cm="1">
        <f t="array" ref="U613">IF(Table8[[#This Row],[I_0]]&lt;Table24[Flitro de Ruido],1,Table8[[#This Row],[I_10]]/Table8[[#This Row],[I_0]])</f>
        <v>1</v>
      </c>
      <c r="V613" s="13" cm="1">
        <f t="array" ref="V613">IF(Table8[[#This Row],[I_0]]&lt;Table24[Flitro de Ruido],1,Table8[[#This Row],[I_20]]/Table8[[#This Row],[I_0]])</f>
        <v>1</v>
      </c>
      <c r="W613" s="13" cm="1">
        <f t="array" ref="W613">IF(Table8[[#This Row],[I_0]]&lt;Table24[Flitro de Ruido],1,Table8[[#This Row],[I_30]]/Table8[[#This Row],[I_0]])</f>
        <v>1</v>
      </c>
      <c r="X613" s="13" cm="1">
        <f t="array" ref="X613">IF(Table8[[#This Row],[I_0]]&lt;Table24[Flitro de Ruido],1,Table8[[#This Row],[I_40]]/Table8[[#This Row],[I_0]])</f>
        <v>1</v>
      </c>
      <c r="Y613" s="13" cm="1">
        <f t="array" ref="Y613">IF(Table8[[#This Row],[I_0]]&lt;Table24[Flitro de Ruido],1,Table8[[#This Row],[I_50]]/Table8[[#This Row],[I_0]])</f>
        <v>1</v>
      </c>
    </row>
    <row r="614" spans="1:25" x14ac:dyDescent="0.3">
      <c r="A614" s="13">
        <v>677.24</v>
      </c>
      <c r="B614" s="12">
        <v>0</v>
      </c>
      <c r="C614" s="11">
        <v>677.24</v>
      </c>
      <c r="D614" s="12">
        <v>0</v>
      </c>
      <c r="E614" s="11">
        <v>677.24</v>
      </c>
      <c r="F614" s="12">
        <v>0</v>
      </c>
      <c r="G614" s="11">
        <v>677.24</v>
      </c>
      <c r="H614" s="12">
        <v>0</v>
      </c>
      <c r="I614" s="11">
        <v>677.24</v>
      </c>
      <c r="J614" s="12">
        <v>0</v>
      </c>
      <c r="K614" s="11">
        <v>677.24</v>
      </c>
      <c r="L614" s="12">
        <v>0</v>
      </c>
      <c r="M614" s="11">
        <v>677.24</v>
      </c>
      <c r="N614" s="13">
        <v>0</v>
      </c>
      <c r="O614" s="11">
        <v>0</v>
      </c>
      <c r="P614" s="11">
        <v>0</v>
      </c>
      <c r="Q614" s="11">
        <v>0</v>
      </c>
      <c r="R614" s="11">
        <v>0</v>
      </c>
      <c r="S614" s="14">
        <v>0</v>
      </c>
      <c r="T614" s="11">
        <v>677.24</v>
      </c>
      <c r="U614" s="13" cm="1">
        <f t="array" ref="U614">IF(Table8[[#This Row],[I_0]]&lt;Table24[Flitro de Ruido],1,Table8[[#This Row],[I_10]]/Table8[[#This Row],[I_0]])</f>
        <v>1</v>
      </c>
      <c r="V614" s="13" cm="1">
        <f t="array" ref="V614">IF(Table8[[#This Row],[I_0]]&lt;Table24[Flitro de Ruido],1,Table8[[#This Row],[I_20]]/Table8[[#This Row],[I_0]])</f>
        <v>1</v>
      </c>
      <c r="W614" s="13" cm="1">
        <f t="array" ref="W614">IF(Table8[[#This Row],[I_0]]&lt;Table24[Flitro de Ruido],1,Table8[[#This Row],[I_30]]/Table8[[#This Row],[I_0]])</f>
        <v>1</v>
      </c>
      <c r="X614" s="13" cm="1">
        <f t="array" ref="X614">IF(Table8[[#This Row],[I_0]]&lt;Table24[Flitro de Ruido],1,Table8[[#This Row],[I_40]]/Table8[[#This Row],[I_0]])</f>
        <v>1</v>
      </c>
      <c r="Y614" s="13" cm="1">
        <f t="array" ref="Y614">IF(Table8[[#This Row],[I_0]]&lt;Table24[Flitro de Ruido],1,Table8[[#This Row],[I_50]]/Table8[[#This Row],[I_0]])</f>
        <v>1</v>
      </c>
    </row>
    <row r="615" spans="1:25" x14ac:dyDescent="0.3">
      <c r="A615" s="13">
        <v>678.23</v>
      </c>
      <c r="B615" s="12">
        <v>0</v>
      </c>
      <c r="C615" s="11">
        <v>678.23</v>
      </c>
      <c r="D615" s="12">
        <v>0</v>
      </c>
      <c r="E615" s="11">
        <v>678.23</v>
      </c>
      <c r="F615" s="12">
        <v>0</v>
      </c>
      <c r="G615" s="11">
        <v>678.23</v>
      </c>
      <c r="H615" s="12">
        <v>0</v>
      </c>
      <c r="I615" s="11">
        <v>678.23</v>
      </c>
      <c r="J615" s="12">
        <v>0</v>
      </c>
      <c r="K615" s="11">
        <v>678.23</v>
      </c>
      <c r="L615" s="12">
        <v>0</v>
      </c>
      <c r="M615" s="11">
        <v>678.23</v>
      </c>
      <c r="N615" s="13">
        <v>0</v>
      </c>
      <c r="O615" s="11">
        <v>0</v>
      </c>
      <c r="P615" s="11">
        <v>0</v>
      </c>
      <c r="Q615" s="11">
        <v>0</v>
      </c>
      <c r="R615" s="11">
        <v>0</v>
      </c>
      <c r="S615" s="14">
        <v>0</v>
      </c>
      <c r="T615" s="11">
        <v>678.23</v>
      </c>
      <c r="U615" s="13" cm="1">
        <f t="array" ref="U615">IF(Table8[[#This Row],[I_0]]&lt;Table24[Flitro de Ruido],1,Table8[[#This Row],[I_10]]/Table8[[#This Row],[I_0]])</f>
        <v>1</v>
      </c>
      <c r="V615" s="13" cm="1">
        <f t="array" ref="V615">IF(Table8[[#This Row],[I_0]]&lt;Table24[Flitro de Ruido],1,Table8[[#This Row],[I_20]]/Table8[[#This Row],[I_0]])</f>
        <v>1</v>
      </c>
      <c r="W615" s="13" cm="1">
        <f t="array" ref="W615">IF(Table8[[#This Row],[I_0]]&lt;Table24[Flitro de Ruido],1,Table8[[#This Row],[I_30]]/Table8[[#This Row],[I_0]])</f>
        <v>1</v>
      </c>
      <c r="X615" s="13" cm="1">
        <f t="array" ref="X615">IF(Table8[[#This Row],[I_0]]&lt;Table24[Flitro de Ruido],1,Table8[[#This Row],[I_40]]/Table8[[#This Row],[I_0]])</f>
        <v>1</v>
      </c>
      <c r="Y615" s="13" cm="1">
        <f t="array" ref="Y615">IF(Table8[[#This Row],[I_0]]&lt;Table24[Flitro de Ruido],1,Table8[[#This Row],[I_50]]/Table8[[#This Row],[I_0]])</f>
        <v>1</v>
      </c>
    </row>
    <row r="616" spans="1:25" x14ac:dyDescent="0.3">
      <c r="A616" s="13">
        <v>679.22</v>
      </c>
      <c r="B616" s="12">
        <v>0</v>
      </c>
      <c r="C616" s="11">
        <v>679.22</v>
      </c>
      <c r="D616" s="12">
        <v>0</v>
      </c>
      <c r="E616" s="11">
        <v>679.22</v>
      </c>
      <c r="F616" s="12">
        <v>0</v>
      </c>
      <c r="G616" s="11">
        <v>679.22</v>
      </c>
      <c r="H616" s="12">
        <v>0</v>
      </c>
      <c r="I616" s="11">
        <v>679.22</v>
      </c>
      <c r="J616" s="12">
        <v>0</v>
      </c>
      <c r="K616" s="11">
        <v>679.22</v>
      </c>
      <c r="L616" s="12">
        <v>0</v>
      </c>
      <c r="M616" s="11">
        <v>679.22</v>
      </c>
      <c r="N616" s="13">
        <v>0</v>
      </c>
      <c r="O616" s="11">
        <v>0</v>
      </c>
      <c r="P616" s="11">
        <v>0</v>
      </c>
      <c r="Q616" s="11">
        <v>0</v>
      </c>
      <c r="R616" s="11">
        <v>0</v>
      </c>
      <c r="S616" s="14">
        <v>0</v>
      </c>
      <c r="T616" s="11">
        <v>679.22</v>
      </c>
      <c r="U616" s="13" cm="1">
        <f t="array" ref="U616">IF(Table8[[#This Row],[I_0]]&lt;Table24[Flitro de Ruido],1,Table8[[#This Row],[I_10]]/Table8[[#This Row],[I_0]])</f>
        <v>1</v>
      </c>
      <c r="V616" s="13" cm="1">
        <f t="array" ref="V616">IF(Table8[[#This Row],[I_0]]&lt;Table24[Flitro de Ruido],1,Table8[[#This Row],[I_20]]/Table8[[#This Row],[I_0]])</f>
        <v>1</v>
      </c>
      <c r="W616" s="13" cm="1">
        <f t="array" ref="W616">IF(Table8[[#This Row],[I_0]]&lt;Table24[Flitro de Ruido],1,Table8[[#This Row],[I_30]]/Table8[[#This Row],[I_0]])</f>
        <v>1</v>
      </c>
      <c r="X616" s="13" cm="1">
        <f t="array" ref="X616">IF(Table8[[#This Row],[I_0]]&lt;Table24[Flitro de Ruido],1,Table8[[#This Row],[I_40]]/Table8[[#This Row],[I_0]])</f>
        <v>1</v>
      </c>
      <c r="Y616" s="13" cm="1">
        <f t="array" ref="Y616">IF(Table8[[#This Row],[I_0]]&lt;Table24[Flitro de Ruido],1,Table8[[#This Row],[I_50]]/Table8[[#This Row],[I_0]])</f>
        <v>1</v>
      </c>
    </row>
    <row r="617" spans="1:25" x14ac:dyDescent="0.3">
      <c r="A617" s="13">
        <v>680.22</v>
      </c>
      <c r="B617" s="12">
        <v>0</v>
      </c>
      <c r="C617" s="11">
        <v>680.22</v>
      </c>
      <c r="D617" s="12">
        <v>0</v>
      </c>
      <c r="E617" s="11">
        <v>680.22</v>
      </c>
      <c r="F617" s="12">
        <v>0</v>
      </c>
      <c r="G617" s="11">
        <v>680.22</v>
      </c>
      <c r="H617" s="12">
        <v>0</v>
      </c>
      <c r="I617" s="11">
        <v>680.22</v>
      </c>
      <c r="J617" s="12">
        <v>0</v>
      </c>
      <c r="K617" s="11">
        <v>680.22</v>
      </c>
      <c r="L617" s="12">
        <v>0</v>
      </c>
      <c r="M617" s="11">
        <v>680.22</v>
      </c>
      <c r="N617" s="13">
        <v>0</v>
      </c>
      <c r="O617" s="11">
        <v>0</v>
      </c>
      <c r="P617" s="11">
        <v>0</v>
      </c>
      <c r="Q617" s="11">
        <v>0</v>
      </c>
      <c r="R617" s="11">
        <v>0</v>
      </c>
      <c r="S617" s="14">
        <v>0</v>
      </c>
      <c r="T617" s="11">
        <v>680.22</v>
      </c>
      <c r="U617" s="13" cm="1">
        <f t="array" ref="U617">IF(Table8[[#This Row],[I_0]]&lt;Table24[Flitro de Ruido],1,Table8[[#This Row],[I_10]]/Table8[[#This Row],[I_0]])</f>
        <v>1</v>
      </c>
      <c r="V617" s="13" cm="1">
        <f t="array" ref="V617">IF(Table8[[#This Row],[I_0]]&lt;Table24[Flitro de Ruido],1,Table8[[#This Row],[I_20]]/Table8[[#This Row],[I_0]])</f>
        <v>1</v>
      </c>
      <c r="W617" s="13" cm="1">
        <f t="array" ref="W617">IF(Table8[[#This Row],[I_0]]&lt;Table24[Flitro de Ruido],1,Table8[[#This Row],[I_30]]/Table8[[#This Row],[I_0]])</f>
        <v>1</v>
      </c>
      <c r="X617" s="13" cm="1">
        <f t="array" ref="X617">IF(Table8[[#This Row],[I_0]]&lt;Table24[Flitro de Ruido],1,Table8[[#This Row],[I_40]]/Table8[[#This Row],[I_0]])</f>
        <v>1</v>
      </c>
      <c r="Y617" s="13" cm="1">
        <f t="array" ref="Y617">IF(Table8[[#This Row],[I_0]]&lt;Table24[Flitro de Ruido],1,Table8[[#This Row],[I_50]]/Table8[[#This Row],[I_0]])</f>
        <v>1</v>
      </c>
    </row>
    <row r="618" spans="1:25" x14ac:dyDescent="0.3">
      <c r="A618" s="13">
        <v>681.21</v>
      </c>
      <c r="B618" s="12">
        <v>0</v>
      </c>
      <c r="C618" s="11">
        <v>681.21</v>
      </c>
      <c r="D618" s="12">
        <v>0</v>
      </c>
      <c r="E618" s="11">
        <v>681.21</v>
      </c>
      <c r="F618" s="12">
        <v>0</v>
      </c>
      <c r="G618" s="11">
        <v>681.21</v>
      </c>
      <c r="H618" s="12">
        <v>0</v>
      </c>
      <c r="I618" s="11">
        <v>681.21</v>
      </c>
      <c r="J618" s="12">
        <v>0</v>
      </c>
      <c r="K618" s="11">
        <v>681.21</v>
      </c>
      <c r="L618" s="12">
        <v>0</v>
      </c>
      <c r="M618" s="11">
        <v>681.21</v>
      </c>
      <c r="N618" s="13">
        <v>0</v>
      </c>
      <c r="O618" s="11">
        <v>0</v>
      </c>
      <c r="P618" s="11">
        <v>0</v>
      </c>
      <c r="Q618" s="11">
        <v>0</v>
      </c>
      <c r="R618" s="11">
        <v>0</v>
      </c>
      <c r="S618" s="14">
        <v>0</v>
      </c>
      <c r="T618" s="11">
        <v>681.21</v>
      </c>
      <c r="U618" s="13" cm="1">
        <f t="array" ref="U618">IF(Table8[[#This Row],[I_0]]&lt;Table24[Flitro de Ruido],1,Table8[[#This Row],[I_10]]/Table8[[#This Row],[I_0]])</f>
        <v>1</v>
      </c>
      <c r="V618" s="13" cm="1">
        <f t="array" ref="V618">IF(Table8[[#This Row],[I_0]]&lt;Table24[Flitro de Ruido],1,Table8[[#This Row],[I_20]]/Table8[[#This Row],[I_0]])</f>
        <v>1</v>
      </c>
      <c r="W618" s="13" cm="1">
        <f t="array" ref="W618">IF(Table8[[#This Row],[I_0]]&lt;Table24[Flitro de Ruido],1,Table8[[#This Row],[I_30]]/Table8[[#This Row],[I_0]])</f>
        <v>1</v>
      </c>
      <c r="X618" s="13" cm="1">
        <f t="array" ref="X618">IF(Table8[[#This Row],[I_0]]&lt;Table24[Flitro de Ruido],1,Table8[[#This Row],[I_40]]/Table8[[#This Row],[I_0]])</f>
        <v>1</v>
      </c>
      <c r="Y618" s="13" cm="1">
        <f t="array" ref="Y618">IF(Table8[[#This Row],[I_0]]&lt;Table24[Flitro de Ruido],1,Table8[[#This Row],[I_50]]/Table8[[#This Row],[I_0]])</f>
        <v>1</v>
      </c>
    </row>
    <row r="619" spans="1:25" x14ac:dyDescent="0.3">
      <c r="A619" s="13">
        <v>682.2</v>
      </c>
      <c r="B619" s="12">
        <v>0</v>
      </c>
      <c r="C619" s="11">
        <v>682.2</v>
      </c>
      <c r="D619" s="12">
        <v>0</v>
      </c>
      <c r="E619" s="11">
        <v>682.2</v>
      </c>
      <c r="F619" s="12">
        <v>0</v>
      </c>
      <c r="G619" s="11">
        <v>682.2</v>
      </c>
      <c r="H619" s="12">
        <v>0</v>
      </c>
      <c r="I619" s="11">
        <v>682.2</v>
      </c>
      <c r="J619" s="12">
        <v>0</v>
      </c>
      <c r="K619" s="11">
        <v>682.2</v>
      </c>
      <c r="L619" s="12">
        <v>0</v>
      </c>
      <c r="M619" s="11">
        <v>682.2</v>
      </c>
      <c r="N619" s="13">
        <v>0</v>
      </c>
      <c r="O619" s="11">
        <v>0</v>
      </c>
      <c r="P619" s="11">
        <v>0</v>
      </c>
      <c r="Q619" s="11">
        <v>0</v>
      </c>
      <c r="R619" s="11">
        <v>0</v>
      </c>
      <c r="S619" s="14">
        <v>0</v>
      </c>
      <c r="T619" s="11">
        <v>682.2</v>
      </c>
      <c r="U619" s="13" cm="1">
        <f t="array" ref="U619">IF(Table8[[#This Row],[I_0]]&lt;Table24[Flitro de Ruido],1,Table8[[#This Row],[I_10]]/Table8[[#This Row],[I_0]])</f>
        <v>1</v>
      </c>
      <c r="V619" s="13" cm="1">
        <f t="array" ref="V619">IF(Table8[[#This Row],[I_0]]&lt;Table24[Flitro de Ruido],1,Table8[[#This Row],[I_20]]/Table8[[#This Row],[I_0]])</f>
        <v>1</v>
      </c>
      <c r="W619" s="13" cm="1">
        <f t="array" ref="W619">IF(Table8[[#This Row],[I_0]]&lt;Table24[Flitro de Ruido],1,Table8[[#This Row],[I_30]]/Table8[[#This Row],[I_0]])</f>
        <v>1</v>
      </c>
      <c r="X619" s="13" cm="1">
        <f t="array" ref="X619">IF(Table8[[#This Row],[I_0]]&lt;Table24[Flitro de Ruido],1,Table8[[#This Row],[I_40]]/Table8[[#This Row],[I_0]])</f>
        <v>1</v>
      </c>
      <c r="Y619" s="13" cm="1">
        <f t="array" ref="Y619">IF(Table8[[#This Row],[I_0]]&lt;Table24[Flitro de Ruido],1,Table8[[#This Row],[I_50]]/Table8[[#This Row],[I_0]])</f>
        <v>1</v>
      </c>
    </row>
    <row r="620" spans="1:25" x14ac:dyDescent="0.3">
      <c r="A620" s="13">
        <v>683.19</v>
      </c>
      <c r="B620" s="12">
        <v>0</v>
      </c>
      <c r="C620" s="11">
        <v>683.19</v>
      </c>
      <c r="D620" s="12">
        <v>0</v>
      </c>
      <c r="E620" s="11">
        <v>683.19</v>
      </c>
      <c r="F620" s="12">
        <v>0</v>
      </c>
      <c r="G620" s="11">
        <v>683.19</v>
      </c>
      <c r="H620" s="12">
        <v>0</v>
      </c>
      <c r="I620" s="11">
        <v>683.19</v>
      </c>
      <c r="J620" s="12">
        <v>0</v>
      </c>
      <c r="K620" s="11">
        <v>683.19</v>
      </c>
      <c r="L620" s="12">
        <v>0</v>
      </c>
      <c r="M620" s="11">
        <v>683.19</v>
      </c>
      <c r="N620" s="13">
        <v>0</v>
      </c>
      <c r="O620" s="11">
        <v>0</v>
      </c>
      <c r="P620" s="11">
        <v>0</v>
      </c>
      <c r="Q620" s="11">
        <v>0</v>
      </c>
      <c r="R620" s="11">
        <v>0</v>
      </c>
      <c r="S620" s="14">
        <v>0</v>
      </c>
      <c r="T620" s="11">
        <v>683.19</v>
      </c>
      <c r="U620" s="13" cm="1">
        <f t="array" ref="U620">IF(Table8[[#This Row],[I_0]]&lt;Table24[Flitro de Ruido],1,Table8[[#This Row],[I_10]]/Table8[[#This Row],[I_0]])</f>
        <v>1</v>
      </c>
      <c r="V620" s="13" cm="1">
        <f t="array" ref="V620">IF(Table8[[#This Row],[I_0]]&lt;Table24[Flitro de Ruido],1,Table8[[#This Row],[I_20]]/Table8[[#This Row],[I_0]])</f>
        <v>1</v>
      </c>
      <c r="W620" s="13" cm="1">
        <f t="array" ref="W620">IF(Table8[[#This Row],[I_0]]&lt;Table24[Flitro de Ruido],1,Table8[[#This Row],[I_30]]/Table8[[#This Row],[I_0]])</f>
        <v>1</v>
      </c>
      <c r="X620" s="13" cm="1">
        <f t="array" ref="X620">IF(Table8[[#This Row],[I_0]]&lt;Table24[Flitro de Ruido],1,Table8[[#This Row],[I_40]]/Table8[[#This Row],[I_0]])</f>
        <v>1</v>
      </c>
      <c r="Y620" s="13" cm="1">
        <f t="array" ref="Y620">IF(Table8[[#This Row],[I_0]]&lt;Table24[Flitro de Ruido],1,Table8[[#This Row],[I_50]]/Table8[[#This Row],[I_0]])</f>
        <v>1</v>
      </c>
    </row>
    <row r="621" spans="1:25" x14ac:dyDescent="0.3">
      <c r="A621" s="13">
        <v>684.18</v>
      </c>
      <c r="B621" s="12">
        <v>0</v>
      </c>
      <c r="C621" s="11">
        <v>684.18</v>
      </c>
      <c r="D621" s="12">
        <v>0</v>
      </c>
      <c r="E621" s="11">
        <v>684.18</v>
      </c>
      <c r="F621" s="12">
        <v>0</v>
      </c>
      <c r="G621" s="11">
        <v>684.18</v>
      </c>
      <c r="H621" s="12">
        <v>0</v>
      </c>
      <c r="I621" s="11">
        <v>684.18</v>
      </c>
      <c r="J621" s="12">
        <v>0</v>
      </c>
      <c r="K621" s="11">
        <v>684.18</v>
      </c>
      <c r="L621" s="12">
        <v>0</v>
      </c>
      <c r="M621" s="11">
        <v>684.18</v>
      </c>
      <c r="N621" s="13">
        <v>0</v>
      </c>
      <c r="O621" s="11">
        <v>0</v>
      </c>
      <c r="P621" s="11">
        <v>0</v>
      </c>
      <c r="Q621" s="11">
        <v>0</v>
      </c>
      <c r="R621" s="11">
        <v>0</v>
      </c>
      <c r="S621" s="14">
        <v>0</v>
      </c>
      <c r="T621" s="11">
        <v>684.18</v>
      </c>
      <c r="U621" s="13" cm="1">
        <f t="array" ref="U621">IF(Table8[[#This Row],[I_0]]&lt;Table24[Flitro de Ruido],1,Table8[[#This Row],[I_10]]/Table8[[#This Row],[I_0]])</f>
        <v>1</v>
      </c>
      <c r="V621" s="13" cm="1">
        <f t="array" ref="V621">IF(Table8[[#This Row],[I_0]]&lt;Table24[Flitro de Ruido],1,Table8[[#This Row],[I_20]]/Table8[[#This Row],[I_0]])</f>
        <v>1</v>
      </c>
      <c r="W621" s="13" cm="1">
        <f t="array" ref="W621">IF(Table8[[#This Row],[I_0]]&lt;Table24[Flitro de Ruido],1,Table8[[#This Row],[I_30]]/Table8[[#This Row],[I_0]])</f>
        <v>1</v>
      </c>
      <c r="X621" s="13" cm="1">
        <f t="array" ref="X621">IF(Table8[[#This Row],[I_0]]&lt;Table24[Flitro de Ruido],1,Table8[[#This Row],[I_40]]/Table8[[#This Row],[I_0]])</f>
        <v>1</v>
      </c>
      <c r="Y621" s="13" cm="1">
        <f t="array" ref="Y621">IF(Table8[[#This Row],[I_0]]&lt;Table24[Flitro de Ruido],1,Table8[[#This Row],[I_50]]/Table8[[#This Row],[I_0]])</f>
        <v>1</v>
      </c>
    </row>
    <row r="622" spans="1:25" x14ac:dyDescent="0.3">
      <c r="A622" s="13">
        <v>685.17</v>
      </c>
      <c r="B622" s="12">
        <v>0</v>
      </c>
      <c r="C622" s="11">
        <v>685.17</v>
      </c>
      <c r="D622" s="12">
        <v>0</v>
      </c>
      <c r="E622" s="11">
        <v>685.17</v>
      </c>
      <c r="F622" s="12">
        <v>0</v>
      </c>
      <c r="G622" s="11">
        <v>685.17</v>
      </c>
      <c r="H622" s="12">
        <v>0</v>
      </c>
      <c r="I622" s="11">
        <v>685.17</v>
      </c>
      <c r="J622" s="12">
        <v>0</v>
      </c>
      <c r="K622" s="11">
        <v>685.17</v>
      </c>
      <c r="L622" s="12">
        <v>0</v>
      </c>
      <c r="M622" s="11">
        <v>685.17</v>
      </c>
      <c r="N622" s="13">
        <v>0</v>
      </c>
      <c r="O622" s="11">
        <v>0</v>
      </c>
      <c r="P622" s="11">
        <v>0</v>
      </c>
      <c r="Q622" s="11">
        <v>0</v>
      </c>
      <c r="R622" s="11">
        <v>0</v>
      </c>
      <c r="S622" s="14">
        <v>0</v>
      </c>
      <c r="T622" s="11">
        <v>685.17</v>
      </c>
      <c r="U622" s="13" cm="1">
        <f t="array" ref="U622">IF(Table8[[#This Row],[I_0]]&lt;Table24[Flitro de Ruido],1,Table8[[#This Row],[I_10]]/Table8[[#This Row],[I_0]])</f>
        <v>1</v>
      </c>
      <c r="V622" s="13" cm="1">
        <f t="array" ref="V622">IF(Table8[[#This Row],[I_0]]&lt;Table24[Flitro de Ruido],1,Table8[[#This Row],[I_20]]/Table8[[#This Row],[I_0]])</f>
        <v>1</v>
      </c>
      <c r="W622" s="13" cm="1">
        <f t="array" ref="W622">IF(Table8[[#This Row],[I_0]]&lt;Table24[Flitro de Ruido],1,Table8[[#This Row],[I_30]]/Table8[[#This Row],[I_0]])</f>
        <v>1</v>
      </c>
      <c r="X622" s="13" cm="1">
        <f t="array" ref="X622">IF(Table8[[#This Row],[I_0]]&lt;Table24[Flitro de Ruido],1,Table8[[#This Row],[I_40]]/Table8[[#This Row],[I_0]])</f>
        <v>1</v>
      </c>
      <c r="Y622" s="13" cm="1">
        <f t="array" ref="Y622">IF(Table8[[#This Row],[I_0]]&lt;Table24[Flitro de Ruido],1,Table8[[#This Row],[I_50]]/Table8[[#This Row],[I_0]])</f>
        <v>1</v>
      </c>
    </row>
    <row r="623" spans="1:25" x14ac:dyDescent="0.3">
      <c r="A623" s="13">
        <v>686.17</v>
      </c>
      <c r="B623" s="12">
        <v>0</v>
      </c>
      <c r="C623" s="11">
        <v>686.17</v>
      </c>
      <c r="D623" s="12">
        <v>0</v>
      </c>
      <c r="E623" s="11">
        <v>686.17</v>
      </c>
      <c r="F623" s="12">
        <v>0</v>
      </c>
      <c r="G623" s="11">
        <v>686.17</v>
      </c>
      <c r="H623" s="12">
        <v>0</v>
      </c>
      <c r="I623" s="11">
        <v>686.17</v>
      </c>
      <c r="J623" s="12">
        <v>0</v>
      </c>
      <c r="K623" s="11">
        <v>686.17</v>
      </c>
      <c r="L623" s="12">
        <v>0</v>
      </c>
      <c r="M623" s="11">
        <v>686.17</v>
      </c>
      <c r="N623" s="13">
        <v>0</v>
      </c>
      <c r="O623" s="11">
        <v>0</v>
      </c>
      <c r="P623" s="11">
        <v>0</v>
      </c>
      <c r="Q623" s="11">
        <v>0</v>
      </c>
      <c r="R623" s="11">
        <v>0</v>
      </c>
      <c r="S623" s="14">
        <v>0</v>
      </c>
      <c r="T623" s="11">
        <v>686.17</v>
      </c>
      <c r="U623" s="13" cm="1">
        <f t="array" ref="U623">IF(Table8[[#This Row],[I_0]]&lt;Table24[Flitro de Ruido],1,Table8[[#This Row],[I_10]]/Table8[[#This Row],[I_0]])</f>
        <v>1</v>
      </c>
      <c r="V623" s="13" cm="1">
        <f t="array" ref="V623">IF(Table8[[#This Row],[I_0]]&lt;Table24[Flitro de Ruido],1,Table8[[#This Row],[I_20]]/Table8[[#This Row],[I_0]])</f>
        <v>1</v>
      </c>
      <c r="W623" s="13" cm="1">
        <f t="array" ref="W623">IF(Table8[[#This Row],[I_0]]&lt;Table24[Flitro de Ruido],1,Table8[[#This Row],[I_30]]/Table8[[#This Row],[I_0]])</f>
        <v>1</v>
      </c>
      <c r="X623" s="13" cm="1">
        <f t="array" ref="X623">IF(Table8[[#This Row],[I_0]]&lt;Table24[Flitro de Ruido],1,Table8[[#This Row],[I_40]]/Table8[[#This Row],[I_0]])</f>
        <v>1</v>
      </c>
      <c r="Y623" s="13" cm="1">
        <f t="array" ref="Y623">IF(Table8[[#This Row],[I_0]]&lt;Table24[Flitro de Ruido],1,Table8[[#This Row],[I_50]]/Table8[[#This Row],[I_0]])</f>
        <v>1</v>
      </c>
    </row>
    <row r="624" spans="1:25" x14ac:dyDescent="0.3">
      <c r="A624" s="13">
        <v>687.16</v>
      </c>
      <c r="B624" s="12">
        <v>0</v>
      </c>
      <c r="C624" s="11">
        <v>687.16</v>
      </c>
      <c r="D624" s="12">
        <v>0</v>
      </c>
      <c r="E624" s="11">
        <v>687.16</v>
      </c>
      <c r="F624" s="12">
        <v>0</v>
      </c>
      <c r="G624" s="11">
        <v>687.16</v>
      </c>
      <c r="H624" s="12">
        <v>0</v>
      </c>
      <c r="I624" s="11">
        <v>687.16</v>
      </c>
      <c r="J624" s="12">
        <v>0</v>
      </c>
      <c r="K624" s="11">
        <v>687.16</v>
      </c>
      <c r="L624" s="12">
        <v>0</v>
      </c>
      <c r="M624" s="11">
        <v>687.16</v>
      </c>
      <c r="N624" s="13">
        <v>0</v>
      </c>
      <c r="O624" s="11">
        <v>0</v>
      </c>
      <c r="P624" s="11">
        <v>0</v>
      </c>
      <c r="Q624" s="11">
        <v>0</v>
      </c>
      <c r="R624" s="11">
        <v>0</v>
      </c>
      <c r="S624" s="14">
        <v>0</v>
      </c>
      <c r="T624" s="11">
        <v>687.16</v>
      </c>
      <c r="U624" s="13" cm="1">
        <f t="array" ref="U624">IF(Table8[[#This Row],[I_0]]&lt;Table24[Flitro de Ruido],1,Table8[[#This Row],[I_10]]/Table8[[#This Row],[I_0]])</f>
        <v>1</v>
      </c>
      <c r="V624" s="13" cm="1">
        <f t="array" ref="V624">IF(Table8[[#This Row],[I_0]]&lt;Table24[Flitro de Ruido],1,Table8[[#This Row],[I_20]]/Table8[[#This Row],[I_0]])</f>
        <v>1</v>
      </c>
      <c r="W624" s="13" cm="1">
        <f t="array" ref="W624">IF(Table8[[#This Row],[I_0]]&lt;Table24[Flitro de Ruido],1,Table8[[#This Row],[I_30]]/Table8[[#This Row],[I_0]])</f>
        <v>1</v>
      </c>
      <c r="X624" s="13" cm="1">
        <f t="array" ref="X624">IF(Table8[[#This Row],[I_0]]&lt;Table24[Flitro de Ruido],1,Table8[[#This Row],[I_40]]/Table8[[#This Row],[I_0]])</f>
        <v>1</v>
      </c>
      <c r="Y624" s="13" cm="1">
        <f t="array" ref="Y624">IF(Table8[[#This Row],[I_0]]&lt;Table24[Flitro de Ruido],1,Table8[[#This Row],[I_50]]/Table8[[#This Row],[I_0]])</f>
        <v>1</v>
      </c>
    </row>
    <row r="625" spans="1:25" x14ac:dyDescent="0.3">
      <c r="A625" s="13">
        <v>688.15</v>
      </c>
      <c r="B625" s="12">
        <v>0</v>
      </c>
      <c r="C625" s="11">
        <v>688.15</v>
      </c>
      <c r="D625" s="12">
        <v>0</v>
      </c>
      <c r="E625" s="11">
        <v>688.15</v>
      </c>
      <c r="F625" s="12">
        <v>0</v>
      </c>
      <c r="G625" s="11">
        <v>688.15</v>
      </c>
      <c r="H625" s="12">
        <v>0</v>
      </c>
      <c r="I625" s="11">
        <v>688.15</v>
      </c>
      <c r="J625" s="12">
        <v>0</v>
      </c>
      <c r="K625" s="11">
        <v>688.15</v>
      </c>
      <c r="L625" s="12">
        <v>0</v>
      </c>
      <c r="M625" s="11">
        <v>688.15</v>
      </c>
      <c r="N625" s="13">
        <v>0</v>
      </c>
      <c r="O625" s="11">
        <v>0</v>
      </c>
      <c r="P625" s="11">
        <v>0</v>
      </c>
      <c r="Q625" s="11">
        <v>0</v>
      </c>
      <c r="R625" s="11">
        <v>0</v>
      </c>
      <c r="S625" s="14">
        <v>0</v>
      </c>
      <c r="T625" s="11">
        <v>688.15</v>
      </c>
      <c r="U625" s="13" cm="1">
        <f t="array" ref="U625">IF(Table8[[#This Row],[I_0]]&lt;Table24[Flitro de Ruido],1,Table8[[#This Row],[I_10]]/Table8[[#This Row],[I_0]])</f>
        <v>1</v>
      </c>
      <c r="V625" s="13" cm="1">
        <f t="array" ref="V625">IF(Table8[[#This Row],[I_0]]&lt;Table24[Flitro de Ruido],1,Table8[[#This Row],[I_20]]/Table8[[#This Row],[I_0]])</f>
        <v>1</v>
      </c>
      <c r="W625" s="13" cm="1">
        <f t="array" ref="W625">IF(Table8[[#This Row],[I_0]]&lt;Table24[Flitro de Ruido],1,Table8[[#This Row],[I_30]]/Table8[[#This Row],[I_0]])</f>
        <v>1</v>
      </c>
      <c r="X625" s="13" cm="1">
        <f t="array" ref="X625">IF(Table8[[#This Row],[I_0]]&lt;Table24[Flitro de Ruido],1,Table8[[#This Row],[I_40]]/Table8[[#This Row],[I_0]])</f>
        <v>1</v>
      </c>
      <c r="Y625" s="13" cm="1">
        <f t="array" ref="Y625">IF(Table8[[#This Row],[I_0]]&lt;Table24[Flitro de Ruido],1,Table8[[#This Row],[I_50]]/Table8[[#This Row],[I_0]])</f>
        <v>1</v>
      </c>
    </row>
    <row r="626" spans="1:25" x14ac:dyDescent="0.3">
      <c r="A626" s="13">
        <v>689.14</v>
      </c>
      <c r="B626" s="12">
        <v>0</v>
      </c>
      <c r="C626" s="11">
        <v>689.14</v>
      </c>
      <c r="D626" s="12">
        <v>0</v>
      </c>
      <c r="E626" s="11">
        <v>689.14</v>
      </c>
      <c r="F626" s="12">
        <v>0</v>
      </c>
      <c r="G626" s="11">
        <v>689.14</v>
      </c>
      <c r="H626" s="12">
        <v>0</v>
      </c>
      <c r="I626" s="11">
        <v>689.14</v>
      </c>
      <c r="J626" s="12">
        <v>0</v>
      </c>
      <c r="K626" s="11">
        <v>689.14</v>
      </c>
      <c r="L626" s="12">
        <v>0</v>
      </c>
      <c r="M626" s="11">
        <v>689.14</v>
      </c>
      <c r="N626" s="13">
        <v>0</v>
      </c>
      <c r="O626" s="11">
        <v>0</v>
      </c>
      <c r="P626" s="11">
        <v>0</v>
      </c>
      <c r="Q626" s="11">
        <v>0</v>
      </c>
      <c r="R626" s="11">
        <v>0</v>
      </c>
      <c r="S626" s="14">
        <v>0</v>
      </c>
      <c r="T626" s="11">
        <v>689.14</v>
      </c>
      <c r="U626" s="13" cm="1">
        <f t="array" ref="U626">IF(Table8[[#This Row],[I_0]]&lt;Table24[Flitro de Ruido],1,Table8[[#This Row],[I_10]]/Table8[[#This Row],[I_0]])</f>
        <v>1</v>
      </c>
      <c r="V626" s="13" cm="1">
        <f t="array" ref="V626">IF(Table8[[#This Row],[I_0]]&lt;Table24[Flitro de Ruido],1,Table8[[#This Row],[I_20]]/Table8[[#This Row],[I_0]])</f>
        <v>1</v>
      </c>
      <c r="W626" s="13" cm="1">
        <f t="array" ref="W626">IF(Table8[[#This Row],[I_0]]&lt;Table24[Flitro de Ruido],1,Table8[[#This Row],[I_30]]/Table8[[#This Row],[I_0]])</f>
        <v>1</v>
      </c>
      <c r="X626" s="13" cm="1">
        <f t="array" ref="X626">IF(Table8[[#This Row],[I_0]]&lt;Table24[Flitro de Ruido],1,Table8[[#This Row],[I_40]]/Table8[[#This Row],[I_0]])</f>
        <v>1</v>
      </c>
      <c r="Y626" s="13" cm="1">
        <f t="array" ref="Y626">IF(Table8[[#This Row],[I_0]]&lt;Table24[Flitro de Ruido],1,Table8[[#This Row],[I_50]]/Table8[[#This Row],[I_0]])</f>
        <v>1</v>
      </c>
    </row>
    <row r="627" spans="1:25" x14ac:dyDescent="0.3">
      <c r="A627" s="13">
        <v>690.13</v>
      </c>
      <c r="B627" s="12">
        <v>0</v>
      </c>
      <c r="C627" s="11">
        <v>690.13</v>
      </c>
      <c r="D627" s="12">
        <v>0</v>
      </c>
      <c r="E627" s="11">
        <v>690.13</v>
      </c>
      <c r="F627" s="12">
        <v>0</v>
      </c>
      <c r="G627" s="11">
        <v>690.13</v>
      </c>
      <c r="H627" s="12">
        <v>0</v>
      </c>
      <c r="I627" s="11">
        <v>690.13</v>
      </c>
      <c r="J627" s="12">
        <v>0</v>
      </c>
      <c r="K627" s="11">
        <v>690.13</v>
      </c>
      <c r="L627" s="12">
        <v>0</v>
      </c>
      <c r="M627" s="11">
        <v>690.13</v>
      </c>
      <c r="N627" s="13">
        <v>0</v>
      </c>
      <c r="O627" s="11">
        <v>0</v>
      </c>
      <c r="P627" s="11">
        <v>0</v>
      </c>
      <c r="Q627" s="11">
        <v>0</v>
      </c>
      <c r="R627" s="11">
        <v>0</v>
      </c>
      <c r="S627" s="14">
        <v>0</v>
      </c>
      <c r="T627" s="11">
        <v>690.13</v>
      </c>
      <c r="U627" s="13" cm="1">
        <f t="array" ref="U627">IF(Table8[[#This Row],[I_0]]&lt;Table24[Flitro de Ruido],1,Table8[[#This Row],[I_10]]/Table8[[#This Row],[I_0]])</f>
        <v>1</v>
      </c>
      <c r="V627" s="13" cm="1">
        <f t="array" ref="V627">IF(Table8[[#This Row],[I_0]]&lt;Table24[Flitro de Ruido],1,Table8[[#This Row],[I_20]]/Table8[[#This Row],[I_0]])</f>
        <v>1</v>
      </c>
      <c r="W627" s="13" cm="1">
        <f t="array" ref="W627">IF(Table8[[#This Row],[I_0]]&lt;Table24[Flitro de Ruido],1,Table8[[#This Row],[I_30]]/Table8[[#This Row],[I_0]])</f>
        <v>1</v>
      </c>
      <c r="X627" s="13" cm="1">
        <f t="array" ref="X627">IF(Table8[[#This Row],[I_0]]&lt;Table24[Flitro de Ruido],1,Table8[[#This Row],[I_40]]/Table8[[#This Row],[I_0]])</f>
        <v>1</v>
      </c>
      <c r="Y627" s="13" cm="1">
        <f t="array" ref="Y627">IF(Table8[[#This Row],[I_0]]&lt;Table24[Flitro de Ruido],1,Table8[[#This Row],[I_50]]/Table8[[#This Row],[I_0]])</f>
        <v>1</v>
      </c>
    </row>
    <row r="628" spans="1:25" x14ac:dyDescent="0.3">
      <c r="A628" s="13">
        <v>691.13</v>
      </c>
      <c r="B628" s="12">
        <v>0</v>
      </c>
      <c r="C628" s="11">
        <v>691.13</v>
      </c>
      <c r="D628" s="12">
        <v>0</v>
      </c>
      <c r="E628" s="11">
        <v>691.13</v>
      </c>
      <c r="F628" s="12">
        <v>0</v>
      </c>
      <c r="G628" s="11">
        <v>691.13</v>
      </c>
      <c r="H628" s="12">
        <v>0</v>
      </c>
      <c r="I628" s="11">
        <v>691.13</v>
      </c>
      <c r="J628" s="12">
        <v>0</v>
      </c>
      <c r="K628" s="11">
        <v>691.13</v>
      </c>
      <c r="L628" s="12">
        <v>0</v>
      </c>
      <c r="M628" s="11">
        <v>691.13</v>
      </c>
      <c r="N628" s="13">
        <v>0</v>
      </c>
      <c r="O628" s="11">
        <v>0</v>
      </c>
      <c r="P628" s="11">
        <v>0</v>
      </c>
      <c r="Q628" s="11">
        <v>0</v>
      </c>
      <c r="R628" s="11">
        <v>0</v>
      </c>
      <c r="S628" s="14">
        <v>0</v>
      </c>
      <c r="T628" s="11">
        <v>691.13</v>
      </c>
      <c r="U628" s="13" cm="1">
        <f t="array" ref="U628">IF(Table8[[#This Row],[I_0]]&lt;Table24[Flitro de Ruido],1,Table8[[#This Row],[I_10]]/Table8[[#This Row],[I_0]])</f>
        <v>1</v>
      </c>
      <c r="V628" s="13" cm="1">
        <f t="array" ref="V628">IF(Table8[[#This Row],[I_0]]&lt;Table24[Flitro de Ruido],1,Table8[[#This Row],[I_20]]/Table8[[#This Row],[I_0]])</f>
        <v>1</v>
      </c>
      <c r="W628" s="13" cm="1">
        <f t="array" ref="W628">IF(Table8[[#This Row],[I_0]]&lt;Table24[Flitro de Ruido],1,Table8[[#This Row],[I_30]]/Table8[[#This Row],[I_0]])</f>
        <v>1</v>
      </c>
      <c r="X628" s="13" cm="1">
        <f t="array" ref="X628">IF(Table8[[#This Row],[I_0]]&lt;Table24[Flitro de Ruido],1,Table8[[#This Row],[I_40]]/Table8[[#This Row],[I_0]])</f>
        <v>1</v>
      </c>
      <c r="Y628" s="13" cm="1">
        <f t="array" ref="Y628">IF(Table8[[#This Row],[I_0]]&lt;Table24[Flitro de Ruido],1,Table8[[#This Row],[I_50]]/Table8[[#This Row],[I_0]])</f>
        <v>1</v>
      </c>
    </row>
    <row r="629" spans="1:25" x14ac:dyDescent="0.3">
      <c r="A629" s="13">
        <v>692.12</v>
      </c>
      <c r="B629" s="12">
        <v>0</v>
      </c>
      <c r="C629" s="11">
        <v>692.12</v>
      </c>
      <c r="D629" s="12">
        <v>0</v>
      </c>
      <c r="E629" s="11">
        <v>692.12</v>
      </c>
      <c r="F629" s="12">
        <v>0</v>
      </c>
      <c r="G629" s="11">
        <v>692.12</v>
      </c>
      <c r="H629" s="12">
        <v>0</v>
      </c>
      <c r="I629" s="11">
        <v>692.12</v>
      </c>
      <c r="J629" s="12">
        <v>0</v>
      </c>
      <c r="K629" s="11">
        <v>692.12</v>
      </c>
      <c r="L629" s="12">
        <v>0</v>
      </c>
      <c r="M629" s="11">
        <v>692.12</v>
      </c>
      <c r="N629" s="13">
        <v>0</v>
      </c>
      <c r="O629" s="11">
        <v>0</v>
      </c>
      <c r="P629" s="11">
        <v>0</v>
      </c>
      <c r="Q629" s="11">
        <v>0</v>
      </c>
      <c r="R629" s="11">
        <v>0</v>
      </c>
      <c r="S629" s="14">
        <v>0</v>
      </c>
      <c r="T629" s="11">
        <v>692.12</v>
      </c>
      <c r="U629" s="13" cm="1">
        <f t="array" ref="U629">IF(Table8[[#This Row],[I_0]]&lt;Table24[Flitro de Ruido],1,Table8[[#This Row],[I_10]]/Table8[[#This Row],[I_0]])</f>
        <v>1</v>
      </c>
      <c r="V629" s="13" cm="1">
        <f t="array" ref="V629">IF(Table8[[#This Row],[I_0]]&lt;Table24[Flitro de Ruido],1,Table8[[#This Row],[I_20]]/Table8[[#This Row],[I_0]])</f>
        <v>1</v>
      </c>
      <c r="W629" s="13" cm="1">
        <f t="array" ref="W629">IF(Table8[[#This Row],[I_0]]&lt;Table24[Flitro de Ruido],1,Table8[[#This Row],[I_30]]/Table8[[#This Row],[I_0]])</f>
        <v>1</v>
      </c>
      <c r="X629" s="13" cm="1">
        <f t="array" ref="X629">IF(Table8[[#This Row],[I_0]]&lt;Table24[Flitro de Ruido],1,Table8[[#This Row],[I_40]]/Table8[[#This Row],[I_0]])</f>
        <v>1</v>
      </c>
      <c r="Y629" s="13" cm="1">
        <f t="array" ref="Y629">IF(Table8[[#This Row],[I_0]]&lt;Table24[Flitro de Ruido],1,Table8[[#This Row],[I_50]]/Table8[[#This Row],[I_0]])</f>
        <v>1</v>
      </c>
    </row>
    <row r="630" spans="1:25" x14ac:dyDescent="0.3">
      <c r="A630" s="13">
        <v>693.11</v>
      </c>
      <c r="B630" s="12">
        <v>0</v>
      </c>
      <c r="C630" s="11">
        <v>693.11</v>
      </c>
      <c r="D630" s="12">
        <v>0</v>
      </c>
      <c r="E630" s="11">
        <v>693.11</v>
      </c>
      <c r="F630" s="12">
        <v>0</v>
      </c>
      <c r="G630" s="11">
        <v>693.11</v>
      </c>
      <c r="H630" s="12">
        <v>0</v>
      </c>
      <c r="I630" s="11">
        <v>693.11</v>
      </c>
      <c r="J630" s="12">
        <v>0</v>
      </c>
      <c r="K630" s="11">
        <v>693.11</v>
      </c>
      <c r="L630" s="12">
        <v>0</v>
      </c>
      <c r="M630" s="11">
        <v>693.11</v>
      </c>
      <c r="N630" s="13">
        <v>0</v>
      </c>
      <c r="O630" s="11">
        <v>0</v>
      </c>
      <c r="P630" s="11">
        <v>0</v>
      </c>
      <c r="Q630" s="11">
        <v>0</v>
      </c>
      <c r="R630" s="11">
        <v>0</v>
      </c>
      <c r="S630" s="14">
        <v>0</v>
      </c>
      <c r="T630" s="11">
        <v>693.11</v>
      </c>
      <c r="U630" s="13" cm="1">
        <f t="array" ref="U630">IF(Table8[[#This Row],[I_0]]&lt;Table24[Flitro de Ruido],1,Table8[[#This Row],[I_10]]/Table8[[#This Row],[I_0]])</f>
        <v>1</v>
      </c>
      <c r="V630" s="13" cm="1">
        <f t="array" ref="V630">IF(Table8[[#This Row],[I_0]]&lt;Table24[Flitro de Ruido],1,Table8[[#This Row],[I_20]]/Table8[[#This Row],[I_0]])</f>
        <v>1</v>
      </c>
      <c r="W630" s="13" cm="1">
        <f t="array" ref="W630">IF(Table8[[#This Row],[I_0]]&lt;Table24[Flitro de Ruido],1,Table8[[#This Row],[I_30]]/Table8[[#This Row],[I_0]])</f>
        <v>1</v>
      </c>
      <c r="X630" s="13" cm="1">
        <f t="array" ref="X630">IF(Table8[[#This Row],[I_0]]&lt;Table24[Flitro de Ruido],1,Table8[[#This Row],[I_40]]/Table8[[#This Row],[I_0]])</f>
        <v>1</v>
      </c>
      <c r="Y630" s="13" cm="1">
        <f t="array" ref="Y630">IF(Table8[[#This Row],[I_0]]&lt;Table24[Flitro de Ruido],1,Table8[[#This Row],[I_50]]/Table8[[#This Row],[I_0]])</f>
        <v>1</v>
      </c>
    </row>
    <row r="631" spans="1:25" x14ac:dyDescent="0.3">
      <c r="A631" s="13">
        <v>694.1</v>
      </c>
      <c r="B631" s="12">
        <v>0</v>
      </c>
      <c r="C631" s="11">
        <v>694.1</v>
      </c>
      <c r="D631" s="12">
        <v>0</v>
      </c>
      <c r="E631" s="11">
        <v>694.1</v>
      </c>
      <c r="F631" s="12">
        <v>0</v>
      </c>
      <c r="G631" s="11">
        <v>694.1</v>
      </c>
      <c r="H631" s="12">
        <v>0</v>
      </c>
      <c r="I631" s="11">
        <v>694.1</v>
      </c>
      <c r="J631" s="12">
        <v>0</v>
      </c>
      <c r="K631" s="11">
        <v>694.1</v>
      </c>
      <c r="L631" s="12">
        <v>0</v>
      </c>
      <c r="M631" s="11">
        <v>694.1</v>
      </c>
      <c r="N631" s="13">
        <v>0</v>
      </c>
      <c r="O631" s="11">
        <v>0</v>
      </c>
      <c r="P631" s="11">
        <v>0</v>
      </c>
      <c r="Q631" s="11">
        <v>0</v>
      </c>
      <c r="R631" s="11">
        <v>0</v>
      </c>
      <c r="S631" s="14">
        <v>0</v>
      </c>
      <c r="T631" s="11">
        <v>694.1</v>
      </c>
      <c r="U631" s="13" cm="1">
        <f t="array" ref="U631">IF(Table8[[#This Row],[I_0]]&lt;Table24[Flitro de Ruido],1,Table8[[#This Row],[I_10]]/Table8[[#This Row],[I_0]])</f>
        <v>1</v>
      </c>
      <c r="V631" s="13" cm="1">
        <f t="array" ref="V631">IF(Table8[[#This Row],[I_0]]&lt;Table24[Flitro de Ruido],1,Table8[[#This Row],[I_20]]/Table8[[#This Row],[I_0]])</f>
        <v>1</v>
      </c>
      <c r="W631" s="13" cm="1">
        <f t="array" ref="W631">IF(Table8[[#This Row],[I_0]]&lt;Table24[Flitro de Ruido],1,Table8[[#This Row],[I_30]]/Table8[[#This Row],[I_0]])</f>
        <v>1</v>
      </c>
      <c r="X631" s="13" cm="1">
        <f t="array" ref="X631">IF(Table8[[#This Row],[I_0]]&lt;Table24[Flitro de Ruido],1,Table8[[#This Row],[I_40]]/Table8[[#This Row],[I_0]])</f>
        <v>1</v>
      </c>
      <c r="Y631" s="13" cm="1">
        <f t="array" ref="Y631">IF(Table8[[#This Row],[I_0]]&lt;Table24[Flitro de Ruido],1,Table8[[#This Row],[I_50]]/Table8[[#This Row],[I_0]])</f>
        <v>1</v>
      </c>
    </row>
    <row r="632" spans="1:25" x14ac:dyDescent="0.3">
      <c r="A632" s="13">
        <v>695.09</v>
      </c>
      <c r="B632" s="12">
        <v>0</v>
      </c>
      <c r="C632" s="11">
        <v>695.09</v>
      </c>
      <c r="D632" s="12">
        <v>0</v>
      </c>
      <c r="E632" s="11">
        <v>695.09</v>
      </c>
      <c r="F632" s="12">
        <v>0</v>
      </c>
      <c r="G632" s="11">
        <v>695.09</v>
      </c>
      <c r="H632" s="12">
        <v>0</v>
      </c>
      <c r="I632" s="11">
        <v>695.09</v>
      </c>
      <c r="J632" s="12">
        <v>0</v>
      </c>
      <c r="K632" s="11">
        <v>695.09</v>
      </c>
      <c r="L632" s="12">
        <v>0</v>
      </c>
      <c r="M632" s="11">
        <v>695.09</v>
      </c>
      <c r="N632" s="13">
        <v>0</v>
      </c>
      <c r="O632" s="11">
        <v>0</v>
      </c>
      <c r="P632" s="11">
        <v>0</v>
      </c>
      <c r="Q632" s="11">
        <v>0</v>
      </c>
      <c r="R632" s="11">
        <v>0</v>
      </c>
      <c r="S632" s="14">
        <v>0</v>
      </c>
      <c r="T632" s="11">
        <v>695.09</v>
      </c>
      <c r="U632" s="13" cm="1">
        <f t="array" ref="U632">IF(Table8[[#This Row],[I_0]]&lt;Table24[Flitro de Ruido],1,Table8[[#This Row],[I_10]]/Table8[[#This Row],[I_0]])</f>
        <v>1</v>
      </c>
      <c r="V632" s="13" cm="1">
        <f t="array" ref="V632">IF(Table8[[#This Row],[I_0]]&lt;Table24[Flitro de Ruido],1,Table8[[#This Row],[I_20]]/Table8[[#This Row],[I_0]])</f>
        <v>1</v>
      </c>
      <c r="W632" s="13" cm="1">
        <f t="array" ref="W632">IF(Table8[[#This Row],[I_0]]&lt;Table24[Flitro de Ruido],1,Table8[[#This Row],[I_30]]/Table8[[#This Row],[I_0]])</f>
        <v>1</v>
      </c>
      <c r="X632" s="13" cm="1">
        <f t="array" ref="X632">IF(Table8[[#This Row],[I_0]]&lt;Table24[Flitro de Ruido],1,Table8[[#This Row],[I_40]]/Table8[[#This Row],[I_0]])</f>
        <v>1</v>
      </c>
      <c r="Y632" s="13" cm="1">
        <f t="array" ref="Y632">IF(Table8[[#This Row],[I_0]]&lt;Table24[Flitro de Ruido],1,Table8[[#This Row],[I_50]]/Table8[[#This Row],[I_0]])</f>
        <v>1</v>
      </c>
    </row>
    <row r="633" spans="1:25" x14ac:dyDescent="0.3">
      <c r="A633" s="13">
        <v>696.08</v>
      </c>
      <c r="B633" s="12">
        <v>0</v>
      </c>
      <c r="C633" s="11">
        <v>696.08</v>
      </c>
      <c r="D633" s="12">
        <v>0</v>
      </c>
      <c r="E633" s="11">
        <v>696.08</v>
      </c>
      <c r="F633" s="12">
        <v>0</v>
      </c>
      <c r="G633" s="11">
        <v>696.08</v>
      </c>
      <c r="H633" s="12">
        <v>0</v>
      </c>
      <c r="I633" s="11">
        <v>696.08</v>
      </c>
      <c r="J633" s="12">
        <v>0</v>
      </c>
      <c r="K633" s="11">
        <v>696.08</v>
      </c>
      <c r="L633" s="12">
        <v>0</v>
      </c>
      <c r="M633" s="11">
        <v>696.08</v>
      </c>
      <c r="N633" s="13">
        <v>0</v>
      </c>
      <c r="O633" s="11">
        <v>0</v>
      </c>
      <c r="P633" s="11">
        <v>0</v>
      </c>
      <c r="Q633" s="11">
        <v>0</v>
      </c>
      <c r="R633" s="11">
        <v>0</v>
      </c>
      <c r="S633" s="14">
        <v>0</v>
      </c>
      <c r="T633" s="11">
        <v>696.08</v>
      </c>
      <c r="U633" s="13" cm="1">
        <f t="array" ref="U633">IF(Table8[[#This Row],[I_0]]&lt;Table24[Flitro de Ruido],1,Table8[[#This Row],[I_10]]/Table8[[#This Row],[I_0]])</f>
        <v>1</v>
      </c>
      <c r="V633" s="13" cm="1">
        <f t="array" ref="V633">IF(Table8[[#This Row],[I_0]]&lt;Table24[Flitro de Ruido],1,Table8[[#This Row],[I_20]]/Table8[[#This Row],[I_0]])</f>
        <v>1</v>
      </c>
      <c r="W633" s="13" cm="1">
        <f t="array" ref="W633">IF(Table8[[#This Row],[I_0]]&lt;Table24[Flitro de Ruido],1,Table8[[#This Row],[I_30]]/Table8[[#This Row],[I_0]])</f>
        <v>1</v>
      </c>
      <c r="X633" s="13" cm="1">
        <f t="array" ref="X633">IF(Table8[[#This Row],[I_0]]&lt;Table24[Flitro de Ruido],1,Table8[[#This Row],[I_40]]/Table8[[#This Row],[I_0]])</f>
        <v>1</v>
      </c>
      <c r="Y633" s="13" cm="1">
        <f t="array" ref="Y633">IF(Table8[[#This Row],[I_0]]&lt;Table24[Flitro de Ruido],1,Table8[[#This Row],[I_50]]/Table8[[#This Row],[I_0]])</f>
        <v>1</v>
      </c>
    </row>
    <row r="634" spans="1:25" x14ac:dyDescent="0.3">
      <c r="A634" s="13">
        <v>697.08</v>
      </c>
      <c r="B634" s="12">
        <v>0</v>
      </c>
      <c r="C634" s="11">
        <v>697.08</v>
      </c>
      <c r="D634" s="12">
        <v>0</v>
      </c>
      <c r="E634" s="11">
        <v>697.08</v>
      </c>
      <c r="F634" s="12">
        <v>0</v>
      </c>
      <c r="G634" s="11">
        <v>697.08</v>
      </c>
      <c r="H634" s="12">
        <v>0</v>
      </c>
      <c r="I634" s="11">
        <v>697.08</v>
      </c>
      <c r="J634" s="12">
        <v>0</v>
      </c>
      <c r="K634" s="11">
        <v>697.08</v>
      </c>
      <c r="L634" s="12">
        <v>0</v>
      </c>
      <c r="M634" s="11">
        <v>697.08</v>
      </c>
      <c r="N634" s="13">
        <v>0</v>
      </c>
      <c r="O634" s="11">
        <v>0</v>
      </c>
      <c r="P634" s="11">
        <v>0</v>
      </c>
      <c r="Q634" s="11">
        <v>0</v>
      </c>
      <c r="R634" s="11">
        <v>0</v>
      </c>
      <c r="S634" s="14">
        <v>0</v>
      </c>
      <c r="T634" s="11">
        <v>697.08</v>
      </c>
      <c r="U634" s="13" cm="1">
        <f t="array" ref="U634">IF(Table8[[#This Row],[I_0]]&lt;Table24[Flitro de Ruido],1,Table8[[#This Row],[I_10]]/Table8[[#This Row],[I_0]])</f>
        <v>1</v>
      </c>
      <c r="V634" s="13" cm="1">
        <f t="array" ref="V634">IF(Table8[[#This Row],[I_0]]&lt;Table24[Flitro de Ruido],1,Table8[[#This Row],[I_20]]/Table8[[#This Row],[I_0]])</f>
        <v>1</v>
      </c>
      <c r="W634" s="13" cm="1">
        <f t="array" ref="W634">IF(Table8[[#This Row],[I_0]]&lt;Table24[Flitro de Ruido],1,Table8[[#This Row],[I_30]]/Table8[[#This Row],[I_0]])</f>
        <v>1</v>
      </c>
      <c r="X634" s="13" cm="1">
        <f t="array" ref="X634">IF(Table8[[#This Row],[I_0]]&lt;Table24[Flitro de Ruido],1,Table8[[#This Row],[I_40]]/Table8[[#This Row],[I_0]])</f>
        <v>1</v>
      </c>
      <c r="Y634" s="13" cm="1">
        <f t="array" ref="Y634">IF(Table8[[#This Row],[I_0]]&lt;Table24[Flitro de Ruido],1,Table8[[#This Row],[I_50]]/Table8[[#This Row],[I_0]])</f>
        <v>1</v>
      </c>
    </row>
    <row r="635" spans="1:25" x14ac:dyDescent="0.3">
      <c r="A635" s="13">
        <v>698.07</v>
      </c>
      <c r="B635" s="12">
        <v>0</v>
      </c>
      <c r="C635" s="11">
        <v>698.07</v>
      </c>
      <c r="D635" s="12">
        <v>0</v>
      </c>
      <c r="E635" s="11">
        <v>698.07</v>
      </c>
      <c r="F635" s="12">
        <v>0</v>
      </c>
      <c r="G635" s="11">
        <v>698.07</v>
      </c>
      <c r="H635" s="12">
        <v>0</v>
      </c>
      <c r="I635" s="11">
        <v>698.07</v>
      </c>
      <c r="J635" s="12">
        <v>0</v>
      </c>
      <c r="K635" s="11">
        <v>698.07</v>
      </c>
      <c r="L635" s="12">
        <v>0</v>
      </c>
      <c r="M635" s="11">
        <v>698.07</v>
      </c>
      <c r="N635" s="13">
        <v>0</v>
      </c>
      <c r="O635" s="11">
        <v>0</v>
      </c>
      <c r="P635" s="11">
        <v>0</v>
      </c>
      <c r="Q635" s="11">
        <v>0</v>
      </c>
      <c r="R635" s="11">
        <v>0</v>
      </c>
      <c r="S635" s="14">
        <v>0</v>
      </c>
      <c r="T635" s="11">
        <v>698.07</v>
      </c>
      <c r="U635" s="13" cm="1">
        <f t="array" ref="U635">IF(Table8[[#This Row],[I_0]]&lt;Table24[Flitro de Ruido],1,Table8[[#This Row],[I_10]]/Table8[[#This Row],[I_0]])</f>
        <v>1</v>
      </c>
      <c r="V635" s="13" cm="1">
        <f t="array" ref="V635">IF(Table8[[#This Row],[I_0]]&lt;Table24[Flitro de Ruido],1,Table8[[#This Row],[I_20]]/Table8[[#This Row],[I_0]])</f>
        <v>1</v>
      </c>
      <c r="W635" s="13" cm="1">
        <f t="array" ref="W635">IF(Table8[[#This Row],[I_0]]&lt;Table24[Flitro de Ruido],1,Table8[[#This Row],[I_30]]/Table8[[#This Row],[I_0]])</f>
        <v>1</v>
      </c>
      <c r="X635" s="13" cm="1">
        <f t="array" ref="X635">IF(Table8[[#This Row],[I_0]]&lt;Table24[Flitro de Ruido],1,Table8[[#This Row],[I_40]]/Table8[[#This Row],[I_0]])</f>
        <v>1</v>
      </c>
      <c r="Y635" s="13" cm="1">
        <f t="array" ref="Y635">IF(Table8[[#This Row],[I_0]]&lt;Table24[Flitro de Ruido],1,Table8[[#This Row],[I_50]]/Table8[[#This Row],[I_0]])</f>
        <v>1</v>
      </c>
    </row>
    <row r="636" spans="1:25" x14ac:dyDescent="0.3">
      <c r="A636" s="13">
        <v>699.06</v>
      </c>
      <c r="B636" s="12">
        <v>0</v>
      </c>
      <c r="C636" s="11">
        <v>699.06</v>
      </c>
      <c r="D636" s="12">
        <v>0</v>
      </c>
      <c r="E636" s="11">
        <v>699.06</v>
      </c>
      <c r="F636" s="12">
        <v>0</v>
      </c>
      <c r="G636" s="11">
        <v>699.06</v>
      </c>
      <c r="H636" s="12">
        <v>0</v>
      </c>
      <c r="I636" s="11">
        <v>699.06</v>
      </c>
      <c r="J636" s="12">
        <v>0</v>
      </c>
      <c r="K636" s="11">
        <v>699.06</v>
      </c>
      <c r="L636" s="12">
        <v>0</v>
      </c>
      <c r="M636" s="11">
        <v>699.06</v>
      </c>
      <c r="N636" s="13">
        <v>0</v>
      </c>
      <c r="O636" s="11">
        <v>0</v>
      </c>
      <c r="P636" s="11">
        <v>0</v>
      </c>
      <c r="Q636" s="11">
        <v>0</v>
      </c>
      <c r="R636" s="11">
        <v>0</v>
      </c>
      <c r="S636" s="14">
        <v>0</v>
      </c>
      <c r="T636" s="11">
        <v>699.06</v>
      </c>
      <c r="U636" s="13" cm="1">
        <f t="array" ref="U636">IF(Table8[[#This Row],[I_0]]&lt;Table24[Flitro de Ruido],1,Table8[[#This Row],[I_10]]/Table8[[#This Row],[I_0]])</f>
        <v>1</v>
      </c>
      <c r="V636" s="13" cm="1">
        <f t="array" ref="V636">IF(Table8[[#This Row],[I_0]]&lt;Table24[Flitro de Ruido],1,Table8[[#This Row],[I_20]]/Table8[[#This Row],[I_0]])</f>
        <v>1</v>
      </c>
      <c r="W636" s="13" cm="1">
        <f t="array" ref="W636">IF(Table8[[#This Row],[I_0]]&lt;Table24[Flitro de Ruido],1,Table8[[#This Row],[I_30]]/Table8[[#This Row],[I_0]])</f>
        <v>1</v>
      </c>
      <c r="X636" s="13" cm="1">
        <f t="array" ref="X636">IF(Table8[[#This Row],[I_0]]&lt;Table24[Flitro de Ruido],1,Table8[[#This Row],[I_40]]/Table8[[#This Row],[I_0]])</f>
        <v>1</v>
      </c>
      <c r="Y636" s="13" cm="1">
        <f t="array" ref="Y636">IF(Table8[[#This Row],[I_0]]&lt;Table24[Flitro de Ruido],1,Table8[[#This Row],[I_50]]/Table8[[#This Row],[I_0]])</f>
        <v>1</v>
      </c>
    </row>
    <row r="637" spans="1:25" x14ac:dyDescent="0.3">
      <c r="A637" s="13">
        <v>700.05</v>
      </c>
      <c r="B637" s="12">
        <v>0</v>
      </c>
      <c r="C637" s="11">
        <v>700.05</v>
      </c>
      <c r="D637" s="12">
        <v>0</v>
      </c>
      <c r="E637" s="11">
        <v>700.05</v>
      </c>
      <c r="F637" s="12">
        <v>0</v>
      </c>
      <c r="G637" s="11">
        <v>700.05</v>
      </c>
      <c r="H637" s="12">
        <v>0</v>
      </c>
      <c r="I637" s="11">
        <v>700.05</v>
      </c>
      <c r="J637" s="12">
        <v>0</v>
      </c>
      <c r="K637" s="11">
        <v>700.05</v>
      </c>
      <c r="L637" s="12">
        <v>0</v>
      </c>
      <c r="M637" s="11">
        <v>700.05</v>
      </c>
      <c r="N637" s="13">
        <v>0</v>
      </c>
      <c r="O637" s="11">
        <v>0</v>
      </c>
      <c r="P637" s="11">
        <v>0</v>
      </c>
      <c r="Q637" s="11">
        <v>0</v>
      </c>
      <c r="R637" s="11">
        <v>0</v>
      </c>
      <c r="S637" s="14">
        <v>0</v>
      </c>
      <c r="T637" s="11">
        <v>700.05</v>
      </c>
      <c r="U637" s="13" cm="1">
        <f t="array" ref="U637">IF(Table8[[#This Row],[I_0]]&lt;Table24[Flitro de Ruido],1,Table8[[#This Row],[I_10]]/Table8[[#This Row],[I_0]])</f>
        <v>1</v>
      </c>
      <c r="V637" s="13" cm="1">
        <f t="array" ref="V637">IF(Table8[[#This Row],[I_0]]&lt;Table24[Flitro de Ruido],1,Table8[[#This Row],[I_20]]/Table8[[#This Row],[I_0]])</f>
        <v>1</v>
      </c>
      <c r="W637" s="13" cm="1">
        <f t="array" ref="W637">IF(Table8[[#This Row],[I_0]]&lt;Table24[Flitro de Ruido],1,Table8[[#This Row],[I_30]]/Table8[[#This Row],[I_0]])</f>
        <v>1</v>
      </c>
      <c r="X637" s="13" cm="1">
        <f t="array" ref="X637">IF(Table8[[#This Row],[I_0]]&lt;Table24[Flitro de Ruido],1,Table8[[#This Row],[I_40]]/Table8[[#This Row],[I_0]])</f>
        <v>1</v>
      </c>
      <c r="Y637" s="13" cm="1">
        <f t="array" ref="Y637">IF(Table8[[#This Row],[I_0]]&lt;Table24[Flitro de Ruido],1,Table8[[#This Row],[I_50]]/Table8[[#This Row],[I_0]])</f>
        <v>1</v>
      </c>
    </row>
    <row r="638" spans="1:25" x14ac:dyDescent="0.3">
      <c r="A638" s="13">
        <v>701.04</v>
      </c>
      <c r="B638" s="12">
        <v>0</v>
      </c>
      <c r="C638" s="11">
        <v>701.04</v>
      </c>
      <c r="D638" s="12">
        <v>0</v>
      </c>
      <c r="E638" s="11">
        <v>701.04</v>
      </c>
      <c r="F638" s="12">
        <v>0</v>
      </c>
      <c r="G638" s="11">
        <v>701.04</v>
      </c>
      <c r="H638" s="12">
        <v>0</v>
      </c>
      <c r="I638" s="11">
        <v>701.04</v>
      </c>
      <c r="J638" s="12">
        <v>0</v>
      </c>
      <c r="K638" s="11">
        <v>701.04</v>
      </c>
      <c r="L638" s="12">
        <v>0</v>
      </c>
      <c r="M638" s="11">
        <v>701.04</v>
      </c>
      <c r="N638" s="13">
        <v>0</v>
      </c>
      <c r="O638" s="11">
        <v>0</v>
      </c>
      <c r="P638" s="11">
        <v>0</v>
      </c>
      <c r="Q638" s="11">
        <v>0</v>
      </c>
      <c r="R638" s="11">
        <v>0</v>
      </c>
      <c r="S638" s="14">
        <v>0</v>
      </c>
      <c r="T638" s="11">
        <v>701.04</v>
      </c>
      <c r="U638" s="13" cm="1">
        <f t="array" ref="U638">IF(Table8[[#This Row],[I_0]]&lt;Table24[Flitro de Ruido],1,Table8[[#This Row],[I_10]]/Table8[[#This Row],[I_0]])</f>
        <v>1</v>
      </c>
      <c r="V638" s="13" cm="1">
        <f t="array" ref="V638">IF(Table8[[#This Row],[I_0]]&lt;Table24[Flitro de Ruido],1,Table8[[#This Row],[I_20]]/Table8[[#This Row],[I_0]])</f>
        <v>1</v>
      </c>
      <c r="W638" s="13" cm="1">
        <f t="array" ref="W638">IF(Table8[[#This Row],[I_0]]&lt;Table24[Flitro de Ruido],1,Table8[[#This Row],[I_30]]/Table8[[#This Row],[I_0]])</f>
        <v>1</v>
      </c>
      <c r="X638" s="13" cm="1">
        <f t="array" ref="X638">IF(Table8[[#This Row],[I_0]]&lt;Table24[Flitro de Ruido],1,Table8[[#This Row],[I_40]]/Table8[[#This Row],[I_0]])</f>
        <v>1</v>
      </c>
      <c r="Y638" s="13" cm="1">
        <f t="array" ref="Y638">IF(Table8[[#This Row],[I_0]]&lt;Table24[Flitro de Ruido],1,Table8[[#This Row],[I_50]]/Table8[[#This Row],[I_0]])</f>
        <v>1</v>
      </c>
    </row>
    <row r="639" spans="1:25" x14ac:dyDescent="0.3">
      <c r="A639" s="13">
        <v>702.03</v>
      </c>
      <c r="B639" s="12">
        <v>0</v>
      </c>
      <c r="C639" s="11">
        <v>702.03</v>
      </c>
      <c r="D639" s="12">
        <v>0</v>
      </c>
      <c r="E639" s="11">
        <v>702.03</v>
      </c>
      <c r="F639" s="12">
        <v>0</v>
      </c>
      <c r="G639" s="11">
        <v>702.03</v>
      </c>
      <c r="H639" s="12">
        <v>0</v>
      </c>
      <c r="I639" s="11">
        <v>702.03</v>
      </c>
      <c r="J639" s="12">
        <v>0</v>
      </c>
      <c r="K639" s="11">
        <v>702.03</v>
      </c>
      <c r="L639" s="12">
        <v>0</v>
      </c>
      <c r="M639" s="11">
        <v>702.03</v>
      </c>
      <c r="N639" s="13">
        <v>0</v>
      </c>
      <c r="O639" s="11">
        <v>0</v>
      </c>
      <c r="P639" s="11">
        <v>0</v>
      </c>
      <c r="Q639" s="11">
        <v>0</v>
      </c>
      <c r="R639" s="11">
        <v>0</v>
      </c>
      <c r="S639" s="14">
        <v>0</v>
      </c>
      <c r="T639" s="11">
        <v>702.03</v>
      </c>
      <c r="U639" s="13" cm="1">
        <f t="array" ref="U639">IF(Table8[[#This Row],[I_0]]&lt;Table24[Flitro de Ruido],1,Table8[[#This Row],[I_10]]/Table8[[#This Row],[I_0]])</f>
        <v>1</v>
      </c>
      <c r="V639" s="13" cm="1">
        <f t="array" ref="V639">IF(Table8[[#This Row],[I_0]]&lt;Table24[Flitro de Ruido],1,Table8[[#This Row],[I_20]]/Table8[[#This Row],[I_0]])</f>
        <v>1</v>
      </c>
      <c r="W639" s="13" cm="1">
        <f t="array" ref="W639">IF(Table8[[#This Row],[I_0]]&lt;Table24[Flitro de Ruido],1,Table8[[#This Row],[I_30]]/Table8[[#This Row],[I_0]])</f>
        <v>1</v>
      </c>
      <c r="X639" s="13" cm="1">
        <f t="array" ref="X639">IF(Table8[[#This Row],[I_0]]&lt;Table24[Flitro de Ruido],1,Table8[[#This Row],[I_40]]/Table8[[#This Row],[I_0]])</f>
        <v>1</v>
      </c>
      <c r="Y639" s="13" cm="1">
        <f t="array" ref="Y639">IF(Table8[[#This Row],[I_0]]&lt;Table24[Flitro de Ruido],1,Table8[[#This Row],[I_50]]/Table8[[#This Row],[I_0]])</f>
        <v>1</v>
      </c>
    </row>
    <row r="640" spans="1:25" x14ac:dyDescent="0.3">
      <c r="A640" s="13">
        <v>703.03</v>
      </c>
      <c r="B640" s="12">
        <v>0</v>
      </c>
      <c r="C640" s="11">
        <v>703.03</v>
      </c>
      <c r="D640" s="12">
        <v>0</v>
      </c>
      <c r="E640" s="11">
        <v>703.03</v>
      </c>
      <c r="F640" s="12">
        <v>0</v>
      </c>
      <c r="G640" s="11">
        <v>703.03</v>
      </c>
      <c r="H640" s="12">
        <v>0</v>
      </c>
      <c r="I640" s="11">
        <v>703.03</v>
      </c>
      <c r="J640" s="12">
        <v>0</v>
      </c>
      <c r="K640" s="11">
        <v>703.03</v>
      </c>
      <c r="L640" s="12">
        <v>0</v>
      </c>
      <c r="M640" s="11">
        <v>703.03</v>
      </c>
      <c r="N640" s="13">
        <v>0</v>
      </c>
      <c r="O640" s="11">
        <v>0</v>
      </c>
      <c r="P640" s="11">
        <v>0</v>
      </c>
      <c r="Q640" s="11">
        <v>0</v>
      </c>
      <c r="R640" s="11">
        <v>0</v>
      </c>
      <c r="S640" s="14">
        <v>0</v>
      </c>
      <c r="T640" s="11">
        <v>703.03</v>
      </c>
      <c r="U640" s="13" cm="1">
        <f t="array" ref="U640">IF(Table8[[#This Row],[I_0]]&lt;Table24[Flitro de Ruido],1,Table8[[#This Row],[I_10]]/Table8[[#This Row],[I_0]])</f>
        <v>1</v>
      </c>
      <c r="V640" s="13" cm="1">
        <f t="array" ref="V640">IF(Table8[[#This Row],[I_0]]&lt;Table24[Flitro de Ruido],1,Table8[[#This Row],[I_20]]/Table8[[#This Row],[I_0]])</f>
        <v>1</v>
      </c>
      <c r="W640" s="13" cm="1">
        <f t="array" ref="W640">IF(Table8[[#This Row],[I_0]]&lt;Table24[Flitro de Ruido],1,Table8[[#This Row],[I_30]]/Table8[[#This Row],[I_0]])</f>
        <v>1</v>
      </c>
      <c r="X640" s="13" cm="1">
        <f t="array" ref="X640">IF(Table8[[#This Row],[I_0]]&lt;Table24[Flitro de Ruido],1,Table8[[#This Row],[I_40]]/Table8[[#This Row],[I_0]])</f>
        <v>1</v>
      </c>
      <c r="Y640" s="13" cm="1">
        <f t="array" ref="Y640">IF(Table8[[#This Row],[I_0]]&lt;Table24[Flitro de Ruido],1,Table8[[#This Row],[I_50]]/Table8[[#This Row],[I_0]])</f>
        <v>1</v>
      </c>
    </row>
    <row r="641" spans="1:25" x14ac:dyDescent="0.3">
      <c r="A641" s="13">
        <v>704.02</v>
      </c>
      <c r="B641" s="12">
        <v>0</v>
      </c>
      <c r="C641" s="11">
        <v>704.02</v>
      </c>
      <c r="D641" s="12">
        <v>0</v>
      </c>
      <c r="E641" s="11">
        <v>704.02</v>
      </c>
      <c r="F641" s="12">
        <v>0</v>
      </c>
      <c r="G641" s="11">
        <v>704.02</v>
      </c>
      <c r="H641" s="12">
        <v>0</v>
      </c>
      <c r="I641" s="11">
        <v>704.02</v>
      </c>
      <c r="J641" s="12">
        <v>0</v>
      </c>
      <c r="K641" s="11">
        <v>704.02</v>
      </c>
      <c r="L641" s="12">
        <v>0</v>
      </c>
      <c r="M641" s="11">
        <v>704.02</v>
      </c>
      <c r="N641" s="13">
        <v>0</v>
      </c>
      <c r="O641" s="11">
        <v>0</v>
      </c>
      <c r="P641" s="11">
        <v>0</v>
      </c>
      <c r="Q641" s="11">
        <v>0</v>
      </c>
      <c r="R641" s="11">
        <v>0</v>
      </c>
      <c r="S641" s="14">
        <v>0</v>
      </c>
      <c r="T641" s="11">
        <v>704.02</v>
      </c>
      <c r="U641" s="13" cm="1">
        <f t="array" ref="U641">IF(Table8[[#This Row],[I_0]]&lt;Table24[Flitro de Ruido],1,Table8[[#This Row],[I_10]]/Table8[[#This Row],[I_0]])</f>
        <v>1</v>
      </c>
      <c r="V641" s="13" cm="1">
        <f t="array" ref="V641">IF(Table8[[#This Row],[I_0]]&lt;Table24[Flitro de Ruido],1,Table8[[#This Row],[I_20]]/Table8[[#This Row],[I_0]])</f>
        <v>1</v>
      </c>
      <c r="W641" s="13" cm="1">
        <f t="array" ref="W641">IF(Table8[[#This Row],[I_0]]&lt;Table24[Flitro de Ruido],1,Table8[[#This Row],[I_30]]/Table8[[#This Row],[I_0]])</f>
        <v>1</v>
      </c>
      <c r="X641" s="13" cm="1">
        <f t="array" ref="X641">IF(Table8[[#This Row],[I_0]]&lt;Table24[Flitro de Ruido],1,Table8[[#This Row],[I_40]]/Table8[[#This Row],[I_0]])</f>
        <v>1</v>
      </c>
      <c r="Y641" s="13" cm="1">
        <f t="array" ref="Y641">IF(Table8[[#This Row],[I_0]]&lt;Table24[Flitro de Ruido],1,Table8[[#This Row],[I_50]]/Table8[[#This Row],[I_0]])</f>
        <v>1</v>
      </c>
    </row>
    <row r="642" spans="1:25" x14ac:dyDescent="0.3">
      <c r="A642" s="13">
        <v>705.01</v>
      </c>
      <c r="B642" s="12">
        <v>0</v>
      </c>
      <c r="C642" s="11">
        <v>705.01</v>
      </c>
      <c r="D642" s="12">
        <v>0</v>
      </c>
      <c r="E642" s="11">
        <v>705.01</v>
      </c>
      <c r="F642" s="12">
        <v>0</v>
      </c>
      <c r="G642" s="11">
        <v>705.01</v>
      </c>
      <c r="H642" s="12">
        <v>0</v>
      </c>
      <c r="I642" s="11">
        <v>705.01</v>
      </c>
      <c r="J642" s="12">
        <v>0</v>
      </c>
      <c r="K642" s="11">
        <v>705.01</v>
      </c>
      <c r="L642" s="12">
        <v>0</v>
      </c>
      <c r="M642" s="11">
        <v>705.01</v>
      </c>
      <c r="N642" s="13">
        <v>0</v>
      </c>
      <c r="O642" s="11">
        <v>0</v>
      </c>
      <c r="P642" s="11">
        <v>0</v>
      </c>
      <c r="Q642" s="11">
        <v>0</v>
      </c>
      <c r="R642" s="11">
        <v>0</v>
      </c>
      <c r="S642" s="14">
        <v>0</v>
      </c>
      <c r="T642" s="11">
        <v>705.01</v>
      </c>
      <c r="U642" s="13" cm="1">
        <f t="array" ref="U642">IF(Table8[[#This Row],[I_0]]&lt;Table24[Flitro de Ruido],1,Table8[[#This Row],[I_10]]/Table8[[#This Row],[I_0]])</f>
        <v>1</v>
      </c>
      <c r="V642" s="13" cm="1">
        <f t="array" ref="V642">IF(Table8[[#This Row],[I_0]]&lt;Table24[Flitro de Ruido],1,Table8[[#This Row],[I_20]]/Table8[[#This Row],[I_0]])</f>
        <v>1</v>
      </c>
      <c r="W642" s="13" cm="1">
        <f t="array" ref="W642">IF(Table8[[#This Row],[I_0]]&lt;Table24[Flitro de Ruido],1,Table8[[#This Row],[I_30]]/Table8[[#This Row],[I_0]])</f>
        <v>1</v>
      </c>
      <c r="X642" s="13" cm="1">
        <f t="array" ref="X642">IF(Table8[[#This Row],[I_0]]&lt;Table24[Flitro de Ruido],1,Table8[[#This Row],[I_40]]/Table8[[#This Row],[I_0]])</f>
        <v>1</v>
      </c>
      <c r="Y642" s="13" cm="1">
        <f t="array" ref="Y642">IF(Table8[[#This Row],[I_0]]&lt;Table24[Flitro de Ruido],1,Table8[[#This Row],[I_50]]/Table8[[#This Row],[I_0]])</f>
        <v>1</v>
      </c>
    </row>
    <row r="643" spans="1:25" x14ac:dyDescent="0.3">
      <c r="A643" s="13">
        <v>706</v>
      </c>
      <c r="B643" s="12">
        <v>0</v>
      </c>
      <c r="C643" s="11">
        <v>706</v>
      </c>
      <c r="D643" s="12">
        <v>0</v>
      </c>
      <c r="E643" s="11">
        <v>706</v>
      </c>
      <c r="F643" s="12">
        <v>0</v>
      </c>
      <c r="G643" s="11">
        <v>706</v>
      </c>
      <c r="H643" s="12">
        <v>0</v>
      </c>
      <c r="I643" s="11">
        <v>706</v>
      </c>
      <c r="J643" s="12">
        <v>0</v>
      </c>
      <c r="K643" s="11">
        <v>706</v>
      </c>
      <c r="L643" s="12">
        <v>0</v>
      </c>
      <c r="M643" s="11">
        <v>706</v>
      </c>
      <c r="N643" s="13">
        <v>0</v>
      </c>
      <c r="O643" s="11">
        <v>0</v>
      </c>
      <c r="P643" s="11">
        <v>0</v>
      </c>
      <c r="Q643" s="11">
        <v>0</v>
      </c>
      <c r="R643" s="11">
        <v>0</v>
      </c>
      <c r="S643" s="14">
        <v>0</v>
      </c>
      <c r="T643" s="11">
        <v>706</v>
      </c>
      <c r="U643" s="13" cm="1">
        <f t="array" ref="U643">IF(Table8[[#This Row],[I_0]]&lt;Table24[Flitro de Ruido],1,Table8[[#This Row],[I_10]]/Table8[[#This Row],[I_0]])</f>
        <v>1</v>
      </c>
      <c r="V643" s="13" cm="1">
        <f t="array" ref="V643">IF(Table8[[#This Row],[I_0]]&lt;Table24[Flitro de Ruido],1,Table8[[#This Row],[I_20]]/Table8[[#This Row],[I_0]])</f>
        <v>1</v>
      </c>
      <c r="W643" s="13" cm="1">
        <f t="array" ref="W643">IF(Table8[[#This Row],[I_0]]&lt;Table24[Flitro de Ruido],1,Table8[[#This Row],[I_30]]/Table8[[#This Row],[I_0]])</f>
        <v>1</v>
      </c>
      <c r="X643" s="13" cm="1">
        <f t="array" ref="X643">IF(Table8[[#This Row],[I_0]]&lt;Table24[Flitro de Ruido],1,Table8[[#This Row],[I_40]]/Table8[[#This Row],[I_0]])</f>
        <v>1</v>
      </c>
      <c r="Y643" s="13" cm="1">
        <f t="array" ref="Y643">IF(Table8[[#This Row],[I_0]]&lt;Table24[Flitro de Ruido],1,Table8[[#This Row],[I_50]]/Table8[[#This Row],[I_0]])</f>
        <v>1</v>
      </c>
    </row>
    <row r="644" spans="1:25" x14ac:dyDescent="0.3">
      <c r="A644" s="13">
        <v>706.99</v>
      </c>
      <c r="B644" s="12">
        <v>0</v>
      </c>
      <c r="C644" s="11">
        <v>706.99</v>
      </c>
      <c r="D644" s="12">
        <v>0</v>
      </c>
      <c r="E644" s="11">
        <v>706.99</v>
      </c>
      <c r="F644" s="12">
        <v>0</v>
      </c>
      <c r="G644" s="11">
        <v>706.99</v>
      </c>
      <c r="H644" s="12">
        <v>0</v>
      </c>
      <c r="I644" s="11">
        <v>706.99</v>
      </c>
      <c r="J644" s="12">
        <v>0</v>
      </c>
      <c r="K644" s="11">
        <v>706.99</v>
      </c>
      <c r="L644" s="12">
        <v>0</v>
      </c>
      <c r="M644" s="11">
        <v>706.99</v>
      </c>
      <c r="N644" s="13">
        <v>0</v>
      </c>
      <c r="O644" s="11">
        <v>0</v>
      </c>
      <c r="P644" s="11">
        <v>0</v>
      </c>
      <c r="Q644" s="11">
        <v>0</v>
      </c>
      <c r="R644" s="11">
        <v>0</v>
      </c>
      <c r="S644" s="14">
        <v>0</v>
      </c>
      <c r="T644" s="11">
        <v>706.99</v>
      </c>
      <c r="U644" s="13" cm="1">
        <f t="array" ref="U644">IF(Table8[[#This Row],[I_0]]&lt;Table24[Flitro de Ruido],1,Table8[[#This Row],[I_10]]/Table8[[#This Row],[I_0]])</f>
        <v>1</v>
      </c>
      <c r="V644" s="13" cm="1">
        <f t="array" ref="V644">IF(Table8[[#This Row],[I_0]]&lt;Table24[Flitro de Ruido],1,Table8[[#This Row],[I_20]]/Table8[[#This Row],[I_0]])</f>
        <v>1</v>
      </c>
      <c r="W644" s="13" cm="1">
        <f t="array" ref="W644">IF(Table8[[#This Row],[I_0]]&lt;Table24[Flitro de Ruido],1,Table8[[#This Row],[I_30]]/Table8[[#This Row],[I_0]])</f>
        <v>1</v>
      </c>
      <c r="X644" s="13" cm="1">
        <f t="array" ref="X644">IF(Table8[[#This Row],[I_0]]&lt;Table24[Flitro de Ruido],1,Table8[[#This Row],[I_40]]/Table8[[#This Row],[I_0]])</f>
        <v>1</v>
      </c>
      <c r="Y644" s="13" cm="1">
        <f t="array" ref="Y644">IF(Table8[[#This Row],[I_0]]&lt;Table24[Flitro de Ruido],1,Table8[[#This Row],[I_50]]/Table8[[#This Row],[I_0]])</f>
        <v>1</v>
      </c>
    </row>
    <row r="645" spans="1:25" x14ac:dyDescent="0.3">
      <c r="A645" s="13">
        <v>707.99</v>
      </c>
      <c r="B645" s="12">
        <v>0</v>
      </c>
      <c r="C645" s="11">
        <v>707.99</v>
      </c>
      <c r="D645" s="12">
        <v>0</v>
      </c>
      <c r="E645" s="11">
        <v>707.99</v>
      </c>
      <c r="F645" s="12">
        <v>0</v>
      </c>
      <c r="G645" s="11">
        <v>707.99</v>
      </c>
      <c r="H645" s="12">
        <v>0</v>
      </c>
      <c r="I645" s="11">
        <v>707.99</v>
      </c>
      <c r="J645" s="12">
        <v>0</v>
      </c>
      <c r="K645" s="11">
        <v>707.99</v>
      </c>
      <c r="L645" s="12">
        <v>0</v>
      </c>
      <c r="M645" s="11">
        <v>707.99</v>
      </c>
      <c r="N645" s="13">
        <v>0</v>
      </c>
      <c r="O645" s="11">
        <v>0</v>
      </c>
      <c r="P645" s="11">
        <v>0</v>
      </c>
      <c r="Q645" s="11">
        <v>0</v>
      </c>
      <c r="R645" s="11">
        <v>0</v>
      </c>
      <c r="S645" s="14">
        <v>0</v>
      </c>
      <c r="T645" s="11">
        <v>707.99</v>
      </c>
      <c r="U645" s="13" cm="1">
        <f t="array" ref="U645">IF(Table8[[#This Row],[I_0]]&lt;Table24[Flitro de Ruido],1,Table8[[#This Row],[I_10]]/Table8[[#This Row],[I_0]])</f>
        <v>1</v>
      </c>
      <c r="V645" s="13" cm="1">
        <f t="array" ref="V645">IF(Table8[[#This Row],[I_0]]&lt;Table24[Flitro de Ruido],1,Table8[[#This Row],[I_20]]/Table8[[#This Row],[I_0]])</f>
        <v>1</v>
      </c>
      <c r="W645" s="13" cm="1">
        <f t="array" ref="W645">IF(Table8[[#This Row],[I_0]]&lt;Table24[Flitro de Ruido],1,Table8[[#This Row],[I_30]]/Table8[[#This Row],[I_0]])</f>
        <v>1</v>
      </c>
      <c r="X645" s="13" cm="1">
        <f t="array" ref="X645">IF(Table8[[#This Row],[I_0]]&lt;Table24[Flitro de Ruido],1,Table8[[#This Row],[I_40]]/Table8[[#This Row],[I_0]])</f>
        <v>1</v>
      </c>
      <c r="Y645" s="13" cm="1">
        <f t="array" ref="Y645">IF(Table8[[#This Row],[I_0]]&lt;Table24[Flitro de Ruido],1,Table8[[#This Row],[I_50]]/Table8[[#This Row],[I_0]])</f>
        <v>1</v>
      </c>
    </row>
    <row r="646" spans="1:25" x14ac:dyDescent="0.3">
      <c r="A646" s="13">
        <v>708.98</v>
      </c>
      <c r="B646" s="12">
        <v>0</v>
      </c>
      <c r="C646" s="11">
        <v>708.98</v>
      </c>
      <c r="D646" s="12">
        <v>0</v>
      </c>
      <c r="E646" s="11">
        <v>708.98</v>
      </c>
      <c r="F646" s="12">
        <v>0</v>
      </c>
      <c r="G646" s="11">
        <v>708.98</v>
      </c>
      <c r="H646" s="12">
        <v>0</v>
      </c>
      <c r="I646" s="11">
        <v>708.98</v>
      </c>
      <c r="J646" s="12">
        <v>0</v>
      </c>
      <c r="K646" s="11">
        <v>708.98</v>
      </c>
      <c r="L646" s="12">
        <v>0</v>
      </c>
      <c r="M646" s="11">
        <v>708.98</v>
      </c>
      <c r="N646" s="13">
        <v>0</v>
      </c>
      <c r="O646" s="11">
        <v>0</v>
      </c>
      <c r="P646" s="11">
        <v>0</v>
      </c>
      <c r="Q646" s="11">
        <v>0</v>
      </c>
      <c r="R646" s="11">
        <v>0</v>
      </c>
      <c r="S646" s="14">
        <v>0</v>
      </c>
      <c r="T646" s="11">
        <v>708.98</v>
      </c>
      <c r="U646" s="13" cm="1">
        <f t="array" ref="U646">IF(Table8[[#This Row],[I_0]]&lt;Table24[Flitro de Ruido],1,Table8[[#This Row],[I_10]]/Table8[[#This Row],[I_0]])</f>
        <v>1</v>
      </c>
      <c r="V646" s="13" cm="1">
        <f t="array" ref="V646">IF(Table8[[#This Row],[I_0]]&lt;Table24[Flitro de Ruido],1,Table8[[#This Row],[I_20]]/Table8[[#This Row],[I_0]])</f>
        <v>1</v>
      </c>
      <c r="W646" s="13" cm="1">
        <f t="array" ref="W646">IF(Table8[[#This Row],[I_0]]&lt;Table24[Flitro de Ruido],1,Table8[[#This Row],[I_30]]/Table8[[#This Row],[I_0]])</f>
        <v>1</v>
      </c>
      <c r="X646" s="13" cm="1">
        <f t="array" ref="X646">IF(Table8[[#This Row],[I_0]]&lt;Table24[Flitro de Ruido],1,Table8[[#This Row],[I_40]]/Table8[[#This Row],[I_0]])</f>
        <v>1</v>
      </c>
      <c r="Y646" s="13" cm="1">
        <f t="array" ref="Y646">IF(Table8[[#This Row],[I_0]]&lt;Table24[Flitro de Ruido],1,Table8[[#This Row],[I_50]]/Table8[[#This Row],[I_0]])</f>
        <v>1</v>
      </c>
    </row>
    <row r="647" spans="1:25" x14ac:dyDescent="0.3">
      <c r="A647" s="13">
        <v>709.97</v>
      </c>
      <c r="B647" s="12">
        <v>0</v>
      </c>
      <c r="C647" s="11">
        <v>709.97</v>
      </c>
      <c r="D647" s="12">
        <v>0</v>
      </c>
      <c r="E647" s="11">
        <v>709.97</v>
      </c>
      <c r="F647" s="12">
        <v>0</v>
      </c>
      <c r="G647" s="11">
        <v>709.97</v>
      </c>
      <c r="H647" s="12">
        <v>0</v>
      </c>
      <c r="I647" s="11">
        <v>709.97</v>
      </c>
      <c r="J647" s="12">
        <v>0</v>
      </c>
      <c r="K647" s="11">
        <v>709.97</v>
      </c>
      <c r="L647" s="12">
        <v>0</v>
      </c>
      <c r="M647" s="11">
        <v>709.97</v>
      </c>
      <c r="N647" s="13">
        <v>0</v>
      </c>
      <c r="O647" s="11">
        <v>0</v>
      </c>
      <c r="P647" s="11">
        <v>0</v>
      </c>
      <c r="Q647" s="11">
        <v>0</v>
      </c>
      <c r="R647" s="11">
        <v>0</v>
      </c>
      <c r="S647" s="14">
        <v>0</v>
      </c>
      <c r="T647" s="11">
        <v>709.97</v>
      </c>
      <c r="U647" s="13" cm="1">
        <f t="array" ref="U647">IF(Table8[[#This Row],[I_0]]&lt;Table24[Flitro de Ruido],1,Table8[[#This Row],[I_10]]/Table8[[#This Row],[I_0]])</f>
        <v>1</v>
      </c>
      <c r="V647" s="13" cm="1">
        <f t="array" ref="V647">IF(Table8[[#This Row],[I_0]]&lt;Table24[Flitro de Ruido],1,Table8[[#This Row],[I_20]]/Table8[[#This Row],[I_0]])</f>
        <v>1</v>
      </c>
      <c r="W647" s="13" cm="1">
        <f t="array" ref="W647">IF(Table8[[#This Row],[I_0]]&lt;Table24[Flitro de Ruido],1,Table8[[#This Row],[I_30]]/Table8[[#This Row],[I_0]])</f>
        <v>1</v>
      </c>
      <c r="X647" s="13" cm="1">
        <f t="array" ref="X647">IF(Table8[[#This Row],[I_0]]&lt;Table24[Flitro de Ruido],1,Table8[[#This Row],[I_40]]/Table8[[#This Row],[I_0]])</f>
        <v>1</v>
      </c>
      <c r="Y647" s="13" cm="1">
        <f t="array" ref="Y647">IF(Table8[[#This Row],[I_0]]&lt;Table24[Flitro de Ruido],1,Table8[[#This Row],[I_50]]/Table8[[#This Row],[I_0]])</f>
        <v>1</v>
      </c>
    </row>
    <row r="648" spans="1:25" x14ac:dyDescent="0.3">
      <c r="A648" s="13">
        <v>710.96</v>
      </c>
      <c r="B648" s="12">
        <v>0</v>
      </c>
      <c r="C648" s="11">
        <v>710.96</v>
      </c>
      <c r="D648" s="12">
        <v>0</v>
      </c>
      <c r="E648" s="11">
        <v>710.96</v>
      </c>
      <c r="F648" s="12">
        <v>0</v>
      </c>
      <c r="G648" s="11">
        <v>710.96</v>
      </c>
      <c r="H648" s="12">
        <v>0</v>
      </c>
      <c r="I648" s="11">
        <v>710.96</v>
      </c>
      <c r="J648" s="12">
        <v>0</v>
      </c>
      <c r="K648" s="11">
        <v>710.96</v>
      </c>
      <c r="L648" s="12">
        <v>0</v>
      </c>
      <c r="M648" s="11">
        <v>710.96</v>
      </c>
      <c r="N648" s="13">
        <v>0</v>
      </c>
      <c r="O648" s="11">
        <v>0</v>
      </c>
      <c r="P648" s="11">
        <v>0</v>
      </c>
      <c r="Q648" s="11">
        <v>0</v>
      </c>
      <c r="R648" s="11">
        <v>0</v>
      </c>
      <c r="S648" s="14">
        <v>0</v>
      </c>
      <c r="T648" s="11">
        <v>710.96</v>
      </c>
      <c r="U648" s="13" cm="1">
        <f t="array" ref="U648">IF(Table8[[#This Row],[I_0]]&lt;Table24[Flitro de Ruido],1,Table8[[#This Row],[I_10]]/Table8[[#This Row],[I_0]])</f>
        <v>1</v>
      </c>
      <c r="V648" s="13" cm="1">
        <f t="array" ref="V648">IF(Table8[[#This Row],[I_0]]&lt;Table24[Flitro de Ruido],1,Table8[[#This Row],[I_20]]/Table8[[#This Row],[I_0]])</f>
        <v>1</v>
      </c>
      <c r="W648" s="13" cm="1">
        <f t="array" ref="W648">IF(Table8[[#This Row],[I_0]]&lt;Table24[Flitro de Ruido],1,Table8[[#This Row],[I_30]]/Table8[[#This Row],[I_0]])</f>
        <v>1</v>
      </c>
      <c r="X648" s="13" cm="1">
        <f t="array" ref="X648">IF(Table8[[#This Row],[I_0]]&lt;Table24[Flitro de Ruido],1,Table8[[#This Row],[I_40]]/Table8[[#This Row],[I_0]])</f>
        <v>1</v>
      </c>
      <c r="Y648" s="13" cm="1">
        <f t="array" ref="Y648">IF(Table8[[#This Row],[I_0]]&lt;Table24[Flitro de Ruido],1,Table8[[#This Row],[I_50]]/Table8[[#This Row],[I_0]])</f>
        <v>1</v>
      </c>
    </row>
    <row r="649" spans="1:25" x14ac:dyDescent="0.3">
      <c r="A649" s="13">
        <v>711.95</v>
      </c>
      <c r="B649" s="12">
        <v>0</v>
      </c>
      <c r="C649" s="11">
        <v>711.95</v>
      </c>
      <c r="D649" s="12">
        <v>0</v>
      </c>
      <c r="E649" s="11">
        <v>711.95</v>
      </c>
      <c r="F649" s="12">
        <v>0</v>
      </c>
      <c r="G649" s="11">
        <v>711.95</v>
      </c>
      <c r="H649" s="12">
        <v>0</v>
      </c>
      <c r="I649" s="11">
        <v>711.95</v>
      </c>
      <c r="J649" s="12">
        <v>0</v>
      </c>
      <c r="K649" s="11">
        <v>711.95</v>
      </c>
      <c r="L649" s="12">
        <v>0</v>
      </c>
      <c r="M649" s="11">
        <v>711.95</v>
      </c>
      <c r="N649" s="13">
        <v>0</v>
      </c>
      <c r="O649" s="11">
        <v>0</v>
      </c>
      <c r="P649" s="11">
        <v>0</v>
      </c>
      <c r="Q649" s="11">
        <v>0</v>
      </c>
      <c r="R649" s="11">
        <v>0</v>
      </c>
      <c r="S649" s="14">
        <v>0</v>
      </c>
      <c r="T649" s="11">
        <v>711.95</v>
      </c>
      <c r="U649" s="13" cm="1">
        <f t="array" ref="U649">IF(Table8[[#This Row],[I_0]]&lt;Table24[Flitro de Ruido],1,Table8[[#This Row],[I_10]]/Table8[[#This Row],[I_0]])</f>
        <v>1</v>
      </c>
      <c r="V649" s="13" cm="1">
        <f t="array" ref="V649">IF(Table8[[#This Row],[I_0]]&lt;Table24[Flitro de Ruido],1,Table8[[#This Row],[I_20]]/Table8[[#This Row],[I_0]])</f>
        <v>1</v>
      </c>
      <c r="W649" s="13" cm="1">
        <f t="array" ref="W649">IF(Table8[[#This Row],[I_0]]&lt;Table24[Flitro de Ruido],1,Table8[[#This Row],[I_30]]/Table8[[#This Row],[I_0]])</f>
        <v>1</v>
      </c>
      <c r="X649" s="13" cm="1">
        <f t="array" ref="X649">IF(Table8[[#This Row],[I_0]]&lt;Table24[Flitro de Ruido],1,Table8[[#This Row],[I_40]]/Table8[[#This Row],[I_0]])</f>
        <v>1</v>
      </c>
      <c r="Y649" s="13" cm="1">
        <f t="array" ref="Y649">IF(Table8[[#This Row],[I_0]]&lt;Table24[Flitro de Ruido],1,Table8[[#This Row],[I_50]]/Table8[[#This Row],[I_0]])</f>
        <v>1</v>
      </c>
    </row>
    <row r="650" spans="1:25" x14ac:dyDescent="0.3">
      <c r="A650" s="13">
        <v>712.94</v>
      </c>
      <c r="B650" s="12">
        <v>0</v>
      </c>
      <c r="C650" s="11">
        <v>712.94</v>
      </c>
      <c r="D650" s="12">
        <v>0</v>
      </c>
      <c r="E650" s="11">
        <v>712.94</v>
      </c>
      <c r="F650" s="12">
        <v>0</v>
      </c>
      <c r="G650" s="11">
        <v>712.94</v>
      </c>
      <c r="H650" s="12">
        <v>0</v>
      </c>
      <c r="I650" s="11">
        <v>712.94</v>
      </c>
      <c r="J650" s="12">
        <v>0</v>
      </c>
      <c r="K650" s="11">
        <v>712.94</v>
      </c>
      <c r="L650" s="12">
        <v>0</v>
      </c>
      <c r="M650" s="11">
        <v>712.94</v>
      </c>
      <c r="N650" s="13">
        <v>0</v>
      </c>
      <c r="O650" s="11">
        <v>0</v>
      </c>
      <c r="P650" s="11">
        <v>0</v>
      </c>
      <c r="Q650" s="11">
        <v>0</v>
      </c>
      <c r="R650" s="11">
        <v>0</v>
      </c>
      <c r="S650" s="14">
        <v>0</v>
      </c>
      <c r="T650" s="11">
        <v>712.94</v>
      </c>
      <c r="U650" s="13" cm="1">
        <f t="array" ref="U650">IF(Table8[[#This Row],[I_0]]&lt;Table24[Flitro de Ruido],1,Table8[[#This Row],[I_10]]/Table8[[#This Row],[I_0]])</f>
        <v>1</v>
      </c>
      <c r="V650" s="13" cm="1">
        <f t="array" ref="V650">IF(Table8[[#This Row],[I_0]]&lt;Table24[Flitro de Ruido],1,Table8[[#This Row],[I_20]]/Table8[[#This Row],[I_0]])</f>
        <v>1</v>
      </c>
      <c r="W650" s="13" cm="1">
        <f t="array" ref="W650">IF(Table8[[#This Row],[I_0]]&lt;Table24[Flitro de Ruido],1,Table8[[#This Row],[I_30]]/Table8[[#This Row],[I_0]])</f>
        <v>1</v>
      </c>
      <c r="X650" s="13" cm="1">
        <f t="array" ref="X650">IF(Table8[[#This Row],[I_0]]&lt;Table24[Flitro de Ruido],1,Table8[[#This Row],[I_40]]/Table8[[#This Row],[I_0]])</f>
        <v>1</v>
      </c>
      <c r="Y650" s="13" cm="1">
        <f t="array" ref="Y650">IF(Table8[[#This Row],[I_0]]&lt;Table24[Flitro de Ruido],1,Table8[[#This Row],[I_50]]/Table8[[#This Row],[I_0]])</f>
        <v>1</v>
      </c>
    </row>
    <row r="651" spans="1:25" x14ac:dyDescent="0.3">
      <c r="A651" s="13">
        <v>713.94</v>
      </c>
      <c r="B651" s="12">
        <v>0</v>
      </c>
      <c r="C651" s="11">
        <v>713.94</v>
      </c>
      <c r="D651" s="12">
        <v>0</v>
      </c>
      <c r="E651" s="11">
        <v>713.94</v>
      </c>
      <c r="F651" s="12">
        <v>0</v>
      </c>
      <c r="G651" s="11">
        <v>713.94</v>
      </c>
      <c r="H651" s="12">
        <v>0</v>
      </c>
      <c r="I651" s="11">
        <v>713.94</v>
      </c>
      <c r="J651" s="12">
        <v>0</v>
      </c>
      <c r="K651" s="11">
        <v>713.94</v>
      </c>
      <c r="L651" s="12">
        <v>0</v>
      </c>
      <c r="M651" s="11">
        <v>713.94</v>
      </c>
      <c r="N651" s="13">
        <v>0</v>
      </c>
      <c r="O651" s="11">
        <v>0</v>
      </c>
      <c r="P651" s="11">
        <v>0</v>
      </c>
      <c r="Q651" s="11">
        <v>0</v>
      </c>
      <c r="R651" s="11">
        <v>0</v>
      </c>
      <c r="S651" s="14">
        <v>0</v>
      </c>
      <c r="T651" s="11">
        <v>713.94</v>
      </c>
      <c r="U651" s="13" cm="1">
        <f t="array" ref="U651">IF(Table8[[#This Row],[I_0]]&lt;Table24[Flitro de Ruido],1,Table8[[#This Row],[I_10]]/Table8[[#This Row],[I_0]])</f>
        <v>1</v>
      </c>
      <c r="V651" s="13" cm="1">
        <f t="array" ref="V651">IF(Table8[[#This Row],[I_0]]&lt;Table24[Flitro de Ruido],1,Table8[[#This Row],[I_20]]/Table8[[#This Row],[I_0]])</f>
        <v>1</v>
      </c>
      <c r="W651" s="13" cm="1">
        <f t="array" ref="W651">IF(Table8[[#This Row],[I_0]]&lt;Table24[Flitro de Ruido],1,Table8[[#This Row],[I_30]]/Table8[[#This Row],[I_0]])</f>
        <v>1</v>
      </c>
      <c r="X651" s="13" cm="1">
        <f t="array" ref="X651">IF(Table8[[#This Row],[I_0]]&lt;Table24[Flitro de Ruido],1,Table8[[#This Row],[I_40]]/Table8[[#This Row],[I_0]])</f>
        <v>1</v>
      </c>
      <c r="Y651" s="13" cm="1">
        <f t="array" ref="Y651">IF(Table8[[#This Row],[I_0]]&lt;Table24[Flitro de Ruido],1,Table8[[#This Row],[I_50]]/Table8[[#This Row],[I_0]])</f>
        <v>1</v>
      </c>
    </row>
    <row r="652" spans="1:25" x14ac:dyDescent="0.3">
      <c r="A652" s="13">
        <v>714.93</v>
      </c>
      <c r="B652" s="12">
        <v>0</v>
      </c>
      <c r="C652" s="11">
        <v>714.93</v>
      </c>
      <c r="D652" s="12">
        <v>0</v>
      </c>
      <c r="E652" s="11">
        <v>714.93</v>
      </c>
      <c r="F652" s="12">
        <v>0</v>
      </c>
      <c r="G652" s="11">
        <v>714.93</v>
      </c>
      <c r="H652" s="12">
        <v>0</v>
      </c>
      <c r="I652" s="11">
        <v>714.93</v>
      </c>
      <c r="J652" s="12">
        <v>0</v>
      </c>
      <c r="K652" s="11">
        <v>714.93</v>
      </c>
      <c r="L652" s="12">
        <v>0</v>
      </c>
      <c r="M652" s="11">
        <v>714.93</v>
      </c>
      <c r="N652" s="13">
        <v>0</v>
      </c>
      <c r="O652" s="11">
        <v>0</v>
      </c>
      <c r="P652" s="11">
        <v>0</v>
      </c>
      <c r="Q652" s="11">
        <v>0</v>
      </c>
      <c r="R652" s="11">
        <v>0</v>
      </c>
      <c r="S652" s="14">
        <v>0</v>
      </c>
      <c r="T652" s="11">
        <v>714.93</v>
      </c>
      <c r="U652" s="13" cm="1">
        <f t="array" ref="U652">IF(Table8[[#This Row],[I_0]]&lt;Table24[Flitro de Ruido],1,Table8[[#This Row],[I_10]]/Table8[[#This Row],[I_0]])</f>
        <v>1</v>
      </c>
      <c r="V652" s="13" cm="1">
        <f t="array" ref="V652">IF(Table8[[#This Row],[I_0]]&lt;Table24[Flitro de Ruido],1,Table8[[#This Row],[I_20]]/Table8[[#This Row],[I_0]])</f>
        <v>1</v>
      </c>
      <c r="W652" s="13" cm="1">
        <f t="array" ref="W652">IF(Table8[[#This Row],[I_0]]&lt;Table24[Flitro de Ruido],1,Table8[[#This Row],[I_30]]/Table8[[#This Row],[I_0]])</f>
        <v>1</v>
      </c>
      <c r="X652" s="13" cm="1">
        <f t="array" ref="X652">IF(Table8[[#This Row],[I_0]]&lt;Table24[Flitro de Ruido],1,Table8[[#This Row],[I_40]]/Table8[[#This Row],[I_0]])</f>
        <v>1</v>
      </c>
      <c r="Y652" s="13" cm="1">
        <f t="array" ref="Y652">IF(Table8[[#This Row],[I_0]]&lt;Table24[Flitro de Ruido],1,Table8[[#This Row],[I_50]]/Table8[[#This Row],[I_0]])</f>
        <v>1</v>
      </c>
    </row>
    <row r="653" spans="1:25" x14ac:dyDescent="0.3">
      <c r="A653" s="13">
        <v>715.92</v>
      </c>
      <c r="B653" s="12">
        <v>0</v>
      </c>
      <c r="C653" s="11">
        <v>715.92</v>
      </c>
      <c r="D653" s="12">
        <v>0</v>
      </c>
      <c r="E653" s="11">
        <v>715.92</v>
      </c>
      <c r="F653" s="12">
        <v>0</v>
      </c>
      <c r="G653" s="11">
        <v>715.92</v>
      </c>
      <c r="H653" s="12">
        <v>0</v>
      </c>
      <c r="I653" s="11">
        <v>715.92</v>
      </c>
      <c r="J653" s="12">
        <v>0</v>
      </c>
      <c r="K653" s="11">
        <v>715.92</v>
      </c>
      <c r="L653" s="12">
        <v>0</v>
      </c>
      <c r="M653" s="11">
        <v>715.92</v>
      </c>
      <c r="N653" s="13">
        <v>0</v>
      </c>
      <c r="O653" s="11">
        <v>0</v>
      </c>
      <c r="P653" s="11">
        <v>0</v>
      </c>
      <c r="Q653" s="11">
        <v>0</v>
      </c>
      <c r="R653" s="11">
        <v>0</v>
      </c>
      <c r="S653" s="14">
        <v>0</v>
      </c>
      <c r="T653" s="11">
        <v>715.92</v>
      </c>
      <c r="U653" s="13" cm="1">
        <f t="array" ref="U653">IF(Table8[[#This Row],[I_0]]&lt;Table24[Flitro de Ruido],1,Table8[[#This Row],[I_10]]/Table8[[#This Row],[I_0]])</f>
        <v>1</v>
      </c>
      <c r="V653" s="13" cm="1">
        <f t="array" ref="V653">IF(Table8[[#This Row],[I_0]]&lt;Table24[Flitro de Ruido],1,Table8[[#This Row],[I_20]]/Table8[[#This Row],[I_0]])</f>
        <v>1</v>
      </c>
      <c r="W653" s="13" cm="1">
        <f t="array" ref="W653">IF(Table8[[#This Row],[I_0]]&lt;Table24[Flitro de Ruido],1,Table8[[#This Row],[I_30]]/Table8[[#This Row],[I_0]])</f>
        <v>1</v>
      </c>
      <c r="X653" s="13" cm="1">
        <f t="array" ref="X653">IF(Table8[[#This Row],[I_0]]&lt;Table24[Flitro de Ruido],1,Table8[[#This Row],[I_40]]/Table8[[#This Row],[I_0]])</f>
        <v>1</v>
      </c>
      <c r="Y653" s="13" cm="1">
        <f t="array" ref="Y653">IF(Table8[[#This Row],[I_0]]&lt;Table24[Flitro de Ruido],1,Table8[[#This Row],[I_50]]/Table8[[#This Row],[I_0]])</f>
        <v>1</v>
      </c>
    </row>
    <row r="654" spans="1:25" x14ac:dyDescent="0.3">
      <c r="A654" s="13">
        <v>716.91</v>
      </c>
      <c r="B654" s="12">
        <v>0</v>
      </c>
      <c r="C654" s="11">
        <v>716.91</v>
      </c>
      <c r="D654" s="12">
        <v>0</v>
      </c>
      <c r="E654" s="11">
        <v>716.91</v>
      </c>
      <c r="F654" s="12">
        <v>0</v>
      </c>
      <c r="G654" s="11">
        <v>716.91</v>
      </c>
      <c r="H654" s="12">
        <v>0</v>
      </c>
      <c r="I654" s="11">
        <v>716.91</v>
      </c>
      <c r="J654" s="12">
        <v>0</v>
      </c>
      <c r="K654" s="11">
        <v>716.91</v>
      </c>
      <c r="L654" s="12">
        <v>0</v>
      </c>
      <c r="M654" s="11">
        <v>716.91</v>
      </c>
      <c r="N654" s="13">
        <v>0</v>
      </c>
      <c r="O654" s="11">
        <v>0</v>
      </c>
      <c r="P654" s="11">
        <v>0</v>
      </c>
      <c r="Q654" s="11">
        <v>0</v>
      </c>
      <c r="R654" s="11">
        <v>0</v>
      </c>
      <c r="S654" s="14">
        <v>0</v>
      </c>
      <c r="T654" s="11">
        <v>716.91</v>
      </c>
      <c r="U654" s="13" cm="1">
        <f t="array" ref="U654">IF(Table8[[#This Row],[I_0]]&lt;Table24[Flitro de Ruido],1,Table8[[#This Row],[I_10]]/Table8[[#This Row],[I_0]])</f>
        <v>1</v>
      </c>
      <c r="V654" s="13" cm="1">
        <f t="array" ref="V654">IF(Table8[[#This Row],[I_0]]&lt;Table24[Flitro de Ruido],1,Table8[[#This Row],[I_20]]/Table8[[#This Row],[I_0]])</f>
        <v>1</v>
      </c>
      <c r="W654" s="13" cm="1">
        <f t="array" ref="W654">IF(Table8[[#This Row],[I_0]]&lt;Table24[Flitro de Ruido],1,Table8[[#This Row],[I_30]]/Table8[[#This Row],[I_0]])</f>
        <v>1</v>
      </c>
      <c r="X654" s="13" cm="1">
        <f t="array" ref="X654">IF(Table8[[#This Row],[I_0]]&lt;Table24[Flitro de Ruido],1,Table8[[#This Row],[I_40]]/Table8[[#This Row],[I_0]])</f>
        <v>1</v>
      </c>
      <c r="Y654" s="13" cm="1">
        <f t="array" ref="Y654">IF(Table8[[#This Row],[I_0]]&lt;Table24[Flitro de Ruido],1,Table8[[#This Row],[I_50]]/Table8[[#This Row],[I_0]])</f>
        <v>1</v>
      </c>
    </row>
    <row r="655" spans="1:25" x14ac:dyDescent="0.3">
      <c r="A655" s="13">
        <v>717.9</v>
      </c>
      <c r="B655" s="12">
        <v>0</v>
      </c>
      <c r="C655" s="11">
        <v>717.9</v>
      </c>
      <c r="D655" s="12">
        <v>0</v>
      </c>
      <c r="E655" s="11">
        <v>717.9</v>
      </c>
      <c r="F655" s="12">
        <v>0</v>
      </c>
      <c r="G655" s="11">
        <v>717.9</v>
      </c>
      <c r="H655" s="12">
        <v>0</v>
      </c>
      <c r="I655" s="11">
        <v>717.9</v>
      </c>
      <c r="J655" s="12">
        <v>0</v>
      </c>
      <c r="K655" s="11">
        <v>717.9</v>
      </c>
      <c r="L655" s="12">
        <v>0</v>
      </c>
      <c r="M655" s="11">
        <v>717.9</v>
      </c>
      <c r="N655" s="13">
        <v>0</v>
      </c>
      <c r="O655" s="11">
        <v>0</v>
      </c>
      <c r="P655" s="11">
        <v>0</v>
      </c>
      <c r="Q655" s="11">
        <v>0</v>
      </c>
      <c r="R655" s="11">
        <v>0</v>
      </c>
      <c r="S655" s="14">
        <v>0</v>
      </c>
      <c r="T655" s="11">
        <v>717.9</v>
      </c>
      <c r="U655" s="13" cm="1">
        <f t="array" ref="U655">IF(Table8[[#This Row],[I_0]]&lt;Table24[Flitro de Ruido],1,Table8[[#This Row],[I_10]]/Table8[[#This Row],[I_0]])</f>
        <v>1</v>
      </c>
      <c r="V655" s="13" cm="1">
        <f t="array" ref="V655">IF(Table8[[#This Row],[I_0]]&lt;Table24[Flitro de Ruido],1,Table8[[#This Row],[I_20]]/Table8[[#This Row],[I_0]])</f>
        <v>1</v>
      </c>
      <c r="W655" s="13" cm="1">
        <f t="array" ref="W655">IF(Table8[[#This Row],[I_0]]&lt;Table24[Flitro de Ruido],1,Table8[[#This Row],[I_30]]/Table8[[#This Row],[I_0]])</f>
        <v>1</v>
      </c>
      <c r="X655" s="13" cm="1">
        <f t="array" ref="X655">IF(Table8[[#This Row],[I_0]]&lt;Table24[Flitro de Ruido],1,Table8[[#This Row],[I_40]]/Table8[[#This Row],[I_0]])</f>
        <v>1</v>
      </c>
      <c r="Y655" s="13" cm="1">
        <f t="array" ref="Y655">IF(Table8[[#This Row],[I_0]]&lt;Table24[Flitro de Ruido],1,Table8[[#This Row],[I_50]]/Table8[[#This Row],[I_0]])</f>
        <v>1</v>
      </c>
    </row>
    <row r="656" spans="1:25" x14ac:dyDescent="0.3">
      <c r="A656" s="13">
        <v>718.89</v>
      </c>
      <c r="B656" s="12">
        <v>0</v>
      </c>
      <c r="C656" s="11">
        <v>718.89</v>
      </c>
      <c r="D656" s="12">
        <v>0</v>
      </c>
      <c r="E656" s="11">
        <v>718.89</v>
      </c>
      <c r="F656" s="12">
        <v>0</v>
      </c>
      <c r="G656" s="11">
        <v>718.89</v>
      </c>
      <c r="H656" s="12">
        <v>0</v>
      </c>
      <c r="I656" s="11">
        <v>718.89</v>
      </c>
      <c r="J656" s="12">
        <v>0</v>
      </c>
      <c r="K656" s="11">
        <v>718.89</v>
      </c>
      <c r="L656" s="12">
        <v>0</v>
      </c>
      <c r="M656" s="11">
        <v>718.89</v>
      </c>
      <c r="N656" s="13">
        <v>0</v>
      </c>
      <c r="O656" s="11">
        <v>0</v>
      </c>
      <c r="P656" s="11">
        <v>0</v>
      </c>
      <c r="Q656" s="11">
        <v>0</v>
      </c>
      <c r="R656" s="11">
        <v>0</v>
      </c>
      <c r="S656" s="14">
        <v>0</v>
      </c>
      <c r="T656" s="11">
        <v>718.89</v>
      </c>
      <c r="U656" s="13" cm="1">
        <f t="array" ref="U656">IF(Table8[[#This Row],[I_0]]&lt;Table24[Flitro de Ruido],1,Table8[[#This Row],[I_10]]/Table8[[#This Row],[I_0]])</f>
        <v>1</v>
      </c>
      <c r="V656" s="13" cm="1">
        <f t="array" ref="V656">IF(Table8[[#This Row],[I_0]]&lt;Table24[Flitro de Ruido],1,Table8[[#This Row],[I_20]]/Table8[[#This Row],[I_0]])</f>
        <v>1</v>
      </c>
      <c r="W656" s="13" cm="1">
        <f t="array" ref="W656">IF(Table8[[#This Row],[I_0]]&lt;Table24[Flitro de Ruido],1,Table8[[#This Row],[I_30]]/Table8[[#This Row],[I_0]])</f>
        <v>1</v>
      </c>
      <c r="X656" s="13" cm="1">
        <f t="array" ref="X656">IF(Table8[[#This Row],[I_0]]&lt;Table24[Flitro de Ruido],1,Table8[[#This Row],[I_40]]/Table8[[#This Row],[I_0]])</f>
        <v>1</v>
      </c>
      <c r="Y656" s="13" cm="1">
        <f t="array" ref="Y656">IF(Table8[[#This Row],[I_0]]&lt;Table24[Flitro de Ruido],1,Table8[[#This Row],[I_50]]/Table8[[#This Row],[I_0]])</f>
        <v>1</v>
      </c>
    </row>
    <row r="657" spans="1:25" x14ac:dyDescent="0.3">
      <c r="A657" s="13">
        <v>719.89</v>
      </c>
      <c r="B657" s="12">
        <v>0</v>
      </c>
      <c r="C657" s="11">
        <v>719.89</v>
      </c>
      <c r="D657" s="12">
        <v>0</v>
      </c>
      <c r="E657" s="11">
        <v>719.89</v>
      </c>
      <c r="F657" s="12">
        <v>0</v>
      </c>
      <c r="G657" s="11">
        <v>719.89</v>
      </c>
      <c r="H657" s="12">
        <v>0</v>
      </c>
      <c r="I657" s="11">
        <v>719.89</v>
      </c>
      <c r="J657" s="12">
        <v>0</v>
      </c>
      <c r="K657" s="11">
        <v>719.89</v>
      </c>
      <c r="L657" s="12">
        <v>0</v>
      </c>
      <c r="M657" s="11">
        <v>719.89</v>
      </c>
      <c r="N657" s="13">
        <v>0</v>
      </c>
      <c r="O657" s="11">
        <v>0</v>
      </c>
      <c r="P657" s="11">
        <v>0</v>
      </c>
      <c r="Q657" s="11">
        <v>0</v>
      </c>
      <c r="R657" s="11">
        <v>0</v>
      </c>
      <c r="S657" s="14">
        <v>0</v>
      </c>
      <c r="T657" s="11">
        <v>719.89</v>
      </c>
      <c r="U657" s="13" cm="1">
        <f t="array" ref="U657">IF(Table8[[#This Row],[I_0]]&lt;Table24[Flitro de Ruido],1,Table8[[#This Row],[I_10]]/Table8[[#This Row],[I_0]])</f>
        <v>1</v>
      </c>
      <c r="V657" s="13" cm="1">
        <f t="array" ref="V657">IF(Table8[[#This Row],[I_0]]&lt;Table24[Flitro de Ruido],1,Table8[[#This Row],[I_20]]/Table8[[#This Row],[I_0]])</f>
        <v>1</v>
      </c>
      <c r="W657" s="13" cm="1">
        <f t="array" ref="W657">IF(Table8[[#This Row],[I_0]]&lt;Table24[Flitro de Ruido],1,Table8[[#This Row],[I_30]]/Table8[[#This Row],[I_0]])</f>
        <v>1</v>
      </c>
      <c r="X657" s="13" cm="1">
        <f t="array" ref="X657">IF(Table8[[#This Row],[I_0]]&lt;Table24[Flitro de Ruido],1,Table8[[#This Row],[I_40]]/Table8[[#This Row],[I_0]])</f>
        <v>1</v>
      </c>
      <c r="Y657" s="13" cm="1">
        <f t="array" ref="Y657">IF(Table8[[#This Row],[I_0]]&lt;Table24[Flitro de Ruido],1,Table8[[#This Row],[I_50]]/Table8[[#This Row],[I_0]])</f>
        <v>1</v>
      </c>
    </row>
    <row r="658" spans="1:25" x14ac:dyDescent="0.3">
      <c r="A658" s="13">
        <v>720.88</v>
      </c>
      <c r="B658" s="12">
        <v>0</v>
      </c>
      <c r="C658" s="11">
        <v>720.88</v>
      </c>
      <c r="D658" s="12">
        <v>0</v>
      </c>
      <c r="E658" s="11">
        <v>720.88</v>
      </c>
      <c r="F658" s="12">
        <v>0</v>
      </c>
      <c r="G658" s="11">
        <v>720.88</v>
      </c>
      <c r="H658" s="12">
        <v>0</v>
      </c>
      <c r="I658" s="11">
        <v>720.88</v>
      </c>
      <c r="J658" s="12">
        <v>0</v>
      </c>
      <c r="K658" s="11">
        <v>720.88</v>
      </c>
      <c r="L658" s="12">
        <v>0</v>
      </c>
      <c r="M658" s="11">
        <v>720.88</v>
      </c>
      <c r="N658" s="13">
        <v>0</v>
      </c>
      <c r="O658" s="11">
        <v>0</v>
      </c>
      <c r="P658" s="11">
        <v>0</v>
      </c>
      <c r="Q658" s="11">
        <v>0</v>
      </c>
      <c r="R658" s="11">
        <v>0</v>
      </c>
      <c r="S658" s="14">
        <v>0</v>
      </c>
      <c r="T658" s="11">
        <v>720.88</v>
      </c>
      <c r="U658" s="13" cm="1">
        <f t="array" ref="U658">IF(Table8[[#This Row],[I_0]]&lt;Table24[Flitro de Ruido],1,Table8[[#This Row],[I_10]]/Table8[[#This Row],[I_0]])</f>
        <v>1</v>
      </c>
      <c r="V658" s="13" cm="1">
        <f t="array" ref="V658">IF(Table8[[#This Row],[I_0]]&lt;Table24[Flitro de Ruido],1,Table8[[#This Row],[I_20]]/Table8[[#This Row],[I_0]])</f>
        <v>1</v>
      </c>
      <c r="W658" s="13" cm="1">
        <f t="array" ref="W658">IF(Table8[[#This Row],[I_0]]&lt;Table24[Flitro de Ruido],1,Table8[[#This Row],[I_30]]/Table8[[#This Row],[I_0]])</f>
        <v>1</v>
      </c>
      <c r="X658" s="13" cm="1">
        <f t="array" ref="X658">IF(Table8[[#This Row],[I_0]]&lt;Table24[Flitro de Ruido],1,Table8[[#This Row],[I_40]]/Table8[[#This Row],[I_0]])</f>
        <v>1</v>
      </c>
      <c r="Y658" s="13" cm="1">
        <f t="array" ref="Y658">IF(Table8[[#This Row],[I_0]]&lt;Table24[Flitro de Ruido],1,Table8[[#This Row],[I_50]]/Table8[[#This Row],[I_0]])</f>
        <v>1</v>
      </c>
    </row>
    <row r="659" spans="1:25" x14ac:dyDescent="0.3">
      <c r="A659" s="13">
        <v>721.87</v>
      </c>
      <c r="B659" s="12">
        <v>0</v>
      </c>
      <c r="C659" s="11">
        <v>721.87</v>
      </c>
      <c r="D659" s="12">
        <v>0</v>
      </c>
      <c r="E659" s="11">
        <v>721.87</v>
      </c>
      <c r="F659" s="12">
        <v>0</v>
      </c>
      <c r="G659" s="11">
        <v>721.87</v>
      </c>
      <c r="H659" s="12">
        <v>0</v>
      </c>
      <c r="I659" s="11">
        <v>721.87</v>
      </c>
      <c r="J659" s="12">
        <v>0</v>
      </c>
      <c r="K659" s="11">
        <v>721.87</v>
      </c>
      <c r="L659" s="12">
        <v>0</v>
      </c>
      <c r="M659" s="11">
        <v>721.87</v>
      </c>
      <c r="N659" s="13">
        <v>0</v>
      </c>
      <c r="O659" s="11">
        <v>0</v>
      </c>
      <c r="P659" s="11">
        <v>0</v>
      </c>
      <c r="Q659" s="11">
        <v>0</v>
      </c>
      <c r="R659" s="11">
        <v>0</v>
      </c>
      <c r="S659" s="14">
        <v>0</v>
      </c>
      <c r="T659" s="11">
        <v>721.87</v>
      </c>
      <c r="U659" s="13" cm="1">
        <f t="array" ref="U659">IF(Table8[[#This Row],[I_0]]&lt;Table24[Flitro de Ruido],1,Table8[[#This Row],[I_10]]/Table8[[#This Row],[I_0]])</f>
        <v>1</v>
      </c>
      <c r="V659" s="13" cm="1">
        <f t="array" ref="V659">IF(Table8[[#This Row],[I_0]]&lt;Table24[Flitro de Ruido],1,Table8[[#This Row],[I_20]]/Table8[[#This Row],[I_0]])</f>
        <v>1</v>
      </c>
      <c r="W659" s="13" cm="1">
        <f t="array" ref="W659">IF(Table8[[#This Row],[I_0]]&lt;Table24[Flitro de Ruido],1,Table8[[#This Row],[I_30]]/Table8[[#This Row],[I_0]])</f>
        <v>1</v>
      </c>
      <c r="X659" s="13" cm="1">
        <f t="array" ref="X659">IF(Table8[[#This Row],[I_0]]&lt;Table24[Flitro de Ruido],1,Table8[[#This Row],[I_40]]/Table8[[#This Row],[I_0]])</f>
        <v>1</v>
      </c>
      <c r="Y659" s="13" cm="1">
        <f t="array" ref="Y659">IF(Table8[[#This Row],[I_0]]&lt;Table24[Flitro de Ruido],1,Table8[[#This Row],[I_50]]/Table8[[#This Row],[I_0]])</f>
        <v>1</v>
      </c>
    </row>
    <row r="660" spans="1:25" x14ac:dyDescent="0.3">
      <c r="A660" s="13">
        <v>722.86</v>
      </c>
      <c r="B660" s="12">
        <v>0</v>
      </c>
      <c r="C660" s="11">
        <v>722.86</v>
      </c>
      <c r="D660" s="12">
        <v>0</v>
      </c>
      <c r="E660" s="11">
        <v>722.86</v>
      </c>
      <c r="F660" s="12">
        <v>0</v>
      </c>
      <c r="G660" s="11">
        <v>722.86</v>
      </c>
      <c r="H660" s="12">
        <v>0</v>
      </c>
      <c r="I660" s="11">
        <v>722.86</v>
      </c>
      <c r="J660" s="12">
        <v>0</v>
      </c>
      <c r="K660" s="11">
        <v>722.86</v>
      </c>
      <c r="L660" s="12">
        <v>0</v>
      </c>
      <c r="M660" s="11">
        <v>722.86</v>
      </c>
      <c r="N660" s="13">
        <v>0</v>
      </c>
      <c r="O660" s="11">
        <v>0</v>
      </c>
      <c r="P660" s="11">
        <v>0</v>
      </c>
      <c r="Q660" s="11">
        <v>0</v>
      </c>
      <c r="R660" s="11">
        <v>0</v>
      </c>
      <c r="S660" s="14">
        <v>0</v>
      </c>
      <c r="T660" s="11">
        <v>722.86</v>
      </c>
      <c r="U660" s="13" cm="1">
        <f t="array" ref="U660">IF(Table8[[#This Row],[I_0]]&lt;Table24[Flitro de Ruido],1,Table8[[#This Row],[I_10]]/Table8[[#This Row],[I_0]])</f>
        <v>1</v>
      </c>
      <c r="V660" s="13" cm="1">
        <f t="array" ref="V660">IF(Table8[[#This Row],[I_0]]&lt;Table24[Flitro de Ruido],1,Table8[[#This Row],[I_20]]/Table8[[#This Row],[I_0]])</f>
        <v>1</v>
      </c>
      <c r="W660" s="13" cm="1">
        <f t="array" ref="W660">IF(Table8[[#This Row],[I_0]]&lt;Table24[Flitro de Ruido],1,Table8[[#This Row],[I_30]]/Table8[[#This Row],[I_0]])</f>
        <v>1</v>
      </c>
      <c r="X660" s="13" cm="1">
        <f t="array" ref="X660">IF(Table8[[#This Row],[I_0]]&lt;Table24[Flitro de Ruido],1,Table8[[#This Row],[I_40]]/Table8[[#This Row],[I_0]])</f>
        <v>1</v>
      </c>
      <c r="Y660" s="13" cm="1">
        <f t="array" ref="Y660">IF(Table8[[#This Row],[I_0]]&lt;Table24[Flitro de Ruido],1,Table8[[#This Row],[I_50]]/Table8[[#This Row],[I_0]])</f>
        <v>1</v>
      </c>
    </row>
    <row r="661" spans="1:25" x14ac:dyDescent="0.3">
      <c r="A661" s="13">
        <v>723.85</v>
      </c>
      <c r="B661" s="12">
        <v>0</v>
      </c>
      <c r="C661" s="11">
        <v>723.85</v>
      </c>
      <c r="D661" s="12">
        <v>0</v>
      </c>
      <c r="E661" s="11">
        <v>723.85</v>
      </c>
      <c r="F661" s="12">
        <v>0</v>
      </c>
      <c r="G661" s="11">
        <v>723.85</v>
      </c>
      <c r="H661" s="12">
        <v>0</v>
      </c>
      <c r="I661" s="11">
        <v>723.85</v>
      </c>
      <c r="J661" s="12">
        <v>0</v>
      </c>
      <c r="K661" s="11">
        <v>723.85</v>
      </c>
      <c r="L661" s="12">
        <v>0</v>
      </c>
      <c r="M661" s="11">
        <v>723.85</v>
      </c>
      <c r="N661" s="13">
        <v>0</v>
      </c>
      <c r="O661" s="11">
        <v>0</v>
      </c>
      <c r="P661" s="11">
        <v>0</v>
      </c>
      <c r="Q661" s="11">
        <v>0</v>
      </c>
      <c r="R661" s="11">
        <v>0</v>
      </c>
      <c r="S661" s="14">
        <v>0</v>
      </c>
      <c r="T661" s="11">
        <v>723.85</v>
      </c>
      <c r="U661" s="13" cm="1">
        <f t="array" ref="U661">IF(Table8[[#This Row],[I_0]]&lt;Table24[Flitro de Ruido],1,Table8[[#This Row],[I_10]]/Table8[[#This Row],[I_0]])</f>
        <v>1</v>
      </c>
      <c r="V661" s="13" cm="1">
        <f t="array" ref="V661">IF(Table8[[#This Row],[I_0]]&lt;Table24[Flitro de Ruido],1,Table8[[#This Row],[I_20]]/Table8[[#This Row],[I_0]])</f>
        <v>1</v>
      </c>
      <c r="W661" s="13" cm="1">
        <f t="array" ref="W661">IF(Table8[[#This Row],[I_0]]&lt;Table24[Flitro de Ruido],1,Table8[[#This Row],[I_30]]/Table8[[#This Row],[I_0]])</f>
        <v>1</v>
      </c>
      <c r="X661" s="13" cm="1">
        <f t="array" ref="X661">IF(Table8[[#This Row],[I_0]]&lt;Table24[Flitro de Ruido],1,Table8[[#This Row],[I_40]]/Table8[[#This Row],[I_0]])</f>
        <v>1</v>
      </c>
      <c r="Y661" s="13" cm="1">
        <f t="array" ref="Y661">IF(Table8[[#This Row],[I_0]]&lt;Table24[Flitro de Ruido],1,Table8[[#This Row],[I_50]]/Table8[[#This Row],[I_0]])</f>
        <v>1</v>
      </c>
    </row>
    <row r="662" spans="1:25" x14ac:dyDescent="0.3">
      <c r="A662" s="13">
        <v>724.85</v>
      </c>
      <c r="B662" s="12">
        <v>0</v>
      </c>
      <c r="C662" s="11">
        <v>724.85</v>
      </c>
      <c r="D662" s="12">
        <v>0</v>
      </c>
      <c r="E662" s="11">
        <v>724.85</v>
      </c>
      <c r="F662" s="12">
        <v>0</v>
      </c>
      <c r="G662" s="11">
        <v>724.85</v>
      </c>
      <c r="H662" s="12">
        <v>0</v>
      </c>
      <c r="I662" s="11">
        <v>724.85</v>
      </c>
      <c r="J662" s="12">
        <v>0</v>
      </c>
      <c r="K662" s="11">
        <v>724.85</v>
      </c>
      <c r="L662" s="12">
        <v>0</v>
      </c>
      <c r="M662" s="11">
        <v>724.85</v>
      </c>
      <c r="N662" s="13">
        <v>0</v>
      </c>
      <c r="O662" s="11">
        <v>0</v>
      </c>
      <c r="P662" s="11">
        <v>0</v>
      </c>
      <c r="Q662" s="11">
        <v>0</v>
      </c>
      <c r="R662" s="11">
        <v>0</v>
      </c>
      <c r="S662" s="14">
        <v>0</v>
      </c>
      <c r="T662" s="11">
        <v>724.85</v>
      </c>
      <c r="U662" s="13" cm="1">
        <f t="array" ref="U662">IF(Table8[[#This Row],[I_0]]&lt;Table24[Flitro de Ruido],1,Table8[[#This Row],[I_10]]/Table8[[#This Row],[I_0]])</f>
        <v>1</v>
      </c>
      <c r="V662" s="13" cm="1">
        <f t="array" ref="V662">IF(Table8[[#This Row],[I_0]]&lt;Table24[Flitro de Ruido],1,Table8[[#This Row],[I_20]]/Table8[[#This Row],[I_0]])</f>
        <v>1</v>
      </c>
      <c r="W662" s="13" cm="1">
        <f t="array" ref="W662">IF(Table8[[#This Row],[I_0]]&lt;Table24[Flitro de Ruido],1,Table8[[#This Row],[I_30]]/Table8[[#This Row],[I_0]])</f>
        <v>1</v>
      </c>
      <c r="X662" s="13" cm="1">
        <f t="array" ref="X662">IF(Table8[[#This Row],[I_0]]&lt;Table24[Flitro de Ruido],1,Table8[[#This Row],[I_40]]/Table8[[#This Row],[I_0]])</f>
        <v>1</v>
      </c>
      <c r="Y662" s="13" cm="1">
        <f t="array" ref="Y662">IF(Table8[[#This Row],[I_0]]&lt;Table24[Flitro de Ruido],1,Table8[[#This Row],[I_50]]/Table8[[#This Row],[I_0]])</f>
        <v>1</v>
      </c>
    </row>
    <row r="663" spans="1:25" x14ac:dyDescent="0.3">
      <c r="A663" s="13">
        <v>725.84</v>
      </c>
      <c r="B663" s="12">
        <v>0</v>
      </c>
      <c r="C663" s="11">
        <v>725.84</v>
      </c>
      <c r="D663" s="12">
        <v>0</v>
      </c>
      <c r="E663" s="11">
        <v>725.84</v>
      </c>
      <c r="F663" s="12">
        <v>0</v>
      </c>
      <c r="G663" s="11">
        <v>725.84</v>
      </c>
      <c r="H663" s="12">
        <v>0</v>
      </c>
      <c r="I663" s="11">
        <v>725.84</v>
      </c>
      <c r="J663" s="12">
        <v>0</v>
      </c>
      <c r="K663" s="11">
        <v>725.84</v>
      </c>
      <c r="L663" s="12">
        <v>0</v>
      </c>
      <c r="M663" s="11">
        <v>725.84</v>
      </c>
      <c r="N663" s="13">
        <v>0</v>
      </c>
      <c r="O663" s="11">
        <v>0</v>
      </c>
      <c r="P663" s="11">
        <v>0</v>
      </c>
      <c r="Q663" s="11">
        <v>0</v>
      </c>
      <c r="R663" s="11">
        <v>0</v>
      </c>
      <c r="S663" s="14">
        <v>0</v>
      </c>
      <c r="T663" s="11">
        <v>725.84</v>
      </c>
      <c r="U663" s="13" cm="1">
        <f t="array" ref="U663">IF(Table8[[#This Row],[I_0]]&lt;Table24[Flitro de Ruido],1,Table8[[#This Row],[I_10]]/Table8[[#This Row],[I_0]])</f>
        <v>1</v>
      </c>
      <c r="V663" s="13" cm="1">
        <f t="array" ref="V663">IF(Table8[[#This Row],[I_0]]&lt;Table24[Flitro de Ruido],1,Table8[[#This Row],[I_20]]/Table8[[#This Row],[I_0]])</f>
        <v>1</v>
      </c>
      <c r="W663" s="13" cm="1">
        <f t="array" ref="W663">IF(Table8[[#This Row],[I_0]]&lt;Table24[Flitro de Ruido],1,Table8[[#This Row],[I_30]]/Table8[[#This Row],[I_0]])</f>
        <v>1</v>
      </c>
      <c r="X663" s="13" cm="1">
        <f t="array" ref="X663">IF(Table8[[#This Row],[I_0]]&lt;Table24[Flitro de Ruido],1,Table8[[#This Row],[I_40]]/Table8[[#This Row],[I_0]])</f>
        <v>1</v>
      </c>
      <c r="Y663" s="13" cm="1">
        <f t="array" ref="Y663">IF(Table8[[#This Row],[I_0]]&lt;Table24[Flitro de Ruido],1,Table8[[#This Row],[I_50]]/Table8[[#This Row],[I_0]])</f>
        <v>1</v>
      </c>
    </row>
    <row r="664" spans="1:25" x14ac:dyDescent="0.3">
      <c r="A664" s="13">
        <v>726.83</v>
      </c>
      <c r="B664" s="12">
        <v>0</v>
      </c>
      <c r="C664" s="11">
        <v>726.83</v>
      </c>
      <c r="D664" s="12">
        <v>0</v>
      </c>
      <c r="E664" s="11">
        <v>726.83</v>
      </c>
      <c r="F664" s="12">
        <v>0</v>
      </c>
      <c r="G664" s="11">
        <v>726.83</v>
      </c>
      <c r="H664" s="12">
        <v>0</v>
      </c>
      <c r="I664" s="11">
        <v>726.83</v>
      </c>
      <c r="J664" s="12">
        <v>0</v>
      </c>
      <c r="K664" s="11">
        <v>726.83</v>
      </c>
      <c r="L664" s="12">
        <v>0</v>
      </c>
      <c r="M664" s="11">
        <v>726.83</v>
      </c>
      <c r="N664" s="13">
        <v>0</v>
      </c>
      <c r="O664" s="11">
        <v>0</v>
      </c>
      <c r="P664" s="11">
        <v>0</v>
      </c>
      <c r="Q664" s="11">
        <v>0</v>
      </c>
      <c r="R664" s="11">
        <v>0</v>
      </c>
      <c r="S664" s="14">
        <v>0</v>
      </c>
      <c r="T664" s="11">
        <v>726.83</v>
      </c>
      <c r="U664" s="13" cm="1">
        <f t="array" ref="U664">IF(Table8[[#This Row],[I_0]]&lt;Table24[Flitro de Ruido],1,Table8[[#This Row],[I_10]]/Table8[[#This Row],[I_0]])</f>
        <v>1</v>
      </c>
      <c r="V664" s="13" cm="1">
        <f t="array" ref="V664">IF(Table8[[#This Row],[I_0]]&lt;Table24[Flitro de Ruido],1,Table8[[#This Row],[I_20]]/Table8[[#This Row],[I_0]])</f>
        <v>1</v>
      </c>
      <c r="W664" s="13" cm="1">
        <f t="array" ref="W664">IF(Table8[[#This Row],[I_0]]&lt;Table24[Flitro de Ruido],1,Table8[[#This Row],[I_30]]/Table8[[#This Row],[I_0]])</f>
        <v>1</v>
      </c>
      <c r="X664" s="13" cm="1">
        <f t="array" ref="X664">IF(Table8[[#This Row],[I_0]]&lt;Table24[Flitro de Ruido],1,Table8[[#This Row],[I_40]]/Table8[[#This Row],[I_0]])</f>
        <v>1</v>
      </c>
      <c r="Y664" s="13" cm="1">
        <f t="array" ref="Y664">IF(Table8[[#This Row],[I_0]]&lt;Table24[Flitro de Ruido],1,Table8[[#This Row],[I_50]]/Table8[[#This Row],[I_0]])</f>
        <v>1</v>
      </c>
    </row>
    <row r="665" spans="1:25" x14ac:dyDescent="0.3">
      <c r="A665" s="13">
        <v>727.82</v>
      </c>
      <c r="B665" s="12">
        <v>0</v>
      </c>
      <c r="C665" s="11">
        <v>727.82</v>
      </c>
      <c r="D665" s="12">
        <v>0</v>
      </c>
      <c r="E665" s="11">
        <v>727.82</v>
      </c>
      <c r="F665" s="12">
        <v>0</v>
      </c>
      <c r="G665" s="11">
        <v>727.82</v>
      </c>
      <c r="H665" s="12">
        <v>0</v>
      </c>
      <c r="I665" s="11">
        <v>727.82</v>
      </c>
      <c r="J665" s="12">
        <v>0</v>
      </c>
      <c r="K665" s="11">
        <v>727.82</v>
      </c>
      <c r="L665" s="12">
        <v>0</v>
      </c>
      <c r="M665" s="11">
        <v>727.82</v>
      </c>
      <c r="N665" s="13">
        <v>0</v>
      </c>
      <c r="O665" s="11">
        <v>0</v>
      </c>
      <c r="P665" s="11">
        <v>0</v>
      </c>
      <c r="Q665" s="11">
        <v>0</v>
      </c>
      <c r="R665" s="11">
        <v>0</v>
      </c>
      <c r="S665" s="14">
        <v>0</v>
      </c>
      <c r="T665" s="11">
        <v>727.82</v>
      </c>
      <c r="U665" s="13" cm="1">
        <f t="array" ref="U665">IF(Table8[[#This Row],[I_0]]&lt;Table24[Flitro de Ruido],1,Table8[[#This Row],[I_10]]/Table8[[#This Row],[I_0]])</f>
        <v>1</v>
      </c>
      <c r="V665" s="13" cm="1">
        <f t="array" ref="V665">IF(Table8[[#This Row],[I_0]]&lt;Table24[Flitro de Ruido],1,Table8[[#This Row],[I_20]]/Table8[[#This Row],[I_0]])</f>
        <v>1</v>
      </c>
      <c r="W665" s="13" cm="1">
        <f t="array" ref="W665">IF(Table8[[#This Row],[I_0]]&lt;Table24[Flitro de Ruido],1,Table8[[#This Row],[I_30]]/Table8[[#This Row],[I_0]])</f>
        <v>1</v>
      </c>
      <c r="X665" s="13" cm="1">
        <f t="array" ref="X665">IF(Table8[[#This Row],[I_0]]&lt;Table24[Flitro de Ruido],1,Table8[[#This Row],[I_40]]/Table8[[#This Row],[I_0]])</f>
        <v>1</v>
      </c>
      <c r="Y665" s="13" cm="1">
        <f t="array" ref="Y665">IF(Table8[[#This Row],[I_0]]&lt;Table24[Flitro de Ruido],1,Table8[[#This Row],[I_50]]/Table8[[#This Row],[I_0]])</f>
        <v>1</v>
      </c>
    </row>
    <row r="666" spans="1:25" x14ac:dyDescent="0.3">
      <c r="A666" s="13">
        <v>728.81</v>
      </c>
      <c r="B666" s="12">
        <v>0</v>
      </c>
      <c r="C666" s="11">
        <v>728.81</v>
      </c>
      <c r="D666" s="12">
        <v>0</v>
      </c>
      <c r="E666" s="11">
        <v>728.81</v>
      </c>
      <c r="F666" s="12">
        <v>0</v>
      </c>
      <c r="G666" s="11">
        <v>728.81</v>
      </c>
      <c r="H666" s="12">
        <v>0</v>
      </c>
      <c r="I666" s="11">
        <v>728.81</v>
      </c>
      <c r="J666" s="12">
        <v>0</v>
      </c>
      <c r="K666" s="11">
        <v>728.81</v>
      </c>
      <c r="L666" s="12">
        <v>0</v>
      </c>
      <c r="M666" s="11">
        <v>728.81</v>
      </c>
      <c r="N666" s="13">
        <v>0</v>
      </c>
      <c r="O666" s="11">
        <v>0</v>
      </c>
      <c r="P666" s="11">
        <v>0</v>
      </c>
      <c r="Q666" s="11">
        <v>0</v>
      </c>
      <c r="R666" s="11">
        <v>0</v>
      </c>
      <c r="S666" s="14">
        <v>0</v>
      </c>
      <c r="T666" s="11">
        <v>728.81</v>
      </c>
      <c r="U666" s="13" cm="1">
        <f t="array" ref="U666">IF(Table8[[#This Row],[I_0]]&lt;Table24[Flitro de Ruido],1,Table8[[#This Row],[I_10]]/Table8[[#This Row],[I_0]])</f>
        <v>1</v>
      </c>
      <c r="V666" s="13" cm="1">
        <f t="array" ref="V666">IF(Table8[[#This Row],[I_0]]&lt;Table24[Flitro de Ruido],1,Table8[[#This Row],[I_20]]/Table8[[#This Row],[I_0]])</f>
        <v>1</v>
      </c>
      <c r="W666" s="13" cm="1">
        <f t="array" ref="W666">IF(Table8[[#This Row],[I_0]]&lt;Table24[Flitro de Ruido],1,Table8[[#This Row],[I_30]]/Table8[[#This Row],[I_0]])</f>
        <v>1</v>
      </c>
      <c r="X666" s="13" cm="1">
        <f t="array" ref="X666">IF(Table8[[#This Row],[I_0]]&lt;Table24[Flitro de Ruido],1,Table8[[#This Row],[I_40]]/Table8[[#This Row],[I_0]])</f>
        <v>1</v>
      </c>
      <c r="Y666" s="13" cm="1">
        <f t="array" ref="Y666">IF(Table8[[#This Row],[I_0]]&lt;Table24[Flitro de Ruido],1,Table8[[#This Row],[I_50]]/Table8[[#This Row],[I_0]])</f>
        <v>1</v>
      </c>
    </row>
    <row r="667" spans="1:25" x14ac:dyDescent="0.3">
      <c r="A667" s="13">
        <v>729.8</v>
      </c>
      <c r="B667" s="12">
        <v>0</v>
      </c>
      <c r="C667" s="11">
        <v>729.8</v>
      </c>
      <c r="D667" s="12">
        <v>0</v>
      </c>
      <c r="E667" s="11">
        <v>729.8</v>
      </c>
      <c r="F667" s="12">
        <v>0</v>
      </c>
      <c r="G667" s="11">
        <v>729.8</v>
      </c>
      <c r="H667" s="12">
        <v>0</v>
      </c>
      <c r="I667" s="11">
        <v>729.8</v>
      </c>
      <c r="J667" s="12">
        <v>0</v>
      </c>
      <c r="K667" s="11">
        <v>729.8</v>
      </c>
      <c r="L667" s="12">
        <v>0</v>
      </c>
      <c r="M667" s="11">
        <v>729.8</v>
      </c>
      <c r="N667" s="13">
        <v>0</v>
      </c>
      <c r="O667" s="11">
        <v>0</v>
      </c>
      <c r="P667" s="11">
        <v>0</v>
      </c>
      <c r="Q667" s="11">
        <v>0</v>
      </c>
      <c r="R667" s="11">
        <v>0</v>
      </c>
      <c r="S667" s="14">
        <v>0</v>
      </c>
      <c r="T667" s="11">
        <v>729.8</v>
      </c>
      <c r="U667" s="13" cm="1">
        <f t="array" ref="U667">IF(Table8[[#This Row],[I_0]]&lt;Table24[Flitro de Ruido],1,Table8[[#This Row],[I_10]]/Table8[[#This Row],[I_0]])</f>
        <v>1</v>
      </c>
      <c r="V667" s="13" cm="1">
        <f t="array" ref="V667">IF(Table8[[#This Row],[I_0]]&lt;Table24[Flitro de Ruido],1,Table8[[#This Row],[I_20]]/Table8[[#This Row],[I_0]])</f>
        <v>1</v>
      </c>
      <c r="W667" s="13" cm="1">
        <f t="array" ref="W667">IF(Table8[[#This Row],[I_0]]&lt;Table24[Flitro de Ruido],1,Table8[[#This Row],[I_30]]/Table8[[#This Row],[I_0]])</f>
        <v>1</v>
      </c>
      <c r="X667" s="13" cm="1">
        <f t="array" ref="X667">IF(Table8[[#This Row],[I_0]]&lt;Table24[Flitro de Ruido],1,Table8[[#This Row],[I_40]]/Table8[[#This Row],[I_0]])</f>
        <v>1</v>
      </c>
      <c r="Y667" s="13" cm="1">
        <f t="array" ref="Y667">IF(Table8[[#This Row],[I_0]]&lt;Table24[Flitro de Ruido],1,Table8[[#This Row],[I_50]]/Table8[[#This Row],[I_0]])</f>
        <v>1</v>
      </c>
    </row>
    <row r="668" spans="1:25" x14ac:dyDescent="0.3">
      <c r="A668" s="13">
        <v>730.8</v>
      </c>
      <c r="B668" s="12">
        <v>0</v>
      </c>
      <c r="C668" s="11">
        <v>730.8</v>
      </c>
      <c r="D668" s="12">
        <v>0</v>
      </c>
      <c r="E668" s="11">
        <v>730.8</v>
      </c>
      <c r="F668" s="12">
        <v>0</v>
      </c>
      <c r="G668" s="11">
        <v>730.8</v>
      </c>
      <c r="H668" s="12">
        <v>0</v>
      </c>
      <c r="I668" s="11">
        <v>730.8</v>
      </c>
      <c r="J668" s="12">
        <v>0</v>
      </c>
      <c r="K668" s="11">
        <v>730.8</v>
      </c>
      <c r="L668" s="12">
        <v>0</v>
      </c>
      <c r="M668" s="11">
        <v>730.8</v>
      </c>
      <c r="N668" s="13">
        <v>0</v>
      </c>
      <c r="O668" s="11">
        <v>0</v>
      </c>
      <c r="P668" s="11">
        <v>0</v>
      </c>
      <c r="Q668" s="11">
        <v>0</v>
      </c>
      <c r="R668" s="11">
        <v>0</v>
      </c>
      <c r="S668" s="14">
        <v>0</v>
      </c>
      <c r="T668" s="11">
        <v>730.8</v>
      </c>
      <c r="U668" s="13" cm="1">
        <f t="array" ref="U668">IF(Table8[[#This Row],[I_0]]&lt;Table24[Flitro de Ruido],1,Table8[[#This Row],[I_10]]/Table8[[#This Row],[I_0]])</f>
        <v>1</v>
      </c>
      <c r="V668" s="13" cm="1">
        <f t="array" ref="V668">IF(Table8[[#This Row],[I_0]]&lt;Table24[Flitro de Ruido],1,Table8[[#This Row],[I_20]]/Table8[[#This Row],[I_0]])</f>
        <v>1</v>
      </c>
      <c r="W668" s="13" cm="1">
        <f t="array" ref="W668">IF(Table8[[#This Row],[I_0]]&lt;Table24[Flitro de Ruido],1,Table8[[#This Row],[I_30]]/Table8[[#This Row],[I_0]])</f>
        <v>1</v>
      </c>
      <c r="X668" s="13" cm="1">
        <f t="array" ref="X668">IF(Table8[[#This Row],[I_0]]&lt;Table24[Flitro de Ruido],1,Table8[[#This Row],[I_40]]/Table8[[#This Row],[I_0]])</f>
        <v>1</v>
      </c>
      <c r="Y668" s="13" cm="1">
        <f t="array" ref="Y668">IF(Table8[[#This Row],[I_0]]&lt;Table24[Flitro de Ruido],1,Table8[[#This Row],[I_50]]/Table8[[#This Row],[I_0]])</f>
        <v>1</v>
      </c>
    </row>
    <row r="669" spans="1:25" x14ac:dyDescent="0.3">
      <c r="A669" s="13">
        <v>731.79</v>
      </c>
      <c r="B669" s="12">
        <v>0</v>
      </c>
      <c r="C669" s="11">
        <v>731.79</v>
      </c>
      <c r="D669" s="12">
        <v>0</v>
      </c>
      <c r="E669" s="11">
        <v>731.79</v>
      </c>
      <c r="F669" s="12">
        <v>0</v>
      </c>
      <c r="G669" s="11">
        <v>731.79</v>
      </c>
      <c r="H669" s="12">
        <v>0</v>
      </c>
      <c r="I669" s="11">
        <v>731.79</v>
      </c>
      <c r="J669" s="12">
        <v>0</v>
      </c>
      <c r="K669" s="11">
        <v>731.79</v>
      </c>
      <c r="L669" s="12">
        <v>0</v>
      </c>
      <c r="M669" s="11">
        <v>731.79</v>
      </c>
      <c r="N669" s="13">
        <v>0</v>
      </c>
      <c r="O669" s="11">
        <v>0</v>
      </c>
      <c r="P669" s="11">
        <v>0</v>
      </c>
      <c r="Q669" s="11">
        <v>0</v>
      </c>
      <c r="R669" s="11">
        <v>0</v>
      </c>
      <c r="S669" s="14">
        <v>0</v>
      </c>
      <c r="T669" s="11">
        <v>731.79</v>
      </c>
      <c r="U669" s="13" cm="1">
        <f t="array" ref="U669">IF(Table8[[#This Row],[I_0]]&lt;Table24[Flitro de Ruido],1,Table8[[#This Row],[I_10]]/Table8[[#This Row],[I_0]])</f>
        <v>1</v>
      </c>
      <c r="V669" s="13" cm="1">
        <f t="array" ref="V669">IF(Table8[[#This Row],[I_0]]&lt;Table24[Flitro de Ruido],1,Table8[[#This Row],[I_20]]/Table8[[#This Row],[I_0]])</f>
        <v>1</v>
      </c>
      <c r="W669" s="13" cm="1">
        <f t="array" ref="W669">IF(Table8[[#This Row],[I_0]]&lt;Table24[Flitro de Ruido],1,Table8[[#This Row],[I_30]]/Table8[[#This Row],[I_0]])</f>
        <v>1</v>
      </c>
      <c r="X669" s="13" cm="1">
        <f t="array" ref="X669">IF(Table8[[#This Row],[I_0]]&lt;Table24[Flitro de Ruido],1,Table8[[#This Row],[I_40]]/Table8[[#This Row],[I_0]])</f>
        <v>1</v>
      </c>
      <c r="Y669" s="13" cm="1">
        <f t="array" ref="Y669">IF(Table8[[#This Row],[I_0]]&lt;Table24[Flitro de Ruido],1,Table8[[#This Row],[I_50]]/Table8[[#This Row],[I_0]])</f>
        <v>1</v>
      </c>
    </row>
    <row r="670" spans="1:25" x14ac:dyDescent="0.3">
      <c r="A670" s="13">
        <v>732.78</v>
      </c>
      <c r="B670" s="12">
        <v>0</v>
      </c>
      <c r="C670" s="11">
        <v>732.78</v>
      </c>
      <c r="D670" s="12">
        <v>0</v>
      </c>
      <c r="E670" s="11">
        <v>732.78</v>
      </c>
      <c r="F670" s="12">
        <v>0</v>
      </c>
      <c r="G670" s="11">
        <v>732.78</v>
      </c>
      <c r="H670" s="12">
        <v>0</v>
      </c>
      <c r="I670" s="11">
        <v>732.78</v>
      </c>
      <c r="J670" s="12">
        <v>0</v>
      </c>
      <c r="K670" s="11">
        <v>732.78</v>
      </c>
      <c r="L670" s="12">
        <v>0</v>
      </c>
      <c r="M670" s="11">
        <v>732.78</v>
      </c>
      <c r="N670" s="13">
        <v>0</v>
      </c>
      <c r="O670" s="11">
        <v>0</v>
      </c>
      <c r="P670" s="11">
        <v>0</v>
      </c>
      <c r="Q670" s="11">
        <v>0</v>
      </c>
      <c r="R670" s="11">
        <v>0</v>
      </c>
      <c r="S670" s="14">
        <v>0</v>
      </c>
      <c r="T670" s="11">
        <v>732.78</v>
      </c>
      <c r="U670" s="13" cm="1">
        <f t="array" ref="U670">IF(Table8[[#This Row],[I_0]]&lt;Table24[Flitro de Ruido],1,Table8[[#This Row],[I_10]]/Table8[[#This Row],[I_0]])</f>
        <v>1</v>
      </c>
      <c r="V670" s="13" cm="1">
        <f t="array" ref="V670">IF(Table8[[#This Row],[I_0]]&lt;Table24[Flitro de Ruido],1,Table8[[#This Row],[I_20]]/Table8[[#This Row],[I_0]])</f>
        <v>1</v>
      </c>
      <c r="W670" s="13" cm="1">
        <f t="array" ref="W670">IF(Table8[[#This Row],[I_0]]&lt;Table24[Flitro de Ruido],1,Table8[[#This Row],[I_30]]/Table8[[#This Row],[I_0]])</f>
        <v>1</v>
      </c>
      <c r="X670" s="13" cm="1">
        <f t="array" ref="X670">IF(Table8[[#This Row],[I_0]]&lt;Table24[Flitro de Ruido],1,Table8[[#This Row],[I_40]]/Table8[[#This Row],[I_0]])</f>
        <v>1</v>
      </c>
      <c r="Y670" s="13" cm="1">
        <f t="array" ref="Y670">IF(Table8[[#This Row],[I_0]]&lt;Table24[Flitro de Ruido],1,Table8[[#This Row],[I_50]]/Table8[[#This Row],[I_0]])</f>
        <v>1</v>
      </c>
    </row>
    <row r="671" spans="1:25" x14ac:dyDescent="0.3">
      <c r="A671" s="13">
        <v>733.77</v>
      </c>
      <c r="B671" s="12">
        <v>0</v>
      </c>
      <c r="C671" s="11">
        <v>733.77</v>
      </c>
      <c r="D671" s="12">
        <v>0</v>
      </c>
      <c r="E671" s="11">
        <v>733.77</v>
      </c>
      <c r="F671" s="12">
        <v>0</v>
      </c>
      <c r="G671" s="11">
        <v>733.77</v>
      </c>
      <c r="H671" s="12">
        <v>0</v>
      </c>
      <c r="I671" s="11">
        <v>733.77</v>
      </c>
      <c r="J671" s="12">
        <v>0</v>
      </c>
      <c r="K671" s="11">
        <v>733.77</v>
      </c>
      <c r="L671" s="12">
        <v>0</v>
      </c>
      <c r="M671" s="11">
        <v>733.77</v>
      </c>
      <c r="N671" s="13">
        <v>0</v>
      </c>
      <c r="O671" s="11">
        <v>0</v>
      </c>
      <c r="P671" s="11">
        <v>0</v>
      </c>
      <c r="Q671" s="11">
        <v>0</v>
      </c>
      <c r="R671" s="11">
        <v>0</v>
      </c>
      <c r="S671" s="14">
        <v>0</v>
      </c>
      <c r="T671" s="11">
        <v>733.77</v>
      </c>
      <c r="U671" s="13" cm="1">
        <f t="array" ref="U671">IF(Table8[[#This Row],[I_0]]&lt;Table24[Flitro de Ruido],1,Table8[[#This Row],[I_10]]/Table8[[#This Row],[I_0]])</f>
        <v>1</v>
      </c>
      <c r="V671" s="13" cm="1">
        <f t="array" ref="V671">IF(Table8[[#This Row],[I_0]]&lt;Table24[Flitro de Ruido],1,Table8[[#This Row],[I_20]]/Table8[[#This Row],[I_0]])</f>
        <v>1</v>
      </c>
      <c r="W671" s="13" cm="1">
        <f t="array" ref="W671">IF(Table8[[#This Row],[I_0]]&lt;Table24[Flitro de Ruido],1,Table8[[#This Row],[I_30]]/Table8[[#This Row],[I_0]])</f>
        <v>1</v>
      </c>
      <c r="X671" s="13" cm="1">
        <f t="array" ref="X671">IF(Table8[[#This Row],[I_0]]&lt;Table24[Flitro de Ruido],1,Table8[[#This Row],[I_40]]/Table8[[#This Row],[I_0]])</f>
        <v>1</v>
      </c>
      <c r="Y671" s="13" cm="1">
        <f t="array" ref="Y671">IF(Table8[[#This Row],[I_0]]&lt;Table24[Flitro de Ruido],1,Table8[[#This Row],[I_50]]/Table8[[#This Row],[I_0]])</f>
        <v>1</v>
      </c>
    </row>
    <row r="672" spans="1:25" x14ac:dyDescent="0.3">
      <c r="A672" s="13">
        <v>734.76</v>
      </c>
      <c r="B672" s="12">
        <v>0</v>
      </c>
      <c r="C672" s="11">
        <v>734.76</v>
      </c>
      <c r="D672" s="12">
        <v>0</v>
      </c>
      <c r="E672" s="11">
        <v>734.76</v>
      </c>
      <c r="F672" s="12">
        <v>0</v>
      </c>
      <c r="G672" s="11">
        <v>734.76</v>
      </c>
      <c r="H672" s="12">
        <v>0</v>
      </c>
      <c r="I672" s="11">
        <v>734.76</v>
      </c>
      <c r="J672" s="12">
        <v>0</v>
      </c>
      <c r="K672" s="11">
        <v>734.76</v>
      </c>
      <c r="L672" s="12">
        <v>0</v>
      </c>
      <c r="M672" s="11">
        <v>734.76</v>
      </c>
      <c r="N672" s="13">
        <v>0</v>
      </c>
      <c r="O672" s="11">
        <v>0</v>
      </c>
      <c r="P672" s="11">
        <v>0</v>
      </c>
      <c r="Q672" s="11">
        <v>0</v>
      </c>
      <c r="R672" s="11">
        <v>0</v>
      </c>
      <c r="S672" s="14">
        <v>0</v>
      </c>
      <c r="T672" s="11">
        <v>734.76</v>
      </c>
      <c r="U672" s="13" cm="1">
        <f t="array" ref="U672">IF(Table8[[#This Row],[I_0]]&lt;Table24[Flitro de Ruido],1,Table8[[#This Row],[I_10]]/Table8[[#This Row],[I_0]])</f>
        <v>1</v>
      </c>
      <c r="V672" s="13" cm="1">
        <f t="array" ref="V672">IF(Table8[[#This Row],[I_0]]&lt;Table24[Flitro de Ruido],1,Table8[[#This Row],[I_20]]/Table8[[#This Row],[I_0]])</f>
        <v>1</v>
      </c>
      <c r="W672" s="13" cm="1">
        <f t="array" ref="W672">IF(Table8[[#This Row],[I_0]]&lt;Table24[Flitro de Ruido],1,Table8[[#This Row],[I_30]]/Table8[[#This Row],[I_0]])</f>
        <v>1</v>
      </c>
      <c r="X672" s="13" cm="1">
        <f t="array" ref="X672">IF(Table8[[#This Row],[I_0]]&lt;Table24[Flitro de Ruido],1,Table8[[#This Row],[I_40]]/Table8[[#This Row],[I_0]])</f>
        <v>1</v>
      </c>
      <c r="Y672" s="13" cm="1">
        <f t="array" ref="Y672">IF(Table8[[#This Row],[I_0]]&lt;Table24[Flitro de Ruido],1,Table8[[#This Row],[I_50]]/Table8[[#This Row],[I_0]])</f>
        <v>1</v>
      </c>
    </row>
    <row r="673" spans="1:25" x14ac:dyDescent="0.3">
      <c r="A673" s="13">
        <v>735.75</v>
      </c>
      <c r="B673" s="12">
        <v>0</v>
      </c>
      <c r="C673" s="11">
        <v>735.75</v>
      </c>
      <c r="D673" s="12">
        <v>0</v>
      </c>
      <c r="E673" s="11">
        <v>735.75</v>
      </c>
      <c r="F673" s="12">
        <v>0</v>
      </c>
      <c r="G673" s="11">
        <v>735.75</v>
      </c>
      <c r="H673" s="12">
        <v>0</v>
      </c>
      <c r="I673" s="11">
        <v>735.75</v>
      </c>
      <c r="J673" s="12">
        <v>0</v>
      </c>
      <c r="K673" s="11">
        <v>735.75</v>
      </c>
      <c r="L673" s="12">
        <v>0</v>
      </c>
      <c r="M673" s="11">
        <v>735.75</v>
      </c>
      <c r="N673" s="13">
        <v>0</v>
      </c>
      <c r="O673" s="11">
        <v>0</v>
      </c>
      <c r="P673" s="11">
        <v>0</v>
      </c>
      <c r="Q673" s="11">
        <v>0</v>
      </c>
      <c r="R673" s="11">
        <v>0</v>
      </c>
      <c r="S673" s="14">
        <v>0</v>
      </c>
      <c r="T673" s="11">
        <v>735.75</v>
      </c>
      <c r="U673" s="13" cm="1">
        <f t="array" ref="U673">IF(Table8[[#This Row],[I_0]]&lt;Table24[Flitro de Ruido],1,Table8[[#This Row],[I_10]]/Table8[[#This Row],[I_0]])</f>
        <v>1</v>
      </c>
      <c r="V673" s="13" cm="1">
        <f t="array" ref="V673">IF(Table8[[#This Row],[I_0]]&lt;Table24[Flitro de Ruido],1,Table8[[#This Row],[I_20]]/Table8[[#This Row],[I_0]])</f>
        <v>1</v>
      </c>
      <c r="W673" s="13" cm="1">
        <f t="array" ref="W673">IF(Table8[[#This Row],[I_0]]&lt;Table24[Flitro de Ruido],1,Table8[[#This Row],[I_30]]/Table8[[#This Row],[I_0]])</f>
        <v>1</v>
      </c>
      <c r="X673" s="13" cm="1">
        <f t="array" ref="X673">IF(Table8[[#This Row],[I_0]]&lt;Table24[Flitro de Ruido],1,Table8[[#This Row],[I_40]]/Table8[[#This Row],[I_0]])</f>
        <v>1</v>
      </c>
      <c r="Y673" s="13" cm="1">
        <f t="array" ref="Y673">IF(Table8[[#This Row],[I_0]]&lt;Table24[Flitro de Ruido],1,Table8[[#This Row],[I_50]]/Table8[[#This Row],[I_0]])</f>
        <v>1</v>
      </c>
    </row>
    <row r="674" spans="1:25" x14ac:dyDescent="0.3">
      <c r="A674" s="13">
        <v>736.75</v>
      </c>
      <c r="B674" s="12">
        <v>0</v>
      </c>
      <c r="C674" s="11">
        <v>736.75</v>
      </c>
      <c r="D674" s="12">
        <v>0</v>
      </c>
      <c r="E674" s="11">
        <v>736.75</v>
      </c>
      <c r="F674" s="12">
        <v>0</v>
      </c>
      <c r="G674" s="11">
        <v>736.75</v>
      </c>
      <c r="H674" s="12">
        <v>0</v>
      </c>
      <c r="I674" s="11">
        <v>736.75</v>
      </c>
      <c r="J674" s="12">
        <v>0</v>
      </c>
      <c r="K674" s="11">
        <v>736.75</v>
      </c>
      <c r="L674" s="12">
        <v>0</v>
      </c>
      <c r="M674" s="11">
        <v>736.75</v>
      </c>
      <c r="N674" s="13">
        <v>0</v>
      </c>
      <c r="O674" s="11">
        <v>0</v>
      </c>
      <c r="P674" s="11">
        <v>0</v>
      </c>
      <c r="Q674" s="11">
        <v>0</v>
      </c>
      <c r="R674" s="11">
        <v>0</v>
      </c>
      <c r="S674" s="14">
        <v>0</v>
      </c>
      <c r="T674" s="11">
        <v>736.75</v>
      </c>
      <c r="U674" s="13" cm="1">
        <f t="array" ref="U674">IF(Table8[[#This Row],[I_0]]&lt;Table24[Flitro de Ruido],1,Table8[[#This Row],[I_10]]/Table8[[#This Row],[I_0]])</f>
        <v>1</v>
      </c>
      <c r="V674" s="13" cm="1">
        <f t="array" ref="V674">IF(Table8[[#This Row],[I_0]]&lt;Table24[Flitro de Ruido],1,Table8[[#This Row],[I_20]]/Table8[[#This Row],[I_0]])</f>
        <v>1</v>
      </c>
      <c r="W674" s="13" cm="1">
        <f t="array" ref="W674">IF(Table8[[#This Row],[I_0]]&lt;Table24[Flitro de Ruido],1,Table8[[#This Row],[I_30]]/Table8[[#This Row],[I_0]])</f>
        <v>1</v>
      </c>
      <c r="X674" s="13" cm="1">
        <f t="array" ref="X674">IF(Table8[[#This Row],[I_0]]&lt;Table24[Flitro de Ruido],1,Table8[[#This Row],[I_40]]/Table8[[#This Row],[I_0]])</f>
        <v>1</v>
      </c>
      <c r="Y674" s="13" cm="1">
        <f t="array" ref="Y674">IF(Table8[[#This Row],[I_0]]&lt;Table24[Flitro de Ruido],1,Table8[[#This Row],[I_50]]/Table8[[#This Row],[I_0]])</f>
        <v>1</v>
      </c>
    </row>
    <row r="675" spans="1:25" x14ac:dyDescent="0.3">
      <c r="A675" s="13">
        <v>737.74</v>
      </c>
      <c r="B675" s="12">
        <v>0</v>
      </c>
      <c r="C675" s="11">
        <v>737.74</v>
      </c>
      <c r="D675" s="12">
        <v>0</v>
      </c>
      <c r="E675" s="11">
        <v>737.74</v>
      </c>
      <c r="F675" s="12">
        <v>0</v>
      </c>
      <c r="G675" s="11">
        <v>737.74</v>
      </c>
      <c r="H675" s="12">
        <v>0</v>
      </c>
      <c r="I675" s="11">
        <v>737.74</v>
      </c>
      <c r="J675" s="12">
        <v>0</v>
      </c>
      <c r="K675" s="11">
        <v>737.74</v>
      </c>
      <c r="L675" s="12">
        <v>0</v>
      </c>
      <c r="M675" s="11">
        <v>737.74</v>
      </c>
      <c r="N675" s="13">
        <v>0</v>
      </c>
      <c r="O675" s="11">
        <v>0</v>
      </c>
      <c r="P675" s="11">
        <v>0</v>
      </c>
      <c r="Q675" s="11">
        <v>0</v>
      </c>
      <c r="R675" s="11">
        <v>0</v>
      </c>
      <c r="S675" s="14">
        <v>0</v>
      </c>
      <c r="T675" s="11">
        <v>737.74</v>
      </c>
      <c r="U675" s="13" cm="1">
        <f t="array" ref="U675">IF(Table8[[#This Row],[I_0]]&lt;Table24[Flitro de Ruido],1,Table8[[#This Row],[I_10]]/Table8[[#This Row],[I_0]])</f>
        <v>1</v>
      </c>
      <c r="V675" s="13" cm="1">
        <f t="array" ref="V675">IF(Table8[[#This Row],[I_0]]&lt;Table24[Flitro de Ruido],1,Table8[[#This Row],[I_20]]/Table8[[#This Row],[I_0]])</f>
        <v>1</v>
      </c>
      <c r="W675" s="13" cm="1">
        <f t="array" ref="W675">IF(Table8[[#This Row],[I_0]]&lt;Table24[Flitro de Ruido],1,Table8[[#This Row],[I_30]]/Table8[[#This Row],[I_0]])</f>
        <v>1</v>
      </c>
      <c r="X675" s="13" cm="1">
        <f t="array" ref="X675">IF(Table8[[#This Row],[I_0]]&lt;Table24[Flitro de Ruido],1,Table8[[#This Row],[I_40]]/Table8[[#This Row],[I_0]])</f>
        <v>1</v>
      </c>
      <c r="Y675" s="13" cm="1">
        <f t="array" ref="Y675">IF(Table8[[#This Row],[I_0]]&lt;Table24[Flitro de Ruido],1,Table8[[#This Row],[I_50]]/Table8[[#This Row],[I_0]])</f>
        <v>1</v>
      </c>
    </row>
    <row r="676" spans="1:25" x14ac:dyDescent="0.3">
      <c r="A676" s="13">
        <v>738.73</v>
      </c>
      <c r="B676" s="12">
        <v>0</v>
      </c>
      <c r="C676" s="11">
        <v>738.73</v>
      </c>
      <c r="D676" s="12">
        <v>0</v>
      </c>
      <c r="E676" s="11">
        <v>738.73</v>
      </c>
      <c r="F676" s="12">
        <v>0</v>
      </c>
      <c r="G676" s="11">
        <v>738.73</v>
      </c>
      <c r="H676" s="12">
        <v>0</v>
      </c>
      <c r="I676" s="11">
        <v>738.73</v>
      </c>
      <c r="J676" s="12">
        <v>0</v>
      </c>
      <c r="K676" s="11">
        <v>738.73</v>
      </c>
      <c r="L676" s="12">
        <v>0</v>
      </c>
      <c r="M676" s="11">
        <v>738.73</v>
      </c>
      <c r="N676" s="13">
        <v>0</v>
      </c>
      <c r="O676" s="11">
        <v>0</v>
      </c>
      <c r="P676" s="11">
        <v>0</v>
      </c>
      <c r="Q676" s="11">
        <v>0</v>
      </c>
      <c r="R676" s="11">
        <v>0</v>
      </c>
      <c r="S676" s="14">
        <v>0</v>
      </c>
      <c r="T676" s="11">
        <v>738.73</v>
      </c>
      <c r="U676" s="13" cm="1">
        <f t="array" ref="U676">IF(Table8[[#This Row],[I_0]]&lt;Table24[Flitro de Ruido],1,Table8[[#This Row],[I_10]]/Table8[[#This Row],[I_0]])</f>
        <v>1</v>
      </c>
      <c r="V676" s="13" cm="1">
        <f t="array" ref="V676">IF(Table8[[#This Row],[I_0]]&lt;Table24[Flitro de Ruido],1,Table8[[#This Row],[I_20]]/Table8[[#This Row],[I_0]])</f>
        <v>1</v>
      </c>
      <c r="W676" s="13" cm="1">
        <f t="array" ref="W676">IF(Table8[[#This Row],[I_0]]&lt;Table24[Flitro de Ruido],1,Table8[[#This Row],[I_30]]/Table8[[#This Row],[I_0]])</f>
        <v>1</v>
      </c>
      <c r="X676" s="13" cm="1">
        <f t="array" ref="X676">IF(Table8[[#This Row],[I_0]]&lt;Table24[Flitro de Ruido],1,Table8[[#This Row],[I_40]]/Table8[[#This Row],[I_0]])</f>
        <v>1</v>
      </c>
      <c r="Y676" s="13" cm="1">
        <f t="array" ref="Y676">IF(Table8[[#This Row],[I_0]]&lt;Table24[Flitro de Ruido],1,Table8[[#This Row],[I_50]]/Table8[[#This Row],[I_0]])</f>
        <v>1</v>
      </c>
    </row>
    <row r="677" spans="1:25" x14ac:dyDescent="0.3">
      <c r="A677" s="13">
        <v>739.72</v>
      </c>
      <c r="B677" s="12">
        <v>0</v>
      </c>
      <c r="C677" s="11">
        <v>739.72</v>
      </c>
      <c r="D677" s="12">
        <v>0</v>
      </c>
      <c r="E677" s="11">
        <v>739.72</v>
      </c>
      <c r="F677" s="12">
        <v>0</v>
      </c>
      <c r="G677" s="11">
        <v>739.72</v>
      </c>
      <c r="H677" s="12">
        <v>0</v>
      </c>
      <c r="I677" s="11">
        <v>739.72</v>
      </c>
      <c r="J677" s="12">
        <v>0</v>
      </c>
      <c r="K677" s="11">
        <v>739.72</v>
      </c>
      <c r="L677" s="12">
        <v>0</v>
      </c>
      <c r="M677" s="11">
        <v>739.72</v>
      </c>
      <c r="N677" s="13">
        <v>0</v>
      </c>
      <c r="O677" s="11">
        <v>0</v>
      </c>
      <c r="P677" s="11">
        <v>0</v>
      </c>
      <c r="Q677" s="11">
        <v>0</v>
      </c>
      <c r="R677" s="11">
        <v>0</v>
      </c>
      <c r="S677" s="14">
        <v>0</v>
      </c>
      <c r="T677" s="11">
        <v>739.72</v>
      </c>
      <c r="U677" s="13" cm="1">
        <f t="array" ref="U677">IF(Table8[[#This Row],[I_0]]&lt;Table24[Flitro de Ruido],1,Table8[[#This Row],[I_10]]/Table8[[#This Row],[I_0]])</f>
        <v>1</v>
      </c>
      <c r="V677" s="13" cm="1">
        <f t="array" ref="V677">IF(Table8[[#This Row],[I_0]]&lt;Table24[Flitro de Ruido],1,Table8[[#This Row],[I_20]]/Table8[[#This Row],[I_0]])</f>
        <v>1</v>
      </c>
      <c r="W677" s="13" cm="1">
        <f t="array" ref="W677">IF(Table8[[#This Row],[I_0]]&lt;Table24[Flitro de Ruido],1,Table8[[#This Row],[I_30]]/Table8[[#This Row],[I_0]])</f>
        <v>1</v>
      </c>
      <c r="X677" s="13" cm="1">
        <f t="array" ref="X677">IF(Table8[[#This Row],[I_0]]&lt;Table24[Flitro de Ruido],1,Table8[[#This Row],[I_40]]/Table8[[#This Row],[I_0]])</f>
        <v>1</v>
      </c>
      <c r="Y677" s="13" cm="1">
        <f t="array" ref="Y677">IF(Table8[[#This Row],[I_0]]&lt;Table24[Flitro de Ruido],1,Table8[[#This Row],[I_50]]/Table8[[#This Row],[I_0]])</f>
        <v>1</v>
      </c>
    </row>
    <row r="678" spans="1:25" x14ac:dyDescent="0.3">
      <c r="A678" s="13">
        <v>740.71</v>
      </c>
      <c r="B678" s="12">
        <v>0</v>
      </c>
      <c r="C678" s="11">
        <v>740.71</v>
      </c>
      <c r="D678" s="12">
        <v>0</v>
      </c>
      <c r="E678" s="11">
        <v>740.71</v>
      </c>
      <c r="F678" s="12">
        <v>0</v>
      </c>
      <c r="G678" s="11">
        <v>740.71</v>
      </c>
      <c r="H678" s="12">
        <v>0</v>
      </c>
      <c r="I678" s="11">
        <v>740.71</v>
      </c>
      <c r="J678" s="12">
        <v>0</v>
      </c>
      <c r="K678" s="11">
        <v>740.71</v>
      </c>
      <c r="L678" s="12">
        <v>0</v>
      </c>
      <c r="M678" s="11">
        <v>740.71</v>
      </c>
      <c r="N678" s="13">
        <v>0</v>
      </c>
      <c r="O678" s="11">
        <v>0</v>
      </c>
      <c r="P678" s="11">
        <v>0</v>
      </c>
      <c r="Q678" s="11">
        <v>0</v>
      </c>
      <c r="R678" s="11">
        <v>0</v>
      </c>
      <c r="S678" s="14">
        <v>0</v>
      </c>
      <c r="T678" s="11">
        <v>740.71</v>
      </c>
      <c r="U678" s="13" cm="1">
        <f t="array" ref="U678">IF(Table8[[#This Row],[I_0]]&lt;Table24[Flitro de Ruido],1,Table8[[#This Row],[I_10]]/Table8[[#This Row],[I_0]])</f>
        <v>1</v>
      </c>
      <c r="V678" s="13" cm="1">
        <f t="array" ref="V678">IF(Table8[[#This Row],[I_0]]&lt;Table24[Flitro de Ruido],1,Table8[[#This Row],[I_20]]/Table8[[#This Row],[I_0]])</f>
        <v>1</v>
      </c>
      <c r="W678" s="13" cm="1">
        <f t="array" ref="W678">IF(Table8[[#This Row],[I_0]]&lt;Table24[Flitro de Ruido],1,Table8[[#This Row],[I_30]]/Table8[[#This Row],[I_0]])</f>
        <v>1</v>
      </c>
      <c r="X678" s="13" cm="1">
        <f t="array" ref="X678">IF(Table8[[#This Row],[I_0]]&lt;Table24[Flitro de Ruido],1,Table8[[#This Row],[I_40]]/Table8[[#This Row],[I_0]])</f>
        <v>1</v>
      </c>
      <c r="Y678" s="13" cm="1">
        <f t="array" ref="Y678">IF(Table8[[#This Row],[I_0]]&lt;Table24[Flitro de Ruido],1,Table8[[#This Row],[I_50]]/Table8[[#This Row],[I_0]])</f>
        <v>1</v>
      </c>
    </row>
    <row r="679" spans="1:25" x14ac:dyDescent="0.3">
      <c r="A679" s="13">
        <v>741.71</v>
      </c>
      <c r="B679" s="12">
        <v>0</v>
      </c>
      <c r="C679" s="11">
        <v>741.71</v>
      </c>
      <c r="D679" s="12">
        <v>0</v>
      </c>
      <c r="E679" s="11">
        <v>741.71</v>
      </c>
      <c r="F679" s="12">
        <v>0</v>
      </c>
      <c r="G679" s="11">
        <v>741.71</v>
      </c>
      <c r="H679" s="12">
        <v>0</v>
      </c>
      <c r="I679" s="11">
        <v>741.71</v>
      </c>
      <c r="J679" s="12">
        <v>0</v>
      </c>
      <c r="K679" s="11">
        <v>741.71</v>
      </c>
      <c r="L679" s="12">
        <v>0</v>
      </c>
      <c r="M679" s="11">
        <v>741.71</v>
      </c>
      <c r="N679" s="13">
        <v>0</v>
      </c>
      <c r="O679" s="11">
        <v>0</v>
      </c>
      <c r="P679" s="11">
        <v>0</v>
      </c>
      <c r="Q679" s="11">
        <v>0</v>
      </c>
      <c r="R679" s="11">
        <v>0</v>
      </c>
      <c r="S679" s="14">
        <v>0</v>
      </c>
      <c r="T679" s="11">
        <v>741.71</v>
      </c>
      <c r="U679" s="13" cm="1">
        <f t="array" ref="U679">IF(Table8[[#This Row],[I_0]]&lt;Table24[Flitro de Ruido],1,Table8[[#This Row],[I_10]]/Table8[[#This Row],[I_0]])</f>
        <v>1</v>
      </c>
      <c r="V679" s="13" cm="1">
        <f t="array" ref="V679">IF(Table8[[#This Row],[I_0]]&lt;Table24[Flitro de Ruido],1,Table8[[#This Row],[I_20]]/Table8[[#This Row],[I_0]])</f>
        <v>1</v>
      </c>
      <c r="W679" s="13" cm="1">
        <f t="array" ref="W679">IF(Table8[[#This Row],[I_0]]&lt;Table24[Flitro de Ruido],1,Table8[[#This Row],[I_30]]/Table8[[#This Row],[I_0]])</f>
        <v>1</v>
      </c>
      <c r="X679" s="13" cm="1">
        <f t="array" ref="X679">IF(Table8[[#This Row],[I_0]]&lt;Table24[Flitro de Ruido],1,Table8[[#This Row],[I_40]]/Table8[[#This Row],[I_0]])</f>
        <v>1</v>
      </c>
      <c r="Y679" s="13" cm="1">
        <f t="array" ref="Y679">IF(Table8[[#This Row],[I_0]]&lt;Table24[Flitro de Ruido],1,Table8[[#This Row],[I_50]]/Table8[[#This Row],[I_0]])</f>
        <v>1</v>
      </c>
    </row>
    <row r="680" spans="1:25" x14ac:dyDescent="0.3">
      <c r="A680" s="13">
        <v>742.7</v>
      </c>
      <c r="B680" s="12">
        <v>0</v>
      </c>
      <c r="C680" s="11">
        <v>742.7</v>
      </c>
      <c r="D680" s="12">
        <v>0</v>
      </c>
      <c r="E680" s="11">
        <v>742.7</v>
      </c>
      <c r="F680" s="12">
        <v>0</v>
      </c>
      <c r="G680" s="11">
        <v>742.7</v>
      </c>
      <c r="H680" s="12">
        <v>0</v>
      </c>
      <c r="I680" s="11">
        <v>742.7</v>
      </c>
      <c r="J680" s="12">
        <v>0</v>
      </c>
      <c r="K680" s="11">
        <v>742.7</v>
      </c>
      <c r="L680" s="12">
        <v>0</v>
      </c>
      <c r="M680" s="11">
        <v>742.7</v>
      </c>
      <c r="N680" s="13">
        <v>0</v>
      </c>
      <c r="O680" s="11">
        <v>0</v>
      </c>
      <c r="P680" s="11">
        <v>0</v>
      </c>
      <c r="Q680" s="11">
        <v>0</v>
      </c>
      <c r="R680" s="11">
        <v>0</v>
      </c>
      <c r="S680" s="14">
        <v>0</v>
      </c>
      <c r="T680" s="11">
        <v>742.7</v>
      </c>
      <c r="U680" s="13" cm="1">
        <f t="array" ref="U680">IF(Table8[[#This Row],[I_0]]&lt;Table24[Flitro de Ruido],1,Table8[[#This Row],[I_10]]/Table8[[#This Row],[I_0]])</f>
        <v>1</v>
      </c>
      <c r="V680" s="13" cm="1">
        <f t="array" ref="V680">IF(Table8[[#This Row],[I_0]]&lt;Table24[Flitro de Ruido],1,Table8[[#This Row],[I_20]]/Table8[[#This Row],[I_0]])</f>
        <v>1</v>
      </c>
      <c r="W680" s="13" cm="1">
        <f t="array" ref="W680">IF(Table8[[#This Row],[I_0]]&lt;Table24[Flitro de Ruido],1,Table8[[#This Row],[I_30]]/Table8[[#This Row],[I_0]])</f>
        <v>1</v>
      </c>
      <c r="X680" s="13" cm="1">
        <f t="array" ref="X680">IF(Table8[[#This Row],[I_0]]&lt;Table24[Flitro de Ruido],1,Table8[[#This Row],[I_40]]/Table8[[#This Row],[I_0]])</f>
        <v>1</v>
      </c>
      <c r="Y680" s="13" cm="1">
        <f t="array" ref="Y680">IF(Table8[[#This Row],[I_0]]&lt;Table24[Flitro de Ruido],1,Table8[[#This Row],[I_50]]/Table8[[#This Row],[I_0]])</f>
        <v>1</v>
      </c>
    </row>
    <row r="681" spans="1:25" x14ac:dyDescent="0.3">
      <c r="A681" s="13">
        <v>743.69</v>
      </c>
      <c r="B681" s="12">
        <v>0</v>
      </c>
      <c r="C681" s="11">
        <v>743.69</v>
      </c>
      <c r="D681" s="12">
        <v>0</v>
      </c>
      <c r="E681" s="11">
        <v>743.69</v>
      </c>
      <c r="F681" s="12">
        <v>0</v>
      </c>
      <c r="G681" s="11">
        <v>743.69</v>
      </c>
      <c r="H681" s="12">
        <v>0</v>
      </c>
      <c r="I681" s="11">
        <v>743.69</v>
      </c>
      <c r="J681" s="12">
        <v>0</v>
      </c>
      <c r="K681" s="11">
        <v>743.69</v>
      </c>
      <c r="L681" s="12">
        <v>0</v>
      </c>
      <c r="M681" s="11">
        <v>743.69</v>
      </c>
      <c r="N681" s="13">
        <v>0</v>
      </c>
      <c r="O681" s="11">
        <v>0</v>
      </c>
      <c r="P681" s="11">
        <v>0</v>
      </c>
      <c r="Q681" s="11">
        <v>0</v>
      </c>
      <c r="R681" s="11">
        <v>0</v>
      </c>
      <c r="S681" s="14">
        <v>0</v>
      </c>
      <c r="T681" s="11">
        <v>743.69</v>
      </c>
      <c r="U681" s="13" cm="1">
        <f t="array" ref="U681">IF(Table8[[#This Row],[I_0]]&lt;Table24[Flitro de Ruido],1,Table8[[#This Row],[I_10]]/Table8[[#This Row],[I_0]])</f>
        <v>1</v>
      </c>
      <c r="V681" s="13" cm="1">
        <f t="array" ref="V681">IF(Table8[[#This Row],[I_0]]&lt;Table24[Flitro de Ruido],1,Table8[[#This Row],[I_20]]/Table8[[#This Row],[I_0]])</f>
        <v>1</v>
      </c>
      <c r="W681" s="13" cm="1">
        <f t="array" ref="W681">IF(Table8[[#This Row],[I_0]]&lt;Table24[Flitro de Ruido],1,Table8[[#This Row],[I_30]]/Table8[[#This Row],[I_0]])</f>
        <v>1</v>
      </c>
      <c r="X681" s="13" cm="1">
        <f t="array" ref="X681">IF(Table8[[#This Row],[I_0]]&lt;Table24[Flitro de Ruido],1,Table8[[#This Row],[I_40]]/Table8[[#This Row],[I_0]])</f>
        <v>1</v>
      </c>
      <c r="Y681" s="13" cm="1">
        <f t="array" ref="Y681">IF(Table8[[#This Row],[I_0]]&lt;Table24[Flitro de Ruido],1,Table8[[#This Row],[I_50]]/Table8[[#This Row],[I_0]])</f>
        <v>1</v>
      </c>
    </row>
    <row r="682" spans="1:25" x14ac:dyDescent="0.3">
      <c r="A682" s="13">
        <v>744.68</v>
      </c>
      <c r="B682" s="12">
        <v>0</v>
      </c>
      <c r="C682" s="11">
        <v>744.68</v>
      </c>
      <c r="D682" s="12">
        <v>0</v>
      </c>
      <c r="E682" s="11">
        <v>744.68</v>
      </c>
      <c r="F682" s="12">
        <v>0</v>
      </c>
      <c r="G682" s="11">
        <v>744.68</v>
      </c>
      <c r="H682" s="12">
        <v>0</v>
      </c>
      <c r="I682" s="11">
        <v>744.68</v>
      </c>
      <c r="J682" s="12">
        <v>0</v>
      </c>
      <c r="K682" s="11">
        <v>744.68</v>
      </c>
      <c r="L682" s="12">
        <v>0</v>
      </c>
      <c r="M682" s="11">
        <v>744.68</v>
      </c>
      <c r="N682" s="13">
        <v>0</v>
      </c>
      <c r="O682" s="11">
        <v>0</v>
      </c>
      <c r="P682" s="11">
        <v>0</v>
      </c>
      <c r="Q682" s="11">
        <v>0</v>
      </c>
      <c r="R682" s="11">
        <v>0</v>
      </c>
      <c r="S682" s="14">
        <v>0</v>
      </c>
      <c r="T682" s="11">
        <v>744.68</v>
      </c>
      <c r="U682" s="13" cm="1">
        <f t="array" ref="U682">IF(Table8[[#This Row],[I_0]]&lt;Table24[Flitro de Ruido],1,Table8[[#This Row],[I_10]]/Table8[[#This Row],[I_0]])</f>
        <v>1</v>
      </c>
      <c r="V682" s="13" cm="1">
        <f t="array" ref="V682">IF(Table8[[#This Row],[I_0]]&lt;Table24[Flitro de Ruido],1,Table8[[#This Row],[I_20]]/Table8[[#This Row],[I_0]])</f>
        <v>1</v>
      </c>
      <c r="W682" s="13" cm="1">
        <f t="array" ref="W682">IF(Table8[[#This Row],[I_0]]&lt;Table24[Flitro de Ruido],1,Table8[[#This Row],[I_30]]/Table8[[#This Row],[I_0]])</f>
        <v>1</v>
      </c>
      <c r="X682" s="13" cm="1">
        <f t="array" ref="X682">IF(Table8[[#This Row],[I_0]]&lt;Table24[Flitro de Ruido],1,Table8[[#This Row],[I_40]]/Table8[[#This Row],[I_0]])</f>
        <v>1</v>
      </c>
      <c r="Y682" s="13" cm="1">
        <f t="array" ref="Y682">IF(Table8[[#This Row],[I_0]]&lt;Table24[Flitro de Ruido],1,Table8[[#This Row],[I_50]]/Table8[[#This Row],[I_0]])</f>
        <v>1</v>
      </c>
    </row>
    <row r="683" spans="1:25" x14ac:dyDescent="0.3">
      <c r="A683" s="13">
        <v>745.67</v>
      </c>
      <c r="B683" s="12">
        <v>0</v>
      </c>
      <c r="C683" s="11">
        <v>745.67</v>
      </c>
      <c r="D683" s="12">
        <v>0</v>
      </c>
      <c r="E683" s="11">
        <v>745.67</v>
      </c>
      <c r="F683" s="12">
        <v>0</v>
      </c>
      <c r="G683" s="11">
        <v>745.67</v>
      </c>
      <c r="H683" s="12">
        <v>0</v>
      </c>
      <c r="I683" s="11">
        <v>745.67</v>
      </c>
      <c r="J683" s="12">
        <v>0</v>
      </c>
      <c r="K683" s="11">
        <v>745.67</v>
      </c>
      <c r="L683" s="12">
        <v>0</v>
      </c>
      <c r="M683" s="11">
        <v>745.67</v>
      </c>
      <c r="N683" s="13">
        <v>0</v>
      </c>
      <c r="O683" s="11">
        <v>0</v>
      </c>
      <c r="P683" s="11">
        <v>0</v>
      </c>
      <c r="Q683" s="11">
        <v>0</v>
      </c>
      <c r="R683" s="11">
        <v>0</v>
      </c>
      <c r="S683" s="14">
        <v>0</v>
      </c>
      <c r="T683" s="11">
        <v>745.67</v>
      </c>
      <c r="U683" s="13" cm="1">
        <f t="array" ref="U683">IF(Table8[[#This Row],[I_0]]&lt;Table24[Flitro de Ruido],1,Table8[[#This Row],[I_10]]/Table8[[#This Row],[I_0]])</f>
        <v>1</v>
      </c>
      <c r="V683" s="13" cm="1">
        <f t="array" ref="V683">IF(Table8[[#This Row],[I_0]]&lt;Table24[Flitro de Ruido],1,Table8[[#This Row],[I_20]]/Table8[[#This Row],[I_0]])</f>
        <v>1</v>
      </c>
      <c r="W683" s="13" cm="1">
        <f t="array" ref="W683">IF(Table8[[#This Row],[I_0]]&lt;Table24[Flitro de Ruido],1,Table8[[#This Row],[I_30]]/Table8[[#This Row],[I_0]])</f>
        <v>1</v>
      </c>
      <c r="X683" s="13" cm="1">
        <f t="array" ref="X683">IF(Table8[[#This Row],[I_0]]&lt;Table24[Flitro de Ruido],1,Table8[[#This Row],[I_40]]/Table8[[#This Row],[I_0]])</f>
        <v>1</v>
      </c>
      <c r="Y683" s="13" cm="1">
        <f t="array" ref="Y683">IF(Table8[[#This Row],[I_0]]&lt;Table24[Flitro de Ruido],1,Table8[[#This Row],[I_50]]/Table8[[#This Row],[I_0]])</f>
        <v>1</v>
      </c>
    </row>
    <row r="684" spans="1:25" x14ac:dyDescent="0.3">
      <c r="A684" s="13">
        <v>746.66</v>
      </c>
      <c r="B684" s="12">
        <v>0</v>
      </c>
      <c r="C684" s="11">
        <v>746.66</v>
      </c>
      <c r="D684" s="12">
        <v>0</v>
      </c>
      <c r="E684" s="11">
        <v>746.66</v>
      </c>
      <c r="F684" s="12">
        <v>0</v>
      </c>
      <c r="G684" s="11">
        <v>746.66</v>
      </c>
      <c r="H684" s="12">
        <v>0</v>
      </c>
      <c r="I684" s="11">
        <v>746.66</v>
      </c>
      <c r="J684" s="12">
        <v>0</v>
      </c>
      <c r="K684" s="11">
        <v>746.66</v>
      </c>
      <c r="L684" s="12">
        <v>0</v>
      </c>
      <c r="M684" s="11">
        <v>746.66</v>
      </c>
      <c r="N684" s="13">
        <v>0</v>
      </c>
      <c r="O684" s="11">
        <v>0</v>
      </c>
      <c r="P684" s="11">
        <v>0</v>
      </c>
      <c r="Q684" s="11">
        <v>0</v>
      </c>
      <c r="R684" s="11">
        <v>0</v>
      </c>
      <c r="S684" s="14">
        <v>0</v>
      </c>
      <c r="T684" s="11">
        <v>746.66</v>
      </c>
      <c r="U684" s="13" cm="1">
        <f t="array" ref="U684">IF(Table8[[#This Row],[I_0]]&lt;Table24[Flitro de Ruido],1,Table8[[#This Row],[I_10]]/Table8[[#This Row],[I_0]])</f>
        <v>1</v>
      </c>
      <c r="V684" s="13" cm="1">
        <f t="array" ref="V684">IF(Table8[[#This Row],[I_0]]&lt;Table24[Flitro de Ruido],1,Table8[[#This Row],[I_20]]/Table8[[#This Row],[I_0]])</f>
        <v>1</v>
      </c>
      <c r="W684" s="13" cm="1">
        <f t="array" ref="W684">IF(Table8[[#This Row],[I_0]]&lt;Table24[Flitro de Ruido],1,Table8[[#This Row],[I_30]]/Table8[[#This Row],[I_0]])</f>
        <v>1</v>
      </c>
      <c r="X684" s="13" cm="1">
        <f t="array" ref="X684">IF(Table8[[#This Row],[I_0]]&lt;Table24[Flitro de Ruido],1,Table8[[#This Row],[I_40]]/Table8[[#This Row],[I_0]])</f>
        <v>1</v>
      </c>
      <c r="Y684" s="13" cm="1">
        <f t="array" ref="Y684">IF(Table8[[#This Row],[I_0]]&lt;Table24[Flitro de Ruido],1,Table8[[#This Row],[I_50]]/Table8[[#This Row],[I_0]])</f>
        <v>1</v>
      </c>
    </row>
    <row r="685" spans="1:25" x14ac:dyDescent="0.3">
      <c r="A685" s="13">
        <v>747.66</v>
      </c>
      <c r="B685" s="12">
        <v>0</v>
      </c>
      <c r="C685" s="11">
        <v>747.66</v>
      </c>
      <c r="D685" s="12">
        <v>0</v>
      </c>
      <c r="E685" s="11">
        <v>747.66</v>
      </c>
      <c r="F685" s="12">
        <v>0</v>
      </c>
      <c r="G685" s="11">
        <v>747.66</v>
      </c>
      <c r="H685" s="12">
        <v>0</v>
      </c>
      <c r="I685" s="11">
        <v>747.66</v>
      </c>
      <c r="J685" s="12">
        <v>0</v>
      </c>
      <c r="K685" s="11">
        <v>747.66</v>
      </c>
      <c r="L685" s="12">
        <v>0</v>
      </c>
      <c r="M685" s="11">
        <v>747.66</v>
      </c>
      <c r="N685" s="13">
        <v>0</v>
      </c>
      <c r="O685" s="11">
        <v>0</v>
      </c>
      <c r="P685" s="11">
        <v>0</v>
      </c>
      <c r="Q685" s="11">
        <v>0</v>
      </c>
      <c r="R685" s="11">
        <v>0</v>
      </c>
      <c r="S685" s="14">
        <v>0</v>
      </c>
      <c r="T685" s="11">
        <v>747.66</v>
      </c>
      <c r="U685" s="13" cm="1">
        <f t="array" ref="U685">IF(Table8[[#This Row],[I_0]]&lt;Table24[Flitro de Ruido],1,Table8[[#This Row],[I_10]]/Table8[[#This Row],[I_0]])</f>
        <v>1</v>
      </c>
      <c r="V685" s="13" cm="1">
        <f t="array" ref="V685">IF(Table8[[#This Row],[I_0]]&lt;Table24[Flitro de Ruido],1,Table8[[#This Row],[I_20]]/Table8[[#This Row],[I_0]])</f>
        <v>1</v>
      </c>
      <c r="W685" s="13" cm="1">
        <f t="array" ref="W685">IF(Table8[[#This Row],[I_0]]&lt;Table24[Flitro de Ruido],1,Table8[[#This Row],[I_30]]/Table8[[#This Row],[I_0]])</f>
        <v>1</v>
      </c>
      <c r="X685" s="13" cm="1">
        <f t="array" ref="X685">IF(Table8[[#This Row],[I_0]]&lt;Table24[Flitro de Ruido],1,Table8[[#This Row],[I_40]]/Table8[[#This Row],[I_0]])</f>
        <v>1</v>
      </c>
      <c r="Y685" s="13" cm="1">
        <f t="array" ref="Y685">IF(Table8[[#This Row],[I_0]]&lt;Table24[Flitro de Ruido],1,Table8[[#This Row],[I_50]]/Table8[[#This Row],[I_0]])</f>
        <v>1</v>
      </c>
    </row>
    <row r="686" spans="1:25" x14ac:dyDescent="0.3">
      <c r="A686" s="13">
        <v>748.65</v>
      </c>
      <c r="B686" s="12">
        <v>0</v>
      </c>
      <c r="C686" s="11">
        <v>748.65</v>
      </c>
      <c r="D686" s="12">
        <v>0</v>
      </c>
      <c r="E686" s="11">
        <v>748.65</v>
      </c>
      <c r="F686" s="12">
        <v>0</v>
      </c>
      <c r="G686" s="11">
        <v>748.65</v>
      </c>
      <c r="H686" s="12">
        <v>0</v>
      </c>
      <c r="I686" s="11">
        <v>748.65</v>
      </c>
      <c r="J686" s="12">
        <v>0</v>
      </c>
      <c r="K686" s="11">
        <v>748.65</v>
      </c>
      <c r="L686" s="12">
        <v>0</v>
      </c>
      <c r="M686" s="11">
        <v>748.65</v>
      </c>
      <c r="N686" s="13">
        <v>0</v>
      </c>
      <c r="O686" s="11">
        <v>0</v>
      </c>
      <c r="P686" s="11">
        <v>0</v>
      </c>
      <c r="Q686" s="11">
        <v>0</v>
      </c>
      <c r="R686" s="11">
        <v>0</v>
      </c>
      <c r="S686" s="14">
        <v>0</v>
      </c>
      <c r="T686" s="11">
        <v>748.65</v>
      </c>
      <c r="U686" s="13" cm="1">
        <f t="array" ref="U686">IF(Table8[[#This Row],[I_0]]&lt;Table24[Flitro de Ruido],1,Table8[[#This Row],[I_10]]/Table8[[#This Row],[I_0]])</f>
        <v>1</v>
      </c>
      <c r="V686" s="13" cm="1">
        <f t="array" ref="V686">IF(Table8[[#This Row],[I_0]]&lt;Table24[Flitro de Ruido],1,Table8[[#This Row],[I_20]]/Table8[[#This Row],[I_0]])</f>
        <v>1</v>
      </c>
      <c r="W686" s="13" cm="1">
        <f t="array" ref="W686">IF(Table8[[#This Row],[I_0]]&lt;Table24[Flitro de Ruido],1,Table8[[#This Row],[I_30]]/Table8[[#This Row],[I_0]])</f>
        <v>1</v>
      </c>
      <c r="X686" s="13" cm="1">
        <f t="array" ref="X686">IF(Table8[[#This Row],[I_0]]&lt;Table24[Flitro de Ruido],1,Table8[[#This Row],[I_40]]/Table8[[#This Row],[I_0]])</f>
        <v>1</v>
      </c>
      <c r="Y686" s="13" cm="1">
        <f t="array" ref="Y686">IF(Table8[[#This Row],[I_0]]&lt;Table24[Flitro de Ruido],1,Table8[[#This Row],[I_50]]/Table8[[#This Row],[I_0]])</f>
        <v>1</v>
      </c>
    </row>
    <row r="687" spans="1:25" x14ac:dyDescent="0.3">
      <c r="A687" s="13">
        <v>749.64</v>
      </c>
      <c r="B687" s="12">
        <v>0</v>
      </c>
      <c r="C687" s="11">
        <v>749.64</v>
      </c>
      <c r="D687" s="12">
        <v>0</v>
      </c>
      <c r="E687" s="11">
        <v>749.64</v>
      </c>
      <c r="F687" s="12">
        <v>0</v>
      </c>
      <c r="G687" s="11">
        <v>749.64</v>
      </c>
      <c r="H687" s="12">
        <v>0</v>
      </c>
      <c r="I687" s="11">
        <v>749.64</v>
      </c>
      <c r="J687" s="12">
        <v>0</v>
      </c>
      <c r="K687" s="11">
        <v>749.64</v>
      </c>
      <c r="L687" s="12">
        <v>0</v>
      </c>
      <c r="M687" s="11">
        <v>749.64</v>
      </c>
      <c r="N687" s="13">
        <v>0</v>
      </c>
      <c r="O687" s="11">
        <v>0</v>
      </c>
      <c r="P687" s="11">
        <v>0</v>
      </c>
      <c r="Q687" s="11">
        <v>0</v>
      </c>
      <c r="R687" s="11">
        <v>0</v>
      </c>
      <c r="S687" s="14">
        <v>0</v>
      </c>
      <c r="T687" s="11">
        <v>749.64</v>
      </c>
      <c r="U687" s="13" cm="1">
        <f t="array" ref="U687">IF(Table8[[#This Row],[I_0]]&lt;Table24[Flitro de Ruido],1,Table8[[#This Row],[I_10]]/Table8[[#This Row],[I_0]])</f>
        <v>1</v>
      </c>
      <c r="V687" s="13" cm="1">
        <f t="array" ref="V687">IF(Table8[[#This Row],[I_0]]&lt;Table24[Flitro de Ruido],1,Table8[[#This Row],[I_20]]/Table8[[#This Row],[I_0]])</f>
        <v>1</v>
      </c>
      <c r="W687" s="13" cm="1">
        <f t="array" ref="W687">IF(Table8[[#This Row],[I_0]]&lt;Table24[Flitro de Ruido],1,Table8[[#This Row],[I_30]]/Table8[[#This Row],[I_0]])</f>
        <v>1</v>
      </c>
      <c r="X687" s="13" cm="1">
        <f t="array" ref="X687">IF(Table8[[#This Row],[I_0]]&lt;Table24[Flitro de Ruido],1,Table8[[#This Row],[I_40]]/Table8[[#This Row],[I_0]])</f>
        <v>1</v>
      </c>
      <c r="Y687" s="13" cm="1">
        <f t="array" ref="Y687">IF(Table8[[#This Row],[I_0]]&lt;Table24[Flitro de Ruido],1,Table8[[#This Row],[I_50]]/Table8[[#This Row],[I_0]])</f>
        <v>1</v>
      </c>
    </row>
    <row r="688" spans="1:25" x14ac:dyDescent="0.3">
      <c r="A688" s="13">
        <v>750.63</v>
      </c>
      <c r="B688" s="12">
        <v>0</v>
      </c>
      <c r="C688" s="11">
        <v>750.63</v>
      </c>
      <c r="D688" s="12">
        <v>0</v>
      </c>
      <c r="E688" s="11">
        <v>750.63</v>
      </c>
      <c r="F688" s="12">
        <v>0</v>
      </c>
      <c r="G688" s="11">
        <v>750.63</v>
      </c>
      <c r="H688" s="12">
        <v>0</v>
      </c>
      <c r="I688" s="11">
        <v>750.63</v>
      </c>
      <c r="J688" s="12">
        <v>0</v>
      </c>
      <c r="K688" s="11">
        <v>750.63</v>
      </c>
      <c r="L688" s="12">
        <v>0</v>
      </c>
      <c r="M688" s="11">
        <v>750.63</v>
      </c>
      <c r="N688" s="13">
        <v>0</v>
      </c>
      <c r="O688" s="11">
        <v>0</v>
      </c>
      <c r="P688" s="11">
        <v>0</v>
      </c>
      <c r="Q688" s="11">
        <v>0</v>
      </c>
      <c r="R688" s="11">
        <v>0</v>
      </c>
      <c r="S688" s="14">
        <v>0</v>
      </c>
      <c r="T688" s="11">
        <v>750.63</v>
      </c>
      <c r="U688" s="13" cm="1">
        <f t="array" ref="U688">IF(Table8[[#This Row],[I_0]]&lt;Table24[Flitro de Ruido],1,Table8[[#This Row],[I_10]]/Table8[[#This Row],[I_0]])</f>
        <v>1</v>
      </c>
      <c r="V688" s="13" cm="1">
        <f t="array" ref="V688">IF(Table8[[#This Row],[I_0]]&lt;Table24[Flitro de Ruido],1,Table8[[#This Row],[I_20]]/Table8[[#This Row],[I_0]])</f>
        <v>1</v>
      </c>
      <c r="W688" s="13" cm="1">
        <f t="array" ref="W688">IF(Table8[[#This Row],[I_0]]&lt;Table24[Flitro de Ruido],1,Table8[[#This Row],[I_30]]/Table8[[#This Row],[I_0]])</f>
        <v>1</v>
      </c>
      <c r="X688" s="13" cm="1">
        <f t="array" ref="X688">IF(Table8[[#This Row],[I_0]]&lt;Table24[Flitro de Ruido],1,Table8[[#This Row],[I_40]]/Table8[[#This Row],[I_0]])</f>
        <v>1</v>
      </c>
      <c r="Y688" s="13" cm="1">
        <f t="array" ref="Y688">IF(Table8[[#This Row],[I_0]]&lt;Table24[Flitro de Ruido],1,Table8[[#This Row],[I_50]]/Table8[[#This Row],[I_0]])</f>
        <v>1</v>
      </c>
    </row>
    <row r="689" spans="1:25" x14ac:dyDescent="0.3">
      <c r="A689" s="13">
        <v>751.62</v>
      </c>
      <c r="B689" s="12">
        <v>0</v>
      </c>
      <c r="C689" s="11">
        <v>751.62</v>
      </c>
      <c r="D689" s="12">
        <v>0</v>
      </c>
      <c r="E689" s="11">
        <v>751.62</v>
      </c>
      <c r="F689" s="12">
        <v>0</v>
      </c>
      <c r="G689" s="11">
        <v>751.62</v>
      </c>
      <c r="H689" s="12">
        <v>0</v>
      </c>
      <c r="I689" s="11">
        <v>751.62</v>
      </c>
      <c r="J689" s="12">
        <v>0</v>
      </c>
      <c r="K689" s="11">
        <v>751.62</v>
      </c>
      <c r="L689" s="12">
        <v>0</v>
      </c>
      <c r="M689" s="11">
        <v>751.62</v>
      </c>
      <c r="N689" s="13">
        <v>0</v>
      </c>
      <c r="O689" s="11">
        <v>0</v>
      </c>
      <c r="P689" s="11">
        <v>0</v>
      </c>
      <c r="Q689" s="11">
        <v>0</v>
      </c>
      <c r="R689" s="11">
        <v>0</v>
      </c>
      <c r="S689" s="14">
        <v>0</v>
      </c>
      <c r="T689" s="11">
        <v>751.62</v>
      </c>
      <c r="U689" s="13" cm="1">
        <f t="array" ref="U689">IF(Table8[[#This Row],[I_0]]&lt;Table24[Flitro de Ruido],1,Table8[[#This Row],[I_10]]/Table8[[#This Row],[I_0]])</f>
        <v>1</v>
      </c>
      <c r="V689" s="13" cm="1">
        <f t="array" ref="V689">IF(Table8[[#This Row],[I_0]]&lt;Table24[Flitro de Ruido],1,Table8[[#This Row],[I_20]]/Table8[[#This Row],[I_0]])</f>
        <v>1</v>
      </c>
      <c r="W689" s="13" cm="1">
        <f t="array" ref="W689">IF(Table8[[#This Row],[I_0]]&lt;Table24[Flitro de Ruido],1,Table8[[#This Row],[I_30]]/Table8[[#This Row],[I_0]])</f>
        <v>1</v>
      </c>
      <c r="X689" s="13" cm="1">
        <f t="array" ref="X689">IF(Table8[[#This Row],[I_0]]&lt;Table24[Flitro de Ruido],1,Table8[[#This Row],[I_40]]/Table8[[#This Row],[I_0]])</f>
        <v>1</v>
      </c>
      <c r="Y689" s="13" cm="1">
        <f t="array" ref="Y689">IF(Table8[[#This Row],[I_0]]&lt;Table24[Flitro de Ruido],1,Table8[[#This Row],[I_50]]/Table8[[#This Row],[I_0]])</f>
        <v>1</v>
      </c>
    </row>
    <row r="690" spans="1:25" x14ac:dyDescent="0.3">
      <c r="A690" s="13">
        <v>752.61</v>
      </c>
      <c r="B690" s="12">
        <v>0</v>
      </c>
      <c r="C690" s="11">
        <v>752.61</v>
      </c>
      <c r="D690" s="12">
        <v>0</v>
      </c>
      <c r="E690" s="11">
        <v>752.61</v>
      </c>
      <c r="F690" s="12">
        <v>0</v>
      </c>
      <c r="G690" s="11">
        <v>752.61</v>
      </c>
      <c r="H690" s="12">
        <v>0</v>
      </c>
      <c r="I690" s="11">
        <v>752.61</v>
      </c>
      <c r="J690" s="12">
        <v>0</v>
      </c>
      <c r="K690" s="11">
        <v>752.61</v>
      </c>
      <c r="L690" s="12">
        <v>0</v>
      </c>
      <c r="M690" s="11">
        <v>752.61</v>
      </c>
      <c r="N690" s="13">
        <v>0</v>
      </c>
      <c r="O690" s="11">
        <v>0</v>
      </c>
      <c r="P690" s="11">
        <v>0</v>
      </c>
      <c r="Q690" s="11">
        <v>0</v>
      </c>
      <c r="R690" s="11">
        <v>0</v>
      </c>
      <c r="S690" s="14">
        <v>0</v>
      </c>
      <c r="T690" s="11">
        <v>752.61</v>
      </c>
      <c r="U690" s="13" cm="1">
        <f t="array" ref="U690">IF(Table8[[#This Row],[I_0]]&lt;Table24[Flitro de Ruido],1,Table8[[#This Row],[I_10]]/Table8[[#This Row],[I_0]])</f>
        <v>1</v>
      </c>
      <c r="V690" s="13" cm="1">
        <f t="array" ref="V690">IF(Table8[[#This Row],[I_0]]&lt;Table24[Flitro de Ruido],1,Table8[[#This Row],[I_20]]/Table8[[#This Row],[I_0]])</f>
        <v>1</v>
      </c>
      <c r="W690" s="13" cm="1">
        <f t="array" ref="W690">IF(Table8[[#This Row],[I_0]]&lt;Table24[Flitro de Ruido],1,Table8[[#This Row],[I_30]]/Table8[[#This Row],[I_0]])</f>
        <v>1</v>
      </c>
      <c r="X690" s="13" cm="1">
        <f t="array" ref="X690">IF(Table8[[#This Row],[I_0]]&lt;Table24[Flitro de Ruido],1,Table8[[#This Row],[I_40]]/Table8[[#This Row],[I_0]])</f>
        <v>1</v>
      </c>
      <c r="Y690" s="13" cm="1">
        <f t="array" ref="Y690">IF(Table8[[#This Row],[I_0]]&lt;Table24[Flitro de Ruido],1,Table8[[#This Row],[I_50]]/Table8[[#This Row],[I_0]])</f>
        <v>1</v>
      </c>
    </row>
    <row r="691" spans="1:25" x14ac:dyDescent="0.3">
      <c r="A691" s="13">
        <v>753.61</v>
      </c>
      <c r="B691" s="12">
        <v>0</v>
      </c>
      <c r="C691" s="11">
        <v>753.61</v>
      </c>
      <c r="D691" s="12">
        <v>0</v>
      </c>
      <c r="E691" s="11">
        <v>753.61</v>
      </c>
      <c r="F691" s="12">
        <v>0</v>
      </c>
      <c r="G691" s="11">
        <v>753.61</v>
      </c>
      <c r="H691" s="12">
        <v>0</v>
      </c>
      <c r="I691" s="11">
        <v>753.61</v>
      </c>
      <c r="J691" s="12">
        <v>0</v>
      </c>
      <c r="K691" s="11">
        <v>753.61</v>
      </c>
      <c r="L691" s="12">
        <v>0</v>
      </c>
      <c r="M691" s="11">
        <v>753.61</v>
      </c>
      <c r="N691" s="13">
        <v>0</v>
      </c>
      <c r="O691" s="11">
        <v>0</v>
      </c>
      <c r="P691" s="11">
        <v>0</v>
      </c>
      <c r="Q691" s="11">
        <v>0</v>
      </c>
      <c r="R691" s="11">
        <v>0</v>
      </c>
      <c r="S691" s="14">
        <v>0</v>
      </c>
      <c r="T691" s="11">
        <v>753.61</v>
      </c>
      <c r="U691" s="13" cm="1">
        <f t="array" ref="U691">IF(Table8[[#This Row],[I_0]]&lt;Table24[Flitro de Ruido],1,Table8[[#This Row],[I_10]]/Table8[[#This Row],[I_0]])</f>
        <v>1</v>
      </c>
      <c r="V691" s="13" cm="1">
        <f t="array" ref="V691">IF(Table8[[#This Row],[I_0]]&lt;Table24[Flitro de Ruido],1,Table8[[#This Row],[I_20]]/Table8[[#This Row],[I_0]])</f>
        <v>1</v>
      </c>
      <c r="W691" s="13" cm="1">
        <f t="array" ref="W691">IF(Table8[[#This Row],[I_0]]&lt;Table24[Flitro de Ruido],1,Table8[[#This Row],[I_30]]/Table8[[#This Row],[I_0]])</f>
        <v>1</v>
      </c>
      <c r="X691" s="13" cm="1">
        <f t="array" ref="X691">IF(Table8[[#This Row],[I_0]]&lt;Table24[Flitro de Ruido],1,Table8[[#This Row],[I_40]]/Table8[[#This Row],[I_0]])</f>
        <v>1</v>
      </c>
      <c r="Y691" s="13" cm="1">
        <f t="array" ref="Y691">IF(Table8[[#This Row],[I_0]]&lt;Table24[Flitro de Ruido],1,Table8[[#This Row],[I_50]]/Table8[[#This Row],[I_0]])</f>
        <v>1</v>
      </c>
    </row>
    <row r="692" spans="1:25" x14ac:dyDescent="0.3">
      <c r="A692" s="13">
        <v>754.6</v>
      </c>
      <c r="B692" s="12">
        <v>0</v>
      </c>
      <c r="C692" s="11">
        <v>754.6</v>
      </c>
      <c r="D692" s="12">
        <v>0</v>
      </c>
      <c r="E692" s="11">
        <v>754.6</v>
      </c>
      <c r="F692" s="12">
        <v>0</v>
      </c>
      <c r="G692" s="11">
        <v>754.6</v>
      </c>
      <c r="H692" s="12">
        <v>0</v>
      </c>
      <c r="I692" s="11">
        <v>754.6</v>
      </c>
      <c r="J692" s="12">
        <v>0</v>
      </c>
      <c r="K692" s="11">
        <v>754.6</v>
      </c>
      <c r="L692" s="12">
        <v>0</v>
      </c>
      <c r="M692" s="11">
        <v>754.6</v>
      </c>
      <c r="N692" s="13">
        <v>0</v>
      </c>
      <c r="O692" s="11">
        <v>0</v>
      </c>
      <c r="P692" s="11">
        <v>0</v>
      </c>
      <c r="Q692" s="11">
        <v>0</v>
      </c>
      <c r="R692" s="11">
        <v>0</v>
      </c>
      <c r="S692" s="14">
        <v>0</v>
      </c>
      <c r="T692" s="11">
        <v>754.6</v>
      </c>
      <c r="U692" s="13" cm="1">
        <f t="array" ref="U692">IF(Table8[[#This Row],[I_0]]&lt;Table24[Flitro de Ruido],1,Table8[[#This Row],[I_10]]/Table8[[#This Row],[I_0]])</f>
        <v>1</v>
      </c>
      <c r="V692" s="13" cm="1">
        <f t="array" ref="V692">IF(Table8[[#This Row],[I_0]]&lt;Table24[Flitro de Ruido],1,Table8[[#This Row],[I_20]]/Table8[[#This Row],[I_0]])</f>
        <v>1</v>
      </c>
      <c r="W692" s="13" cm="1">
        <f t="array" ref="W692">IF(Table8[[#This Row],[I_0]]&lt;Table24[Flitro de Ruido],1,Table8[[#This Row],[I_30]]/Table8[[#This Row],[I_0]])</f>
        <v>1</v>
      </c>
      <c r="X692" s="13" cm="1">
        <f t="array" ref="X692">IF(Table8[[#This Row],[I_0]]&lt;Table24[Flitro de Ruido],1,Table8[[#This Row],[I_40]]/Table8[[#This Row],[I_0]])</f>
        <v>1</v>
      </c>
      <c r="Y692" s="13" cm="1">
        <f t="array" ref="Y692">IF(Table8[[#This Row],[I_0]]&lt;Table24[Flitro de Ruido],1,Table8[[#This Row],[I_50]]/Table8[[#This Row],[I_0]])</f>
        <v>1</v>
      </c>
    </row>
    <row r="693" spans="1:25" x14ac:dyDescent="0.3">
      <c r="A693" s="13">
        <v>755.59</v>
      </c>
      <c r="B693" s="12">
        <v>0</v>
      </c>
      <c r="C693" s="11">
        <v>755.59</v>
      </c>
      <c r="D693" s="12">
        <v>0</v>
      </c>
      <c r="E693" s="11">
        <v>755.59</v>
      </c>
      <c r="F693" s="12">
        <v>0</v>
      </c>
      <c r="G693" s="11">
        <v>755.59</v>
      </c>
      <c r="H693" s="12">
        <v>0</v>
      </c>
      <c r="I693" s="11">
        <v>755.59</v>
      </c>
      <c r="J693" s="12">
        <v>0</v>
      </c>
      <c r="K693" s="11">
        <v>755.59</v>
      </c>
      <c r="L693" s="12">
        <v>0</v>
      </c>
      <c r="M693" s="11">
        <v>755.59</v>
      </c>
      <c r="N693" s="13">
        <v>0</v>
      </c>
      <c r="O693" s="11">
        <v>0</v>
      </c>
      <c r="P693" s="11">
        <v>0</v>
      </c>
      <c r="Q693" s="11">
        <v>0</v>
      </c>
      <c r="R693" s="11">
        <v>0</v>
      </c>
      <c r="S693" s="14">
        <v>0</v>
      </c>
      <c r="T693" s="11">
        <v>755.59</v>
      </c>
      <c r="U693" s="13" cm="1">
        <f t="array" ref="U693">IF(Table8[[#This Row],[I_0]]&lt;Table24[Flitro de Ruido],1,Table8[[#This Row],[I_10]]/Table8[[#This Row],[I_0]])</f>
        <v>1</v>
      </c>
      <c r="V693" s="13" cm="1">
        <f t="array" ref="V693">IF(Table8[[#This Row],[I_0]]&lt;Table24[Flitro de Ruido],1,Table8[[#This Row],[I_20]]/Table8[[#This Row],[I_0]])</f>
        <v>1</v>
      </c>
      <c r="W693" s="13" cm="1">
        <f t="array" ref="W693">IF(Table8[[#This Row],[I_0]]&lt;Table24[Flitro de Ruido],1,Table8[[#This Row],[I_30]]/Table8[[#This Row],[I_0]])</f>
        <v>1</v>
      </c>
      <c r="X693" s="13" cm="1">
        <f t="array" ref="X693">IF(Table8[[#This Row],[I_0]]&lt;Table24[Flitro de Ruido],1,Table8[[#This Row],[I_40]]/Table8[[#This Row],[I_0]])</f>
        <v>1</v>
      </c>
      <c r="Y693" s="13" cm="1">
        <f t="array" ref="Y693">IF(Table8[[#This Row],[I_0]]&lt;Table24[Flitro de Ruido],1,Table8[[#This Row],[I_50]]/Table8[[#This Row],[I_0]])</f>
        <v>1</v>
      </c>
    </row>
    <row r="694" spans="1:25" x14ac:dyDescent="0.3">
      <c r="A694" s="13">
        <v>756.58</v>
      </c>
      <c r="B694" s="12">
        <v>0</v>
      </c>
      <c r="C694" s="11">
        <v>756.58</v>
      </c>
      <c r="D694" s="12">
        <v>0</v>
      </c>
      <c r="E694" s="11">
        <v>756.58</v>
      </c>
      <c r="F694" s="12">
        <v>0</v>
      </c>
      <c r="G694" s="11">
        <v>756.58</v>
      </c>
      <c r="H694" s="12">
        <v>0</v>
      </c>
      <c r="I694" s="11">
        <v>756.58</v>
      </c>
      <c r="J694" s="12">
        <v>0</v>
      </c>
      <c r="K694" s="11">
        <v>756.58</v>
      </c>
      <c r="L694" s="12">
        <v>0</v>
      </c>
      <c r="M694" s="11">
        <v>756.58</v>
      </c>
      <c r="N694" s="13">
        <v>0</v>
      </c>
      <c r="O694" s="11">
        <v>0</v>
      </c>
      <c r="P694" s="11">
        <v>0</v>
      </c>
      <c r="Q694" s="11">
        <v>0</v>
      </c>
      <c r="R694" s="11">
        <v>0</v>
      </c>
      <c r="S694" s="14">
        <v>0</v>
      </c>
      <c r="T694" s="11">
        <v>756.58</v>
      </c>
      <c r="U694" s="13" cm="1">
        <f t="array" ref="U694">IF(Table8[[#This Row],[I_0]]&lt;Table24[Flitro de Ruido],1,Table8[[#This Row],[I_10]]/Table8[[#This Row],[I_0]])</f>
        <v>1</v>
      </c>
      <c r="V694" s="13" cm="1">
        <f t="array" ref="V694">IF(Table8[[#This Row],[I_0]]&lt;Table24[Flitro de Ruido],1,Table8[[#This Row],[I_20]]/Table8[[#This Row],[I_0]])</f>
        <v>1</v>
      </c>
      <c r="W694" s="13" cm="1">
        <f t="array" ref="W694">IF(Table8[[#This Row],[I_0]]&lt;Table24[Flitro de Ruido],1,Table8[[#This Row],[I_30]]/Table8[[#This Row],[I_0]])</f>
        <v>1</v>
      </c>
      <c r="X694" s="13" cm="1">
        <f t="array" ref="X694">IF(Table8[[#This Row],[I_0]]&lt;Table24[Flitro de Ruido],1,Table8[[#This Row],[I_40]]/Table8[[#This Row],[I_0]])</f>
        <v>1</v>
      </c>
      <c r="Y694" s="13" cm="1">
        <f t="array" ref="Y694">IF(Table8[[#This Row],[I_0]]&lt;Table24[Flitro de Ruido],1,Table8[[#This Row],[I_50]]/Table8[[#This Row],[I_0]])</f>
        <v>1</v>
      </c>
    </row>
    <row r="695" spans="1:25" x14ac:dyDescent="0.3">
      <c r="A695" s="13">
        <v>757.57</v>
      </c>
      <c r="B695" s="12">
        <v>0</v>
      </c>
      <c r="C695" s="11">
        <v>757.57</v>
      </c>
      <c r="D695" s="12">
        <v>0</v>
      </c>
      <c r="E695" s="11">
        <v>757.57</v>
      </c>
      <c r="F695" s="12">
        <v>0</v>
      </c>
      <c r="G695" s="11">
        <v>757.57</v>
      </c>
      <c r="H695" s="12">
        <v>0</v>
      </c>
      <c r="I695" s="11">
        <v>757.57</v>
      </c>
      <c r="J695" s="12">
        <v>0</v>
      </c>
      <c r="K695" s="11">
        <v>757.57</v>
      </c>
      <c r="L695" s="12">
        <v>0</v>
      </c>
      <c r="M695" s="11">
        <v>757.57</v>
      </c>
      <c r="N695" s="13">
        <v>0</v>
      </c>
      <c r="O695" s="11">
        <v>0</v>
      </c>
      <c r="P695" s="11">
        <v>0</v>
      </c>
      <c r="Q695" s="11">
        <v>0</v>
      </c>
      <c r="R695" s="11">
        <v>0</v>
      </c>
      <c r="S695" s="14">
        <v>0</v>
      </c>
      <c r="T695" s="11">
        <v>757.57</v>
      </c>
      <c r="U695" s="13" cm="1">
        <f t="array" ref="U695">IF(Table8[[#This Row],[I_0]]&lt;Table24[Flitro de Ruido],1,Table8[[#This Row],[I_10]]/Table8[[#This Row],[I_0]])</f>
        <v>1</v>
      </c>
      <c r="V695" s="13" cm="1">
        <f t="array" ref="V695">IF(Table8[[#This Row],[I_0]]&lt;Table24[Flitro de Ruido],1,Table8[[#This Row],[I_20]]/Table8[[#This Row],[I_0]])</f>
        <v>1</v>
      </c>
      <c r="W695" s="13" cm="1">
        <f t="array" ref="W695">IF(Table8[[#This Row],[I_0]]&lt;Table24[Flitro de Ruido],1,Table8[[#This Row],[I_30]]/Table8[[#This Row],[I_0]])</f>
        <v>1</v>
      </c>
      <c r="X695" s="13" cm="1">
        <f t="array" ref="X695">IF(Table8[[#This Row],[I_0]]&lt;Table24[Flitro de Ruido],1,Table8[[#This Row],[I_40]]/Table8[[#This Row],[I_0]])</f>
        <v>1</v>
      </c>
      <c r="Y695" s="13" cm="1">
        <f t="array" ref="Y695">IF(Table8[[#This Row],[I_0]]&lt;Table24[Flitro de Ruido],1,Table8[[#This Row],[I_50]]/Table8[[#This Row],[I_0]])</f>
        <v>1</v>
      </c>
    </row>
    <row r="696" spans="1:25" x14ac:dyDescent="0.3">
      <c r="A696" s="13">
        <v>758.57</v>
      </c>
      <c r="B696" s="12">
        <v>0</v>
      </c>
      <c r="C696" s="11">
        <v>758.57</v>
      </c>
      <c r="D696" s="12">
        <v>0</v>
      </c>
      <c r="E696" s="11">
        <v>758.57</v>
      </c>
      <c r="F696" s="12">
        <v>0</v>
      </c>
      <c r="G696" s="11">
        <v>758.57</v>
      </c>
      <c r="H696" s="12">
        <v>0</v>
      </c>
      <c r="I696" s="11">
        <v>758.57</v>
      </c>
      <c r="J696" s="12">
        <v>0</v>
      </c>
      <c r="K696" s="11">
        <v>758.57</v>
      </c>
      <c r="L696" s="12">
        <v>0</v>
      </c>
      <c r="M696" s="11">
        <v>758.57</v>
      </c>
      <c r="N696" s="13">
        <v>0</v>
      </c>
      <c r="O696" s="11">
        <v>0</v>
      </c>
      <c r="P696" s="11">
        <v>0</v>
      </c>
      <c r="Q696" s="11">
        <v>0</v>
      </c>
      <c r="R696" s="11">
        <v>0</v>
      </c>
      <c r="S696" s="14">
        <v>0</v>
      </c>
      <c r="T696" s="11">
        <v>758.57</v>
      </c>
      <c r="U696" s="13" cm="1">
        <f t="array" ref="U696">IF(Table8[[#This Row],[I_0]]&lt;Table24[Flitro de Ruido],1,Table8[[#This Row],[I_10]]/Table8[[#This Row],[I_0]])</f>
        <v>1</v>
      </c>
      <c r="V696" s="13" cm="1">
        <f t="array" ref="V696">IF(Table8[[#This Row],[I_0]]&lt;Table24[Flitro de Ruido],1,Table8[[#This Row],[I_20]]/Table8[[#This Row],[I_0]])</f>
        <v>1</v>
      </c>
      <c r="W696" s="13" cm="1">
        <f t="array" ref="W696">IF(Table8[[#This Row],[I_0]]&lt;Table24[Flitro de Ruido],1,Table8[[#This Row],[I_30]]/Table8[[#This Row],[I_0]])</f>
        <v>1</v>
      </c>
      <c r="X696" s="13" cm="1">
        <f t="array" ref="X696">IF(Table8[[#This Row],[I_0]]&lt;Table24[Flitro de Ruido],1,Table8[[#This Row],[I_40]]/Table8[[#This Row],[I_0]])</f>
        <v>1</v>
      </c>
      <c r="Y696" s="13" cm="1">
        <f t="array" ref="Y696">IF(Table8[[#This Row],[I_0]]&lt;Table24[Flitro de Ruido],1,Table8[[#This Row],[I_50]]/Table8[[#This Row],[I_0]])</f>
        <v>1</v>
      </c>
    </row>
    <row r="697" spans="1:25" x14ac:dyDescent="0.3">
      <c r="A697" s="13">
        <v>759.56</v>
      </c>
      <c r="B697" s="12">
        <v>0</v>
      </c>
      <c r="C697" s="11">
        <v>759.56</v>
      </c>
      <c r="D697" s="12">
        <v>0</v>
      </c>
      <c r="E697" s="11">
        <v>759.56</v>
      </c>
      <c r="F697" s="12">
        <v>0</v>
      </c>
      <c r="G697" s="11">
        <v>759.56</v>
      </c>
      <c r="H697" s="12">
        <v>0</v>
      </c>
      <c r="I697" s="11">
        <v>759.56</v>
      </c>
      <c r="J697" s="12">
        <v>0</v>
      </c>
      <c r="K697" s="11">
        <v>759.56</v>
      </c>
      <c r="L697" s="12">
        <v>0</v>
      </c>
      <c r="M697" s="11">
        <v>759.56</v>
      </c>
      <c r="N697" s="13">
        <v>0</v>
      </c>
      <c r="O697" s="11">
        <v>0</v>
      </c>
      <c r="P697" s="11">
        <v>0</v>
      </c>
      <c r="Q697" s="11">
        <v>0</v>
      </c>
      <c r="R697" s="11">
        <v>0</v>
      </c>
      <c r="S697" s="14">
        <v>0</v>
      </c>
      <c r="T697" s="11">
        <v>759.56</v>
      </c>
      <c r="U697" s="13" cm="1">
        <f t="array" ref="U697">IF(Table8[[#This Row],[I_0]]&lt;Table24[Flitro de Ruido],1,Table8[[#This Row],[I_10]]/Table8[[#This Row],[I_0]])</f>
        <v>1</v>
      </c>
      <c r="V697" s="13" cm="1">
        <f t="array" ref="V697">IF(Table8[[#This Row],[I_0]]&lt;Table24[Flitro de Ruido],1,Table8[[#This Row],[I_20]]/Table8[[#This Row],[I_0]])</f>
        <v>1</v>
      </c>
      <c r="W697" s="13" cm="1">
        <f t="array" ref="W697">IF(Table8[[#This Row],[I_0]]&lt;Table24[Flitro de Ruido],1,Table8[[#This Row],[I_30]]/Table8[[#This Row],[I_0]])</f>
        <v>1</v>
      </c>
      <c r="X697" s="13" cm="1">
        <f t="array" ref="X697">IF(Table8[[#This Row],[I_0]]&lt;Table24[Flitro de Ruido],1,Table8[[#This Row],[I_40]]/Table8[[#This Row],[I_0]])</f>
        <v>1</v>
      </c>
      <c r="Y697" s="13" cm="1">
        <f t="array" ref="Y697">IF(Table8[[#This Row],[I_0]]&lt;Table24[Flitro de Ruido],1,Table8[[#This Row],[I_50]]/Table8[[#This Row],[I_0]])</f>
        <v>1</v>
      </c>
    </row>
    <row r="698" spans="1:25" x14ac:dyDescent="0.3">
      <c r="A698" s="13">
        <v>760.55</v>
      </c>
      <c r="B698" s="12">
        <v>0</v>
      </c>
      <c r="C698" s="11">
        <v>760.55</v>
      </c>
      <c r="D698" s="12">
        <v>0</v>
      </c>
      <c r="E698" s="11">
        <v>760.55</v>
      </c>
      <c r="F698" s="12">
        <v>0</v>
      </c>
      <c r="G698" s="11">
        <v>760.55</v>
      </c>
      <c r="H698" s="12">
        <v>0</v>
      </c>
      <c r="I698" s="11">
        <v>760.55</v>
      </c>
      <c r="J698" s="12">
        <v>0</v>
      </c>
      <c r="K698" s="11">
        <v>760.55</v>
      </c>
      <c r="L698" s="12">
        <v>0</v>
      </c>
      <c r="M698" s="11">
        <v>760.55</v>
      </c>
      <c r="N698" s="13">
        <v>0</v>
      </c>
      <c r="O698" s="11">
        <v>0</v>
      </c>
      <c r="P698" s="11">
        <v>0</v>
      </c>
      <c r="Q698" s="11">
        <v>0</v>
      </c>
      <c r="R698" s="11">
        <v>0</v>
      </c>
      <c r="S698" s="14">
        <v>0</v>
      </c>
      <c r="T698" s="11">
        <v>760.55</v>
      </c>
      <c r="U698" s="13" cm="1">
        <f t="array" ref="U698">IF(Table8[[#This Row],[I_0]]&lt;Table24[Flitro de Ruido],1,Table8[[#This Row],[I_10]]/Table8[[#This Row],[I_0]])</f>
        <v>1</v>
      </c>
      <c r="V698" s="13" cm="1">
        <f t="array" ref="V698">IF(Table8[[#This Row],[I_0]]&lt;Table24[Flitro de Ruido],1,Table8[[#This Row],[I_20]]/Table8[[#This Row],[I_0]])</f>
        <v>1</v>
      </c>
      <c r="W698" s="13" cm="1">
        <f t="array" ref="W698">IF(Table8[[#This Row],[I_0]]&lt;Table24[Flitro de Ruido],1,Table8[[#This Row],[I_30]]/Table8[[#This Row],[I_0]])</f>
        <v>1</v>
      </c>
      <c r="X698" s="13" cm="1">
        <f t="array" ref="X698">IF(Table8[[#This Row],[I_0]]&lt;Table24[Flitro de Ruido],1,Table8[[#This Row],[I_40]]/Table8[[#This Row],[I_0]])</f>
        <v>1</v>
      </c>
      <c r="Y698" s="13" cm="1">
        <f t="array" ref="Y698">IF(Table8[[#This Row],[I_0]]&lt;Table24[Flitro de Ruido],1,Table8[[#This Row],[I_50]]/Table8[[#This Row],[I_0]])</f>
        <v>1</v>
      </c>
    </row>
    <row r="699" spans="1:25" x14ac:dyDescent="0.3">
      <c r="A699" s="13">
        <v>761.54</v>
      </c>
      <c r="B699" s="12">
        <v>0</v>
      </c>
      <c r="C699" s="11">
        <v>761.54</v>
      </c>
      <c r="D699" s="12">
        <v>0</v>
      </c>
      <c r="E699" s="11">
        <v>761.54</v>
      </c>
      <c r="F699" s="12">
        <v>0</v>
      </c>
      <c r="G699" s="11">
        <v>761.54</v>
      </c>
      <c r="H699" s="12">
        <v>0</v>
      </c>
      <c r="I699" s="11">
        <v>761.54</v>
      </c>
      <c r="J699" s="12">
        <v>0</v>
      </c>
      <c r="K699" s="11">
        <v>761.54</v>
      </c>
      <c r="L699" s="12">
        <v>0</v>
      </c>
      <c r="M699" s="11">
        <v>761.54</v>
      </c>
      <c r="N699" s="13">
        <v>0</v>
      </c>
      <c r="O699" s="11">
        <v>0</v>
      </c>
      <c r="P699" s="11">
        <v>0</v>
      </c>
      <c r="Q699" s="11">
        <v>0</v>
      </c>
      <c r="R699" s="11">
        <v>0</v>
      </c>
      <c r="S699" s="14">
        <v>0</v>
      </c>
      <c r="T699" s="11">
        <v>761.54</v>
      </c>
      <c r="U699" s="13" cm="1">
        <f t="array" ref="U699">IF(Table8[[#This Row],[I_0]]&lt;Table24[Flitro de Ruido],1,Table8[[#This Row],[I_10]]/Table8[[#This Row],[I_0]])</f>
        <v>1</v>
      </c>
      <c r="V699" s="13" cm="1">
        <f t="array" ref="V699">IF(Table8[[#This Row],[I_0]]&lt;Table24[Flitro de Ruido],1,Table8[[#This Row],[I_20]]/Table8[[#This Row],[I_0]])</f>
        <v>1</v>
      </c>
      <c r="W699" s="13" cm="1">
        <f t="array" ref="W699">IF(Table8[[#This Row],[I_0]]&lt;Table24[Flitro de Ruido],1,Table8[[#This Row],[I_30]]/Table8[[#This Row],[I_0]])</f>
        <v>1</v>
      </c>
      <c r="X699" s="13" cm="1">
        <f t="array" ref="X699">IF(Table8[[#This Row],[I_0]]&lt;Table24[Flitro de Ruido],1,Table8[[#This Row],[I_40]]/Table8[[#This Row],[I_0]])</f>
        <v>1</v>
      </c>
      <c r="Y699" s="13" cm="1">
        <f t="array" ref="Y699">IF(Table8[[#This Row],[I_0]]&lt;Table24[Flitro de Ruido],1,Table8[[#This Row],[I_50]]/Table8[[#This Row],[I_0]])</f>
        <v>1</v>
      </c>
    </row>
    <row r="700" spans="1:25" x14ac:dyDescent="0.3">
      <c r="A700" s="13">
        <v>762.53</v>
      </c>
      <c r="B700" s="12">
        <v>0</v>
      </c>
      <c r="C700" s="11">
        <v>762.53</v>
      </c>
      <c r="D700" s="12">
        <v>0</v>
      </c>
      <c r="E700" s="11">
        <v>762.53</v>
      </c>
      <c r="F700" s="12">
        <v>0</v>
      </c>
      <c r="G700" s="11">
        <v>762.53</v>
      </c>
      <c r="H700" s="12">
        <v>0</v>
      </c>
      <c r="I700" s="11">
        <v>762.53</v>
      </c>
      <c r="J700" s="12">
        <v>0</v>
      </c>
      <c r="K700" s="11">
        <v>762.53</v>
      </c>
      <c r="L700" s="12">
        <v>0</v>
      </c>
      <c r="M700" s="11">
        <v>762.53</v>
      </c>
      <c r="N700" s="13">
        <v>0</v>
      </c>
      <c r="O700" s="11">
        <v>0</v>
      </c>
      <c r="P700" s="11">
        <v>0</v>
      </c>
      <c r="Q700" s="11">
        <v>0</v>
      </c>
      <c r="R700" s="11">
        <v>0</v>
      </c>
      <c r="S700" s="14">
        <v>0</v>
      </c>
      <c r="T700" s="11">
        <v>762.53</v>
      </c>
      <c r="U700" s="13" cm="1">
        <f t="array" ref="U700">IF(Table8[[#This Row],[I_0]]&lt;Table24[Flitro de Ruido],1,Table8[[#This Row],[I_10]]/Table8[[#This Row],[I_0]])</f>
        <v>1</v>
      </c>
      <c r="V700" s="13" cm="1">
        <f t="array" ref="V700">IF(Table8[[#This Row],[I_0]]&lt;Table24[Flitro de Ruido],1,Table8[[#This Row],[I_20]]/Table8[[#This Row],[I_0]])</f>
        <v>1</v>
      </c>
      <c r="W700" s="13" cm="1">
        <f t="array" ref="W700">IF(Table8[[#This Row],[I_0]]&lt;Table24[Flitro de Ruido],1,Table8[[#This Row],[I_30]]/Table8[[#This Row],[I_0]])</f>
        <v>1</v>
      </c>
      <c r="X700" s="13" cm="1">
        <f t="array" ref="X700">IF(Table8[[#This Row],[I_0]]&lt;Table24[Flitro de Ruido],1,Table8[[#This Row],[I_40]]/Table8[[#This Row],[I_0]])</f>
        <v>1</v>
      </c>
      <c r="Y700" s="13" cm="1">
        <f t="array" ref="Y700">IF(Table8[[#This Row],[I_0]]&lt;Table24[Flitro de Ruido],1,Table8[[#This Row],[I_50]]/Table8[[#This Row],[I_0]])</f>
        <v>1</v>
      </c>
    </row>
    <row r="701" spans="1:25" x14ac:dyDescent="0.3">
      <c r="A701" s="13">
        <v>763.52</v>
      </c>
      <c r="B701" s="12">
        <v>0</v>
      </c>
      <c r="C701" s="11">
        <v>763.52</v>
      </c>
      <c r="D701" s="12">
        <v>0</v>
      </c>
      <c r="E701" s="11">
        <v>763.52</v>
      </c>
      <c r="F701" s="12">
        <v>0</v>
      </c>
      <c r="G701" s="11">
        <v>763.52</v>
      </c>
      <c r="H701" s="12">
        <v>0</v>
      </c>
      <c r="I701" s="11">
        <v>763.52</v>
      </c>
      <c r="J701" s="12">
        <v>0</v>
      </c>
      <c r="K701" s="11">
        <v>763.52</v>
      </c>
      <c r="L701" s="12">
        <v>0</v>
      </c>
      <c r="M701" s="11">
        <v>763.52</v>
      </c>
      <c r="N701" s="13">
        <v>0</v>
      </c>
      <c r="O701" s="11">
        <v>0</v>
      </c>
      <c r="P701" s="11">
        <v>0</v>
      </c>
      <c r="Q701" s="11">
        <v>0</v>
      </c>
      <c r="R701" s="11">
        <v>0</v>
      </c>
      <c r="S701" s="14">
        <v>0</v>
      </c>
      <c r="T701" s="11">
        <v>763.52</v>
      </c>
      <c r="U701" s="13" cm="1">
        <f t="array" ref="U701">IF(Table8[[#This Row],[I_0]]&lt;Table24[Flitro de Ruido],1,Table8[[#This Row],[I_10]]/Table8[[#This Row],[I_0]])</f>
        <v>1</v>
      </c>
      <c r="V701" s="13" cm="1">
        <f t="array" ref="V701">IF(Table8[[#This Row],[I_0]]&lt;Table24[Flitro de Ruido],1,Table8[[#This Row],[I_20]]/Table8[[#This Row],[I_0]])</f>
        <v>1</v>
      </c>
      <c r="W701" s="13" cm="1">
        <f t="array" ref="W701">IF(Table8[[#This Row],[I_0]]&lt;Table24[Flitro de Ruido],1,Table8[[#This Row],[I_30]]/Table8[[#This Row],[I_0]])</f>
        <v>1</v>
      </c>
      <c r="X701" s="13" cm="1">
        <f t="array" ref="X701">IF(Table8[[#This Row],[I_0]]&lt;Table24[Flitro de Ruido],1,Table8[[#This Row],[I_40]]/Table8[[#This Row],[I_0]])</f>
        <v>1</v>
      </c>
      <c r="Y701" s="13" cm="1">
        <f t="array" ref="Y701">IF(Table8[[#This Row],[I_0]]&lt;Table24[Flitro de Ruido],1,Table8[[#This Row],[I_50]]/Table8[[#This Row],[I_0]])</f>
        <v>1</v>
      </c>
    </row>
    <row r="702" spans="1:25" x14ac:dyDescent="0.3">
      <c r="A702" s="13">
        <v>764.52</v>
      </c>
      <c r="B702" s="12">
        <v>0</v>
      </c>
      <c r="C702" s="11">
        <v>764.52</v>
      </c>
      <c r="D702" s="12">
        <v>0</v>
      </c>
      <c r="E702" s="11">
        <v>764.52</v>
      </c>
      <c r="F702" s="12">
        <v>0</v>
      </c>
      <c r="G702" s="11">
        <v>764.52</v>
      </c>
      <c r="H702" s="12">
        <v>0</v>
      </c>
      <c r="I702" s="11">
        <v>764.52</v>
      </c>
      <c r="J702" s="12">
        <v>0</v>
      </c>
      <c r="K702" s="11">
        <v>764.52</v>
      </c>
      <c r="L702" s="12">
        <v>0</v>
      </c>
      <c r="M702" s="11">
        <v>764.52</v>
      </c>
      <c r="N702" s="13">
        <v>0</v>
      </c>
      <c r="O702" s="11">
        <v>0</v>
      </c>
      <c r="P702" s="11">
        <v>0</v>
      </c>
      <c r="Q702" s="11">
        <v>0</v>
      </c>
      <c r="R702" s="11">
        <v>0</v>
      </c>
      <c r="S702" s="14">
        <v>0</v>
      </c>
      <c r="T702" s="11">
        <v>764.52</v>
      </c>
      <c r="U702" s="13" cm="1">
        <f t="array" ref="U702">IF(Table8[[#This Row],[I_0]]&lt;Table24[Flitro de Ruido],1,Table8[[#This Row],[I_10]]/Table8[[#This Row],[I_0]])</f>
        <v>1</v>
      </c>
      <c r="V702" s="13" cm="1">
        <f t="array" ref="V702">IF(Table8[[#This Row],[I_0]]&lt;Table24[Flitro de Ruido],1,Table8[[#This Row],[I_20]]/Table8[[#This Row],[I_0]])</f>
        <v>1</v>
      </c>
      <c r="W702" s="13" cm="1">
        <f t="array" ref="W702">IF(Table8[[#This Row],[I_0]]&lt;Table24[Flitro de Ruido],1,Table8[[#This Row],[I_30]]/Table8[[#This Row],[I_0]])</f>
        <v>1</v>
      </c>
      <c r="X702" s="13" cm="1">
        <f t="array" ref="X702">IF(Table8[[#This Row],[I_0]]&lt;Table24[Flitro de Ruido],1,Table8[[#This Row],[I_40]]/Table8[[#This Row],[I_0]])</f>
        <v>1</v>
      </c>
      <c r="Y702" s="13" cm="1">
        <f t="array" ref="Y702">IF(Table8[[#This Row],[I_0]]&lt;Table24[Flitro de Ruido],1,Table8[[#This Row],[I_50]]/Table8[[#This Row],[I_0]])</f>
        <v>1</v>
      </c>
    </row>
    <row r="703" spans="1:25" x14ac:dyDescent="0.3">
      <c r="A703" s="13">
        <v>765.51</v>
      </c>
      <c r="B703" s="12">
        <v>0</v>
      </c>
      <c r="C703" s="11">
        <v>765.51</v>
      </c>
      <c r="D703" s="12">
        <v>0</v>
      </c>
      <c r="E703" s="11">
        <v>765.51</v>
      </c>
      <c r="F703" s="12">
        <v>0</v>
      </c>
      <c r="G703" s="11">
        <v>765.51</v>
      </c>
      <c r="H703" s="12">
        <v>0</v>
      </c>
      <c r="I703" s="11">
        <v>765.51</v>
      </c>
      <c r="J703" s="12">
        <v>0</v>
      </c>
      <c r="K703" s="11">
        <v>765.51</v>
      </c>
      <c r="L703" s="12">
        <v>0</v>
      </c>
      <c r="M703" s="11">
        <v>765.51</v>
      </c>
      <c r="N703" s="13">
        <v>0</v>
      </c>
      <c r="O703" s="11">
        <v>0</v>
      </c>
      <c r="P703" s="11">
        <v>0</v>
      </c>
      <c r="Q703" s="11">
        <v>0</v>
      </c>
      <c r="R703" s="11">
        <v>0</v>
      </c>
      <c r="S703" s="14">
        <v>0</v>
      </c>
      <c r="T703" s="11">
        <v>765.51</v>
      </c>
      <c r="U703" s="13" cm="1">
        <f t="array" ref="U703">IF(Table8[[#This Row],[I_0]]&lt;Table24[Flitro de Ruido],1,Table8[[#This Row],[I_10]]/Table8[[#This Row],[I_0]])</f>
        <v>1</v>
      </c>
      <c r="V703" s="13" cm="1">
        <f t="array" ref="V703">IF(Table8[[#This Row],[I_0]]&lt;Table24[Flitro de Ruido],1,Table8[[#This Row],[I_20]]/Table8[[#This Row],[I_0]])</f>
        <v>1</v>
      </c>
      <c r="W703" s="13" cm="1">
        <f t="array" ref="W703">IF(Table8[[#This Row],[I_0]]&lt;Table24[Flitro de Ruido],1,Table8[[#This Row],[I_30]]/Table8[[#This Row],[I_0]])</f>
        <v>1</v>
      </c>
      <c r="X703" s="13" cm="1">
        <f t="array" ref="X703">IF(Table8[[#This Row],[I_0]]&lt;Table24[Flitro de Ruido],1,Table8[[#This Row],[I_40]]/Table8[[#This Row],[I_0]])</f>
        <v>1</v>
      </c>
      <c r="Y703" s="13" cm="1">
        <f t="array" ref="Y703">IF(Table8[[#This Row],[I_0]]&lt;Table24[Flitro de Ruido],1,Table8[[#This Row],[I_50]]/Table8[[#This Row],[I_0]])</f>
        <v>1</v>
      </c>
    </row>
    <row r="704" spans="1:25" x14ac:dyDescent="0.3">
      <c r="A704" s="13">
        <v>766.5</v>
      </c>
      <c r="B704" s="12">
        <v>0</v>
      </c>
      <c r="C704" s="11">
        <v>766.5</v>
      </c>
      <c r="D704" s="12">
        <v>0</v>
      </c>
      <c r="E704" s="11">
        <v>766.5</v>
      </c>
      <c r="F704" s="12">
        <v>0</v>
      </c>
      <c r="G704" s="11">
        <v>766.5</v>
      </c>
      <c r="H704" s="12">
        <v>0</v>
      </c>
      <c r="I704" s="11">
        <v>766.5</v>
      </c>
      <c r="J704" s="12">
        <v>0</v>
      </c>
      <c r="K704" s="11">
        <v>766.5</v>
      </c>
      <c r="L704" s="12">
        <v>0</v>
      </c>
      <c r="M704" s="11">
        <v>766.5</v>
      </c>
      <c r="N704" s="13">
        <v>0</v>
      </c>
      <c r="O704" s="11">
        <v>0</v>
      </c>
      <c r="P704" s="11">
        <v>0</v>
      </c>
      <c r="Q704" s="11">
        <v>0</v>
      </c>
      <c r="R704" s="11">
        <v>0</v>
      </c>
      <c r="S704" s="14">
        <v>0</v>
      </c>
      <c r="T704" s="11">
        <v>766.5</v>
      </c>
      <c r="U704" s="13" cm="1">
        <f t="array" ref="U704">IF(Table8[[#This Row],[I_0]]&lt;Table24[Flitro de Ruido],1,Table8[[#This Row],[I_10]]/Table8[[#This Row],[I_0]])</f>
        <v>1</v>
      </c>
      <c r="V704" s="13" cm="1">
        <f t="array" ref="V704">IF(Table8[[#This Row],[I_0]]&lt;Table24[Flitro de Ruido],1,Table8[[#This Row],[I_20]]/Table8[[#This Row],[I_0]])</f>
        <v>1</v>
      </c>
      <c r="W704" s="13" cm="1">
        <f t="array" ref="W704">IF(Table8[[#This Row],[I_0]]&lt;Table24[Flitro de Ruido],1,Table8[[#This Row],[I_30]]/Table8[[#This Row],[I_0]])</f>
        <v>1</v>
      </c>
      <c r="X704" s="13" cm="1">
        <f t="array" ref="X704">IF(Table8[[#This Row],[I_0]]&lt;Table24[Flitro de Ruido],1,Table8[[#This Row],[I_40]]/Table8[[#This Row],[I_0]])</f>
        <v>1</v>
      </c>
      <c r="Y704" s="13" cm="1">
        <f t="array" ref="Y704">IF(Table8[[#This Row],[I_0]]&lt;Table24[Flitro de Ruido],1,Table8[[#This Row],[I_50]]/Table8[[#This Row],[I_0]])</f>
        <v>1</v>
      </c>
    </row>
    <row r="705" spans="1:25" x14ac:dyDescent="0.3">
      <c r="A705" s="13">
        <v>767.49</v>
      </c>
      <c r="B705" s="12">
        <v>0</v>
      </c>
      <c r="C705" s="11">
        <v>767.49</v>
      </c>
      <c r="D705" s="12">
        <v>0</v>
      </c>
      <c r="E705" s="11">
        <v>767.49</v>
      </c>
      <c r="F705" s="12">
        <v>0</v>
      </c>
      <c r="G705" s="11">
        <v>767.49</v>
      </c>
      <c r="H705" s="12">
        <v>0</v>
      </c>
      <c r="I705" s="11">
        <v>767.49</v>
      </c>
      <c r="J705" s="12">
        <v>0</v>
      </c>
      <c r="K705" s="11">
        <v>767.49</v>
      </c>
      <c r="L705" s="12">
        <v>0</v>
      </c>
      <c r="M705" s="11">
        <v>767.49</v>
      </c>
      <c r="N705" s="13">
        <v>0</v>
      </c>
      <c r="O705" s="11">
        <v>0</v>
      </c>
      <c r="P705" s="11">
        <v>0</v>
      </c>
      <c r="Q705" s="11">
        <v>0</v>
      </c>
      <c r="R705" s="11">
        <v>0</v>
      </c>
      <c r="S705" s="14">
        <v>0</v>
      </c>
      <c r="T705" s="11">
        <v>767.49</v>
      </c>
      <c r="U705" s="13" cm="1">
        <f t="array" ref="U705">IF(Table8[[#This Row],[I_0]]&lt;Table24[Flitro de Ruido],1,Table8[[#This Row],[I_10]]/Table8[[#This Row],[I_0]])</f>
        <v>1</v>
      </c>
      <c r="V705" s="13" cm="1">
        <f t="array" ref="V705">IF(Table8[[#This Row],[I_0]]&lt;Table24[Flitro de Ruido],1,Table8[[#This Row],[I_20]]/Table8[[#This Row],[I_0]])</f>
        <v>1</v>
      </c>
      <c r="W705" s="13" cm="1">
        <f t="array" ref="W705">IF(Table8[[#This Row],[I_0]]&lt;Table24[Flitro de Ruido],1,Table8[[#This Row],[I_30]]/Table8[[#This Row],[I_0]])</f>
        <v>1</v>
      </c>
      <c r="X705" s="13" cm="1">
        <f t="array" ref="X705">IF(Table8[[#This Row],[I_0]]&lt;Table24[Flitro de Ruido],1,Table8[[#This Row],[I_40]]/Table8[[#This Row],[I_0]])</f>
        <v>1</v>
      </c>
      <c r="Y705" s="13" cm="1">
        <f t="array" ref="Y705">IF(Table8[[#This Row],[I_0]]&lt;Table24[Flitro de Ruido],1,Table8[[#This Row],[I_50]]/Table8[[#This Row],[I_0]])</f>
        <v>1</v>
      </c>
    </row>
    <row r="706" spans="1:25" x14ac:dyDescent="0.3">
      <c r="A706" s="13">
        <v>768.48</v>
      </c>
      <c r="B706" s="12">
        <v>0</v>
      </c>
      <c r="C706" s="11">
        <v>768.48</v>
      </c>
      <c r="D706" s="12">
        <v>0</v>
      </c>
      <c r="E706" s="11">
        <v>768.48</v>
      </c>
      <c r="F706" s="12">
        <v>0</v>
      </c>
      <c r="G706" s="11">
        <v>768.48</v>
      </c>
      <c r="H706" s="12">
        <v>0</v>
      </c>
      <c r="I706" s="11">
        <v>768.48</v>
      </c>
      <c r="J706" s="12">
        <v>0</v>
      </c>
      <c r="K706" s="11">
        <v>768.48</v>
      </c>
      <c r="L706" s="12">
        <v>0</v>
      </c>
      <c r="M706" s="11">
        <v>768.48</v>
      </c>
      <c r="N706" s="13">
        <v>0</v>
      </c>
      <c r="O706" s="11">
        <v>0</v>
      </c>
      <c r="P706" s="11">
        <v>0</v>
      </c>
      <c r="Q706" s="11">
        <v>0</v>
      </c>
      <c r="R706" s="11">
        <v>0</v>
      </c>
      <c r="S706" s="14">
        <v>0</v>
      </c>
      <c r="T706" s="11">
        <v>768.48</v>
      </c>
      <c r="U706" s="13" cm="1">
        <f t="array" ref="U706">IF(Table8[[#This Row],[I_0]]&lt;Table24[Flitro de Ruido],1,Table8[[#This Row],[I_10]]/Table8[[#This Row],[I_0]])</f>
        <v>1</v>
      </c>
      <c r="V706" s="13" cm="1">
        <f t="array" ref="V706">IF(Table8[[#This Row],[I_0]]&lt;Table24[Flitro de Ruido],1,Table8[[#This Row],[I_20]]/Table8[[#This Row],[I_0]])</f>
        <v>1</v>
      </c>
      <c r="W706" s="13" cm="1">
        <f t="array" ref="W706">IF(Table8[[#This Row],[I_0]]&lt;Table24[Flitro de Ruido],1,Table8[[#This Row],[I_30]]/Table8[[#This Row],[I_0]])</f>
        <v>1</v>
      </c>
      <c r="X706" s="13" cm="1">
        <f t="array" ref="X706">IF(Table8[[#This Row],[I_0]]&lt;Table24[Flitro de Ruido],1,Table8[[#This Row],[I_40]]/Table8[[#This Row],[I_0]])</f>
        <v>1</v>
      </c>
      <c r="Y706" s="13" cm="1">
        <f t="array" ref="Y706">IF(Table8[[#This Row],[I_0]]&lt;Table24[Flitro de Ruido],1,Table8[[#This Row],[I_50]]/Table8[[#This Row],[I_0]])</f>
        <v>1</v>
      </c>
    </row>
    <row r="707" spans="1:25" x14ac:dyDescent="0.3">
      <c r="A707" s="13">
        <v>769.47</v>
      </c>
      <c r="B707" s="12">
        <v>0</v>
      </c>
      <c r="C707" s="11">
        <v>769.47</v>
      </c>
      <c r="D707" s="12">
        <v>0</v>
      </c>
      <c r="E707" s="11">
        <v>769.47</v>
      </c>
      <c r="F707" s="12">
        <v>0</v>
      </c>
      <c r="G707" s="11">
        <v>769.47</v>
      </c>
      <c r="H707" s="12">
        <v>0</v>
      </c>
      <c r="I707" s="11">
        <v>769.47</v>
      </c>
      <c r="J707" s="12">
        <v>0</v>
      </c>
      <c r="K707" s="11">
        <v>769.47</v>
      </c>
      <c r="L707" s="12">
        <v>0</v>
      </c>
      <c r="M707" s="11">
        <v>769.47</v>
      </c>
      <c r="N707" s="13">
        <v>0</v>
      </c>
      <c r="O707" s="11">
        <v>0</v>
      </c>
      <c r="P707" s="11">
        <v>0</v>
      </c>
      <c r="Q707" s="11">
        <v>0</v>
      </c>
      <c r="R707" s="11">
        <v>0</v>
      </c>
      <c r="S707" s="14">
        <v>0</v>
      </c>
      <c r="T707" s="11">
        <v>769.47</v>
      </c>
      <c r="U707" s="13" cm="1">
        <f t="array" ref="U707">IF(Table8[[#This Row],[I_0]]&lt;Table24[Flitro de Ruido],1,Table8[[#This Row],[I_10]]/Table8[[#This Row],[I_0]])</f>
        <v>1</v>
      </c>
      <c r="V707" s="13" cm="1">
        <f t="array" ref="V707">IF(Table8[[#This Row],[I_0]]&lt;Table24[Flitro de Ruido],1,Table8[[#This Row],[I_20]]/Table8[[#This Row],[I_0]])</f>
        <v>1</v>
      </c>
      <c r="W707" s="13" cm="1">
        <f t="array" ref="W707">IF(Table8[[#This Row],[I_0]]&lt;Table24[Flitro de Ruido],1,Table8[[#This Row],[I_30]]/Table8[[#This Row],[I_0]])</f>
        <v>1</v>
      </c>
      <c r="X707" s="13" cm="1">
        <f t="array" ref="X707">IF(Table8[[#This Row],[I_0]]&lt;Table24[Flitro de Ruido],1,Table8[[#This Row],[I_40]]/Table8[[#This Row],[I_0]])</f>
        <v>1</v>
      </c>
      <c r="Y707" s="13" cm="1">
        <f t="array" ref="Y707">IF(Table8[[#This Row],[I_0]]&lt;Table24[Flitro de Ruido],1,Table8[[#This Row],[I_50]]/Table8[[#This Row],[I_0]])</f>
        <v>1</v>
      </c>
    </row>
    <row r="708" spans="1:25" x14ac:dyDescent="0.3">
      <c r="A708" s="13">
        <v>770.47</v>
      </c>
      <c r="B708" s="12">
        <v>0</v>
      </c>
      <c r="C708" s="11">
        <v>770.47</v>
      </c>
      <c r="D708" s="12">
        <v>0</v>
      </c>
      <c r="E708" s="11">
        <v>770.47</v>
      </c>
      <c r="F708" s="12">
        <v>0</v>
      </c>
      <c r="G708" s="11">
        <v>770.47</v>
      </c>
      <c r="H708" s="12">
        <v>0</v>
      </c>
      <c r="I708" s="11">
        <v>770.47</v>
      </c>
      <c r="J708" s="12">
        <v>0</v>
      </c>
      <c r="K708" s="11">
        <v>770.47</v>
      </c>
      <c r="L708" s="12">
        <v>0</v>
      </c>
      <c r="M708" s="11">
        <v>770.47</v>
      </c>
      <c r="N708" s="13">
        <v>0</v>
      </c>
      <c r="O708" s="11">
        <v>0</v>
      </c>
      <c r="P708" s="11">
        <v>0</v>
      </c>
      <c r="Q708" s="11">
        <v>0</v>
      </c>
      <c r="R708" s="11">
        <v>0</v>
      </c>
      <c r="S708" s="14">
        <v>0</v>
      </c>
      <c r="T708" s="11">
        <v>770.47</v>
      </c>
      <c r="U708" s="13" cm="1">
        <f t="array" ref="U708">IF(Table8[[#This Row],[I_0]]&lt;Table24[Flitro de Ruido],1,Table8[[#This Row],[I_10]]/Table8[[#This Row],[I_0]])</f>
        <v>1</v>
      </c>
      <c r="V708" s="13" cm="1">
        <f t="array" ref="V708">IF(Table8[[#This Row],[I_0]]&lt;Table24[Flitro de Ruido],1,Table8[[#This Row],[I_20]]/Table8[[#This Row],[I_0]])</f>
        <v>1</v>
      </c>
      <c r="W708" s="13" cm="1">
        <f t="array" ref="W708">IF(Table8[[#This Row],[I_0]]&lt;Table24[Flitro de Ruido],1,Table8[[#This Row],[I_30]]/Table8[[#This Row],[I_0]])</f>
        <v>1</v>
      </c>
      <c r="X708" s="13" cm="1">
        <f t="array" ref="X708">IF(Table8[[#This Row],[I_0]]&lt;Table24[Flitro de Ruido],1,Table8[[#This Row],[I_40]]/Table8[[#This Row],[I_0]])</f>
        <v>1</v>
      </c>
      <c r="Y708" s="13" cm="1">
        <f t="array" ref="Y708">IF(Table8[[#This Row],[I_0]]&lt;Table24[Flitro de Ruido],1,Table8[[#This Row],[I_50]]/Table8[[#This Row],[I_0]])</f>
        <v>1</v>
      </c>
    </row>
    <row r="709" spans="1:25" x14ac:dyDescent="0.3">
      <c r="A709" s="13">
        <v>771.46</v>
      </c>
      <c r="B709" s="12">
        <v>0</v>
      </c>
      <c r="C709" s="11">
        <v>771.46</v>
      </c>
      <c r="D709" s="12">
        <v>0</v>
      </c>
      <c r="E709" s="11">
        <v>771.46</v>
      </c>
      <c r="F709" s="12">
        <v>0</v>
      </c>
      <c r="G709" s="11">
        <v>771.46</v>
      </c>
      <c r="H709" s="12">
        <v>0</v>
      </c>
      <c r="I709" s="11">
        <v>771.46</v>
      </c>
      <c r="J709" s="12">
        <v>0</v>
      </c>
      <c r="K709" s="11">
        <v>771.46</v>
      </c>
      <c r="L709" s="12">
        <v>0</v>
      </c>
      <c r="M709" s="11">
        <v>771.46</v>
      </c>
      <c r="N709" s="13">
        <v>0</v>
      </c>
      <c r="O709" s="11">
        <v>0</v>
      </c>
      <c r="P709" s="11">
        <v>0</v>
      </c>
      <c r="Q709" s="11">
        <v>0</v>
      </c>
      <c r="R709" s="11">
        <v>0</v>
      </c>
      <c r="S709" s="14">
        <v>0</v>
      </c>
      <c r="T709" s="11">
        <v>771.46</v>
      </c>
      <c r="U709" s="13" cm="1">
        <f t="array" ref="U709">IF(Table8[[#This Row],[I_0]]&lt;Table24[Flitro de Ruido],1,Table8[[#This Row],[I_10]]/Table8[[#This Row],[I_0]])</f>
        <v>1</v>
      </c>
      <c r="V709" s="13" cm="1">
        <f t="array" ref="V709">IF(Table8[[#This Row],[I_0]]&lt;Table24[Flitro de Ruido],1,Table8[[#This Row],[I_20]]/Table8[[#This Row],[I_0]])</f>
        <v>1</v>
      </c>
      <c r="W709" s="13" cm="1">
        <f t="array" ref="W709">IF(Table8[[#This Row],[I_0]]&lt;Table24[Flitro de Ruido],1,Table8[[#This Row],[I_30]]/Table8[[#This Row],[I_0]])</f>
        <v>1</v>
      </c>
      <c r="X709" s="13" cm="1">
        <f t="array" ref="X709">IF(Table8[[#This Row],[I_0]]&lt;Table24[Flitro de Ruido],1,Table8[[#This Row],[I_40]]/Table8[[#This Row],[I_0]])</f>
        <v>1</v>
      </c>
      <c r="Y709" s="13" cm="1">
        <f t="array" ref="Y709">IF(Table8[[#This Row],[I_0]]&lt;Table24[Flitro de Ruido],1,Table8[[#This Row],[I_50]]/Table8[[#This Row],[I_0]])</f>
        <v>1</v>
      </c>
    </row>
    <row r="710" spans="1:25" x14ac:dyDescent="0.3">
      <c r="A710" s="13">
        <v>772.45</v>
      </c>
      <c r="B710" s="12">
        <v>0</v>
      </c>
      <c r="C710" s="11">
        <v>772.45</v>
      </c>
      <c r="D710" s="12">
        <v>0</v>
      </c>
      <c r="E710" s="11">
        <v>772.45</v>
      </c>
      <c r="F710" s="12">
        <v>0</v>
      </c>
      <c r="G710" s="11">
        <v>772.45</v>
      </c>
      <c r="H710" s="12">
        <v>0</v>
      </c>
      <c r="I710" s="11">
        <v>772.45</v>
      </c>
      <c r="J710" s="12">
        <v>0</v>
      </c>
      <c r="K710" s="11">
        <v>772.45</v>
      </c>
      <c r="L710" s="12">
        <v>0</v>
      </c>
      <c r="M710" s="11">
        <v>772.45</v>
      </c>
      <c r="N710" s="13">
        <v>0</v>
      </c>
      <c r="O710" s="11">
        <v>0</v>
      </c>
      <c r="P710" s="11">
        <v>0</v>
      </c>
      <c r="Q710" s="11">
        <v>0</v>
      </c>
      <c r="R710" s="11">
        <v>0</v>
      </c>
      <c r="S710" s="14">
        <v>0</v>
      </c>
      <c r="T710" s="11">
        <v>772.45</v>
      </c>
      <c r="U710" s="13" cm="1">
        <f t="array" ref="U710">IF(Table8[[#This Row],[I_0]]&lt;Table24[Flitro de Ruido],1,Table8[[#This Row],[I_10]]/Table8[[#This Row],[I_0]])</f>
        <v>1</v>
      </c>
      <c r="V710" s="13" cm="1">
        <f t="array" ref="V710">IF(Table8[[#This Row],[I_0]]&lt;Table24[Flitro de Ruido],1,Table8[[#This Row],[I_20]]/Table8[[#This Row],[I_0]])</f>
        <v>1</v>
      </c>
      <c r="W710" s="13" cm="1">
        <f t="array" ref="W710">IF(Table8[[#This Row],[I_0]]&lt;Table24[Flitro de Ruido],1,Table8[[#This Row],[I_30]]/Table8[[#This Row],[I_0]])</f>
        <v>1</v>
      </c>
      <c r="X710" s="13" cm="1">
        <f t="array" ref="X710">IF(Table8[[#This Row],[I_0]]&lt;Table24[Flitro de Ruido],1,Table8[[#This Row],[I_40]]/Table8[[#This Row],[I_0]])</f>
        <v>1</v>
      </c>
      <c r="Y710" s="13" cm="1">
        <f t="array" ref="Y710">IF(Table8[[#This Row],[I_0]]&lt;Table24[Flitro de Ruido],1,Table8[[#This Row],[I_50]]/Table8[[#This Row],[I_0]])</f>
        <v>1</v>
      </c>
    </row>
    <row r="711" spans="1:25" x14ac:dyDescent="0.3">
      <c r="A711" s="13">
        <v>773.44</v>
      </c>
      <c r="B711" s="12">
        <v>0</v>
      </c>
      <c r="C711" s="11">
        <v>773.44</v>
      </c>
      <c r="D711" s="12">
        <v>0</v>
      </c>
      <c r="E711" s="11">
        <v>773.44</v>
      </c>
      <c r="F711" s="12">
        <v>0</v>
      </c>
      <c r="G711" s="11">
        <v>773.44</v>
      </c>
      <c r="H711" s="12">
        <v>0</v>
      </c>
      <c r="I711" s="11">
        <v>773.44</v>
      </c>
      <c r="J711" s="12">
        <v>0</v>
      </c>
      <c r="K711" s="11">
        <v>773.44</v>
      </c>
      <c r="L711" s="12">
        <v>0</v>
      </c>
      <c r="M711" s="11">
        <v>773.44</v>
      </c>
      <c r="N711" s="13">
        <v>0</v>
      </c>
      <c r="O711" s="11">
        <v>0</v>
      </c>
      <c r="P711" s="11">
        <v>0</v>
      </c>
      <c r="Q711" s="11">
        <v>0</v>
      </c>
      <c r="R711" s="11">
        <v>0</v>
      </c>
      <c r="S711" s="14">
        <v>0</v>
      </c>
      <c r="T711" s="11">
        <v>773.44</v>
      </c>
      <c r="U711" s="13" cm="1">
        <f t="array" ref="U711">IF(Table8[[#This Row],[I_0]]&lt;Table24[Flitro de Ruido],1,Table8[[#This Row],[I_10]]/Table8[[#This Row],[I_0]])</f>
        <v>1</v>
      </c>
      <c r="V711" s="13" cm="1">
        <f t="array" ref="V711">IF(Table8[[#This Row],[I_0]]&lt;Table24[Flitro de Ruido],1,Table8[[#This Row],[I_20]]/Table8[[#This Row],[I_0]])</f>
        <v>1</v>
      </c>
      <c r="W711" s="13" cm="1">
        <f t="array" ref="W711">IF(Table8[[#This Row],[I_0]]&lt;Table24[Flitro de Ruido],1,Table8[[#This Row],[I_30]]/Table8[[#This Row],[I_0]])</f>
        <v>1</v>
      </c>
      <c r="X711" s="13" cm="1">
        <f t="array" ref="X711">IF(Table8[[#This Row],[I_0]]&lt;Table24[Flitro de Ruido],1,Table8[[#This Row],[I_40]]/Table8[[#This Row],[I_0]])</f>
        <v>1</v>
      </c>
      <c r="Y711" s="13" cm="1">
        <f t="array" ref="Y711">IF(Table8[[#This Row],[I_0]]&lt;Table24[Flitro de Ruido],1,Table8[[#This Row],[I_50]]/Table8[[#This Row],[I_0]])</f>
        <v>1</v>
      </c>
    </row>
    <row r="712" spans="1:25" x14ac:dyDescent="0.3">
      <c r="A712" s="13">
        <v>774.43</v>
      </c>
      <c r="B712" s="12">
        <v>0</v>
      </c>
      <c r="C712" s="11">
        <v>774.43</v>
      </c>
      <c r="D712" s="12">
        <v>0</v>
      </c>
      <c r="E712" s="11">
        <v>774.43</v>
      </c>
      <c r="F712" s="12">
        <v>0</v>
      </c>
      <c r="G712" s="11">
        <v>774.43</v>
      </c>
      <c r="H712" s="12">
        <v>0</v>
      </c>
      <c r="I712" s="11">
        <v>774.43</v>
      </c>
      <c r="J712" s="12">
        <v>0</v>
      </c>
      <c r="K712" s="11">
        <v>774.43</v>
      </c>
      <c r="L712" s="12">
        <v>0</v>
      </c>
      <c r="M712" s="11">
        <v>774.43</v>
      </c>
      <c r="N712" s="13">
        <v>0</v>
      </c>
      <c r="O712" s="11">
        <v>0</v>
      </c>
      <c r="P712" s="11">
        <v>0</v>
      </c>
      <c r="Q712" s="11">
        <v>0</v>
      </c>
      <c r="R712" s="11">
        <v>0</v>
      </c>
      <c r="S712" s="14">
        <v>0</v>
      </c>
      <c r="T712" s="11">
        <v>774.43</v>
      </c>
      <c r="U712" s="13" cm="1">
        <f t="array" ref="U712">IF(Table8[[#This Row],[I_0]]&lt;Table24[Flitro de Ruido],1,Table8[[#This Row],[I_10]]/Table8[[#This Row],[I_0]])</f>
        <v>1</v>
      </c>
      <c r="V712" s="13" cm="1">
        <f t="array" ref="V712">IF(Table8[[#This Row],[I_0]]&lt;Table24[Flitro de Ruido],1,Table8[[#This Row],[I_20]]/Table8[[#This Row],[I_0]])</f>
        <v>1</v>
      </c>
      <c r="W712" s="13" cm="1">
        <f t="array" ref="W712">IF(Table8[[#This Row],[I_0]]&lt;Table24[Flitro de Ruido],1,Table8[[#This Row],[I_30]]/Table8[[#This Row],[I_0]])</f>
        <v>1</v>
      </c>
      <c r="X712" s="13" cm="1">
        <f t="array" ref="X712">IF(Table8[[#This Row],[I_0]]&lt;Table24[Flitro de Ruido],1,Table8[[#This Row],[I_40]]/Table8[[#This Row],[I_0]])</f>
        <v>1</v>
      </c>
      <c r="Y712" s="13" cm="1">
        <f t="array" ref="Y712">IF(Table8[[#This Row],[I_0]]&lt;Table24[Flitro de Ruido],1,Table8[[#This Row],[I_50]]/Table8[[#This Row],[I_0]])</f>
        <v>1</v>
      </c>
    </row>
    <row r="713" spans="1:25" x14ac:dyDescent="0.3">
      <c r="A713" s="13">
        <v>775.43</v>
      </c>
      <c r="B713" s="12">
        <v>0</v>
      </c>
      <c r="C713" s="11">
        <v>775.43</v>
      </c>
      <c r="D713" s="12">
        <v>0</v>
      </c>
      <c r="E713" s="11">
        <v>775.43</v>
      </c>
      <c r="F713" s="12">
        <v>0</v>
      </c>
      <c r="G713" s="11">
        <v>775.43</v>
      </c>
      <c r="H713" s="12">
        <v>0</v>
      </c>
      <c r="I713" s="11">
        <v>775.43</v>
      </c>
      <c r="J713" s="12">
        <v>0</v>
      </c>
      <c r="K713" s="11">
        <v>775.43</v>
      </c>
      <c r="L713" s="12">
        <v>0</v>
      </c>
      <c r="M713" s="11">
        <v>775.43</v>
      </c>
      <c r="N713" s="13">
        <v>0</v>
      </c>
      <c r="O713" s="11">
        <v>0</v>
      </c>
      <c r="P713" s="11">
        <v>0</v>
      </c>
      <c r="Q713" s="11">
        <v>0</v>
      </c>
      <c r="R713" s="11">
        <v>0</v>
      </c>
      <c r="S713" s="14">
        <v>0</v>
      </c>
      <c r="T713" s="11">
        <v>775.43</v>
      </c>
      <c r="U713" s="13" cm="1">
        <f t="array" ref="U713">IF(Table8[[#This Row],[I_0]]&lt;Table24[Flitro de Ruido],1,Table8[[#This Row],[I_10]]/Table8[[#This Row],[I_0]])</f>
        <v>1</v>
      </c>
      <c r="V713" s="13" cm="1">
        <f t="array" ref="V713">IF(Table8[[#This Row],[I_0]]&lt;Table24[Flitro de Ruido],1,Table8[[#This Row],[I_20]]/Table8[[#This Row],[I_0]])</f>
        <v>1</v>
      </c>
      <c r="W713" s="13" cm="1">
        <f t="array" ref="W713">IF(Table8[[#This Row],[I_0]]&lt;Table24[Flitro de Ruido],1,Table8[[#This Row],[I_30]]/Table8[[#This Row],[I_0]])</f>
        <v>1</v>
      </c>
      <c r="X713" s="13" cm="1">
        <f t="array" ref="X713">IF(Table8[[#This Row],[I_0]]&lt;Table24[Flitro de Ruido],1,Table8[[#This Row],[I_40]]/Table8[[#This Row],[I_0]])</f>
        <v>1</v>
      </c>
      <c r="Y713" s="13" cm="1">
        <f t="array" ref="Y713">IF(Table8[[#This Row],[I_0]]&lt;Table24[Flitro de Ruido],1,Table8[[#This Row],[I_50]]/Table8[[#This Row],[I_0]])</f>
        <v>1</v>
      </c>
    </row>
    <row r="714" spans="1:25" x14ac:dyDescent="0.3">
      <c r="A714" s="13">
        <v>776.42</v>
      </c>
      <c r="B714" s="12">
        <v>0</v>
      </c>
      <c r="C714" s="11">
        <v>776.42</v>
      </c>
      <c r="D714" s="12">
        <v>0</v>
      </c>
      <c r="E714" s="11">
        <v>776.42</v>
      </c>
      <c r="F714" s="12">
        <v>0</v>
      </c>
      <c r="G714" s="11">
        <v>776.42</v>
      </c>
      <c r="H714" s="12">
        <v>0</v>
      </c>
      <c r="I714" s="11">
        <v>776.42</v>
      </c>
      <c r="J714" s="12">
        <v>0</v>
      </c>
      <c r="K714" s="11">
        <v>776.42</v>
      </c>
      <c r="L714" s="12">
        <v>0</v>
      </c>
      <c r="M714" s="11">
        <v>776.42</v>
      </c>
      <c r="N714" s="13">
        <v>0</v>
      </c>
      <c r="O714" s="11">
        <v>0</v>
      </c>
      <c r="P714" s="11">
        <v>0</v>
      </c>
      <c r="Q714" s="11">
        <v>0</v>
      </c>
      <c r="R714" s="11">
        <v>0</v>
      </c>
      <c r="S714" s="14">
        <v>0</v>
      </c>
      <c r="T714" s="11">
        <v>776.42</v>
      </c>
      <c r="U714" s="13" cm="1">
        <f t="array" ref="U714">IF(Table8[[#This Row],[I_0]]&lt;Table24[Flitro de Ruido],1,Table8[[#This Row],[I_10]]/Table8[[#This Row],[I_0]])</f>
        <v>1</v>
      </c>
      <c r="V714" s="13" cm="1">
        <f t="array" ref="V714">IF(Table8[[#This Row],[I_0]]&lt;Table24[Flitro de Ruido],1,Table8[[#This Row],[I_20]]/Table8[[#This Row],[I_0]])</f>
        <v>1</v>
      </c>
      <c r="W714" s="13" cm="1">
        <f t="array" ref="W714">IF(Table8[[#This Row],[I_0]]&lt;Table24[Flitro de Ruido],1,Table8[[#This Row],[I_30]]/Table8[[#This Row],[I_0]])</f>
        <v>1</v>
      </c>
      <c r="X714" s="13" cm="1">
        <f t="array" ref="X714">IF(Table8[[#This Row],[I_0]]&lt;Table24[Flitro de Ruido],1,Table8[[#This Row],[I_40]]/Table8[[#This Row],[I_0]])</f>
        <v>1</v>
      </c>
      <c r="Y714" s="13" cm="1">
        <f t="array" ref="Y714">IF(Table8[[#This Row],[I_0]]&lt;Table24[Flitro de Ruido],1,Table8[[#This Row],[I_50]]/Table8[[#This Row],[I_0]])</f>
        <v>1</v>
      </c>
    </row>
    <row r="715" spans="1:25" x14ac:dyDescent="0.3">
      <c r="A715" s="13">
        <v>777.41</v>
      </c>
      <c r="B715" s="12">
        <v>0</v>
      </c>
      <c r="C715" s="11">
        <v>777.41</v>
      </c>
      <c r="D715" s="12">
        <v>0</v>
      </c>
      <c r="E715" s="11">
        <v>777.41</v>
      </c>
      <c r="F715" s="12">
        <v>0</v>
      </c>
      <c r="G715" s="11">
        <v>777.41</v>
      </c>
      <c r="H715" s="12">
        <v>0</v>
      </c>
      <c r="I715" s="11">
        <v>777.41</v>
      </c>
      <c r="J715" s="12">
        <v>0</v>
      </c>
      <c r="K715" s="11">
        <v>777.41</v>
      </c>
      <c r="L715" s="12">
        <v>0</v>
      </c>
      <c r="M715" s="11">
        <v>777.41</v>
      </c>
      <c r="N715" s="13">
        <v>0</v>
      </c>
      <c r="O715" s="11">
        <v>0</v>
      </c>
      <c r="P715" s="11">
        <v>0</v>
      </c>
      <c r="Q715" s="11">
        <v>0</v>
      </c>
      <c r="R715" s="11">
        <v>0</v>
      </c>
      <c r="S715" s="14">
        <v>0</v>
      </c>
      <c r="T715" s="11">
        <v>777.41</v>
      </c>
      <c r="U715" s="13" cm="1">
        <f t="array" ref="U715">IF(Table8[[#This Row],[I_0]]&lt;Table24[Flitro de Ruido],1,Table8[[#This Row],[I_10]]/Table8[[#This Row],[I_0]])</f>
        <v>1</v>
      </c>
      <c r="V715" s="13" cm="1">
        <f t="array" ref="V715">IF(Table8[[#This Row],[I_0]]&lt;Table24[Flitro de Ruido],1,Table8[[#This Row],[I_20]]/Table8[[#This Row],[I_0]])</f>
        <v>1</v>
      </c>
      <c r="W715" s="13" cm="1">
        <f t="array" ref="W715">IF(Table8[[#This Row],[I_0]]&lt;Table24[Flitro de Ruido],1,Table8[[#This Row],[I_30]]/Table8[[#This Row],[I_0]])</f>
        <v>1</v>
      </c>
      <c r="X715" s="13" cm="1">
        <f t="array" ref="X715">IF(Table8[[#This Row],[I_0]]&lt;Table24[Flitro de Ruido],1,Table8[[#This Row],[I_40]]/Table8[[#This Row],[I_0]])</f>
        <v>1</v>
      </c>
      <c r="Y715" s="13" cm="1">
        <f t="array" ref="Y715">IF(Table8[[#This Row],[I_0]]&lt;Table24[Flitro de Ruido],1,Table8[[#This Row],[I_50]]/Table8[[#This Row],[I_0]])</f>
        <v>1</v>
      </c>
    </row>
    <row r="716" spans="1:25" x14ac:dyDescent="0.3">
      <c r="A716" s="13">
        <v>778.4</v>
      </c>
      <c r="B716" s="12">
        <v>0</v>
      </c>
      <c r="C716" s="11">
        <v>778.4</v>
      </c>
      <c r="D716" s="12">
        <v>0</v>
      </c>
      <c r="E716" s="11">
        <v>778.4</v>
      </c>
      <c r="F716" s="12">
        <v>0</v>
      </c>
      <c r="G716" s="11">
        <v>778.4</v>
      </c>
      <c r="H716" s="12">
        <v>0</v>
      </c>
      <c r="I716" s="11">
        <v>778.4</v>
      </c>
      <c r="J716" s="12">
        <v>0</v>
      </c>
      <c r="K716" s="11">
        <v>778.4</v>
      </c>
      <c r="L716" s="12">
        <v>0</v>
      </c>
      <c r="M716" s="11">
        <v>778.4</v>
      </c>
      <c r="N716" s="13">
        <v>0</v>
      </c>
      <c r="O716" s="11">
        <v>0</v>
      </c>
      <c r="P716" s="11">
        <v>0</v>
      </c>
      <c r="Q716" s="11">
        <v>0</v>
      </c>
      <c r="R716" s="11">
        <v>0</v>
      </c>
      <c r="S716" s="14">
        <v>0</v>
      </c>
      <c r="T716" s="11">
        <v>778.4</v>
      </c>
      <c r="U716" s="13" cm="1">
        <f t="array" ref="U716">IF(Table8[[#This Row],[I_0]]&lt;Table24[Flitro de Ruido],1,Table8[[#This Row],[I_10]]/Table8[[#This Row],[I_0]])</f>
        <v>1</v>
      </c>
      <c r="V716" s="13" cm="1">
        <f t="array" ref="V716">IF(Table8[[#This Row],[I_0]]&lt;Table24[Flitro de Ruido],1,Table8[[#This Row],[I_20]]/Table8[[#This Row],[I_0]])</f>
        <v>1</v>
      </c>
      <c r="W716" s="13" cm="1">
        <f t="array" ref="W716">IF(Table8[[#This Row],[I_0]]&lt;Table24[Flitro de Ruido],1,Table8[[#This Row],[I_30]]/Table8[[#This Row],[I_0]])</f>
        <v>1</v>
      </c>
      <c r="X716" s="13" cm="1">
        <f t="array" ref="X716">IF(Table8[[#This Row],[I_0]]&lt;Table24[Flitro de Ruido],1,Table8[[#This Row],[I_40]]/Table8[[#This Row],[I_0]])</f>
        <v>1</v>
      </c>
      <c r="Y716" s="13" cm="1">
        <f t="array" ref="Y716">IF(Table8[[#This Row],[I_0]]&lt;Table24[Flitro de Ruido],1,Table8[[#This Row],[I_50]]/Table8[[#This Row],[I_0]])</f>
        <v>1</v>
      </c>
    </row>
    <row r="717" spans="1:25" x14ac:dyDescent="0.3">
      <c r="A717" s="13">
        <v>779.39</v>
      </c>
      <c r="B717" s="12">
        <v>0</v>
      </c>
      <c r="C717" s="11">
        <v>779.39</v>
      </c>
      <c r="D717" s="12">
        <v>0</v>
      </c>
      <c r="E717" s="11">
        <v>779.39</v>
      </c>
      <c r="F717" s="12">
        <v>0</v>
      </c>
      <c r="G717" s="11">
        <v>779.39</v>
      </c>
      <c r="H717" s="12">
        <v>0</v>
      </c>
      <c r="I717" s="11">
        <v>779.39</v>
      </c>
      <c r="J717" s="12">
        <v>0</v>
      </c>
      <c r="K717" s="11">
        <v>779.39</v>
      </c>
      <c r="L717" s="12">
        <v>0</v>
      </c>
      <c r="M717" s="11">
        <v>779.39</v>
      </c>
      <c r="N717" s="13">
        <v>0</v>
      </c>
      <c r="O717" s="11">
        <v>0</v>
      </c>
      <c r="P717" s="11">
        <v>0</v>
      </c>
      <c r="Q717" s="11">
        <v>0</v>
      </c>
      <c r="R717" s="11">
        <v>0</v>
      </c>
      <c r="S717" s="14">
        <v>0</v>
      </c>
      <c r="T717" s="11">
        <v>779.39</v>
      </c>
      <c r="U717" s="13" cm="1">
        <f t="array" ref="U717">IF(Table8[[#This Row],[I_0]]&lt;Table24[Flitro de Ruido],1,Table8[[#This Row],[I_10]]/Table8[[#This Row],[I_0]])</f>
        <v>1</v>
      </c>
      <c r="V717" s="13" cm="1">
        <f t="array" ref="V717">IF(Table8[[#This Row],[I_0]]&lt;Table24[Flitro de Ruido],1,Table8[[#This Row],[I_20]]/Table8[[#This Row],[I_0]])</f>
        <v>1</v>
      </c>
      <c r="W717" s="13" cm="1">
        <f t="array" ref="W717">IF(Table8[[#This Row],[I_0]]&lt;Table24[Flitro de Ruido],1,Table8[[#This Row],[I_30]]/Table8[[#This Row],[I_0]])</f>
        <v>1</v>
      </c>
      <c r="X717" s="13" cm="1">
        <f t="array" ref="X717">IF(Table8[[#This Row],[I_0]]&lt;Table24[Flitro de Ruido],1,Table8[[#This Row],[I_40]]/Table8[[#This Row],[I_0]])</f>
        <v>1</v>
      </c>
      <c r="Y717" s="13" cm="1">
        <f t="array" ref="Y717">IF(Table8[[#This Row],[I_0]]&lt;Table24[Flitro de Ruido],1,Table8[[#This Row],[I_50]]/Table8[[#This Row],[I_0]])</f>
        <v>1</v>
      </c>
    </row>
    <row r="718" spans="1:25" x14ac:dyDescent="0.3">
      <c r="A718" s="13">
        <v>780.38</v>
      </c>
      <c r="B718" s="12">
        <v>0</v>
      </c>
      <c r="C718" s="11">
        <v>780.38</v>
      </c>
      <c r="D718" s="12">
        <v>0</v>
      </c>
      <c r="E718" s="11">
        <v>780.38</v>
      </c>
      <c r="F718" s="12">
        <v>0</v>
      </c>
      <c r="G718" s="11">
        <v>780.38</v>
      </c>
      <c r="H718" s="12">
        <v>0</v>
      </c>
      <c r="I718" s="11">
        <v>780.38</v>
      </c>
      <c r="J718" s="12">
        <v>0</v>
      </c>
      <c r="K718" s="11">
        <v>780.38</v>
      </c>
      <c r="L718" s="12">
        <v>0</v>
      </c>
      <c r="M718" s="11">
        <v>780.38</v>
      </c>
      <c r="N718" s="13">
        <v>0</v>
      </c>
      <c r="O718" s="11">
        <v>0</v>
      </c>
      <c r="P718" s="11">
        <v>0</v>
      </c>
      <c r="Q718" s="11">
        <v>0</v>
      </c>
      <c r="R718" s="11">
        <v>0</v>
      </c>
      <c r="S718" s="14">
        <v>0</v>
      </c>
      <c r="T718" s="11">
        <v>780.38</v>
      </c>
      <c r="U718" s="13" cm="1">
        <f t="array" ref="U718">IF(Table8[[#This Row],[I_0]]&lt;Table24[Flitro de Ruido],1,Table8[[#This Row],[I_10]]/Table8[[#This Row],[I_0]])</f>
        <v>1</v>
      </c>
      <c r="V718" s="13" cm="1">
        <f t="array" ref="V718">IF(Table8[[#This Row],[I_0]]&lt;Table24[Flitro de Ruido],1,Table8[[#This Row],[I_20]]/Table8[[#This Row],[I_0]])</f>
        <v>1</v>
      </c>
      <c r="W718" s="13" cm="1">
        <f t="array" ref="W718">IF(Table8[[#This Row],[I_0]]&lt;Table24[Flitro de Ruido],1,Table8[[#This Row],[I_30]]/Table8[[#This Row],[I_0]])</f>
        <v>1</v>
      </c>
      <c r="X718" s="13" cm="1">
        <f t="array" ref="X718">IF(Table8[[#This Row],[I_0]]&lt;Table24[Flitro de Ruido],1,Table8[[#This Row],[I_40]]/Table8[[#This Row],[I_0]])</f>
        <v>1</v>
      </c>
      <c r="Y718" s="13" cm="1">
        <f t="array" ref="Y718">IF(Table8[[#This Row],[I_0]]&lt;Table24[Flitro de Ruido],1,Table8[[#This Row],[I_50]]/Table8[[#This Row],[I_0]])</f>
        <v>1</v>
      </c>
    </row>
    <row r="719" spans="1:25" x14ac:dyDescent="0.3">
      <c r="A719" s="13">
        <v>781.38</v>
      </c>
      <c r="B719" s="12">
        <v>0</v>
      </c>
      <c r="C719" s="11">
        <v>781.38</v>
      </c>
      <c r="D719" s="12">
        <v>0</v>
      </c>
      <c r="E719" s="11">
        <v>781.38</v>
      </c>
      <c r="F719" s="12">
        <v>0</v>
      </c>
      <c r="G719" s="11">
        <v>781.38</v>
      </c>
      <c r="H719" s="12">
        <v>0</v>
      </c>
      <c r="I719" s="11">
        <v>781.38</v>
      </c>
      <c r="J719" s="12">
        <v>0</v>
      </c>
      <c r="K719" s="11">
        <v>781.38</v>
      </c>
      <c r="L719" s="12">
        <v>0</v>
      </c>
      <c r="M719" s="11">
        <v>781.38</v>
      </c>
      <c r="N719" s="13">
        <v>0</v>
      </c>
      <c r="O719" s="11">
        <v>0</v>
      </c>
      <c r="P719" s="11">
        <v>0</v>
      </c>
      <c r="Q719" s="11">
        <v>0</v>
      </c>
      <c r="R719" s="11">
        <v>0</v>
      </c>
      <c r="S719" s="14">
        <v>0</v>
      </c>
      <c r="T719" s="11">
        <v>781.38</v>
      </c>
      <c r="U719" s="13" cm="1">
        <f t="array" ref="U719">IF(Table8[[#This Row],[I_0]]&lt;Table24[Flitro de Ruido],1,Table8[[#This Row],[I_10]]/Table8[[#This Row],[I_0]])</f>
        <v>1</v>
      </c>
      <c r="V719" s="13" cm="1">
        <f t="array" ref="V719">IF(Table8[[#This Row],[I_0]]&lt;Table24[Flitro de Ruido],1,Table8[[#This Row],[I_20]]/Table8[[#This Row],[I_0]])</f>
        <v>1</v>
      </c>
      <c r="W719" s="13" cm="1">
        <f t="array" ref="W719">IF(Table8[[#This Row],[I_0]]&lt;Table24[Flitro de Ruido],1,Table8[[#This Row],[I_30]]/Table8[[#This Row],[I_0]])</f>
        <v>1</v>
      </c>
      <c r="X719" s="13" cm="1">
        <f t="array" ref="X719">IF(Table8[[#This Row],[I_0]]&lt;Table24[Flitro de Ruido],1,Table8[[#This Row],[I_40]]/Table8[[#This Row],[I_0]])</f>
        <v>1</v>
      </c>
      <c r="Y719" s="13" cm="1">
        <f t="array" ref="Y719">IF(Table8[[#This Row],[I_0]]&lt;Table24[Flitro de Ruido],1,Table8[[#This Row],[I_50]]/Table8[[#This Row],[I_0]])</f>
        <v>1</v>
      </c>
    </row>
    <row r="720" spans="1:25" x14ac:dyDescent="0.3">
      <c r="A720" s="13">
        <v>782.37</v>
      </c>
      <c r="B720" s="12">
        <v>0</v>
      </c>
      <c r="C720" s="11">
        <v>782.37</v>
      </c>
      <c r="D720" s="12">
        <v>0</v>
      </c>
      <c r="E720" s="11">
        <v>782.37</v>
      </c>
      <c r="F720" s="12">
        <v>0</v>
      </c>
      <c r="G720" s="11">
        <v>782.37</v>
      </c>
      <c r="H720" s="12">
        <v>0</v>
      </c>
      <c r="I720" s="11">
        <v>782.37</v>
      </c>
      <c r="J720" s="12">
        <v>0</v>
      </c>
      <c r="K720" s="11">
        <v>782.37</v>
      </c>
      <c r="L720" s="12">
        <v>0</v>
      </c>
      <c r="M720" s="11">
        <v>782.37</v>
      </c>
      <c r="N720" s="13">
        <v>0</v>
      </c>
      <c r="O720" s="11">
        <v>0</v>
      </c>
      <c r="P720" s="11">
        <v>0</v>
      </c>
      <c r="Q720" s="11">
        <v>0</v>
      </c>
      <c r="R720" s="11">
        <v>0</v>
      </c>
      <c r="S720" s="14">
        <v>0</v>
      </c>
      <c r="T720" s="11">
        <v>782.37</v>
      </c>
      <c r="U720" s="13" cm="1">
        <f t="array" ref="U720">IF(Table8[[#This Row],[I_0]]&lt;Table24[Flitro de Ruido],1,Table8[[#This Row],[I_10]]/Table8[[#This Row],[I_0]])</f>
        <v>1</v>
      </c>
      <c r="V720" s="13" cm="1">
        <f t="array" ref="V720">IF(Table8[[#This Row],[I_0]]&lt;Table24[Flitro de Ruido],1,Table8[[#This Row],[I_20]]/Table8[[#This Row],[I_0]])</f>
        <v>1</v>
      </c>
      <c r="W720" s="13" cm="1">
        <f t="array" ref="W720">IF(Table8[[#This Row],[I_0]]&lt;Table24[Flitro de Ruido],1,Table8[[#This Row],[I_30]]/Table8[[#This Row],[I_0]])</f>
        <v>1</v>
      </c>
      <c r="X720" s="13" cm="1">
        <f t="array" ref="X720">IF(Table8[[#This Row],[I_0]]&lt;Table24[Flitro de Ruido],1,Table8[[#This Row],[I_40]]/Table8[[#This Row],[I_0]])</f>
        <v>1</v>
      </c>
      <c r="Y720" s="13" cm="1">
        <f t="array" ref="Y720">IF(Table8[[#This Row],[I_0]]&lt;Table24[Flitro de Ruido],1,Table8[[#This Row],[I_50]]/Table8[[#This Row],[I_0]])</f>
        <v>1</v>
      </c>
    </row>
    <row r="721" spans="1:25" x14ac:dyDescent="0.3">
      <c r="A721" s="13">
        <v>783.36</v>
      </c>
      <c r="B721" s="12">
        <v>0</v>
      </c>
      <c r="C721" s="11">
        <v>783.36</v>
      </c>
      <c r="D721" s="12">
        <v>0</v>
      </c>
      <c r="E721" s="11">
        <v>783.36</v>
      </c>
      <c r="F721" s="12">
        <v>0</v>
      </c>
      <c r="G721" s="11">
        <v>783.36</v>
      </c>
      <c r="H721" s="12">
        <v>0</v>
      </c>
      <c r="I721" s="11">
        <v>783.36</v>
      </c>
      <c r="J721" s="12">
        <v>0</v>
      </c>
      <c r="K721" s="11">
        <v>783.36</v>
      </c>
      <c r="L721" s="12">
        <v>0</v>
      </c>
      <c r="M721" s="11">
        <v>783.36</v>
      </c>
      <c r="N721" s="13">
        <v>0</v>
      </c>
      <c r="O721" s="11">
        <v>0</v>
      </c>
      <c r="P721" s="11">
        <v>0</v>
      </c>
      <c r="Q721" s="11">
        <v>0</v>
      </c>
      <c r="R721" s="11">
        <v>0</v>
      </c>
      <c r="S721" s="14">
        <v>0</v>
      </c>
      <c r="T721" s="11">
        <v>783.36</v>
      </c>
      <c r="U721" s="13" cm="1">
        <f t="array" ref="U721">IF(Table8[[#This Row],[I_0]]&lt;Table24[Flitro de Ruido],1,Table8[[#This Row],[I_10]]/Table8[[#This Row],[I_0]])</f>
        <v>1</v>
      </c>
      <c r="V721" s="13" cm="1">
        <f t="array" ref="V721">IF(Table8[[#This Row],[I_0]]&lt;Table24[Flitro de Ruido],1,Table8[[#This Row],[I_20]]/Table8[[#This Row],[I_0]])</f>
        <v>1</v>
      </c>
      <c r="W721" s="13" cm="1">
        <f t="array" ref="W721">IF(Table8[[#This Row],[I_0]]&lt;Table24[Flitro de Ruido],1,Table8[[#This Row],[I_30]]/Table8[[#This Row],[I_0]])</f>
        <v>1</v>
      </c>
      <c r="X721" s="13" cm="1">
        <f t="array" ref="X721">IF(Table8[[#This Row],[I_0]]&lt;Table24[Flitro de Ruido],1,Table8[[#This Row],[I_40]]/Table8[[#This Row],[I_0]])</f>
        <v>1</v>
      </c>
      <c r="Y721" s="13" cm="1">
        <f t="array" ref="Y721">IF(Table8[[#This Row],[I_0]]&lt;Table24[Flitro de Ruido],1,Table8[[#This Row],[I_50]]/Table8[[#This Row],[I_0]])</f>
        <v>1</v>
      </c>
    </row>
    <row r="722" spans="1:25" x14ac:dyDescent="0.3">
      <c r="A722" s="13">
        <v>784.35</v>
      </c>
      <c r="B722" s="12">
        <v>0</v>
      </c>
      <c r="C722" s="11">
        <v>784.35</v>
      </c>
      <c r="D722" s="12">
        <v>0</v>
      </c>
      <c r="E722" s="11">
        <v>784.35</v>
      </c>
      <c r="F722" s="12">
        <v>0</v>
      </c>
      <c r="G722" s="11">
        <v>784.35</v>
      </c>
      <c r="H722" s="12">
        <v>0</v>
      </c>
      <c r="I722" s="11">
        <v>784.35</v>
      </c>
      <c r="J722" s="12">
        <v>0</v>
      </c>
      <c r="K722" s="11">
        <v>784.35</v>
      </c>
      <c r="L722" s="12">
        <v>0</v>
      </c>
      <c r="M722" s="11">
        <v>784.35</v>
      </c>
      <c r="N722" s="13">
        <v>0</v>
      </c>
      <c r="O722" s="11">
        <v>0</v>
      </c>
      <c r="P722" s="11">
        <v>0</v>
      </c>
      <c r="Q722" s="11">
        <v>0</v>
      </c>
      <c r="R722" s="11">
        <v>0</v>
      </c>
      <c r="S722" s="14">
        <v>0</v>
      </c>
      <c r="T722" s="11">
        <v>784.35</v>
      </c>
      <c r="U722" s="13" cm="1">
        <f t="array" ref="U722">IF(Table8[[#This Row],[I_0]]&lt;Table24[Flitro de Ruido],1,Table8[[#This Row],[I_10]]/Table8[[#This Row],[I_0]])</f>
        <v>1</v>
      </c>
      <c r="V722" s="13" cm="1">
        <f t="array" ref="V722">IF(Table8[[#This Row],[I_0]]&lt;Table24[Flitro de Ruido],1,Table8[[#This Row],[I_20]]/Table8[[#This Row],[I_0]])</f>
        <v>1</v>
      </c>
      <c r="W722" s="13" cm="1">
        <f t="array" ref="W722">IF(Table8[[#This Row],[I_0]]&lt;Table24[Flitro de Ruido],1,Table8[[#This Row],[I_30]]/Table8[[#This Row],[I_0]])</f>
        <v>1</v>
      </c>
      <c r="X722" s="13" cm="1">
        <f t="array" ref="X722">IF(Table8[[#This Row],[I_0]]&lt;Table24[Flitro de Ruido],1,Table8[[#This Row],[I_40]]/Table8[[#This Row],[I_0]])</f>
        <v>1</v>
      </c>
      <c r="Y722" s="13" cm="1">
        <f t="array" ref="Y722">IF(Table8[[#This Row],[I_0]]&lt;Table24[Flitro de Ruido],1,Table8[[#This Row],[I_50]]/Table8[[#This Row],[I_0]])</f>
        <v>1</v>
      </c>
    </row>
    <row r="723" spans="1:25" x14ac:dyDescent="0.3">
      <c r="A723" s="13">
        <v>785.34</v>
      </c>
      <c r="B723" s="12">
        <v>0</v>
      </c>
      <c r="C723" s="11">
        <v>785.34</v>
      </c>
      <c r="D723" s="12">
        <v>0</v>
      </c>
      <c r="E723" s="11">
        <v>785.34</v>
      </c>
      <c r="F723" s="12">
        <v>0</v>
      </c>
      <c r="G723" s="11">
        <v>785.34</v>
      </c>
      <c r="H723" s="12">
        <v>0</v>
      </c>
      <c r="I723" s="11">
        <v>785.34</v>
      </c>
      <c r="J723" s="12">
        <v>0</v>
      </c>
      <c r="K723" s="11">
        <v>785.34</v>
      </c>
      <c r="L723" s="12">
        <v>0</v>
      </c>
      <c r="M723" s="11">
        <v>785.34</v>
      </c>
      <c r="N723" s="13">
        <v>0</v>
      </c>
      <c r="O723" s="11">
        <v>0</v>
      </c>
      <c r="P723" s="11">
        <v>0</v>
      </c>
      <c r="Q723" s="11">
        <v>0</v>
      </c>
      <c r="R723" s="11">
        <v>0</v>
      </c>
      <c r="S723" s="14">
        <v>0</v>
      </c>
      <c r="T723" s="11">
        <v>785.34</v>
      </c>
      <c r="U723" s="13" cm="1">
        <f t="array" ref="U723">IF(Table8[[#This Row],[I_0]]&lt;Table24[Flitro de Ruido],1,Table8[[#This Row],[I_10]]/Table8[[#This Row],[I_0]])</f>
        <v>1</v>
      </c>
      <c r="V723" s="13" cm="1">
        <f t="array" ref="V723">IF(Table8[[#This Row],[I_0]]&lt;Table24[Flitro de Ruido],1,Table8[[#This Row],[I_20]]/Table8[[#This Row],[I_0]])</f>
        <v>1</v>
      </c>
      <c r="W723" s="13" cm="1">
        <f t="array" ref="W723">IF(Table8[[#This Row],[I_0]]&lt;Table24[Flitro de Ruido],1,Table8[[#This Row],[I_30]]/Table8[[#This Row],[I_0]])</f>
        <v>1</v>
      </c>
      <c r="X723" s="13" cm="1">
        <f t="array" ref="X723">IF(Table8[[#This Row],[I_0]]&lt;Table24[Flitro de Ruido],1,Table8[[#This Row],[I_40]]/Table8[[#This Row],[I_0]])</f>
        <v>1</v>
      </c>
      <c r="Y723" s="13" cm="1">
        <f t="array" ref="Y723">IF(Table8[[#This Row],[I_0]]&lt;Table24[Flitro de Ruido],1,Table8[[#This Row],[I_50]]/Table8[[#This Row],[I_0]])</f>
        <v>1</v>
      </c>
    </row>
    <row r="724" spans="1:25" x14ac:dyDescent="0.3">
      <c r="A724" s="13">
        <v>786.33</v>
      </c>
      <c r="B724" s="12">
        <v>0</v>
      </c>
      <c r="C724" s="11">
        <v>786.33</v>
      </c>
      <c r="D724" s="12">
        <v>0</v>
      </c>
      <c r="E724" s="11">
        <v>786.33</v>
      </c>
      <c r="F724" s="12">
        <v>0</v>
      </c>
      <c r="G724" s="11">
        <v>786.33</v>
      </c>
      <c r="H724" s="12">
        <v>0</v>
      </c>
      <c r="I724" s="11">
        <v>786.33</v>
      </c>
      <c r="J724" s="12">
        <v>0</v>
      </c>
      <c r="K724" s="11">
        <v>786.33</v>
      </c>
      <c r="L724" s="12">
        <v>0</v>
      </c>
      <c r="M724" s="11">
        <v>786.33</v>
      </c>
      <c r="N724" s="13">
        <v>0</v>
      </c>
      <c r="O724" s="11">
        <v>0</v>
      </c>
      <c r="P724" s="11">
        <v>0</v>
      </c>
      <c r="Q724" s="11">
        <v>0</v>
      </c>
      <c r="R724" s="11">
        <v>0</v>
      </c>
      <c r="S724" s="14">
        <v>0</v>
      </c>
      <c r="T724" s="11">
        <v>786.33</v>
      </c>
      <c r="U724" s="13" cm="1">
        <f t="array" ref="U724">IF(Table8[[#This Row],[I_0]]&lt;Table24[Flitro de Ruido],1,Table8[[#This Row],[I_10]]/Table8[[#This Row],[I_0]])</f>
        <v>1</v>
      </c>
      <c r="V724" s="13" cm="1">
        <f t="array" ref="V724">IF(Table8[[#This Row],[I_0]]&lt;Table24[Flitro de Ruido],1,Table8[[#This Row],[I_20]]/Table8[[#This Row],[I_0]])</f>
        <v>1</v>
      </c>
      <c r="W724" s="13" cm="1">
        <f t="array" ref="W724">IF(Table8[[#This Row],[I_0]]&lt;Table24[Flitro de Ruido],1,Table8[[#This Row],[I_30]]/Table8[[#This Row],[I_0]])</f>
        <v>1</v>
      </c>
      <c r="X724" s="13" cm="1">
        <f t="array" ref="X724">IF(Table8[[#This Row],[I_0]]&lt;Table24[Flitro de Ruido],1,Table8[[#This Row],[I_40]]/Table8[[#This Row],[I_0]])</f>
        <v>1</v>
      </c>
      <c r="Y724" s="13" cm="1">
        <f t="array" ref="Y724">IF(Table8[[#This Row],[I_0]]&lt;Table24[Flitro de Ruido],1,Table8[[#This Row],[I_50]]/Table8[[#This Row],[I_0]])</f>
        <v>1</v>
      </c>
    </row>
    <row r="725" spans="1:25" x14ac:dyDescent="0.3">
      <c r="A725" s="13">
        <v>787.33</v>
      </c>
      <c r="B725" s="12">
        <v>0</v>
      </c>
      <c r="C725" s="11">
        <v>787.33</v>
      </c>
      <c r="D725" s="12">
        <v>0</v>
      </c>
      <c r="E725" s="11">
        <v>787.33</v>
      </c>
      <c r="F725" s="12">
        <v>0</v>
      </c>
      <c r="G725" s="11">
        <v>787.33</v>
      </c>
      <c r="H725" s="12">
        <v>0</v>
      </c>
      <c r="I725" s="11">
        <v>787.33</v>
      </c>
      <c r="J725" s="12">
        <v>0</v>
      </c>
      <c r="K725" s="11">
        <v>787.33</v>
      </c>
      <c r="L725" s="12">
        <v>0</v>
      </c>
      <c r="M725" s="11">
        <v>787.33</v>
      </c>
      <c r="N725" s="13">
        <v>0</v>
      </c>
      <c r="O725" s="11">
        <v>0</v>
      </c>
      <c r="P725" s="11">
        <v>0</v>
      </c>
      <c r="Q725" s="11">
        <v>0</v>
      </c>
      <c r="R725" s="11">
        <v>0</v>
      </c>
      <c r="S725" s="14">
        <v>0</v>
      </c>
      <c r="T725" s="11">
        <v>787.33</v>
      </c>
      <c r="U725" s="13" cm="1">
        <f t="array" ref="U725">IF(Table8[[#This Row],[I_0]]&lt;Table24[Flitro de Ruido],1,Table8[[#This Row],[I_10]]/Table8[[#This Row],[I_0]])</f>
        <v>1</v>
      </c>
      <c r="V725" s="13" cm="1">
        <f t="array" ref="V725">IF(Table8[[#This Row],[I_0]]&lt;Table24[Flitro de Ruido],1,Table8[[#This Row],[I_20]]/Table8[[#This Row],[I_0]])</f>
        <v>1</v>
      </c>
      <c r="W725" s="13" cm="1">
        <f t="array" ref="W725">IF(Table8[[#This Row],[I_0]]&lt;Table24[Flitro de Ruido],1,Table8[[#This Row],[I_30]]/Table8[[#This Row],[I_0]])</f>
        <v>1</v>
      </c>
      <c r="X725" s="13" cm="1">
        <f t="array" ref="X725">IF(Table8[[#This Row],[I_0]]&lt;Table24[Flitro de Ruido],1,Table8[[#This Row],[I_40]]/Table8[[#This Row],[I_0]])</f>
        <v>1</v>
      </c>
      <c r="Y725" s="13" cm="1">
        <f t="array" ref="Y725">IF(Table8[[#This Row],[I_0]]&lt;Table24[Flitro de Ruido],1,Table8[[#This Row],[I_50]]/Table8[[#This Row],[I_0]])</f>
        <v>1</v>
      </c>
    </row>
    <row r="726" spans="1:25" x14ac:dyDescent="0.3">
      <c r="A726" s="13">
        <v>788.32</v>
      </c>
      <c r="B726" s="12">
        <v>0</v>
      </c>
      <c r="C726" s="11">
        <v>788.32</v>
      </c>
      <c r="D726" s="12">
        <v>0</v>
      </c>
      <c r="E726" s="11">
        <v>788.32</v>
      </c>
      <c r="F726" s="12">
        <v>0</v>
      </c>
      <c r="G726" s="11">
        <v>788.32</v>
      </c>
      <c r="H726" s="12">
        <v>0</v>
      </c>
      <c r="I726" s="11">
        <v>788.32</v>
      </c>
      <c r="J726" s="12">
        <v>0</v>
      </c>
      <c r="K726" s="11">
        <v>788.32</v>
      </c>
      <c r="L726" s="12">
        <v>0</v>
      </c>
      <c r="M726" s="11">
        <v>788.32</v>
      </c>
      <c r="N726" s="13">
        <v>0</v>
      </c>
      <c r="O726" s="11">
        <v>0</v>
      </c>
      <c r="P726" s="11">
        <v>0</v>
      </c>
      <c r="Q726" s="11">
        <v>0</v>
      </c>
      <c r="R726" s="11">
        <v>0</v>
      </c>
      <c r="S726" s="14">
        <v>0</v>
      </c>
      <c r="T726" s="11">
        <v>788.32</v>
      </c>
      <c r="U726" s="13" cm="1">
        <f t="array" ref="U726">IF(Table8[[#This Row],[I_0]]&lt;Table24[Flitro de Ruido],1,Table8[[#This Row],[I_10]]/Table8[[#This Row],[I_0]])</f>
        <v>1</v>
      </c>
      <c r="V726" s="13" cm="1">
        <f t="array" ref="V726">IF(Table8[[#This Row],[I_0]]&lt;Table24[Flitro de Ruido],1,Table8[[#This Row],[I_20]]/Table8[[#This Row],[I_0]])</f>
        <v>1</v>
      </c>
      <c r="W726" s="13" cm="1">
        <f t="array" ref="W726">IF(Table8[[#This Row],[I_0]]&lt;Table24[Flitro de Ruido],1,Table8[[#This Row],[I_30]]/Table8[[#This Row],[I_0]])</f>
        <v>1</v>
      </c>
      <c r="X726" s="13" cm="1">
        <f t="array" ref="X726">IF(Table8[[#This Row],[I_0]]&lt;Table24[Flitro de Ruido],1,Table8[[#This Row],[I_40]]/Table8[[#This Row],[I_0]])</f>
        <v>1</v>
      </c>
      <c r="Y726" s="13" cm="1">
        <f t="array" ref="Y726">IF(Table8[[#This Row],[I_0]]&lt;Table24[Flitro de Ruido],1,Table8[[#This Row],[I_50]]/Table8[[#This Row],[I_0]])</f>
        <v>1</v>
      </c>
    </row>
    <row r="727" spans="1:25" x14ac:dyDescent="0.3">
      <c r="A727" s="13">
        <v>789.31</v>
      </c>
      <c r="B727" s="12">
        <v>0</v>
      </c>
      <c r="C727" s="11">
        <v>789.31</v>
      </c>
      <c r="D727" s="12">
        <v>0</v>
      </c>
      <c r="E727" s="11">
        <v>789.31</v>
      </c>
      <c r="F727" s="12">
        <v>0</v>
      </c>
      <c r="G727" s="11">
        <v>789.31</v>
      </c>
      <c r="H727" s="12">
        <v>0</v>
      </c>
      <c r="I727" s="11">
        <v>789.31</v>
      </c>
      <c r="J727" s="12">
        <v>0</v>
      </c>
      <c r="K727" s="11">
        <v>789.31</v>
      </c>
      <c r="L727" s="12">
        <v>0</v>
      </c>
      <c r="M727" s="11">
        <v>789.31</v>
      </c>
      <c r="N727" s="13">
        <v>0</v>
      </c>
      <c r="O727" s="11">
        <v>0</v>
      </c>
      <c r="P727" s="11">
        <v>0</v>
      </c>
      <c r="Q727" s="11">
        <v>0</v>
      </c>
      <c r="R727" s="11">
        <v>0</v>
      </c>
      <c r="S727" s="14">
        <v>0</v>
      </c>
      <c r="T727" s="11">
        <v>789.31</v>
      </c>
      <c r="U727" s="13" cm="1">
        <f t="array" ref="U727">IF(Table8[[#This Row],[I_0]]&lt;Table24[Flitro de Ruido],1,Table8[[#This Row],[I_10]]/Table8[[#This Row],[I_0]])</f>
        <v>1</v>
      </c>
      <c r="V727" s="13" cm="1">
        <f t="array" ref="V727">IF(Table8[[#This Row],[I_0]]&lt;Table24[Flitro de Ruido],1,Table8[[#This Row],[I_20]]/Table8[[#This Row],[I_0]])</f>
        <v>1</v>
      </c>
      <c r="W727" s="13" cm="1">
        <f t="array" ref="W727">IF(Table8[[#This Row],[I_0]]&lt;Table24[Flitro de Ruido],1,Table8[[#This Row],[I_30]]/Table8[[#This Row],[I_0]])</f>
        <v>1</v>
      </c>
      <c r="X727" s="13" cm="1">
        <f t="array" ref="X727">IF(Table8[[#This Row],[I_0]]&lt;Table24[Flitro de Ruido],1,Table8[[#This Row],[I_40]]/Table8[[#This Row],[I_0]])</f>
        <v>1</v>
      </c>
      <c r="Y727" s="13" cm="1">
        <f t="array" ref="Y727">IF(Table8[[#This Row],[I_0]]&lt;Table24[Flitro de Ruido],1,Table8[[#This Row],[I_50]]/Table8[[#This Row],[I_0]])</f>
        <v>1</v>
      </c>
    </row>
    <row r="728" spans="1:25" x14ac:dyDescent="0.3">
      <c r="A728" s="13">
        <v>790.3</v>
      </c>
      <c r="B728" s="12">
        <v>0</v>
      </c>
      <c r="C728" s="11">
        <v>790.3</v>
      </c>
      <c r="D728" s="12">
        <v>0</v>
      </c>
      <c r="E728" s="11">
        <v>790.3</v>
      </c>
      <c r="F728" s="12">
        <v>0</v>
      </c>
      <c r="G728" s="11">
        <v>790.3</v>
      </c>
      <c r="H728" s="12">
        <v>0</v>
      </c>
      <c r="I728" s="11">
        <v>790.3</v>
      </c>
      <c r="J728" s="12">
        <v>0</v>
      </c>
      <c r="K728" s="11">
        <v>790.3</v>
      </c>
      <c r="L728" s="12">
        <v>0</v>
      </c>
      <c r="M728" s="11">
        <v>790.3</v>
      </c>
      <c r="N728" s="13">
        <v>0</v>
      </c>
      <c r="O728" s="11">
        <v>0</v>
      </c>
      <c r="P728" s="11">
        <v>0</v>
      </c>
      <c r="Q728" s="11">
        <v>0</v>
      </c>
      <c r="R728" s="11">
        <v>0</v>
      </c>
      <c r="S728" s="14">
        <v>0</v>
      </c>
      <c r="T728" s="11">
        <v>790.3</v>
      </c>
      <c r="U728" s="13" cm="1">
        <f t="array" ref="U728">IF(Table8[[#This Row],[I_0]]&lt;Table24[Flitro de Ruido],1,Table8[[#This Row],[I_10]]/Table8[[#This Row],[I_0]])</f>
        <v>1</v>
      </c>
      <c r="V728" s="13" cm="1">
        <f t="array" ref="V728">IF(Table8[[#This Row],[I_0]]&lt;Table24[Flitro de Ruido],1,Table8[[#This Row],[I_20]]/Table8[[#This Row],[I_0]])</f>
        <v>1</v>
      </c>
      <c r="W728" s="13" cm="1">
        <f t="array" ref="W728">IF(Table8[[#This Row],[I_0]]&lt;Table24[Flitro de Ruido],1,Table8[[#This Row],[I_30]]/Table8[[#This Row],[I_0]])</f>
        <v>1</v>
      </c>
      <c r="X728" s="13" cm="1">
        <f t="array" ref="X728">IF(Table8[[#This Row],[I_0]]&lt;Table24[Flitro de Ruido],1,Table8[[#This Row],[I_40]]/Table8[[#This Row],[I_0]])</f>
        <v>1</v>
      </c>
      <c r="Y728" s="13" cm="1">
        <f t="array" ref="Y728">IF(Table8[[#This Row],[I_0]]&lt;Table24[Flitro de Ruido],1,Table8[[#This Row],[I_50]]/Table8[[#This Row],[I_0]])</f>
        <v>1</v>
      </c>
    </row>
    <row r="729" spans="1:25" x14ac:dyDescent="0.3">
      <c r="A729" s="13">
        <v>791.29</v>
      </c>
      <c r="B729" s="12">
        <v>0</v>
      </c>
      <c r="C729" s="11">
        <v>791.29</v>
      </c>
      <c r="D729" s="12">
        <v>0</v>
      </c>
      <c r="E729" s="11">
        <v>791.29</v>
      </c>
      <c r="F729" s="12">
        <v>0</v>
      </c>
      <c r="G729" s="11">
        <v>791.29</v>
      </c>
      <c r="H729" s="12">
        <v>0</v>
      </c>
      <c r="I729" s="11">
        <v>791.29</v>
      </c>
      <c r="J729" s="12">
        <v>0</v>
      </c>
      <c r="K729" s="11">
        <v>791.29</v>
      </c>
      <c r="L729" s="12">
        <v>0</v>
      </c>
      <c r="M729" s="11">
        <v>791.29</v>
      </c>
      <c r="N729" s="13">
        <v>0</v>
      </c>
      <c r="O729" s="11">
        <v>0</v>
      </c>
      <c r="P729" s="11">
        <v>0</v>
      </c>
      <c r="Q729" s="11">
        <v>0</v>
      </c>
      <c r="R729" s="11">
        <v>0</v>
      </c>
      <c r="S729" s="14">
        <v>0</v>
      </c>
      <c r="T729" s="11">
        <v>791.29</v>
      </c>
      <c r="U729" s="13" cm="1">
        <f t="array" ref="U729">IF(Table8[[#This Row],[I_0]]&lt;Table24[Flitro de Ruido],1,Table8[[#This Row],[I_10]]/Table8[[#This Row],[I_0]])</f>
        <v>1</v>
      </c>
      <c r="V729" s="13" cm="1">
        <f t="array" ref="V729">IF(Table8[[#This Row],[I_0]]&lt;Table24[Flitro de Ruido],1,Table8[[#This Row],[I_20]]/Table8[[#This Row],[I_0]])</f>
        <v>1</v>
      </c>
      <c r="W729" s="13" cm="1">
        <f t="array" ref="W729">IF(Table8[[#This Row],[I_0]]&lt;Table24[Flitro de Ruido],1,Table8[[#This Row],[I_30]]/Table8[[#This Row],[I_0]])</f>
        <v>1</v>
      </c>
      <c r="X729" s="13" cm="1">
        <f t="array" ref="X729">IF(Table8[[#This Row],[I_0]]&lt;Table24[Flitro de Ruido],1,Table8[[#This Row],[I_40]]/Table8[[#This Row],[I_0]])</f>
        <v>1</v>
      </c>
      <c r="Y729" s="13" cm="1">
        <f t="array" ref="Y729">IF(Table8[[#This Row],[I_0]]&lt;Table24[Flitro de Ruido],1,Table8[[#This Row],[I_50]]/Table8[[#This Row],[I_0]])</f>
        <v>1</v>
      </c>
    </row>
    <row r="730" spans="1:25" x14ac:dyDescent="0.3">
      <c r="A730" s="13">
        <v>792.29</v>
      </c>
      <c r="B730" s="12">
        <v>0</v>
      </c>
      <c r="C730" s="11">
        <v>792.29</v>
      </c>
      <c r="D730" s="12">
        <v>0</v>
      </c>
      <c r="E730" s="11">
        <v>792.29</v>
      </c>
      <c r="F730" s="12">
        <v>0</v>
      </c>
      <c r="G730" s="11">
        <v>792.29</v>
      </c>
      <c r="H730" s="12">
        <v>0</v>
      </c>
      <c r="I730" s="11">
        <v>792.29</v>
      </c>
      <c r="J730" s="12">
        <v>0</v>
      </c>
      <c r="K730" s="11">
        <v>792.29</v>
      </c>
      <c r="L730" s="12">
        <v>0</v>
      </c>
      <c r="M730" s="11">
        <v>792.29</v>
      </c>
      <c r="N730" s="13">
        <v>0</v>
      </c>
      <c r="O730" s="11">
        <v>0</v>
      </c>
      <c r="P730" s="11">
        <v>0</v>
      </c>
      <c r="Q730" s="11">
        <v>0</v>
      </c>
      <c r="R730" s="11">
        <v>0</v>
      </c>
      <c r="S730" s="14">
        <v>0</v>
      </c>
      <c r="T730" s="11">
        <v>792.29</v>
      </c>
      <c r="U730" s="13" cm="1">
        <f t="array" ref="U730">IF(Table8[[#This Row],[I_0]]&lt;Table24[Flitro de Ruido],1,Table8[[#This Row],[I_10]]/Table8[[#This Row],[I_0]])</f>
        <v>1</v>
      </c>
      <c r="V730" s="13" cm="1">
        <f t="array" ref="V730">IF(Table8[[#This Row],[I_0]]&lt;Table24[Flitro de Ruido],1,Table8[[#This Row],[I_20]]/Table8[[#This Row],[I_0]])</f>
        <v>1</v>
      </c>
      <c r="W730" s="13" cm="1">
        <f t="array" ref="W730">IF(Table8[[#This Row],[I_0]]&lt;Table24[Flitro de Ruido],1,Table8[[#This Row],[I_30]]/Table8[[#This Row],[I_0]])</f>
        <v>1</v>
      </c>
      <c r="X730" s="13" cm="1">
        <f t="array" ref="X730">IF(Table8[[#This Row],[I_0]]&lt;Table24[Flitro de Ruido],1,Table8[[#This Row],[I_40]]/Table8[[#This Row],[I_0]])</f>
        <v>1</v>
      </c>
      <c r="Y730" s="13" cm="1">
        <f t="array" ref="Y730">IF(Table8[[#This Row],[I_0]]&lt;Table24[Flitro de Ruido],1,Table8[[#This Row],[I_50]]/Table8[[#This Row],[I_0]])</f>
        <v>1</v>
      </c>
    </row>
    <row r="731" spans="1:25" x14ac:dyDescent="0.3">
      <c r="A731" s="13">
        <v>793.28</v>
      </c>
      <c r="B731" s="12">
        <v>0</v>
      </c>
      <c r="C731" s="11">
        <v>793.28</v>
      </c>
      <c r="D731" s="12">
        <v>0</v>
      </c>
      <c r="E731" s="11">
        <v>793.28</v>
      </c>
      <c r="F731" s="12">
        <v>0</v>
      </c>
      <c r="G731" s="11">
        <v>793.28</v>
      </c>
      <c r="H731" s="12">
        <v>0</v>
      </c>
      <c r="I731" s="11">
        <v>793.28</v>
      </c>
      <c r="J731" s="12">
        <v>0</v>
      </c>
      <c r="K731" s="11">
        <v>793.28</v>
      </c>
      <c r="L731" s="12">
        <v>0</v>
      </c>
      <c r="M731" s="11">
        <v>793.28</v>
      </c>
      <c r="N731" s="13">
        <v>0</v>
      </c>
      <c r="O731" s="11">
        <v>0</v>
      </c>
      <c r="P731" s="11">
        <v>0</v>
      </c>
      <c r="Q731" s="11">
        <v>0</v>
      </c>
      <c r="R731" s="11">
        <v>0</v>
      </c>
      <c r="S731" s="14">
        <v>0</v>
      </c>
      <c r="T731" s="11">
        <v>793.28</v>
      </c>
      <c r="U731" s="13" cm="1">
        <f t="array" ref="U731">IF(Table8[[#This Row],[I_0]]&lt;Table24[Flitro de Ruido],1,Table8[[#This Row],[I_10]]/Table8[[#This Row],[I_0]])</f>
        <v>1</v>
      </c>
      <c r="V731" s="13" cm="1">
        <f t="array" ref="V731">IF(Table8[[#This Row],[I_0]]&lt;Table24[Flitro de Ruido],1,Table8[[#This Row],[I_20]]/Table8[[#This Row],[I_0]])</f>
        <v>1</v>
      </c>
      <c r="W731" s="13" cm="1">
        <f t="array" ref="W731">IF(Table8[[#This Row],[I_0]]&lt;Table24[Flitro de Ruido],1,Table8[[#This Row],[I_30]]/Table8[[#This Row],[I_0]])</f>
        <v>1</v>
      </c>
      <c r="X731" s="13" cm="1">
        <f t="array" ref="X731">IF(Table8[[#This Row],[I_0]]&lt;Table24[Flitro de Ruido],1,Table8[[#This Row],[I_40]]/Table8[[#This Row],[I_0]])</f>
        <v>1</v>
      </c>
      <c r="Y731" s="13" cm="1">
        <f t="array" ref="Y731">IF(Table8[[#This Row],[I_0]]&lt;Table24[Flitro de Ruido],1,Table8[[#This Row],[I_50]]/Table8[[#This Row],[I_0]])</f>
        <v>1</v>
      </c>
    </row>
    <row r="732" spans="1:25" x14ac:dyDescent="0.3">
      <c r="A732" s="13">
        <v>794.27</v>
      </c>
      <c r="B732" s="12">
        <v>0</v>
      </c>
      <c r="C732" s="11">
        <v>794.27</v>
      </c>
      <c r="D732" s="12">
        <v>0</v>
      </c>
      <c r="E732" s="11">
        <v>794.27</v>
      </c>
      <c r="F732" s="12">
        <v>0</v>
      </c>
      <c r="G732" s="11">
        <v>794.27</v>
      </c>
      <c r="H732" s="12">
        <v>0</v>
      </c>
      <c r="I732" s="11">
        <v>794.27</v>
      </c>
      <c r="J732" s="12">
        <v>0</v>
      </c>
      <c r="K732" s="11">
        <v>794.27</v>
      </c>
      <c r="L732" s="12">
        <v>0</v>
      </c>
      <c r="M732" s="11">
        <v>794.27</v>
      </c>
      <c r="N732" s="13">
        <v>0</v>
      </c>
      <c r="O732" s="11">
        <v>0</v>
      </c>
      <c r="P732" s="11">
        <v>0</v>
      </c>
      <c r="Q732" s="11">
        <v>0</v>
      </c>
      <c r="R732" s="11">
        <v>0</v>
      </c>
      <c r="S732" s="14">
        <v>0</v>
      </c>
      <c r="T732" s="11">
        <v>794.27</v>
      </c>
      <c r="U732" s="13" cm="1">
        <f t="array" ref="U732">IF(Table8[[#This Row],[I_0]]&lt;Table24[Flitro de Ruido],1,Table8[[#This Row],[I_10]]/Table8[[#This Row],[I_0]])</f>
        <v>1</v>
      </c>
      <c r="V732" s="13" cm="1">
        <f t="array" ref="V732">IF(Table8[[#This Row],[I_0]]&lt;Table24[Flitro de Ruido],1,Table8[[#This Row],[I_20]]/Table8[[#This Row],[I_0]])</f>
        <v>1</v>
      </c>
      <c r="W732" s="13" cm="1">
        <f t="array" ref="W732">IF(Table8[[#This Row],[I_0]]&lt;Table24[Flitro de Ruido],1,Table8[[#This Row],[I_30]]/Table8[[#This Row],[I_0]])</f>
        <v>1</v>
      </c>
      <c r="X732" s="13" cm="1">
        <f t="array" ref="X732">IF(Table8[[#This Row],[I_0]]&lt;Table24[Flitro de Ruido],1,Table8[[#This Row],[I_40]]/Table8[[#This Row],[I_0]])</f>
        <v>1</v>
      </c>
      <c r="Y732" s="13" cm="1">
        <f t="array" ref="Y732">IF(Table8[[#This Row],[I_0]]&lt;Table24[Flitro de Ruido],1,Table8[[#This Row],[I_50]]/Table8[[#This Row],[I_0]])</f>
        <v>1</v>
      </c>
    </row>
    <row r="733" spans="1:25" x14ac:dyDescent="0.3">
      <c r="A733" s="13">
        <v>795.26</v>
      </c>
      <c r="B733" s="12">
        <v>0</v>
      </c>
      <c r="C733" s="11">
        <v>795.26</v>
      </c>
      <c r="D733" s="12">
        <v>0</v>
      </c>
      <c r="E733" s="11">
        <v>795.26</v>
      </c>
      <c r="F733" s="12">
        <v>0</v>
      </c>
      <c r="G733" s="11">
        <v>795.26</v>
      </c>
      <c r="H733" s="12">
        <v>0</v>
      </c>
      <c r="I733" s="11">
        <v>795.26</v>
      </c>
      <c r="J733" s="12">
        <v>0</v>
      </c>
      <c r="K733" s="11">
        <v>795.26</v>
      </c>
      <c r="L733" s="12">
        <v>0</v>
      </c>
      <c r="M733" s="11">
        <v>795.26</v>
      </c>
      <c r="N733" s="13">
        <v>0</v>
      </c>
      <c r="O733" s="11">
        <v>0</v>
      </c>
      <c r="P733" s="11">
        <v>0</v>
      </c>
      <c r="Q733" s="11">
        <v>0</v>
      </c>
      <c r="R733" s="11">
        <v>0</v>
      </c>
      <c r="S733" s="14">
        <v>0</v>
      </c>
      <c r="T733" s="11">
        <v>795.26</v>
      </c>
      <c r="U733" s="13" cm="1">
        <f t="array" ref="U733">IF(Table8[[#This Row],[I_0]]&lt;Table24[Flitro de Ruido],1,Table8[[#This Row],[I_10]]/Table8[[#This Row],[I_0]])</f>
        <v>1</v>
      </c>
      <c r="V733" s="13" cm="1">
        <f t="array" ref="V733">IF(Table8[[#This Row],[I_0]]&lt;Table24[Flitro de Ruido],1,Table8[[#This Row],[I_20]]/Table8[[#This Row],[I_0]])</f>
        <v>1</v>
      </c>
      <c r="W733" s="13" cm="1">
        <f t="array" ref="W733">IF(Table8[[#This Row],[I_0]]&lt;Table24[Flitro de Ruido],1,Table8[[#This Row],[I_30]]/Table8[[#This Row],[I_0]])</f>
        <v>1</v>
      </c>
      <c r="X733" s="13" cm="1">
        <f t="array" ref="X733">IF(Table8[[#This Row],[I_0]]&lt;Table24[Flitro de Ruido],1,Table8[[#This Row],[I_40]]/Table8[[#This Row],[I_0]])</f>
        <v>1</v>
      </c>
      <c r="Y733" s="13" cm="1">
        <f t="array" ref="Y733">IF(Table8[[#This Row],[I_0]]&lt;Table24[Flitro de Ruido],1,Table8[[#This Row],[I_50]]/Table8[[#This Row],[I_0]])</f>
        <v>1</v>
      </c>
    </row>
    <row r="734" spans="1:25" x14ac:dyDescent="0.3">
      <c r="A734" s="13">
        <v>796.25</v>
      </c>
      <c r="B734" s="12">
        <v>0</v>
      </c>
      <c r="C734" s="11">
        <v>796.25</v>
      </c>
      <c r="D734" s="12">
        <v>0</v>
      </c>
      <c r="E734" s="11">
        <v>796.25</v>
      </c>
      <c r="F734" s="12">
        <v>0</v>
      </c>
      <c r="G734" s="11">
        <v>796.25</v>
      </c>
      <c r="H734" s="12">
        <v>0</v>
      </c>
      <c r="I734" s="11">
        <v>796.25</v>
      </c>
      <c r="J734" s="12">
        <v>0</v>
      </c>
      <c r="K734" s="11">
        <v>796.25</v>
      </c>
      <c r="L734" s="12">
        <v>0</v>
      </c>
      <c r="M734" s="11">
        <v>796.25</v>
      </c>
      <c r="N734" s="13">
        <v>0</v>
      </c>
      <c r="O734" s="11">
        <v>0</v>
      </c>
      <c r="P734" s="11">
        <v>0</v>
      </c>
      <c r="Q734" s="11">
        <v>0</v>
      </c>
      <c r="R734" s="11">
        <v>0</v>
      </c>
      <c r="S734" s="14">
        <v>0</v>
      </c>
      <c r="T734" s="11">
        <v>796.25</v>
      </c>
      <c r="U734" s="13" cm="1">
        <f t="array" ref="U734">IF(Table8[[#This Row],[I_0]]&lt;Table24[Flitro de Ruido],1,Table8[[#This Row],[I_10]]/Table8[[#This Row],[I_0]])</f>
        <v>1</v>
      </c>
      <c r="V734" s="13" cm="1">
        <f t="array" ref="V734">IF(Table8[[#This Row],[I_0]]&lt;Table24[Flitro de Ruido],1,Table8[[#This Row],[I_20]]/Table8[[#This Row],[I_0]])</f>
        <v>1</v>
      </c>
      <c r="W734" s="13" cm="1">
        <f t="array" ref="W734">IF(Table8[[#This Row],[I_0]]&lt;Table24[Flitro de Ruido],1,Table8[[#This Row],[I_30]]/Table8[[#This Row],[I_0]])</f>
        <v>1</v>
      </c>
      <c r="X734" s="13" cm="1">
        <f t="array" ref="X734">IF(Table8[[#This Row],[I_0]]&lt;Table24[Flitro de Ruido],1,Table8[[#This Row],[I_40]]/Table8[[#This Row],[I_0]])</f>
        <v>1</v>
      </c>
      <c r="Y734" s="13" cm="1">
        <f t="array" ref="Y734">IF(Table8[[#This Row],[I_0]]&lt;Table24[Flitro de Ruido],1,Table8[[#This Row],[I_50]]/Table8[[#This Row],[I_0]])</f>
        <v>1</v>
      </c>
    </row>
    <row r="735" spans="1:25" x14ac:dyDescent="0.3">
      <c r="A735" s="13">
        <v>797.24</v>
      </c>
      <c r="B735" s="12">
        <v>0</v>
      </c>
      <c r="C735" s="11">
        <v>797.24</v>
      </c>
      <c r="D735" s="12">
        <v>0</v>
      </c>
      <c r="E735" s="11">
        <v>797.24</v>
      </c>
      <c r="F735" s="12">
        <v>0</v>
      </c>
      <c r="G735" s="11">
        <v>797.24</v>
      </c>
      <c r="H735" s="12">
        <v>0</v>
      </c>
      <c r="I735" s="11">
        <v>797.24</v>
      </c>
      <c r="J735" s="12">
        <v>0</v>
      </c>
      <c r="K735" s="11">
        <v>797.24</v>
      </c>
      <c r="L735" s="12">
        <v>0</v>
      </c>
      <c r="M735" s="11">
        <v>797.24</v>
      </c>
      <c r="N735" s="13">
        <v>0</v>
      </c>
      <c r="O735" s="11">
        <v>0</v>
      </c>
      <c r="P735" s="11">
        <v>0</v>
      </c>
      <c r="Q735" s="11">
        <v>0</v>
      </c>
      <c r="R735" s="11">
        <v>0</v>
      </c>
      <c r="S735" s="14">
        <v>0</v>
      </c>
      <c r="T735" s="11">
        <v>797.24</v>
      </c>
      <c r="U735" s="13" cm="1">
        <f t="array" ref="U735">IF(Table8[[#This Row],[I_0]]&lt;Table24[Flitro de Ruido],1,Table8[[#This Row],[I_10]]/Table8[[#This Row],[I_0]])</f>
        <v>1</v>
      </c>
      <c r="V735" s="13" cm="1">
        <f t="array" ref="V735">IF(Table8[[#This Row],[I_0]]&lt;Table24[Flitro de Ruido],1,Table8[[#This Row],[I_20]]/Table8[[#This Row],[I_0]])</f>
        <v>1</v>
      </c>
      <c r="W735" s="13" cm="1">
        <f t="array" ref="W735">IF(Table8[[#This Row],[I_0]]&lt;Table24[Flitro de Ruido],1,Table8[[#This Row],[I_30]]/Table8[[#This Row],[I_0]])</f>
        <v>1</v>
      </c>
      <c r="X735" s="13" cm="1">
        <f t="array" ref="X735">IF(Table8[[#This Row],[I_0]]&lt;Table24[Flitro de Ruido],1,Table8[[#This Row],[I_40]]/Table8[[#This Row],[I_0]])</f>
        <v>1</v>
      </c>
      <c r="Y735" s="13" cm="1">
        <f t="array" ref="Y735">IF(Table8[[#This Row],[I_0]]&lt;Table24[Flitro de Ruido],1,Table8[[#This Row],[I_50]]/Table8[[#This Row],[I_0]])</f>
        <v>1</v>
      </c>
    </row>
    <row r="736" spans="1:25" x14ac:dyDescent="0.3">
      <c r="A736" s="13">
        <v>798.24</v>
      </c>
      <c r="B736" s="12">
        <v>0</v>
      </c>
      <c r="C736" s="11">
        <v>798.24</v>
      </c>
      <c r="D736" s="12">
        <v>0</v>
      </c>
      <c r="E736" s="11">
        <v>798.24</v>
      </c>
      <c r="F736" s="12">
        <v>0</v>
      </c>
      <c r="G736" s="11">
        <v>798.24</v>
      </c>
      <c r="H736" s="12">
        <v>0</v>
      </c>
      <c r="I736" s="11">
        <v>798.24</v>
      </c>
      <c r="J736" s="12">
        <v>0</v>
      </c>
      <c r="K736" s="11">
        <v>798.24</v>
      </c>
      <c r="L736" s="12">
        <v>0</v>
      </c>
      <c r="M736" s="11">
        <v>798.24</v>
      </c>
      <c r="N736" s="13">
        <v>0</v>
      </c>
      <c r="O736" s="11">
        <v>0</v>
      </c>
      <c r="P736" s="11">
        <v>0</v>
      </c>
      <c r="Q736" s="11">
        <v>0</v>
      </c>
      <c r="R736" s="11">
        <v>0</v>
      </c>
      <c r="S736" s="14">
        <v>0</v>
      </c>
      <c r="T736" s="11">
        <v>798.24</v>
      </c>
      <c r="U736" s="13" cm="1">
        <f t="array" ref="U736">IF(Table8[[#This Row],[I_0]]&lt;Table24[Flitro de Ruido],1,Table8[[#This Row],[I_10]]/Table8[[#This Row],[I_0]])</f>
        <v>1</v>
      </c>
      <c r="V736" s="13" cm="1">
        <f t="array" ref="V736">IF(Table8[[#This Row],[I_0]]&lt;Table24[Flitro de Ruido],1,Table8[[#This Row],[I_20]]/Table8[[#This Row],[I_0]])</f>
        <v>1</v>
      </c>
      <c r="W736" s="13" cm="1">
        <f t="array" ref="W736">IF(Table8[[#This Row],[I_0]]&lt;Table24[Flitro de Ruido],1,Table8[[#This Row],[I_30]]/Table8[[#This Row],[I_0]])</f>
        <v>1</v>
      </c>
      <c r="X736" s="13" cm="1">
        <f t="array" ref="X736">IF(Table8[[#This Row],[I_0]]&lt;Table24[Flitro de Ruido],1,Table8[[#This Row],[I_40]]/Table8[[#This Row],[I_0]])</f>
        <v>1</v>
      </c>
      <c r="Y736" s="13" cm="1">
        <f t="array" ref="Y736">IF(Table8[[#This Row],[I_0]]&lt;Table24[Flitro de Ruido],1,Table8[[#This Row],[I_50]]/Table8[[#This Row],[I_0]])</f>
        <v>1</v>
      </c>
    </row>
    <row r="737" spans="1:25" x14ac:dyDescent="0.3">
      <c r="A737" s="13">
        <v>799.23</v>
      </c>
      <c r="B737" s="12">
        <v>0</v>
      </c>
      <c r="C737" s="11">
        <v>799.23</v>
      </c>
      <c r="D737" s="12">
        <v>0</v>
      </c>
      <c r="E737" s="11">
        <v>799.23</v>
      </c>
      <c r="F737" s="12">
        <v>0</v>
      </c>
      <c r="G737" s="11">
        <v>799.23</v>
      </c>
      <c r="H737" s="12">
        <v>0</v>
      </c>
      <c r="I737" s="11">
        <v>799.23</v>
      </c>
      <c r="J737" s="12">
        <v>0</v>
      </c>
      <c r="K737" s="11">
        <v>799.23</v>
      </c>
      <c r="L737" s="12">
        <v>0</v>
      </c>
      <c r="M737" s="11">
        <v>799.23</v>
      </c>
      <c r="N737" s="13">
        <v>0</v>
      </c>
      <c r="O737" s="11">
        <v>0</v>
      </c>
      <c r="P737" s="11">
        <v>0</v>
      </c>
      <c r="Q737" s="11">
        <v>0</v>
      </c>
      <c r="R737" s="11">
        <v>0</v>
      </c>
      <c r="S737" s="14">
        <v>0</v>
      </c>
      <c r="T737" s="11">
        <v>799.23</v>
      </c>
      <c r="U737" s="13" cm="1">
        <f t="array" ref="U737">IF(Table8[[#This Row],[I_0]]&lt;Table24[Flitro de Ruido],1,Table8[[#This Row],[I_10]]/Table8[[#This Row],[I_0]])</f>
        <v>1</v>
      </c>
      <c r="V737" s="13" cm="1">
        <f t="array" ref="V737">IF(Table8[[#This Row],[I_0]]&lt;Table24[Flitro de Ruido],1,Table8[[#This Row],[I_20]]/Table8[[#This Row],[I_0]])</f>
        <v>1</v>
      </c>
      <c r="W737" s="13" cm="1">
        <f t="array" ref="W737">IF(Table8[[#This Row],[I_0]]&lt;Table24[Flitro de Ruido],1,Table8[[#This Row],[I_30]]/Table8[[#This Row],[I_0]])</f>
        <v>1</v>
      </c>
      <c r="X737" s="13" cm="1">
        <f t="array" ref="X737">IF(Table8[[#This Row],[I_0]]&lt;Table24[Flitro de Ruido],1,Table8[[#This Row],[I_40]]/Table8[[#This Row],[I_0]])</f>
        <v>1</v>
      </c>
      <c r="Y737" s="13" cm="1">
        <f t="array" ref="Y737">IF(Table8[[#This Row],[I_0]]&lt;Table24[Flitro de Ruido],1,Table8[[#This Row],[I_50]]/Table8[[#This Row],[I_0]])</f>
        <v>1</v>
      </c>
    </row>
    <row r="738" spans="1:25" x14ac:dyDescent="0.3">
      <c r="A738" s="13">
        <v>800.22</v>
      </c>
      <c r="B738" s="12">
        <v>0</v>
      </c>
      <c r="C738" s="11">
        <v>800.22</v>
      </c>
      <c r="D738" s="12">
        <v>0</v>
      </c>
      <c r="E738" s="11">
        <v>800.22</v>
      </c>
      <c r="F738" s="12">
        <v>0</v>
      </c>
      <c r="G738" s="11">
        <v>800.22</v>
      </c>
      <c r="H738" s="12">
        <v>0</v>
      </c>
      <c r="I738" s="11">
        <v>800.22</v>
      </c>
      <c r="J738" s="12">
        <v>0</v>
      </c>
      <c r="K738" s="11">
        <v>800.22</v>
      </c>
      <c r="L738" s="12">
        <v>0</v>
      </c>
      <c r="M738" s="11">
        <v>800.22</v>
      </c>
      <c r="N738" s="13">
        <v>0</v>
      </c>
      <c r="O738" s="11">
        <v>0</v>
      </c>
      <c r="P738" s="11">
        <v>0</v>
      </c>
      <c r="Q738" s="11">
        <v>0</v>
      </c>
      <c r="R738" s="11">
        <v>0</v>
      </c>
      <c r="S738" s="14">
        <v>0</v>
      </c>
      <c r="T738" s="11">
        <v>800.22</v>
      </c>
      <c r="U738" s="13" cm="1">
        <f t="array" ref="U738">IF(Table8[[#This Row],[I_0]]&lt;Table24[Flitro de Ruido],1,Table8[[#This Row],[I_10]]/Table8[[#This Row],[I_0]])</f>
        <v>1</v>
      </c>
      <c r="V738" s="13" cm="1">
        <f t="array" ref="V738">IF(Table8[[#This Row],[I_0]]&lt;Table24[Flitro de Ruido],1,Table8[[#This Row],[I_20]]/Table8[[#This Row],[I_0]])</f>
        <v>1</v>
      </c>
      <c r="W738" s="13" cm="1">
        <f t="array" ref="W738">IF(Table8[[#This Row],[I_0]]&lt;Table24[Flitro de Ruido],1,Table8[[#This Row],[I_30]]/Table8[[#This Row],[I_0]])</f>
        <v>1</v>
      </c>
      <c r="X738" s="13" cm="1">
        <f t="array" ref="X738">IF(Table8[[#This Row],[I_0]]&lt;Table24[Flitro de Ruido],1,Table8[[#This Row],[I_40]]/Table8[[#This Row],[I_0]])</f>
        <v>1</v>
      </c>
      <c r="Y738" s="13" cm="1">
        <f t="array" ref="Y738">IF(Table8[[#This Row],[I_0]]&lt;Table24[Flitro de Ruido],1,Table8[[#This Row],[I_50]]/Table8[[#This Row],[I_0]])</f>
        <v>1</v>
      </c>
    </row>
    <row r="739" spans="1:25" x14ac:dyDescent="0.3">
      <c r="A739" s="13">
        <v>801.21</v>
      </c>
      <c r="B739" s="12">
        <v>0</v>
      </c>
      <c r="C739" s="11">
        <v>801.21</v>
      </c>
      <c r="D739" s="12">
        <v>0</v>
      </c>
      <c r="E739" s="11">
        <v>801.21</v>
      </c>
      <c r="F739" s="12">
        <v>0</v>
      </c>
      <c r="G739" s="11">
        <v>801.21</v>
      </c>
      <c r="H739" s="12">
        <v>0</v>
      </c>
      <c r="I739" s="11">
        <v>801.21</v>
      </c>
      <c r="J739" s="12">
        <v>0</v>
      </c>
      <c r="K739" s="11">
        <v>801.21</v>
      </c>
      <c r="L739" s="12">
        <v>0</v>
      </c>
      <c r="M739" s="11">
        <v>801.21</v>
      </c>
      <c r="N739" s="13">
        <v>0</v>
      </c>
      <c r="O739" s="11">
        <v>0</v>
      </c>
      <c r="P739" s="11">
        <v>0</v>
      </c>
      <c r="Q739" s="11">
        <v>0</v>
      </c>
      <c r="R739" s="11">
        <v>0</v>
      </c>
      <c r="S739" s="14">
        <v>0</v>
      </c>
      <c r="T739" s="11">
        <v>801.21</v>
      </c>
      <c r="U739" s="13" cm="1">
        <f t="array" ref="U739">IF(Table8[[#This Row],[I_0]]&lt;Table24[Flitro de Ruido],1,Table8[[#This Row],[I_10]]/Table8[[#This Row],[I_0]])</f>
        <v>1</v>
      </c>
      <c r="V739" s="13" cm="1">
        <f t="array" ref="V739">IF(Table8[[#This Row],[I_0]]&lt;Table24[Flitro de Ruido],1,Table8[[#This Row],[I_20]]/Table8[[#This Row],[I_0]])</f>
        <v>1</v>
      </c>
      <c r="W739" s="13" cm="1">
        <f t="array" ref="W739">IF(Table8[[#This Row],[I_0]]&lt;Table24[Flitro de Ruido],1,Table8[[#This Row],[I_30]]/Table8[[#This Row],[I_0]])</f>
        <v>1</v>
      </c>
      <c r="X739" s="13" cm="1">
        <f t="array" ref="X739">IF(Table8[[#This Row],[I_0]]&lt;Table24[Flitro de Ruido],1,Table8[[#This Row],[I_40]]/Table8[[#This Row],[I_0]])</f>
        <v>1</v>
      </c>
      <c r="Y739" s="13" cm="1">
        <f t="array" ref="Y739">IF(Table8[[#This Row],[I_0]]&lt;Table24[Flitro de Ruido],1,Table8[[#This Row],[I_50]]/Table8[[#This Row],[I_0]])</f>
        <v>1</v>
      </c>
    </row>
    <row r="740" spans="1:25" x14ac:dyDescent="0.3">
      <c r="A740" s="13">
        <v>802.2</v>
      </c>
      <c r="B740" s="12">
        <v>0</v>
      </c>
      <c r="C740" s="11">
        <v>802.2</v>
      </c>
      <c r="D740" s="12">
        <v>0</v>
      </c>
      <c r="E740" s="11">
        <v>802.2</v>
      </c>
      <c r="F740" s="12">
        <v>0</v>
      </c>
      <c r="G740" s="11">
        <v>802.2</v>
      </c>
      <c r="H740" s="12">
        <v>0</v>
      </c>
      <c r="I740" s="11">
        <v>802.2</v>
      </c>
      <c r="J740" s="12">
        <v>0</v>
      </c>
      <c r="K740" s="11">
        <v>802.2</v>
      </c>
      <c r="L740" s="12">
        <v>0</v>
      </c>
      <c r="M740" s="11">
        <v>802.2</v>
      </c>
      <c r="N740" s="13">
        <v>0</v>
      </c>
      <c r="O740" s="11">
        <v>0</v>
      </c>
      <c r="P740" s="11">
        <v>0</v>
      </c>
      <c r="Q740" s="11">
        <v>0</v>
      </c>
      <c r="R740" s="11">
        <v>0</v>
      </c>
      <c r="S740" s="14">
        <v>0</v>
      </c>
      <c r="T740" s="11">
        <v>802.2</v>
      </c>
      <c r="U740" s="13" cm="1">
        <f t="array" ref="U740">IF(Table8[[#This Row],[I_0]]&lt;Table24[Flitro de Ruido],1,Table8[[#This Row],[I_10]]/Table8[[#This Row],[I_0]])</f>
        <v>1</v>
      </c>
      <c r="V740" s="13" cm="1">
        <f t="array" ref="V740">IF(Table8[[#This Row],[I_0]]&lt;Table24[Flitro de Ruido],1,Table8[[#This Row],[I_20]]/Table8[[#This Row],[I_0]])</f>
        <v>1</v>
      </c>
      <c r="W740" s="13" cm="1">
        <f t="array" ref="W740">IF(Table8[[#This Row],[I_0]]&lt;Table24[Flitro de Ruido],1,Table8[[#This Row],[I_30]]/Table8[[#This Row],[I_0]])</f>
        <v>1</v>
      </c>
      <c r="X740" s="13" cm="1">
        <f t="array" ref="X740">IF(Table8[[#This Row],[I_0]]&lt;Table24[Flitro de Ruido],1,Table8[[#This Row],[I_40]]/Table8[[#This Row],[I_0]])</f>
        <v>1</v>
      </c>
      <c r="Y740" s="13" cm="1">
        <f t="array" ref="Y740">IF(Table8[[#This Row],[I_0]]&lt;Table24[Flitro de Ruido],1,Table8[[#This Row],[I_50]]/Table8[[#This Row],[I_0]])</f>
        <v>1</v>
      </c>
    </row>
    <row r="741" spans="1:25" x14ac:dyDescent="0.3">
      <c r="A741" s="13">
        <v>803.19</v>
      </c>
      <c r="B741" s="12">
        <v>0</v>
      </c>
      <c r="C741" s="11">
        <v>803.19</v>
      </c>
      <c r="D741" s="12">
        <v>0</v>
      </c>
      <c r="E741" s="11">
        <v>803.19</v>
      </c>
      <c r="F741" s="12">
        <v>0</v>
      </c>
      <c r="G741" s="11">
        <v>803.19</v>
      </c>
      <c r="H741" s="12">
        <v>0</v>
      </c>
      <c r="I741" s="11">
        <v>803.19</v>
      </c>
      <c r="J741" s="12">
        <v>0</v>
      </c>
      <c r="K741" s="11">
        <v>803.19</v>
      </c>
      <c r="L741" s="12">
        <v>0</v>
      </c>
      <c r="M741" s="11">
        <v>803.19</v>
      </c>
      <c r="N741" s="13">
        <v>0</v>
      </c>
      <c r="O741" s="11">
        <v>0</v>
      </c>
      <c r="P741" s="11">
        <v>0</v>
      </c>
      <c r="Q741" s="11">
        <v>0</v>
      </c>
      <c r="R741" s="11">
        <v>0</v>
      </c>
      <c r="S741" s="14">
        <v>0</v>
      </c>
      <c r="T741" s="11">
        <v>803.19</v>
      </c>
      <c r="U741" s="13" cm="1">
        <f t="array" ref="U741">IF(Table8[[#This Row],[I_0]]&lt;Table24[Flitro de Ruido],1,Table8[[#This Row],[I_10]]/Table8[[#This Row],[I_0]])</f>
        <v>1</v>
      </c>
      <c r="V741" s="13" cm="1">
        <f t="array" ref="V741">IF(Table8[[#This Row],[I_0]]&lt;Table24[Flitro de Ruido],1,Table8[[#This Row],[I_20]]/Table8[[#This Row],[I_0]])</f>
        <v>1</v>
      </c>
      <c r="W741" s="13" cm="1">
        <f t="array" ref="W741">IF(Table8[[#This Row],[I_0]]&lt;Table24[Flitro de Ruido],1,Table8[[#This Row],[I_30]]/Table8[[#This Row],[I_0]])</f>
        <v>1</v>
      </c>
      <c r="X741" s="13" cm="1">
        <f t="array" ref="X741">IF(Table8[[#This Row],[I_0]]&lt;Table24[Flitro de Ruido],1,Table8[[#This Row],[I_40]]/Table8[[#This Row],[I_0]])</f>
        <v>1</v>
      </c>
      <c r="Y741" s="13" cm="1">
        <f t="array" ref="Y741">IF(Table8[[#This Row],[I_0]]&lt;Table24[Flitro de Ruido],1,Table8[[#This Row],[I_50]]/Table8[[#This Row],[I_0]])</f>
        <v>1</v>
      </c>
    </row>
    <row r="742" spans="1:25" x14ac:dyDescent="0.3">
      <c r="A742" s="13">
        <v>804.19</v>
      </c>
      <c r="B742" s="12">
        <v>0</v>
      </c>
      <c r="C742" s="11">
        <v>804.19</v>
      </c>
      <c r="D742" s="12">
        <v>0</v>
      </c>
      <c r="E742" s="11">
        <v>804.19</v>
      </c>
      <c r="F742" s="12">
        <v>0</v>
      </c>
      <c r="G742" s="11">
        <v>804.19</v>
      </c>
      <c r="H742" s="12">
        <v>0</v>
      </c>
      <c r="I742" s="11">
        <v>804.19</v>
      </c>
      <c r="J742" s="12">
        <v>0</v>
      </c>
      <c r="K742" s="11">
        <v>804.19</v>
      </c>
      <c r="L742" s="12">
        <v>0</v>
      </c>
      <c r="M742" s="11">
        <v>804.19</v>
      </c>
      <c r="N742" s="13">
        <v>0</v>
      </c>
      <c r="O742" s="11">
        <v>0</v>
      </c>
      <c r="P742" s="11">
        <v>0</v>
      </c>
      <c r="Q742" s="11">
        <v>0</v>
      </c>
      <c r="R742" s="11">
        <v>0</v>
      </c>
      <c r="S742" s="14">
        <v>0</v>
      </c>
      <c r="T742" s="11">
        <v>804.19</v>
      </c>
      <c r="U742" s="13" cm="1">
        <f t="array" ref="U742">IF(Table8[[#This Row],[I_0]]&lt;Table24[Flitro de Ruido],1,Table8[[#This Row],[I_10]]/Table8[[#This Row],[I_0]])</f>
        <v>1</v>
      </c>
      <c r="V742" s="13" cm="1">
        <f t="array" ref="V742">IF(Table8[[#This Row],[I_0]]&lt;Table24[Flitro de Ruido],1,Table8[[#This Row],[I_20]]/Table8[[#This Row],[I_0]])</f>
        <v>1</v>
      </c>
      <c r="W742" s="13" cm="1">
        <f t="array" ref="W742">IF(Table8[[#This Row],[I_0]]&lt;Table24[Flitro de Ruido],1,Table8[[#This Row],[I_30]]/Table8[[#This Row],[I_0]])</f>
        <v>1</v>
      </c>
      <c r="X742" s="13" cm="1">
        <f t="array" ref="X742">IF(Table8[[#This Row],[I_0]]&lt;Table24[Flitro de Ruido],1,Table8[[#This Row],[I_40]]/Table8[[#This Row],[I_0]])</f>
        <v>1</v>
      </c>
      <c r="Y742" s="13" cm="1">
        <f t="array" ref="Y742">IF(Table8[[#This Row],[I_0]]&lt;Table24[Flitro de Ruido],1,Table8[[#This Row],[I_50]]/Table8[[#This Row],[I_0]])</f>
        <v>1</v>
      </c>
    </row>
    <row r="743" spans="1:25" x14ac:dyDescent="0.3">
      <c r="A743" s="13">
        <v>805.18</v>
      </c>
      <c r="B743" s="12">
        <v>0</v>
      </c>
      <c r="C743" s="11">
        <v>805.18</v>
      </c>
      <c r="D743" s="12">
        <v>0</v>
      </c>
      <c r="E743" s="11">
        <v>805.18</v>
      </c>
      <c r="F743" s="12">
        <v>0</v>
      </c>
      <c r="G743" s="11">
        <v>805.18</v>
      </c>
      <c r="H743" s="12">
        <v>0</v>
      </c>
      <c r="I743" s="11">
        <v>805.18</v>
      </c>
      <c r="J743" s="12">
        <v>0</v>
      </c>
      <c r="K743" s="11">
        <v>805.18</v>
      </c>
      <c r="L743" s="12">
        <v>0</v>
      </c>
      <c r="M743" s="11">
        <v>805.18</v>
      </c>
      <c r="N743" s="13">
        <v>0</v>
      </c>
      <c r="O743" s="11">
        <v>0</v>
      </c>
      <c r="P743" s="11">
        <v>0</v>
      </c>
      <c r="Q743" s="11">
        <v>0</v>
      </c>
      <c r="R743" s="11">
        <v>0</v>
      </c>
      <c r="S743" s="14">
        <v>0</v>
      </c>
      <c r="T743" s="11">
        <v>805.18</v>
      </c>
      <c r="U743" s="13" cm="1">
        <f t="array" ref="U743">IF(Table8[[#This Row],[I_0]]&lt;Table24[Flitro de Ruido],1,Table8[[#This Row],[I_10]]/Table8[[#This Row],[I_0]])</f>
        <v>1</v>
      </c>
      <c r="V743" s="13" cm="1">
        <f t="array" ref="V743">IF(Table8[[#This Row],[I_0]]&lt;Table24[Flitro de Ruido],1,Table8[[#This Row],[I_20]]/Table8[[#This Row],[I_0]])</f>
        <v>1</v>
      </c>
      <c r="W743" s="13" cm="1">
        <f t="array" ref="W743">IF(Table8[[#This Row],[I_0]]&lt;Table24[Flitro de Ruido],1,Table8[[#This Row],[I_30]]/Table8[[#This Row],[I_0]])</f>
        <v>1</v>
      </c>
      <c r="X743" s="13" cm="1">
        <f t="array" ref="X743">IF(Table8[[#This Row],[I_0]]&lt;Table24[Flitro de Ruido],1,Table8[[#This Row],[I_40]]/Table8[[#This Row],[I_0]])</f>
        <v>1</v>
      </c>
      <c r="Y743" s="13" cm="1">
        <f t="array" ref="Y743">IF(Table8[[#This Row],[I_0]]&lt;Table24[Flitro de Ruido],1,Table8[[#This Row],[I_50]]/Table8[[#This Row],[I_0]])</f>
        <v>1</v>
      </c>
    </row>
    <row r="744" spans="1:25" x14ac:dyDescent="0.3">
      <c r="A744" s="13">
        <v>806.17</v>
      </c>
      <c r="B744" s="12">
        <v>0</v>
      </c>
      <c r="C744" s="11">
        <v>806.17</v>
      </c>
      <c r="D744" s="12">
        <v>0</v>
      </c>
      <c r="E744" s="11">
        <v>806.17</v>
      </c>
      <c r="F744" s="12">
        <v>0</v>
      </c>
      <c r="G744" s="11">
        <v>806.17</v>
      </c>
      <c r="H744" s="12">
        <v>0</v>
      </c>
      <c r="I744" s="11">
        <v>806.17</v>
      </c>
      <c r="J744" s="12">
        <v>0</v>
      </c>
      <c r="K744" s="11">
        <v>806.17</v>
      </c>
      <c r="L744" s="12">
        <v>0</v>
      </c>
      <c r="M744" s="11">
        <v>806.17</v>
      </c>
      <c r="N744" s="13">
        <v>0</v>
      </c>
      <c r="O744" s="11">
        <v>0</v>
      </c>
      <c r="P744" s="11">
        <v>0</v>
      </c>
      <c r="Q744" s="11">
        <v>0</v>
      </c>
      <c r="R744" s="11">
        <v>0</v>
      </c>
      <c r="S744" s="14">
        <v>0</v>
      </c>
      <c r="T744" s="11">
        <v>806.17</v>
      </c>
      <c r="U744" s="13" cm="1">
        <f t="array" ref="U744">IF(Table8[[#This Row],[I_0]]&lt;Table24[Flitro de Ruido],1,Table8[[#This Row],[I_10]]/Table8[[#This Row],[I_0]])</f>
        <v>1</v>
      </c>
      <c r="V744" s="13" cm="1">
        <f t="array" ref="V744">IF(Table8[[#This Row],[I_0]]&lt;Table24[Flitro de Ruido],1,Table8[[#This Row],[I_20]]/Table8[[#This Row],[I_0]])</f>
        <v>1</v>
      </c>
      <c r="W744" s="13" cm="1">
        <f t="array" ref="W744">IF(Table8[[#This Row],[I_0]]&lt;Table24[Flitro de Ruido],1,Table8[[#This Row],[I_30]]/Table8[[#This Row],[I_0]])</f>
        <v>1</v>
      </c>
      <c r="X744" s="13" cm="1">
        <f t="array" ref="X744">IF(Table8[[#This Row],[I_0]]&lt;Table24[Flitro de Ruido],1,Table8[[#This Row],[I_40]]/Table8[[#This Row],[I_0]])</f>
        <v>1</v>
      </c>
      <c r="Y744" s="13" cm="1">
        <f t="array" ref="Y744">IF(Table8[[#This Row],[I_0]]&lt;Table24[Flitro de Ruido],1,Table8[[#This Row],[I_50]]/Table8[[#This Row],[I_0]])</f>
        <v>1</v>
      </c>
    </row>
    <row r="745" spans="1:25" x14ac:dyDescent="0.3">
      <c r="A745" s="13">
        <v>807.16</v>
      </c>
      <c r="B745" s="12">
        <v>0</v>
      </c>
      <c r="C745" s="11">
        <v>807.16</v>
      </c>
      <c r="D745" s="12">
        <v>0</v>
      </c>
      <c r="E745" s="11">
        <v>807.16</v>
      </c>
      <c r="F745" s="12">
        <v>0</v>
      </c>
      <c r="G745" s="11">
        <v>807.16</v>
      </c>
      <c r="H745" s="12">
        <v>0</v>
      </c>
      <c r="I745" s="11">
        <v>807.16</v>
      </c>
      <c r="J745" s="12">
        <v>0</v>
      </c>
      <c r="K745" s="11">
        <v>807.16</v>
      </c>
      <c r="L745" s="12">
        <v>0</v>
      </c>
      <c r="M745" s="11">
        <v>807.16</v>
      </c>
      <c r="N745" s="13">
        <v>0</v>
      </c>
      <c r="O745" s="11">
        <v>0</v>
      </c>
      <c r="P745" s="11">
        <v>0</v>
      </c>
      <c r="Q745" s="11">
        <v>0</v>
      </c>
      <c r="R745" s="11">
        <v>0</v>
      </c>
      <c r="S745" s="14">
        <v>0</v>
      </c>
      <c r="T745" s="11">
        <v>807.16</v>
      </c>
      <c r="U745" s="13" cm="1">
        <f t="array" ref="U745">IF(Table8[[#This Row],[I_0]]&lt;Table24[Flitro de Ruido],1,Table8[[#This Row],[I_10]]/Table8[[#This Row],[I_0]])</f>
        <v>1</v>
      </c>
      <c r="V745" s="13" cm="1">
        <f t="array" ref="V745">IF(Table8[[#This Row],[I_0]]&lt;Table24[Flitro de Ruido],1,Table8[[#This Row],[I_20]]/Table8[[#This Row],[I_0]])</f>
        <v>1</v>
      </c>
      <c r="W745" s="13" cm="1">
        <f t="array" ref="W745">IF(Table8[[#This Row],[I_0]]&lt;Table24[Flitro de Ruido],1,Table8[[#This Row],[I_30]]/Table8[[#This Row],[I_0]])</f>
        <v>1</v>
      </c>
      <c r="X745" s="13" cm="1">
        <f t="array" ref="X745">IF(Table8[[#This Row],[I_0]]&lt;Table24[Flitro de Ruido],1,Table8[[#This Row],[I_40]]/Table8[[#This Row],[I_0]])</f>
        <v>1</v>
      </c>
      <c r="Y745" s="13" cm="1">
        <f t="array" ref="Y745">IF(Table8[[#This Row],[I_0]]&lt;Table24[Flitro de Ruido],1,Table8[[#This Row],[I_50]]/Table8[[#This Row],[I_0]])</f>
        <v>1</v>
      </c>
    </row>
    <row r="746" spans="1:25" x14ac:dyDescent="0.3">
      <c r="A746" s="13">
        <v>808.15</v>
      </c>
      <c r="B746" s="12">
        <v>0</v>
      </c>
      <c r="C746" s="11">
        <v>808.15</v>
      </c>
      <c r="D746" s="12">
        <v>0</v>
      </c>
      <c r="E746" s="11">
        <v>808.15</v>
      </c>
      <c r="F746" s="12">
        <v>0</v>
      </c>
      <c r="G746" s="11">
        <v>808.15</v>
      </c>
      <c r="H746" s="12">
        <v>0</v>
      </c>
      <c r="I746" s="11">
        <v>808.15</v>
      </c>
      <c r="J746" s="12">
        <v>0</v>
      </c>
      <c r="K746" s="11">
        <v>808.15</v>
      </c>
      <c r="L746" s="12">
        <v>0</v>
      </c>
      <c r="M746" s="11">
        <v>808.15</v>
      </c>
      <c r="N746" s="13">
        <v>0</v>
      </c>
      <c r="O746" s="11">
        <v>0</v>
      </c>
      <c r="P746" s="11">
        <v>0</v>
      </c>
      <c r="Q746" s="11">
        <v>0</v>
      </c>
      <c r="R746" s="11">
        <v>0</v>
      </c>
      <c r="S746" s="14">
        <v>0</v>
      </c>
      <c r="T746" s="11">
        <v>808.15</v>
      </c>
      <c r="U746" s="13" cm="1">
        <f t="array" ref="U746">IF(Table8[[#This Row],[I_0]]&lt;Table24[Flitro de Ruido],1,Table8[[#This Row],[I_10]]/Table8[[#This Row],[I_0]])</f>
        <v>1</v>
      </c>
      <c r="V746" s="13" cm="1">
        <f t="array" ref="V746">IF(Table8[[#This Row],[I_0]]&lt;Table24[Flitro de Ruido],1,Table8[[#This Row],[I_20]]/Table8[[#This Row],[I_0]])</f>
        <v>1</v>
      </c>
      <c r="W746" s="13" cm="1">
        <f t="array" ref="W746">IF(Table8[[#This Row],[I_0]]&lt;Table24[Flitro de Ruido],1,Table8[[#This Row],[I_30]]/Table8[[#This Row],[I_0]])</f>
        <v>1</v>
      </c>
      <c r="X746" s="13" cm="1">
        <f t="array" ref="X746">IF(Table8[[#This Row],[I_0]]&lt;Table24[Flitro de Ruido],1,Table8[[#This Row],[I_40]]/Table8[[#This Row],[I_0]])</f>
        <v>1</v>
      </c>
      <c r="Y746" s="13" cm="1">
        <f t="array" ref="Y746">IF(Table8[[#This Row],[I_0]]&lt;Table24[Flitro de Ruido],1,Table8[[#This Row],[I_50]]/Table8[[#This Row],[I_0]])</f>
        <v>1</v>
      </c>
    </row>
    <row r="747" spans="1:25" x14ac:dyDescent="0.3">
      <c r="A747" s="13">
        <v>809.15</v>
      </c>
      <c r="B747" s="12">
        <v>0</v>
      </c>
      <c r="C747" s="11">
        <v>809.15</v>
      </c>
      <c r="D747" s="12">
        <v>0</v>
      </c>
      <c r="E747" s="11">
        <v>809.15</v>
      </c>
      <c r="F747" s="12">
        <v>0</v>
      </c>
      <c r="G747" s="11">
        <v>809.15</v>
      </c>
      <c r="H747" s="12">
        <v>0</v>
      </c>
      <c r="I747" s="11">
        <v>809.15</v>
      </c>
      <c r="J747" s="12">
        <v>0</v>
      </c>
      <c r="K747" s="11">
        <v>809.15</v>
      </c>
      <c r="L747" s="12">
        <v>0</v>
      </c>
      <c r="M747" s="11">
        <v>809.15</v>
      </c>
      <c r="N747" s="13">
        <v>0</v>
      </c>
      <c r="O747" s="11">
        <v>0</v>
      </c>
      <c r="P747" s="11">
        <v>0</v>
      </c>
      <c r="Q747" s="11">
        <v>0</v>
      </c>
      <c r="R747" s="11">
        <v>0</v>
      </c>
      <c r="S747" s="14">
        <v>0</v>
      </c>
      <c r="T747" s="11">
        <v>809.15</v>
      </c>
      <c r="U747" s="13" cm="1">
        <f t="array" ref="U747">IF(Table8[[#This Row],[I_0]]&lt;Table24[Flitro de Ruido],1,Table8[[#This Row],[I_10]]/Table8[[#This Row],[I_0]])</f>
        <v>1</v>
      </c>
      <c r="V747" s="13" cm="1">
        <f t="array" ref="V747">IF(Table8[[#This Row],[I_0]]&lt;Table24[Flitro de Ruido],1,Table8[[#This Row],[I_20]]/Table8[[#This Row],[I_0]])</f>
        <v>1</v>
      </c>
      <c r="W747" s="13" cm="1">
        <f t="array" ref="W747">IF(Table8[[#This Row],[I_0]]&lt;Table24[Flitro de Ruido],1,Table8[[#This Row],[I_30]]/Table8[[#This Row],[I_0]])</f>
        <v>1</v>
      </c>
      <c r="X747" s="13" cm="1">
        <f t="array" ref="X747">IF(Table8[[#This Row],[I_0]]&lt;Table24[Flitro de Ruido],1,Table8[[#This Row],[I_40]]/Table8[[#This Row],[I_0]])</f>
        <v>1</v>
      </c>
      <c r="Y747" s="13" cm="1">
        <f t="array" ref="Y747">IF(Table8[[#This Row],[I_0]]&lt;Table24[Flitro de Ruido],1,Table8[[#This Row],[I_50]]/Table8[[#This Row],[I_0]])</f>
        <v>1</v>
      </c>
    </row>
    <row r="748" spans="1:25" x14ac:dyDescent="0.3">
      <c r="A748" s="13">
        <v>810.14</v>
      </c>
      <c r="B748" s="12">
        <v>0</v>
      </c>
      <c r="C748" s="11">
        <v>810.14</v>
      </c>
      <c r="D748" s="12">
        <v>0</v>
      </c>
      <c r="E748" s="11">
        <v>810.14</v>
      </c>
      <c r="F748" s="12">
        <v>0</v>
      </c>
      <c r="G748" s="11">
        <v>810.14</v>
      </c>
      <c r="H748" s="12">
        <v>0</v>
      </c>
      <c r="I748" s="11">
        <v>810.14</v>
      </c>
      <c r="J748" s="12">
        <v>0</v>
      </c>
      <c r="K748" s="11">
        <v>810.14</v>
      </c>
      <c r="L748" s="12">
        <v>0</v>
      </c>
      <c r="M748" s="11">
        <v>810.14</v>
      </c>
      <c r="N748" s="13">
        <v>0</v>
      </c>
      <c r="O748" s="11">
        <v>0</v>
      </c>
      <c r="P748" s="11">
        <v>0</v>
      </c>
      <c r="Q748" s="11">
        <v>0</v>
      </c>
      <c r="R748" s="11">
        <v>0</v>
      </c>
      <c r="S748" s="14">
        <v>0</v>
      </c>
      <c r="T748" s="11">
        <v>810.14</v>
      </c>
      <c r="U748" s="13" cm="1">
        <f t="array" ref="U748">IF(Table8[[#This Row],[I_0]]&lt;Table24[Flitro de Ruido],1,Table8[[#This Row],[I_10]]/Table8[[#This Row],[I_0]])</f>
        <v>1</v>
      </c>
      <c r="V748" s="13" cm="1">
        <f t="array" ref="V748">IF(Table8[[#This Row],[I_0]]&lt;Table24[Flitro de Ruido],1,Table8[[#This Row],[I_20]]/Table8[[#This Row],[I_0]])</f>
        <v>1</v>
      </c>
      <c r="W748" s="13" cm="1">
        <f t="array" ref="W748">IF(Table8[[#This Row],[I_0]]&lt;Table24[Flitro de Ruido],1,Table8[[#This Row],[I_30]]/Table8[[#This Row],[I_0]])</f>
        <v>1</v>
      </c>
      <c r="X748" s="13" cm="1">
        <f t="array" ref="X748">IF(Table8[[#This Row],[I_0]]&lt;Table24[Flitro de Ruido],1,Table8[[#This Row],[I_40]]/Table8[[#This Row],[I_0]])</f>
        <v>1</v>
      </c>
      <c r="Y748" s="13" cm="1">
        <f t="array" ref="Y748">IF(Table8[[#This Row],[I_0]]&lt;Table24[Flitro de Ruido],1,Table8[[#This Row],[I_50]]/Table8[[#This Row],[I_0]])</f>
        <v>1</v>
      </c>
    </row>
    <row r="749" spans="1:25" x14ac:dyDescent="0.3">
      <c r="A749" s="13">
        <v>811.13</v>
      </c>
      <c r="B749" s="12">
        <v>0</v>
      </c>
      <c r="C749" s="11">
        <v>811.13</v>
      </c>
      <c r="D749" s="12">
        <v>0</v>
      </c>
      <c r="E749" s="11">
        <v>811.13</v>
      </c>
      <c r="F749" s="12">
        <v>0</v>
      </c>
      <c r="G749" s="11">
        <v>811.13</v>
      </c>
      <c r="H749" s="12">
        <v>0</v>
      </c>
      <c r="I749" s="11">
        <v>811.13</v>
      </c>
      <c r="J749" s="12">
        <v>0</v>
      </c>
      <c r="K749" s="11">
        <v>811.13</v>
      </c>
      <c r="L749" s="12">
        <v>0</v>
      </c>
      <c r="M749" s="11">
        <v>811.13</v>
      </c>
      <c r="N749" s="13">
        <v>0</v>
      </c>
      <c r="O749" s="11">
        <v>0</v>
      </c>
      <c r="P749" s="11">
        <v>0</v>
      </c>
      <c r="Q749" s="11">
        <v>0</v>
      </c>
      <c r="R749" s="11">
        <v>0</v>
      </c>
      <c r="S749" s="14">
        <v>0</v>
      </c>
      <c r="T749" s="11">
        <v>811.13</v>
      </c>
      <c r="U749" s="13" cm="1">
        <f t="array" ref="U749">IF(Table8[[#This Row],[I_0]]&lt;Table24[Flitro de Ruido],1,Table8[[#This Row],[I_10]]/Table8[[#This Row],[I_0]])</f>
        <v>1</v>
      </c>
      <c r="V749" s="13" cm="1">
        <f t="array" ref="V749">IF(Table8[[#This Row],[I_0]]&lt;Table24[Flitro de Ruido],1,Table8[[#This Row],[I_20]]/Table8[[#This Row],[I_0]])</f>
        <v>1</v>
      </c>
      <c r="W749" s="13" cm="1">
        <f t="array" ref="W749">IF(Table8[[#This Row],[I_0]]&lt;Table24[Flitro de Ruido],1,Table8[[#This Row],[I_30]]/Table8[[#This Row],[I_0]])</f>
        <v>1</v>
      </c>
      <c r="X749" s="13" cm="1">
        <f t="array" ref="X749">IF(Table8[[#This Row],[I_0]]&lt;Table24[Flitro de Ruido],1,Table8[[#This Row],[I_40]]/Table8[[#This Row],[I_0]])</f>
        <v>1</v>
      </c>
      <c r="Y749" s="13" cm="1">
        <f t="array" ref="Y749">IF(Table8[[#This Row],[I_0]]&lt;Table24[Flitro de Ruido],1,Table8[[#This Row],[I_50]]/Table8[[#This Row],[I_0]])</f>
        <v>1</v>
      </c>
    </row>
    <row r="750" spans="1:25" x14ac:dyDescent="0.3">
      <c r="A750" s="13">
        <v>812.12</v>
      </c>
      <c r="B750" s="12">
        <v>0</v>
      </c>
      <c r="C750" s="11">
        <v>812.12</v>
      </c>
      <c r="D750" s="12">
        <v>0</v>
      </c>
      <c r="E750" s="11">
        <v>812.12</v>
      </c>
      <c r="F750" s="12">
        <v>0</v>
      </c>
      <c r="G750" s="11">
        <v>812.12</v>
      </c>
      <c r="H750" s="12">
        <v>0</v>
      </c>
      <c r="I750" s="11">
        <v>812.12</v>
      </c>
      <c r="J750" s="12">
        <v>0</v>
      </c>
      <c r="K750" s="11">
        <v>812.12</v>
      </c>
      <c r="L750" s="12">
        <v>0</v>
      </c>
      <c r="M750" s="11">
        <v>812.12</v>
      </c>
      <c r="N750" s="13">
        <v>0</v>
      </c>
      <c r="O750" s="11">
        <v>0</v>
      </c>
      <c r="P750" s="11">
        <v>0</v>
      </c>
      <c r="Q750" s="11">
        <v>0</v>
      </c>
      <c r="R750" s="11">
        <v>0</v>
      </c>
      <c r="S750" s="14">
        <v>0</v>
      </c>
      <c r="T750" s="11">
        <v>812.12</v>
      </c>
      <c r="U750" s="13" cm="1">
        <f t="array" ref="U750">IF(Table8[[#This Row],[I_0]]&lt;Table24[Flitro de Ruido],1,Table8[[#This Row],[I_10]]/Table8[[#This Row],[I_0]])</f>
        <v>1</v>
      </c>
      <c r="V750" s="13" cm="1">
        <f t="array" ref="V750">IF(Table8[[#This Row],[I_0]]&lt;Table24[Flitro de Ruido],1,Table8[[#This Row],[I_20]]/Table8[[#This Row],[I_0]])</f>
        <v>1</v>
      </c>
      <c r="W750" s="13" cm="1">
        <f t="array" ref="W750">IF(Table8[[#This Row],[I_0]]&lt;Table24[Flitro de Ruido],1,Table8[[#This Row],[I_30]]/Table8[[#This Row],[I_0]])</f>
        <v>1</v>
      </c>
      <c r="X750" s="13" cm="1">
        <f t="array" ref="X750">IF(Table8[[#This Row],[I_0]]&lt;Table24[Flitro de Ruido],1,Table8[[#This Row],[I_40]]/Table8[[#This Row],[I_0]])</f>
        <v>1</v>
      </c>
      <c r="Y750" s="13" cm="1">
        <f t="array" ref="Y750">IF(Table8[[#This Row],[I_0]]&lt;Table24[Flitro de Ruido],1,Table8[[#This Row],[I_50]]/Table8[[#This Row],[I_0]])</f>
        <v>1</v>
      </c>
    </row>
    <row r="751" spans="1:25" x14ac:dyDescent="0.3">
      <c r="A751" s="13">
        <v>813.11</v>
      </c>
      <c r="B751" s="12">
        <v>0</v>
      </c>
      <c r="C751" s="11">
        <v>813.11</v>
      </c>
      <c r="D751" s="12">
        <v>0</v>
      </c>
      <c r="E751" s="11">
        <v>813.11</v>
      </c>
      <c r="F751" s="12">
        <v>0</v>
      </c>
      <c r="G751" s="11">
        <v>813.11</v>
      </c>
      <c r="H751" s="12">
        <v>0</v>
      </c>
      <c r="I751" s="11">
        <v>813.11</v>
      </c>
      <c r="J751" s="12">
        <v>0</v>
      </c>
      <c r="K751" s="11">
        <v>813.11</v>
      </c>
      <c r="L751" s="12">
        <v>0</v>
      </c>
      <c r="M751" s="11">
        <v>813.11</v>
      </c>
      <c r="N751" s="13">
        <v>0</v>
      </c>
      <c r="O751" s="11">
        <v>0</v>
      </c>
      <c r="P751" s="11">
        <v>0</v>
      </c>
      <c r="Q751" s="11">
        <v>0</v>
      </c>
      <c r="R751" s="11">
        <v>0</v>
      </c>
      <c r="S751" s="14">
        <v>0</v>
      </c>
      <c r="T751" s="11">
        <v>813.11</v>
      </c>
      <c r="U751" s="13" cm="1">
        <f t="array" ref="U751">IF(Table8[[#This Row],[I_0]]&lt;Table24[Flitro de Ruido],1,Table8[[#This Row],[I_10]]/Table8[[#This Row],[I_0]])</f>
        <v>1</v>
      </c>
      <c r="V751" s="13" cm="1">
        <f t="array" ref="V751">IF(Table8[[#This Row],[I_0]]&lt;Table24[Flitro de Ruido],1,Table8[[#This Row],[I_20]]/Table8[[#This Row],[I_0]])</f>
        <v>1</v>
      </c>
      <c r="W751" s="13" cm="1">
        <f t="array" ref="W751">IF(Table8[[#This Row],[I_0]]&lt;Table24[Flitro de Ruido],1,Table8[[#This Row],[I_30]]/Table8[[#This Row],[I_0]])</f>
        <v>1</v>
      </c>
      <c r="X751" s="13" cm="1">
        <f t="array" ref="X751">IF(Table8[[#This Row],[I_0]]&lt;Table24[Flitro de Ruido],1,Table8[[#This Row],[I_40]]/Table8[[#This Row],[I_0]])</f>
        <v>1</v>
      </c>
      <c r="Y751" s="13" cm="1">
        <f t="array" ref="Y751">IF(Table8[[#This Row],[I_0]]&lt;Table24[Flitro de Ruido],1,Table8[[#This Row],[I_50]]/Table8[[#This Row],[I_0]])</f>
        <v>1</v>
      </c>
    </row>
    <row r="752" spans="1:25" x14ac:dyDescent="0.3">
      <c r="A752" s="13">
        <v>814.1</v>
      </c>
      <c r="B752" s="12">
        <v>0</v>
      </c>
      <c r="C752" s="11">
        <v>814.1</v>
      </c>
      <c r="D752" s="12">
        <v>0</v>
      </c>
      <c r="E752" s="11">
        <v>814.1</v>
      </c>
      <c r="F752" s="12">
        <v>0</v>
      </c>
      <c r="G752" s="11">
        <v>814.1</v>
      </c>
      <c r="H752" s="12">
        <v>0</v>
      </c>
      <c r="I752" s="11">
        <v>814.1</v>
      </c>
      <c r="J752" s="12">
        <v>0</v>
      </c>
      <c r="K752" s="11">
        <v>814.1</v>
      </c>
      <c r="L752" s="12">
        <v>0</v>
      </c>
      <c r="M752" s="11">
        <v>814.1</v>
      </c>
      <c r="N752" s="13">
        <v>0</v>
      </c>
      <c r="O752" s="11">
        <v>0</v>
      </c>
      <c r="P752" s="11">
        <v>0</v>
      </c>
      <c r="Q752" s="11">
        <v>0</v>
      </c>
      <c r="R752" s="11">
        <v>0</v>
      </c>
      <c r="S752" s="14">
        <v>0</v>
      </c>
      <c r="T752" s="11">
        <v>814.1</v>
      </c>
      <c r="U752" s="13" cm="1">
        <f t="array" ref="U752">IF(Table8[[#This Row],[I_0]]&lt;Table24[Flitro de Ruido],1,Table8[[#This Row],[I_10]]/Table8[[#This Row],[I_0]])</f>
        <v>1</v>
      </c>
      <c r="V752" s="13" cm="1">
        <f t="array" ref="V752">IF(Table8[[#This Row],[I_0]]&lt;Table24[Flitro de Ruido],1,Table8[[#This Row],[I_20]]/Table8[[#This Row],[I_0]])</f>
        <v>1</v>
      </c>
      <c r="W752" s="13" cm="1">
        <f t="array" ref="W752">IF(Table8[[#This Row],[I_0]]&lt;Table24[Flitro de Ruido],1,Table8[[#This Row],[I_30]]/Table8[[#This Row],[I_0]])</f>
        <v>1</v>
      </c>
      <c r="X752" s="13" cm="1">
        <f t="array" ref="X752">IF(Table8[[#This Row],[I_0]]&lt;Table24[Flitro de Ruido],1,Table8[[#This Row],[I_40]]/Table8[[#This Row],[I_0]])</f>
        <v>1</v>
      </c>
      <c r="Y752" s="13" cm="1">
        <f t="array" ref="Y752">IF(Table8[[#This Row],[I_0]]&lt;Table24[Flitro de Ruido],1,Table8[[#This Row],[I_50]]/Table8[[#This Row],[I_0]])</f>
        <v>1</v>
      </c>
    </row>
    <row r="753" spans="1:25" x14ac:dyDescent="0.3">
      <c r="A753" s="13">
        <v>815.1</v>
      </c>
      <c r="B753" s="12">
        <v>0</v>
      </c>
      <c r="C753" s="11">
        <v>815.1</v>
      </c>
      <c r="D753" s="12">
        <v>0</v>
      </c>
      <c r="E753" s="11">
        <v>815.1</v>
      </c>
      <c r="F753" s="12">
        <v>0</v>
      </c>
      <c r="G753" s="11">
        <v>815.1</v>
      </c>
      <c r="H753" s="12">
        <v>0</v>
      </c>
      <c r="I753" s="11">
        <v>815.1</v>
      </c>
      <c r="J753" s="12">
        <v>0</v>
      </c>
      <c r="K753" s="11">
        <v>815.1</v>
      </c>
      <c r="L753" s="12">
        <v>0</v>
      </c>
      <c r="M753" s="11">
        <v>815.1</v>
      </c>
      <c r="N753" s="13">
        <v>0</v>
      </c>
      <c r="O753" s="11">
        <v>0</v>
      </c>
      <c r="P753" s="11">
        <v>0</v>
      </c>
      <c r="Q753" s="11">
        <v>0</v>
      </c>
      <c r="R753" s="11">
        <v>0</v>
      </c>
      <c r="S753" s="14">
        <v>0</v>
      </c>
      <c r="T753" s="11">
        <v>815.1</v>
      </c>
      <c r="U753" s="13" cm="1">
        <f t="array" ref="U753">IF(Table8[[#This Row],[I_0]]&lt;Table24[Flitro de Ruido],1,Table8[[#This Row],[I_10]]/Table8[[#This Row],[I_0]])</f>
        <v>1</v>
      </c>
      <c r="V753" s="13" cm="1">
        <f t="array" ref="V753">IF(Table8[[#This Row],[I_0]]&lt;Table24[Flitro de Ruido],1,Table8[[#This Row],[I_20]]/Table8[[#This Row],[I_0]])</f>
        <v>1</v>
      </c>
      <c r="W753" s="13" cm="1">
        <f t="array" ref="W753">IF(Table8[[#This Row],[I_0]]&lt;Table24[Flitro de Ruido],1,Table8[[#This Row],[I_30]]/Table8[[#This Row],[I_0]])</f>
        <v>1</v>
      </c>
      <c r="X753" s="13" cm="1">
        <f t="array" ref="X753">IF(Table8[[#This Row],[I_0]]&lt;Table24[Flitro de Ruido],1,Table8[[#This Row],[I_40]]/Table8[[#This Row],[I_0]])</f>
        <v>1</v>
      </c>
      <c r="Y753" s="13" cm="1">
        <f t="array" ref="Y753">IF(Table8[[#This Row],[I_0]]&lt;Table24[Flitro de Ruido],1,Table8[[#This Row],[I_50]]/Table8[[#This Row],[I_0]])</f>
        <v>1</v>
      </c>
    </row>
    <row r="754" spans="1:25" x14ac:dyDescent="0.3">
      <c r="A754" s="13">
        <v>816.09</v>
      </c>
      <c r="B754" s="12">
        <v>0</v>
      </c>
      <c r="C754" s="11">
        <v>816.09</v>
      </c>
      <c r="D754" s="12">
        <v>0</v>
      </c>
      <c r="E754" s="11">
        <v>816.09</v>
      </c>
      <c r="F754" s="12">
        <v>0</v>
      </c>
      <c r="G754" s="11">
        <v>816.09</v>
      </c>
      <c r="H754" s="12">
        <v>0</v>
      </c>
      <c r="I754" s="11">
        <v>816.09</v>
      </c>
      <c r="J754" s="12">
        <v>0</v>
      </c>
      <c r="K754" s="11">
        <v>816.09</v>
      </c>
      <c r="L754" s="12">
        <v>0</v>
      </c>
      <c r="M754" s="11">
        <v>816.09</v>
      </c>
      <c r="N754" s="13">
        <v>0</v>
      </c>
      <c r="O754" s="11">
        <v>0</v>
      </c>
      <c r="P754" s="11">
        <v>0</v>
      </c>
      <c r="Q754" s="11">
        <v>0</v>
      </c>
      <c r="R754" s="11">
        <v>0</v>
      </c>
      <c r="S754" s="14">
        <v>0</v>
      </c>
      <c r="T754" s="11">
        <v>816.09</v>
      </c>
      <c r="U754" s="13" cm="1">
        <f t="array" ref="U754">IF(Table8[[#This Row],[I_0]]&lt;Table24[Flitro de Ruido],1,Table8[[#This Row],[I_10]]/Table8[[#This Row],[I_0]])</f>
        <v>1</v>
      </c>
      <c r="V754" s="13" cm="1">
        <f t="array" ref="V754">IF(Table8[[#This Row],[I_0]]&lt;Table24[Flitro de Ruido],1,Table8[[#This Row],[I_20]]/Table8[[#This Row],[I_0]])</f>
        <v>1</v>
      </c>
      <c r="W754" s="13" cm="1">
        <f t="array" ref="W754">IF(Table8[[#This Row],[I_0]]&lt;Table24[Flitro de Ruido],1,Table8[[#This Row],[I_30]]/Table8[[#This Row],[I_0]])</f>
        <v>1</v>
      </c>
      <c r="X754" s="13" cm="1">
        <f t="array" ref="X754">IF(Table8[[#This Row],[I_0]]&lt;Table24[Flitro de Ruido],1,Table8[[#This Row],[I_40]]/Table8[[#This Row],[I_0]])</f>
        <v>1</v>
      </c>
      <c r="Y754" s="13" cm="1">
        <f t="array" ref="Y754">IF(Table8[[#This Row],[I_0]]&lt;Table24[Flitro de Ruido],1,Table8[[#This Row],[I_50]]/Table8[[#This Row],[I_0]])</f>
        <v>1</v>
      </c>
    </row>
    <row r="755" spans="1:25" x14ac:dyDescent="0.3">
      <c r="A755" s="13">
        <v>817.08</v>
      </c>
      <c r="B755" s="12">
        <v>0</v>
      </c>
      <c r="C755" s="11">
        <v>817.08</v>
      </c>
      <c r="D755" s="12">
        <v>0</v>
      </c>
      <c r="E755" s="11">
        <v>817.08</v>
      </c>
      <c r="F755" s="12">
        <v>0</v>
      </c>
      <c r="G755" s="11">
        <v>817.08</v>
      </c>
      <c r="H755" s="12">
        <v>0</v>
      </c>
      <c r="I755" s="11">
        <v>817.08</v>
      </c>
      <c r="J755" s="12">
        <v>0</v>
      </c>
      <c r="K755" s="11">
        <v>817.08</v>
      </c>
      <c r="L755" s="12">
        <v>0</v>
      </c>
      <c r="M755" s="11">
        <v>817.08</v>
      </c>
      <c r="N755" s="13">
        <v>0</v>
      </c>
      <c r="O755" s="11">
        <v>0</v>
      </c>
      <c r="P755" s="11">
        <v>0</v>
      </c>
      <c r="Q755" s="11">
        <v>0</v>
      </c>
      <c r="R755" s="11">
        <v>0</v>
      </c>
      <c r="S755" s="14">
        <v>0</v>
      </c>
      <c r="T755" s="11">
        <v>817.08</v>
      </c>
      <c r="U755" s="13" cm="1">
        <f t="array" ref="U755">IF(Table8[[#This Row],[I_0]]&lt;Table24[Flitro de Ruido],1,Table8[[#This Row],[I_10]]/Table8[[#This Row],[I_0]])</f>
        <v>1</v>
      </c>
      <c r="V755" s="13" cm="1">
        <f t="array" ref="V755">IF(Table8[[#This Row],[I_0]]&lt;Table24[Flitro de Ruido],1,Table8[[#This Row],[I_20]]/Table8[[#This Row],[I_0]])</f>
        <v>1</v>
      </c>
      <c r="W755" s="13" cm="1">
        <f t="array" ref="W755">IF(Table8[[#This Row],[I_0]]&lt;Table24[Flitro de Ruido],1,Table8[[#This Row],[I_30]]/Table8[[#This Row],[I_0]])</f>
        <v>1</v>
      </c>
      <c r="X755" s="13" cm="1">
        <f t="array" ref="X755">IF(Table8[[#This Row],[I_0]]&lt;Table24[Flitro de Ruido],1,Table8[[#This Row],[I_40]]/Table8[[#This Row],[I_0]])</f>
        <v>1</v>
      </c>
      <c r="Y755" s="13" cm="1">
        <f t="array" ref="Y755">IF(Table8[[#This Row],[I_0]]&lt;Table24[Flitro de Ruido],1,Table8[[#This Row],[I_50]]/Table8[[#This Row],[I_0]])</f>
        <v>1</v>
      </c>
    </row>
    <row r="756" spans="1:25" x14ac:dyDescent="0.3">
      <c r="A756" s="13">
        <v>818.07</v>
      </c>
      <c r="B756" s="12">
        <v>0</v>
      </c>
      <c r="C756" s="11">
        <v>818.07</v>
      </c>
      <c r="D756" s="12">
        <v>0</v>
      </c>
      <c r="E756" s="11">
        <v>818.07</v>
      </c>
      <c r="F756" s="12">
        <v>0</v>
      </c>
      <c r="G756" s="11">
        <v>818.07</v>
      </c>
      <c r="H756" s="12">
        <v>0</v>
      </c>
      <c r="I756" s="11">
        <v>818.07</v>
      </c>
      <c r="J756" s="12">
        <v>0</v>
      </c>
      <c r="K756" s="11">
        <v>818.07</v>
      </c>
      <c r="L756" s="12">
        <v>0</v>
      </c>
      <c r="M756" s="11">
        <v>818.07</v>
      </c>
      <c r="N756" s="13">
        <v>0</v>
      </c>
      <c r="O756" s="11">
        <v>0</v>
      </c>
      <c r="P756" s="11">
        <v>0</v>
      </c>
      <c r="Q756" s="11">
        <v>0</v>
      </c>
      <c r="R756" s="11">
        <v>0</v>
      </c>
      <c r="S756" s="14">
        <v>0</v>
      </c>
      <c r="T756" s="11">
        <v>818.07</v>
      </c>
      <c r="U756" s="13" cm="1">
        <f t="array" ref="U756">IF(Table8[[#This Row],[I_0]]&lt;Table24[Flitro de Ruido],1,Table8[[#This Row],[I_10]]/Table8[[#This Row],[I_0]])</f>
        <v>1</v>
      </c>
      <c r="V756" s="13" cm="1">
        <f t="array" ref="V756">IF(Table8[[#This Row],[I_0]]&lt;Table24[Flitro de Ruido],1,Table8[[#This Row],[I_20]]/Table8[[#This Row],[I_0]])</f>
        <v>1</v>
      </c>
      <c r="W756" s="13" cm="1">
        <f t="array" ref="W756">IF(Table8[[#This Row],[I_0]]&lt;Table24[Flitro de Ruido],1,Table8[[#This Row],[I_30]]/Table8[[#This Row],[I_0]])</f>
        <v>1</v>
      </c>
      <c r="X756" s="13" cm="1">
        <f t="array" ref="X756">IF(Table8[[#This Row],[I_0]]&lt;Table24[Flitro de Ruido],1,Table8[[#This Row],[I_40]]/Table8[[#This Row],[I_0]])</f>
        <v>1</v>
      </c>
      <c r="Y756" s="13" cm="1">
        <f t="array" ref="Y756">IF(Table8[[#This Row],[I_0]]&lt;Table24[Flitro de Ruido],1,Table8[[#This Row],[I_50]]/Table8[[#This Row],[I_0]])</f>
        <v>1</v>
      </c>
    </row>
    <row r="757" spans="1:25" x14ac:dyDescent="0.3">
      <c r="A757" s="13">
        <v>819.06</v>
      </c>
      <c r="B757" s="12">
        <v>0</v>
      </c>
      <c r="C757" s="11">
        <v>819.06</v>
      </c>
      <c r="D757" s="12">
        <v>0</v>
      </c>
      <c r="E757" s="11">
        <v>819.06</v>
      </c>
      <c r="F757" s="12">
        <v>0</v>
      </c>
      <c r="G757" s="11">
        <v>819.06</v>
      </c>
      <c r="H757" s="12">
        <v>0</v>
      </c>
      <c r="I757" s="11">
        <v>819.06</v>
      </c>
      <c r="J757" s="12">
        <v>0</v>
      </c>
      <c r="K757" s="11">
        <v>819.06</v>
      </c>
      <c r="L757" s="12">
        <v>0</v>
      </c>
      <c r="M757" s="11">
        <v>819.06</v>
      </c>
      <c r="N757" s="13">
        <v>0</v>
      </c>
      <c r="O757" s="11">
        <v>0</v>
      </c>
      <c r="P757" s="11">
        <v>0</v>
      </c>
      <c r="Q757" s="11">
        <v>0</v>
      </c>
      <c r="R757" s="11">
        <v>0</v>
      </c>
      <c r="S757" s="14">
        <v>0</v>
      </c>
      <c r="T757" s="11">
        <v>819.06</v>
      </c>
      <c r="U757" s="13" cm="1">
        <f t="array" ref="U757">IF(Table8[[#This Row],[I_0]]&lt;Table24[Flitro de Ruido],1,Table8[[#This Row],[I_10]]/Table8[[#This Row],[I_0]])</f>
        <v>1</v>
      </c>
      <c r="V757" s="13" cm="1">
        <f t="array" ref="V757">IF(Table8[[#This Row],[I_0]]&lt;Table24[Flitro de Ruido],1,Table8[[#This Row],[I_20]]/Table8[[#This Row],[I_0]])</f>
        <v>1</v>
      </c>
      <c r="W757" s="13" cm="1">
        <f t="array" ref="W757">IF(Table8[[#This Row],[I_0]]&lt;Table24[Flitro de Ruido],1,Table8[[#This Row],[I_30]]/Table8[[#This Row],[I_0]])</f>
        <v>1</v>
      </c>
      <c r="X757" s="13" cm="1">
        <f t="array" ref="X757">IF(Table8[[#This Row],[I_0]]&lt;Table24[Flitro de Ruido],1,Table8[[#This Row],[I_40]]/Table8[[#This Row],[I_0]])</f>
        <v>1</v>
      </c>
      <c r="Y757" s="13" cm="1">
        <f t="array" ref="Y757">IF(Table8[[#This Row],[I_0]]&lt;Table24[Flitro de Ruido],1,Table8[[#This Row],[I_50]]/Table8[[#This Row],[I_0]])</f>
        <v>1</v>
      </c>
    </row>
    <row r="758" spans="1:25" x14ac:dyDescent="0.3">
      <c r="A758" s="13">
        <v>820.05</v>
      </c>
      <c r="B758" s="12">
        <v>0</v>
      </c>
      <c r="C758" s="11">
        <v>820.05</v>
      </c>
      <c r="D758" s="12">
        <v>0</v>
      </c>
      <c r="E758" s="11">
        <v>820.05</v>
      </c>
      <c r="F758" s="12">
        <v>0</v>
      </c>
      <c r="G758" s="11">
        <v>820.05</v>
      </c>
      <c r="H758" s="12">
        <v>0</v>
      </c>
      <c r="I758" s="11">
        <v>820.05</v>
      </c>
      <c r="J758" s="12">
        <v>0</v>
      </c>
      <c r="K758" s="11">
        <v>820.05</v>
      </c>
      <c r="L758" s="12">
        <v>0</v>
      </c>
      <c r="M758" s="11">
        <v>820.05</v>
      </c>
      <c r="N758" s="13">
        <v>0</v>
      </c>
      <c r="O758" s="11">
        <v>0</v>
      </c>
      <c r="P758" s="11">
        <v>0</v>
      </c>
      <c r="Q758" s="11">
        <v>0</v>
      </c>
      <c r="R758" s="11">
        <v>0</v>
      </c>
      <c r="S758" s="14">
        <v>0</v>
      </c>
      <c r="T758" s="11">
        <v>820.05</v>
      </c>
      <c r="U758" s="13" cm="1">
        <f t="array" ref="U758">IF(Table8[[#This Row],[I_0]]&lt;Table24[Flitro de Ruido],1,Table8[[#This Row],[I_10]]/Table8[[#This Row],[I_0]])</f>
        <v>1</v>
      </c>
      <c r="V758" s="13" cm="1">
        <f t="array" ref="V758">IF(Table8[[#This Row],[I_0]]&lt;Table24[Flitro de Ruido],1,Table8[[#This Row],[I_20]]/Table8[[#This Row],[I_0]])</f>
        <v>1</v>
      </c>
      <c r="W758" s="13" cm="1">
        <f t="array" ref="W758">IF(Table8[[#This Row],[I_0]]&lt;Table24[Flitro de Ruido],1,Table8[[#This Row],[I_30]]/Table8[[#This Row],[I_0]])</f>
        <v>1</v>
      </c>
      <c r="X758" s="13" cm="1">
        <f t="array" ref="X758">IF(Table8[[#This Row],[I_0]]&lt;Table24[Flitro de Ruido],1,Table8[[#This Row],[I_40]]/Table8[[#This Row],[I_0]])</f>
        <v>1</v>
      </c>
      <c r="Y758" s="13" cm="1">
        <f t="array" ref="Y758">IF(Table8[[#This Row],[I_0]]&lt;Table24[Flitro de Ruido],1,Table8[[#This Row],[I_50]]/Table8[[#This Row],[I_0]])</f>
        <v>1</v>
      </c>
    </row>
    <row r="759" spans="1:25" x14ac:dyDescent="0.3">
      <c r="A759" s="13">
        <v>821.05</v>
      </c>
      <c r="B759" s="12">
        <v>0</v>
      </c>
      <c r="C759" s="11">
        <v>821.05</v>
      </c>
      <c r="D759" s="12">
        <v>0</v>
      </c>
      <c r="E759" s="11">
        <v>821.05</v>
      </c>
      <c r="F759" s="12">
        <v>0</v>
      </c>
      <c r="G759" s="11">
        <v>821.05</v>
      </c>
      <c r="H759" s="12">
        <v>0</v>
      </c>
      <c r="I759" s="11">
        <v>821.05</v>
      </c>
      <c r="J759" s="12">
        <v>0</v>
      </c>
      <c r="K759" s="11">
        <v>821.05</v>
      </c>
      <c r="L759" s="12">
        <v>0</v>
      </c>
      <c r="M759" s="11">
        <v>821.05</v>
      </c>
      <c r="N759" s="13">
        <v>0</v>
      </c>
      <c r="O759" s="11">
        <v>0</v>
      </c>
      <c r="P759" s="11">
        <v>0</v>
      </c>
      <c r="Q759" s="11">
        <v>0</v>
      </c>
      <c r="R759" s="11">
        <v>0</v>
      </c>
      <c r="S759" s="14">
        <v>0</v>
      </c>
      <c r="T759" s="11">
        <v>821.05</v>
      </c>
      <c r="U759" s="13" cm="1">
        <f t="array" ref="U759">IF(Table8[[#This Row],[I_0]]&lt;Table24[Flitro de Ruido],1,Table8[[#This Row],[I_10]]/Table8[[#This Row],[I_0]])</f>
        <v>1</v>
      </c>
      <c r="V759" s="13" cm="1">
        <f t="array" ref="V759">IF(Table8[[#This Row],[I_0]]&lt;Table24[Flitro de Ruido],1,Table8[[#This Row],[I_20]]/Table8[[#This Row],[I_0]])</f>
        <v>1</v>
      </c>
      <c r="W759" s="13" cm="1">
        <f t="array" ref="W759">IF(Table8[[#This Row],[I_0]]&lt;Table24[Flitro de Ruido],1,Table8[[#This Row],[I_30]]/Table8[[#This Row],[I_0]])</f>
        <v>1</v>
      </c>
      <c r="X759" s="13" cm="1">
        <f t="array" ref="X759">IF(Table8[[#This Row],[I_0]]&lt;Table24[Flitro de Ruido],1,Table8[[#This Row],[I_40]]/Table8[[#This Row],[I_0]])</f>
        <v>1</v>
      </c>
      <c r="Y759" s="13" cm="1">
        <f t="array" ref="Y759">IF(Table8[[#This Row],[I_0]]&lt;Table24[Flitro de Ruido],1,Table8[[#This Row],[I_50]]/Table8[[#This Row],[I_0]])</f>
        <v>1</v>
      </c>
    </row>
    <row r="760" spans="1:25" x14ac:dyDescent="0.3">
      <c r="A760" s="13">
        <v>822.04</v>
      </c>
      <c r="B760" s="12">
        <v>0</v>
      </c>
      <c r="C760" s="11">
        <v>822.04</v>
      </c>
      <c r="D760" s="12">
        <v>0</v>
      </c>
      <c r="E760" s="11">
        <v>822.04</v>
      </c>
      <c r="F760" s="12">
        <v>0</v>
      </c>
      <c r="G760" s="11">
        <v>822.04</v>
      </c>
      <c r="H760" s="12">
        <v>0</v>
      </c>
      <c r="I760" s="11">
        <v>822.04</v>
      </c>
      <c r="J760" s="12">
        <v>0</v>
      </c>
      <c r="K760" s="11">
        <v>822.04</v>
      </c>
      <c r="L760" s="12">
        <v>0</v>
      </c>
      <c r="M760" s="11">
        <v>822.04</v>
      </c>
      <c r="N760" s="13">
        <v>0</v>
      </c>
      <c r="O760" s="11">
        <v>0</v>
      </c>
      <c r="P760" s="11">
        <v>0</v>
      </c>
      <c r="Q760" s="11">
        <v>0</v>
      </c>
      <c r="R760" s="11">
        <v>0</v>
      </c>
      <c r="S760" s="14">
        <v>0</v>
      </c>
      <c r="T760" s="11">
        <v>822.04</v>
      </c>
      <c r="U760" s="13" cm="1">
        <f t="array" ref="U760">IF(Table8[[#This Row],[I_0]]&lt;Table24[Flitro de Ruido],1,Table8[[#This Row],[I_10]]/Table8[[#This Row],[I_0]])</f>
        <v>1</v>
      </c>
      <c r="V760" s="13" cm="1">
        <f t="array" ref="V760">IF(Table8[[#This Row],[I_0]]&lt;Table24[Flitro de Ruido],1,Table8[[#This Row],[I_20]]/Table8[[#This Row],[I_0]])</f>
        <v>1</v>
      </c>
      <c r="W760" s="13" cm="1">
        <f t="array" ref="W760">IF(Table8[[#This Row],[I_0]]&lt;Table24[Flitro de Ruido],1,Table8[[#This Row],[I_30]]/Table8[[#This Row],[I_0]])</f>
        <v>1</v>
      </c>
      <c r="X760" s="13" cm="1">
        <f t="array" ref="X760">IF(Table8[[#This Row],[I_0]]&lt;Table24[Flitro de Ruido],1,Table8[[#This Row],[I_40]]/Table8[[#This Row],[I_0]])</f>
        <v>1</v>
      </c>
      <c r="Y760" s="13" cm="1">
        <f t="array" ref="Y760">IF(Table8[[#This Row],[I_0]]&lt;Table24[Flitro de Ruido],1,Table8[[#This Row],[I_50]]/Table8[[#This Row],[I_0]])</f>
        <v>1</v>
      </c>
    </row>
    <row r="761" spans="1:25" x14ac:dyDescent="0.3">
      <c r="A761" s="13">
        <v>823.03</v>
      </c>
      <c r="B761" s="12">
        <v>0</v>
      </c>
      <c r="C761" s="11">
        <v>823.03</v>
      </c>
      <c r="D761" s="12">
        <v>0</v>
      </c>
      <c r="E761" s="11">
        <v>823.03</v>
      </c>
      <c r="F761" s="12">
        <v>0</v>
      </c>
      <c r="G761" s="11">
        <v>823.03</v>
      </c>
      <c r="H761" s="12">
        <v>0</v>
      </c>
      <c r="I761" s="11">
        <v>823.03</v>
      </c>
      <c r="J761" s="12">
        <v>0</v>
      </c>
      <c r="K761" s="11">
        <v>823.03</v>
      </c>
      <c r="L761" s="12">
        <v>0</v>
      </c>
      <c r="M761" s="11">
        <v>823.03</v>
      </c>
      <c r="N761" s="13">
        <v>0</v>
      </c>
      <c r="O761" s="11">
        <v>0</v>
      </c>
      <c r="P761" s="11">
        <v>0</v>
      </c>
      <c r="Q761" s="11">
        <v>0</v>
      </c>
      <c r="R761" s="11">
        <v>0</v>
      </c>
      <c r="S761" s="14">
        <v>0</v>
      </c>
      <c r="T761" s="11">
        <v>823.03</v>
      </c>
      <c r="U761" s="13" cm="1">
        <f t="array" ref="U761">IF(Table8[[#This Row],[I_0]]&lt;Table24[Flitro de Ruido],1,Table8[[#This Row],[I_10]]/Table8[[#This Row],[I_0]])</f>
        <v>1</v>
      </c>
      <c r="V761" s="13" cm="1">
        <f t="array" ref="V761">IF(Table8[[#This Row],[I_0]]&lt;Table24[Flitro de Ruido],1,Table8[[#This Row],[I_20]]/Table8[[#This Row],[I_0]])</f>
        <v>1</v>
      </c>
      <c r="W761" s="13" cm="1">
        <f t="array" ref="W761">IF(Table8[[#This Row],[I_0]]&lt;Table24[Flitro de Ruido],1,Table8[[#This Row],[I_30]]/Table8[[#This Row],[I_0]])</f>
        <v>1</v>
      </c>
      <c r="X761" s="13" cm="1">
        <f t="array" ref="X761">IF(Table8[[#This Row],[I_0]]&lt;Table24[Flitro de Ruido],1,Table8[[#This Row],[I_40]]/Table8[[#This Row],[I_0]])</f>
        <v>1</v>
      </c>
      <c r="Y761" s="13" cm="1">
        <f t="array" ref="Y761">IF(Table8[[#This Row],[I_0]]&lt;Table24[Flitro de Ruido],1,Table8[[#This Row],[I_50]]/Table8[[#This Row],[I_0]])</f>
        <v>1</v>
      </c>
    </row>
    <row r="762" spans="1:25" x14ac:dyDescent="0.3">
      <c r="A762" s="13">
        <v>824.02</v>
      </c>
      <c r="B762" s="12">
        <v>0</v>
      </c>
      <c r="C762" s="11">
        <v>824.02</v>
      </c>
      <c r="D762" s="12">
        <v>0</v>
      </c>
      <c r="E762" s="11">
        <v>824.02</v>
      </c>
      <c r="F762" s="12">
        <v>0</v>
      </c>
      <c r="G762" s="11">
        <v>824.02</v>
      </c>
      <c r="H762" s="12">
        <v>0</v>
      </c>
      <c r="I762" s="11">
        <v>824.02</v>
      </c>
      <c r="J762" s="12">
        <v>0</v>
      </c>
      <c r="K762" s="11">
        <v>824.02</v>
      </c>
      <c r="L762" s="12">
        <v>0</v>
      </c>
      <c r="M762" s="11">
        <v>824.02</v>
      </c>
      <c r="N762" s="13">
        <v>0</v>
      </c>
      <c r="O762" s="11">
        <v>0</v>
      </c>
      <c r="P762" s="11">
        <v>0</v>
      </c>
      <c r="Q762" s="11">
        <v>0</v>
      </c>
      <c r="R762" s="11">
        <v>0</v>
      </c>
      <c r="S762" s="14">
        <v>0</v>
      </c>
      <c r="T762" s="11">
        <v>824.02</v>
      </c>
      <c r="U762" s="13" cm="1">
        <f t="array" ref="U762">IF(Table8[[#This Row],[I_0]]&lt;Table24[Flitro de Ruido],1,Table8[[#This Row],[I_10]]/Table8[[#This Row],[I_0]])</f>
        <v>1</v>
      </c>
      <c r="V762" s="13" cm="1">
        <f t="array" ref="V762">IF(Table8[[#This Row],[I_0]]&lt;Table24[Flitro de Ruido],1,Table8[[#This Row],[I_20]]/Table8[[#This Row],[I_0]])</f>
        <v>1</v>
      </c>
      <c r="W762" s="13" cm="1">
        <f t="array" ref="W762">IF(Table8[[#This Row],[I_0]]&lt;Table24[Flitro de Ruido],1,Table8[[#This Row],[I_30]]/Table8[[#This Row],[I_0]])</f>
        <v>1</v>
      </c>
      <c r="X762" s="13" cm="1">
        <f t="array" ref="X762">IF(Table8[[#This Row],[I_0]]&lt;Table24[Flitro de Ruido],1,Table8[[#This Row],[I_40]]/Table8[[#This Row],[I_0]])</f>
        <v>1</v>
      </c>
      <c r="Y762" s="13" cm="1">
        <f t="array" ref="Y762">IF(Table8[[#This Row],[I_0]]&lt;Table24[Flitro de Ruido],1,Table8[[#This Row],[I_50]]/Table8[[#This Row],[I_0]])</f>
        <v>1</v>
      </c>
    </row>
    <row r="763" spans="1:25" x14ac:dyDescent="0.3">
      <c r="A763" s="13">
        <v>825.01</v>
      </c>
      <c r="B763" s="12">
        <v>0</v>
      </c>
      <c r="C763" s="11">
        <v>825.01</v>
      </c>
      <c r="D763" s="12">
        <v>0</v>
      </c>
      <c r="E763" s="11">
        <v>825.01</v>
      </c>
      <c r="F763" s="12">
        <v>0</v>
      </c>
      <c r="G763" s="11">
        <v>825.01</v>
      </c>
      <c r="H763" s="12">
        <v>0</v>
      </c>
      <c r="I763" s="11">
        <v>825.01</v>
      </c>
      <c r="J763" s="12">
        <v>0</v>
      </c>
      <c r="K763" s="11">
        <v>825.01</v>
      </c>
      <c r="L763" s="12">
        <v>0</v>
      </c>
      <c r="M763" s="11">
        <v>825.01</v>
      </c>
      <c r="N763" s="13">
        <v>0</v>
      </c>
      <c r="O763" s="11">
        <v>0</v>
      </c>
      <c r="P763" s="11">
        <v>0</v>
      </c>
      <c r="Q763" s="11">
        <v>0</v>
      </c>
      <c r="R763" s="11">
        <v>0</v>
      </c>
      <c r="S763" s="14">
        <v>0</v>
      </c>
      <c r="T763" s="11">
        <v>825.01</v>
      </c>
      <c r="U763" s="13" cm="1">
        <f t="array" ref="U763">IF(Table8[[#This Row],[I_0]]&lt;Table24[Flitro de Ruido],1,Table8[[#This Row],[I_10]]/Table8[[#This Row],[I_0]])</f>
        <v>1</v>
      </c>
      <c r="V763" s="13" cm="1">
        <f t="array" ref="V763">IF(Table8[[#This Row],[I_0]]&lt;Table24[Flitro de Ruido],1,Table8[[#This Row],[I_20]]/Table8[[#This Row],[I_0]])</f>
        <v>1</v>
      </c>
      <c r="W763" s="13" cm="1">
        <f t="array" ref="W763">IF(Table8[[#This Row],[I_0]]&lt;Table24[Flitro de Ruido],1,Table8[[#This Row],[I_30]]/Table8[[#This Row],[I_0]])</f>
        <v>1</v>
      </c>
      <c r="X763" s="13" cm="1">
        <f t="array" ref="X763">IF(Table8[[#This Row],[I_0]]&lt;Table24[Flitro de Ruido],1,Table8[[#This Row],[I_40]]/Table8[[#This Row],[I_0]])</f>
        <v>1</v>
      </c>
      <c r="Y763" s="13" cm="1">
        <f t="array" ref="Y763">IF(Table8[[#This Row],[I_0]]&lt;Table24[Flitro de Ruido],1,Table8[[#This Row],[I_50]]/Table8[[#This Row],[I_0]])</f>
        <v>1</v>
      </c>
    </row>
    <row r="764" spans="1:25" x14ac:dyDescent="0.3">
      <c r="A764" s="13">
        <v>826.01</v>
      </c>
      <c r="B764" s="12">
        <v>0</v>
      </c>
      <c r="C764" s="11">
        <v>826.01</v>
      </c>
      <c r="D764" s="12">
        <v>0</v>
      </c>
      <c r="E764" s="11">
        <v>826.01</v>
      </c>
      <c r="F764" s="12">
        <v>0</v>
      </c>
      <c r="G764" s="11">
        <v>826.01</v>
      </c>
      <c r="H764" s="12">
        <v>0</v>
      </c>
      <c r="I764" s="11">
        <v>826.01</v>
      </c>
      <c r="J764" s="12">
        <v>0</v>
      </c>
      <c r="K764" s="11">
        <v>826.01</v>
      </c>
      <c r="L764" s="12">
        <v>0</v>
      </c>
      <c r="M764" s="11">
        <v>826.01</v>
      </c>
      <c r="N764" s="13">
        <v>0</v>
      </c>
      <c r="O764" s="11">
        <v>0</v>
      </c>
      <c r="P764" s="11">
        <v>0</v>
      </c>
      <c r="Q764" s="11">
        <v>0</v>
      </c>
      <c r="R764" s="11">
        <v>0</v>
      </c>
      <c r="S764" s="14">
        <v>0</v>
      </c>
      <c r="T764" s="11">
        <v>826.01</v>
      </c>
      <c r="U764" s="13" cm="1">
        <f t="array" ref="U764">IF(Table8[[#This Row],[I_0]]&lt;Table24[Flitro de Ruido],1,Table8[[#This Row],[I_10]]/Table8[[#This Row],[I_0]])</f>
        <v>1</v>
      </c>
      <c r="V764" s="13" cm="1">
        <f t="array" ref="V764">IF(Table8[[#This Row],[I_0]]&lt;Table24[Flitro de Ruido],1,Table8[[#This Row],[I_20]]/Table8[[#This Row],[I_0]])</f>
        <v>1</v>
      </c>
      <c r="W764" s="13" cm="1">
        <f t="array" ref="W764">IF(Table8[[#This Row],[I_0]]&lt;Table24[Flitro de Ruido],1,Table8[[#This Row],[I_30]]/Table8[[#This Row],[I_0]])</f>
        <v>1</v>
      </c>
      <c r="X764" s="13" cm="1">
        <f t="array" ref="X764">IF(Table8[[#This Row],[I_0]]&lt;Table24[Flitro de Ruido],1,Table8[[#This Row],[I_40]]/Table8[[#This Row],[I_0]])</f>
        <v>1</v>
      </c>
      <c r="Y764" s="13" cm="1">
        <f t="array" ref="Y764">IF(Table8[[#This Row],[I_0]]&lt;Table24[Flitro de Ruido],1,Table8[[#This Row],[I_50]]/Table8[[#This Row],[I_0]])</f>
        <v>1</v>
      </c>
    </row>
    <row r="765" spans="1:25" x14ac:dyDescent="0.3">
      <c r="A765" s="13">
        <v>827</v>
      </c>
      <c r="B765" s="12">
        <v>0</v>
      </c>
      <c r="C765" s="11">
        <v>827</v>
      </c>
      <c r="D765" s="12">
        <v>0</v>
      </c>
      <c r="E765" s="11">
        <v>827</v>
      </c>
      <c r="F765" s="12">
        <v>0</v>
      </c>
      <c r="G765" s="11">
        <v>827</v>
      </c>
      <c r="H765" s="12">
        <v>0</v>
      </c>
      <c r="I765" s="11">
        <v>827</v>
      </c>
      <c r="J765" s="12">
        <v>0</v>
      </c>
      <c r="K765" s="11">
        <v>827</v>
      </c>
      <c r="L765" s="12">
        <v>0</v>
      </c>
      <c r="M765" s="11">
        <v>827</v>
      </c>
      <c r="N765" s="13">
        <v>0</v>
      </c>
      <c r="O765" s="11">
        <v>0</v>
      </c>
      <c r="P765" s="11">
        <v>0</v>
      </c>
      <c r="Q765" s="11">
        <v>0</v>
      </c>
      <c r="R765" s="11">
        <v>0</v>
      </c>
      <c r="S765" s="14">
        <v>0</v>
      </c>
      <c r="T765" s="11">
        <v>827</v>
      </c>
      <c r="U765" s="13" cm="1">
        <f t="array" ref="U765">IF(Table8[[#This Row],[I_0]]&lt;Table24[Flitro de Ruido],1,Table8[[#This Row],[I_10]]/Table8[[#This Row],[I_0]])</f>
        <v>1</v>
      </c>
      <c r="V765" s="13" cm="1">
        <f t="array" ref="V765">IF(Table8[[#This Row],[I_0]]&lt;Table24[Flitro de Ruido],1,Table8[[#This Row],[I_20]]/Table8[[#This Row],[I_0]])</f>
        <v>1</v>
      </c>
      <c r="W765" s="13" cm="1">
        <f t="array" ref="W765">IF(Table8[[#This Row],[I_0]]&lt;Table24[Flitro de Ruido],1,Table8[[#This Row],[I_30]]/Table8[[#This Row],[I_0]])</f>
        <v>1</v>
      </c>
      <c r="X765" s="13" cm="1">
        <f t="array" ref="X765">IF(Table8[[#This Row],[I_0]]&lt;Table24[Flitro de Ruido],1,Table8[[#This Row],[I_40]]/Table8[[#This Row],[I_0]])</f>
        <v>1</v>
      </c>
      <c r="Y765" s="13" cm="1">
        <f t="array" ref="Y765">IF(Table8[[#This Row],[I_0]]&lt;Table24[Flitro de Ruido],1,Table8[[#This Row],[I_50]]/Table8[[#This Row],[I_0]])</f>
        <v>1</v>
      </c>
    </row>
    <row r="766" spans="1:25" x14ac:dyDescent="0.3">
      <c r="A766" s="13">
        <v>827.99</v>
      </c>
      <c r="B766" s="12">
        <v>0</v>
      </c>
      <c r="C766" s="11">
        <v>827.99</v>
      </c>
      <c r="D766" s="12">
        <v>0</v>
      </c>
      <c r="E766" s="11">
        <v>827.99</v>
      </c>
      <c r="F766" s="12">
        <v>0</v>
      </c>
      <c r="G766" s="11">
        <v>827.99</v>
      </c>
      <c r="H766" s="12">
        <v>0</v>
      </c>
      <c r="I766" s="11">
        <v>827.99</v>
      </c>
      <c r="J766" s="12">
        <v>0</v>
      </c>
      <c r="K766" s="11">
        <v>827.99</v>
      </c>
      <c r="L766" s="12">
        <v>0</v>
      </c>
      <c r="M766" s="11">
        <v>827.99</v>
      </c>
      <c r="N766" s="13">
        <v>0</v>
      </c>
      <c r="O766" s="11">
        <v>0</v>
      </c>
      <c r="P766" s="11">
        <v>0</v>
      </c>
      <c r="Q766" s="11">
        <v>0</v>
      </c>
      <c r="R766" s="11">
        <v>0</v>
      </c>
      <c r="S766" s="14">
        <v>0</v>
      </c>
      <c r="T766" s="11">
        <v>827.99</v>
      </c>
      <c r="U766" s="13" cm="1">
        <f t="array" ref="U766">IF(Table8[[#This Row],[I_0]]&lt;Table24[Flitro de Ruido],1,Table8[[#This Row],[I_10]]/Table8[[#This Row],[I_0]])</f>
        <v>1</v>
      </c>
      <c r="V766" s="13" cm="1">
        <f t="array" ref="V766">IF(Table8[[#This Row],[I_0]]&lt;Table24[Flitro de Ruido],1,Table8[[#This Row],[I_20]]/Table8[[#This Row],[I_0]])</f>
        <v>1</v>
      </c>
      <c r="W766" s="13" cm="1">
        <f t="array" ref="W766">IF(Table8[[#This Row],[I_0]]&lt;Table24[Flitro de Ruido],1,Table8[[#This Row],[I_30]]/Table8[[#This Row],[I_0]])</f>
        <v>1</v>
      </c>
      <c r="X766" s="13" cm="1">
        <f t="array" ref="X766">IF(Table8[[#This Row],[I_0]]&lt;Table24[Flitro de Ruido],1,Table8[[#This Row],[I_40]]/Table8[[#This Row],[I_0]])</f>
        <v>1</v>
      </c>
      <c r="Y766" s="13" cm="1">
        <f t="array" ref="Y766">IF(Table8[[#This Row],[I_0]]&lt;Table24[Flitro de Ruido],1,Table8[[#This Row],[I_50]]/Table8[[#This Row],[I_0]])</f>
        <v>1</v>
      </c>
    </row>
    <row r="767" spans="1:25" x14ac:dyDescent="0.3">
      <c r="A767" s="13">
        <v>828.98</v>
      </c>
      <c r="B767" s="12">
        <v>0</v>
      </c>
      <c r="C767" s="11">
        <v>828.98</v>
      </c>
      <c r="D767" s="12">
        <v>0</v>
      </c>
      <c r="E767" s="11">
        <v>828.98</v>
      </c>
      <c r="F767" s="12">
        <v>0</v>
      </c>
      <c r="G767" s="11">
        <v>828.98</v>
      </c>
      <c r="H767" s="12">
        <v>0</v>
      </c>
      <c r="I767" s="11">
        <v>828.98</v>
      </c>
      <c r="J767" s="12">
        <v>0</v>
      </c>
      <c r="K767" s="11">
        <v>828.98</v>
      </c>
      <c r="L767" s="12">
        <v>0</v>
      </c>
      <c r="M767" s="11">
        <v>828.98</v>
      </c>
      <c r="N767" s="13">
        <v>0</v>
      </c>
      <c r="O767" s="11">
        <v>0</v>
      </c>
      <c r="P767" s="11">
        <v>0</v>
      </c>
      <c r="Q767" s="11">
        <v>0</v>
      </c>
      <c r="R767" s="11">
        <v>0</v>
      </c>
      <c r="S767" s="14">
        <v>0</v>
      </c>
      <c r="T767" s="11">
        <v>828.98</v>
      </c>
      <c r="U767" s="13" cm="1">
        <f t="array" ref="U767">IF(Table8[[#This Row],[I_0]]&lt;Table24[Flitro de Ruido],1,Table8[[#This Row],[I_10]]/Table8[[#This Row],[I_0]])</f>
        <v>1</v>
      </c>
      <c r="V767" s="13" cm="1">
        <f t="array" ref="V767">IF(Table8[[#This Row],[I_0]]&lt;Table24[Flitro de Ruido],1,Table8[[#This Row],[I_20]]/Table8[[#This Row],[I_0]])</f>
        <v>1</v>
      </c>
      <c r="W767" s="13" cm="1">
        <f t="array" ref="W767">IF(Table8[[#This Row],[I_0]]&lt;Table24[Flitro de Ruido],1,Table8[[#This Row],[I_30]]/Table8[[#This Row],[I_0]])</f>
        <v>1</v>
      </c>
      <c r="X767" s="13" cm="1">
        <f t="array" ref="X767">IF(Table8[[#This Row],[I_0]]&lt;Table24[Flitro de Ruido],1,Table8[[#This Row],[I_40]]/Table8[[#This Row],[I_0]])</f>
        <v>1</v>
      </c>
      <c r="Y767" s="13" cm="1">
        <f t="array" ref="Y767">IF(Table8[[#This Row],[I_0]]&lt;Table24[Flitro de Ruido],1,Table8[[#This Row],[I_50]]/Table8[[#This Row],[I_0]])</f>
        <v>1</v>
      </c>
    </row>
    <row r="768" spans="1:25" x14ac:dyDescent="0.3">
      <c r="A768" s="13">
        <v>829.97</v>
      </c>
      <c r="B768" s="12">
        <v>0</v>
      </c>
      <c r="C768" s="11">
        <v>829.97</v>
      </c>
      <c r="D768" s="12">
        <v>0</v>
      </c>
      <c r="E768" s="11">
        <v>829.97</v>
      </c>
      <c r="F768" s="12">
        <v>0</v>
      </c>
      <c r="G768" s="11">
        <v>829.97</v>
      </c>
      <c r="H768" s="12">
        <v>0</v>
      </c>
      <c r="I768" s="11">
        <v>829.97</v>
      </c>
      <c r="J768" s="12">
        <v>0</v>
      </c>
      <c r="K768" s="11">
        <v>829.97</v>
      </c>
      <c r="L768" s="12">
        <v>0</v>
      </c>
      <c r="M768" s="11">
        <v>829.97</v>
      </c>
      <c r="N768" s="13">
        <v>0</v>
      </c>
      <c r="O768" s="11">
        <v>0</v>
      </c>
      <c r="P768" s="11">
        <v>0</v>
      </c>
      <c r="Q768" s="11">
        <v>0</v>
      </c>
      <c r="R768" s="11">
        <v>0</v>
      </c>
      <c r="S768" s="14">
        <v>0</v>
      </c>
      <c r="T768" s="11">
        <v>829.97</v>
      </c>
      <c r="U768" s="13" cm="1">
        <f t="array" ref="U768">IF(Table8[[#This Row],[I_0]]&lt;Table24[Flitro de Ruido],1,Table8[[#This Row],[I_10]]/Table8[[#This Row],[I_0]])</f>
        <v>1</v>
      </c>
      <c r="V768" s="13" cm="1">
        <f t="array" ref="V768">IF(Table8[[#This Row],[I_0]]&lt;Table24[Flitro de Ruido],1,Table8[[#This Row],[I_20]]/Table8[[#This Row],[I_0]])</f>
        <v>1</v>
      </c>
      <c r="W768" s="13" cm="1">
        <f t="array" ref="W768">IF(Table8[[#This Row],[I_0]]&lt;Table24[Flitro de Ruido],1,Table8[[#This Row],[I_30]]/Table8[[#This Row],[I_0]])</f>
        <v>1</v>
      </c>
      <c r="X768" s="13" cm="1">
        <f t="array" ref="X768">IF(Table8[[#This Row],[I_0]]&lt;Table24[Flitro de Ruido],1,Table8[[#This Row],[I_40]]/Table8[[#This Row],[I_0]])</f>
        <v>1</v>
      </c>
      <c r="Y768" s="13" cm="1">
        <f t="array" ref="Y768">IF(Table8[[#This Row],[I_0]]&lt;Table24[Flitro de Ruido],1,Table8[[#This Row],[I_50]]/Table8[[#This Row],[I_0]])</f>
        <v>1</v>
      </c>
    </row>
    <row r="769" spans="1:25" x14ac:dyDescent="0.3">
      <c r="A769" s="13">
        <v>830.96</v>
      </c>
      <c r="B769" s="12">
        <v>0</v>
      </c>
      <c r="C769" s="11">
        <v>830.96</v>
      </c>
      <c r="D769" s="12">
        <v>0</v>
      </c>
      <c r="E769" s="11">
        <v>830.96</v>
      </c>
      <c r="F769" s="12">
        <v>0</v>
      </c>
      <c r="G769" s="11">
        <v>830.96</v>
      </c>
      <c r="H769" s="12">
        <v>0</v>
      </c>
      <c r="I769" s="11">
        <v>830.96</v>
      </c>
      <c r="J769" s="12">
        <v>0</v>
      </c>
      <c r="K769" s="11">
        <v>830.96</v>
      </c>
      <c r="L769" s="12">
        <v>0</v>
      </c>
      <c r="M769" s="11">
        <v>830.96</v>
      </c>
      <c r="N769" s="13">
        <v>0</v>
      </c>
      <c r="O769" s="11">
        <v>0</v>
      </c>
      <c r="P769" s="11">
        <v>0</v>
      </c>
      <c r="Q769" s="11">
        <v>0</v>
      </c>
      <c r="R769" s="11">
        <v>0</v>
      </c>
      <c r="S769" s="14">
        <v>0</v>
      </c>
      <c r="T769" s="11">
        <v>830.96</v>
      </c>
      <c r="U769" s="13" cm="1">
        <f t="array" ref="U769">IF(Table8[[#This Row],[I_0]]&lt;Table24[Flitro de Ruido],1,Table8[[#This Row],[I_10]]/Table8[[#This Row],[I_0]])</f>
        <v>1</v>
      </c>
      <c r="V769" s="13" cm="1">
        <f t="array" ref="V769">IF(Table8[[#This Row],[I_0]]&lt;Table24[Flitro de Ruido],1,Table8[[#This Row],[I_20]]/Table8[[#This Row],[I_0]])</f>
        <v>1</v>
      </c>
      <c r="W769" s="13" cm="1">
        <f t="array" ref="W769">IF(Table8[[#This Row],[I_0]]&lt;Table24[Flitro de Ruido],1,Table8[[#This Row],[I_30]]/Table8[[#This Row],[I_0]])</f>
        <v>1</v>
      </c>
      <c r="X769" s="13" cm="1">
        <f t="array" ref="X769">IF(Table8[[#This Row],[I_0]]&lt;Table24[Flitro de Ruido],1,Table8[[#This Row],[I_40]]/Table8[[#This Row],[I_0]])</f>
        <v>1</v>
      </c>
      <c r="Y769" s="13" cm="1">
        <f t="array" ref="Y769">IF(Table8[[#This Row],[I_0]]&lt;Table24[Flitro de Ruido],1,Table8[[#This Row],[I_50]]/Table8[[#This Row],[I_0]])</f>
        <v>1</v>
      </c>
    </row>
    <row r="770" spans="1:25" x14ac:dyDescent="0.3">
      <c r="A770" s="13">
        <v>831.96</v>
      </c>
      <c r="B770" s="12">
        <v>0</v>
      </c>
      <c r="C770" s="11">
        <v>831.96</v>
      </c>
      <c r="D770" s="12">
        <v>0</v>
      </c>
      <c r="E770" s="11">
        <v>831.96</v>
      </c>
      <c r="F770" s="12">
        <v>0</v>
      </c>
      <c r="G770" s="11">
        <v>831.96</v>
      </c>
      <c r="H770" s="12">
        <v>0</v>
      </c>
      <c r="I770" s="11">
        <v>831.96</v>
      </c>
      <c r="J770" s="12">
        <v>0</v>
      </c>
      <c r="K770" s="11">
        <v>831.96</v>
      </c>
      <c r="L770" s="12">
        <v>0</v>
      </c>
      <c r="M770" s="11">
        <v>831.96</v>
      </c>
      <c r="N770" s="13">
        <v>0</v>
      </c>
      <c r="O770" s="11">
        <v>0</v>
      </c>
      <c r="P770" s="11">
        <v>0</v>
      </c>
      <c r="Q770" s="11">
        <v>0</v>
      </c>
      <c r="R770" s="11">
        <v>0</v>
      </c>
      <c r="S770" s="14">
        <v>0</v>
      </c>
      <c r="T770" s="11">
        <v>831.96</v>
      </c>
      <c r="U770" s="13" cm="1">
        <f t="array" ref="U770">IF(Table8[[#This Row],[I_0]]&lt;Table24[Flitro de Ruido],1,Table8[[#This Row],[I_10]]/Table8[[#This Row],[I_0]])</f>
        <v>1</v>
      </c>
      <c r="V770" s="13" cm="1">
        <f t="array" ref="V770">IF(Table8[[#This Row],[I_0]]&lt;Table24[Flitro de Ruido],1,Table8[[#This Row],[I_20]]/Table8[[#This Row],[I_0]])</f>
        <v>1</v>
      </c>
      <c r="W770" s="13" cm="1">
        <f t="array" ref="W770">IF(Table8[[#This Row],[I_0]]&lt;Table24[Flitro de Ruido],1,Table8[[#This Row],[I_30]]/Table8[[#This Row],[I_0]])</f>
        <v>1</v>
      </c>
      <c r="X770" s="13" cm="1">
        <f t="array" ref="X770">IF(Table8[[#This Row],[I_0]]&lt;Table24[Flitro de Ruido],1,Table8[[#This Row],[I_40]]/Table8[[#This Row],[I_0]])</f>
        <v>1</v>
      </c>
      <c r="Y770" s="13" cm="1">
        <f t="array" ref="Y770">IF(Table8[[#This Row],[I_0]]&lt;Table24[Flitro de Ruido],1,Table8[[#This Row],[I_50]]/Table8[[#This Row],[I_0]])</f>
        <v>1</v>
      </c>
    </row>
    <row r="771" spans="1:25" x14ac:dyDescent="0.3">
      <c r="A771" s="13">
        <v>832.95</v>
      </c>
      <c r="B771" s="12">
        <v>0</v>
      </c>
      <c r="C771" s="11">
        <v>832.95</v>
      </c>
      <c r="D771" s="12">
        <v>0</v>
      </c>
      <c r="E771" s="11">
        <v>832.95</v>
      </c>
      <c r="F771" s="12">
        <v>0</v>
      </c>
      <c r="G771" s="11">
        <v>832.95</v>
      </c>
      <c r="H771" s="12">
        <v>0</v>
      </c>
      <c r="I771" s="11">
        <v>832.95</v>
      </c>
      <c r="J771" s="12">
        <v>0</v>
      </c>
      <c r="K771" s="11">
        <v>832.95</v>
      </c>
      <c r="L771" s="12">
        <v>0</v>
      </c>
      <c r="M771" s="11">
        <v>832.95</v>
      </c>
      <c r="N771" s="13">
        <v>0</v>
      </c>
      <c r="O771" s="11">
        <v>0</v>
      </c>
      <c r="P771" s="11">
        <v>0</v>
      </c>
      <c r="Q771" s="11">
        <v>0</v>
      </c>
      <c r="R771" s="11">
        <v>0</v>
      </c>
      <c r="S771" s="14">
        <v>0</v>
      </c>
      <c r="T771" s="11">
        <v>832.95</v>
      </c>
      <c r="U771" s="13" cm="1">
        <f t="array" ref="U771">IF(Table8[[#This Row],[I_0]]&lt;Table24[Flitro de Ruido],1,Table8[[#This Row],[I_10]]/Table8[[#This Row],[I_0]])</f>
        <v>1</v>
      </c>
      <c r="V771" s="13" cm="1">
        <f t="array" ref="V771">IF(Table8[[#This Row],[I_0]]&lt;Table24[Flitro de Ruido],1,Table8[[#This Row],[I_20]]/Table8[[#This Row],[I_0]])</f>
        <v>1</v>
      </c>
      <c r="W771" s="13" cm="1">
        <f t="array" ref="W771">IF(Table8[[#This Row],[I_0]]&lt;Table24[Flitro de Ruido],1,Table8[[#This Row],[I_30]]/Table8[[#This Row],[I_0]])</f>
        <v>1</v>
      </c>
      <c r="X771" s="13" cm="1">
        <f t="array" ref="X771">IF(Table8[[#This Row],[I_0]]&lt;Table24[Flitro de Ruido],1,Table8[[#This Row],[I_40]]/Table8[[#This Row],[I_0]])</f>
        <v>1</v>
      </c>
      <c r="Y771" s="13" cm="1">
        <f t="array" ref="Y771">IF(Table8[[#This Row],[I_0]]&lt;Table24[Flitro de Ruido],1,Table8[[#This Row],[I_50]]/Table8[[#This Row],[I_0]])</f>
        <v>1</v>
      </c>
    </row>
    <row r="772" spans="1:25" x14ac:dyDescent="0.3">
      <c r="A772" s="13">
        <v>833.94</v>
      </c>
      <c r="B772" s="12">
        <v>0</v>
      </c>
      <c r="C772" s="11">
        <v>833.94</v>
      </c>
      <c r="D772" s="12">
        <v>0</v>
      </c>
      <c r="E772" s="11">
        <v>833.94</v>
      </c>
      <c r="F772" s="12">
        <v>0</v>
      </c>
      <c r="G772" s="11">
        <v>833.94</v>
      </c>
      <c r="H772" s="12">
        <v>0</v>
      </c>
      <c r="I772" s="11">
        <v>833.94</v>
      </c>
      <c r="J772" s="12">
        <v>0</v>
      </c>
      <c r="K772" s="11">
        <v>833.94</v>
      </c>
      <c r="L772" s="12">
        <v>0</v>
      </c>
      <c r="M772" s="11">
        <v>833.94</v>
      </c>
      <c r="N772" s="13">
        <v>0</v>
      </c>
      <c r="O772" s="11">
        <v>0</v>
      </c>
      <c r="P772" s="11">
        <v>0</v>
      </c>
      <c r="Q772" s="11">
        <v>0</v>
      </c>
      <c r="R772" s="11">
        <v>0</v>
      </c>
      <c r="S772" s="14">
        <v>0</v>
      </c>
      <c r="T772" s="11">
        <v>833.94</v>
      </c>
      <c r="U772" s="13" cm="1">
        <f t="array" ref="U772">IF(Table8[[#This Row],[I_0]]&lt;Table24[Flitro de Ruido],1,Table8[[#This Row],[I_10]]/Table8[[#This Row],[I_0]])</f>
        <v>1</v>
      </c>
      <c r="V772" s="13" cm="1">
        <f t="array" ref="V772">IF(Table8[[#This Row],[I_0]]&lt;Table24[Flitro de Ruido],1,Table8[[#This Row],[I_20]]/Table8[[#This Row],[I_0]])</f>
        <v>1</v>
      </c>
      <c r="W772" s="13" cm="1">
        <f t="array" ref="W772">IF(Table8[[#This Row],[I_0]]&lt;Table24[Flitro de Ruido],1,Table8[[#This Row],[I_30]]/Table8[[#This Row],[I_0]])</f>
        <v>1</v>
      </c>
      <c r="X772" s="13" cm="1">
        <f t="array" ref="X772">IF(Table8[[#This Row],[I_0]]&lt;Table24[Flitro de Ruido],1,Table8[[#This Row],[I_40]]/Table8[[#This Row],[I_0]])</f>
        <v>1</v>
      </c>
      <c r="Y772" s="13" cm="1">
        <f t="array" ref="Y772">IF(Table8[[#This Row],[I_0]]&lt;Table24[Flitro de Ruido],1,Table8[[#This Row],[I_50]]/Table8[[#This Row],[I_0]])</f>
        <v>1</v>
      </c>
    </row>
    <row r="773" spans="1:25" x14ac:dyDescent="0.3">
      <c r="A773" s="13">
        <v>834.93</v>
      </c>
      <c r="B773" s="12">
        <v>0</v>
      </c>
      <c r="C773" s="11">
        <v>834.93</v>
      </c>
      <c r="D773" s="12">
        <v>0</v>
      </c>
      <c r="E773" s="11">
        <v>834.93</v>
      </c>
      <c r="F773" s="12">
        <v>0</v>
      </c>
      <c r="G773" s="11">
        <v>834.93</v>
      </c>
      <c r="H773" s="12">
        <v>0</v>
      </c>
      <c r="I773" s="11">
        <v>834.93</v>
      </c>
      <c r="J773" s="12">
        <v>0</v>
      </c>
      <c r="K773" s="11">
        <v>834.93</v>
      </c>
      <c r="L773" s="12">
        <v>0</v>
      </c>
      <c r="M773" s="11">
        <v>834.93</v>
      </c>
      <c r="N773" s="13">
        <v>0</v>
      </c>
      <c r="O773" s="11">
        <v>0</v>
      </c>
      <c r="P773" s="11">
        <v>0</v>
      </c>
      <c r="Q773" s="11">
        <v>0</v>
      </c>
      <c r="R773" s="11">
        <v>0</v>
      </c>
      <c r="S773" s="14">
        <v>0</v>
      </c>
      <c r="T773" s="11">
        <v>834.93</v>
      </c>
      <c r="U773" s="13" cm="1">
        <f t="array" ref="U773">IF(Table8[[#This Row],[I_0]]&lt;Table24[Flitro de Ruido],1,Table8[[#This Row],[I_10]]/Table8[[#This Row],[I_0]])</f>
        <v>1</v>
      </c>
      <c r="V773" s="13" cm="1">
        <f t="array" ref="V773">IF(Table8[[#This Row],[I_0]]&lt;Table24[Flitro de Ruido],1,Table8[[#This Row],[I_20]]/Table8[[#This Row],[I_0]])</f>
        <v>1</v>
      </c>
      <c r="W773" s="13" cm="1">
        <f t="array" ref="W773">IF(Table8[[#This Row],[I_0]]&lt;Table24[Flitro de Ruido],1,Table8[[#This Row],[I_30]]/Table8[[#This Row],[I_0]])</f>
        <v>1</v>
      </c>
      <c r="X773" s="13" cm="1">
        <f t="array" ref="X773">IF(Table8[[#This Row],[I_0]]&lt;Table24[Flitro de Ruido],1,Table8[[#This Row],[I_40]]/Table8[[#This Row],[I_0]])</f>
        <v>1</v>
      </c>
      <c r="Y773" s="13" cm="1">
        <f t="array" ref="Y773">IF(Table8[[#This Row],[I_0]]&lt;Table24[Flitro de Ruido],1,Table8[[#This Row],[I_50]]/Table8[[#This Row],[I_0]])</f>
        <v>1</v>
      </c>
    </row>
    <row r="774" spans="1:25" x14ac:dyDescent="0.3">
      <c r="A774" s="13">
        <v>835.92</v>
      </c>
      <c r="B774" s="12">
        <v>0</v>
      </c>
      <c r="C774" s="11">
        <v>835.92</v>
      </c>
      <c r="D774" s="12">
        <v>0</v>
      </c>
      <c r="E774" s="11">
        <v>835.92</v>
      </c>
      <c r="F774" s="12">
        <v>0</v>
      </c>
      <c r="G774" s="11">
        <v>835.92</v>
      </c>
      <c r="H774" s="12">
        <v>0</v>
      </c>
      <c r="I774" s="11">
        <v>835.92</v>
      </c>
      <c r="J774" s="12">
        <v>0</v>
      </c>
      <c r="K774" s="11">
        <v>835.92</v>
      </c>
      <c r="L774" s="12">
        <v>0</v>
      </c>
      <c r="M774" s="11">
        <v>835.92</v>
      </c>
      <c r="N774" s="13">
        <v>0</v>
      </c>
      <c r="O774" s="11">
        <v>0</v>
      </c>
      <c r="P774" s="11">
        <v>0</v>
      </c>
      <c r="Q774" s="11">
        <v>0</v>
      </c>
      <c r="R774" s="11">
        <v>0</v>
      </c>
      <c r="S774" s="14">
        <v>0</v>
      </c>
      <c r="T774" s="11">
        <v>835.92</v>
      </c>
      <c r="U774" s="13" cm="1">
        <f t="array" ref="U774">IF(Table8[[#This Row],[I_0]]&lt;Table24[Flitro de Ruido],1,Table8[[#This Row],[I_10]]/Table8[[#This Row],[I_0]])</f>
        <v>1</v>
      </c>
      <c r="V774" s="13" cm="1">
        <f t="array" ref="V774">IF(Table8[[#This Row],[I_0]]&lt;Table24[Flitro de Ruido],1,Table8[[#This Row],[I_20]]/Table8[[#This Row],[I_0]])</f>
        <v>1</v>
      </c>
      <c r="W774" s="13" cm="1">
        <f t="array" ref="W774">IF(Table8[[#This Row],[I_0]]&lt;Table24[Flitro de Ruido],1,Table8[[#This Row],[I_30]]/Table8[[#This Row],[I_0]])</f>
        <v>1</v>
      </c>
      <c r="X774" s="13" cm="1">
        <f t="array" ref="X774">IF(Table8[[#This Row],[I_0]]&lt;Table24[Flitro de Ruido],1,Table8[[#This Row],[I_40]]/Table8[[#This Row],[I_0]])</f>
        <v>1</v>
      </c>
      <c r="Y774" s="13" cm="1">
        <f t="array" ref="Y774">IF(Table8[[#This Row],[I_0]]&lt;Table24[Flitro de Ruido],1,Table8[[#This Row],[I_50]]/Table8[[#This Row],[I_0]])</f>
        <v>1</v>
      </c>
    </row>
    <row r="775" spans="1:25" x14ac:dyDescent="0.3">
      <c r="A775" s="13">
        <v>836.91</v>
      </c>
      <c r="B775" s="12">
        <v>0</v>
      </c>
      <c r="C775" s="11">
        <v>836.91</v>
      </c>
      <c r="D775" s="12">
        <v>0</v>
      </c>
      <c r="E775" s="11">
        <v>836.91</v>
      </c>
      <c r="F775" s="12">
        <v>0</v>
      </c>
      <c r="G775" s="11">
        <v>836.91</v>
      </c>
      <c r="H775" s="12">
        <v>0</v>
      </c>
      <c r="I775" s="11">
        <v>836.91</v>
      </c>
      <c r="J775" s="12">
        <v>0</v>
      </c>
      <c r="K775" s="11">
        <v>836.91</v>
      </c>
      <c r="L775" s="12">
        <v>0</v>
      </c>
      <c r="M775" s="11">
        <v>836.91</v>
      </c>
      <c r="N775" s="13">
        <v>0</v>
      </c>
      <c r="O775" s="11">
        <v>0</v>
      </c>
      <c r="P775" s="11">
        <v>0</v>
      </c>
      <c r="Q775" s="11">
        <v>0</v>
      </c>
      <c r="R775" s="11">
        <v>0</v>
      </c>
      <c r="S775" s="14">
        <v>0</v>
      </c>
      <c r="T775" s="11">
        <v>836.91</v>
      </c>
      <c r="U775" s="13" cm="1">
        <f t="array" ref="U775">IF(Table8[[#This Row],[I_0]]&lt;Table24[Flitro de Ruido],1,Table8[[#This Row],[I_10]]/Table8[[#This Row],[I_0]])</f>
        <v>1</v>
      </c>
      <c r="V775" s="13" cm="1">
        <f t="array" ref="V775">IF(Table8[[#This Row],[I_0]]&lt;Table24[Flitro de Ruido],1,Table8[[#This Row],[I_20]]/Table8[[#This Row],[I_0]])</f>
        <v>1</v>
      </c>
      <c r="W775" s="13" cm="1">
        <f t="array" ref="W775">IF(Table8[[#This Row],[I_0]]&lt;Table24[Flitro de Ruido],1,Table8[[#This Row],[I_30]]/Table8[[#This Row],[I_0]])</f>
        <v>1</v>
      </c>
      <c r="X775" s="13" cm="1">
        <f t="array" ref="X775">IF(Table8[[#This Row],[I_0]]&lt;Table24[Flitro de Ruido],1,Table8[[#This Row],[I_40]]/Table8[[#This Row],[I_0]])</f>
        <v>1</v>
      </c>
      <c r="Y775" s="13" cm="1">
        <f t="array" ref="Y775">IF(Table8[[#This Row],[I_0]]&lt;Table24[Flitro de Ruido],1,Table8[[#This Row],[I_50]]/Table8[[#This Row],[I_0]])</f>
        <v>1</v>
      </c>
    </row>
    <row r="776" spans="1:25" x14ac:dyDescent="0.3">
      <c r="A776" s="13">
        <v>837.91</v>
      </c>
      <c r="B776" s="12">
        <v>0</v>
      </c>
      <c r="C776" s="11">
        <v>837.91</v>
      </c>
      <c r="D776" s="12">
        <v>0</v>
      </c>
      <c r="E776" s="11">
        <v>837.91</v>
      </c>
      <c r="F776" s="12">
        <v>0</v>
      </c>
      <c r="G776" s="11">
        <v>837.91</v>
      </c>
      <c r="H776" s="12">
        <v>0</v>
      </c>
      <c r="I776" s="11">
        <v>837.91</v>
      </c>
      <c r="J776" s="12">
        <v>0</v>
      </c>
      <c r="K776" s="11">
        <v>837.91</v>
      </c>
      <c r="L776" s="12">
        <v>0</v>
      </c>
      <c r="M776" s="11">
        <v>837.91</v>
      </c>
      <c r="N776" s="13">
        <v>0</v>
      </c>
      <c r="O776" s="11">
        <v>0</v>
      </c>
      <c r="P776" s="11">
        <v>0</v>
      </c>
      <c r="Q776" s="11">
        <v>0</v>
      </c>
      <c r="R776" s="11">
        <v>0</v>
      </c>
      <c r="S776" s="14">
        <v>0</v>
      </c>
      <c r="T776" s="11">
        <v>837.91</v>
      </c>
      <c r="U776" s="13" cm="1">
        <f t="array" ref="U776">IF(Table8[[#This Row],[I_0]]&lt;Table24[Flitro de Ruido],1,Table8[[#This Row],[I_10]]/Table8[[#This Row],[I_0]])</f>
        <v>1</v>
      </c>
      <c r="V776" s="13" cm="1">
        <f t="array" ref="V776">IF(Table8[[#This Row],[I_0]]&lt;Table24[Flitro de Ruido],1,Table8[[#This Row],[I_20]]/Table8[[#This Row],[I_0]])</f>
        <v>1</v>
      </c>
      <c r="W776" s="13" cm="1">
        <f t="array" ref="W776">IF(Table8[[#This Row],[I_0]]&lt;Table24[Flitro de Ruido],1,Table8[[#This Row],[I_30]]/Table8[[#This Row],[I_0]])</f>
        <v>1</v>
      </c>
      <c r="X776" s="13" cm="1">
        <f t="array" ref="X776">IF(Table8[[#This Row],[I_0]]&lt;Table24[Flitro de Ruido],1,Table8[[#This Row],[I_40]]/Table8[[#This Row],[I_0]])</f>
        <v>1</v>
      </c>
      <c r="Y776" s="13" cm="1">
        <f t="array" ref="Y776">IF(Table8[[#This Row],[I_0]]&lt;Table24[Flitro de Ruido],1,Table8[[#This Row],[I_50]]/Table8[[#This Row],[I_0]])</f>
        <v>1</v>
      </c>
    </row>
    <row r="777" spans="1:25" x14ac:dyDescent="0.3">
      <c r="A777" s="13">
        <v>838.9</v>
      </c>
      <c r="B777" s="12">
        <v>0</v>
      </c>
      <c r="C777" s="11">
        <v>838.9</v>
      </c>
      <c r="D777" s="12">
        <v>0</v>
      </c>
      <c r="E777" s="11">
        <v>838.9</v>
      </c>
      <c r="F777" s="12">
        <v>0</v>
      </c>
      <c r="G777" s="11">
        <v>838.9</v>
      </c>
      <c r="H777" s="12">
        <v>0</v>
      </c>
      <c r="I777" s="11">
        <v>838.9</v>
      </c>
      <c r="J777" s="12">
        <v>0</v>
      </c>
      <c r="K777" s="11">
        <v>838.9</v>
      </c>
      <c r="L777" s="12">
        <v>0</v>
      </c>
      <c r="M777" s="11">
        <v>838.9</v>
      </c>
      <c r="N777" s="13">
        <v>0</v>
      </c>
      <c r="O777" s="11">
        <v>0</v>
      </c>
      <c r="P777" s="11">
        <v>0</v>
      </c>
      <c r="Q777" s="11">
        <v>0</v>
      </c>
      <c r="R777" s="11">
        <v>0</v>
      </c>
      <c r="S777" s="14">
        <v>0</v>
      </c>
      <c r="T777" s="11">
        <v>838.9</v>
      </c>
      <c r="U777" s="13" cm="1">
        <f t="array" ref="U777">IF(Table8[[#This Row],[I_0]]&lt;Table24[Flitro de Ruido],1,Table8[[#This Row],[I_10]]/Table8[[#This Row],[I_0]])</f>
        <v>1</v>
      </c>
      <c r="V777" s="13" cm="1">
        <f t="array" ref="V777">IF(Table8[[#This Row],[I_0]]&lt;Table24[Flitro de Ruido],1,Table8[[#This Row],[I_20]]/Table8[[#This Row],[I_0]])</f>
        <v>1</v>
      </c>
      <c r="W777" s="13" cm="1">
        <f t="array" ref="W777">IF(Table8[[#This Row],[I_0]]&lt;Table24[Flitro de Ruido],1,Table8[[#This Row],[I_30]]/Table8[[#This Row],[I_0]])</f>
        <v>1</v>
      </c>
      <c r="X777" s="13" cm="1">
        <f t="array" ref="X777">IF(Table8[[#This Row],[I_0]]&lt;Table24[Flitro de Ruido],1,Table8[[#This Row],[I_40]]/Table8[[#This Row],[I_0]])</f>
        <v>1</v>
      </c>
      <c r="Y777" s="13" cm="1">
        <f t="array" ref="Y777">IF(Table8[[#This Row],[I_0]]&lt;Table24[Flitro de Ruido],1,Table8[[#This Row],[I_50]]/Table8[[#This Row],[I_0]])</f>
        <v>1</v>
      </c>
    </row>
    <row r="778" spans="1:25" x14ac:dyDescent="0.3">
      <c r="A778" s="13">
        <v>839.89</v>
      </c>
      <c r="B778" s="12">
        <v>0</v>
      </c>
      <c r="C778" s="11">
        <v>839.89</v>
      </c>
      <c r="D778" s="12">
        <v>0</v>
      </c>
      <c r="E778" s="11">
        <v>839.89</v>
      </c>
      <c r="F778" s="12">
        <v>0</v>
      </c>
      <c r="G778" s="11">
        <v>839.89</v>
      </c>
      <c r="H778" s="12">
        <v>0</v>
      </c>
      <c r="I778" s="11">
        <v>839.89</v>
      </c>
      <c r="J778" s="12">
        <v>0</v>
      </c>
      <c r="K778" s="11">
        <v>839.89</v>
      </c>
      <c r="L778" s="12">
        <v>0</v>
      </c>
      <c r="M778" s="11">
        <v>839.89</v>
      </c>
      <c r="N778" s="13">
        <v>0</v>
      </c>
      <c r="O778" s="11">
        <v>0</v>
      </c>
      <c r="P778" s="11">
        <v>0</v>
      </c>
      <c r="Q778" s="11">
        <v>0</v>
      </c>
      <c r="R778" s="11">
        <v>0</v>
      </c>
      <c r="S778" s="14">
        <v>0</v>
      </c>
      <c r="T778" s="11">
        <v>839.89</v>
      </c>
      <c r="U778" s="13" cm="1">
        <f t="array" ref="U778">IF(Table8[[#This Row],[I_0]]&lt;Table24[Flitro de Ruido],1,Table8[[#This Row],[I_10]]/Table8[[#This Row],[I_0]])</f>
        <v>1</v>
      </c>
      <c r="V778" s="13" cm="1">
        <f t="array" ref="V778">IF(Table8[[#This Row],[I_0]]&lt;Table24[Flitro de Ruido],1,Table8[[#This Row],[I_20]]/Table8[[#This Row],[I_0]])</f>
        <v>1</v>
      </c>
      <c r="W778" s="13" cm="1">
        <f t="array" ref="W778">IF(Table8[[#This Row],[I_0]]&lt;Table24[Flitro de Ruido],1,Table8[[#This Row],[I_30]]/Table8[[#This Row],[I_0]])</f>
        <v>1</v>
      </c>
      <c r="X778" s="13" cm="1">
        <f t="array" ref="X778">IF(Table8[[#This Row],[I_0]]&lt;Table24[Flitro de Ruido],1,Table8[[#This Row],[I_40]]/Table8[[#This Row],[I_0]])</f>
        <v>1</v>
      </c>
      <c r="Y778" s="13" cm="1">
        <f t="array" ref="Y778">IF(Table8[[#This Row],[I_0]]&lt;Table24[Flitro de Ruido],1,Table8[[#This Row],[I_50]]/Table8[[#This Row],[I_0]])</f>
        <v>1</v>
      </c>
    </row>
    <row r="779" spans="1:25" x14ac:dyDescent="0.3">
      <c r="A779" s="13">
        <v>840.88</v>
      </c>
      <c r="B779" s="12">
        <v>0</v>
      </c>
      <c r="C779" s="11">
        <v>840.88</v>
      </c>
      <c r="D779" s="12">
        <v>0</v>
      </c>
      <c r="E779" s="11">
        <v>840.88</v>
      </c>
      <c r="F779" s="12">
        <v>0</v>
      </c>
      <c r="G779" s="11">
        <v>840.88</v>
      </c>
      <c r="H779" s="12">
        <v>0</v>
      </c>
      <c r="I779" s="11">
        <v>840.88</v>
      </c>
      <c r="J779" s="12">
        <v>0</v>
      </c>
      <c r="K779" s="11">
        <v>840.88</v>
      </c>
      <c r="L779" s="12">
        <v>0</v>
      </c>
      <c r="M779" s="11">
        <v>840.88</v>
      </c>
      <c r="N779" s="13">
        <v>0</v>
      </c>
      <c r="O779" s="11">
        <v>0</v>
      </c>
      <c r="P779" s="11">
        <v>0</v>
      </c>
      <c r="Q779" s="11">
        <v>0</v>
      </c>
      <c r="R779" s="11">
        <v>0</v>
      </c>
      <c r="S779" s="14">
        <v>0</v>
      </c>
      <c r="T779" s="11">
        <v>840.88</v>
      </c>
      <c r="U779" s="13" cm="1">
        <f t="array" ref="U779">IF(Table8[[#This Row],[I_0]]&lt;Table24[Flitro de Ruido],1,Table8[[#This Row],[I_10]]/Table8[[#This Row],[I_0]])</f>
        <v>1</v>
      </c>
      <c r="V779" s="13" cm="1">
        <f t="array" ref="V779">IF(Table8[[#This Row],[I_0]]&lt;Table24[Flitro de Ruido],1,Table8[[#This Row],[I_20]]/Table8[[#This Row],[I_0]])</f>
        <v>1</v>
      </c>
      <c r="W779" s="13" cm="1">
        <f t="array" ref="W779">IF(Table8[[#This Row],[I_0]]&lt;Table24[Flitro de Ruido],1,Table8[[#This Row],[I_30]]/Table8[[#This Row],[I_0]])</f>
        <v>1</v>
      </c>
      <c r="X779" s="13" cm="1">
        <f t="array" ref="X779">IF(Table8[[#This Row],[I_0]]&lt;Table24[Flitro de Ruido],1,Table8[[#This Row],[I_40]]/Table8[[#This Row],[I_0]])</f>
        <v>1</v>
      </c>
      <c r="Y779" s="13" cm="1">
        <f t="array" ref="Y779">IF(Table8[[#This Row],[I_0]]&lt;Table24[Flitro de Ruido],1,Table8[[#This Row],[I_50]]/Table8[[#This Row],[I_0]])</f>
        <v>1</v>
      </c>
    </row>
    <row r="780" spans="1:25" x14ac:dyDescent="0.3">
      <c r="A780" s="13">
        <v>841.87</v>
      </c>
      <c r="B780" s="12">
        <v>0</v>
      </c>
      <c r="C780" s="11">
        <v>841.87</v>
      </c>
      <c r="D780" s="12">
        <v>0</v>
      </c>
      <c r="E780" s="11">
        <v>841.87</v>
      </c>
      <c r="F780" s="12">
        <v>0</v>
      </c>
      <c r="G780" s="11">
        <v>841.87</v>
      </c>
      <c r="H780" s="12">
        <v>0</v>
      </c>
      <c r="I780" s="11">
        <v>841.87</v>
      </c>
      <c r="J780" s="12">
        <v>0</v>
      </c>
      <c r="K780" s="11">
        <v>841.87</v>
      </c>
      <c r="L780" s="12">
        <v>0</v>
      </c>
      <c r="M780" s="11">
        <v>841.87</v>
      </c>
      <c r="N780" s="13">
        <v>0</v>
      </c>
      <c r="O780" s="11">
        <v>0</v>
      </c>
      <c r="P780" s="11">
        <v>0</v>
      </c>
      <c r="Q780" s="11">
        <v>0</v>
      </c>
      <c r="R780" s="11">
        <v>0</v>
      </c>
      <c r="S780" s="14">
        <v>0</v>
      </c>
      <c r="T780" s="11">
        <v>841.87</v>
      </c>
      <c r="U780" s="13" cm="1">
        <f t="array" ref="U780">IF(Table8[[#This Row],[I_0]]&lt;Table24[Flitro de Ruido],1,Table8[[#This Row],[I_10]]/Table8[[#This Row],[I_0]])</f>
        <v>1</v>
      </c>
      <c r="V780" s="13" cm="1">
        <f t="array" ref="V780">IF(Table8[[#This Row],[I_0]]&lt;Table24[Flitro de Ruido],1,Table8[[#This Row],[I_20]]/Table8[[#This Row],[I_0]])</f>
        <v>1</v>
      </c>
      <c r="W780" s="13" cm="1">
        <f t="array" ref="W780">IF(Table8[[#This Row],[I_0]]&lt;Table24[Flitro de Ruido],1,Table8[[#This Row],[I_30]]/Table8[[#This Row],[I_0]])</f>
        <v>1</v>
      </c>
      <c r="X780" s="13" cm="1">
        <f t="array" ref="X780">IF(Table8[[#This Row],[I_0]]&lt;Table24[Flitro de Ruido],1,Table8[[#This Row],[I_40]]/Table8[[#This Row],[I_0]])</f>
        <v>1</v>
      </c>
      <c r="Y780" s="13" cm="1">
        <f t="array" ref="Y780">IF(Table8[[#This Row],[I_0]]&lt;Table24[Flitro de Ruido],1,Table8[[#This Row],[I_50]]/Table8[[#This Row],[I_0]])</f>
        <v>1</v>
      </c>
    </row>
    <row r="781" spans="1:25" x14ac:dyDescent="0.3">
      <c r="A781" s="13">
        <v>842.87</v>
      </c>
      <c r="B781" s="12">
        <v>0</v>
      </c>
      <c r="C781" s="11">
        <v>842.87</v>
      </c>
      <c r="D781" s="12">
        <v>0</v>
      </c>
      <c r="E781" s="11">
        <v>842.87</v>
      </c>
      <c r="F781" s="12">
        <v>0</v>
      </c>
      <c r="G781" s="11">
        <v>842.87</v>
      </c>
      <c r="H781" s="12">
        <v>0</v>
      </c>
      <c r="I781" s="11">
        <v>842.87</v>
      </c>
      <c r="J781" s="12">
        <v>0</v>
      </c>
      <c r="K781" s="11">
        <v>842.87</v>
      </c>
      <c r="L781" s="12">
        <v>0</v>
      </c>
      <c r="M781" s="11">
        <v>842.87</v>
      </c>
      <c r="N781" s="13">
        <v>0</v>
      </c>
      <c r="O781" s="11">
        <v>0</v>
      </c>
      <c r="P781" s="11">
        <v>0</v>
      </c>
      <c r="Q781" s="11">
        <v>0</v>
      </c>
      <c r="R781" s="11">
        <v>0</v>
      </c>
      <c r="S781" s="14">
        <v>0</v>
      </c>
      <c r="T781" s="11">
        <v>842.87</v>
      </c>
      <c r="U781" s="13" cm="1">
        <f t="array" ref="U781">IF(Table8[[#This Row],[I_0]]&lt;Table24[Flitro de Ruido],1,Table8[[#This Row],[I_10]]/Table8[[#This Row],[I_0]])</f>
        <v>1</v>
      </c>
      <c r="V781" s="13" cm="1">
        <f t="array" ref="V781">IF(Table8[[#This Row],[I_0]]&lt;Table24[Flitro de Ruido],1,Table8[[#This Row],[I_20]]/Table8[[#This Row],[I_0]])</f>
        <v>1</v>
      </c>
      <c r="W781" s="13" cm="1">
        <f t="array" ref="W781">IF(Table8[[#This Row],[I_0]]&lt;Table24[Flitro de Ruido],1,Table8[[#This Row],[I_30]]/Table8[[#This Row],[I_0]])</f>
        <v>1</v>
      </c>
      <c r="X781" s="13" cm="1">
        <f t="array" ref="X781">IF(Table8[[#This Row],[I_0]]&lt;Table24[Flitro de Ruido],1,Table8[[#This Row],[I_40]]/Table8[[#This Row],[I_0]])</f>
        <v>1</v>
      </c>
      <c r="Y781" s="13" cm="1">
        <f t="array" ref="Y781">IF(Table8[[#This Row],[I_0]]&lt;Table24[Flitro de Ruido],1,Table8[[#This Row],[I_50]]/Table8[[#This Row],[I_0]])</f>
        <v>1</v>
      </c>
    </row>
    <row r="782" spans="1:25" x14ac:dyDescent="0.3">
      <c r="A782" s="13">
        <v>843.86</v>
      </c>
      <c r="B782" s="12">
        <v>0</v>
      </c>
      <c r="C782" s="11">
        <v>843.86</v>
      </c>
      <c r="D782" s="12">
        <v>0</v>
      </c>
      <c r="E782" s="11">
        <v>843.86</v>
      </c>
      <c r="F782" s="12">
        <v>0</v>
      </c>
      <c r="G782" s="11">
        <v>843.86</v>
      </c>
      <c r="H782" s="12">
        <v>0</v>
      </c>
      <c r="I782" s="11">
        <v>843.86</v>
      </c>
      <c r="J782" s="12">
        <v>0</v>
      </c>
      <c r="K782" s="11">
        <v>843.86</v>
      </c>
      <c r="L782" s="12">
        <v>0</v>
      </c>
      <c r="M782" s="11">
        <v>843.86</v>
      </c>
      <c r="N782" s="13">
        <v>0</v>
      </c>
      <c r="O782" s="11">
        <v>0</v>
      </c>
      <c r="P782" s="11">
        <v>0</v>
      </c>
      <c r="Q782" s="11">
        <v>0</v>
      </c>
      <c r="R782" s="11">
        <v>0</v>
      </c>
      <c r="S782" s="14">
        <v>0</v>
      </c>
      <c r="T782" s="11">
        <v>843.86</v>
      </c>
      <c r="U782" s="13" cm="1">
        <f t="array" ref="U782">IF(Table8[[#This Row],[I_0]]&lt;Table24[Flitro de Ruido],1,Table8[[#This Row],[I_10]]/Table8[[#This Row],[I_0]])</f>
        <v>1</v>
      </c>
      <c r="V782" s="13" cm="1">
        <f t="array" ref="V782">IF(Table8[[#This Row],[I_0]]&lt;Table24[Flitro de Ruido],1,Table8[[#This Row],[I_20]]/Table8[[#This Row],[I_0]])</f>
        <v>1</v>
      </c>
      <c r="W782" s="13" cm="1">
        <f t="array" ref="W782">IF(Table8[[#This Row],[I_0]]&lt;Table24[Flitro de Ruido],1,Table8[[#This Row],[I_30]]/Table8[[#This Row],[I_0]])</f>
        <v>1</v>
      </c>
      <c r="X782" s="13" cm="1">
        <f t="array" ref="X782">IF(Table8[[#This Row],[I_0]]&lt;Table24[Flitro de Ruido],1,Table8[[#This Row],[I_40]]/Table8[[#This Row],[I_0]])</f>
        <v>1</v>
      </c>
      <c r="Y782" s="13" cm="1">
        <f t="array" ref="Y782">IF(Table8[[#This Row],[I_0]]&lt;Table24[Flitro de Ruido],1,Table8[[#This Row],[I_50]]/Table8[[#This Row],[I_0]])</f>
        <v>1</v>
      </c>
    </row>
    <row r="783" spans="1:25" x14ac:dyDescent="0.3">
      <c r="A783" s="13">
        <v>844.85</v>
      </c>
      <c r="B783" s="12">
        <v>0</v>
      </c>
      <c r="C783" s="11">
        <v>844.85</v>
      </c>
      <c r="D783" s="12">
        <v>0</v>
      </c>
      <c r="E783" s="11">
        <v>844.85</v>
      </c>
      <c r="F783" s="12">
        <v>0</v>
      </c>
      <c r="G783" s="11">
        <v>844.85</v>
      </c>
      <c r="H783" s="12">
        <v>0</v>
      </c>
      <c r="I783" s="11">
        <v>844.85</v>
      </c>
      <c r="J783" s="12">
        <v>0</v>
      </c>
      <c r="K783" s="11">
        <v>844.85</v>
      </c>
      <c r="L783" s="12">
        <v>0</v>
      </c>
      <c r="M783" s="11">
        <v>844.85</v>
      </c>
      <c r="N783" s="13">
        <v>0</v>
      </c>
      <c r="O783" s="11">
        <v>0</v>
      </c>
      <c r="P783" s="11">
        <v>0</v>
      </c>
      <c r="Q783" s="11">
        <v>0</v>
      </c>
      <c r="R783" s="11">
        <v>0</v>
      </c>
      <c r="S783" s="14">
        <v>0</v>
      </c>
      <c r="T783" s="11">
        <v>844.85</v>
      </c>
      <c r="U783" s="13" cm="1">
        <f t="array" ref="U783">IF(Table8[[#This Row],[I_0]]&lt;Table24[Flitro de Ruido],1,Table8[[#This Row],[I_10]]/Table8[[#This Row],[I_0]])</f>
        <v>1</v>
      </c>
      <c r="V783" s="13" cm="1">
        <f t="array" ref="V783">IF(Table8[[#This Row],[I_0]]&lt;Table24[Flitro de Ruido],1,Table8[[#This Row],[I_20]]/Table8[[#This Row],[I_0]])</f>
        <v>1</v>
      </c>
      <c r="W783" s="13" cm="1">
        <f t="array" ref="W783">IF(Table8[[#This Row],[I_0]]&lt;Table24[Flitro de Ruido],1,Table8[[#This Row],[I_30]]/Table8[[#This Row],[I_0]])</f>
        <v>1</v>
      </c>
      <c r="X783" s="13" cm="1">
        <f t="array" ref="X783">IF(Table8[[#This Row],[I_0]]&lt;Table24[Flitro de Ruido],1,Table8[[#This Row],[I_40]]/Table8[[#This Row],[I_0]])</f>
        <v>1</v>
      </c>
      <c r="Y783" s="13" cm="1">
        <f t="array" ref="Y783">IF(Table8[[#This Row],[I_0]]&lt;Table24[Flitro de Ruido],1,Table8[[#This Row],[I_50]]/Table8[[#This Row],[I_0]])</f>
        <v>1</v>
      </c>
    </row>
    <row r="784" spans="1:25" x14ac:dyDescent="0.3">
      <c r="A784" s="13">
        <v>845.84</v>
      </c>
      <c r="B784" s="12">
        <v>0</v>
      </c>
      <c r="C784" s="11">
        <v>845.84</v>
      </c>
      <c r="D784" s="12">
        <v>0</v>
      </c>
      <c r="E784" s="11">
        <v>845.84</v>
      </c>
      <c r="F784" s="12">
        <v>0</v>
      </c>
      <c r="G784" s="11">
        <v>845.84</v>
      </c>
      <c r="H784" s="12">
        <v>0</v>
      </c>
      <c r="I784" s="11">
        <v>845.84</v>
      </c>
      <c r="J784" s="12">
        <v>0</v>
      </c>
      <c r="K784" s="11">
        <v>845.84</v>
      </c>
      <c r="L784" s="12">
        <v>0</v>
      </c>
      <c r="M784" s="11">
        <v>845.84</v>
      </c>
      <c r="N784" s="13">
        <v>0</v>
      </c>
      <c r="O784" s="11">
        <v>0</v>
      </c>
      <c r="P784" s="11">
        <v>0</v>
      </c>
      <c r="Q784" s="11">
        <v>0</v>
      </c>
      <c r="R784" s="11">
        <v>0</v>
      </c>
      <c r="S784" s="14">
        <v>0</v>
      </c>
      <c r="T784" s="11">
        <v>845.84</v>
      </c>
      <c r="U784" s="13" cm="1">
        <f t="array" ref="U784">IF(Table8[[#This Row],[I_0]]&lt;Table24[Flitro de Ruido],1,Table8[[#This Row],[I_10]]/Table8[[#This Row],[I_0]])</f>
        <v>1</v>
      </c>
      <c r="V784" s="13" cm="1">
        <f t="array" ref="V784">IF(Table8[[#This Row],[I_0]]&lt;Table24[Flitro de Ruido],1,Table8[[#This Row],[I_20]]/Table8[[#This Row],[I_0]])</f>
        <v>1</v>
      </c>
      <c r="W784" s="13" cm="1">
        <f t="array" ref="W784">IF(Table8[[#This Row],[I_0]]&lt;Table24[Flitro de Ruido],1,Table8[[#This Row],[I_30]]/Table8[[#This Row],[I_0]])</f>
        <v>1</v>
      </c>
      <c r="X784" s="13" cm="1">
        <f t="array" ref="X784">IF(Table8[[#This Row],[I_0]]&lt;Table24[Flitro de Ruido],1,Table8[[#This Row],[I_40]]/Table8[[#This Row],[I_0]])</f>
        <v>1</v>
      </c>
      <c r="Y784" s="13" cm="1">
        <f t="array" ref="Y784">IF(Table8[[#This Row],[I_0]]&lt;Table24[Flitro de Ruido],1,Table8[[#This Row],[I_50]]/Table8[[#This Row],[I_0]])</f>
        <v>1</v>
      </c>
    </row>
    <row r="785" spans="1:25" x14ac:dyDescent="0.3">
      <c r="A785" s="13">
        <v>846.83</v>
      </c>
      <c r="B785" s="12">
        <v>0</v>
      </c>
      <c r="C785" s="11">
        <v>846.83</v>
      </c>
      <c r="D785" s="12">
        <v>0</v>
      </c>
      <c r="E785" s="11">
        <v>846.83</v>
      </c>
      <c r="F785" s="12">
        <v>0</v>
      </c>
      <c r="G785" s="11">
        <v>846.83</v>
      </c>
      <c r="H785" s="12">
        <v>0</v>
      </c>
      <c r="I785" s="11">
        <v>846.83</v>
      </c>
      <c r="J785" s="12">
        <v>0</v>
      </c>
      <c r="K785" s="11">
        <v>846.83</v>
      </c>
      <c r="L785" s="12">
        <v>0</v>
      </c>
      <c r="M785" s="11">
        <v>846.83</v>
      </c>
      <c r="N785" s="13">
        <v>0</v>
      </c>
      <c r="O785" s="11">
        <v>0</v>
      </c>
      <c r="P785" s="11">
        <v>0</v>
      </c>
      <c r="Q785" s="11">
        <v>0</v>
      </c>
      <c r="R785" s="11">
        <v>0</v>
      </c>
      <c r="S785" s="14">
        <v>0</v>
      </c>
      <c r="T785" s="11">
        <v>846.83</v>
      </c>
      <c r="U785" s="13" cm="1">
        <f t="array" ref="U785">IF(Table8[[#This Row],[I_0]]&lt;Table24[Flitro de Ruido],1,Table8[[#This Row],[I_10]]/Table8[[#This Row],[I_0]])</f>
        <v>1</v>
      </c>
      <c r="V785" s="13" cm="1">
        <f t="array" ref="V785">IF(Table8[[#This Row],[I_0]]&lt;Table24[Flitro de Ruido],1,Table8[[#This Row],[I_20]]/Table8[[#This Row],[I_0]])</f>
        <v>1</v>
      </c>
      <c r="W785" s="13" cm="1">
        <f t="array" ref="W785">IF(Table8[[#This Row],[I_0]]&lt;Table24[Flitro de Ruido],1,Table8[[#This Row],[I_30]]/Table8[[#This Row],[I_0]])</f>
        <v>1</v>
      </c>
      <c r="X785" s="13" cm="1">
        <f t="array" ref="X785">IF(Table8[[#This Row],[I_0]]&lt;Table24[Flitro de Ruido],1,Table8[[#This Row],[I_40]]/Table8[[#This Row],[I_0]])</f>
        <v>1</v>
      </c>
      <c r="Y785" s="13" cm="1">
        <f t="array" ref="Y785">IF(Table8[[#This Row],[I_0]]&lt;Table24[Flitro de Ruido],1,Table8[[#This Row],[I_50]]/Table8[[#This Row],[I_0]])</f>
        <v>1</v>
      </c>
    </row>
    <row r="786" spans="1:25" x14ac:dyDescent="0.3">
      <c r="A786" s="13">
        <v>847.82</v>
      </c>
      <c r="B786" s="12">
        <v>0</v>
      </c>
      <c r="C786" s="11">
        <v>847.82</v>
      </c>
      <c r="D786" s="12">
        <v>0</v>
      </c>
      <c r="E786" s="11">
        <v>847.82</v>
      </c>
      <c r="F786" s="12">
        <v>0</v>
      </c>
      <c r="G786" s="11">
        <v>847.82</v>
      </c>
      <c r="H786" s="12">
        <v>0</v>
      </c>
      <c r="I786" s="11">
        <v>847.82</v>
      </c>
      <c r="J786" s="12">
        <v>0</v>
      </c>
      <c r="K786" s="11">
        <v>847.82</v>
      </c>
      <c r="L786" s="12">
        <v>0</v>
      </c>
      <c r="M786" s="11">
        <v>847.82</v>
      </c>
      <c r="N786" s="13">
        <v>0</v>
      </c>
      <c r="O786" s="11">
        <v>0</v>
      </c>
      <c r="P786" s="11">
        <v>0</v>
      </c>
      <c r="Q786" s="11">
        <v>0</v>
      </c>
      <c r="R786" s="11">
        <v>0</v>
      </c>
      <c r="S786" s="14">
        <v>0</v>
      </c>
      <c r="T786" s="11">
        <v>847.82</v>
      </c>
      <c r="U786" s="13" cm="1">
        <f t="array" ref="U786">IF(Table8[[#This Row],[I_0]]&lt;Table24[Flitro de Ruido],1,Table8[[#This Row],[I_10]]/Table8[[#This Row],[I_0]])</f>
        <v>1</v>
      </c>
      <c r="V786" s="13" cm="1">
        <f t="array" ref="V786">IF(Table8[[#This Row],[I_0]]&lt;Table24[Flitro de Ruido],1,Table8[[#This Row],[I_20]]/Table8[[#This Row],[I_0]])</f>
        <v>1</v>
      </c>
      <c r="W786" s="13" cm="1">
        <f t="array" ref="W786">IF(Table8[[#This Row],[I_0]]&lt;Table24[Flitro de Ruido],1,Table8[[#This Row],[I_30]]/Table8[[#This Row],[I_0]])</f>
        <v>1</v>
      </c>
      <c r="X786" s="13" cm="1">
        <f t="array" ref="X786">IF(Table8[[#This Row],[I_0]]&lt;Table24[Flitro de Ruido],1,Table8[[#This Row],[I_40]]/Table8[[#This Row],[I_0]])</f>
        <v>1</v>
      </c>
      <c r="Y786" s="13" cm="1">
        <f t="array" ref="Y786">IF(Table8[[#This Row],[I_0]]&lt;Table24[Flitro de Ruido],1,Table8[[#This Row],[I_50]]/Table8[[#This Row],[I_0]])</f>
        <v>1</v>
      </c>
    </row>
    <row r="787" spans="1:25" x14ac:dyDescent="0.3">
      <c r="A787" s="13">
        <v>848.82</v>
      </c>
      <c r="B787" s="12">
        <v>0</v>
      </c>
      <c r="C787" s="11">
        <v>848.82</v>
      </c>
      <c r="D787" s="12">
        <v>0</v>
      </c>
      <c r="E787" s="11">
        <v>848.82</v>
      </c>
      <c r="F787" s="12">
        <v>0</v>
      </c>
      <c r="G787" s="11">
        <v>848.82</v>
      </c>
      <c r="H787" s="12">
        <v>0</v>
      </c>
      <c r="I787" s="11">
        <v>848.82</v>
      </c>
      <c r="J787" s="12">
        <v>0</v>
      </c>
      <c r="K787" s="11">
        <v>848.82</v>
      </c>
      <c r="L787" s="12">
        <v>0</v>
      </c>
      <c r="M787" s="11">
        <v>848.82</v>
      </c>
      <c r="N787" s="13">
        <v>0</v>
      </c>
      <c r="O787" s="11">
        <v>0</v>
      </c>
      <c r="P787" s="11">
        <v>0</v>
      </c>
      <c r="Q787" s="11">
        <v>0</v>
      </c>
      <c r="R787" s="11">
        <v>0</v>
      </c>
      <c r="S787" s="14">
        <v>0</v>
      </c>
      <c r="T787" s="11">
        <v>848.82</v>
      </c>
      <c r="U787" s="13" cm="1">
        <f t="array" ref="U787">IF(Table8[[#This Row],[I_0]]&lt;Table24[Flitro de Ruido],1,Table8[[#This Row],[I_10]]/Table8[[#This Row],[I_0]])</f>
        <v>1</v>
      </c>
      <c r="V787" s="13" cm="1">
        <f t="array" ref="V787">IF(Table8[[#This Row],[I_0]]&lt;Table24[Flitro de Ruido],1,Table8[[#This Row],[I_20]]/Table8[[#This Row],[I_0]])</f>
        <v>1</v>
      </c>
      <c r="W787" s="13" cm="1">
        <f t="array" ref="W787">IF(Table8[[#This Row],[I_0]]&lt;Table24[Flitro de Ruido],1,Table8[[#This Row],[I_30]]/Table8[[#This Row],[I_0]])</f>
        <v>1</v>
      </c>
      <c r="X787" s="13" cm="1">
        <f t="array" ref="X787">IF(Table8[[#This Row],[I_0]]&lt;Table24[Flitro de Ruido],1,Table8[[#This Row],[I_40]]/Table8[[#This Row],[I_0]])</f>
        <v>1</v>
      </c>
      <c r="Y787" s="13" cm="1">
        <f t="array" ref="Y787">IF(Table8[[#This Row],[I_0]]&lt;Table24[Flitro de Ruido],1,Table8[[#This Row],[I_50]]/Table8[[#This Row],[I_0]])</f>
        <v>1</v>
      </c>
    </row>
    <row r="788" spans="1:25" x14ac:dyDescent="0.3">
      <c r="A788" s="13">
        <v>849.81</v>
      </c>
      <c r="B788" s="12">
        <v>0</v>
      </c>
      <c r="C788" s="11">
        <v>849.81</v>
      </c>
      <c r="D788" s="12">
        <v>0</v>
      </c>
      <c r="E788" s="11">
        <v>849.81</v>
      </c>
      <c r="F788" s="12">
        <v>0</v>
      </c>
      <c r="G788" s="11">
        <v>849.81</v>
      </c>
      <c r="H788" s="12">
        <v>0</v>
      </c>
      <c r="I788" s="11">
        <v>849.81</v>
      </c>
      <c r="J788" s="12">
        <v>0</v>
      </c>
      <c r="K788" s="11">
        <v>849.81</v>
      </c>
      <c r="L788" s="12">
        <v>0</v>
      </c>
      <c r="M788" s="11">
        <v>849.81</v>
      </c>
      <c r="N788" s="13">
        <v>0</v>
      </c>
      <c r="O788" s="11">
        <v>0</v>
      </c>
      <c r="P788" s="11">
        <v>0</v>
      </c>
      <c r="Q788" s="11">
        <v>0</v>
      </c>
      <c r="R788" s="11">
        <v>0</v>
      </c>
      <c r="S788" s="14">
        <v>0</v>
      </c>
      <c r="T788" s="11">
        <v>849.81</v>
      </c>
      <c r="U788" s="13" cm="1">
        <f t="array" ref="U788">IF(Table8[[#This Row],[I_0]]&lt;Table24[Flitro de Ruido],1,Table8[[#This Row],[I_10]]/Table8[[#This Row],[I_0]])</f>
        <v>1</v>
      </c>
      <c r="V788" s="13" cm="1">
        <f t="array" ref="V788">IF(Table8[[#This Row],[I_0]]&lt;Table24[Flitro de Ruido],1,Table8[[#This Row],[I_20]]/Table8[[#This Row],[I_0]])</f>
        <v>1</v>
      </c>
      <c r="W788" s="13" cm="1">
        <f t="array" ref="W788">IF(Table8[[#This Row],[I_0]]&lt;Table24[Flitro de Ruido],1,Table8[[#This Row],[I_30]]/Table8[[#This Row],[I_0]])</f>
        <v>1</v>
      </c>
      <c r="X788" s="13" cm="1">
        <f t="array" ref="X788">IF(Table8[[#This Row],[I_0]]&lt;Table24[Flitro de Ruido],1,Table8[[#This Row],[I_40]]/Table8[[#This Row],[I_0]])</f>
        <v>1</v>
      </c>
      <c r="Y788" s="13" cm="1">
        <f t="array" ref="Y788">IF(Table8[[#This Row],[I_0]]&lt;Table24[Flitro de Ruido],1,Table8[[#This Row],[I_50]]/Table8[[#This Row],[I_0]])</f>
        <v>1</v>
      </c>
    </row>
    <row r="789" spans="1:25" x14ac:dyDescent="0.3">
      <c r="A789" s="13">
        <v>850.8</v>
      </c>
      <c r="B789" s="12">
        <v>0</v>
      </c>
      <c r="C789" s="11">
        <v>850.8</v>
      </c>
      <c r="D789" s="12">
        <v>0</v>
      </c>
      <c r="E789" s="11">
        <v>850.8</v>
      </c>
      <c r="F789" s="12">
        <v>0</v>
      </c>
      <c r="G789" s="11">
        <v>850.8</v>
      </c>
      <c r="H789" s="12">
        <v>0</v>
      </c>
      <c r="I789" s="11">
        <v>850.8</v>
      </c>
      <c r="J789" s="12">
        <v>0</v>
      </c>
      <c r="K789" s="11">
        <v>850.8</v>
      </c>
      <c r="L789" s="12">
        <v>0</v>
      </c>
      <c r="M789" s="11">
        <v>850.8</v>
      </c>
      <c r="N789" s="13">
        <v>0</v>
      </c>
      <c r="O789" s="11">
        <v>0</v>
      </c>
      <c r="P789" s="11">
        <v>0</v>
      </c>
      <c r="Q789" s="11">
        <v>0</v>
      </c>
      <c r="R789" s="11">
        <v>0</v>
      </c>
      <c r="S789" s="14">
        <v>0</v>
      </c>
      <c r="T789" s="11">
        <v>850.8</v>
      </c>
      <c r="U789" s="13" cm="1">
        <f t="array" ref="U789">IF(Table8[[#This Row],[I_0]]&lt;Table24[Flitro de Ruido],1,Table8[[#This Row],[I_10]]/Table8[[#This Row],[I_0]])</f>
        <v>1</v>
      </c>
      <c r="V789" s="13" cm="1">
        <f t="array" ref="V789">IF(Table8[[#This Row],[I_0]]&lt;Table24[Flitro de Ruido],1,Table8[[#This Row],[I_20]]/Table8[[#This Row],[I_0]])</f>
        <v>1</v>
      </c>
      <c r="W789" s="13" cm="1">
        <f t="array" ref="W789">IF(Table8[[#This Row],[I_0]]&lt;Table24[Flitro de Ruido],1,Table8[[#This Row],[I_30]]/Table8[[#This Row],[I_0]])</f>
        <v>1</v>
      </c>
      <c r="X789" s="13" cm="1">
        <f t="array" ref="X789">IF(Table8[[#This Row],[I_0]]&lt;Table24[Flitro de Ruido],1,Table8[[#This Row],[I_40]]/Table8[[#This Row],[I_0]])</f>
        <v>1</v>
      </c>
      <c r="Y789" s="13" cm="1">
        <f t="array" ref="Y789">IF(Table8[[#This Row],[I_0]]&lt;Table24[Flitro de Ruido],1,Table8[[#This Row],[I_50]]/Table8[[#This Row],[I_0]])</f>
        <v>1</v>
      </c>
    </row>
    <row r="790" spans="1:25" x14ac:dyDescent="0.3">
      <c r="A790" s="13">
        <v>851.79</v>
      </c>
      <c r="B790" s="12">
        <v>0</v>
      </c>
      <c r="C790" s="11">
        <v>851.79</v>
      </c>
      <c r="D790" s="12">
        <v>0</v>
      </c>
      <c r="E790" s="11">
        <v>851.79</v>
      </c>
      <c r="F790" s="12">
        <v>0</v>
      </c>
      <c r="G790" s="11">
        <v>851.79</v>
      </c>
      <c r="H790" s="12">
        <v>0</v>
      </c>
      <c r="I790" s="11">
        <v>851.79</v>
      </c>
      <c r="J790" s="12">
        <v>0</v>
      </c>
      <c r="K790" s="11">
        <v>851.79</v>
      </c>
      <c r="L790" s="12">
        <v>0</v>
      </c>
      <c r="M790" s="11">
        <v>851.79</v>
      </c>
      <c r="N790" s="13">
        <v>0</v>
      </c>
      <c r="O790" s="11">
        <v>0</v>
      </c>
      <c r="P790" s="11">
        <v>0</v>
      </c>
      <c r="Q790" s="11">
        <v>0</v>
      </c>
      <c r="R790" s="11">
        <v>0</v>
      </c>
      <c r="S790" s="14">
        <v>0</v>
      </c>
      <c r="T790" s="11">
        <v>851.79</v>
      </c>
      <c r="U790" s="13" cm="1">
        <f t="array" ref="U790">IF(Table8[[#This Row],[I_0]]&lt;Table24[Flitro de Ruido],1,Table8[[#This Row],[I_10]]/Table8[[#This Row],[I_0]])</f>
        <v>1</v>
      </c>
      <c r="V790" s="13" cm="1">
        <f t="array" ref="V790">IF(Table8[[#This Row],[I_0]]&lt;Table24[Flitro de Ruido],1,Table8[[#This Row],[I_20]]/Table8[[#This Row],[I_0]])</f>
        <v>1</v>
      </c>
      <c r="W790" s="13" cm="1">
        <f t="array" ref="W790">IF(Table8[[#This Row],[I_0]]&lt;Table24[Flitro de Ruido],1,Table8[[#This Row],[I_30]]/Table8[[#This Row],[I_0]])</f>
        <v>1</v>
      </c>
      <c r="X790" s="13" cm="1">
        <f t="array" ref="X790">IF(Table8[[#This Row],[I_0]]&lt;Table24[Flitro de Ruido],1,Table8[[#This Row],[I_40]]/Table8[[#This Row],[I_0]])</f>
        <v>1</v>
      </c>
      <c r="Y790" s="13" cm="1">
        <f t="array" ref="Y790">IF(Table8[[#This Row],[I_0]]&lt;Table24[Flitro de Ruido],1,Table8[[#This Row],[I_50]]/Table8[[#This Row],[I_0]])</f>
        <v>1</v>
      </c>
    </row>
    <row r="791" spans="1:25" x14ac:dyDescent="0.3">
      <c r="A791" s="13">
        <v>852.78</v>
      </c>
      <c r="B791" s="12">
        <v>0</v>
      </c>
      <c r="C791" s="11">
        <v>852.78</v>
      </c>
      <c r="D791" s="12">
        <v>0</v>
      </c>
      <c r="E791" s="11">
        <v>852.78</v>
      </c>
      <c r="F791" s="12">
        <v>0</v>
      </c>
      <c r="G791" s="11">
        <v>852.78</v>
      </c>
      <c r="H791" s="12">
        <v>0</v>
      </c>
      <c r="I791" s="11">
        <v>852.78</v>
      </c>
      <c r="J791" s="12">
        <v>0</v>
      </c>
      <c r="K791" s="11">
        <v>852.78</v>
      </c>
      <c r="L791" s="12">
        <v>0</v>
      </c>
      <c r="M791" s="11">
        <v>852.78</v>
      </c>
      <c r="N791" s="13">
        <v>0</v>
      </c>
      <c r="O791" s="11">
        <v>0</v>
      </c>
      <c r="P791" s="11">
        <v>0</v>
      </c>
      <c r="Q791" s="11">
        <v>0</v>
      </c>
      <c r="R791" s="11">
        <v>0</v>
      </c>
      <c r="S791" s="14">
        <v>0</v>
      </c>
      <c r="T791" s="11">
        <v>852.78</v>
      </c>
      <c r="U791" s="13" cm="1">
        <f t="array" ref="U791">IF(Table8[[#This Row],[I_0]]&lt;Table24[Flitro de Ruido],1,Table8[[#This Row],[I_10]]/Table8[[#This Row],[I_0]])</f>
        <v>1</v>
      </c>
      <c r="V791" s="13" cm="1">
        <f t="array" ref="V791">IF(Table8[[#This Row],[I_0]]&lt;Table24[Flitro de Ruido],1,Table8[[#This Row],[I_20]]/Table8[[#This Row],[I_0]])</f>
        <v>1</v>
      </c>
      <c r="W791" s="13" cm="1">
        <f t="array" ref="W791">IF(Table8[[#This Row],[I_0]]&lt;Table24[Flitro de Ruido],1,Table8[[#This Row],[I_30]]/Table8[[#This Row],[I_0]])</f>
        <v>1</v>
      </c>
      <c r="X791" s="13" cm="1">
        <f t="array" ref="X791">IF(Table8[[#This Row],[I_0]]&lt;Table24[Flitro de Ruido],1,Table8[[#This Row],[I_40]]/Table8[[#This Row],[I_0]])</f>
        <v>1</v>
      </c>
      <c r="Y791" s="13" cm="1">
        <f t="array" ref="Y791">IF(Table8[[#This Row],[I_0]]&lt;Table24[Flitro de Ruido],1,Table8[[#This Row],[I_50]]/Table8[[#This Row],[I_0]])</f>
        <v>1</v>
      </c>
    </row>
    <row r="792" spans="1:25" x14ac:dyDescent="0.3">
      <c r="A792" s="13">
        <v>853.77</v>
      </c>
      <c r="B792" s="12">
        <v>0</v>
      </c>
      <c r="C792" s="11">
        <v>853.77</v>
      </c>
      <c r="D792" s="12">
        <v>0</v>
      </c>
      <c r="E792" s="11">
        <v>853.77</v>
      </c>
      <c r="F792" s="12">
        <v>0</v>
      </c>
      <c r="G792" s="11">
        <v>853.77</v>
      </c>
      <c r="H792" s="12">
        <v>0</v>
      </c>
      <c r="I792" s="11">
        <v>853.77</v>
      </c>
      <c r="J792" s="12">
        <v>0</v>
      </c>
      <c r="K792" s="11">
        <v>853.77</v>
      </c>
      <c r="L792" s="12">
        <v>0</v>
      </c>
      <c r="M792" s="11">
        <v>853.77</v>
      </c>
      <c r="N792" s="13">
        <v>0</v>
      </c>
      <c r="O792" s="11">
        <v>0</v>
      </c>
      <c r="P792" s="11">
        <v>0</v>
      </c>
      <c r="Q792" s="11">
        <v>0</v>
      </c>
      <c r="R792" s="11">
        <v>0</v>
      </c>
      <c r="S792" s="14">
        <v>0</v>
      </c>
      <c r="T792" s="11">
        <v>853.77</v>
      </c>
      <c r="U792" s="13" cm="1">
        <f t="array" ref="U792">IF(Table8[[#This Row],[I_0]]&lt;Table24[Flitro de Ruido],1,Table8[[#This Row],[I_10]]/Table8[[#This Row],[I_0]])</f>
        <v>1</v>
      </c>
      <c r="V792" s="13" cm="1">
        <f t="array" ref="V792">IF(Table8[[#This Row],[I_0]]&lt;Table24[Flitro de Ruido],1,Table8[[#This Row],[I_20]]/Table8[[#This Row],[I_0]])</f>
        <v>1</v>
      </c>
      <c r="W792" s="13" cm="1">
        <f t="array" ref="W792">IF(Table8[[#This Row],[I_0]]&lt;Table24[Flitro de Ruido],1,Table8[[#This Row],[I_30]]/Table8[[#This Row],[I_0]])</f>
        <v>1</v>
      </c>
      <c r="X792" s="13" cm="1">
        <f t="array" ref="X792">IF(Table8[[#This Row],[I_0]]&lt;Table24[Flitro de Ruido],1,Table8[[#This Row],[I_40]]/Table8[[#This Row],[I_0]])</f>
        <v>1</v>
      </c>
      <c r="Y792" s="13" cm="1">
        <f t="array" ref="Y792">IF(Table8[[#This Row],[I_0]]&lt;Table24[Flitro de Ruido],1,Table8[[#This Row],[I_50]]/Table8[[#This Row],[I_0]])</f>
        <v>1</v>
      </c>
    </row>
    <row r="793" spans="1:25" x14ac:dyDescent="0.3">
      <c r="A793" s="13">
        <v>854.77</v>
      </c>
      <c r="B793" s="12">
        <v>0</v>
      </c>
      <c r="C793" s="11">
        <v>854.77</v>
      </c>
      <c r="D793" s="12">
        <v>0</v>
      </c>
      <c r="E793" s="11">
        <v>854.77</v>
      </c>
      <c r="F793" s="12">
        <v>0</v>
      </c>
      <c r="G793" s="11">
        <v>854.77</v>
      </c>
      <c r="H793" s="12">
        <v>0</v>
      </c>
      <c r="I793" s="11">
        <v>854.77</v>
      </c>
      <c r="J793" s="12">
        <v>0</v>
      </c>
      <c r="K793" s="11">
        <v>854.77</v>
      </c>
      <c r="L793" s="12">
        <v>0</v>
      </c>
      <c r="M793" s="11">
        <v>854.77</v>
      </c>
      <c r="N793" s="13">
        <v>0</v>
      </c>
      <c r="O793" s="11">
        <v>0</v>
      </c>
      <c r="P793" s="11">
        <v>0</v>
      </c>
      <c r="Q793" s="11">
        <v>0</v>
      </c>
      <c r="R793" s="11">
        <v>0</v>
      </c>
      <c r="S793" s="14">
        <v>0</v>
      </c>
      <c r="T793" s="11">
        <v>854.77</v>
      </c>
      <c r="U793" s="13" cm="1">
        <f t="array" ref="U793">IF(Table8[[#This Row],[I_0]]&lt;Table24[Flitro de Ruido],1,Table8[[#This Row],[I_10]]/Table8[[#This Row],[I_0]])</f>
        <v>1</v>
      </c>
      <c r="V793" s="13" cm="1">
        <f t="array" ref="V793">IF(Table8[[#This Row],[I_0]]&lt;Table24[Flitro de Ruido],1,Table8[[#This Row],[I_20]]/Table8[[#This Row],[I_0]])</f>
        <v>1</v>
      </c>
      <c r="W793" s="13" cm="1">
        <f t="array" ref="W793">IF(Table8[[#This Row],[I_0]]&lt;Table24[Flitro de Ruido],1,Table8[[#This Row],[I_30]]/Table8[[#This Row],[I_0]])</f>
        <v>1</v>
      </c>
      <c r="X793" s="13" cm="1">
        <f t="array" ref="X793">IF(Table8[[#This Row],[I_0]]&lt;Table24[Flitro de Ruido],1,Table8[[#This Row],[I_40]]/Table8[[#This Row],[I_0]])</f>
        <v>1</v>
      </c>
      <c r="Y793" s="13" cm="1">
        <f t="array" ref="Y793">IF(Table8[[#This Row],[I_0]]&lt;Table24[Flitro de Ruido],1,Table8[[#This Row],[I_50]]/Table8[[#This Row],[I_0]])</f>
        <v>1</v>
      </c>
    </row>
    <row r="794" spans="1:25" x14ac:dyDescent="0.3">
      <c r="A794" s="13">
        <v>855.76</v>
      </c>
      <c r="B794" s="12">
        <v>0</v>
      </c>
      <c r="C794" s="11">
        <v>855.76</v>
      </c>
      <c r="D794" s="12">
        <v>0</v>
      </c>
      <c r="E794" s="11">
        <v>855.76</v>
      </c>
      <c r="F794" s="12">
        <v>0</v>
      </c>
      <c r="G794" s="11">
        <v>855.76</v>
      </c>
      <c r="H794" s="12">
        <v>0</v>
      </c>
      <c r="I794" s="11">
        <v>855.76</v>
      </c>
      <c r="J794" s="12">
        <v>0</v>
      </c>
      <c r="K794" s="11">
        <v>855.76</v>
      </c>
      <c r="L794" s="12">
        <v>0</v>
      </c>
      <c r="M794" s="11">
        <v>855.76</v>
      </c>
      <c r="N794" s="13">
        <v>0</v>
      </c>
      <c r="O794" s="11">
        <v>0</v>
      </c>
      <c r="P794" s="11">
        <v>0</v>
      </c>
      <c r="Q794" s="11">
        <v>0</v>
      </c>
      <c r="R794" s="11">
        <v>0</v>
      </c>
      <c r="S794" s="14">
        <v>0</v>
      </c>
      <c r="T794" s="11">
        <v>855.76</v>
      </c>
      <c r="U794" s="13" cm="1">
        <f t="array" ref="U794">IF(Table8[[#This Row],[I_0]]&lt;Table24[Flitro de Ruido],1,Table8[[#This Row],[I_10]]/Table8[[#This Row],[I_0]])</f>
        <v>1</v>
      </c>
      <c r="V794" s="13" cm="1">
        <f t="array" ref="V794">IF(Table8[[#This Row],[I_0]]&lt;Table24[Flitro de Ruido],1,Table8[[#This Row],[I_20]]/Table8[[#This Row],[I_0]])</f>
        <v>1</v>
      </c>
      <c r="W794" s="13" cm="1">
        <f t="array" ref="W794">IF(Table8[[#This Row],[I_0]]&lt;Table24[Flitro de Ruido],1,Table8[[#This Row],[I_30]]/Table8[[#This Row],[I_0]])</f>
        <v>1</v>
      </c>
      <c r="X794" s="13" cm="1">
        <f t="array" ref="X794">IF(Table8[[#This Row],[I_0]]&lt;Table24[Flitro de Ruido],1,Table8[[#This Row],[I_40]]/Table8[[#This Row],[I_0]])</f>
        <v>1</v>
      </c>
      <c r="Y794" s="13" cm="1">
        <f t="array" ref="Y794">IF(Table8[[#This Row],[I_0]]&lt;Table24[Flitro de Ruido],1,Table8[[#This Row],[I_50]]/Table8[[#This Row],[I_0]])</f>
        <v>1</v>
      </c>
    </row>
    <row r="795" spans="1:25" x14ac:dyDescent="0.3">
      <c r="A795" s="13">
        <v>856.75</v>
      </c>
      <c r="B795" s="12">
        <v>0</v>
      </c>
      <c r="C795" s="11">
        <v>856.75</v>
      </c>
      <c r="D795" s="12">
        <v>0</v>
      </c>
      <c r="E795" s="11">
        <v>856.75</v>
      </c>
      <c r="F795" s="12">
        <v>0</v>
      </c>
      <c r="G795" s="11">
        <v>856.75</v>
      </c>
      <c r="H795" s="12">
        <v>0</v>
      </c>
      <c r="I795" s="11">
        <v>856.75</v>
      </c>
      <c r="J795" s="12">
        <v>0</v>
      </c>
      <c r="K795" s="11">
        <v>856.75</v>
      </c>
      <c r="L795" s="12">
        <v>0</v>
      </c>
      <c r="M795" s="11">
        <v>856.75</v>
      </c>
      <c r="N795" s="13">
        <v>0</v>
      </c>
      <c r="O795" s="11">
        <v>0</v>
      </c>
      <c r="P795" s="11">
        <v>0</v>
      </c>
      <c r="Q795" s="11">
        <v>0</v>
      </c>
      <c r="R795" s="11">
        <v>0</v>
      </c>
      <c r="S795" s="14">
        <v>0</v>
      </c>
      <c r="T795" s="11">
        <v>856.75</v>
      </c>
      <c r="U795" s="13" cm="1">
        <f t="array" ref="U795">IF(Table8[[#This Row],[I_0]]&lt;Table24[Flitro de Ruido],1,Table8[[#This Row],[I_10]]/Table8[[#This Row],[I_0]])</f>
        <v>1</v>
      </c>
      <c r="V795" s="13" cm="1">
        <f t="array" ref="V795">IF(Table8[[#This Row],[I_0]]&lt;Table24[Flitro de Ruido],1,Table8[[#This Row],[I_20]]/Table8[[#This Row],[I_0]])</f>
        <v>1</v>
      </c>
      <c r="W795" s="13" cm="1">
        <f t="array" ref="W795">IF(Table8[[#This Row],[I_0]]&lt;Table24[Flitro de Ruido],1,Table8[[#This Row],[I_30]]/Table8[[#This Row],[I_0]])</f>
        <v>1</v>
      </c>
      <c r="X795" s="13" cm="1">
        <f t="array" ref="X795">IF(Table8[[#This Row],[I_0]]&lt;Table24[Flitro de Ruido],1,Table8[[#This Row],[I_40]]/Table8[[#This Row],[I_0]])</f>
        <v>1</v>
      </c>
      <c r="Y795" s="13" cm="1">
        <f t="array" ref="Y795">IF(Table8[[#This Row],[I_0]]&lt;Table24[Flitro de Ruido],1,Table8[[#This Row],[I_50]]/Table8[[#This Row],[I_0]])</f>
        <v>1</v>
      </c>
    </row>
    <row r="796" spans="1:25" x14ac:dyDescent="0.3">
      <c r="A796" s="13">
        <v>857.74</v>
      </c>
      <c r="B796" s="12">
        <v>0</v>
      </c>
      <c r="C796" s="11">
        <v>857.74</v>
      </c>
      <c r="D796" s="12">
        <v>0</v>
      </c>
      <c r="E796" s="11">
        <v>857.74</v>
      </c>
      <c r="F796" s="12">
        <v>0</v>
      </c>
      <c r="G796" s="11">
        <v>857.74</v>
      </c>
      <c r="H796" s="12">
        <v>0</v>
      </c>
      <c r="I796" s="11">
        <v>857.74</v>
      </c>
      <c r="J796" s="12">
        <v>0</v>
      </c>
      <c r="K796" s="11">
        <v>857.74</v>
      </c>
      <c r="L796" s="12">
        <v>0</v>
      </c>
      <c r="M796" s="11">
        <v>857.74</v>
      </c>
      <c r="N796" s="13">
        <v>0</v>
      </c>
      <c r="O796" s="11">
        <v>0</v>
      </c>
      <c r="P796" s="11">
        <v>0</v>
      </c>
      <c r="Q796" s="11">
        <v>0</v>
      </c>
      <c r="R796" s="11">
        <v>0</v>
      </c>
      <c r="S796" s="14">
        <v>0</v>
      </c>
      <c r="T796" s="11">
        <v>857.74</v>
      </c>
      <c r="U796" s="13" cm="1">
        <f t="array" ref="U796">IF(Table8[[#This Row],[I_0]]&lt;Table24[Flitro de Ruido],1,Table8[[#This Row],[I_10]]/Table8[[#This Row],[I_0]])</f>
        <v>1</v>
      </c>
      <c r="V796" s="13" cm="1">
        <f t="array" ref="V796">IF(Table8[[#This Row],[I_0]]&lt;Table24[Flitro de Ruido],1,Table8[[#This Row],[I_20]]/Table8[[#This Row],[I_0]])</f>
        <v>1</v>
      </c>
      <c r="W796" s="13" cm="1">
        <f t="array" ref="W796">IF(Table8[[#This Row],[I_0]]&lt;Table24[Flitro de Ruido],1,Table8[[#This Row],[I_30]]/Table8[[#This Row],[I_0]])</f>
        <v>1</v>
      </c>
      <c r="X796" s="13" cm="1">
        <f t="array" ref="X796">IF(Table8[[#This Row],[I_0]]&lt;Table24[Flitro de Ruido],1,Table8[[#This Row],[I_40]]/Table8[[#This Row],[I_0]])</f>
        <v>1</v>
      </c>
      <c r="Y796" s="13" cm="1">
        <f t="array" ref="Y796">IF(Table8[[#This Row],[I_0]]&lt;Table24[Flitro de Ruido],1,Table8[[#This Row],[I_50]]/Table8[[#This Row],[I_0]])</f>
        <v>1</v>
      </c>
    </row>
    <row r="797" spans="1:25" x14ac:dyDescent="0.3">
      <c r="A797" s="13">
        <v>858.73</v>
      </c>
      <c r="B797" s="12">
        <v>0</v>
      </c>
      <c r="C797" s="11">
        <v>858.73</v>
      </c>
      <c r="D797" s="12">
        <v>0</v>
      </c>
      <c r="E797" s="11">
        <v>858.73</v>
      </c>
      <c r="F797" s="12">
        <v>0</v>
      </c>
      <c r="G797" s="11">
        <v>858.73</v>
      </c>
      <c r="H797" s="12">
        <v>0</v>
      </c>
      <c r="I797" s="11">
        <v>858.73</v>
      </c>
      <c r="J797" s="12">
        <v>0</v>
      </c>
      <c r="K797" s="11">
        <v>858.73</v>
      </c>
      <c r="L797" s="12">
        <v>0</v>
      </c>
      <c r="M797" s="11">
        <v>858.73</v>
      </c>
      <c r="N797" s="13">
        <v>0</v>
      </c>
      <c r="O797" s="11">
        <v>0</v>
      </c>
      <c r="P797" s="11">
        <v>0</v>
      </c>
      <c r="Q797" s="11">
        <v>0</v>
      </c>
      <c r="R797" s="11">
        <v>0</v>
      </c>
      <c r="S797" s="14">
        <v>0</v>
      </c>
      <c r="T797" s="11">
        <v>858.73</v>
      </c>
      <c r="U797" s="13" cm="1">
        <f t="array" ref="U797">IF(Table8[[#This Row],[I_0]]&lt;Table24[Flitro de Ruido],1,Table8[[#This Row],[I_10]]/Table8[[#This Row],[I_0]])</f>
        <v>1</v>
      </c>
      <c r="V797" s="13" cm="1">
        <f t="array" ref="V797">IF(Table8[[#This Row],[I_0]]&lt;Table24[Flitro de Ruido],1,Table8[[#This Row],[I_20]]/Table8[[#This Row],[I_0]])</f>
        <v>1</v>
      </c>
      <c r="W797" s="13" cm="1">
        <f t="array" ref="W797">IF(Table8[[#This Row],[I_0]]&lt;Table24[Flitro de Ruido],1,Table8[[#This Row],[I_30]]/Table8[[#This Row],[I_0]])</f>
        <v>1</v>
      </c>
      <c r="X797" s="13" cm="1">
        <f t="array" ref="X797">IF(Table8[[#This Row],[I_0]]&lt;Table24[Flitro de Ruido],1,Table8[[#This Row],[I_40]]/Table8[[#This Row],[I_0]])</f>
        <v>1</v>
      </c>
      <c r="Y797" s="13" cm="1">
        <f t="array" ref="Y797">IF(Table8[[#This Row],[I_0]]&lt;Table24[Flitro de Ruido],1,Table8[[#This Row],[I_50]]/Table8[[#This Row],[I_0]])</f>
        <v>1</v>
      </c>
    </row>
    <row r="798" spans="1:25" x14ac:dyDescent="0.3">
      <c r="A798" s="13">
        <v>859.73</v>
      </c>
      <c r="B798" s="12">
        <v>0</v>
      </c>
      <c r="C798" s="11">
        <v>859.73</v>
      </c>
      <c r="D798" s="12">
        <v>0</v>
      </c>
      <c r="E798" s="11">
        <v>859.73</v>
      </c>
      <c r="F798" s="12">
        <v>0</v>
      </c>
      <c r="G798" s="11">
        <v>859.73</v>
      </c>
      <c r="H798" s="12">
        <v>0</v>
      </c>
      <c r="I798" s="11">
        <v>859.73</v>
      </c>
      <c r="J798" s="12">
        <v>0</v>
      </c>
      <c r="K798" s="11">
        <v>859.73</v>
      </c>
      <c r="L798" s="12">
        <v>0</v>
      </c>
      <c r="M798" s="11">
        <v>859.73</v>
      </c>
      <c r="N798" s="13">
        <v>0</v>
      </c>
      <c r="O798" s="11">
        <v>0</v>
      </c>
      <c r="P798" s="11">
        <v>0</v>
      </c>
      <c r="Q798" s="11">
        <v>0</v>
      </c>
      <c r="R798" s="11">
        <v>0</v>
      </c>
      <c r="S798" s="14">
        <v>0</v>
      </c>
      <c r="T798" s="11">
        <v>859.73</v>
      </c>
      <c r="U798" s="13" cm="1">
        <f t="array" ref="U798">IF(Table8[[#This Row],[I_0]]&lt;Table24[Flitro de Ruido],1,Table8[[#This Row],[I_10]]/Table8[[#This Row],[I_0]])</f>
        <v>1</v>
      </c>
      <c r="V798" s="13" cm="1">
        <f t="array" ref="V798">IF(Table8[[#This Row],[I_0]]&lt;Table24[Flitro de Ruido],1,Table8[[#This Row],[I_20]]/Table8[[#This Row],[I_0]])</f>
        <v>1</v>
      </c>
      <c r="W798" s="13" cm="1">
        <f t="array" ref="W798">IF(Table8[[#This Row],[I_0]]&lt;Table24[Flitro de Ruido],1,Table8[[#This Row],[I_30]]/Table8[[#This Row],[I_0]])</f>
        <v>1</v>
      </c>
      <c r="X798" s="13" cm="1">
        <f t="array" ref="X798">IF(Table8[[#This Row],[I_0]]&lt;Table24[Flitro de Ruido],1,Table8[[#This Row],[I_40]]/Table8[[#This Row],[I_0]])</f>
        <v>1</v>
      </c>
      <c r="Y798" s="13" cm="1">
        <f t="array" ref="Y798">IF(Table8[[#This Row],[I_0]]&lt;Table24[Flitro de Ruido],1,Table8[[#This Row],[I_50]]/Table8[[#This Row],[I_0]])</f>
        <v>1</v>
      </c>
    </row>
    <row r="799" spans="1:25" x14ac:dyDescent="0.3">
      <c r="A799" s="13">
        <v>860.72</v>
      </c>
      <c r="B799" s="12">
        <v>0</v>
      </c>
      <c r="C799" s="11">
        <v>860.72</v>
      </c>
      <c r="D799" s="12">
        <v>0</v>
      </c>
      <c r="E799" s="11">
        <v>860.72</v>
      </c>
      <c r="F799" s="12">
        <v>0</v>
      </c>
      <c r="G799" s="11">
        <v>860.72</v>
      </c>
      <c r="H799" s="12">
        <v>0</v>
      </c>
      <c r="I799" s="11">
        <v>860.72</v>
      </c>
      <c r="J799" s="12">
        <v>0</v>
      </c>
      <c r="K799" s="11">
        <v>860.72</v>
      </c>
      <c r="L799" s="12">
        <v>0</v>
      </c>
      <c r="M799" s="11">
        <v>860.72</v>
      </c>
      <c r="N799" s="13">
        <v>0</v>
      </c>
      <c r="O799" s="11">
        <v>0</v>
      </c>
      <c r="P799" s="11">
        <v>0</v>
      </c>
      <c r="Q799" s="11">
        <v>0</v>
      </c>
      <c r="R799" s="11">
        <v>0</v>
      </c>
      <c r="S799" s="14">
        <v>0</v>
      </c>
      <c r="T799" s="11">
        <v>860.72</v>
      </c>
      <c r="U799" s="13" cm="1">
        <f t="array" ref="U799">IF(Table8[[#This Row],[I_0]]&lt;Table24[Flitro de Ruido],1,Table8[[#This Row],[I_10]]/Table8[[#This Row],[I_0]])</f>
        <v>1</v>
      </c>
      <c r="V799" s="13" cm="1">
        <f t="array" ref="V799">IF(Table8[[#This Row],[I_0]]&lt;Table24[Flitro de Ruido],1,Table8[[#This Row],[I_20]]/Table8[[#This Row],[I_0]])</f>
        <v>1</v>
      </c>
      <c r="W799" s="13" cm="1">
        <f t="array" ref="W799">IF(Table8[[#This Row],[I_0]]&lt;Table24[Flitro de Ruido],1,Table8[[#This Row],[I_30]]/Table8[[#This Row],[I_0]])</f>
        <v>1</v>
      </c>
      <c r="X799" s="13" cm="1">
        <f t="array" ref="X799">IF(Table8[[#This Row],[I_0]]&lt;Table24[Flitro de Ruido],1,Table8[[#This Row],[I_40]]/Table8[[#This Row],[I_0]])</f>
        <v>1</v>
      </c>
      <c r="Y799" s="13" cm="1">
        <f t="array" ref="Y799">IF(Table8[[#This Row],[I_0]]&lt;Table24[Flitro de Ruido],1,Table8[[#This Row],[I_50]]/Table8[[#This Row],[I_0]])</f>
        <v>1</v>
      </c>
    </row>
    <row r="800" spans="1:25" x14ac:dyDescent="0.3">
      <c r="A800" s="13">
        <v>861.71</v>
      </c>
      <c r="B800" s="12">
        <v>0</v>
      </c>
      <c r="C800" s="11">
        <v>861.71</v>
      </c>
      <c r="D800" s="12">
        <v>0</v>
      </c>
      <c r="E800" s="11">
        <v>861.71</v>
      </c>
      <c r="F800" s="12">
        <v>0</v>
      </c>
      <c r="G800" s="11">
        <v>861.71</v>
      </c>
      <c r="H800" s="12">
        <v>0</v>
      </c>
      <c r="I800" s="11">
        <v>861.71</v>
      </c>
      <c r="J800" s="12">
        <v>0</v>
      </c>
      <c r="K800" s="11">
        <v>861.71</v>
      </c>
      <c r="L800" s="12">
        <v>0</v>
      </c>
      <c r="M800" s="11">
        <v>861.71</v>
      </c>
      <c r="N800" s="13">
        <v>0</v>
      </c>
      <c r="O800" s="11">
        <v>0</v>
      </c>
      <c r="P800" s="11">
        <v>0</v>
      </c>
      <c r="Q800" s="11">
        <v>0</v>
      </c>
      <c r="R800" s="11">
        <v>0</v>
      </c>
      <c r="S800" s="14">
        <v>0</v>
      </c>
      <c r="T800" s="11">
        <v>861.71</v>
      </c>
      <c r="U800" s="13" cm="1">
        <f t="array" ref="U800">IF(Table8[[#This Row],[I_0]]&lt;Table24[Flitro de Ruido],1,Table8[[#This Row],[I_10]]/Table8[[#This Row],[I_0]])</f>
        <v>1</v>
      </c>
      <c r="V800" s="13" cm="1">
        <f t="array" ref="V800">IF(Table8[[#This Row],[I_0]]&lt;Table24[Flitro de Ruido],1,Table8[[#This Row],[I_20]]/Table8[[#This Row],[I_0]])</f>
        <v>1</v>
      </c>
      <c r="W800" s="13" cm="1">
        <f t="array" ref="W800">IF(Table8[[#This Row],[I_0]]&lt;Table24[Flitro de Ruido],1,Table8[[#This Row],[I_30]]/Table8[[#This Row],[I_0]])</f>
        <v>1</v>
      </c>
      <c r="X800" s="13" cm="1">
        <f t="array" ref="X800">IF(Table8[[#This Row],[I_0]]&lt;Table24[Flitro de Ruido],1,Table8[[#This Row],[I_40]]/Table8[[#This Row],[I_0]])</f>
        <v>1</v>
      </c>
      <c r="Y800" s="13" cm="1">
        <f t="array" ref="Y800">IF(Table8[[#This Row],[I_0]]&lt;Table24[Flitro de Ruido],1,Table8[[#This Row],[I_50]]/Table8[[#This Row],[I_0]])</f>
        <v>1</v>
      </c>
    </row>
    <row r="801" spans="1:25" x14ac:dyDescent="0.3">
      <c r="A801" s="13">
        <v>862.7</v>
      </c>
      <c r="B801" s="12">
        <v>0</v>
      </c>
      <c r="C801" s="11">
        <v>862.7</v>
      </c>
      <c r="D801" s="12">
        <v>0</v>
      </c>
      <c r="E801" s="11">
        <v>862.7</v>
      </c>
      <c r="F801" s="12">
        <v>0</v>
      </c>
      <c r="G801" s="11">
        <v>862.7</v>
      </c>
      <c r="H801" s="12">
        <v>0</v>
      </c>
      <c r="I801" s="11">
        <v>862.7</v>
      </c>
      <c r="J801" s="12">
        <v>0</v>
      </c>
      <c r="K801" s="11">
        <v>862.7</v>
      </c>
      <c r="L801" s="12">
        <v>0</v>
      </c>
      <c r="M801" s="11">
        <v>862.7</v>
      </c>
      <c r="N801" s="13">
        <v>0</v>
      </c>
      <c r="O801" s="11">
        <v>0</v>
      </c>
      <c r="P801" s="11">
        <v>0</v>
      </c>
      <c r="Q801" s="11">
        <v>0</v>
      </c>
      <c r="R801" s="11">
        <v>0</v>
      </c>
      <c r="S801" s="14">
        <v>0</v>
      </c>
      <c r="T801" s="11">
        <v>862.7</v>
      </c>
      <c r="U801" s="13" cm="1">
        <f t="array" ref="U801">IF(Table8[[#This Row],[I_0]]&lt;Table24[Flitro de Ruido],1,Table8[[#This Row],[I_10]]/Table8[[#This Row],[I_0]])</f>
        <v>1</v>
      </c>
      <c r="V801" s="13" cm="1">
        <f t="array" ref="V801">IF(Table8[[#This Row],[I_0]]&lt;Table24[Flitro de Ruido],1,Table8[[#This Row],[I_20]]/Table8[[#This Row],[I_0]])</f>
        <v>1</v>
      </c>
      <c r="W801" s="13" cm="1">
        <f t="array" ref="W801">IF(Table8[[#This Row],[I_0]]&lt;Table24[Flitro de Ruido],1,Table8[[#This Row],[I_30]]/Table8[[#This Row],[I_0]])</f>
        <v>1</v>
      </c>
      <c r="X801" s="13" cm="1">
        <f t="array" ref="X801">IF(Table8[[#This Row],[I_0]]&lt;Table24[Flitro de Ruido],1,Table8[[#This Row],[I_40]]/Table8[[#This Row],[I_0]])</f>
        <v>1</v>
      </c>
      <c r="Y801" s="13" cm="1">
        <f t="array" ref="Y801">IF(Table8[[#This Row],[I_0]]&lt;Table24[Flitro de Ruido],1,Table8[[#This Row],[I_50]]/Table8[[#This Row],[I_0]])</f>
        <v>1</v>
      </c>
    </row>
    <row r="802" spans="1:25" x14ac:dyDescent="0.3">
      <c r="A802" s="13">
        <v>863.69</v>
      </c>
      <c r="B802" s="12">
        <v>0</v>
      </c>
      <c r="C802" s="11">
        <v>863.69</v>
      </c>
      <c r="D802" s="12">
        <v>0</v>
      </c>
      <c r="E802" s="11">
        <v>863.69</v>
      </c>
      <c r="F802" s="12">
        <v>0</v>
      </c>
      <c r="G802" s="11">
        <v>863.69</v>
      </c>
      <c r="H802" s="12">
        <v>0</v>
      </c>
      <c r="I802" s="11">
        <v>863.69</v>
      </c>
      <c r="J802" s="12">
        <v>0</v>
      </c>
      <c r="K802" s="11">
        <v>863.69</v>
      </c>
      <c r="L802" s="12">
        <v>0</v>
      </c>
      <c r="M802" s="11">
        <v>863.69</v>
      </c>
      <c r="N802" s="13">
        <v>0</v>
      </c>
      <c r="O802" s="11">
        <v>0</v>
      </c>
      <c r="P802" s="11">
        <v>0</v>
      </c>
      <c r="Q802" s="11">
        <v>0</v>
      </c>
      <c r="R802" s="11">
        <v>0</v>
      </c>
      <c r="S802" s="14">
        <v>0</v>
      </c>
      <c r="T802" s="11">
        <v>863.69</v>
      </c>
      <c r="U802" s="13" cm="1">
        <f t="array" ref="U802">IF(Table8[[#This Row],[I_0]]&lt;Table24[Flitro de Ruido],1,Table8[[#This Row],[I_10]]/Table8[[#This Row],[I_0]])</f>
        <v>1</v>
      </c>
      <c r="V802" s="13" cm="1">
        <f t="array" ref="V802">IF(Table8[[#This Row],[I_0]]&lt;Table24[Flitro de Ruido],1,Table8[[#This Row],[I_20]]/Table8[[#This Row],[I_0]])</f>
        <v>1</v>
      </c>
      <c r="W802" s="13" cm="1">
        <f t="array" ref="W802">IF(Table8[[#This Row],[I_0]]&lt;Table24[Flitro de Ruido],1,Table8[[#This Row],[I_30]]/Table8[[#This Row],[I_0]])</f>
        <v>1</v>
      </c>
      <c r="X802" s="13" cm="1">
        <f t="array" ref="X802">IF(Table8[[#This Row],[I_0]]&lt;Table24[Flitro de Ruido],1,Table8[[#This Row],[I_40]]/Table8[[#This Row],[I_0]])</f>
        <v>1</v>
      </c>
      <c r="Y802" s="13" cm="1">
        <f t="array" ref="Y802">IF(Table8[[#This Row],[I_0]]&lt;Table24[Flitro de Ruido],1,Table8[[#This Row],[I_50]]/Table8[[#This Row],[I_0]])</f>
        <v>1</v>
      </c>
    </row>
    <row r="803" spans="1:25" x14ac:dyDescent="0.3">
      <c r="A803" s="13">
        <v>864.68</v>
      </c>
      <c r="B803" s="12">
        <v>0</v>
      </c>
      <c r="C803" s="11">
        <v>864.68</v>
      </c>
      <c r="D803" s="12">
        <v>0</v>
      </c>
      <c r="E803" s="11">
        <v>864.68</v>
      </c>
      <c r="F803" s="12">
        <v>0</v>
      </c>
      <c r="G803" s="11">
        <v>864.68</v>
      </c>
      <c r="H803" s="12">
        <v>0</v>
      </c>
      <c r="I803" s="11">
        <v>864.68</v>
      </c>
      <c r="J803" s="12">
        <v>0</v>
      </c>
      <c r="K803" s="11">
        <v>864.68</v>
      </c>
      <c r="L803" s="12">
        <v>0</v>
      </c>
      <c r="M803" s="11">
        <v>864.68</v>
      </c>
      <c r="N803" s="13">
        <v>0</v>
      </c>
      <c r="O803" s="11">
        <v>0</v>
      </c>
      <c r="P803" s="11">
        <v>0</v>
      </c>
      <c r="Q803" s="11">
        <v>0</v>
      </c>
      <c r="R803" s="11">
        <v>0</v>
      </c>
      <c r="S803" s="14">
        <v>0</v>
      </c>
      <c r="T803" s="11">
        <v>864.68</v>
      </c>
      <c r="U803" s="13" cm="1">
        <f t="array" ref="U803">IF(Table8[[#This Row],[I_0]]&lt;Table24[Flitro de Ruido],1,Table8[[#This Row],[I_10]]/Table8[[#This Row],[I_0]])</f>
        <v>1</v>
      </c>
      <c r="V803" s="13" cm="1">
        <f t="array" ref="V803">IF(Table8[[#This Row],[I_0]]&lt;Table24[Flitro de Ruido],1,Table8[[#This Row],[I_20]]/Table8[[#This Row],[I_0]])</f>
        <v>1</v>
      </c>
      <c r="W803" s="13" cm="1">
        <f t="array" ref="W803">IF(Table8[[#This Row],[I_0]]&lt;Table24[Flitro de Ruido],1,Table8[[#This Row],[I_30]]/Table8[[#This Row],[I_0]])</f>
        <v>1</v>
      </c>
      <c r="X803" s="13" cm="1">
        <f t="array" ref="X803">IF(Table8[[#This Row],[I_0]]&lt;Table24[Flitro de Ruido],1,Table8[[#This Row],[I_40]]/Table8[[#This Row],[I_0]])</f>
        <v>1</v>
      </c>
      <c r="Y803" s="13" cm="1">
        <f t="array" ref="Y803">IF(Table8[[#This Row],[I_0]]&lt;Table24[Flitro de Ruido],1,Table8[[#This Row],[I_50]]/Table8[[#This Row],[I_0]])</f>
        <v>1</v>
      </c>
    </row>
    <row r="804" spans="1:25" x14ac:dyDescent="0.3">
      <c r="A804" s="13">
        <v>865.68</v>
      </c>
      <c r="B804" s="12">
        <v>0</v>
      </c>
      <c r="C804" s="11">
        <v>865.68</v>
      </c>
      <c r="D804" s="12">
        <v>0</v>
      </c>
      <c r="E804" s="11">
        <v>865.68</v>
      </c>
      <c r="F804" s="12">
        <v>0</v>
      </c>
      <c r="G804" s="11">
        <v>865.68</v>
      </c>
      <c r="H804" s="12">
        <v>0</v>
      </c>
      <c r="I804" s="11">
        <v>865.68</v>
      </c>
      <c r="J804" s="12">
        <v>0</v>
      </c>
      <c r="K804" s="11">
        <v>865.68</v>
      </c>
      <c r="L804" s="12">
        <v>0</v>
      </c>
      <c r="M804" s="11">
        <v>865.68</v>
      </c>
      <c r="N804" s="13">
        <v>0</v>
      </c>
      <c r="O804" s="11">
        <v>0</v>
      </c>
      <c r="P804" s="11">
        <v>0</v>
      </c>
      <c r="Q804" s="11">
        <v>0</v>
      </c>
      <c r="R804" s="11">
        <v>0</v>
      </c>
      <c r="S804" s="14">
        <v>0</v>
      </c>
      <c r="T804" s="11">
        <v>865.68</v>
      </c>
      <c r="U804" s="13" cm="1">
        <f t="array" ref="U804">IF(Table8[[#This Row],[I_0]]&lt;Table24[Flitro de Ruido],1,Table8[[#This Row],[I_10]]/Table8[[#This Row],[I_0]])</f>
        <v>1</v>
      </c>
      <c r="V804" s="13" cm="1">
        <f t="array" ref="V804">IF(Table8[[#This Row],[I_0]]&lt;Table24[Flitro de Ruido],1,Table8[[#This Row],[I_20]]/Table8[[#This Row],[I_0]])</f>
        <v>1</v>
      </c>
      <c r="W804" s="13" cm="1">
        <f t="array" ref="W804">IF(Table8[[#This Row],[I_0]]&lt;Table24[Flitro de Ruido],1,Table8[[#This Row],[I_30]]/Table8[[#This Row],[I_0]])</f>
        <v>1</v>
      </c>
      <c r="X804" s="13" cm="1">
        <f t="array" ref="X804">IF(Table8[[#This Row],[I_0]]&lt;Table24[Flitro de Ruido],1,Table8[[#This Row],[I_40]]/Table8[[#This Row],[I_0]])</f>
        <v>1</v>
      </c>
      <c r="Y804" s="13" cm="1">
        <f t="array" ref="Y804">IF(Table8[[#This Row],[I_0]]&lt;Table24[Flitro de Ruido],1,Table8[[#This Row],[I_50]]/Table8[[#This Row],[I_0]])</f>
        <v>1</v>
      </c>
    </row>
    <row r="805" spans="1:25" x14ac:dyDescent="0.3">
      <c r="A805" s="13">
        <v>866.67</v>
      </c>
      <c r="B805" s="12">
        <v>0</v>
      </c>
      <c r="C805" s="11">
        <v>866.67</v>
      </c>
      <c r="D805" s="12">
        <v>0</v>
      </c>
      <c r="E805" s="11">
        <v>866.67</v>
      </c>
      <c r="F805" s="12">
        <v>0</v>
      </c>
      <c r="G805" s="11">
        <v>866.67</v>
      </c>
      <c r="H805" s="12">
        <v>0</v>
      </c>
      <c r="I805" s="11">
        <v>866.67</v>
      </c>
      <c r="J805" s="12">
        <v>0</v>
      </c>
      <c r="K805" s="11">
        <v>866.67</v>
      </c>
      <c r="L805" s="12">
        <v>0</v>
      </c>
      <c r="M805" s="11">
        <v>866.67</v>
      </c>
      <c r="N805" s="13">
        <v>0</v>
      </c>
      <c r="O805" s="11">
        <v>0</v>
      </c>
      <c r="P805" s="11">
        <v>0</v>
      </c>
      <c r="Q805" s="11">
        <v>0</v>
      </c>
      <c r="R805" s="11">
        <v>0</v>
      </c>
      <c r="S805" s="14">
        <v>0</v>
      </c>
      <c r="T805" s="11">
        <v>866.67</v>
      </c>
      <c r="U805" s="13" cm="1">
        <f t="array" ref="U805">IF(Table8[[#This Row],[I_0]]&lt;Table24[Flitro de Ruido],1,Table8[[#This Row],[I_10]]/Table8[[#This Row],[I_0]])</f>
        <v>1</v>
      </c>
      <c r="V805" s="13" cm="1">
        <f t="array" ref="V805">IF(Table8[[#This Row],[I_0]]&lt;Table24[Flitro de Ruido],1,Table8[[#This Row],[I_20]]/Table8[[#This Row],[I_0]])</f>
        <v>1</v>
      </c>
      <c r="W805" s="13" cm="1">
        <f t="array" ref="W805">IF(Table8[[#This Row],[I_0]]&lt;Table24[Flitro de Ruido],1,Table8[[#This Row],[I_30]]/Table8[[#This Row],[I_0]])</f>
        <v>1</v>
      </c>
      <c r="X805" s="13" cm="1">
        <f t="array" ref="X805">IF(Table8[[#This Row],[I_0]]&lt;Table24[Flitro de Ruido],1,Table8[[#This Row],[I_40]]/Table8[[#This Row],[I_0]])</f>
        <v>1</v>
      </c>
      <c r="Y805" s="13" cm="1">
        <f t="array" ref="Y805">IF(Table8[[#This Row],[I_0]]&lt;Table24[Flitro de Ruido],1,Table8[[#This Row],[I_50]]/Table8[[#This Row],[I_0]])</f>
        <v>1</v>
      </c>
    </row>
    <row r="806" spans="1:25" x14ac:dyDescent="0.3">
      <c r="A806" s="13">
        <v>867.66</v>
      </c>
      <c r="B806" s="12">
        <v>0</v>
      </c>
      <c r="C806" s="11">
        <v>867.66</v>
      </c>
      <c r="D806" s="12">
        <v>0</v>
      </c>
      <c r="E806" s="11">
        <v>867.66</v>
      </c>
      <c r="F806" s="12">
        <v>0</v>
      </c>
      <c r="G806" s="11">
        <v>867.66</v>
      </c>
      <c r="H806" s="12">
        <v>0</v>
      </c>
      <c r="I806" s="11">
        <v>867.66</v>
      </c>
      <c r="J806" s="12">
        <v>0</v>
      </c>
      <c r="K806" s="11">
        <v>867.66</v>
      </c>
      <c r="L806" s="12">
        <v>0</v>
      </c>
      <c r="M806" s="11">
        <v>867.66</v>
      </c>
      <c r="N806" s="13">
        <v>0</v>
      </c>
      <c r="O806" s="11">
        <v>0</v>
      </c>
      <c r="P806" s="11">
        <v>0</v>
      </c>
      <c r="Q806" s="11">
        <v>0</v>
      </c>
      <c r="R806" s="11">
        <v>0</v>
      </c>
      <c r="S806" s="14">
        <v>0</v>
      </c>
      <c r="T806" s="11">
        <v>867.66</v>
      </c>
      <c r="U806" s="13" cm="1">
        <f t="array" ref="U806">IF(Table8[[#This Row],[I_0]]&lt;Table24[Flitro de Ruido],1,Table8[[#This Row],[I_10]]/Table8[[#This Row],[I_0]])</f>
        <v>1</v>
      </c>
      <c r="V806" s="13" cm="1">
        <f t="array" ref="V806">IF(Table8[[#This Row],[I_0]]&lt;Table24[Flitro de Ruido],1,Table8[[#This Row],[I_20]]/Table8[[#This Row],[I_0]])</f>
        <v>1</v>
      </c>
      <c r="W806" s="13" cm="1">
        <f t="array" ref="W806">IF(Table8[[#This Row],[I_0]]&lt;Table24[Flitro de Ruido],1,Table8[[#This Row],[I_30]]/Table8[[#This Row],[I_0]])</f>
        <v>1</v>
      </c>
      <c r="X806" s="13" cm="1">
        <f t="array" ref="X806">IF(Table8[[#This Row],[I_0]]&lt;Table24[Flitro de Ruido],1,Table8[[#This Row],[I_40]]/Table8[[#This Row],[I_0]])</f>
        <v>1</v>
      </c>
      <c r="Y806" s="13" cm="1">
        <f t="array" ref="Y806">IF(Table8[[#This Row],[I_0]]&lt;Table24[Flitro de Ruido],1,Table8[[#This Row],[I_50]]/Table8[[#This Row],[I_0]])</f>
        <v>1</v>
      </c>
    </row>
    <row r="807" spans="1:25" x14ac:dyDescent="0.3">
      <c r="A807" s="13">
        <v>868.65</v>
      </c>
      <c r="B807" s="12">
        <v>0</v>
      </c>
      <c r="C807" s="11">
        <v>868.65</v>
      </c>
      <c r="D807" s="12">
        <v>0</v>
      </c>
      <c r="E807" s="11">
        <v>868.65</v>
      </c>
      <c r="F807" s="12">
        <v>0</v>
      </c>
      <c r="G807" s="11">
        <v>868.65</v>
      </c>
      <c r="H807" s="12">
        <v>0</v>
      </c>
      <c r="I807" s="11">
        <v>868.65</v>
      </c>
      <c r="J807" s="12">
        <v>0</v>
      </c>
      <c r="K807" s="11">
        <v>868.65</v>
      </c>
      <c r="L807" s="12">
        <v>0</v>
      </c>
      <c r="M807" s="11">
        <v>868.65</v>
      </c>
      <c r="N807" s="13">
        <v>0</v>
      </c>
      <c r="O807" s="11">
        <v>0</v>
      </c>
      <c r="P807" s="11">
        <v>0</v>
      </c>
      <c r="Q807" s="11">
        <v>0</v>
      </c>
      <c r="R807" s="11">
        <v>0</v>
      </c>
      <c r="S807" s="14">
        <v>0</v>
      </c>
      <c r="T807" s="11">
        <v>868.65</v>
      </c>
      <c r="U807" s="13" cm="1">
        <f t="array" ref="U807">IF(Table8[[#This Row],[I_0]]&lt;Table24[Flitro de Ruido],1,Table8[[#This Row],[I_10]]/Table8[[#This Row],[I_0]])</f>
        <v>1</v>
      </c>
      <c r="V807" s="13" cm="1">
        <f t="array" ref="V807">IF(Table8[[#This Row],[I_0]]&lt;Table24[Flitro de Ruido],1,Table8[[#This Row],[I_20]]/Table8[[#This Row],[I_0]])</f>
        <v>1</v>
      </c>
      <c r="W807" s="13" cm="1">
        <f t="array" ref="W807">IF(Table8[[#This Row],[I_0]]&lt;Table24[Flitro de Ruido],1,Table8[[#This Row],[I_30]]/Table8[[#This Row],[I_0]])</f>
        <v>1</v>
      </c>
      <c r="X807" s="13" cm="1">
        <f t="array" ref="X807">IF(Table8[[#This Row],[I_0]]&lt;Table24[Flitro de Ruido],1,Table8[[#This Row],[I_40]]/Table8[[#This Row],[I_0]])</f>
        <v>1</v>
      </c>
      <c r="Y807" s="13" cm="1">
        <f t="array" ref="Y807">IF(Table8[[#This Row],[I_0]]&lt;Table24[Flitro de Ruido],1,Table8[[#This Row],[I_50]]/Table8[[#This Row],[I_0]])</f>
        <v>1</v>
      </c>
    </row>
    <row r="808" spans="1:25" x14ac:dyDescent="0.3">
      <c r="A808" s="13">
        <v>869.64</v>
      </c>
      <c r="B808" s="12">
        <v>0</v>
      </c>
      <c r="C808" s="11">
        <v>869.64</v>
      </c>
      <c r="D808" s="12">
        <v>0</v>
      </c>
      <c r="E808" s="11">
        <v>869.64</v>
      </c>
      <c r="F808" s="12">
        <v>0</v>
      </c>
      <c r="G808" s="11">
        <v>869.64</v>
      </c>
      <c r="H808" s="12">
        <v>0</v>
      </c>
      <c r="I808" s="11">
        <v>869.64</v>
      </c>
      <c r="J808" s="12">
        <v>0</v>
      </c>
      <c r="K808" s="11">
        <v>869.64</v>
      </c>
      <c r="L808" s="12">
        <v>0</v>
      </c>
      <c r="M808" s="11">
        <v>869.64</v>
      </c>
      <c r="N808" s="13">
        <v>0</v>
      </c>
      <c r="O808" s="11">
        <v>0</v>
      </c>
      <c r="P808" s="11">
        <v>0</v>
      </c>
      <c r="Q808" s="11">
        <v>0</v>
      </c>
      <c r="R808" s="11">
        <v>0</v>
      </c>
      <c r="S808" s="14">
        <v>0</v>
      </c>
      <c r="T808" s="11">
        <v>869.64</v>
      </c>
      <c r="U808" s="13" cm="1">
        <f t="array" ref="U808">IF(Table8[[#This Row],[I_0]]&lt;Table24[Flitro de Ruido],1,Table8[[#This Row],[I_10]]/Table8[[#This Row],[I_0]])</f>
        <v>1</v>
      </c>
      <c r="V808" s="13" cm="1">
        <f t="array" ref="V808">IF(Table8[[#This Row],[I_0]]&lt;Table24[Flitro de Ruido],1,Table8[[#This Row],[I_20]]/Table8[[#This Row],[I_0]])</f>
        <v>1</v>
      </c>
      <c r="W808" s="13" cm="1">
        <f t="array" ref="W808">IF(Table8[[#This Row],[I_0]]&lt;Table24[Flitro de Ruido],1,Table8[[#This Row],[I_30]]/Table8[[#This Row],[I_0]])</f>
        <v>1</v>
      </c>
      <c r="X808" s="13" cm="1">
        <f t="array" ref="X808">IF(Table8[[#This Row],[I_0]]&lt;Table24[Flitro de Ruido],1,Table8[[#This Row],[I_40]]/Table8[[#This Row],[I_0]])</f>
        <v>1</v>
      </c>
      <c r="Y808" s="13" cm="1">
        <f t="array" ref="Y808">IF(Table8[[#This Row],[I_0]]&lt;Table24[Flitro de Ruido],1,Table8[[#This Row],[I_50]]/Table8[[#This Row],[I_0]])</f>
        <v>1</v>
      </c>
    </row>
    <row r="809" spans="1:25" x14ac:dyDescent="0.3">
      <c r="A809" s="13">
        <v>870.63</v>
      </c>
      <c r="B809" s="12">
        <v>0</v>
      </c>
      <c r="C809" s="11">
        <v>870.63</v>
      </c>
      <c r="D809" s="12">
        <v>0</v>
      </c>
      <c r="E809" s="11">
        <v>870.63</v>
      </c>
      <c r="F809" s="12">
        <v>0</v>
      </c>
      <c r="G809" s="11">
        <v>870.63</v>
      </c>
      <c r="H809" s="12">
        <v>0</v>
      </c>
      <c r="I809" s="11">
        <v>870.63</v>
      </c>
      <c r="J809" s="12">
        <v>0</v>
      </c>
      <c r="K809" s="11">
        <v>870.63</v>
      </c>
      <c r="L809" s="12">
        <v>0</v>
      </c>
      <c r="M809" s="11">
        <v>870.63</v>
      </c>
      <c r="N809" s="13">
        <v>0</v>
      </c>
      <c r="O809" s="11">
        <v>0</v>
      </c>
      <c r="P809" s="11">
        <v>0</v>
      </c>
      <c r="Q809" s="11">
        <v>0</v>
      </c>
      <c r="R809" s="11">
        <v>0</v>
      </c>
      <c r="S809" s="14">
        <v>0</v>
      </c>
      <c r="T809" s="11">
        <v>870.63</v>
      </c>
      <c r="U809" s="13" cm="1">
        <f t="array" ref="U809">IF(Table8[[#This Row],[I_0]]&lt;Table24[Flitro de Ruido],1,Table8[[#This Row],[I_10]]/Table8[[#This Row],[I_0]])</f>
        <v>1</v>
      </c>
      <c r="V809" s="13" cm="1">
        <f t="array" ref="V809">IF(Table8[[#This Row],[I_0]]&lt;Table24[Flitro de Ruido],1,Table8[[#This Row],[I_20]]/Table8[[#This Row],[I_0]])</f>
        <v>1</v>
      </c>
      <c r="W809" s="13" cm="1">
        <f t="array" ref="W809">IF(Table8[[#This Row],[I_0]]&lt;Table24[Flitro de Ruido],1,Table8[[#This Row],[I_30]]/Table8[[#This Row],[I_0]])</f>
        <v>1</v>
      </c>
      <c r="X809" s="13" cm="1">
        <f t="array" ref="X809">IF(Table8[[#This Row],[I_0]]&lt;Table24[Flitro de Ruido],1,Table8[[#This Row],[I_40]]/Table8[[#This Row],[I_0]])</f>
        <v>1</v>
      </c>
      <c r="Y809" s="13" cm="1">
        <f t="array" ref="Y809">IF(Table8[[#This Row],[I_0]]&lt;Table24[Flitro de Ruido],1,Table8[[#This Row],[I_50]]/Table8[[#This Row],[I_0]])</f>
        <v>1</v>
      </c>
    </row>
    <row r="810" spans="1:25" x14ac:dyDescent="0.3">
      <c r="A810" s="13">
        <v>871.63</v>
      </c>
      <c r="B810" s="12">
        <v>0</v>
      </c>
      <c r="C810" s="11">
        <v>871.63</v>
      </c>
      <c r="D810" s="12">
        <v>0</v>
      </c>
      <c r="E810" s="11">
        <v>871.63</v>
      </c>
      <c r="F810" s="12">
        <v>0</v>
      </c>
      <c r="G810" s="11">
        <v>871.63</v>
      </c>
      <c r="H810" s="12">
        <v>0</v>
      </c>
      <c r="I810" s="11">
        <v>871.63</v>
      </c>
      <c r="J810" s="12">
        <v>0</v>
      </c>
      <c r="K810" s="11">
        <v>871.63</v>
      </c>
      <c r="L810" s="12">
        <v>0</v>
      </c>
      <c r="M810" s="11">
        <v>871.63</v>
      </c>
      <c r="N810" s="13">
        <v>0</v>
      </c>
      <c r="O810" s="11">
        <v>0</v>
      </c>
      <c r="P810" s="11">
        <v>0</v>
      </c>
      <c r="Q810" s="11">
        <v>0</v>
      </c>
      <c r="R810" s="11">
        <v>0</v>
      </c>
      <c r="S810" s="14">
        <v>0</v>
      </c>
      <c r="T810" s="11">
        <v>871.63</v>
      </c>
      <c r="U810" s="13" cm="1">
        <f t="array" ref="U810">IF(Table8[[#This Row],[I_0]]&lt;Table24[Flitro de Ruido],1,Table8[[#This Row],[I_10]]/Table8[[#This Row],[I_0]])</f>
        <v>1</v>
      </c>
      <c r="V810" s="13" cm="1">
        <f t="array" ref="V810">IF(Table8[[#This Row],[I_0]]&lt;Table24[Flitro de Ruido],1,Table8[[#This Row],[I_20]]/Table8[[#This Row],[I_0]])</f>
        <v>1</v>
      </c>
      <c r="W810" s="13" cm="1">
        <f t="array" ref="W810">IF(Table8[[#This Row],[I_0]]&lt;Table24[Flitro de Ruido],1,Table8[[#This Row],[I_30]]/Table8[[#This Row],[I_0]])</f>
        <v>1</v>
      </c>
      <c r="X810" s="13" cm="1">
        <f t="array" ref="X810">IF(Table8[[#This Row],[I_0]]&lt;Table24[Flitro de Ruido],1,Table8[[#This Row],[I_40]]/Table8[[#This Row],[I_0]])</f>
        <v>1</v>
      </c>
      <c r="Y810" s="13" cm="1">
        <f t="array" ref="Y810">IF(Table8[[#This Row],[I_0]]&lt;Table24[Flitro de Ruido],1,Table8[[#This Row],[I_50]]/Table8[[#This Row],[I_0]])</f>
        <v>1</v>
      </c>
    </row>
    <row r="811" spans="1:25" x14ac:dyDescent="0.3">
      <c r="A811" s="13">
        <v>872.62</v>
      </c>
      <c r="B811" s="12">
        <v>0</v>
      </c>
      <c r="C811" s="11">
        <v>872.62</v>
      </c>
      <c r="D811" s="12">
        <v>0</v>
      </c>
      <c r="E811" s="11">
        <v>872.62</v>
      </c>
      <c r="F811" s="12">
        <v>0</v>
      </c>
      <c r="G811" s="11">
        <v>872.62</v>
      </c>
      <c r="H811" s="12">
        <v>0</v>
      </c>
      <c r="I811" s="11">
        <v>872.62</v>
      </c>
      <c r="J811" s="12">
        <v>0</v>
      </c>
      <c r="K811" s="11">
        <v>872.62</v>
      </c>
      <c r="L811" s="12">
        <v>0</v>
      </c>
      <c r="M811" s="11">
        <v>872.62</v>
      </c>
      <c r="N811" s="13">
        <v>0</v>
      </c>
      <c r="O811" s="11">
        <v>0</v>
      </c>
      <c r="P811" s="11">
        <v>0</v>
      </c>
      <c r="Q811" s="11">
        <v>0</v>
      </c>
      <c r="R811" s="11">
        <v>0</v>
      </c>
      <c r="S811" s="14">
        <v>0</v>
      </c>
      <c r="T811" s="11">
        <v>872.62</v>
      </c>
      <c r="U811" s="13" cm="1">
        <f t="array" ref="U811">IF(Table8[[#This Row],[I_0]]&lt;Table24[Flitro de Ruido],1,Table8[[#This Row],[I_10]]/Table8[[#This Row],[I_0]])</f>
        <v>1</v>
      </c>
      <c r="V811" s="13" cm="1">
        <f t="array" ref="V811">IF(Table8[[#This Row],[I_0]]&lt;Table24[Flitro de Ruido],1,Table8[[#This Row],[I_20]]/Table8[[#This Row],[I_0]])</f>
        <v>1</v>
      </c>
      <c r="W811" s="13" cm="1">
        <f t="array" ref="W811">IF(Table8[[#This Row],[I_0]]&lt;Table24[Flitro de Ruido],1,Table8[[#This Row],[I_30]]/Table8[[#This Row],[I_0]])</f>
        <v>1</v>
      </c>
      <c r="X811" s="13" cm="1">
        <f t="array" ref="X811">IF(Table8[[#This Row],[I_0]]&lt;Table24[Flitro de Ruido],1,Table8[[#This Row],[I_40]]/Table8[[#This Row],[I_0]])</f>
        <v>1</v>
      </c>
      <c r="Y811" s="13" cm="1">
        <f t="array" ref="Y811">IF(Table8[[#This Row],[I_0]]&lt;Table24[Flitro de Ruido],1,Table8[[#This Row],[I_50]]/Table8[[#This Row],[I_0]])</f>
        <v>1</v>
      </c>
    </row>
    <row r="812" spans="1:25" x14ac:dyDescent="0.3">
      <c r="A812" s="13">
        <v>873.61</v>
      </c>
      <c r="B812" s="12">
        <v>0</v>
      </c>
      <c r="C812" s="11">
        <v>873.61</v>
      </c>
      <c r="D812" s="12">
        <v>0</v>
      </c>
      <c r="E812" s="11">
        <v>873.61</v>
      </c>
      <c r="F812" s="12">
        <v>0</v>
      </c>
      <c r="G812" s="11">
        <v>873.61</v>
      </c>
      <c r="H812" s="12">
        <v>0</v>
      </c>
      <c r="I812" s="11">
        <v>873.61</v>
      </c>
      <c r="J812" s="12">
        <v>0</v>
      </c>
      <c r="K812" s="11">
        <v>873.61</v>
      </c>
      <c r="L812" s="12">
        <v>0</v>
      </c>
      <c r="M812" s="11">
        <v>873.61</v>
      </c>
      <c r="N812" s="13">
        <v>0</v>
      </c>
      <c r="O812" s="11">
        <v>0</v>
      </c>
      <c r="P812" s="11">
        <v>0</v>
      </c>
      <c r="Q812" s="11">
        <v>0</v>
      </c>
      <c r="R812" s="11">
        <v>0</v>
      </c>
      <c r="S812" s="14">
        <v>0</v>
      </c>
      <c r="T812" s="11">
        <v>873.61</v>
      </c>
      <c r="U812" s="13" cm="1">
        <f t="array" ref="U812">IF(Table8[[#This Row],[I_0]]&lt;Table24[Flitro de Ruido],1,Table8[[#This Row],[I_10]]/Table8[[#This Row],[I_0]])</f>
        <v>1</v>
      </c>
      <c r="V812" s="13" cm="1">
        <f t="array" ref="V812">IF(Table8[[#This Row],[I_0]]&lt;Table24[Flitro de Ruido],1,Table8[[#This Row],[I_20]]/Table8[[#This Row],[I_0]])</f>
        <v>1</v>
      </c>
      <c r="W812" s="13" cm="1">
        <f t="array" ref="W812">IF(Table8[[#This Row],[I_0]]&lt;Table24[Flitro de Ruido],1,Table8[[#This Row],[I_30]]/Table8[[#This Row],[I_0]])</f>
        <v>1</v>
      </c>
      <c r="X812" s="13" cm="1">
        <f t="array" ref="X812">IF(Table8[[#This Row],[I_0]]&lt;Table24[Flitro de Ruido],1,Table8[[#This Row],[I_40]]/Table8[[#This Row],[I_0]])</f>
        <v>1</v>
      </c>
      <c r="Y812" s="13" cm="1">
        <f t="array" ref="Y812">IF(Table8[[#This Row],[I_0]]&lt;Table24[Flitro de Ruido],1,Table8[[#This Row],[I_50]]/Table8[[#This Row],[I_0]])</f>
        <v>1</v>
      </c>
    </row>
    <row r="813" spans="1:25" x14ac:dyDescent="0.3">
      <c r="A813" s="13">
        <v>874.6</v>
      </c>
      <c r="B813" s="12">
        <v>0</v>
      </c>
      <c r="C813" s="11">
        <v>874.6</v>
      </c>
      <c r="D813" s="12">
        <v>0</v>
      </c>
      <c r="E813" s="11">
        <v>874.6</v>
      </c>
      <c r="F813" s="12">
        <v>0</v>
      </c>
      <c r="G813" s="11">
        <v>874.6</v>
      </c>
      <c r="H813" s="12">
        <v>0</v>
      </c>
      <c r="I813" s="11">
        <v>874.6</v>
      </c>
      <c r="J813" s="12">
        <v>0</v>
      </c>
      <c r="K813" s="11">
        <v>874.6</v>
      </c>
      <c r="L813" s="12">
        <v>0</v>
      </c>
      <c r="M813" s="11">
        <v>874.6</v>
      </c>
      <c r="N813" s="13">
        <v>0</v>
      </c>
      <c r="O813" s="11">
        <v>0</v>
      </c>
      <c r="P813" s="11">
        <v>0</v>
      </c>
      <c r="Q813" s="11">
        <v>0</v>
      </c>
      <c r="R813" s="11">
        <v>0</v>
      </c>
      <c r="S813" s="14">
        <v>0</v>
      </c>
      <c r="T813" s="11">
        <v>874.6</v>
      </c>
      <c r="U813" s="13" cm="1">
        <f t="array" ref="U813">IF(Table8[[#This Row],[I_0]]&lt;Table24[Flitro de Ruido],1,Table8[[#This Row],[I_10]]/Table8[[#This Row],[I_0]])</f>
        <v>1</v>
      </c>
      <c r="V813" s="13" cm="1">
        <f t="array" ref="V813">IF(Table8[[#This Row],[I_0]]&lt;Table24[Flitro de Ruido],1,Table8[[#This Row],[I_20]]/Table8[[#This Row],[I_0]])</f>
        <v>1</v>
      </c>
      <c r="W813" s="13" cm="1">
        <f t="array" ref="W813">IF(Table8[[#This Row],[I_0]]&lt;Table24[Flitro de Ruido],1,Table8[[#This Row],[I_30]]/Table8[[#This Row],[I_0]])</f>
        <v>1</v>
      </c>
      <c r="X813" s="13" cm="1">
        <f t="array" ref="X813">IF(Table8[[#This Row],[I_0]]&lt;Table24[Flitro de Ruido],1,Table8[[#This Row],[I_40]]/Table8[[#This Row],[I_0]])</f>
        <v>1</v>
      </c>
      <c r="Y813" s="13" cm="1">
        <f t="array" ref="Y813">IF(Table8[[#This Row],[I_0]]&lt;Table24[Flitro de Ruido],1,Table8[[#This Row],[I_50]]/Table8[[#This Row],[I_0]])</f>
        <v>1</v>
      </c>
    </row>
    <row r="814" spans="1:25" x14ac:dyDescent="0.3">
      <c r="A814" s="13">
        <v>875.59</v>
      </c>
      <c r="B814" s="12">
        <v>0</v>
      </c>
      <c r="C814" s="11">
        <v>875.59</v>
      </c>
      <c r="D814" s="12">
        <v>0</v>
      </c>
      <c r="E814" s="11">
        <v>875.59</v>
      </c>
      <c r="F814" s="12">
        <v>0</v>
      </c>
      <c r="G814" s="11">
        <v>875.59</v>
      </c>
      <c r="H814" s="12">
        <v>0</v>
      </c>
      <c r="I814" s="11">
        <v>875.59</v>
      </c>
      <c r="J814" s="12">
        <v>0</v>
      </c>
      <c r="K814" s="11">
        <v>875.59</v>
      </c>
      <c r="L814" s="12">
        <v>0</v>
      </c>
      <c r="M814" s="11">
        <v>875.59</v>
      </c>
      <c r="N814" s="13">
        <v>0</v>
      </c>
      <c r="O814" s="11">
        <v>0</v>
      </c>
      <c r="P814" s="11">
        <v>0</v>
      </c>
      <c r="Q814" s="11">
        <v>0</v>
      </c>
      <c r="R814" s="11">
        <v>0</v>
      </c>
      <c r="S814" s="14">
        <v>0</v>
      </c>
      <c r="T814" s="11">
        <v>875.59</v>
      </c>
      <c r="U814" s="13" cm="1">
        <f t="array" ref="U814">IF(Table8[[#This Row],[I_0]]&lt;Table24[Flitro de Ruido],1,Table8[[#This Row],[I_10]]/Table8[[#This Row],[I_0]])</f>
        <v>1</v>
      </c>
      <c r="V814" s="13" cm="1">
        <f t="array" ref="V814">IF(Table8[[#This Row],[I_0]]&lt;Table24[Flitro de Ruido],1,Table8[[#This Row],[I_20]]/Table8[[#This Row],[I_0]])</f>
        <v>1</v>
      </c>
      <c r="W814" s="13" cm="1">
        <f t="array" ref="W814">IF(Table8[[#This Row],[I_0]]&lt;Table24[Flitro de Ruido],1,Table8[[#This Row],[I_30]]/Table8[[#This Row],[I_0]])</f>
        <v>1</v>
      </c>
      <c r="X814" s="13" cm="1">
        <f t="array" ref="X814">IF(Table8[[#This Row],[I_0]]&lt;Table24[Flitro de Ruido],1,Table8[[#This Row],[I_40]]/Table8[[#This Row],[I_0]])</f>
        <v>1</v>
      </c>
      <c r="Y814" s="13" cm="1">
        <f t="array" ref="Y814">IF(Table8[[#This Row],[I_0]]&lt;Table24[Flitro de Ruido],1,Table8[[#This Row],[I_50]]/Table8[[#This Row],[I_0]])</f>
        <v>1</v>
      </c>
    </row>
    <row r="815" spans="1:25" x14ac:dyDescent="0.3">
      <c r="A815" s="13">
        <v>876.59</v>
      </c>
      <c r="B815" s="12">
        <v>0</v>
      </c>
      <c r="C815" s="11">
        <v>876.59</v>
      </c>
      <c r="D815" s="12">
        <v>0</v>
      </c>
      <c r="E815" s="11">
        <v>876.59</v>
      </c>
      <c r="F815" s="12">
        <v>0</v>
      </c>
      <c r="G815" s="11">
        <v>876.59</v>
      </c>
      <c r="H815" s="12">
        <v>0</v>
      </c>
      <c r="I815" s="11">
        <v>876.59</v>
      </c>
      <c r="J815" s="12">
        <v>0</v>
      </c>
      <c r="K815" s="11">
        <v>876.59</v>
      </c>
      <c r="L815" s="12">
        <v>0</v>
      </c>
      <c r="M815" s="11">
        <v>876.59</v>
      </c>
      <c r="N815" s="13">
        <v>0</v>
      </c>
      <c r="O815" s="11">
        <v>0</v>
      </c>
      <c r="P815" s="11">
        <v>0</v>
      </c>
      <c r="Q815" s="11">
        <v>0</v>
      </c>
      <c r="R815" s="11">
        <v>0</v>
      </c>
      <c r="S815" s="14">
        <v>0</v>
      </c>
      <c r="T815" s="11">
        <v>876.59</v>
      </c>
      <c r="U815" s="13" cm="1">
        <f t="array" ref="U815">IF(Table8[[#This Row],[I_0]]&lt;Table24[Flitro de Ruido],1,Table8[[#This Row],[I_10]]/Table8[[#This Row],[I_0]])</f>
        <v>1</v>
      </c>
      <c r="V815" s="13" cm="1">
        <f t="array" ref="V815">IF(Table8[[#This Row],[I_0]]&lt;Table24[Flitro de Ruido],1,Table8[[#This Row],[I_20]]/Table8[[#This Row],[I_0]])</f>
        <v>1</v>
      </c>
      <c r="W815" s="13" cm="1">
        <f t="array" ref="W815">IF(Table8[[#This Row],[I_0]]&lt;Table24[Flitro de Ruido],1,Table8[[#This Row],[I_30]]/Table8[[#This Row],[I_0]])</f>
        <v>1</v>
      </c>
      <c r="X815" s="13" cm="1">
        <f t="array" ref="X815">IF(Table8[[#This Row],[I_0]]&lt;Table24[Flitro de Ruido],1,Table8[[#This Row],[I_40]]/Table8[[#This Row],[I_0]])</f>
        <v>1</v>
      </c>
      <c r="Y815" s="13" cm="1">
        <f t="array" ref="Y815">IF(Table8[[#This Row],[I_0]]&lt;Table24[Flitro de Ruido],1,Table8[[#This Row],[I_50]]/Table8[[#This Row],[I_0]])</f>
        <v>1</v>
      </c>
    </row>
    <row r="816" spans="1:25" x14ac:dyDescent="0.3">
      <c r="A816" s="13">
        <v>877.58</v>
      </c>
      <c r="B816" s="12">
        <v>0</v>
      </c>
      <c r="C816" s="11">
        <v>877.58</v>
      </c>
      <c r="D816" s="12">
        <v>0</v>
      </c>
      <c r="E816" s="11">
        <v>877.58</v>
      </c>
      <c r="F816" s="12">
        <v>0</v>
      </c>
      <c r="G816" s="11">
        <v>877.58</v>
      </c>
      <c r="H816" s="12">
        <v>0</v>
      </c>
      <c r="I816" s="11">
        <v>877.58</v>
      </c>
      <c r="J816" s="12">
        <v>0</v>
      </c>
      <c r="K816" s="11">
        <v>877.58</v>
      </c>
      <c r="L816" s="12">
        <v>0</v>
      </c>
      <c r="M816" s="11">
        <v>877.58</v>
      </c>
      <c r="N816" s="13">
        <v>0</v>
      </c>
      <c r="O816" s="11">
        <v>0</v>
      </c>
      <c r="P816" s="11">
        <v>0</v>
      </c>
      <c r="Q816" s="11">
        <v>0</v>
      </c>
      <c r="R816" s="11">
        <v>0</v>
      </c>
      <c r="S816" s="14">
        <v>0</v>
      </c>
      <c r="T816" s="11">
        <v>877.58</v>
      </c>
      <c r="U816" s="13" cm="1">
        <f t="array" ref="U816">IF(Table8[[#This Row],[I_0]]&lt;Table24[Flitro de Ruido],1,Table8[[#This Row],[I_10]]/Table8[[#This Row],[I_0]])</f>
        <v>1</v>
      </c>
      <c r="V816" s="13" cm="1">
        <f t="array" ref="V816">IF(Table8[[#This Row],[I_0]]&lt;Table24[Flitro de Ruido],1,Table8[[#This Row],[I_20]]/Table8[[#This Row],[I_0]])</f>
        <v>1</v>
      </c>
      <c r="W816" s="13" cm="1">
        <f t="array" ref="W816">IF(Table8[[#This Row],[I_0]]&lt;Table24[Flitro de Ruido],1,Table8[[#This Row],[I_30]]/Table8[[#This Row],[I_0]])</f>
        <v>1</v>
      </c>
      <c r="X816" s="13" cm="1">
        <f t="array" ref="X816">IF(Table8[[#This Row],[I_0]]&lt;Table24[Flitro de Ruido],1,Table8[[#This Row],[I_40]]/Table8[[#This Row],[I_0]])</f>
        <v>1</v>
      </c>
      <c r="Y816" s="13" cm="1">
        <f t="array" ref="Y816">IF(Table8[[#This Row],[I_0]]&lt;Table24[Flitro de Ruido],1,Table8[[#This Row],[I_50]]/Table8[[#This Row],[I_0]])</f>
        <v>1</v>
      </c>
    </row>
    <row r="817" spans="1:25" x14ac:dyDescent="0.3">
      <c r="A817" s="13">
        <v>878.57</v>
      </c>
      <c r="B817" s="12">
        <v>0</v>
      </c>
      <c r="C817" s="11">
        <v>878.57</v>
      </c>
      <c r="D817" s="12">
        <v>0</v>
      </c>
      <c r="E817" s="11">
        <v>878.57</v>
      </c>
      <c r="F817" s="12">
        <v>0</v>
      </c>
      <c r="G817" s="11">
        <v>878.57</v>
      </c>
      <c r="H817" s="12">
        <v>0</v>
      </c>
      <c r="I817" s="11">
        <v>878.57</v>
      </c>
      <c r="J817" s="12">
        <v>0</v>
      </c>
      <c r="K817" s="11">
        <v>878.57</v>
      </c>
      <c r="L817" s="12">
        <v>0</v>
      </c>
      <c r="M817" s="11">
        <v>878.57</v>
      </c>
      <c r="N817" s="13">
        <v>0</v>
      </c>
      <c r="O817" s="11">
        <v>0</v>
      </c>
      <c r="P817" s="11">
        <v>0</v>
      </c>
      <c r="Q817" s="11">
        <v>0</v>
      </c>
      <c r="R817" s="11">
        <v>0</v>
      </c>
      <c r="S817" s="14">
        <v>0</v>
      </c>
      <c r="T817" s="11">
        <v>878.57</v>
      </c>
      <c r="U817" s="13" cm="1">
        <f t="array" ref="U817">IF(Table8[[#This Row],[I_0]]&lt;Table24[Flitro de Ruido],1,Table8[[#This Row],[I_10]]/Table8[[#This Row],[I_0]])</f>
        <v>1</v>
      </c>
      <c r="V817" s="13" cm="1">
        <f t="array" ref="V817">IF(Table8[[#This Row],[I_0]]&lt;Table24[Flitro de Ruido],1,Table8[[#This Row],[I_20]]/Table8[[#This Row],[I_0]])</f>
        <v>1</v>
      </c>
      <c r="W817" s="13" cm="1">
        <f t="array" ref="W817">IF(Table8[[#This Row],[I_0]]&lt;Table24[Flitro de Ruido],1,Table8[[#This Row],[I_30]]/Table8[[#This Row],[I_0]])</f>
        <v>1</v>
      </c>
      <c r="X817" s="13" cm="1">
        <f t="array" ref="X817">IF(Table8[[#This Row],[I_0]]&lt;Table24[Flitro de Ruido],1,Table8[[#This Row],[I_40]]/Table8[[#This Row],[I_0]])</f>
        <v>1</v>
      </c>
      <c r="Y817" s="13" cm="1">
        <f t="array" ref="Y817">IF(Table8[[#This Row],[I_0]]&lt;Table24[Flitro de Ruido],1,Table8[[#This Row],[I_50]]/Table8[[#This Row],[I_0]])</f>
        <v>1</v>
      </c>
    </row>
    <row r="818" spans="1:25" x14ac:dyDescent="0.3">
      <c r="A818" s="13">
        <v>879.56</v>
      </c>
      <c r="B818" s="12">
        <v>0</v>
      </c>
      <c r="C818" s="11">
        <v>879.56</v>
      </c>
      <c r="D818" s="12">
        <v>0</v>
      </c>
      <c r="E818" s="11">
        <v>879.56</v>
      </c>
      <c r="F818" s="12">
        <v>0</v>
      </c>
      <c r="G818" s="11">
        <v>879.56</v>
      </c>
      <c r="H818" s="12">
        <v>0</v>
      </c>
      <c r="I818" s="11">
        <v>879.56</v>
      </c>
      <c r="J818" s="12">
        <v>0</v>
      </c>
      <c r="K818" s="11">
        <v>879.56</v>
      </c>
      <c r="L818" s="12">
        <v>0</v>
      </c>
      <c r="M818" s="11">
        <v>879.56</v>
      </c>
      <c r="N818" s="13">
        <v>0</v>
      </c>
      <c r="O818" s="11">
        <v>0</v>
      </c>
      <c r="P818" s="11">
        <v>0</v>
      </c>
      <c r="Q818" s="11">
        <v>0</v>
      </c>
      <c r="R818" s="11">
        <v>0</v>
      </c>
      <c r="S818" s="14">
        <v>0</v>
      </c>
      <c r="T818" s="11">
        <v>879.56</v>
      </c>
      <c r="U818" s="13" cm="1">
        <f t="array" ref="U818">IF(Table8[[#This Row],[I_0]]&lt;Table24[Flitro de Ruido],1,Table8[[#This Row],[I_10]]/Table8[[#This Row],[I_0]])</f>
        <v>1</v>
      </c>
      <c r="V818" s="13" cm="1">
        <f t="array" ref="V818">IF(Table8[[#This Row],[I_0]]&lt;Table24[Flitro de Ruido],1,Table8[[#This Row],[I_20]]/Table8[[#This Row],[I_0]])</f>
        <v>1</v>
      </c>
      <c r="W818" s="13" cm="1">
        <f t="array" ref="W818">IF(Table8[[#This Row],[I_0]]&lt;Table24[Flitro de Ruido],1,Table8[[#This Row],[I_30]]/Table8[[#This Row],[I_0]])</f>
        <v>1</v>
      </c>
      <c r="X818" s="13" cm="1">
        <f t="array" ref="X818">IF(Table8[[#This Row],[I_0]]&lt;Table24[Flitro de Ruido],1,Table8[[#This Row],[I_40]]/Table8[[#This Row],[I_0]])</f>
        <v>1</v>
      </c>
      <c r="Y818" s="13" cm="1">
        <f t="array" ref="Y818">IF(Table8[[#This Row],[I_0]]&lt;Table24[Flitro de Ruido],1,Table8[[#This Row],[I_50]]/Table8[[#This Row],[I_0]])</f>
        <v>1</v>
      </c>
    </row>
    <row r="819" spans="1:25" x14ac:dyDescent="0.3">
      <c r="A819" s="13">
        <v>880.55</v>
      </c>
      <c r="B819" s="12">
        <v>0</v>
      </c>
      <c r="C819" s="11">
        <v>880.55</v>
      </c>
      <c r="D819" s="12">
        <v>0</v>
      </c>
      <c r="E819" s="11">
        <v>880.55</v>
      </c>
      <c r="F819" s="12">
        <v>0</v>
      </c>
      <c r="G819" s="11">
        <v>880.55</v>
      </c>
      <c r="H819" s="12">
        <v>0</v>
      </c>
      <c r="I819" s="11">
        <v>880.55</v>
      </c>
      <c r="J819" s="12">
        <v>0</v>
      </c>
      <c r="K819" s="11">
        <v>880.55</v>
      </c>
      <c r="L819" s="12">
        <v>0</v>
      </c>
      <c r="M819" s="11">
        <v>880.55</v>
      </c>
      <c r="N819" s="13">
        <v>0</v>
      </c>
      <c r="O819" s="11">
        <v>0</v>
      </c>
      <c r="P819" s="11">
        <v>0</v>
      </c>
      <c r="Q819" s="11">
        <v>0</v>
      </c>
      <c r="R819" s="11">
        <v>0</v>
      </c>
      <c r="S819" s="14">
        <v>0</v>
      </c>
      <c r="T819" s="11">
        <v>880.55</v>
      </c>
      <c r="U819" s="13" cm="1">
        <f t="array" ref="U819">IF(Table8[[#This Row],[I_0]]&lt;Table24[Flitro de Ruido],1,Table8[[#This Row],[I_10]]/Table8[[#This Row],[I_0]])</f>
        <v>1</v>
      </c>
      <c r="V819" s="13" cm="1">
        <f t="array" ref="V819">IF(Table8[[#This Row],[I_0]]&lt;Table24[Flitro de Ruido],1,Table8[[#This Row],[I_20]]/Table8[[#This Row],[I_0]])</f>
        <v>1</v>
      </c>
      <c r="W819" s="13" cm="1">
        <f t="array" ref="W819">IF(Table8[[#This Row],[I_0]]&lt;Table24[Flitro de Ruido],1,Table8[[#This Row],[I_30]]/Table8[[#This Row],[I_0]])</f>
        <v>1</v>
      </c>
      <c r="X819" s="13" cm="1">
        <f t="array" ref="X819">IF(Table8[[#This Row],[I_0]]&lt;Table24[Flitro de Ruido],1,Table8[[#This Row],[I_40]]/Table8[[#This Row],[I_0]])</f>
        <v>1</v>
      </c>
      <c r="Y819" s="13" cm="1">
        <f t="array" ref="Y819">IF(Table8[[#This Row],[I_0]]&lt;Table24[Flitro de Ruido],1,Table8[[#This Row],[I_50]]/Table8[[#This Row],[I_0]])</f>
        <v>1</v>
      </c>
    </row>
    <row r="820" spans="1:25" x14ac:dyDescent="0.3">
      <c r="A820" s="13">
        <v>881.54</v>
      </c>
      <c r="B820" s="12">
        <v>0</v>
      </c>
      <c r="C820" s="11">
        <v>881.54</v>
      </c>
      <c r="D820" s="12">
        <v>0</v>
      </c>
      <c r="E820" s="11">
        <v>881.54</v>
      </c>
      <c r="F820" s="12">
        <v>0</v>
      </c>
      <c r="G820" s="11">
        <v>881.54</v>
      </c>
      <c r="H820" s="12">
        <v>0</v>
      </c>
      <c r="I820" s="11">
        <v>881.54</v>
      </c>
      <c r="J820" s="12">
        <v>0</v>
      </c>
      <c r="K820" s="11">
        <v>881.54</v>
      </c>
      <c r="L820" s="12">
        <v>0</v>
      </c>
      <c r="M820" s="11">
        <v>881.54</v>
      </c>
      <c r="N820" s="13">
        <v>0</v>
      </c>
      <c r="O820" s="11">
        <v>0</v>
      </c>
      <c r="P820" s="11">
        <v>0</v>
      </c>
      <c r="Q820" s="11">
        <v>0</v>
      </c>
      <c r="R820" s="11">
        <v>0</v>
      </c>
      <c r="S820" s="14">
        <v>0</v>
      </c>
      <c r="T820" s="11">
        <v>881.54</v>
      </c>
      <c r="U820" s="13" cm="1">
        <f t="array" ref="U820">IF(Table8[[#This Row],[I_0]]&lt;Table24[Flitro de Ruido],1,Table8[[#This Row],[I_10]]/Table8[[#This Row],[I_0]])</f>
        <v>1</v>
      </c>
      <c r="V820" s="13" cm="1">
        <f t="array" ref="V820">IF(Table8[[#This Row],[I_0]]&lt;Table24[Flitro de Ruido],1,Table8[[#This Row],[I_20]]/Table8[[#This Row],[I_0]])</f>
        <v>1</v>
      </c>
      <c r="W820" s="13" cm="1">
        <f t="array" ref="W820">IF(Table8[[#This Row],[I_0]]&lt;Table24[Flitro de Ruido],1,Table8[[#This Row],[I_30]]/Table8[[#This Row],[I_0]])</f>
        <v>1</v>
      </c>
      <c r="X820" s="13" cm="1">
        <f t="array" ref="X820">IF(Table8[[#This Row],[I_0]]&lt;Table24[Flitro de Ruido],1,Table8[[#This Row],[I_40]]/Table8[[#This Row],[I_0]])</f>
        <v>1</v>
      </c>
      <c r="Y820" s="13" cm="1">
        <f t="array" ref="Y820">IF(Table8[[#This Row],[I_0]]&lt;Table24[Flitro de Ruido],1,Table8[[#This Row],[I_50]]/Table8[[#This Row],[I_0]])</f>
        <v>1</v>
      </c>
    </row>
    <row r="821" spans="1:25" x14ac:dyDescent="0.3">
      <c r="A821" s="13">
        <v>882.54</v>
      </c>
      <c r="B821" s="12">
        <v>0</v>
      </c>
      <c r="C821" s="11">
        <v>882.54</v>
      </c>
      <c r="D821" s="12">
        <v>0</v>
      </c>
      <c r="E821" s="11">
        <v>882.54</v>
      </c>
      <c r="F821" s="12">
        <v>0</v>
      </c>
      <c r="G821" s="11">
        <v>882.54</v>
      </c>
      <c r="H821" s="12">
        <v>0</v>
      </c>
      <c r="I821" s="11">
        <v>882.54</v>
      </c>
      <c r="J821" s="12">
        <v>0</v>
      </c>
      <c r="K821" s="11">
        <v>882.54</v>
      </c>
      <c r="L821" s="12">
        <v>0</v>
      </c>
      <c r="M821" s="11">
        <v>882.54</v>
      </c>
      <c r="N821" s="13">
        <v>0</v>
      </c>
      <c r="O821" s="11">
        <v>0</v>
      </c>
      <c r="P821" s="11">
        <v>0</v>
      </c>
      <c r="Q821" s="11">
        <v>0</v>
      </c>
      <c r="R821" s="11">
        <v>0</v>
      </c>
      <c r="S821" s="14">
        <v>0</v>
      </c>
      <c r="T821" s="11">
        <v>882.54</v>
      </c>
      <c r="U821" s="13" cm="1">
        <f t="array" ref="U821">IF(Table8[[#This Row],[I_0]]&lt;Table24[Flitro de Ruido],1,Table8[[#This Row],[I_10]]/Table8[[#This Row],[I_0]])</f>
        <v>1</v>
      </c>
      <c r="V821" s="13" cm="1">
        <f t="array" ref="V821">IF(Table8[[#This Row],[I_0]]&lt;Table24[Flitro de Ruido],1,Table8[[#This Row],[I_20]]/Table8[[#This Row],[I_0]])</f>
        <v>1</v>
      </c>
      <c r="W821" s="13" cm="1">
        <f t="array" ref="W821">IF(Table8[[#This Row],[I_0]]&lt;Table24[Flitro de Ruido],1,Table8[[#This Row],[I_30]]/Table8[[#This Row],[I_0]])</f>
        <v>1</v>
      </c>
      <c r="X821" s="13" cm="1">
        <f t="array" ref="X821">IF(Table8[[#This Row],[I_0]]&lt;Table24[Flitro de Ruido],1,Table8[[#This Row],[I_40]]/Table8[[#This Row],[I_0]])</f>
        <v>1</v>
      </c>
      <c r="Y821" s="13" cm="1">
        <f t="array" ref="Y821">IF(Table8[[#This Row],[I_0]]&lt;Table24[Flitro de Ruido],1,Table8[[#This Row],[I_50]]/Table8[[#This Row],[I_0]])</f>
        <v>1</v>
      </c>
    </row>
    <row r="822" spans="1:25" x14ac:dyDescent="0.3">
      <c r="A822" s="13">
        <v>883.53</v>
      </c>
      <c r="B822" s="12">
        <v>0</v>
      </c>
      <c r="C822" s="11">
        <v>883.53</v>
      </c>
      <c r="D822" s="12">
        <v>0</v>
      </c>
      <c r="E822" s="11">
        <v>883.53</v>
      </c>
      <c r="F822" s="12">
        <v>0</v>
      </c>
      <c r="G822" s="11">
        <v>883.53</v>
      </c>
      <c r="H822" s="12">
        <v>0</v>
      </c>
      <c r="I822" s="11">
        <v>883.53</v>
      </c>
      <c r="J822" s="12">
        <v>0</v>
      </c>
      <c r="K822" s="11">
        <v>883.53</v>
      </c>
      <c r="L822" s="12">
        <v>0</v>
      </c>
      <c r="M822" s="11">
        <v>883.53</v>
      </c>
      <c r="N822" s="13">
        <v>0</v>
      </c>
      <c r="O822" s="11">
        <v>0</v>
      </c>
      <c r="P822" s="11">
        <v>0</v>
      </c>
      <c r="Q822" s="11">
        <v>0</v>
      </c>
      <c r="R822" s="11">
        <v>0</v>
      </c>
      <c r="S822" s="14">
        <v>0</v>
      </c>
      <c r="T822" s="11">
        <v>883.53</v>
      </c>
      <c r="U822" s="13" cm="1">
        <f t="array" ref="U822">IF(Table8[[#This Row],[I_0]]&lt;Table24[Flitro de Ruido],1,Table8[[#This Row],[I_10]]/Table8[[#This Row],[I_0]])</f>
        <v>1</v>
      </c>
      <c r="V822" s="13" cm="1">
        <f t="array" ref="V822">IF(Table8[[#This Row],[I_0]]&lt;Table24[Flitro de Ruido],1,Table8[[#This Row],[I_20]]/Table8[[#This Row],[I_0]])</f>
        <v>1</v>
      </c>
      <c r="W822" s="13" cm="1">
        <f t="array" ref="W822">IF(Table8[[#This Row],[I_0]]&lt;Table24[Flitro de Ruido],1,Table8[[#This Row],[I_30]]/Table8[[#This Row],[I_0]])</f>
        <v>1</v>
      </c>
      <c r="X822" s="13" cm="1">
        <f t="array" ref="X822">IF(Table8[[#This Row],[I_0]]&lt;Table24[Flitro de Ruido],1,Table8[[#This Row],[I_40]]/Table8[[#This Row],[I_0]])</f>
        <v>1</v>
      </c>
      <c r="Y822" s="13" cm="1">
        <f t="array" ref="Y822">IF(Table8[[#This Row],[I_0]]&lt;Table24[Flitro de Ruido],1,Table8[[#This Row],[I_50]]/Table8[[#This Row],[I_0]])</f>
        <v>1</v>
      </c>
    </row>
    <row r="823" spans="1:25" x14ac:dyDescent="0.3">
      <c r="A823" s="13">
        <v>884.52</v>
      </c>
      <c r="B823" s="12">
        <v>0</v>
      </c>
      <c r="C823" s="11">
        <v>884.52</v>
      </c>
      <c r="D823" s="12">
        <v>0</v>
      </c>
      <c r="E823" s="11">
        <v>884.52</v>
      </c>
      <c r="F823" s="12">
        <v>0</v>
      </c>
      <c r="G823" s="11">
        <v>884.52</v>
      </c>
      <c r="H823" s="12">
        <v>0</v>
      </c>
      <c r="I823" s="11">
        <v>884.52</v>
      </c>
      <c r="J823" s="12">
        <v>0</v>
      </c>
      <c r="K823" s="11">
        <v>884.52</v>
      </c>
      <c r="L823" s="12">
        <v>0</v>
      </c>
      <c r="M823" s="11">
        <v>884.52</v>
      </c>
      <c r="N823" s="13">
        <v>0</v>
      </c>
      <c r="O823" s="11">
        <v>0</v>
      </c>
      <c r="P823" s="11">
        <v>0</v>
      </c>
      <c r="Q823" s="11">
        <v>0</v>
      </c>
      <c r="R823" s="11">
        <v>0</v>
      </c>
      <c r="S823" s="14">
        <v>0</v>
      </c>
      <c r="T823" s="11">
        <v>884.52</v>
      </c>
      <c r="U823" s="13" cm="1">
        <f t="array" ref="U823">IF(Table8[[#This Row],[I_0]]&lt;Table24[Flitro de Ruido],1,Table8[[#This Row],[I_10]]/Table8[[#This Row],[I_0]])</f>
        <v>1</v>
      </c>
      <c r="V823" s="13" cm="1">
        <f t="array" ref="V823">IF(Table8[[#This Row],[I_0]]&lt;Table24[Flitro de Ruido],1,Table8[[#This Row],[I_20]]/Table8[[#This Row],[I_0]])</f>
        <v>1</v>
      </c>
      <c r="W823" s="13" cm="1">
        <f t="array" ref="W823">IF(Table8[[#This Row],[I_0]]&lt;Table24[Flitro de Ruido],1,Table8[[#This Row],[I_30]]/Table8[[#This Row],[I_0]])</f>
        <v>1</v>
      </c>
      <c r="X823" s="13" cm="1">
        <f t="array" ref="X823">IF(Table8[[#This Row],[I_0]]&lt;Table24[Flitro de Ruido],1,Table8[[#This Row],[I_40]]/Table8[[#This Row],[I_0]])</f>
        <v>1</v>
      </c>
      <c r="Y823" s="13" cm="1">
        <f t="array" ref="Y823">IF(Table8[[#This Row],[I_0]]&lt;Table24[Flitro de Ruido],1,Table8[[#This Row],[I_50]]/Table8[[#This Row],[I_0]])</f>
        <v>1</v>
      </c>
    </row>
    <row r="824" spans="1:25" x14ac:dyDescent="0.3">
      <c r="A824" s="13">
        <v>885.51</v>
      </c>
      <c r="B824" s="12">
        <v>0</v>
      </c>
      <c r="C824" s="11">
        <v>885.51</v>
      </c>
      <c r="D824" s="12">
        <v>0</v>
      </c>
      <c r="E824" s="11">
        <v>885.51</v>
      </c>
      <c r="F824" s="12">
        <v>0</v>
      </c>
      <c r="G824" s="11">
        <v>885.51</v>
      </c>
      <c r="H824" s="12">
        <v>0</v>
      </c>
      <c r="I824" s="11">
        <v>885.51</v>
      </c>
      <c r="J824" s="12">
        <v>0</v>
      </c>
      <c r="K824" s="11">
        <v>885.51</v>
      </c>
      <c r="L824" s="12">
        <v>0</v>
      </c>
      <c r="M824" s="11">
        <v>885.51</v>
      </c>
      <c r="N824" s="13">
        <v>0</v>
      </c>
      <c r="O824" s="11">
        <v>0</v>
      </c>
      <c r="P824" s="11">
        <v>0</v>
      </c>
      <c r="Q824" s="11">
        <v>0</v>
      </c>
      <c r="R824" s="11">
        <v>0</v>
      </c>
      <c r="S824" s="14">
        <v>0</v>
      </c>
      <c r="T824" s="11">
        <v>885.51</v>
      </c>
      <c r="U824" s="13" cm="1">
        <f t="array" ref="U824">IF(Table8[[#This Row],[I_0]]&lt;Table24[Flitro de Ruido],1,Table8[[#This Row],[I_10]]/Table8[[#This Row],[I_0]])</f>
        <v>1</v>
      </c>
      <c r="V824" s="13" cm="1">
        <f t="array" ref="V824">IF(Table8[[#This Row],[I_0]]&lt;Table24[Flitro de Ruido],1,Table8[[#This Row],[I_20]]/Table8[[#This Row],[I_0]])</f>
        <v>1</v>
      </c>
      <c r="W824" s="13" cm="1">
        <f t="array" ref="W824">IF(Table8[[#This Row],[I_0]]&lt;Table24[Flitro de Ruido],1,Table8[[#This Row],[I_30]]/Table8[[#This Row],[I_0]])</f>
        <v>1</v>
      </c>
      <c r="X824" s="13" cm="1">
        <f t="array" ref="X824">IF(Table8[[#This Row],[I_0]]&lt;Table24[Flitro de Ruido],1,Table8[[#This Row],[I_40]]/Table8[[#This Row],[I_0]])</f>
        <v>1</v>
      </c>
      <c r="Y824" s="13" cm="1">
        <f t="array" ref="Y824">IF(Table8[[#This Row],[I_0]]&lt;Table24[Flitro de Ruido],1,Table8[[#This Row],[I_50]]/Table8[[#This Row],[I_0]])</f>
        <v>1</v>
      </c>
    </row>
    <row r="825" spans="1:25" x14ac:dyDescent="0.3">
      <c r="A825" s="13">
        <v>886.5</v>
      </c>
      <c r="B825" s="12">
        <v>0</v>
      </c>
      <c r="C825" s="11">
        <v>886.5</v>
      </c>
      <c r="D825" s="12">
        <v>0</v>
      </c>
      <c r="E825" s="11">
        <v>886.5</v>
      </c>
      <c r="F825" s="12">
        <v>0</v>
      </c>
      <c r="G825" s="11">
        <v>886.5</v>
      </c>
      <c r="H825" s="12">
        <v>0</v>
      </c>
      <c r="I825" s="11">
        <v>886.5</v>
      </c>
      <c r="J825" s="12">
        <v>0</v>
      </c>
      <c r="K825" s="11">
        <v>886.5</v>
      </c>
      <c r="L825" s="12">
        <v>0</v>
      </c>
      <c r="M825" s="11">
        <v>886.5</v>
      </c>
      <c r="N825" s="13">
        <v>0</v>
      </c>
      <c r="O825" s="11">
        <v>0</v>
      </c>
      <c r="P825" s="11">
        <v>0</v>
      </c>
      <c r="Q825" s="11">
        <v>0</v>
      </c>
      <c r="R825" s="11">
        <v>0</v>
      </c>
      <c r="S825" s="14">
        <v>0</v>
      </c>
      <c r="T825" s="11">
        <v>886.5</v>
      </c>
      <c r="U825" s="13" cm="1">
        <f t="array" ref="U825">IF(Table8[[#This Row],[I_0]]&lt;Table24[Flitro de Ruido],1,Table8[[#This Row],[I_10]]/Table8[[#This Row],[I_0]])</f>
        <v>1</v>
      </c>
      <c r="V825" s="13" cm="1">
        <f t="array" ref="V825">IF(Table8[[#This Row],[I_0]]&lt;Table24[Flitro de Ruido],1,Table8[[#This Row],[I_20]]/Table8[[#This Row],[I_0]])</f>
        <v>1</v>
      </c>
      <c r="W825" s="13" cm="1">
        <f t="array" ref="W825">IF(Table8[[#This Row],[I_0]]&lt;Table24[Flitro de Ruido],1,Table8[[#This Row],[I_30]]/Table8[[#This Row],[I_0]])</f>
        <v>1</v>
      </c>
      <c r="X825" s="13" cm="1">
        <f t="array" ref="X825">IF(Table8[[#This Row],[I_0]]&lt;Table24[Flitro de Ruido],1,Table8[[#This Row],[I_40]]/Table8[[#This Row],[I_0]])</f>
        <v>1</v>
      </c>
      <c r="Y825" s="13" cm="1">
        <f t="array" ref="Y825">IF(Table8[[#This Row],[I_0]]&lt;Table24[Flitro de Ruido],1,Table8[[#This Row],[I_50]]/Table8[[#This Row],[I_0]])</f>
        <v>1</v>
      </c>
    </row>
    <row r="826" spans="1:25" x14ac:dyDescent="0.3">
      <c r="A826" s="13">
        <v>887.49</v>
      </c>
      <c r="B826" s="12">
        <v>0</v>
      </c>
      <c r="C826" s="11">
        <v>887.49</v>
      </c>
      <c r="D826" s="12">
        <v>0</v>
      </c>
      <c r="E826" s="11">
        <v>887.49</v>
      </c>
      <c r="F826" s="12">
        <v>0</v>
      </c>
      <c r="G826" s="11">
        <v>887.49</v>
      </c>
      <c r="H826" s="12">
        <v>0</v>
      </c>
      <c r="I826" s="11">
        <v>887.49</v>
      </c>
      <c r="J826" s="12">
        <v>0</v>
      </c>
      <c r="K826" s="11">
        <v>887.49</v>
      </c>
      <c r="L826" s="12">
        <v>0</v>
      </c>
      <c r="M826" s="11">
        <v>887.49</v>
      </c>
      <c r="N826" s="13">
        <v>0</v>
      </c>
      <c r="O826" s="11">
        <v>0</v>
      </c>
      <c r="P826" s="11">
        <v>0</v>
      </c>
      <c r="Q826" s="11">
        <v>0</v>
      </c>
      <c r="R826" s="11">
        <v>0</v>
      </c>
      <c r="S826" s="14">
        <v>0</v>
      </c>
      <c r="T826" s="11">
        <v>887.49</v>
      </c>
      <c r="U826" s="13" cm="1">
        <f t="array" ref="U826">IF(Table8[[#This Row],[I_0]]&lt;Table24[Flitro de Ruido],1,Table8[[#This Row],[I_10]]/Table8[[#This Row],[I_0]])</f>
        <v>1</v>
      </c>
      <c r="V826" s="13" cm="1">
        <f t="array" ref="V826">IF(Table8[[#This Row],[I_0]]&lt;Table24[Flitro de Ruido],1,Table8[[#This Row],[I_20]]/Table8[[#This Row],[I_0]])</f>
        <v>1</v>
      </c>
      <c r="W826" s="13" cm="1">
        <f t="array" ref="W826">IF(Table8[[#This Row],[I_0]]&lt;Table24[Flitro de Ruido],1,Table8[[#This Row],[I_30]]/Table8[[#This Row],[I_0]])</f>
        <v>1</v>
      </c>
      <c r="X826" s="13" cm="1">
        <f t="array" ref="X826">IF(Table8[[#This Row],[I_0]]&lt;Table24[Flitro de Ruido],1,Table8[[#This Row],[I_40]]/Table8[[#This Row],[I_0]])</f>
        <v>1</v>
      </c>
      <c r="Y826" s="13" cm="1">
        <f t="array" ref="Y826">IF(Table8[[#This Row],[I_0]]&lt;Table24[Flitro de Ruido],1,Table8[[#This Row],[I_50]]/Table8[[#This Row],[I_0]])</f>
        <v>1</v>
      </c>
    </row>
    <row r="827" spans="1:25" x14ac:dyDescent="0.3">
      <c r="A827" s="13">
        <v>888.49</v>
      </c>
      <c r="B827" s="12">
        <v>0</v>
      </c>
      <c r="C827" s="11">
        <v>888.49</v>
      </c>
      <c r="D827" s="12">
        <v>0</v>
      </c>
      <c r="E827" s="11">
        <v>888.49</v>
      </c>
      <c r="F827" s="12">
        <v>0</v>
      </c>
      <c r="G827" s="11">
        <v>888.49</v>
      </c>
      <c r="H827" s="12">
        <v>0</v>
      </c>
      <c r="I827" s="11">
        <v>888.49</v>
      </c>
      <c r="J827" s="12">
        <v>0</v>
      </c>
      <c r="K827" s="11">
        <v>888.49</v>
      </c>
      <c r="L827" s="12">
        <v>0</v>
      </c>
      <c r="M827" s="11">
        <v>888.49</v>
      </c>
      <c r="N827" s="13">
        <v>0</v>
      </c>
      <c r="O827" s="11">
        <v>0</v>
      </c>
      <c r="P827" s="11">
        <v>0</v>
      </c>
      <c r="Q827" s="11">
        <v>0</v>
      </c>
      <c r="R827" s="11">
        <v>0</v>
      </c>
      <c r="S827" s="14">
        <v>0</v>
      </c>
      <c r="T827" s="11">
        <v>888.49</v>
      </c>
      <c r="U827" s="13" cm="1">
        <f t="array" ref="U827">IF(Table8[[#This Row],[I_0]]&lt;Table24[Flitro de Ruido],1,Table8[[#This Row],[I_10]]/Table8[[#This Row],[I_0]])</f>
        <v>1</v>
      </c>
      <c r="V827" s="13" cm="1">
        <f t="array" ref="V827">IF(Table8[[#This Row],[I_0]]&lt;Table24[Flitro de Ruido],1,Table8[[#This Row],[I_20]]/Table8[[#This Row],[I_0]])</f>
        <v>1</v>
      </c>
      <c r="W827" s="13" cm="1">
        <f t="array" ref="W827">IF(Table8[[#This Row],[I_0]]&lt;Table24[Flitro de Ruido],1,Table8[[#This Row],[I_30]]/Table8[[#This Row],[I_0]])</f>
        <v>1</v>
      </c>
      <c r="X827" s="13" cm="1">
        <f t="array" ref="X827">IF(Table8[[#This Row],[I_0]]&lt;Table24[Flitro de Ruido],1,Table8[[#This Row],[I_40]]/Table8[[#This Row],[I_0]])</f>
        <v>1</v>
      </c>
      <c r="Y827" s="13" cm="1">
        <f t="array" ref="Y827">IF(Table8[[#This Row],[I_0]]&lt;Table24[Flitro de Ruido],1,Table8[[#This Row],[I_50]]/Table8[[#This Row],[I_0]])</f>
        <v>1</v>
      </c>
    </row>
    <row r="828" spans="1:25" x14ac:dyDescent="0.3">
      <c r="A828" s="13">
        <v>889.48</v>
      </c>
      <c r="B828" s="12">
        <v>0</v>
      </c>
      <c r="C828" s="11">
        <v>889.48</v>
      </c>
      <c r="D828" s="12">
        <v>0</v>
      </c>
      <c r="E828" s="11">
        <v>889.48</v>
      </c>
      <c r="F828" s="12">
        <v>0</v>
      </c>
      <c r="G828" s="11">
        <v>889.48</v>
      </c>
      <c r="H828" s="12">
        <v>0</v>
      </c>
      <c r="I828" s="11">
        <v>889.48</v>
      </c>
      <c r="J828" s="12">
        <v>0</v>
      </c>
      <c r="K828" s="11">
        <v>889.48</v>
      </c>
      <c r="L828" s="12">
        <v>0</v>
      </c>
      <c r="M828" s="11">
        <v>889.48</v>
      </c>
      <c r="N828" s="13">
        <v>0</v>
      </c>
      <c r="O828" s="11">
        <v>0</v>
      </c>
      <c r="P828" s="11">
        <v>0</v>
      </c>
      <c r="Q828" s="11">
        <v>0</v>
      </c>
      <c r="R828" s="11">
        <v>0</v>
      </c>
      <c r="S828" s="14">
        <v>0</v>
      </c>
      <c r="T828" s="11">
        <v>889.48</v>
      </c>
      <c r="U828" s="13" cm="1">
        <f t="array" ref="U828">IF(Table8[[#This Row],[I_0]]&lt;Table24[Flitro de Ruido],1,Table8[[#This Row],[I_10]]/Table8[[#This Row],[I_0]])</f>
        <v>1</v>
      </c>
      <c r="V828" s="13" cm="1">
        <f t="array" ref="V828">IF(Table8[[#This Row],[I_0]]&lt;Table24[Flitro de Ruido],1,Table8[[#This Row],[I_20]]/Table8[[#This Row],[I_0]])</f>
        <v>1</v>
      </c>
      <c r="W828" s="13" cm="1">
        <f t="array" ref="W828">IF(Table8[[#This Row],[I_0]]&lt;Table24[Flitro de Ruido],1,Table8[[#This Row],[I_30]]/Table8[[#This Row],[I_0]])</f>
        <v>1</v>
      </c>
      <c r="X828" s="13" cm="1">
        <f t="array" ref="X828">IF(Table8[[#This Row],[I_0]]&lt;Table24[Flitro de Ruido],1,Table8[[#This Row],[I_40]]/Table8[[#This Row],[I_0]])</f>
        <v>1</v>
      </c>
      <c r="Y828" s="13" cm="1">
        <f t="array" ref="Y828">IF(Table8[[#This Row],[I_0]]&lt;Table24[Flitro de Ruido],1,Table8[[#This Row],[I_50]]/Table8[[#This Row],[I_0]])</f>
        <v>1</v>
      </c>
    </row>
    <row r="829" spans="1:25" x14ac:dyDescent="0.3">
      <c r="A829" s="13">
        <v>890.47</v>
      </c>
      <c r="B829" s="12">
        <v>0</v>
      </c>
      <c r="C829" s="11">
        <v>890.47</v>
      </c>
      <c r="D829" s="12">
        <v>0</v>
      </c>
      <c r="E829" s="11">
        <v>890.47</v>
      </c>
      <c r="F829" s="12">
        <v>0</v>
      </c>
      <c r="G829" s="11">
        <v>890.47</v>
      </c>
      <c r="H829" s="12">
        <v>0</v>
      </c>
      <c r="I829" s="11">
        <v>890.47</v>
      </c>
      <c r="J829" s="12">
        <v>0</v>
      </c>
      <c r="K829" s="11">
        <v>890.47</v>
      </c>
      <c r="L829" s="12">
        <v>0</v>
      </c>
      <c r="M829" s="11">
        <v>890.47</v>
      </c>
      <c r="N829" s="13">
        <v>0</v>
      </c>
      <c r="O829" s="11">
        <v>0</v>
      </c>
      <c r="P829" s="11">
        <v>0</v>
      </c>
      <c r="Q829" s="11">
        <v>0</v>
      </c>
      <c r="R829" s="11">
        <v>0</v>
      </c>
      <c r="S829" s="14">
        <v>0</v>
      </c>
      <c r="T829" s="11">
        <v>890.47</v>
      </c>
      <c r="U829" s="13" cm="1">
        <f t="array" ref="U829">IF(Table8[[#This Row],[I_0]]&lt;Table24[Flitro de Ruido],1,Table8[[#This Row],[I_10]]/Table8[[#This Row],[I_0]])</f>
        <v>1</v>
      </c>
      <c r="V829" s="13" cm="1">
        <f t="array" ref="V829">IF(Table8[[#This Row],[I_0]]&lt;Table24[Flitro de Ruido],1,Table8[[#This Row],[I_20]]/Table8[[#This Row],[I_0]])</f>
        <v>1</v>
      </c>
      <c r="W829" s="13" cm="1">
        <f t="array" ref="W829">IF(Table8[[#This Row],[I_0]]&lt;Table24[Flitro de Ruido],1,Table8[[#This Row],[I_30]]/Table8[[#This Row],[I_0]])</f>
        <v>1</v>
      </c>
      <c r="X829" s="13" cm="1">
        <f t="array" ref="X829">IF(Table8[[#This Row],[I_0]]&lt;Table24[Flitro de Ruido],1,Table8[[#This Row],[I_40]]/Table8[[#This Row],[I_0]])</f>
        <v>1</v>
      </c>
      <c r="Y829" s="13" cm="1">
        <f t="array" ref="Y829">IF(Table8[[#This Row],[I_0]]&lt;Table24[Flitro de Ruido],1,Table8[[#This Row],[I_50]]/Table8[[#This Row],[I_0]])</f>
        <v>1</v>
      </c>
    </row>
    <row r="830" spans="1:25" x14ac:dyDescent="0.3">
      <c r="A830" s="13">
        <v>891.46</v>
      </c>
      <c r="B830" s="12">
        <v>0</v>
      </c>
      <c r="C830" s="11">
        <v>891.46</v>
      </c>
      <c r="D830" s="12">
        <v>0</v>
      </c>
      <c r="E830" s="11">
        <v>891.46</v>
      </c>
      <c r="F830" s="12">
        <v>0</v>
      </c>
      <c r="G830" s="11">
        <v>891.46</v>
      </c>
      <c r="H830" s="12">
        <v>0</v>
      </c>
      <c r="I830" s="11">
        <v>891.46</v>
      </c>
      <c r="J830" s="12">
        <v>0</v>
      </c>
      <c r="K830" s="11">
        <v>891.46</v>
      </c>
      <c r="L830" s="12">
        <v>0</v>
      </c>
      <c r="M830" s="11">
        <v>891.46</v>
      </c>
      <c r="N830" s="13">
        <v>0</v>
      </c>
      <c r="O830" s="11">
        <v>0</v>
      </c>
      <c r="P830" s="11">
        <v>0</v>
      </c>
      <c r="Q830" s="11">
        <v>0</v>
      </c>
      <c r="R830" s="11">
        <v>0</v>
      </c>
      <c r="S830" s="14">
        <v>0</v>
      </c>
      <c r="T830" s="11">
        <v>891.46</v>
      </c>
      <c r="U830" s="13" cm="1">
        <f t="array" ref="U830">IF(Table8[[#This Row],[I_0]]&lt;Table24[Flitro de Ruido],1,Table8[[#This Row],[I_10]]/Table8[[#This Row],[I_0]])</f>
        <v>1</v>
      </c>
      <c r="V830" s="13" cm="1">
        <f t="array" ref="V830">IF(Table8[[#This Row],[I_0]]&lt;Table24[Flitro de Ruido],1,Table8[[#This Row],[I_20]]/Table8[[#This Row],[I_0]])</f>
        <v>1</v>
      </c>
      <c r="W830" s="13" cm="1">
        <f t="array" ref="W830">IF(Table8[[#This Row],[I_0]]&lt;Table24[Flitro de Ruido],1,Table8[[#This Row],[I_30]]/Table8[[#This Row],[I_0]])</f>
        <v>1</v>
      </c>
      <c r="X830" s="13" cm="1">
        <f t="array" ref="X830">IF(Table8[[#This Row],[I_0]]&lt;Table24[Flitro de Ruido],1,Table8[[#This Row],[I_40]]/Table8[[#This Row],[I_0]])</f>
        <v>1</v>
      </c>
      <c r="Y830" s="13" cm="1">
        <f t="array" ref="Y830">IF(Table8[[#This Row],[I_0]]&lt;Table24[Flitro de Ruido],1,Table8[[#This Row],[I_50]]/Table8[[#This Row],[I_0]])</f>
        <v>1</v>
      </c>
    </row>
    <row r="831" spans="1:25" x14ac:dyDescent="0.3">
      <c r="A831" s="13">
        <v>892.45</v>
      </c>
      <c r="B831" s="12">
        <v>0</v>
      </c>
      <c r="C831" s="11">
        <v>892.45</v>
      </c>
      <c r="D831" s="12">
        <v>0</v>
      </c>
      <c r="E831" s="11">
        <v>892.45</v>
      </c>
      <c r="F831" s="12">
        <v>0</v>
      </c>
      <c r="G831" s="11">
        <v>892.45</v>
      </c>
      <c r="H831" s="12">
        <v>0</v>
      </c>
      <c r="I831" s="11">
        <v>892.45</v>
      </c>
      <c r="J831" s="12">
        <v>0</v>
      </c>
      <c r="K831" s="11">
        <v>892.45</v>
      </c>
      <c r="L831" s="12">
        <v>0</v>
      </c>
      <c r="M831" s="11">
        <v>892.45</v>
      </c>
      <c r="N831" s="13">
        <v>0</v>
      </c>
      <c r="O831" s="11">
        <v>0</v>
      </c>
      <c r="P831" s="11">
        <v>0</v>
      </c>
      <c r="Q831" s="11">
        <v>0</v>
      </c>
      <c r="R831" s="11">
        <v>0</v>
      </c>
      <c r="S831" s="14">
        <v>0</v>
      </c>
      <c r="T831" s="11">
        <v>892.45</v>
      </c>
      <c r="U831" s="13" cm="1">
        <f t="array" ref="U831">IF(Table8[[#This Row],[I_0]]&lt;Table24[Flitro de Ruido],1,Table8[[#This Row],[I_10]]/Table8[[#This Row],[I_0]])</f>
        <v>1</v>
      </c>
      <c r="V831" s="13" cm="1">
        <f t="array" ref="V831">IF(Table8[[#This Row],[I_0]]&lt;Table24[Flitro de Ruido],1,Table8[[#This Row],[I_20]]/Table8[[#This Row],[I_0]])</f>
        <v>1</v>
      </c>
      <c r="W831" s="13" cm="1">
        <f t="array" ref="W831">IF(Table8[[#This Row],[I_0]]&lt;Table24[Flitro de Ruido],1,Table8[[#This Row],[I_30]]/Table8[[#This Row],[I_0]])</f>
        <v>1</v>
      </c>
      <c r="X831" s="13" cm="1">
        <f t="array" ref="X831">IF(Table8[[#This Row],[I_0]]&lt;Table24[Flitro de Ruido],1,Table8[[#This Row],[I_40]]/Table8[[#This Row],[I_0]])</f>
        <v>1</v>
      </c>
      <c r="Y831" s="13" cm="1">
        <f t="array" ref="Y831">IF(Table8[[#This Row],[I_0]]&lt;Table24[Flitro de Ruido],1,Table8[[#This Row],[I_50]]/Table8[[#This Row],[I_0]])</f>
        <v>1</v>
      </c>
    </row>
    <row r="832" spans="1:25" x14ac:dyDescent="0.3">
      <c r="A832" s="13">
        <v>893.45</v>
      </c>
      <c r="B832" s="12">
        <v>0</v>
      </c>
      <c r="C832" s="11">
        <v>893.45</v>
      </c>
      <c r="D832" s="12">
        <v>0</v>
      </c>
      <c r="E832" s="11">
        <v>893.45</v>
      </c>
      <c r="F832" s="12">
        <v>0</v>
      </c>
      <c r="G832" s="11">
        <v>893.45</v>
      </c>
      <c r="H832" s="12">
        <v>0</v>
      </c>
      <c r="I832" s="11">
        <v>893.45</v>
      </c>
      <c r="J832" s="12">
        <v>0</v>
      </c>
      <c r="K832" s="11">
        <v>893.45</v>
      </c>
      <c r="L832" s="12">
        <v>0</v>
      </c>
      <c r="M832" s="11">
        <v>893.45</v>
      </c>
      <c r="N832" s="13">
        <v>0</v>
      </c>
      <c r="O832" s="11">
        <v>0</v>
      </c>
      <c r="P832" s="11">
        <v>0</v>
      </c>
      <c r="Q832" s="11">
        <v>0</v>
      </c>
      <c r="R832" s="11">
        <v>0</v>
      </c>
      <c r="S832" s="14">
        <v>0</v>
      </c>
      <c r="T832" s="11">
        <v>893.45</v>
      </c>
      <c r="U832" s="13" cm="1">
        <f t="array" ref="U832">IF(Table8[[#This Row],[I_0]]&lt;Table24[Flitro de Ruido],1,Table8[[#This Row],[I_10]]/Table8[[#This Row],[I_0]])</f>
        <v>1</v>
      </c>
      <c r="V832" s="13" cm="1">
        <f t="array" ref="V832">IF(Table8[[#This Row],[I_0]]&lt;Table24[Flitro de Ruido],1,Table8[[#This Row],[I_20]]/Table8[[#This Row],[I_0]])</f>
        <v>1</v>
      </c>
      <c r="W832" s="13" cm="1">
        <f t="array" ref="W832">IF(Table8[[#This Row],[I_0]]&lt;Table24[Flitro de Ruido],1,Table8[[#This Row],[I_30]]/Table8[[#This Row],[I_0]])</f>
        <v>1</v>
      </c>
      <c r="X832" s="13" cm="1">
        <f t="array" ref="X832">IF(Table8[[#This Row],[I_0]]&lt;Table24[Flitro de Ruido],1,Table8[[#This Row],[I_40]]/Table8[[#This Row],[I_0]])</f>
        <v>1</v>
      </c>
      <c r="Y832" s="13" cm="1">
        <f t="array" ref="Y832">IF(Table8[[#This Row],[I_0]]&lt;Table24[Flitro de Ruido],1,Table8[[#This Row],[I_50]]/Table8[[#This Row],[I_0]])</f>
        <v>1</v>
      </c>
    </row>
    <row r="833" spans="1:25" x14ac:dyDescent="0.3">
      <c r="A833" s="13">
        <v>894.44</v>
      </c>
      <c r="B833" s="12">
        <v>0</v>
      </c>
      <c r="C833" s="11">
        <v>894.44</v>
      </c>
      <c r="D833" s="12">
        <v>0</v>
      </c>
      <c r="E833" s="11">
        <v>894.44</v>
      </c>
      <c r="F833" s="12">
        <v>0</v>
      </c>
      <c r="G833" s="11">
        <v>894.44</v>
      </c>
      <c r="H833" s="12">
        <v>0</v>
      </c>
      <c r="I833" s="11">
        <v>894.44</v>
      </c>
      <c r="J833" s="12">
        <v>0</v>
      </c>
      <c r="K833" s="11">
        <v>894.44</v>
      </c>
      <c r="L833" s="12">
        <v>0</v>
      </c>
      <c r="M833" s="11">
        <v>894.44</v>
      </c>
      <c r="N833" s="13">
        <v>0</v>
      </c>
      <c r="O833" s="11">
        <v>0</v>
      </c>
      <c r="P833" s="11">
        <v>0</v>
      </c>
      <c r="Q833" s="11">
        <v>0</v>
      </c>
      <c r="R833" s="11">
        <v>0</v>
      </c>
      <c r="S833" s="14">
        <v>0</v>
      </c>
      <c r="T833" s="11">
        <v>894.44</v>
      </c>
      <c r="U833" s="13" cm="1">
        <f t="array" ref="U833">IF(Table8[[#This Row],[I_0]]&lt;Table24[Flitro de Ruido],1,Table8[[#This Row],[I_10]]/Table8[[#This Row],[I_0]])</f>
        <v>1</v>
      </c>
      <c r="V833" s="13" cm="1">
        <f t="array" ref="V833">IF(Table8[[#This Row],[I_0]]&lt;Table24[Flitro de Ruido],1,Table8[[#This Row],[I_20]]/Table8[[#This Row],[I_0]])</f>
        <v>1</v>
      </c>
      <c r="W833" s="13" cm="1">
        <f t="array" ref="W833">IF(Table8[[#This Row],[I_0]]&lt;Table24[Flitro de Ruido],1,Table8[[#This Row],[I_30]]/Table8[[#This Row],[I_0]])</f>
        <v>1</v>
      </c>
      <c r="X833" s="13" cm="1">
        <f t="array" ref="X833">IF(Table8[[#This Row],[I_0]]&lt;Table24[Flitro de Ruido],1,Table8[[#This Row],[I_40]]/Table8[[#This Row],[I_0]])</f>
        <v>1</v>
      </c>
      <c r="Y833" s="13" cm="1">
        <f t="array" ref="Y833">IF(Table8[[#This Row],[I_0]]&lt;Table24[Flitro de Ruido],1,Table8[[#This Row],[I_50]]/Table8[[#This Row],[I_0]])</f>
        <v>1</v>
      </c>
    </row>
    <row r="834" spans="1:25" x14ac:dyDescent="0.3">
      <c r="A834" s="13">
        <v>895.43</v>
      </c>
      <c r="B834" s="12">
        <v>0</v>
      </c>
      <c r="C834" s="11">
        <v>895.43</v>
      </c>
      <c r="D834" s="12">
        <v>0</v>
      </c>
      <c r="E834" s="11">
        <v>895.43</v>
      </c>
      <c r="F834" s="12">
        <v>0</v>
      </c>
      <c r="G834" s="11">
        <v>895.43</v>
      </c>
      <c r="H834" s="12">
        <v>0</v>
      </c>
      <c r="I834" s="11">
        <v>895.43</v>
      </c>
      <c r="J834" s="12">
        <v>0</v>
      </c>
      <c r="K834" s="11">
        <v>895.43</v>
      </c>
      <c r="L834" s="12">
        <v>0</v>
      </c>
      <c r="M834" s="11">
        <v>895.43</v>
      </c>
      <c r="N834" s="13">
        <v>0</v>
      </c>
      <c r="O834" s="11">
        <v>0</v>
      </c>
      <c r="P834" s="11">
        <v>0</v>
      </c>
      <c r="Q834" s="11">
        <v>0</v>
      </c>
      <c r="R834" s="11">
        <v>0</v>
      </c>
      <c r="S834" s="14">
        <v>0</v>
      </c>
      <c r="T834" s="11">
        <v>895.43</v>
      </c>
      <c r="U834" s="13" cm="1">
        <f t="array" ref="U834">IF(Table8[[#This Row],[I_0]]&lt;Table24[Flitro de Ruido],1,Table8[[#This Row],[I_10]]/Table8[[#This Row],[I_0]])</f>
        <v>1</v>
      </c>
      <c r="V834" s="13" cm="1">
        <f t="array" ref="V834">IF(Table8[[#This Row],[I_0]]&lt;Table24[Flitro de Ruido],1,Table8[[#This Row],[I_20]]/Table8[[#This Row],[I_0]])</f>
        <v>1</v>
      </c>
      <c r="W834" s="13" cm="1">
        <f t="array" ref="W834">IF(Table8[[#This Row],[I_0]]&lt;Table24[Flitro de Ruido],1,Table8[[#This Row],[I_30]]/Table8[[#This Row],[I_0]])</f>
        <v>1</v>
      </c>
      <c r="X834" s="13" cm="1">
        <f t="array" ref="X834">IF(Table8[[#This Row],[I_0]]&lt;Table24[Flitro de Ruido],1,Table8[[#This Row],[I_40]]/Table8[[#This Row],[I_0]])</f>
        <v>1</v>
      </c>
      <c r="Y834" s="13" cm="1">
        <f t="array" ref="Y834">IF(Table8[[#This Row],[I_0]]&lt;Table24[Flitro de Ruido],1,Table8[[#This Row],[I_50]]/Table8[[#This Row],[I_0]])</f>
        <v>1</v>
      </c>
    </row>
    <row r="835" spans="1:25" x14ac:dyDescent="0.3">
      <c r="A835" s="13">
        <v>896.42</v>
      </c>
      <c r="B835" s="12">
        <v>0</v>
      </c>
      <c r="C835" s="11">
        <v>896.42</v>
      </c>
      <c r="D835" s="12">
        <v>0</v>
      </c>
      <c r="E835" s="11">
        <v>896.42</v>
      </c>
      <c r="F835" s="12">
        <v>0</v>
      </c>
      <c r="G835" s="11">
        <v>896.42</v>
      </c>
      <c r="H835" s="12">
        <v>0</v>
      </c>
      <c r="I835" s="11">
        <v>896.42</v>
      </c>
      <c r="J835" s="12">
        <v>0</v>
      </c>
      <c r="K835" s="11">
        <v>896.42</v>
      </c>
      <c r="L835" s="12">
        <v>0</v>
      </c>
      <c r="M835" s="11">
        <v>896.42</v>
      </c>
      <c r="N835" s="13">
        <v>0</v>
      </c>
      <c r="O835" s="11">
        <v>0</v>
      </c>
      <c r="P835" s="11">
        <v>0</v>
      </c>
      <c r="Q835" s="11">
        <v>0</v>
      </c>
      <c r="R835" s="11">
        <v>0</v>
      </c>
      <c r="S835" s="14">
        <v>0</v>
      </c>
      <c r="T835" s="11">
        <v>896.42</v>
      </c>
      <c r="U835" s="13" cm="1">
        <f t="array" ref="U835">IF(Table8[[#This Row],[I_0]]&lt;Table24[Flitro de Ruido],1,Table8[[#This Row],[I_10]]/Table8[[#This Row],[I_0]])</f>
        <v>1</v>
      </c>
      <c r="V835" s="13" cm="1">
        <f t="array" ref="V835">IF(Table8[[#This Row],[I_0]]&lt;Table24[Flitro de Ruido],1,Table8[[#This Row],[I_20]]/Table8[[#This Row],[I_0]])</f>
        <v>1</v>
      </c>
      <c r="W835" s="13" cm="1">
        <f t="array" ref="W835">IF(Table8[[#This Row],[I_0]]&lt;Table24[Flitro de Ruido],1,Table8[[#This Row],[I_30]]/Table8[[#This Row],[I_0]])</f>
        <v>1</v>
      </c>
      <c r="X835" s="13" cm="1">
        <f t="array" ref="X835">IF(Table8[[#This Row],[I_0]]&lt;Table24[Flitro de Ruido],1,Table8[[#This Row],[I_40]]/Table8[[#This Row],[I_0]])</f>
        <v>1</v>
      </c>
      <c r="Y835" s="13" cm="1">
        <f t="array" ref="Y835">IF(Table8[[#This Row],[I_0]]&lt;Table24[Flitro de Ruido],1,Table8[[#This Row],[I_50]]/Table8[[#This Row],[I_0]])</f>
        <v>1</v>
      </c>
    </row>
    <row r="836" spans="1:25" x14ac:dyDescent="0.3">
      <c r="A836" s="13">
        <v>897.41</v>
      </c>
      <c r="B836" s="12">
        <v>0</v>
      </c>
      <c r="C836" s="11">
        <v>897.41</v>
      </c>
      <c r="D836" s="12">
        <v>0</v>
      </c>
      <c r="E836" s="11">
        <v>897.41</v>
      </c>
      <c r="F836" s="12">
        <v>0</v>
      </c>
      <c r="G836" s="11">
        <v>897.41</v>
      </c>
      <c r="H836" s="12">
        <v>0</v>
      </c>
      <c r="I836" s="11">
        <v>897.41</v>
      </c>
      <c r="J836" s="12">
        <v>0</v>
      </c>
      <c r="K836" s="11">
        <v>897.41</v>
      </c>
      <c r="L836" s="12">
        <v>0</v>
      </c>
      <c r="M836" s="11">
        <v>897.41</v>
      </c>
      <c r="N836" s="13">
        <v>0</v>
      </c>
      <c r="O836" s="11">
        <v>0</v>
      </c>
      <c r="P836" s="11">
        <v>0</v>
      </c>
      <c r="Q836" s="11">
        <v>0</v>
      </c>
      <c r="R836" s="11">
        <v>0</v>
      </c>
      <c r="S836" s="14">
        <v>0</v>
      </c>
      <c r="T836" s="11">
        <v>897.41</v>
      </c>
      <c r="U836" s="13" cm="1">
        <f t="array" ref="U836">IF(Table8[[#This Row],[I_0]]&lt;Table24[Flitro de Ruido],1,Table8[[#This Row],[I_10]]/Table8[[#This Row],[I_0]])</f>
        <v>1</v>
      </c>
      <c r="V836" s="13" cm="1">
        <f t="array" ref="V836">IF(Table8[[#This Row],[I_0]]&lt;Table24[Flitro de Ruido],1,Table8[[#This Row],[I_20]]/Table8[[#This Row],[I_0]])</f>
        <v>1</v>
      </c>
      <c r="W836" s="13" cm="1">
        <f t="array" ref="W836">IF(Table8[[#This Row],[I_0]]&lt;Table24[Flitro de Ruido],1,Table8[[#This Row],[I_30]]/Table8[[#This Row],[I_0]])</f>
        <v>1</v>
      </c>
      <c r="X836" s="13" cm="1">
        <f t="array" ref="X836">IF(Table8[[#This Row],[I_0]]&lt;Table24[Flitro de Ruido],1,Table8[[#This Row],[I_40]]/Table8[[#This Row],[I_0]])</f>
        <v>1</v>
      </c>
      <c r="Y836" s="13" cm="1">
        <f t="array" ref="Y836">IF(Table8[[#This Row],[I_0]]&lt;Table24[Flitro de Ruido],1,Table8[[#This Row],[I_50]]/Table8[[#This Row],[I_0]])</f>
        <v>1</v>
      </c>
    </row>
    <row r="837" spans="1:25" x14ac:dyDescent="0.3">
      <c r="A837" s="13">
        <v>898.4</v>
      </c>
      <c r="B837" s="12">
        <v>0</v>
      </c>
      <c r="C837" s="11">
        <v>898.4</v>
      </c>
      <c r="D837" s="12">
        <v>0</v>
      </c>
      <c r="E837" s="11">
        <v>898.4</v>
      </c>
      <c r="F837" s="12">
        <v>0</v>
      </c>
      <c r="G837" s="11">
        <v>898.4</v>
      </c>
      <c r="H837" s="12">
        <v>0</v>
      </c>
      <c r="I837" s="11">
        <v>898.4</v>
      </c>
      <c r="J837" s="12">
        <v>0</v>
      </c>
      <c r="K837" s="11">
        <v>898.4</v>
      </c>
      <c r="L837" s="12">
        <v>0</v>
      </c>
      <c r="M837" s="11">
        <v>898.4</v>
      </c>
      <c r="N837" s="13">
        <v>0</v>
      </c>
      <c r="O837" s="11">
        <v>0</v>
      </c>
      <c r="P837" s="11">
        <v>0</v>
      </c>
      <c r="Q837" s="11">
        <v>0</v>
      </c>
      <c r="R837" s="11">
        <v>0</v>
      </c>
      <c r="S837" s="14">
        <v>0</v>
      </c>
      <c r="T837" s="11">
        <v>898.4</v>
      </c>
      <c r="U837" s="13" cm="1">
        <f t="array" ref="U837">IF(Table8[[#This Row],[I_0]]&lt;Table24[Flitro de Ruido],1,Table8[[#This Row],[I_10]]/Table8[[#This Row],[I_0]])</f>
        <v>1</v>
      </c>
      <c r="V837" s="13" cm="1">
        <f t="array" ref="V837">IF(Table8[[#This Row],[I_0]]&lt;Table24[Flitro de Ruido],1,Table8[[#This Row],[I_20]]/Table8[[#This Row],[I_0]])</f>
        <v>1</v>
      </c>
      <c r="W837" s="13" cm="1">
        <f t="array" ref="W837">IF(Table8[[#This Row],[I_0]]&lt;Table24[Flitro de Ruido],1,Table8[[#This Row],[I_30]]/Table8[[#This Row],[I_0]])</f>
        <v>1</v>
      </c>
      <c r="X837" s="13" cm="1">
        <f t="array" ref="X837">IF(Table8[[#This Row],[I_0]]&lt;Table24[Flitro de Ruido],1,Table8[[#This Row],[I_40]]/Table8[[#This Row],[I_0]])</f>
        <v>1</v>
      </c>
      <c r="Y837" s="13" cm="1">
        <f t="array" ref="Y837">IF(Table8[[#This Row],[I_0]]&lt;Table24[Flitro de Ruido],1,Table8[[#This Row],[I_50]]/Table8[[#This Row],[I_0]])</f>
        <v>1</v>
      </c>
    </row>
    <row r="838" spans="1:25" x14ac:dyDescent="0.3">
      <c r="A838" s="13">
        <v>899.4</v>
      </c>
      <c r="B838" s="12">
        <v>0</v>
      </c>
      <c r="C838" s="11">
        <v>899.4</v>
      </c>
      <c r="D838" s="12">
        <v>0</v>
      </c>
      <c r="E838" s="11">
        <v>899.4</v>
      </c>
      <c r="F838" s="12">
        <v>0</v>
      </c>
      <c r="G838" s="11">
        <v>899.4</v>
      </c>
      <c r="H838" s="12">
        <v>0</v>
      </c>
      <c r="I838" s="11">
        <v>899.4</v>
      </c>
      <c r="J838" s="12">
        <v>0</v>
      </c>
      <c r="K838" s="11">
        <v>899.4</v>
      </c>
      <c r="L838" s="12">
        <v>0</v>
      </c>
      <c r="M838" s="11">
        <v>899.4</v>
      </c>
      <c r="N838" s="13">
        <v>0</v>
      </c>
      <c r="O838" s="11">
        <v>0</v>
      </c>
      <c r="P838" s="11">
        <v>0</v>
      </c>
      <c r="Q838" s="11">
        <v>0</v>
      </c>
      <c r="R838" s="11">
        <v>0</v>
      </c>
      <c r="S838" s="14">
        <v>0</v>
      </c>
      <c r="T838" s="11">
        <v>899.4</v>
      </c>
      <c r="U838" s="13" cm="1">
        <f t="array" ref="U838">IF(Table8[[#This Row],[I_0]]&lt;Table24[Flitro de Ruido],1,Table8[[#This Row],[I_10]]/Table8[[#This Row],[I_0]])</f>
        <v>1</v>
      </c>
      <c r="V838" s="13" cm="1">
        <f t="array" ref="V838">IF(Table8[[#This Row],[I_0]]&lt;Table24[Flitro de Ruido],1,Table8[[#This Row],[I_20]]/Table8[[#This Row],[I_0]])</f>
        <v>1</v>
      </c>
      <c r="W838" s="13" cm="1">
        <f t="array" ref="W838">IF(Table8[[#This Row],[I_0]]&lt;Table24[Flitro de Ruido],1,Table8[[#This Row],[I_30]]/Table8[[#This Row],[I_0]])</f>
        <v>1</v>
      </c>
      <c r="X838" s="13" cm="1">
        <f t="array" ref="X838">IF(Table8[[#This Row],[I_0]]&lt;Table24[Flitro de Ruido],1,Table8[[#This Row],[I_40]]/Table8[[#This Row],[I_0]])</f>
        <v>1</v>
      </c>
      <c r="Y838" s="13" cm="1">
        <f t="array" ref="Y838">IF(Table8[[#This Row],[I_0]]&lt;Table24[Flitro de Ruido],1,Table8[[#This Row],[I_50]]/Table8[[#This Row],[I_0]])</f>
        <v>1</v>
      </c>
    </row>
    <row r="839" spans="1:25" x14ac:dyDescent="0.3">
      <c r="A839" s="13">
        <v>900.39</v>
      </c>
      <c r="B839" s="12">
        <v>0</v>
      </c>
      <c r="C839" s="11">
        <v>900.39</v>
      </c>
      <c r="D839" s="12">
        <v>0</v>
      </c>
      <c r="E839" s="11">
        <v>900.39</v>
      </c>
      <c r="F839" s="12">
        <v>0</v>
      </c>
      <c r="G839" s="11">
        <v>900.39</v>
      </c>
      <c r="H839" s="12">
        <v>0</v>
      </c>
      <c r="I839" s="11">
        <v>900.39</v>
      </c>
      <c r="J839" s="12">
        <v>0</v>
      </c>
      <c r="K839" s="11">
        <v>900.39</v>
      </c>
      <c r="L839" s="12">
        <v>0</v>
      </c>
      <c r="M839" s="11">
        <v>900.39</v>
      </c>
      <c r="N839" s="13">
        <v>0</v>
      </c>
      <c r="O839" s="11">
        <v>0</v>
      </c>
      <c r="P839" s="11">
        <v>0</v>
      </c>
      <c r="Q839" s="11">
        <v>0</v>
      </c>
      <c r="R839" s="11">
        <v>0</v>
      </c>
      <c r="S839" s="14">
        <v>0</v>
      </c>
      <c r="T839" s="11">
        <v>900.39</v>
      </c>
      <c r="U839" s="13" cm="1">
        <f t="array" ref="U839">IF(Table8[[#This Row],[I_0]]&lt;Table24[Flitro de Ruido],1,Table8[[#This Row],[I_10]]/Table8[[#This Row],[I_0]])</f>
        <v>1</v>
      </c>
      <c r="V839" s="13" cm="1">
        <f t="array" ref="V839">IF(Table8[[#This Row],[I_0]]&lt;Table24[Flitro de Ruido],1,Table8[[#This Row],[I_20]]/Table8[[#This Row],[I_0]])</f>
        <v>1</v>
      </c>
      <c r="W839" s="13" cm="1">
        <f t="array" ref="W839">IF(Table8[[#This Row],[I_0]]&lt;Table24[Flitro de Ruido],1,Table8[[#This Row],[I_30]]/Table8[[#This Row],[I_0]])</f>
        <v>1</v>
      </c>
      <c r="X839" s="13" cm="1">
        <f t="array" ref="X839">IF(Table8[[#This Row],[I_0]]&lt;Table24[Flitro de Ruido],1,Table8[[#This Row],[I_40]]/Table8[[#This Row],[I_0]])</f>
        <v>1</v>
      </c>
      <c r="Y839" s="13" cm="1">
        <f t="array" ref="Y839">IF(Table8[[#This Row],[I_0]]&lt;Table24[Flitro de Ruido],1,Table8[[#This Row],[I_50]]/Table8[[#This Row],[I_0]])</f>
        <v>1</v>
      </c>
    </row>
    <row r="840" spans="1:25" x14ac:dyDescent="0.3">
      <c r="A840" s="13">
        <v>901.38</v>
      </c>
      <c r="B840" s="12">
        <v>0</v>
      </c>
      <c r="C840" s="11">
        <v>901.38</v>
      </c>
      <c r="D840" s="12">
        <v>0</v>
      </c>
      <c r="E840" s="11">
        <v>901.38</v>
      </c>
      <c r="F840" s="12">
        <v>0</v>
      </c>
      <c r="G840" s="11">
        <v>901.38</v>
      </c>
      <c r="H840" s="12">
        <v>0</v>
      </c>
      <c r="I840" s="11">
        <v>901.38</v>
      </c>
      <c r="J840" s="12">
        <v>0</v>
      </c>
      <c r="K840" s="11">
        <v>901.38</v>
      </c>
      <c r="L840" s="12">
        <v>0</v>
      </c>
      <c r="M840" s="11">
        <v>901.38</v>
      </c>
      <c r="N840" s="13">
        <v>0</v>
      </c>
      <c r="O840" s="11">
        <v>0</v>
      </c>
      <c r="P840" s="11">
        <v>0</v>
      </c>
      <c r="Q840" s="11">
        <v>0</v>
      </c>
      <c r="R840" s="11">
        <v>0</v>
      </c>
      <c r="S840" s="14">
        <v>0</v>
      </c>
      <c r="T840" s="11">
        <v>901.38</v>
      </c>
      <c r="U840" s="13" cm="1">
        <f t="array" ref="U840">IF(Table8[[#This Row],[I_0]]&lt;Table24[Flitro de Ruido],1,Table8[[#This Row],[I_10]]/Table8[[#This Row],[I_0]])</f>
        <v>1</v>
      </c>
      <c r="V840" s="13" cm="1">
        <f t="array" ref="V840">IF(Table8[[#This Row],[I_0]]&lt;Table24[Flitro de Ruido],1,Table8[[#This Row],[I_20]]/Table8[[#This Row],[I_0]])</f>
        <v>1</v>
      </c>
      <c r="W840" s="13" cm="1">
        <f t="array" ref="W840">IF(Table8[[#This Row],[I_0]]&lt;Table24[Flitro de Ruido],1,Table8[[#This Row],[I_30]]/Table8[[#This Row],[I_0]])</f>
        <v>1</v>
      </c>
      <c r="X840" s="13" cm="1">
        <f t="array" ref="X840">IF(Table8[[#This Row],[I_0]]&lt;Table24[Flitro de Ruido],1,Table8[[#This Row],[I_40]]/Table8[[#This Row],[I_0]])</f>
        <v>1</v>
      </c>
      <c r="Y840" s="13" cm="1">
        <f t="array" ref="Y840">IF(Table8[[#This Row],[I_0]]&lt;Table24[Flitro de Ruido],1,Table8[[#This Row],[I_50]]/Table8[[#This Row],[I_0]])</f>
        <v>1</v>
      </c>
    </row>
    <row r="841" spans="1:25" x14ac:dyDescent="0.3">
      <c r="A841" s="13">
        <v>902.37</v>
      </c>
      <c r="B841" s="12">
        <v>0</v>
      </c>
      <c r="C841" s="11">
        <v>902.37</v>
      </c>
      <c r="D841" s="12">
        <v>0</v>
      </c>
      <c r="E841" s="11">
        <v>902.37</v>
      </c>
      <c r="F841" s="12">
        <v>0</v>
      </c>
      <c r="G841" s="11">
        <v>902.37</v>
      </c>
      <c r="H841" s="12">
        <v>0</v>
      </c>
      <c r="I841" s="11">
        <v>902.37</v>
      </c>
      <c r="J841" s="12">
        <v>0</v>
      </c>
      <c r="K841" s="11">
        <v>902.37</v>
      </c>
      <c r="L841" s="12">
        <v>0</v>
      </c>
      <c r="M841" s="11">
        <v>902.37</v>
      </c>
      <c r="N841" s="13">
        <v>0</v>
      </c>
      <c r="O841" s="11">
        <v>0</v>
      </c>
      <c r="P841" s="11">
        <v>0</v>
      </c>
      <c r="Q841" s="11">
        <v>0</v>
      </c>
      <c r="R841" s="11">
        <v>0</v>
      </c>
      <c r="S841" s="14">
        <v>0</v>
      </c>
      <c r="T841" s="11">
        <v>902.37</v>
      </c>
      <c r="U841" s="13" cm="1">
        <f t="array" ref="U841">IF(Table8[[#This Row],[I_0]]&lt;Table24[Flitro de Ruido],1,Table8[[#This Row],[I_10]]/Table8[[#This Row],[I_0]])</f>
        <v>1</v>
      </c>
      <c r="V841" s="13" cm="1">
        <f t="array" ref="V841">IF(Table8[[#This Row],[I_0]]&lt;Table24[Flitro de Ruido],1,Table8[[#This Row],[I_20]]/Table8[[#This Row],[I_0]])</f>
        <v>1</v>
      </c>
      <c r="W841" s="13" cm="1">
        <f t="array" ref="W841">IF(Table8[[#This Row],[I_0]]&lt;Table24[Flitro de Ruido],1,Table8[[#This Row],[I_30]]/Table8[[#This Row],[I_0]])</f>
        <v>1</v>
      </c>
      <c r="X841" s="13" cm="1">
        <f t="array" ref="X841">IF(Table8[[#This Row],[I_0]]&lt;Table24[Flitro de Ruido],1,Table8[[#This Row],[I_40]]/Table8[[#This Row],[I_0]])</f>
        <v>1</v>
      </c>
      <c r="Y841" s="13" cm="1">
        <f t="array" ref="Y841">IF(Table8[[#This Row],[I_0]]&lt;Table24[Flitro de Ruido],1,Table8[[#This Row],[I_50]]/Table8[[#This Row],[I_0]])</f>
        <v>1</v>
      </c>
    </row>
    <row r="842" spans="1:25" x14ac:dyDescent="0.3">
      <c r="A842" s="13">
        <v>903.36</v>
      </c>
      <c r="B842" s="12">
        <v>0</v>
      </c>
      <c r="C842" s="11">
        <v>903.36</v>
      </c>
      <c r="D842" s="12">
        <v>0</v>
      </c>
      <c r="E842" s="11">
        <v>903.36</v>
      </c>
      <c r="F842" s="12">
        <v>0</v>
      </c>
      <c r="G842" s="11">
        <v>903.36</v>
      </c>
      <c r="H842" s="12">
        <v>0</v>
      </c>
      <c r="I842" s="11">
        <v>903.36</v>
      </c>
      <c r="J842" s="12">
        <v>0</v>
      </c>
      <c r="K842" s="11">
        <v>903.36</v>
      </c>
      <c r="L842" s="12">
        <v>0</v>
      </c>
      <c r="M842" s="11">
        <v>903.36</v>
      </c>
      <c r="N842" s="13">
        <v>0</v>
      </c>
      <c r="O842" s="11">
        <v>0</v>
      </c>
      <c r="P842" s="11">
        <v>0</v>
      </c>
      <c r="Q842" s="11">
        <v>0</v>
      </c>
      <c r="R842" s="11">
        <v>0</v>
      </c>
      <c r="S842" s="14">
        <v>0</v>
      </c>
      <c r="T842" s="11">
        <v>903.36</v>
      </c>
      <c r="U842" s="13" cm="1">
        <f t="array" ref="U842">IF(Table8[[#This Row],[I_0]]&lt;Table24[Flitro de Ruido],1,Table8[[#This Row],[I_10]]/Table8[[#This Row],[I_0]])</f>
        <v>1</v>
      </c>
      <c r="V842" s="13" cm="1">
        <f t="array" ref="V842">IF(Table8[[#This Row],[I_0]]&lt;Table24[Flitro de Ruido],1,Table8[[#This Row],[I_20]]/Table8[[#This Row],[I_0]])</f>
        <v>1</v>
      </c>
      <c r="W842" s="13" cm="1">
        <f t="array" ref="W842">IF(Table8[[#This Row],[I_0]]&lt;Table24[Flitro de Ruido],1,Table8[[#This Row],[I_30]]/Table8[[#This Row],[I_0]])</f>
        <v>1</v>
      </c>
      <c r="X842" s="13" cm="1">
        <f t="array" ref="X842">IF(Table8[[#This Row],[I_0]]&lt;Table24[Flitro de Ruido],1,Table8[[#This Row],[I_40]]/Table8[[#This Row],[I_0]])</f>
        <v>1</v>
      </c>
      <c r="Y842" s="13" cm="1">
        <f t="array" ref="Y842">IF(Table8[[#This Row],[I_0]]&lt;Table24[Flitro de Ruido],1,Table8[[#This Row],[I_50]]/Table8[[#This Row],[I_0]])</f>
        <v>1</v>
      </c>
    </row>
    <row r="843" spans="1:25" x14ac:dyDescent="0.3">
      <c r="A843" s="13">
        <v>904.35</v>
      </c>
      <c r="B843" s="12">
        <v>0</v>
      </c>
      <c r="C843" s="11">
        <v>904.35</v>
      </c>
      <c r="D843" s="12">
        <v>0</v>
      </c>
      <c r="E843" s="11">
        <v>904.35</v>
      </c>
      <c r="F843" s="12">
        <v>0</v>
      </c>
      <c r="G843" s="11">
        <v>904.35</v>
      </c>
      <c r="H843" s="12">
        <v>0</v>
      </c>
      <c r="I843" s="11">
        <v>904.35</v>
      </c>
      <c r="J843" s="12">
        <v>0</v>
      </c>
      <c r="K843" s="11">
        <v>904.35</v>
      </c>
      <c r="L843" s="12">
        <v>0</v>
      </c>
      <c r="M843" s="11">
        <v>904.35</v>
      </c>
      <c r="N843" s="13">
        <v>0</v>
      </c>
      <c r="O843" s="11">
        <v>0</v>
      </c>
      <c r="P843" s="11">
        <v>0</v>
      </c>
      <c r="Q843" s="11">
        <v>0</v>
      </c>
      <c r="R843" s="11">
        <v>0</v>
      </c>
      <c r="S843" s="14">
        <v>0</v>
      </c>
      <c r="T843" s="11">
        <v>904.35</v>
      </c>
      <c r="U843" s="13" cm="1">
        <f t="array" ref="U843">IF(Table8[[#This Row],[I_0]]&lt;Table24[Flitro de Ruido],1,Table8[[#This Row],[I_10]]/Table8[[#This Row],[I_0]])</f>
        <v>1</v>
      </c>
      <c r="V843" s="13" cm="1">
        <f t="array" ref="V843">IF(Table8[[#This Row],[I_0]]&lt;Table24[Flitro de Ruido],1,Table8[[#This Row],[I_20]]/Table8[[#This Row],[I_0]])</f>
        <v>1</v>
      </c>
      <c r="W843" s="13" cm="1">
        <f t="array" ref="W843">IF(Table8[[#This Row],[I_0]]&lt;Table24[Flitro de Ruido],1,Table8[[#This Row],[I_30]]/Table8[[#This Row],[I_0]])</f>
        <v>1</v>
      </c>
      <c r="X843" s="13" cm="1">
        <f t="array" ref="X843">IF(Table8[[#This Row],[I_0]]&lt;Table24[Flitro de Ruido],1,Table8[[#This Row],[I_40]]/Table8[[#This Row],[I_0]])</f>
        <v>1</v>
      </c>
      <c r="Y843" s="13" cm="1">
        <f t="array" ref="Y843">IF(Table8[[#This Row],[I_0]]&lt;Table24[Flitro de Ruido],1,Table8[[#This Row],[I_50]]/Table8[[#This Row],[I_0]])</f>
        <v>1</v>
      </c>
    </row>
    <row r="844" spans="1:25" x14ac:dyDescent="0.3">
      <c r="A844" s="13">
        <v>905.35</v>
      </c>
      <c r="B844" s="12">
        <v>0</v>
      </c>
      <c r="C844" s="11">
        <v>905.35</v>
      </c>
      <c r="D844" s="12">
        <v>0</v>
      </c>
      <c r="E844" s="11">
        <v>905.35</v>
      </c>
      <c r="F844" s="12">
        <v>0</v>
      </c>
      <c r="G844" s="11">
        <v>905.35</v>
      </c>
      <c r="H844" s="12">
        <v>0</v>
      </c>
      <c r="I844" s="11">
        <v>905.35</v>
      </c>
      <c r="J844" s="12">
        <v>0</v>
      </c>
      <c r="K844" s="11">
        <v>905.35</v>
      </c>
      <c r="L844" s="12">
        <v>0</v>
      </c>
      <c r="M844" s="11">
        <v>905.35</v>
      </c>
      <c r="N844" s="13">
        <v>0</v>
      </c>
      <c r="O844" s="11">
        <v>0</v>
      </c>
      <c r="P844" s="11">
        <v>0</v>
      </c>
      <c r="Q844" s="11">
        <v>0</v>
      </c>
      <c r="R844" s="11">
        <v>0</v>
      </c>
      <c r="S844" s="14">
        <v>0</v>
      </c>
      <c r="T844" s="11">
        <v>905.35</v>
      </c>
      <c r="U844" s="13" cm="1">
        <f t="array" ref="U844">IF(Table8[[#This Row],[I_0]]&lt;Table24[Flitro de Ruido],1,Table8[[#This Row],[I_10]]/Table8[[#This Row],[I_0]])</f>
        <v>1</v>
      </c>
      <c r="V844" s="13" cm="1">
        <f t="array" ref="V844">IF(Table8[[#This Row],[I_0]]&lt;Table24[Flitro de Ruido],1,Table8[[#This Row],[I_20]]/Table8[[#This Row],[I_0]])</f>
        <v>1</v>
      </c>
      <c r="W844" s="13" cm="1">
        <f t="array" ref="W844">IF(Table8[[#This Row],[I_0]]&lt;Table24[Flitro de Ruido],1,Table8[[#This Row],[I_30]]/Table8[[#This Row],[I_0]])</f>
        <v>1</v>
      </c>
      <c r="X844" s="13" cm="1">
        <f t="array" ref="X844">IF(Table8[[#This Row],[I_0]]&lt;Table24[Flitro de Ruido],1,Table8[[#This Row],[I_40]]/Table8[[#This Row],[I_0]])</f>
        <v>1</v>
      </c>
      <c r="Y844" s="13" cm="1">
        <f t="array" ref="Y844">IF(Table8[[#This Row],[I_0]]&lt;Table24[Flitro de Ruido],1,Table8[[#This Row],[I_50]]/Table8[[#This Row],[I_0]])</f>
        <v>1</v>
      </c>
    </row>
    <row r="845" spans="1:25" x14ac:dyDescent="0.3">
      <c r="A845" s="13">
        <v>906.34</v>
      </c>
      <c r="B845" s="12">
        <v>0</v>
      </c>
      <c r="C845" s="11">
        <v>906.34</v>
      </c>
      <c r="D845" s="12">
        <v>0</v>
      </c>
      <c r="E845" s="11">
        <v>906.34</v>
      </c>
      <c r="F845" s="12">
        <v>0</v>
      </c>
      <c r="G845" s="11">
        <v>906.34</v>
      </c>
      <c r="H845" s="12">
        <v>0</v>
      </c>
      <c r="I845" s="11">
        <v>906.34</v>
      </c>
      <c r="J845" s="12">
        <v>0</v>
      </c>
      <c r="K845" s="11">
        <v>906.34</v>
      </c>
      <c r="L845" s="12">
        <v>0</v>
      </c>
      <c r="M845" s="11">
        <v>906.34</v>
      </c>
      <c r="N845" s="13">
        <v>0</v>
      </c>
      <c r="O845" s="11">
        <v>0</v>
      </c>
      <c r="P845" s="11">
        <v>0</v>
      </c>
      <c r="Q845" s="11">
        <v>0</v>
      </c>
      <c r="R845" s="11">
        <v>0</v>
      </c>
      <c r="S845" s="14">
        <v>0</v>
      </c>
      <c r="T845" s="11">
        <v>906.34</v>
      </c>
      <c r="U845" s="13" cm="1">
        <f t="array" ref="U845">IF(Table8[[#This Row],[I_0]]&lt;Table24[Flitro de Ruido],1,Table8[[#This Row],[I_10]]/Table8[[#This Row],[I_0]])</f>
        <v>1</v>
      </c>
      <c r="V845" s="13" cm="1">
        <f t="array" ref="V845">IF(Table8[[#This Row],[I_0]]&lt;Table24[Flitro de Ruido],1,Table8[[#This Row],[I_20]]/Table8[[#This Row],[I_0]])</f>
        <v>1</v>
      </c>
      <c r="W845" s="13" cm="1">
        <f t="array" ref="W845">IF(Table8[[#This Row],[I_0]]&lt;Table24[Flitro de Ruido],1,Table8[[#This Row],[I_30]]/Table8[[#This Row],[I_0]])</f>
        <v>1</v>
      </c>
      <c r="X845" s="13" cm="1">
        <f t="array" ref="X845">IF(Table8[[#This Row],[I_0]]&lt;Table24[Flitro de Ruido],1,Table8[[#This Row],[I_40]]/Table8[[#This Row],[I_0]])</f>
        <v>1</v>
      </c>
      <c r="Y845" s="13" cm="1">
        <f t="array" ref="Y845">IF(Table8[[#This Row],[I_0]]&lt;Table24[Flitro de Ruido],1,Table8[[#This Row],[I_50]]/Table8[[#This Row],[I_0]])</f>
        <v>1</v>
      </c>
    </row>
    <row r="846" spans="1:25" x14ac:dyDescent="0.3">
      <c r="A846" s="13">
        <v>907.33</v>
      </c>
      <c r="B846" s="12">
        <v>0</v>
      </c>
      <c r="C846" s="11">
        <v>907.33</v>
      </c>
      <c r="D846" s="12">
        <v>0</v>
      </c>
      <c r="E846" s="11">
        <v>907.33</v>
      </c>
      <c r="F846" s="12">
        <v>0</v>
      </c>
      <c r="G846" s="11">
        <v>907.33</v>
      </c>
      <c r="H846" s="12">
        <v>0</v>
      </c>
      <c r="I846" s="11">
        <v>907.33</v>
      </c>
      <c r="J846" s="12">
        <v>0</v>
      </c>
      <c r="K846" s="11">
        <v>907.33</v>
      </c>
      <c r="L846" s="12">
        <v>0</v>
      </c>
      <c r="M846" s="11">
        <v>907.33</v>
      </c>
      <c r="N846" s="13">
        <v>0</v>
      </c>
      <c r="O846" s="11">
        <v>0</v>
      </c>
      <c r="P846" s="11">
        <v>0</v>
      </c>
      <c r="Q846" s="11">
        <v>0</v>
      </c>
      <c r="R846" s="11">
        <v>0</v>
      </c>
      <c r="S846" s="14">
        <v>0</v>
      </c>
      <c r="T846" s="11">
        <v>907.33</v>
      </c>
      <c r="U846" s="13" cm="1">
        <f t="array" ref="U846">IF(Table8[[#This Row],[I_0]]&lt;Table24[Flitro de Ruido],1,Table8[[#This Row],[I_10]]/Table8[[#This Row],[I_0]])</f>
        <v>1</v>
      </c>
      <c r="V846" s="13" cm="1">
        <f t="array" ref="V846">IF(Table8[[#This Row],[I_0]]&lt;Table24[Flitro de Ruido],1,Table8[[#This Row],[I_20]]/Table8[[#This Row],[I_0]])</f>
        <v>1</v>
      </c>
      <c r="W846" s="13" cm="1">
        <f t="array" ref="W846">IF(Table8[[#This Row],[I_0]]&lt;Table24[Flitro de Ruido],1,Table8[[#This Row],[I_30]]/Table8[[#This Row],[I_0]])</f>
        <v>1</v>
      </c>
      <c r="X846" s="13" cm="1">
        <f t="array" ref="X846">IF(Table8[[#This Row],[I_0]]&lt;Table24[Flitro de Ruido],1,Table8[[#This Row],[I_40]]/Table8[[#This Row],[I_0]])</f>
        <v>1</v>
      </c>
      <c r="Y846" s="13" cm="1">
        <f t="array" ref="Y846">IF(Table8[[#This Row],[I_0]]&lt;Table24[Flitro de Ruido],1,Table8[[#This Row],[I_50]]/Table8[[#This Row],[I_0]])</f>
        <v>1</v>
      </c>
    </row>
    <row r="847" spans="1:25" x14ac:dyDescent="0.3">
      <c r="A847" s="13">
        <v>908.32</v>
      </c>
      <c r="B847" s="12">
        <v>0</v>
      </c>
      <c r="C847" s="11">
        <v>908.32</v>
      </c>
      <c r="D847" s="12">
        <v>0</v>
      </c>
      <c r="E847" s="11">
        <v>908.32</v>
      </c>
      <c r="F847" s="12">
        <v>0</v>
      </c>
      <c r="G847" s="11">
        <v>908.32</v>
      </c>
      <c r="H847" s="12">
        <v>0</v>
      </c>
      <c r="I847" s="11">
        <v>908.32</v>
      </c>
      <c r="J847" s="12">
        <v>0</v>
      </c>
      <c r="K847" s="11">
        <v>908.32</v>
      </c>
      <c r="L847" s="12">
        <v>0</v>
      </c>
      <c r="M847" s="11">
        <v>908.32</v>
      </c>
      <c r="N847" s="13">
        <v>0</v>
      </c>
      <c r="O847" s="11">
        <v>0</v>
      </c>
      <c r="P847" s="11">
        <v>0</v>
      </c>
      <c r="Q847" s="11">
        <v>0</v>
      </c>
      <c r="R847" s="11">
        <v>0</v>
      </c>
      <c r="S847" s="14">
        <v>0</v>
      </c>
      <c r="T847" s="11">
        <v>908.32</v>
      </c>
      <c r="U847" s="13" cm="1">
        <f t="array" ref="U847">IF(Table8[[#This Row],[I_0]]&lt;Table24[Flitro de Ruido],1,Table8[[#This Row],[I_10]]/Table8[[#This Row],[I_0]])</f>
        <v>1</v>
      </c>
      <c r="V847" s="13" cm="1">
        <f t="array" ref="V847">IF(Table8[[#This Row],[I_0]]&lt;Table24[Flitro de Ruido],1,Table8[[#This Row],[I_20]]/Table8[[#This Row],[I_0]])</f>
        <v>1</v>
      </c>
      <c r="W847" s="13" cm="1">
        <f t="array" ref="W847">IF(Table8[[#This Row],[I_0]]&lt;Table24[Flitro de Ruido],1,Table8[[#This Row],[I_30]]/Table8[[#This Row],[I_0]])</f>
        <v>1</v>
      </c>
      <c r="X847" s="13" cm="1">
        <f t="array" ref="X847">IF(Table8[[#This Row],[I_0]]&lt;Table24[Flitro de Ruido],1,Table8[[#This Row],[I_40]]/Table8[[#This Row],[I_0]])</f>
        <v>1</v>
      </c>
      <c r="Y847" s="13" cm="1">
        <f t="array" ref="Y847">IF(Table8[[#This Row],[I_0]]&lt;Table24[Flitro de Ruido],1,Table8[[#This Row],[I_50]]/Table8[[#This Row],[I_0]])</f>
        <v>1</v>
      </c>
    </row>
    <row r="848" spans="1:25" x14ac:dyDescent="0.3">
      <c r="A848" s="13">
        <v>909.31</v>
      </c>
      <c r="B848" s="12">
        <v>0</v>
      </c>
      <c r="C848" s="11">
        <v>909.31</v>
      </c>
      <c r="D848" s="12">
        <v>0</v>
      </c>
      <c r="E848" s="11">
        <v>909.31</v>
      </c>
      <c r="F848" s="12">
        <v>0</v>
      </c>
      <c r="G848" s="11">
        <v>909.31</v>
      </c>
      <c r="H848" s="12">
        <v>0</v>
      </c>
      <c r="I848" s="11">
        <v>909.31</v>
      </c>
      <c r="J848" s="12">
        <v>0</v>
      </c>
      <c r="K848" s="11">
        <v>909.31</v>
      </c>
      <c r="L848" s="12">
        <v>0</v>
      </c>
      <c r="M848" s="11">
        <v>909.31</v>
      </c>
      <c r="N848" s="13">
        <v>0</v>
      </c>
      <c r="O848" s="11">
        <v>0</v>
      </c>
      <c r="P848" s="11">
        <v>0</v>
      </c>
      <c r="Q848" s="11">
        <v>0</v>
      </c>
      <c r="R848" s="11">
        <v>0</v>
      </c>
      <c r="S848" s="14">
        <v>0</v>
      </c>
      <c r="T848" s="11">
        <v>909.31</v>
      </c>
      <c r="U848" s="13" cm="1">
        <f t="array" ref="U848">IF(Table8[[#This Row],[I_0]]&lt;Table24[Flitro de Ruido],1,Table8[[#This Row],[I_10]]/Table8[[#This Row],[I_0]])</f>
        <v>1</v>
      </c>
      <c r="V848" s="13" cm="1">
        <f t="array" ref="V848">IF(Table8[[#This Row],[I_0]]&lt;Table24[Flitro de Ruido],1,Table8[[#This Row],[I_20]]/Table8[[#This Row],[I_0]])</f>
        <v>1</v>
      </c>
      <c r="W848" s="13" cm="1">
        <f t="array" ref="W848">IF(Table8[[#This Row],[I_0]]&lt;Table24[Flitro de Ruido],1,Table8[[#This Row],[I_30]]/Table8[[#This Row],[I_0]])</f>
        <v>1</v>
      </c>
      <c r="X848" s="13" cm="1">
        <f t="array" ref="X848">IF(Table8[[#This Row],[I_0]]&lt;Table24[Flitro de Ruido],1,Table8[[#This Row],[I_40]]/Table8[[#This Row],[I_0]])</f>
        <v>1</v>
      </c>
      <c r="Y848" s="13" cm="1">
        <f t="array" ref="Y848">IF(Table8[[#This Row],[I_0]]&lt;Table24[Flitro de Ruido],1,Table8[[#This Row],[I_50]]/Table8[[#This Row],[I_0]])</f>
        <v>1</v>
      </c>
    </row>
    <row r="849" spans="1:25" x14ac:dyDescent="0.3">
      <c r="A849" s="13">
        <v>910.31</v>
      </c>
      <c r="B849" s="12">
        <v>0</v>
      </c>
      <c r="C849" s="11">
        <v>910.31</v>
      </c>
      <c r="D849" s="12">
        <v>0</v>
      </c>
      <c r="E849" s="11">
        <v>910.31</v>
      </c>
      <c r="F849" s="12">
        <v>0</v>
      </c>
      <c r="G849" s="11">
        <v>910.31</v>
      </c>
      <c r="H849" s="12">
        <v>0</v>
      </c>
      <c r="I849" s="11">
        <v>910.31</v>
      </c>
      <c r="J849" s="12">
        <v>0</v>
      </c>
      <c r="K849" s="11">
        <v>910.31</v>
      </c>
      <c r="L849" s="12">
        <v>0</v>
      </c>
      <c r="M849" s="11">
        <v>910.31</v>
      </c>
      <c r="N849" s="13">
        <v>0</v>
      </c>
      <c r="O849" s="11">
        <v>0</v>
      </c>
      <c r="P849" s="11">
        <v>0</v>
      </c>
      <c r="Q849" s="11">
        <v>0</v>
      </c>
      <c r="R849" s="11">
        <v>0</v>
      </c>
      <c r="S849" s="14">
        <v>0</v>
      </c>
      <c r="T849" s="11">
        <v>910.31</v>
      </c>
      <c r="U849" s="13" cm="1">
        <f t="array" ref="U849">IF(Table8[[#This Row],[I_0]]&lt;Table24[Flitro de Ruido],1,Table8[[#This Row],[I_10]]/Table8[[#This Row],[I_0]])</f>
        <v>1</v>
      </c>
      <c r="V849" s="13" cm="1">
        <f t="array" ref="V849">IF(Table8[[#This Row],[I_0]]&lt;Table24[Flitro de Ruido],1,Table8[[#This Row],[I_20]]/Table8[[#This Row],[I_0]])</f>
        <v>1</v>
      </c>
      <c r="W849" s="13" cm="1">
        <f t="array" ref="W849">IF(Table8[[#This Row],[I_0]]&lt;Table24[Flitro de Ruido],1,Table8[[#This Row],[I_30]]/Table8[[#This Row],[I_0]])</f>
        <v>1</v>
      </c>
      <c r="X849" s="13" cm="1">
        <f t="array" ref="X849">IF(Table8[[#This Row],[I_0]]&lt;Table24[Flitro de Ruido],1,Table8[[#This Row],[I_40]]/Table8[[#This Row],[I_0]])</f>
        <v>1</v>
      </c>
      <c r="Y849" s="13" cm="1">
        <f t="array" ref="Y849">IF(Table8[[#This Row],[I_0]]&lt;Table24[Flitro de Ruido],1,Table8[[#This Row],[I_50]]/Table8[[#This Row],[I_0]])</f>
        <v>1</v>
      </c>
    </row>
    <row r="850" spans="1:25" x14ac:dyDescent="0.3">
      <c r="A850" s="13">
        <v>911.3</v>
      </c>
      <c r="B850" s="12">
        <v>0</v>
      </c>
      <c r="C850" s="11">
        <v>911.3</v>
      </c>
      <c r="D850" s="12">
        <v>0</v>
      </c>
      <c r="E850" s="11">
        <v>911.3</v>
      </c>
      <c r="F850" s="12">
        <v>0</v>
      </c>
      <c r="G850" s="11">
        <v>911.3</v>
      </c>
      <c r="H850" s="12">
        <v>0</v>
      </c>
      <c r="I850" s="11">
        <v>911.3</v>
      </c>
      <c r="J850" s="12">
        <v>0</v>
      </c>
      <c r="K850" s="11">
        <v>911.3</v>
      </c>
      <c r="L850" s="12">
        <v>0</v>
      </c>
      <c r="M850" s="11">
        <v>911.3</v>
      </c>
      <c r="N850" s="13">
        <v>0</v>
      </c>
      <c r="O850" s="11">
        <v>0</v>
      </c>
      <c r="P850" s="11">
        <v>0</v>
      </c>
      <c r="Q850" s="11">
        <v>0</v>
      </c>
      <c r="R850" s="11">
        <v>0</v>
      </c>
      <c r="S850" s="14">
        <v>0</v>
      </c>
      <c r="T850" s="11">
        <v>911.3</v>
      </c>
      <c r="U850" s="13" cm="1">
        <f t="array" ref="U850">IF(Table8[[#This Row],[I_0]]&lt;Table24[Flitro de Ruido],1,Table8[[#This Row],[I_10]]/Table8[[#This Row],[I_0]])</f>
        <v>1</v>
      </c>
      <c r="V850" s="13" cm="1">
        <f t="array" ref="V850">IF(Table8[[#This Row],[I_0]]&lt;Table24[Flitro de Ruido],1,Table8[[#This Row],[I_20]]/Table8[[#This Row],[I_0]])</f>
        <v>1</v>
      </c>
      <c r="W850" s="13" cm="1">
        <f t="array" ref="W850">IF(Table8[[#This Row],[I_0]]&lt;Table24[Flitro de Ruido],1,Table8[[#This Row],[I_30]]/Table8[[#This Row],[I_0]])</f>
        <v>1</v>
      </c>
      <c r="X850" s="13" cm="1">
        <f t="array" ref="X850">IF(Table8[[#This Row],[I_0]]&lt;Table24[Flitro de Ruido],1,Table8[[#This Row],[I_40]]/Table8[[#This Row],[I_0]])</f>
        <v>1</v>
      </c>
      <c r="Y850" s="13" cm="1">
        <f t="array" ref="Y850">IF(Table8[[#This Row],[I_0]]&lt;Table24[Flitro de Ruido],1,Table8[[#This Row],[I_50]]/Table8[[#This Row],[I_0]])</f>
        <v>1</v>
      </c>
    </row>
    <row r="851" spans="1:25" x14ac:dyDescent="0.3">
      <c r="A851" s="13">
        <v>912.29</v>
      </c>
      <c r="B851" s="12">
        <v>0</v>
      </c>
      <c r="C851" s="11">
        <v>912.29</v>
      </c>
      <c r="D851" s="12">
        <v>0</v>
      </c>
      <c r="E851" s="11">
        <v>912.29</v>
      </c>
      <c r="F851" s="12">
        <v>0</v>
      </c>
      <c r="G851" s="11">
        <v>912.29</v>
      </c>
      <c r="H851" s="12">
        <v>0</v>
      </c>
      <c r="I851" s="11">
        <v>912.29</v>
      </c>
      <c r="J851" s="12">
        <v>0</v>
      </c>
      <c r="K851" s="11">
        <v>912.29</v>
      </c>
      <c r="L851" s="12">
        <v>0</v>
      </c>
      <c r="M851" s="11">
        <v>912.29</v>
      </c>
      <c r="N851" s="13">
        <v>0</v>
      </c>
      <c r="O851" s="11">
        <v>0</v>
      </c>
      <c r="P851" s="11">
        <v>0</v>
      </c>
      <c r="Q851" s="11">
        <v>0</v>
      </c>
      <c r="R851" s="11">
        <v>0</v>
      </c>
      <c r="S851" s="14">
        <v>0</v>
      </c>
      <c r="T851" s="11">
        <v>912.29</v>
      </c>
      <c r="U851" s="13" cm="1">
        <f t="array" ref="U851">IF(Table8[[#This Row],[I_0]]&lt;Table24[Flitro de Ruido],1,Table8[[#This Row],[I_10]]/Table8[[#This Row],[I_0]])</f>
        <v>1</v>
      </c>
      <c r="V851" s="13" cm="1">
        <f t="array" ref="V851">IF(Table8[[#This Row],[I_0]]&lt;Table24[Flitro de Ruido],1,Table8[[#This Row],[I_20]]/Table8[[#This Row],[I_0]])</f>
        <v>1</v>
      </c>
      <c r="W851" s="13" cm="1">
        <f t="array" ref="W851">IF(Table8[[#This Row],[I_0]]&lt;Table24[Flitro de Ruido],1,Table8[[#This Row],[I_30]]/Table8[[#This Row],[I_0]])</f>
        <v>1</v>
      </c>
      <c r="X851" s="13" cm="1">
        <f t="array" ref="X851">IF(Table8[[#This Row],[I_0]]&lt;Table24[Flitro de Ruido],1,Table8[[#This Row],[I_40]]/Table8[[#This Row],[I_0]])</f>
        <v>1</v>
      </c>
      <c r="Y851" s="13" cm="1">
        <f t="array" ref="Y851">IF(Table8[[#This Row],[I_0]]&lt;Table24[Flitro de Ruido],1,Table8[[#This Row],[I_50]]/Table8[[#This Row],[I_0]])</f>
        <v>1</v>
      </c>
    </row>
    <row r="852" spans="1:25" x14ac:dyDescent="0.3">
      <c r="A852" s="13">
        <v>913.28</v>
      </c>
      <c r="B852" s="12">
        <v>0</v>
      </c>
      <c r="C852" s="11">
        <v>913.28</v>
      </c>
      <c r="D852" s="12">
        <v>0</v>
      </c>
      <c r="E852" s="11">
        <v>913.28</v>
      </c>
      <c r="F852" s="12">
        <v>0</v>
      </c>
      <c r="G852" s="11">
        <v>913.28</v>
      </c>
      <c r="H852" s="12">
        <v>0</v>
      </c>
      <c r="I852" s="11">
        <v>913.28</v>
      </c>
      <c r="J852" s="12">
        <v>0</v>
      </c>
      <c r="K852" s="11">
        <v>913.28</v>
      </c>
      <c r="L852" s="12">
        <v>0</v>
      </c>
      <c r="M852" s="11">
        <v>913.28</v>
      </c>
      <c r="N852" s="13">
        <v>0</v>
      </c>
      <c r="O852" s="11">
        <v>0</v>
      </c>
      <c r="P852" s="11">
        <v>0</v>
      </c>
      <c r="Q852" s="11">
        <v>0</v>
      </c>
      <c r="R852" s="11">
        <v>0</v>
      </c>
      <c r="S852" s="14">
        <v>0</v>
      </c>
      <c r="T852" s="11">
        <v>913.28</v>
      </c>
      <c r="U852" s="13" cm="1">
        <f t="array" ref="U852">IF(Table8[[#This Row],[I_0]]&lt;Table24[Flitro de Ruido],1,Table8[[#This Row],[I_10]]/Table8[[#This Row],[I_0]])</f>
        <v>1</v>
      </c>
      <c r="V852" s="13" cm="1">
        <f t="array" ref="V852">IF(Table8[[#This Row],[I_0]]&lt;Table24[Flitro de Ruido],1,Table8[[#This Row],[I_20]]/Table8[[#This Row],[I_0]])</f>
        <v>1</v>
      </c>
      <c r="W852" s="13" cm="1">
        <f t="array" ref="W852">IF(Table8[[#This Row],[I_0]]&lt;Table24[Flitro de Ruido],1,Table8[[#This Row],[I_30]]/Table8[[#This Row],[I_0]])</f>
        <v>1</v>
      </c>
      <c r="X852" s="13" cm="1">
        <f t="array" ref="X852">IF(Table8[[#This Row],[I_0]]&lt;Table24[Flitro de Ruido],1,Table8[[#This Row],[I_40]]/Table8[[#This Row],[I_0]])</f>
        <v>1</v>
      </c>
      <c r="Y852" s="13" cm="1">
        <f t="array" ref="Y852">IF(Table8[[#This Row],[I_0]]&lt;Table24[Flitro de Ruido],1,Table8[[#This Row],[I_50]]/Table8[[#This Row],[I_0]])</f>
        <v>1</v>
      </c>
    </row>
    <row r="853" spans="1:25" x14ac:dyDescent="0.3">
      <c r="A853" s="13">
        <v>914.27</v>
      </c>
      <c r="B853" s="12">
        <v>0</v>
      </c>
      <c r="C853" s="11">
        <v>914.27</v>
      </c>
      <c r="D853" s="12">
        <v>0</v>
      </c>
      <c r="E853" s="11">
        <v>914.27</v>
      </c>
      <c r="F853" s="12">
        <v>0</v>
      </c>
      <c r="G853" s="11">
        <v>914.27</v>
      </c>
      <c r="H853" s="12">
        <v>0</v>
      </c>
      <c r="I853" s="11">
        <v>914.27</v>
      </c>
      <c r="J853" s="12">
        <v>0</v>
      </c>
      <c r="K853" s="11">
        <v>914.27</v>
      </c>
      <c r="L853" s="12">
        <v>0</v>
      </c>
      <c r="M853" s="11">
        <v>914.27</v>
      </c>
      <c r="N853" s="13">
        <v>0</v>
      </c>
      <c r="O853" s="11">
        <v>0</v>
      </c>
      <c r="P853" s="11">
        <v>0</v>
      </c>
      <c r="Q853" s="11">
        <v>0</v>
      </c>
      <c r="R853" s="11">
        <v>0</v>
      </c>
      <c r="S853" s="14">
        <v>0</v>
      </c>
      <c r="T853" s="11">
        <v>914.27</v>
      </c>
      <c r="U853" s="13" cm="1">
        <f t="array" ref="U853">IF(Table8[[#This Row],[I_0]]&lt;Table24[Flitro de Ruido],1,Table8[[#This Row],[I_10]]/Table8[[#This Row],[I_0]])</f>
        <v>1</v>
      </c>
      <c r="V853" s="13" cm="1">
        <f t="array" ref="V853">IF(Table8[[#This Row],[I_0]]&lt;Table24[Flitro de Ruido],1,Table8[[#This Row],[I_20]]/Table8[[#This Row],[I_0]])</f>
        <v>1</v>
      </c>
      <c r="W853" s="13" cm="1">
        <f t="array" ref="W853">IF(Table8[[#This Row],[I_0]]&lt;Table24[Flitro de Ruido],1,Table8[[#This Row],[I_30]]/Table8[[#This Row],[I_0]])</f>
        <v>1</v>
      </c>
      <c r="X853" s="13" cm="1">
        <f t="array" ref="X853">IF(Table8[[#This Row],[I_0]]&lt;Table24[Flitro de Ruido],1,Table8[[#This Row],[I_40]]/Table8[[#This Row],[I_0]])</f>
        <v>1</v>
      </c>
      <c r="Y853" s="13" cm="1">
        <f t="array" ref="Y853">IF(Table8[[#This Row],[I_0]]&lt;Table24[Flitro de Ruido],1,Table8[[#This Row],[I_50]]/Table8[[#This Row],[I_0]])</f>
        <v>1</v>
      </c>
    </row>
    <row r="854" spans="1:25" x14ac:dyDescent="0.3">
      <c r="A854" s="13">
        <v>915.26</v>
      </c>
      <c r="B854" s="12">
        <v>0</v>
      </c>
      <c r="C854" s="11">
        <v>915.26</v>
      </c>
      <c r="D854" s="12">
        <v>0</v>
      </c>
      <c r="E854" s="11">
        <v>915.26</v>
      </c>
      <c r="F854" s="12">
        <v>0</v>
      </c>
      <c r="G854" s="11">
        <v>915.26</v>
      </c>
      <c r="H854" s="12">
        <v>0</v>
      </c>
      <c r="I854" s="11">
        <v>915.26</v>
      </c>
      <c r="J854" s="12">
        <v>0</v>
      </c>
      <c r="K854" s="11">
        <v>915.26</v>
      </c>
      <c r="L854" s="12">
        <v>0</v>
      </c>
      <c r="M854" s="11">
        <v>915.26</v>
      </c>
      <c r="N854" s="13">
        <v>0</v>
      </c>
      <c r="O854" s="11">
        <v>0</v>
      </c>
      <c r="P854" s="11">
        <v>0</v>
      </c>
      <c r="Q854" s="11">
        <v>0</v>
      </c>
      <c r="R854" s="11">
        <v>0</v>
      </c>
      <c r="S854" s="14">
        <v>0</v>
      </c>
      <c r="T854" s="11">
        <v>915.26</v>
      </c>
      <c r="U854" s="13" cm="1">
        <f t="array" ref="U854">IF(Table8[[#This Row],[I_0]]&lt;Table24[Flitro de Ruido],1,Table8[[#This Row],[I_10]]/Table8[[#This Row],[I_0]])</f>
        <v>1</v>
      </c>
      <c r="V854" s="13" cm="1">
        <f t="array" ref="V854">IF(Table8[[#This Row],[I_0]]&lt;Table24[Flitro de Ruido],1,Table8[[#This Row],[I_20]]/Table8[[#This Row],[I_0]])</f>
        <v>1</v>
      </c>
      <c r="W854" s="13" cm="1">
        <f t="array" ref="W854">IF(Table8[[#This Row],[I_0]]&lt;Table24[Flitro de Ruido],1,Table8[[#This Row],[I_30]]/Table8[[#This Row],[I_0]])</f>
        <v>1</v>
      </c>
      <c r="X854" s="13" cm="1">
        <f t="array" ref="X854">IF(Table8[[#This Row],[I_0]]&lt;Table24[Flitro de Ruido],1,Table8[[#This Row],[I_40]]/Table8[[#This Row],[I_0]])</f>
        <v>1</v>
      </c>
      <c r="Y854" s="13" cm="1">
        <f t="array" ref="Y854">IF(Table8[[#This Row],[I_0]]&lt;Table24[Flitro de Ruido],1,Table8[[#This Row],[I_50]]/Table8[[#This Row],[I_0]])</f>
        <v>1</v>
      </c>
    </row>
    <row r="855" spans="1:25" x14ac:dyDescent="0.3">
      <c r="A855" s="13">
        <v>916.26</v>
      </c>
      <c r="B855" s="12">
        <v>0</v>
      </c>
      <c r="C855" s="11">
        <v>916.26</v>
      </c>
      <c r="D855" s="12">
        <v>0</v>
      </c>
      <c r="E855" s="11">
        <v>916.26</v>
      </c>
      <c r="F855" s="12">
        <v>0</v>
      </c>
      <c r="G855" s="11">
        <v>916.26</v>
      </c>
      <c r="H855" s="12">
        <v>0</v>
      </c>
      <c r="I855" s="11">
        <v>916.26</v>
      </c>
      <c r="J855" s="12">
        <v>0</v>
      </c>
      <c r="K855" s="11">
        <v>916.26</v>
      </c>
      <c r="L855" s="12">
        <v>0</v>
      </c>
      <c r="M855" s="11">
        <v>916.26</v>
      </c>
      <c r="N855" s="13">
        <v>0</v>
      </c>
      <c r="O855" s="11">
        <v>0</v>
      </c>
      <c r="P855" s="11">
        <v>0</v>
      </c>
      <c r="Q855" s="11">
        <v>0</v>
      </c>
      <c r="R855" s="11">
        <v>0</v>
      </c>
      <c r="S855" s="14">
        <v>0</v>
      </c>
      <c r="T855" s="11">
        <v>916.26</v>
      </c>
      <c r="U855" s="13" cm="1">
        <f t="array" ref="U855">IF(Table8[[#This Row],[I_0]]&lt;Table24[Flitro de Ruido],1,Table8[[#This Row],[I_10]]/Table8[[#This Row],[I_0]])</f>
        <v>1</v>
      </c>
      <c r="V855" s="13" cm="1">
        <f t="array" ref="V855">IF(Table8[[#This Row],[I_0]]&lt;Table24[Flitro de Ruido],1,Table8[[#This Row],[I_20]]/Table8[[#This Row],[I_0]])</f>
        <v>1</v>
      </c>
      <c r="W855" s="13" cm="1">
        <f t="array" ref="W855">IF(Table8[[#This Row],[I_0]]&lt;Table24[Flitro de Ruido],1,Table8[[#This Row],[I_30]]/Table8[[#This Row],[I_0]])</f>
        <v>1</v>
      </c>
      <c r="X855" s="13" cm="1">
        <f t="array" ref="X855">IF(Table8[[#This Row],[I_0]]&lt;Table24[Flitro de Ruido],1,Table8[[#This Row],[I_40]]/Table8[[#This Row],[I_0]])</f>
        <v>1</v>
      </c>
      <c r="Y855" s="13" cm="1">
        <f t="array" ref="Y855">IF(Table8[[#This Row],[I_0]]&lt;Table24[Flitro de Ruido],1,Table8[[#This Row],[I_50]]/Table8[[#This Row],[I_0]])</f>
        <v>1</v>
      </c>
    </row>
    <row r="856" spans="1:25" x14ac:dyDescent="0.3">
      <c r="A856" s="13">
        <v>917.25</v>
      </c>
      <c r="B856" s="12">
        <v>0</v>
      </c>
      <c r="C856" s="11">
        <v>917.25</v>
      </c>
      <c r="D856" s="12">
        <v>0</v>
      </c>
      <c r="E856" s="11">
        <v>917.25</v>
      </c>
      <c r="F856" s="12">
        <v>0</v>
      </c>
      <c r="G856" s="11">
        <v>917.25</v>
      </c>
      <c r="H856" s="12">
        <v>0</v>
      </c>
      <c r="I856" s="11">
        <v>917.25</v>
      </c>
      <c r="J856" s="12">
        <v>0</v>
      </c>
      <c r="K856" s="11">
        <v>917.25</v>
      </c>
      <c r="L856" s="12">
        <v>0</v>
      </c>
      <c r="M856" s="11">
        <v>917.25</v>
      </c>
      <c r="N856" s="13">
        <v>0</v>
      </c>
      <c r="O856" s="11">
        <v>0</v>
      </c>
      <c r="P856" s="11">
        <v>0</v>
      </c>
      <c r="Q856" s="11">
        <v>0</v>
      </c>
      <c r="R856" s="11">
        <v>0</v>
      </c>
      <c r="S856" s="14">
        <v>0</v>
      </c>
      <c r="T856" s="11">
        <v>917.25</v>
      </c>
      <c r="U856" s="13" cm="1">
        <f t="array" ref="U856">IF(Table8[[#This Row],[I_0]]&lt;Table24[Flitro de Ruido],1,Table8[[#This Row],[I_10]]/Table8[[#This Row],[I_0]])</f>
        <v>1</v>
      </c>
      <c r="V856" s="13" cm="1">
        <f t="array" ref="V856">IF(Table8[[#This Row],[I_0]]&lt;Table24[Flitro de Ruido],1,Table8[[#This Row],[I_20]]/Table8[[#This Row],[I_0]])</f>
        <v>1</v>
      </c>
      <c r="W856" s="13" cm="1">
        <f t="array" ref="W856">IF(Table8[[#This Row],[I_0]]&lt;Table24[Flitro de Ruido],1,Table8[[#This Row],[I_30]]/Table8[[#This Row],[I_0]])</f>
        <v>1</v>
      </c>
      <c r="X856" s="13" cm="1">
        <f t="array" ref="X856">IF(Table8[[#This Row],[I_0]]&lt;Table24[Flitro de Ruido],1,Table8[[#This Row],[I_40]]/Table8[[#This Row],[I_0]])</f>
        <v>1</v>
      </c>
      <c r="Y856" s="13" cm="1">
        <f t="array" ref="Y856">IF(Table8[[#This Row],[I_0]]&lt;Table24[Flitro de Ruido],1,Table8[[#This Row],[I_50]]/Table8[[#This Row],[I_0]])</f>
        <v>1</v>
      </c>
    </row>
    <row r="857" spans="1:25" x14ac:dyDescent="0.3">
      <c r="A857" s="13">
        <v>918.24</v>
      </c>
      <c r="B857" s="12">
        <v>0</v>
      </c>
      <c r="C857" s="11">
        <v>918.24</v>
      </c>
      <c r="D857" s="12">
        <v>0</v>
      </c>
      <c r="E857" s="11">
        <v>918.24</v>
      </c>
      <c r="F857" s="12">
        <v>0</v>
      </c>
      <c r="G857" s="11">
        <v>918.24</v>
      </c>
      <c r="H857" s="12">
        <v>0</v>
      </c>
      <c r="I857" s="11">
        <v>918.24</v>
      </c>
      <c r="J857" s="12">
        <v>0</v>
      </c>
      <c r="K857" s="11">
        <v>918.24</v>
      </c>
      <c r="L857" s="12">
        <v>0</v>
      </c>
      <c r="M857" s="11">
        <v>918.24</v>
      </c>
      <c r="N857" s="13">
        <v>0</v>
      </c>
      <c r="O857" s="11">
        <v>0</v>
      </c>
      <c r="P857" s="11">
        <v>0</v>
      </c>
      <c r="Q857" s="11">
        <v>0</v>
      </c>
      <c r="R857" s="11">
        <v>0</v>
      </c>
      <c r="S857" s="14">
        <v>0</v>
      </c>
      <c r="T857" s="11">
        <v>918.24</v>
      </c>
      <c r="U857" s="13" cm="1">
        <f t="array" ref="U857">IF(Table8[[#This Row],[I_0]]&lt;Table24[Flitro de Ruido],1,Table8[[#This Row],[I_10]]/Table8[[#This Row],[I_0]])</f>
        <v>1</v>
      </c>
      <c r="V857" s="13" cm="1">
        <f t="array" ref="V857">IF(Table8[[#This Row],[I_0]]&lt;Table24[Flitro de Ruido],1,Table8[[#This Row],[I_20]]/Table8[[#This Row],[I_0]])</f>
        <v>1</v>
      </c>
      <c r="W857" s="13" cm="1">
        <f t="array" ref="W857">IF(Table8[[#This Row],[I_0]]&lt;Table24[Flitro de Ruido],1,Table8[[#This Row],[I_30]]/Table8[[#This Row],[I_0]])</f>
        <v>1</v>
      </c>
      <c r="X857" s="13" cm="1">
        <f t="array" ref="X857">IF(Table8[[#This Row],[I_0]]&lt;Table24[Flitro de Ruido],1,Table8[[#This Row],[I_40]]/Table8[[#This Row],[I_0]])</f>
        <v>1</v>
      </c>
      <c r="Y857" s="13" cm="1">
        <f t="array" ref="Y857">IF(Table8[[#This Row],[I_0]]&lt;Table24[Flitro de Ruido],1,Table8[[#This Row],[I_50]]/Table8[[#This Row],[I_0]])</f>
        <v>1</v>
      </c>
    </row>
    <row r="858" spans="1:25" x14ac:dyDescent="0.3">
      <c r="A858" s="13">
        <v>919.23</v>
      </c>
      <c r="B858" s="12">
        <v>0</v>
      </c>
      <c r="C858" s="11">
        <v>919.23</v>
      </c>
      <c r="D858" s="12">
        <v>0</v>
      </c>
      <c r="E858" s="11">
        <v>919.23</v>
      </c>
      <c r="F858" s="12">
        <v>0</v>
      </c>
      <c r="G858" s="11">
        <v>919.23</v>
      </c>
      <c r="H858" s="12">
        <v>0</v>
      </c>
      <c r="I858" s="11">
        <v>919.23</v>
      </c>
      <c r="J858" s="12">
        <v>0</v>
      </c>
      <c r="K858" s="11">
        <v>919.23</v>
      </c>
      <c r="L858" s="12">
        <v>0</v>
      </c>
      <c r="M858" s="11">
        <v>919.23</v>
      </c>
      <c r="N858" s="13">
        <v>0</v>
      </c>
      <c r="O858" s="11">
        <v>0</v>
      </c>
      <c r="P858" s="11">
        <v>0</v>
      </c>
      <c r="Q858" s="11">
        <v>0</v>
      </c>
      <c r="R858" s="11">
        <v>0</v>
      </c>
      <c r="S858" s="14">
        <v>0</v>
      </c>
      <c r="T858" s="11">
        <v>919.23</v>
      </c>
      <c r="U858" s="13" cm="1">
        <f t="array" ref="U858">IF(Table8[[#This Row],[I_0]]&lt;Table24[Flitro de Ruido],1,Table8[[#This Row],[I_10]]/Table8[[#This Row],[I_0]])</f>
        <v>1</v>
      </c>
      <c r="V858" s="13" cm="1">
        <f t="array" ref="V858">IF(Table8[[#This Row],[I_0]]&lt;Table24[Flitro de Ruido],1,Table8[[#This Row],[I_20]]/Table8[[#This Row],[I_0]])</f>
        <v>1</v>
      </c>
      <c r="W858" s="13" cm="1">
        <f t="array" ref="W858">IF(Table8[[#This Row],[I_0]]&lt;Table24[Flitro de Ruido],1,Table8[[#This Row],[I_30]]/Table8[[#This Row],[I_0]])</f>
        <v>1</v>
      </c>
      <c r="X858" s="13" cm="1">
        <f t="array" ref="X858">IF(Table8[[#This Row],[I_0]]&lt;Table24[Flitro de Ruido],1,Table8[[#This Row],[I_40]]/Table8[[#This Row],[I_0]])</f>
        <v>1</v>
      </c>
      <c r="Y858" s="13" cm="1">
        <f t="array" ref="Y858">IF(Table8[[#This Row],[I_0]]&lt;Table24[Flitro de Ruido],1,Table8[[#This Row],[I_50]]/Table8[[#This Row],[I_0]])</f>
        <v>1</v>
      </c>
    </row>
    <row r="859" spans="1:25" x14ac:dyDescent="0.3">
      <c r="A859" s="13">
        <v>920.22</v>
      </c>
      <c r="B859" s="12">
        <v>0</v>
      </c>
      <c r="C859" s="11">
        <v>920.22</v>
      </c>
      <c r="D859" s="12">
        <v>0</v>
      </c>
      <c r="E859" s="11">
        <v>920.22</v>
      </c>
      <c r="F859" s="12">
        <v>0</v>
      </c>
      <c r="G859" s="11">
        <v>920.22</v>
      </c>
      <c r="H859" s="12">
        <v>0</v>
      </c>
      <c r="I859" s="11">
        <v>920.22</v>
      </c>
      <c r="J859" s="12">
        <v>0</v>
      </c>
      <c r="K859" s="11">
        <v>920.22</v>
      </c>
      <c r="L859" s="12">
        <v>0</v>
      </c>
      <c r="M859" s="11">
        <v>920.22</v>
      </c>
      <c r="N859" s="13">
        <v>0</v>
      </c>
      <c r="O859" s="11">
        <v>0</v>
      </c>
      <c r="P859" s="11">
        <v>0</v>
      </c>
      <c r="Q859" s="11">
        <v>0</v>
      </c>
      <c r="R859" s="11">
        <v>0</v>
      </c>
      <c r="S859" s="14">
        <v>0</v>
      </c>
      <c r="T859" s="11">
        <v>920.22</v>
      </c>
      <c r="U859" s="13" cm="1">
        <f t="array" ref="U859">IF(Table8[[#This Row],[I_0]]&lt;Table24[Flitro de Ruido],1,Table8[[#This Row],[I_10]]/Table8[[#This Row],[I_0]])</f>
        <v>1</v>
      </c>
      <c r="V859" s="13" cm="1">
        <f t="array" ref="V859">IF(Table8[[#This Row],[I_0]]&lt;Table24[Flitro de Ruido],1,Table8[[#This Row],[I_20]]/Table8[[#This Row],[I_0]])</f>
        <v>1</v>
      </c>
      <c r="W859" s="13" cm="1">
        <f t="array" ref="W859">IF(Table8[[#This Row],[I_0]]&lt;Table24[Flitro de Ruido],1,Table8[[#This Row],[I_30]]/Table8[[#This Row],[I_0]])</f>
        <v>1</v>
      </c>
      <c r="X859" s="13" cm="1">
        <f t="array" ref="X859">IF(Table8[[#This Row],[I_0]]&lt;Table24[Flitro de Ruido],1,Table8[[#This Row],[I_40]]/Table8[[#This Row],[I_0]])</f>
        <v>1</v>
      </c>
      <c r="Y859" s="13" cm="1">
        <f t="array" ref="Y859">IF(Table8[[#This Row],[I_0]]&lt;Table24[Flitro de Ruido],1,Table8[[#This Row],[I_50]]/Table8[[#This Row],[I_0]])</f>
        <v>1</v>
      </c>
    </row>
    <row r="860" spans="1:25" x14ac:dyDescent="0.3">
      <c r="A860" s="13">
        <v>921.21</v>
      </c>
      <c r="B860" s="12">
        <v>0</v>
      </c>
      <c r="C860" s="11">
        <v>921.21</v>
      </c>
      <c r="D860" s="12">
        <v>0</v>
      </c>
      <c r="E860" s="11">
        <v>921.21</v>
      </c>
      <c r="F860" s="12">
        <v>0</v>
      </c>
      <c r="G860" s="11">
        <v>921.21</v>
      </c>
      <c r="H860" s="12">
        <v>0</v>
      </c>
      <c r="I860" s="11">
        <v>921.21</v>
      </c>
      <c r="J860" s="12">
        <v>0</v>
      </c>
      <c r="K860" s="11">
        <v>921.21</v>
      </c>
      <c r="L860" s="12">
        <v>0</v>
      </c>
      <c r="M860" s="11">
        <v>921.21</v>
      </c>
      <c r="N860" s="13">
        <v>0</v>
      </c>
      <c r="O860" s="11">
        <v>0</v>
      </c>
      <c r="P860" s="11">
        <v>0</v>
      </c>
      <c r="Q860" s="11">
        <v>0</v>
      </c>
      <c r="R860" s="11">
        <v>0</v>
      </c>
      <c r="S860" s="14">
        <v>0</v>
      </c>
      <c r="T860" s="11">
        <v>921.21</v>
      </c>
      <c r="U860" s="13" cm="1">
        <f t="array" ref="U860">IF(Table8[[#This Row],[I_0]]&lt;Table24[Flitro de Ruido],1,Table8[[#This Row],[I_10]]/Table8[[#This Row],[I_0]])</f>
        <v>1</v>
      </c>
      <c r="V860" s="13" cm="1">
        <f t="array" ref="V860">IF(Table8[[#This Row],[I_0]]&lt;Table24[Flitro de Ruido],1,Table8[[#This Row],[I_20]]/Table8[[#This Row],[I_0]])</f>
        <v>1</v>
      </c>
      <c r="W860" s="13" cm="1">
        <f t="array" ref="W860">IF(Table8[[#This Row],[I_0]]&lt;Table24[Flitro de Ruido],1,Table8[[#This Row],[I_30]]/Table8[[#This Row],[I_0]])</f>
        <v>1</v>
      </c>
      <c r="X860" s="13" cm="1">
        <f t="array" ref="X860">IF(Table8[[#This Row],[I_0]]&lt;Table24[Flitro de Ruido],1,Table8[[#This Row],[I_40]]/Table8[[#This Row],[I_0]])</f>
        <v>1</v>
      </c>
      <c r="Y860" s="13" cm="1">
        <f t="array" ref="Y860">IF(Table8[[#This Row],[I_0]]&lt;Table24[Flitro de Ruido],1,Table8[[#This Row],[I_50]]/Table8[[#This Row],[I_0]])</f>
        <v>1</v>
      </c>
    </row>
    <row r="861" spans="1:25" x14ac:dyDescent="0.3">
      <c r="A861" s="13">
        <v>922.21</v>
      </c>
      <c r="B861" s="12">
        <v>0</v>
      </c>
      <c r="C861" s="11">
        <v>922.21</v>
      </c>
      <c r="D861" s="12">
        <v>0</v>
      </c>
      <c r="E861" s="11">
        <v>922.21</v>
      </c>
      <c r="F861" s="12">
        <v>0</v>
      </c>
      <c r="G861" s="11">
        <v>922.21</v>
      </c>
      <c r="H861" s="12">
        <v>0</v>
      </c>
      <c r="I861" s="11">
        <v>922.21</v>
      </c>
      <c r="J861" s="12">
        <v>0</v>
      </c>
      <c r="K861" s="11">
        <v>922.21</v>
      </c>
      <c r="L861" s="12">
        <v>0</v>
      </c>
      <c r="M861" s="11">
        <v>922.21</v>
      </c>
      <c r="N861" s="13">
        <v>0</v>
      </c>
      <c r="O861" s="11">
        <v>0</v>
      </c>
      <c r="P861" s="11">
        <v>0</v>
      </c>
      <c r="Q861" s="11">
        <v>0</v>
      </c>
      <c r="R861" s="11">
        <v>0</v>
      </c>
      <c r="S861" s="14">
        <v>0</v>
      </c>
      <c r="T861" s="11">
        <v>922.21</v>
      </c>
      <c r="U861" s="13" cm="1">
        <f t="array" ref="U861">IF(Table8[[#This Row],[I_0]]&lt;Table24[Flitro de Ruido],1,Table8[[#This Row],[I_10]]/Table8[[#This Row],[I_0]])</f>
        <v>1</v>
      </c>
      <c r="V861" s="13" cm="1">
        <f t="array" ref="V861">IF(Table8[[#This Row],[I_0]]&lt;Table24[Flitro de Ruido],1,Table8[[#This Row],[I_20]]/Table8[[#This Row],[I_0]])</f>
        <v>1</v>
      </c>
      <c r="W861" s="13" cm="1">
        <f t="array" ref="W861">IF(Table8[[#This Row],[I_0]]&lt;Table24[Flitro de Ruido],1,Table8[[#This Row],[I_30]]/Table8[[#This Row],[I_0]])</f>
        <v>1</v>
      </c>
      <c r="X861" s="13" cm="1">
        <f t="array" ref="X861">IF(Table8[[#This Row],[I_0]]&lt;Table24[Flitro de Ruido],1,Table8[[#This Row],[I_40]]/Table8[[#This Row],[I_0]])</f>
        <v>1</v>
      </c>
      <c r="Y861" s="13" cm="1">
        <f t="array" ref="Y861">IF(Table8[[#This Row],[I_0]]&lt;Table24[Flitro de Ruido],1,Table8[[#This Row],[I_50]]/Table8[[#This Row],[I_0]])</f>
        <v>1</v>
      </c>
    </row>
    <row r="862" spans="1:25" x14ac:dyDescent="0.3">
      <c r="A862" s="13">
        <v>923.2</v>
      </c>
      <c r="B862" s="12">
        <v>0</v>
      </c>
      <c r="C862" s="11">
        <v>923.2</v>
      </c>
      <c r="D862" s="12">
        <v>0</v>
      </c>
      <c r="E862" s="11">
        <v>923.2</v>
      </c>
      <c r="F862" s="12">
        <v>0</v>
      </c>
      <c r="G862" s="11">
        <v>923.2</v>
      </c>
      <c r="H862" s="12">
        <v>0</v>
      </c>
      <c r="I862" s="11">
        <v>923.2</v>
      </c>
      <c r="J862" s="12">
        <v>0</v>
      </c>
      <c r="K862" s="11">
        <v>923.2</v>
      </c>
      <c r="L862" s="12">
        <v>0</v>
      </c>
      <c r="M862" s="11">
        <v>923.2</v>
      </c>
      <c r="N862" s="13">
        <v>0</v>
      </c>
      <c r="O862" s="11">
        <v>0</v>
      </c>
      <c r="P862" s="11">
        <v>0</v>
      </c>
      <c r="Q862" s="11">
        <v>0</v>
      </c>
      <c r="R862" s="11">
        <v>0</v>
      </c>
      <c r="S862" s="14">
        <v>0</v>
      </c>
      <c r="T862" s="11">
        <v>923.2</v>
      </c>
      <c r="U862" s="13" cm="1">
        <f t="array" ref="U862">IF(Table8[[#This Row],[I_0]]&lt;Table24[Flitro de Ruido],1,Table8[[#This Row],[I_10]]/Table8[[#This Row],[I_0]])</f>
        <v>1</v>
      </c>
      <c r="V862" s="13" cm="1">
        <f t="array" ref="V862">IF(Table8[[#This Row],[I_0]]&lt;Table24[Flitro de Ruido],1,Table8[[#This Row],[I_20]]/Table8[[#This Row],[I_0]])</f>
        <v>1</v>
      </c>
      <c r="W862" s="13" cm="1">
        <f t="array" ref="W862">IF(Table8[[#This Row],[I_0]]&lt;Table24[Flitro de Ruido],1,Table8[[#This Row],[I_30]]/Table8[[#This Row],[I_0]])</f>
        <v>1</v>
      </c>
      <c r="X862" s="13" cm="1">
        <f t="array" ref="X862">IF(Table8[[#This Row],[I_0]]&lt;Table24[Flitro de Ruido],1,Table8[[#This Row],[I_40]]/Table8[[#This Row],[I_0]])</f>
        <v>1</v>
      </c>
      <c r="Y862" s="13" cm="1">
        <f t="array" ref="Y862">IF(Table8[[#This Row],[I_0]]&lt;Table24[Flitro de Ruido],1,Table8[[#This Row],[I_50]]/Table8[[#This Row],[I_0]])</f>
        <v>1</v>
      </c>
    </row>
    <row r="863" spans="1:25" x14ac:dyDescent="0.3">
      <c r="A863" s="13">
        <v>924.19</v>
      </c>
      <c r="B863" s="12">
        <v>0</v>
      </c>
      <c r="C863" s="11">
        <v>924.19</v>
      </c>
      <c r="D863" s="12">
        <v>0</v>
      </c>
      <c r="E863" s="11">
        <v>924.19</v>
      </c>
      <c r="F863" s="12">
        <v>0</v>
      </c>
      <c r="G863" s="11">
        <v>924.19</v>
      </c>
      <c r="H863" s="12">
        <v>0</v>
      </c>
      <c r="I863" s="11">
        <v>924.19</v>
      </c>
      <c r="J863" s="12">
        <v>0</v>
      </c>
      <c r="K863" s="11">
        <v>924.19</v>
      </c>
      <c r="L863" s="12">
        <v>0</v>
      </c>
      <c r="M863" s="11">
        <v>924.19</v>
      </c>
      <c r="N863" s="13">
        <v>0</v>
      </c>
      <c r="O863" s="11">
        <v>0</v>
      </c>
      <c r="P863" s="11">
        <v>0</v>
      </c>
      <c r="Q863" s="11">
        <v>0</v>
      </c>
      <c r="R863" s="11">
        <v>0</v>
      </c>
      <c r="S863" s="14">
        <v>0</v>
      </c>
      <c r="T863" s="11">
        <v>924.19</v>
      </c>
      <c r="U863" s="13" cm="1">
        <f t="array" ref="U863">IF(Table8[[#This Row],[I_0]]&lt;Table24[Flitro de Ruido],1,Table8[[#This Row],[I_10]]/Table8[[#This Row],[I_0]])</f>
        <v>1</v>
      </c>
      <c r="V863" s="13" cm="1">
        <f t="array" ref="V863">IF(Table8[[#This Row],[I_0]]&lt;Table24[Flitro de Ruido],1,Table8[[#This Row],[I_20]]/Table8[[#This Row],[I_0]])</f>
        <v>1</v>
      </c>
      <c r="W863" s="13" cm="1">
        <f t="array" ref="W863">IF(Table8[[#This Row],[I_0]]&lt;Table24[Flitro de Ruido],1,Table8[[#This Row],[I_30]]/Table8[[#This Row],[I_0]])</f>
        <v>1</v>
      </c>
      <c r="X863" s="13" cm="1">
        <f t="array" ref="X863">IF(Table8[[#This Row],[I_0]]&lt;Table24[Flitro de Ruido],1,Table8[[#This Row],[I_40]]/Table8[[#This Row],[I_0]])</f>
        <v>1</v>
      </c>
      <c r="Y863" s="13" cm="1">
        <f t="array" ref="Y863">IF(Table8[[#This Row],[I_0]]&lt;Table24[Flitro de Ruido],1,Table8[[#This Row],[I_50]]/Table8[[#This Row],[I_0]])</f>
        <v>1</v>
      </c>
    </row>
    <row r="864" spans="1:25" x14ac:dyDescent="0.3">
      <c r="A864" s="13">
        <v>925.18</v>
      </c>
      <c r="B864" s="12">
        <v>0</v>
      </c>
      <c r="C864" s="11">
        <v>925.18</v>
      </c>
      <c r="D864" s="12">
        <v>0</v>
      </c>
      <c r="E864" s="11">
        <v>925.18</v>
      </c>
      <c r="F864" s="12">
        <v>0</v>
      </c>
      <c r="G864" s="11">
        <v>925.18</v>
      </c>
      <c r="H864" s="12">
        <v>0</v>
      </c>
      <c r="I864" s="11">
        <v>925.18</v>
      </c>
      <c r="J864" s="12">
        <v>0</v>
      </c>
      <c r="K864" s="11">
        <v>925.18</v>
      </c>
      <c r="L864" s="12">
        <v>0</v>
      </c>
      <c r="M864" s="11">
        <v>925.18</v>
      </c>
      <c r="N864" s="13">
        <v>0</v>
      </c>
      <c r="O864" s="11">
        <v>0</v>
      </c>
      <c r="P864" s="11">
        <v>0</v>
      </c>
      <c r="Q864" s="11">
        <v>0</v>
      </c>
      <c r="R864" s="11">
        <v>0</v>
      </c>
      <c r="S864" s="14">
        <v>0</v>
      </c>
      <c r="T864" s="11">
        <v>925.18</v>
      </c>
      <c r="U864" s="13" cm="1">
        <f t="array" ref="U864">IF(Table8[[#This Row],[I_0]]&lt;Table24[Flitro de Ruido],1,Table8[[#This Row],[I_10]]/Table8[[#This Row],[I_0]])</f>
        <v>1</v>
      </c>
      <c r="V864" s="13" cm="1">
        <f t="array" ref="V864">IF(Table8[[#This Row],[I_0]]&lt;Table24[Flitro de Ruido],1,Table8[[#This Row],[I_20]]/Table8[[#This Row],[I_0]])</f>
        <v>1</v>
      </c>
      <c r="W864" s="13" cm="1">
        <f t="array" ref="W864">IF(Table8[[#This Row],[I_0]]&lt;Table24[Flitro de Ruido],1,Table8[[#This Row],[I_30]]/Table8[[#This Row],[I_0]])</f>
        <v>1</v>
      </c>
      <c r="X864" s="13" cm="1">
        <f t="array" ref="X864">IF(Table8[[#This Row],[I_0]]&lt;Table24[Flitro de Ruido],1,Table8[[#This Row],[I_40]]/Table8[[#This Row],[I_0]])</f>
        <v>1</v>
      </c>
      <c r="Y864" s="13" cm="1">
        <f t="array" ref="Y864">IF(Table8[[#This Row],[I_0]]&lt;Table24[Flitro de Ruido],1,Table8[[#This Row],[I_50]]/Table8[[#This Row],[I_0]])</f>
        <v>1</v>
      </c>
    </row>
    <row r="865" spans="1:25" x14ac:dyDescent="0.3">
      <c r="A865" s="13">
        <v>926.17</v>
      </c>
      <c r="B865" s="12">
        <v>0</v>
      </c>
      <c r="C865" s="11">
        <v>926.17</v>
      </c>
      <c r="D865" s="12">
        <v>0</v>
      </c>
      <c r="E865" s="11">
        <v>926.17</v>
      </c>
      <c r="F865" s="12">
        <v>0</v>
      </c>
      <c r="G865" s="11">
        <v>926.17</v>
      </c>
      <c r="H865" s="12">
        <v>0</v>
      </c>
      <c r="I865" s="11">
        <v>926.17</v>
      </c>
      <c r="J865" s="12">
        <v>0</v>
      </c>
      <c r="K865" s="11">
        <v>926.17</v>
      </c>
      <c r="L865" s="12">
        <v>0</v>
      </c>
      <c r="M865" s="11">
        <v>926.17</v>
      </c>
      <c r="N865" s="13">
        <v>0</v>
      </c>
      <c r="O865" s="11">
        <v>0</v>
      </c>
      <c r="P865" s="11">
        <v>0</v>
      </c>
      <c r="Q865" s="11">
        <v>0</v>
      </c>
      <c r="R865" s="11">
        <v>0</v>
      </c>
      <c r="S865" s="14">
        <v>0</v>
      </c>
      <c r="T865" s="11">
        <v>926.17</v>
      </c>
      <c r="U865" s="13" cm="1">
        <f t="array" ref="U865">IF(Table8[[#This Row],[I_0]]&lt;Table24[Flitro de Ruido],1,Table8[[#This Row],[I_10]]/Table8[[#This Row],[I_0]])</f>
        <v>1</v>
      </c>
      <c r="V865" s="13" cm="1">
        <f t="array" ref="V865">IF(Table8[[#This Row],[I_0]]&lt;Table24[Flitro de Ruido],1,Table8[[#This Row],[I_20]]/Table8[[#This Row],[I_0]])</f>
        <v>1</v>
      </c>
      <c r="W865" s="13" cm="1">
        <f t="array" ref="W865">IF(Table8[[#This Row],[I_0]]&lt;Table24[Flitro de Ruido],1,Table8[[#This Row],[I_30]]/Table8[[#This Row],[I_0]])</f>
        <v>1</v>
      </c>
      <c r="X865" s="13" cm="1">
        <f t="array" ref="X865">IF(Table8[[#This Row],[I_0]]&lt;Table24[Flitro de Ruido],1,Table8[[#This Row],[I_40]]/Table8[[#This Row],[I_0]])</f>
        <v>1</v>
      </c>
      <c r="Y865" s="13" cm="1">
        <f t="array" ref="Y865">IF(Table8[[#This Row],[I_0]]&lt;Table24[Flitro de Ruido],1,Table8[[#This Row],[I_50]]/Table8[[#This Row],[I_0]])</f>
        <v>1</v>
      </c>
    </row>
    <row r="866" spans="1:25" x14ac:dyDescent="0.3">
      <c r="A866" s="13">
        <v>927.17</v>
      </c>
      <c r="B866" s="12">
        <v>0</v>
      </c>
      <c r="C866" s="11">
        <v>927.17</v>
      </c>
      <c r="D866" s="12">
        <v>0</v>
      </c>
      <c r="E866" s="11">
        <v>927.17</v>
      </c>
      <c r="F866" s="12">
        <v>0</v>
      </c>
      <c r="G866" s="11">
        <v>927.17</v>
      </c>
      <c r="H866" s="12">
        <v>0</v>
      </c>
      <c r="I866" s="11">
        <v>927.17</v>
      </c>
      <c r="J866" s="12">
        <v>0</v>
      </c>
      <c r="K866" s="11">
        <v>927.17</v>
      </c>
      <c r="L866" s="12">
        <v>0</v>
      </c>
      <c r="M866" s="11">
        <v>927.17</v>
      </c>
      <c r="N866" s="13">
        <v>0</v>
      </c>
      <c r="O866" s="11">
        <v>0</v>
      </c>
      <c r="P866" s="11">
        <v>0</v>
      </c>
      <c r="Q866" s="11">
        <v>0</v>
      </c>
      <c r="R866" s="11">
        <v>0</v>
      </c>
      <c r="S866" s="14">
        <v>0</v>
      </c>
      <c r="T866" s="11">
        <v>927.17</v>
      </c>
      <c r="U866" s="13" cm="1">
        <f t="array" ref="U866">IF(Table8[[#This Row],[I_0]]&lt;Table24[Flitro de Ruido],1,Table8[[#This Row],[I_10]]/Table8[[#This Row],[I_0]])</f>
        <v>1</v>
      </c>
      <c r="V866" s="13" cm="1">
        <f t="array" ref="V866">IF(Table8[[#This Row],[I_0]]&lt;Table24[Flitro de Ruido],1,Table8[[#This Row],[I_20]]/Table8[[#This Row],[I_0]])</f>
        <v>1</v>
      </c>
      <c r="W866" s="13" cm="1">
        <f t="array" ref="W866">IF(Table8[[#This Row],[I_0]]&lt;Table24[Flitro de Ruido],1,Table8[[#This Row],[I_30]]/Table8[[#This Row],[I_0]])</f>
        <v>1</v>
      </c>
      <c r="X866" s="13" cm="1">
        <f t="array" ref="X866">IF(Table8[[#This Row],[I_0]]&lt;Table24[Flitro de Ruido],1,Table8[[#This Row],[I_40]]/Table8[[#This Row],[I_0]])</f>
        <v>1</v>
      </c>
      <c r="Y866" s="13" cm="1">
        <f t="array" ref="Y866">IF(Table8[[#This Row],[I_0]]&lt;Table24[Flitro de Ruido],1,Table8[[#This Row],[I_50]]/Table8[[#This Row],[I_0]])</f>
        <v>1</v>
      </c>
    </row>
    <row r="867" spans="1:25" x14ac:dyDescent="0.3">
      <c r="A867" s="13">
        <v>928.16</v>
      </c>
      <c r="B867" s="12">
        <v>0</v>
      </c>
      <c r="C867" s="11">
        <v>928.16</v>
      </c>
      <c r="D867" s="12">
        <v>0</v>
      </c>
      <c r="E867" s="11">
        <v>928.16</v>
      </c>
      <c r="F867" s="12">
        <v>0</v>
      </c>
      <c r="G867" s="11">
        <v>928.16</v>
      </c>
      <c r="H867" s="12">
        <v>0</v>
      </c>
      <c r="I867" s="11">
        <v>928.16</v>
      </c>
      <c r="J867" s="12">
        <v>0</v>
      </c>
      <c r="K867" s="11">
        <v>928.16</v>
      </c>
      <c r="L867" s="12">
        <v>0</v>
      </c>
      <c r="M867" s="11">
        <v>928.16</v>
      </c>
      <c r="N867" s="13">
        <v>0</v>
      </c>
      <c r="O867" s="11">
        <v>0</v>
      </c>
      <c r="P867" s="11">
        <v>0</v>
      </c>
      <c r="Q867" s="11">
        <v>0</v>
      </c>
      <c r="R867" s="11">
        <v>0</v>
      </c>
      <c r="S867" s="14">
        <v>0</v>
      </c>
      <c r="T867" s="11">
        <v>928.16</v>
      </c>
      <c r="U867" s="13" cm="1">
        <f t="array" ref="U867">IF(Table8[[#This Row],[I_0]]&lt;Table24[Flitro de Ruido],1,Table8[[#This Row],[I_10]]/Table8[[#This Row],[I_0]])</f>
        <v>1</v>
      </c>
      <c r="V867" s="13" cm="1">
        <f t="array" ref="V867">IF(Table8[[#This Row],[I_0]]&lt;Table24[Flitro de Ruido],1,Table8[[#This Row],[I_20]]/Table8[[#This Row],[I_0]])</f>
        <v>1</v>
      </c>
      <c r="W867" s="13" cm="1">
        <f t="array" ref="W867">IF(Table8[[#This Row],[I_0]]&lt;Table24[Flitro de Ruido],1,Table8[[#This Row],[I_30]]/Table8[[#This Row],[I_0]])</f>
        <v>1</v>
      </c>
      <c r="X867" s="13" cm="1">
        <f t="array" ref="X867">IF(Table8[[#This Row],[I_0]]&lt;Table24[Flitro de Ruido],1,Table8[[#This Row],[I_40]]/Table8[[#This Row],[I_0]])</f>
        <v>1</v>
      </c>
      <c r="Y867" s="13" cm="1">
        <f t="array" ref="Y867">IF(Table8[[#This Row],[I_0]]&lt;Table24[Flitro de Ruido],1,Table8[[#This Row],[I_50]]/Table8[[#This Row],[I_0]])</f>
        <v>1</v>
      </c>
    </row>
    <row r="868" spans="1:25" x14ac:dyDescent="0.3">
      <c r="A868" s="13">
        <v>929.15</v>
      </c>
      <c r="B868" s="12">
        <v>0</v>
      </c>
      <c r="C868" s="11">
        <v>929.15</v>
      </c>
      <c r="D868" s="12">
        <v>0</v>
      </c>
      <c r="E868" s="11">
        <v>929.15</v>
      </c>
      <c r="F868" s="12">
        <v>0</v>
      </c>
      <c r="G868" s="11">
        <v>929.15</v>
      </c>
      <c r="H868" s="12">
        <v>0</v>
      </c>
      <c r="I868" s="11">
        <v>929.15</v>
      </c>
      <c r="J868" s="12">
        <v>0</v>
      </c>
      <c r="K868" s="11">
        <v>929.15</v>
      </c>
      <c r="L868" s="12">
        <v>0</v>
      </c>
      <c r="M868" s="11">
        <v>929.15</v>
      </c>
      <c r="N868" s="13">
        <v>0</v>
      </c>
      <c r="O868" s="11">
        <v>0</v>
      </c>
      <c r="P868" s="11">
        <v>0</v>
      </c>
      <c r="Q868" s="11">
        <v>0</v>
      </c>
      <c r="R868" s="11">
        <v>0</v>
      </c>
      <c r="S868" s="14">
        <v>0</v>
      </c>
      <c r="T868" s="11">
        <v>929.15</v>
      </c>
      <c r="U868" s="13" cm="1">
        <f t="array" ref="U868">IF(Table8[[#This Row],[I_0]]&lt;Table24[Flitro de Ruido],1,Table8[[#This Row],[I_10]]/Table8[[#This Row],[I_0]])</f>
        <v>1</v>
      </c>
      <c r="V868" s="13" cm="1">
        <f t="array" ref="V868">IF(Table8[[#This Row],[I_0]]&lt;Table24[Flitro de Ruido],1,Table8[[#This Row],[I_20]]/Table8[[#This Row],[I_0]])</f>
        <v>1</v>
      </c>
      <c r="W868" s="13" cm="1">
        <f t="array" ref="W868">IF(Table8[[#This Row],[I_0]]&lt;Table24[Flitro de Ruido],1,Table8[[#This Row],[I_30]]/Table8[[#This Row],[I_0]])</f>
        <v>1</v>
      </c>
      <c r="X868" s="13" cm="1">
        <f t="array" ref="X868">IF(Table8[[#This Row],[I_0]]&lt;Table24[Flitro de Ruido],1,Table8[[#This Row],[I_40]]/Table8[[#This Row],[I_0]])</f>
        <v>1</v>
      </c>
      <c r="Y868" s="13" cm="1">
        <f t="array" ref="Y868">IF(Table8[[#This Row],[I_0]]&lt;Table24[Flitro de Ruido],1,Table8[[#This Row],[I_50]]/Table8[[#This Row],[I_0]])</f>
        <v>1</v>
      </c>
    </row>
    <row r="869" spans="1:25" x14ac:dyDescent="0.3">
      <c r="A869" s="13">
        <v>930.14</v>
      </c>
      <c r="B869" s="12">
        <v>0</v>
      </c>
      <c r="C869" s="11">
        <v>930.14</v>
      </c>
      <c r="D869" s="12">
        <v>0</v>
      </c>
      <c r="E869" s="11">
        <v>930.14</v>
      </c>
      <c r="F869" s="12">
        <v>0</v>
      </c>
      <c r="G869" s="11">
        <v>930.14</v>
      </c>
      <c r="H869" s="12">
        <v>0</v>
      </c>
      <c r="I869" s="11">
        <v>930.14</v>
      </c>
      <c r="J869" s="12">
        <v>0</v>
      </c>
      <c r="K869" s="11">
        <v>930.14</v>
      </c>
      <c r="L869" s="12">
        <v>0</v>
      </c>
      <c r="M869" s="11">
        <v>930.14</v>
      </c>
      <c r="N869" s="13">
        <v>0</v>
      </c>
      <c r="O869" s="11">
        <v>0</v>
      </c>
      <c r="P869" s="11">
        <v>0</v>
      </c>
      <c r="Q869" s="11">
        <v>0</v>
      </c>
      <c r="R869" s="11">
        <v>0</v>
      </c>
      <c r="S869" s="14">
        <v>0</v>
      </c>
      <c r="T869" s="11">
        <v>930.14</v>
      </c>
      <c r="U869" s="13" cm="1">
        <f t="array" ref="U869">IF(Table8[[#This Row],[I_0]]&lt;Table24[Flitro de Ruido],1,Table8[[#This Row],[I_10]]/Table8[[#This Row],[I_0]])</f>
        <v>1</v>
      </c>
      <c r="V869" s="13" cm="1">
        <f t="array" ref="V869">IF(Table8[[#This Row],[I_0]]&lt;Table24[Flitro de Ruido],1,Table8[[#This Row],[I_20]]/Table8[[#This Row],[I_0]])</f>
        <v>1</v>
      </c>
      <c r="W869" s="13" cm="1">
        <f t="array" ref="W869">IF(Table8[[#This Row],[I_0]]&lt;Table24[Flitro de Ruido],1,Table8[[#This Row],[I_30]]/Table8[[#This Row],[I_0]])</f>
        <v>1</v>
      </c>
      <c r="X869" s="13" cm="1">
        <f t="array" ref="X869">IF(Table8[[#This Row],[I_0]]&lt;Table24[Flitro de Ruido],1,Table8[[#This Row],[I_40]]/Table8[[#This Row],[I_0]])</f>
        <v>1</v>
      </c>
      <c r="Y869" s="13" cm="1">
        <f t="array" ref="Y869">IF(Table8[[#This Row],[I_0]]&lt;Table24[Flitro de Ruido],1,Table8[[#This Row],[I_50]]/Table8[[#This Row],[I_0]])</f>
        <v>1</v>
      </c>
    </row>
    <row r="870" spans="1:25" x14ac:dyDescent="0.3">
      <c r="A870" s="13">
        <v>931.13</v>
      </c>
      <c r="B870" s="12">
        <v>0</v>
      </c>
      <c r="C870" s="11">
        <v>931.13</v>
      </c>
      <c r="D870" s="12">
        <v>0</v>
      </c>
      <c r="E870" s="11">
        <v>931.13</v>
      </c>
      <c r="F870" s="12">
        <v>0</v>
      </c>
      <c r="G870" s="11">
        <v>931.13</v>
      </c>
      <c r="H870" s="12">
        <v>0</v>
      </c>
      <c r="I870" s="11">
        <v>931.13</v>
      </c>
      <c r="J870" s="12">
        <v>0</v>
      </c>
      <c r="K870" s="11">
        <v>931.13</v>
      </c>
      <c r="L870" s="12">
        <v>0</v>
      </c>
      <c r="M870" s="11">
        <v>931.13</v>
      </c>
      <c r="N870" s="13">
        <v>0</v>
      </c>
      <c r="O870" s="11">
        <v>0</v>
      </c>
      <c r="P870" s="11">
        <v>0</v>
      </c>
      <c r="Q870" s="11">
        <v>0</v>
      </c>
      <c r="R870" s="11">
        <v>0</v>
      </c>
      <c r="S870" s="14">
        <v>0</v>
      </c>
      <c r="T870" s="11">
        <v>931.13</v>
      </c>
      <c r="U870" s="13" cm="1">
        <f t="array" ref="U870">IF(Table8[[#This Row],[I_0]]&lt;Table24[Flitro de Ruido],1,Table8[[#This Row],[I_10]]/Table8[[#This Row],[I_0]])</f>
        <v>1</v>
      </c>
      <c r="V870" s="13" cm="1">
        <f t="array" ref="V870">IF(Table8[[#This Row],[I_0]]&lt;Table24[Flitro de Ruido],1,Table8[[#This Row],[I_20]]/Table8[[#This Row],[I_0]])</f>
        <v>1</v>
      </c>
      <c r="W870" s="13" cm="1">
        <f t="array" ref="W870">IF(Table8[[#This Row],[I_0]]&lt;Table24[Flitro de Ruido],1,Table8[[#This Row],[I_30]]/Table8[[#This Row],[I_0]])</f>
        <v>1</v>
      </c>
      <c r="X870" s="13" cm="1">
        <f t="array" ref="X870">IF(Table8[[#This Row],[I_0]]&lt;Table24[Flitro de Ruido],1,Table8[[#This Row],[I_40]]/Table8[[#This Row],[I_0]])</f>
        <v>1</v>
      </c>
      <c r="Y870" s="13" cm="1">
        <f t="array" ref="Y870">IF(Table8[[#This Row],[I_0]]&lt;Table24[Flitro de Ruido],1,Table8[[#This Row],[I_50]]/Table8[[#This Row],[I_0]])</f>
        <v>1</v>
      </c>
    </row>
    <row r="871" spans="1:25" x14ac:dyDescent="0.3">
      <c r="A871" s="13">
        <v>932.12</v>
      </c>
      <c r="B871" s="12">
        <v>0</v>
      </c>
      <c r="C871" s="11">
        <v>932.12</v>
      </c>
      <c r="D871" s="12">
        <v>0</v>
      </c>
      <c r="E871" s="11">
        <v>932.12</v>
      </c>
      <c r="F871" s="12">
        <v>0</v>
      </c>
      <c r="G871" s="11">
        <v>932.12</v>
      </c>
      <c r="H871" s="12">
        <v>0</v>
      </c>
      <c r="I871" s="11">
        <v>932.12</v>
      </c>
      <c r="J871" s="12">
        <v>0</v>
      </c>
      <c r="K871" s="11">
        <v>932.12</v>
      </c>
      <c r="L871" s="12">
        <v>0</v>
      </c>
      <c r="M871" s="11">
        <v>932.12</v>
      </c>
      <c r="N871" s="13">
        <v>0</v>
      </c>
      <c r="O871" s="11">
        <v>0</v>
      </c>
      <c r="P871" s="11">
        <v>0</v>
      </c>
      <c r="Q871" s="11">
        <v>0</v>
      </c>
      <c r="R871" s="11">
        <v>0</v>
      </c>
      <c r="S871" s="14">
        <v>0</v>
      </c>
      <c r="T871" s="11">
        <v>932.12</v>
      </c>
      <c r="U871" s="13" cm="1">
        <f t="array" ref="U871">IF(Table8[[#This Row],[I_0]]&lt;Table24[Flitro de Ruido],1,Table8[[#This Row],[I_10]]/Table8[[#This Row],[I_0]])</f>
        <v>1</v>
      </c>
      <c r="V871" s="13" cm="1">
        <f t="array" ref="V871">IF(Table8[[#This Row],[I_0]]&lt;Table24[Flitro de Ruido],1,Table8[[#This Row],[I_20]]/Table8[[#This Row],[I_0]])</f>
        <v>1</v>
      </c>
      <c r="W871" s="13" cm="1">
        <f t="array" ref="W871">IF(Table8[[#This Row],[I_0]]&lt;Table24[Flitro de Ruido],1,Table8[[#This Row],[I_30]]/Table8[[#This Row],[I_0]])</f>
        <v>1</v>
      </c>
      <c r="X871" s="13" cm="1">
        <f t="array" ref="X871">IF(Table8[[#This Row],[I_0]]&lt;Table24[Flitro de Ruido],1,Table8[[#This Row],[I_40]]/Table8[[#This Row],[I_0]])</f>
        <v>1</v>
      </c>
      <c r="Y871" s="13" cm="1">
        <f t="array" ref="Y871">IF(Table8[[#This Row],[I_0]]&lt;Table24[Flitro de Ruido],1,Table8[[#This Row],[I_50]]/Table8[[#This Row],[I_0]])</f>
        <v>1</v>
      </c>
    </row>
    <row r="872" spans="1:25" x14ac:dyDescent="0.3">
      <c r="A872" s="13">
        <v>933.12</v>
      </c>
      <c r="B872" s="12">
        <v>0</v>
      </c>
      <c r="C872" s="11">
        <v>933.12</v>
      </c>
      <c r="D872" s="12">
        <v>0</v>
      </c>
      <c r="E872" s="11">
        <v>933.12</v>
      </c>
      <c r="F872" s="12">
        <v>0</v>
      </c>
      <c r="G872" s="11">
        <v>933.12</v>
      </c>
      <c r="H872" s="12">
        <v>0</v>
      </c>
      <c r="I872" s="11">
        <v>933.12</v>
      </c>
      <c r="J872" s="12">
        <v>0</v>
      </c>
      <c r="K872" s="11">
        <v>933.12</v>
      </c>
      <c r="L872" s="12">
        <v>0</v>
      </c>
      <c r="M872" s="11">
        <v>933.12</v>
      </c>
      <c r="N872" s="13">
        <v>0</v>
      </c>
      <c r="O872" s="11">
        <v>0</v>
      </c>
      <c r="P872" s="11">
        <v>0</v>
      </c>
      <c r="Q872" s="11">
        <v>0</v>
      </c>
      <c r="R872" s="11">
        <v>0</v>
      </c>
      <c r="S872" s="14">
        <v>0</v>
      </c>
      <c r="T872" s="11">
        <v>933.12</v>
      </c>
      <c r="U872" s="13" cm="1">
        <f t="array" ref="U872">IF(Table8[[#This Row],[I_0]]&lt;Table24[Flitro de Ruido],1,Table8[[#This Row],[I_10]]/Table8[[#This Row],[I_0]])</f>
        <v>1</v>
      </c>
      <c r="V872" s="13" cm="1">
        <f t="array" ref="V872">IF(Table8[[#This Row],[I_0]]&lt;Table24[Flitro de Ruido],1,Table8[[#This Row],[I_20]]/Table8[[#This Row],[I_0]])</f>
        <v>1</v>
      </c>
      <c r="W872" s="13" cm="1">
        <f t="array" ref="W872">IF(Table8[[#This Row],[I_0]]&lt;Table24[Flitro de Ruido],1,Table8[[#This Row],[I_30]]/Table8[[#This Row],[I_0]])</f>
        <v>1</v>
      </c>
      <c r="X872" s="13" cm="1">
        <f t="array" ref="X872">IF(Table8[[#This Row],[I_0]]&lt;Table24[Flitro de Ruido],1,Table8[[#This Row],[I_40]]/Table8[[#This Row],[I_0]])</f>
        <v>1</v>
      </c>
      <c r="Y872" s="13" cm="1">
        <f t="array" ref="Y872">IF(Table8[[#This Row],[I_0]]&lt;Table24[Flitro de Ruido],1,Table8[[#This Row],[I_50]]/Table8[[#This Row],[I_0]])</f>
        <v>1</v>
      </c>
    </row>
    <row r="873" spans="1:25" x14ac:dyDescent="0.3">
      <c r="A873" s="13">
        <v>934.11</v>
      </c>
      <c r="B873" s="12">
        <v>0</v>
      </c>
      <c r="C873" s="11">
        <v>934.11</v>
      </c>
      <c r="D873" s="12">
        <v>0</v>
      </c>
      <c r="E873" s="11">
        <v>934.11</v>
      </c>
      <c r="F873" s="12">
        <v>0</v>
      </c>
      <c r="G873" s="11">
        <v>934.11</v>
      </c>
      <c r="H873" s="12">
        <v>0</v>
      </c>
      <c r="I873" s="11">
        <v>934.11</v>
      </c>
      <c r="J873" s="12">
        <v>0</v>
      </c>
      <c r="K873" s="11">
        <v>934.11</v>
      </c>
      <c r="L873" s="12">
        <v>0</v>
      </c>
      <c r="M873" s="11">
        <v>934.11</v>
      </c>
      <c r="N873" s="13">
        <v>0</v>
      </c>
      <c r="O873" s="11">
        <v>0</v>
      </c>
      <c r="P873" s="11">
        <v>0</v>
      </c>
      <c r="Q873" s="11">
        <v>0</v>
      </c>
      <c r="R873" s="11">
        <v>0</v>
      </c>
      <c r="S873" s="14">
        <v>0</v>
      </c>
      <c r="T873" s="11">
        <v>934.11</v>
      </c>
      <c r="U873" s="13" cm="1">
        <f t="array" ref="U873">IF(Table8[[#This Row],[I_0]]&lt;Table24[Flitro de Ruido],1,Table8[[#This Row],[I_10]]/Table8[[#This Row],[I_0]])</f>
        <v>1</v>
      </c>
      <c r="V873" s="13" cm="1">
        <f t="array" ref="V873">IF(Table8[[#This Row],[I_0]]&lt;Table24[Flitro de Ruido],1,Table8[[#This Row],[I_20]]/Table8[[#This Row],[I_0]])</f>
        <v>1</v>
      </c>
      <c r="W873" s="13" cm="1">
        <f t="array" ref="W873">IF(Table8[[#This Row],[I_0]]&lt;Table24[Flitro de Ruido],1,Table8[[#This Row],[I_30]]/Table8[[#This Row],[I_0]])</f>
        <v>1</v>
      </c>
      <c r="X873" s="13" cm="1">
        <f t="array" ref="X873">IF(Table8[[#This Row],[I_0]]&lt;Table24[Flitro de Ruido],1,Table8[[#This Row],[I_40]]/Table8[[#This Row],[I_0]])</f>
        <v>1</v>
      </c>
      <c r="Y873" s="13" cm="1">
        <f t="array" ref="Y873">IF(Table8[[#This Row],[I_0]]&lt;Table24[Flitro de Ruido],1,Table8[[#This Row],[I_50]]/Table8[[#This Row],[I_0]])</f>
        <v>1</v>
      </c>
    </row>
    <row r="874" spans="1:25" x14ac:dyDescent="0.3">
      <c r="A874" s="13">
        <v>935.1</v>
      </c>
      <c r="B874" s="12">
        <v>0</v>
      </c>
      <c r="C874" s="11">
        <v>935.1</v>
      </c>
      <c r="D874" s="12">
        <v>0</v>
      </c>
      <c r="E874" s="11">
        <v>935.1</v>
      </c>
      <c r="F874" s="12">
        <v>0</v>
      </c>
      <c r="G874" s="11">
        <v>935.1</v>
      </c>
      <c r="H874" s="12">
        <v>0</v>
      </c>
      <c r="I874" s="11">
        <v>935.1</v>
      </c>
      <c r="J874" s="12">
        <v>0</v>
      </c>
      <c r="K874" s="11">
        <v>935.1</v>
      </c>
      <c r="L874" s="12">
        <v>0</v>
      </c>
      <c r="M874" s="11">
        <v>935.1</v>
      </c>
      <c r="N874" s="13">
        <v>0</v>
      </c>
      <c r="O874" s="11">
        <v>0</v>
      </c>
      <c r="P874" s="11">
        <v>0</v>
      </c>
      <c r="Q874" s="11">
        <v>0</v>
      </c>
      <c r="R874" s="11">
        <v>0</v>
      </c>
      <c r="S874" s="14">
        <v>0</v>
      </c>
      <c r="T874" s="11">
        <v>935.1</v>
      </c>
      <c r="U874" s="13" cm="1">
        <f t="array" ref="U874">IF(Table8[[#This Row],[I_0]]&lt;Table24[Flitro de Ruido],1,Table8[[#This Row],[I_10]]/Table8[[#This Row],[I_0]])</f>
        <v>1</v>
      </c>
      <c r="V874" s="13" cm="1">
        <f t="array" ref="V874">IF(Table8[[#This Row],[I_0]]&lt;Table24[Flitro de Ruido],1,Table8[[#This Row],[I_20]]/Table8[[#This Row],[I_0]])</f>
        <v>1</v>
      </c>
      <c r="W874" s="13" cm="1">
        <f t="array" ref="W874">IF(Table8[[#This Row],[I_0]]&lt;Table24[Flitro de Ruido],1,Table8[[#This Row],[I_30]]/Table8[[#This Row],[I_0]])</f>
        <v>1</v>
      </c>
      <c r="X874" s="13" cm="1">
        <f t="array" ref="X874">IF(Table8[[#This Row],[I_0]]&lt;Table24[Flitro de Ruido],1,Table8[[#This Row],[I_40]]/Table8[[#This Row],[I_0]])</f>
        <v>1</v>
      </c>
      <c r="Y874" s="13" cm="1">
        <f t="array" ref="Y874">IF(Table8[[#This Row],[I_0]]&lt;Table24[Flitro de Ruido],1,Table8[[#This Row],[I_50]]/Table8[[#This Row],[I_0]])</f>
        <v>1</v>
      </c>
    </row>
    <row r="875" spans="1:25" x14ac:dyDescent="0.3">
      <c r="A875" s="13">
        <v>936.09</v>
      </c>
      <c r="B875" s="12">
        <v>0</v>
      </c>
      <c r="C875" s="11">
        <v>936.09</v>
      </c>
      <c r="D875" s="12">
        <v>0</v>
      </c>
      <c r="E875" s="11">
        <v>936.09</v>
      </c>
      <c r="F875" s="12">
        <v>0</v>
      </c>
      <c r="G875" s="11">
        <v>936.09</v>
      </c>
      <c r="H875" s="12">
        <v>0</v>
      </c>
      <c r="I875" s="11">
        <v>936.09</v>
      </c>
      <c r="J875" s="12">
        <v>0</v>
      </c>
      <c r="K875" s="11">
        <v>936.09</v>
      </c>
      <c r="L875" s="12">
        <v>0</v>
      </c>
      <c r="M875" s="11">
        <v>936.09</v>
      </c>
      <c r="N875" s="13">
        <v>0</v>
      </c>
      <c r="O875" s="11">
        <v>0</v>
      </c>
      <c r="P875" s="11">
        <v>0</v>
      </c>
      <c r="Q875" s="11">
        <v>0</v>
      </c>
      <c r="R875" s="11">
        <v>0</v>
      </c>
      <c r="S875" s="14">
        <v>0</v>
      </c>
      <c r="T875" s="11">
        <v>936.09</v>
      </c>
      <c r="U875" s="13" cm="1">
        <f t="array" ref="U875">IF(Table8[[#This Row],[I_0]]&lt;Table24[Flitro de Ruido],1,Table8[[#This Row],[I_10]]/Table8[[#This Row],[I_0]])</f>
        <v>1</v>
      </c>
      <c r="V875" s="13" cm="1">
        <f t="array" ref="V875">IF(Table8[[#This Row],[I_0]]&lt;Table24[Flitro de Ruido],1,Table8[[#This Row],[I_20]]/Table8[[#This Row],[I_0]])</f>
        <v>1</v>
      </c>
      <c r="W875" s="13" cm="1">
        <f t="array" ref="W875">IF(Table8[[#This Row],[I_0]]&lt;Table24[Flitro de Ruido],1,Table8[[#This Row],[I_30]]/Table8[[#This Row],[I_0]])</f>
        <v>1</v>
      </c>
      <c r="X875" s="13" cm="1">
        <f t="array" ref="X875">IF(Table8[[#This Row],[I_0]]&lt;Table24[Flitro de Ruido],1,Table8[[#This Row],[I_40]]/Table8[[#This Row],[I_0]])</f>
        <v>1</v>
      </c>
      <c r="Y875" s="13" cm="1">
        <f t="array" ref="Y875">IF(Table8[[#This Row],[I_0]]&lt;Table24[Flitro de Ruido],1,Table8[[#This Row],[I_50]]/Table8[[#This Row],[I_0]])</f>
        <v>1</v>
      </c>
    </row>
    <row r="876" spans="1:25" x14ac:dyDescent="0.3">
      <c r="A876" s="13">
        <v>937.08</v>
      </c>
      <c r="B876" s="12">
        <v>0</v>
      </c>
      <c r="C876" s="11">
        <v>937.08</v>
      </c>
      <c r="D876" s="12">
        <v>0</v>
      </c>
      <c r="E876" s="11">
        <v>937.08</v>
      </c>
      <c r="F876" s="12">
        <v>0</v>
      </c>
      <c r="G876" s="11">
        <v>937.08</v>
      </c>
      <c r="H876" s="12">
        <v>0</v>
      </c>
      <c r="I876" s="11">
        <v>937.08</v>
      </c>
      <c r="J876" s="12">
        <v>0</v>
      </c>
      <c r="K876" s="11">
        <v>937.08</v>
      </c>
      <c r="L876" s="12">
        <v>0</v>
      </c>
      <c r="M876" s="11">
        <v>937.08</v>
      </c>
      <c r="N876" s="13">
        <v>0</v>
      </c>
      <c r="O876" s="11">
        <v>0</v>
      </c>
      <c r="P876" s="11">
        <v>0</v>
      </c>
      <c r="Q876" s="11">
        <v>0</v>
      </c>
      <c r="R876" s="11">
        <v>0</v>
      </c>
      <c r="S876" s="14">
        <v>0</v>
      </c>
      <c r="T876" s="11">
        <v>937.08</v>
      </c>
      <c r="U876" s="13" cm="1">
        <f t="array" ref="U876">IF(Table8[[#This Row],[I_0]]&lt;Table24[Flitro de Ruido],1,Table8[[#This Row],[I_10]]/Table8[[#This Row],[I_0]])</f>
        <v>1</v>
      </c>
      <c r="V876" s="13" cm="1">
        <f t="array" ref="V876">IF(Table8[[#This Row],[I_0]]&lt;Table24[Flitro de Ruido],1,Table8[[#This Row],[I_20]]/Table8[[#This Row],[I_0]])</f>
        <v>1</v>
      </c>
      <c r="W876" s="13" cm="1">
        <f t="array" ref="W876">IF(Table8[[#This Row],[I_0]]&lt;Table24[Flitro de Ruido],1,Table8[[#This Row],[I_30]]/Table8[[#This Row],[I_0]])</f>
        <v>1</v>
      </c>
      <c r="X876" s="13" cm="1">
        <f t="array" ref="X876">IF(Table8[[#This Row],[I_0]]&lt;Table24[Flitro de Ruido],1,Table8[[#This Row],[I_40]]/Table8[[#This Row],[I_0]])</f>
        <v>1</v>
      </c>
      <c r="Y876" s="13" cm="1">
        <f t="array" ref="Y876">IF(Table8[[#This Row],[I_0]]&lt;Table24[Flitro de Ruido],1,Table8[[#This Row],[I_50]]/Table8[[#This Row],[I_0]])</f>
        <v>1</v>
      </c>
    </row>
    <row r="877" spans="1:25" x14ac:dyDescent="0.3">
      <c r="A877" s="13">
        <v>938.07</v>
      </c>
      <c r="B877" s="12">
        <v>0</v>
      </c>
      <c r="C877" s="11">
        <v>938.07</v>
      </c>
      <c r="D877" s="12">
        <v>0</v>
      </c>
      <c r="E877" s="11">
        <v>938.07</v>
      </c>
      <c r="F877" s="12">
        <v>0</v>
      </c>
      <c r="G877" s="11">
        <v>938.07</v>
      </c>
      <c r="H877" s="12">
        <v>0</v>
      </c>
      <c r="I877" s="11">
        <v>938.07</v>
      </c>
      <c r="J877" s="12">
        <v>0</v>
      </c>
      <c r="K877" s="11">
        <v>938.07</v>
      </c>
      <c r="L877" s="12">
        <v>0</v>
      </c>
      <c r="M877" s="11">
        <v>938.07</v>
      </c>
      <c r="N877" s="13">
        <v>0</v>
      </c>
      <c r="O877" s="11">
        <v>0</v>
      </c>
      <c r="P877" s="11">
        <v>0</v>
      </c>
      <c r="Q877" s="11">
        <v>0</v>
      </c>
      <c r="R877" s="11">
        <v>0</v>
      </c>
      <c r="S877" s="14">
        <v>0</v>
      </c>
      <c r="T877" s="11">
        <v>938.07</v>
      </c>
      <c r="U877" s="13" cm="1">
        <f t="array" ref="U877">IF(Table8[[#This Row],[I_0]]&lt;Table24[Flitro de Ruido],1,Table8[[#This Row],[I_10]]/Table8[[#This Row],[I_0]])</f>
        <v>1</v>
      </c>
      <c r="V877" s="13" cm="1">
        <f t="array" ref="V877">IF(Table8[[#This Row],[I_0]]&lt;Table24[Flitro de Ruido],1,Table8[[#This Row],[I_20]]/Table8[[#This Row],[I_0]])</f>
        <v>1</v>
      </c>
      <c r="W877" s="13" cm="1">
        <f t="array" ref="W877">IF(Table8[[#This Row],[I_0]]&lt;Table24[Flitro de Ruido],1,Table8[[#This Row],[I_30]]/Table8[[#This Row],[I_0]])</f>
        <v>1</v>
      </c>
      <c r="X877" s="13" cm="1">
        <f t="array" ref="X877">IF(Table8[[#This Row],[I_0]]&lt;Table24[Flitro de Ruido],1,Table8[[#This Row],[I_40]]/Table8[[#This Row],[I_0]])</f>
        <v>1</v>
      </c>
      <c r="Y877" s="13" cm="1">
        <f t="array" ref="Y877">IF(Table8[[#This Row],[I_0]]&lt;Table24[Flitro de Ruido],1,Table8[[#This Row],[I_50]]/Table8[[#This Row],[I_0]])</f>
        <v>1</v>
      </c>
    </row>
    <row r="878" spans="1:25" x14ac:dyDescent="0.3">
      <c r="A878" s="13">
        <v>939.07</v>
      </c>
      <c r="B878" s="12">
        <v>0</v>
      </c>
      <c r="C878" s="11">
        <v>939.07</v>
      </c>
      <c r="D878" s="12">
        <v>0</v>
      </c>
      <c r="E878" s="11">
        <v>939.07</v>
      </c>
      <c r="F878" s="12">
        <v>0</v>
      </c>
      <c r="G878" s="11">
        <v>939.07</v>
      </c>
      <c r="H878" s="12">
        <v>0</v>
      </c>
      <c r="I878" s="11">
        <v>939.07</v>
      </c>
      <c r="J878" s="12">
        <v>0</v>
      </c>
      <c r="K878" s="11">
        <v>939.07</v>
      </c>
      <c r="L878" s="12">
        <v>0</v>
      </c>
      <c r="M878" s="11">
        <v>939.07</v>
      </c>
      <c r="N878" s="13">
        <v>0</v>
      </c>
      <c r="O878" s="11">
        <v>0</v>
      </c>
      <c r="P878" s="11">
        <v>0</v>
      </c>
      <c r="Q878" s="11">
        <v>0</v>
      </c>
      <c r="R878" s="11">
        <v>0</v>
      </c>
      <c r="S878" s="14">
        <v>0</v>
      </c>
      <c r="T878" s="11">
        <v>939.07</v>
      </c>
      <c r="U878" s="13" cm="1">
        <f t="array" ref="U878">IF(Table8[[#This Row],[I_0]]&lt;Table24[Flitro de Ruido],1,Table8[[#This Row],[I_10]]/Table8[[#This Row],[I_0]])</f>
        <v>1</v>
      </c>
      <c r="V878" s="13" cm="1">
        <f t="array" ref="V878">IF(Table8[[#This Row],[I_0]]&lt;Table24[Flitro de Ruido],1,Table8[[#This Row],[I_20]]/Table8[[#This Row],[I_0]])</f>
        <v>1</v>
      </c>
      <c r="W878" s="13" cm="1">
        <f t="array" ref="W878">IF(Table8[[#This Row],[I_0]]&lt;Table24[Flitro de Ruido],1,Table8[[#This Row],[I_30]]/Table8[[#This Row],[I_0]])</f>
        <v>1</v>
      </c>
      <c r="X878" s="13" cm="1">
        <f t="array" ref="X878">IF(Table8[[#This Row],[I_0]]&lt;Table24[Flitro de Ruido],1,Table8[[#This Row],[I_40]]/Table8[[#This Row],[I_0]])</f>
        <v>1</v>
      </c>
      <c r="Y878" s="13" cm="1">
        <f t="array" ref="Y878">IF(Table8[[#This Row],[I_0]]&lt;Table24[Flitro de Ruido],1,Table8[[#This Row],[I_50]]/Table8[[#This Row],[I_0]])</f>
        <v>1</v>
      </c>
    </row>
    <row r="879" spans="1:25" x14ac:dyDescent="0.3">
      <c r="A879" s="13">
        <v>940.06</v>
      </c>
      <c r="B879" s="12">
        <v>0</v>
      </c>
      <c r="C879" s="11">
        <v>940.06</v>
      </c>
      <c r="D879" s="12">
        <v>0</v>
      </c>
      <c r="E879" s="11">
        <v>940.06</v>
      </c>
      <c r="F879" s="12">
        <v>0</v>
      </c>
      <c r="G879" s="11">
        <v>940.06</v>
      </c>
      <c r="H879" s="12">
        <v>0</v>
      </c>
      <c r="I879" s="11">
        <v>940.06</v>
      </c>
      <c r="J879" s="12">
        <v>0</v>
      </c>
      <c r="K879" s="11">
        <v>940.06</v>
      </c>
      <c r="L879" s="12">
        <v>0</v>
      </c>
      <c r="M879" s="11">
        <v>940.06</v>
      </c>
      <c r="N879" s="13">
        <v>0</v>
      </c>
      <c r="O879" s="11">
        <v>0</v>
      </c>
      <c r="P879" s="11">
        <v>0</v>
      </c>
      <c r="Q879" s="11">
        <v>0</v>
      </c>
      <c r="R879" s="11">
        <v>0</v>
      </c>
      <c r="S879" s="14">
        <v>0</v>
      </c>
      <c r="T879" s="11">
        <v>940.06</v>
      </c>
      <c r="U879" s="13" cm="1">
        <f t="array" ref="U879">IF(Table8[[#This Row],[I_0]]&lt;Table24[Flitro de Ruido],1,Table8[[#This Row],[I_10]]/Table8[[#This Row],[I_0]])</f>
        <v>1</v>
      </c>
      <c r="V879" s="13" cm="1">
        <f t="array" ref="V879">IF(Table8[[#This Row],[I_0]]&lt;Table24[Flitro de Ruido],1,Table8[[#This Row],[I_20]]/Table8[[#This Row],[I_0]])</f>
        <v>1</v>
      </c>
      <c r="W879" s="13" cm="1">
        <f t="array" ref="W879">IF(Table8[[#This Row],[I_0]]&lt;Table24[Flitro de Ruido],1,Table8[[#This Row],[I_30]]/Table8[[#This Row],[I_0]])</f>
        <v>1</v>
      </c>
      <c r="X879" s="13" cm="1">
        <f t="array" ref="X879">IF(Table8[[#This Row],[I_0]]&lt;Table24[Flitro de Ruido],1,Table8[[#This Row],[I_40]]/Table8[[#This Row],[I_0]])</f>
        <v>1</v>
      </c>
      <c r="Y879" s="13" cm="1">
        <f t="array" ref="Y879">IF(Table8[[#This Row],[I_0]]&lt;Table24[Flitro de Ruido],1,Table8[[#This Row],[I_50]]/Table8[[#This Row],[I_0]])</f>
        <v>1</v>
      </c>
    </row>
    <row r="880" spans="1:25" x14ac:dyDescent="0.3">
      <c r="A880" s="13">
        <v>941.05</v>
      </c>
      <c r="B880" s="12">
        <v>0</v>
      </c>
      <c r="C880" s="11">
        <v>941.05</v>
      </c>
      <c r="D880" s="12">
        <v>0</v>
      </c>
      <c r="E880" s="11">
        <v>941.05</v>
      </c>
      <c r="F880" s="12">
        <v>0</v>
      </c>
      <c r="G880" s="11">
        <v>941.05</v>
      </c>
      <c r="H880" s="12">
        <v>0</v>
      </c>
      <c r="I880" s="11">
        <v>941.05</v>
      </c>
      <c r="J880" s="12">
        <v>0</v>
      </c>
      <c r="K880" s="11">
        <v>941.05</v>
      </c>
      <c r="L880" s="12">
        <v>0</v>
      </c>
      <c r="M880" s="11">
        <v>941.05</v>
      </c>
      <c r="N880" s="13">
        <v>0</v>
      </c>
      <c r="O880" s="11">
        <v>0</v>
      </c>
      <c r="P880" s="11">
        <v>0</v>
      </c>
      <c r="Q880" s="11">
        <v>0</v>
      </c>
      <c r="R880" s="11">
        <v>0</v>
      </c>
      <c r="S880" s="14">
        <v>0</v>
      </c>
      <c r="T880" s="11">
        <v>941.05</v>
      </c>
      <c r="U880" s="13" cm="1">
        <f t="array" ref="U880">IF(Table8[[#This Row],[I_0]]&lt;Table24[Flitro de Ruido],1,Table8[[#This Row],[I_10]]/Table8[[#This Row],[I_0]])</f>
        <v>1</v>
      </c>
      <c r="V880" s="13" cm="1">
        <f t="array" ref="V880">IF(Table8[[#This Row],[I_0]]&lt;Table24[Flitro de Ruido],1,Table8[[#This Row],[I_20]]/Table8[[#This Row],[I_0]])</f>
        <v>1</v>
      </c>
      <c r="W880" s="13" cm="1">
        <f t="array" ref="W880">IF(Table8[[#This Row],[I_0]]&lt;Table24[Flitro de Ruido],1,Table8[[#This Row],[I_30]]/Table8[[#This Row],[I_0]])</f>
        <v>1</v>
      </c>
      <c r="X880" s="13" cm="1">
        <f t="array" ref="X880">IF(Table8[[#This Row],[I_0]]&lt;Table24[Flitro de Ruido],1,Table8[[#This Row],[I_40]]/Table8[[#This Row],[I_0]])</f>
        <v>1</v>
      </c>
      <c r="Y880" s="13" cm="1">
        <f t="array" ref="Y880">IF(Table8[[#This Row],[I_0]]&lt;Table24[Flitro de Ruido],1,Table8[[#This Row],[I_50]]/Table8[[#This Row],[I_0]])</f>
        <v>1</v>
      </c>
    </row>
    <row r="881" spans="1:25" x14ac:dyDescent="0.3">
      <c r="A881" s="13">
        <v>942.04</v>
      </c>
      <c r="B881" s="12">
        <v>0</v>
      </c>
      <c r="C881" s="11">
        <v>942.04</v>
      </c>
      <c r="D881" s="12">
        <v>0</v>
      </c>
      <c r="E881" s="11">
        <v>942.04</v>
      </c>
      <c r="F881" s="12">
        <v>0</v>
      </c>
      <c r="G881" s="11">
        <v>942.04</v>
      </c>
      <c r="H881" s="12">
        <v>0</v>
      </c>
      <c r="I881" s="11">
        <v>942.04</v>
      </c>
      <c r="J881" s="12">
        <v>0</v>
      </c>
      <c r="K881" s="11">
        <v>942.04</v>
      </c>
      <c r="L881" s="12">
        <v>0</v>
      </c>
      <c r="M881" s="11">
        <v>942.04</v>
      </c>
      <c r="N881" s="13">
        <v>0</v>
      </c>
      <c r="O881" s="11">
        <v>0</v>
      </c>
      <c r="P881" s="11">
        <v>0</v>
      </c>
      <c r="Q881" s="11">
        <v>0</v>
      </c>
      <c r="R881" s="11">
        <v>0</v>
      </c>
      <c r="S881" s="14">
        <v>0</v>
      </c>
      <c r="T881" s="11">
        <v>942.04</v>
      </c>
      <c r="U881" s="13" cm="1">
        <f t="array" ref="U881">IF(Table8[[#This Row],[I_0]]&lt;Table24[Flitro de Ruido],1,Table8[[#This Row],[I_10]]/Table8[[#This Row],[I_0]])</f>
        <v>1</v>
      </c>
      <c r="V881" s="13" cm="1">
        <f t="array" ref="V881">IF(Table8[[#This Row],[I_0]]&lt;Table24[Flitro de Ruido],1,Table8[[#This Row],[I_20]]/Table8[[#This Row],[I_0]])</f>
        <v>1</v>
      </c>
      <c r="W881" s="13" cm="1">
        <f t="array" ref="W881">IF(Table8[[#This Row],[I_0]]&lt;Table24[Flitro de Ruido],1,Table8[[#This Row],[I_30]]/Table8[[#This Row],[I_0]])</f>
        <v>1</v>
      </c>
      <c r="X881" s="13" cm="1">
        <f t="array" ref="X881">IF(Table8[[#This Row],[I_0]]&lt;Table24[Flitro de Ruido],1,Table8[[#This Row],[I_40]]/Table8[[#This Row],[I_0]])</f>
        <v>1</v>
      </c>
      <c r="Y881" s="13" cm="1">
        <f t="array" ref="Y881">IF(Table8[[#This Row],[I_0]]&lt;Table24[Flitro de Ruido],1,Table8[[#This Row],[I_50]]/Table8[[#This Row],[I_0]])</f>
        <v>1</v>
      </c>
    </row>
    <row r="882" spans="1:25" x14ac:dyDescent="0.3">
      <c r="A882" s="13">
        <v>943.03</v>
      </c>
      <c r="B882" s="12">
        <v>0</v>
      </c>
      <c r="C882" s="11">
        <v>943.03</v>
      </c>
      <c r="D882" s="12">
        <v>0</v>
      </c>
      <c r="E882" s="11">
        <v>943.03</v>
      </c>
      <c r="F882" s="12">
        <v>0</v>
      </c>
      <c r="G882" s="11">
        <v>943.03</v>
      </c>
      <c r="H882" s="12">
        <v>0</v>
      </c>
      <c r="I882" s="11">
        <v>943.03</v>
      </c>
      <c r="J882" s="12">
        <v>0</v>
      </c>
      <c r="K882" s="11">
        <v>943.03</v>
      </c>
      <c r="L882" s="12">
        <v>0</v>
      </c>
      <c r="M882" s="11">
        <v>943.03</v>
      </c>
      <c r="N882" s="13">
        <v>0</v>
      </c>
      <c r="O882" s="11">
        <v>0</v>
      </c>
      <c r="P882" s="11">
        <v>0</v>
      </c>
      <c r="Q882" s="11">
        <v>0</v>
      </c>
      <c r="R882" s="11">
        <v>0</v>
      </c>
      <c r="S882" s="14">
        <v>0</v>
      </c>
      <c r="T882" s="11">
        <v>943.03</v>
      </c>
      <c r="U882" s="13" cm="1">
        <f t="array" ref="U882">IF(Table8[[#This Row],[I_0]]&lt;Table24[Flitro de Ruido],1,Table8[[#This Row],[I_10]]/Table8[[#This Row],[I_0]])</f>
        <v>1</v>
      </c>
      <c r="V882" s="13" cm="1">
        <f t="array" ref="V882">IF(Table8[[#This Row],[I_0]]&lt;Table24[Flitro de Ruido],1,Table8[[#This Row],[I_20]]/Table8[[#This Row],[I_0]])</f>
        <v>1</v>
      </c>
      <c r="W882" s="13" cm="1">
        <f t="array" ref="W882">IF(Table8[[#This Row],[I_0]]&lt;Table24[Flitro de Ruido],1,Table8[[#This Row],[I_30]]/Table8[[#This Row],[I_0]])</f>
        <v>1</v>
      </c>
      <c r="X882" s="13" cm="1">
        <f t="array" ref="X882">IF(Table8[[#This Row],[I_0]]&lt;Table24[Flitro de Ruido],1,Table8[[#This Row],[I_40]]/Table8[[#This Row],[I_0]])</f>
        <v>1</v>
      </c>
      <c r="Y882" s="13" cm="1">
        <f t="array" ref="Y882">IF(Table8[[#This Row],[I_0]]&lt;Table24[Flitro de Ruido],1,Table8[[#This Row],[I_50]]/Table8[[#This Row],[I_0]])</f>
        <v>1</v>
      </c>
    </row>
    <row r="883" spans="1:25" x14ac:dyDescent="0.3">
      <c r="A883" s="13">
        <v>944.03</v>
      </c>
      <c r="B883" s="12">
        <v>0</v>
      </c>
      <c r="C883" s="11">
        <v>944.03</v>
      </c>
      <c r="D883" s="12">
        <v>0</v>
      </c>
      <c r="E883" s="11">
        <v>944.03</v>
      </c>
      <c r="F883" s="12">
        <v>0</v>
      </c>
      <c r="G883" s="11">
        <v>944.03</v>
      </c>
      <c r="H883" s="12">
        <v>0</v>
      </c>
      <c r="I883" s="11">
        <v>944.03</v>
      </c>
      <c r="J883" s="12">
        <v>0</v>
      </c>
      <c r="K883" s="11">
        <v>944.03</v>
      </c>
      <c r="L883" s="12">
        <v>0</v>
      </c>
      <c r="M883" s="11">
        <v>944.03</v>
      </c>
      <c r="N883" s="13">
        <v>0</v>
      </c>
      <c r="O883" s="11">
        <v>0</v>
      </c>
      <c r="P883" s="11">
        <v>0</v>
      </c>
      <c r="Q883" s="11">
        <v>0</v>
      </c>
      <c r="R883" s="11">
        <v>0</v>
      </c>
      <c r="S883" s="14">
        <v>0</v>
      </c>
      <c r="T883" s="11">
        <v>944.03</v>
      </c>
      <c r="U883" s="13" cm="1">
        <f t="array" ref="U883">IF(Table8[[#This Row],[I_0]]&lt;Table24[Flitro de Ruido],1,Table8[[#This Row],[I_10]]/Table8[[#This Row],[I_0]])</f>
        <v>1</v>
      </c>
      <c r="V883" s="13" cm="1">
        <f t="array" ref="V883">IF(Table8[[#This Row],[I_0]]&lt;Table24[Flitro de Ruido],1,Table8[[#This Row],[I_20]]/Table8[[#This Row],[I_0]])</f>
        <v>1</v>
      </c>
      <c r="W883" s="13" cm="1">
        <f t="array" ref="W883">IF(Table8[[#This Row],[I_0]]&lt;Table24[Flitro de Ruido],1,Table8[[#This Row],[I_30]]/Table8[[#This Row],[I_0]])</f>
        <v>1</v>
      </c>
      <c r="X883" s="13" cm="1">
        <f t="array" ref="X883">IF(Table8[[#This Row],[I_0]]&lt;Table24[Flitro de Ruido],1,Table8[[#This Row],[I_40]]/Table8[[#This Row],[I_0]])</f>
        <v>1</v>
      </c>
      <c r="Y883" s="13" cm="1">
        <f t="array" ref="Y883">IF(Table8[[#This Row],[I_0]]&lt;Table24[Flitro de Ruido],1,Table8[[#This Row],[I_50]]/Table8[[#This Row],[I_0]])</f>
        <v>1</v>
      </c>
    </row>
    <row r="884" spans="1:25" x14ac:dyDescent="0.3">
      <c r="A884" s="13">
        <v>945.02</v>
      </c>
      <c r="B884" s="12">
        <v>0</v>
      </c>
      <c r="C884" s="11">
        <v>945.02</v>
      </c>
      <c r="D884" s="12">
        <v>0</v>
      </c>
      <c r="E884" s="11">
        <v>945.02</v>
      </c>
      <c r="F884" s="12">
        <v>0</v>
      </c>
      <c r="G884" s="11">
        <v>945.02</v>
      </c>
      <c r="H884" s="12">
        <v>0</v>
      </c>
      <c r="I884" s="11">
        <v>945.02</v>
      </c>
      <c r="J884" s="12">
        <v>0</v>
      </c>
      <c r="K884" s="11">
        <v>945.02</v>
      </c>
      <c r="L884" s="12">
        <v>0</v>
      </c>
      <c r="M884" s="11">
        <v>945.02</v>
      </c>
      <c r="N884" s="13">
        <v>0</v>
      </c>
      <c r="O884" s="11">
        <v>0</v>
      </c>
      <c r="P884" s="11">
        <v>0</v>
      </c>
      <c r="Q884" s="11">
        <v>0</v>
      </c>
      <c r="R884" s="11">
        <v>0</v>
      </c>
      <c r="S884" s="14">
        <v>0</v>
      </c>
      <c r="T884" s="11">
        <v>945.02</v>
      </c>
      <c r="U884" s="13" cm="1">
        <f t="array" ref="U884">IF(Table8[[#This Row],[I_0]]&lt;Table24[Flitro de Ruido],1,Table8[[#This Row],[I_10]]/Table8[[#This Row],[I_0]])</f>
        <v>1</v>
      </c>
      <c r="V884" s="13" cm="1">
        <f t="array" ref="V884">IF(Table8[[#This Row],[I_0]]&lt;Table24[Flitro de Ruido],1,Table8[[#This Row],[I_20]]/Table8[[#This Row],[I_0]])</f>
        <v>1</v>
      </c>
      <c r="W884" s="13" cm="1">
        <f t="array" ref="W884">IF(Table8[[#This Row],[I_0]]&lt;Table24[Flitro de Ruido],1,Table8[[#This Row],[I_30]]/Table8[[#This Row],[I_0]])</f>
        <v>1</v>
      </c>
      <c r="X884" s="13" cm="1">
        <f t="array" ref="X884">IF(Table8[[#This Row],[I_0]]&lt;Table24[Flitro de Ruido],1,Table8[[#This Row],[I_40]]/Table8[[#This Row],[I_0]])</f>
        <v>1</v>
      </c>
      <c r="Y884" s="13" cm="1">
        <f t="array" ref="Y884">IF(Table8[[#This Row],[I_0]]&lt;Table24[Flitro de Ruido],1,Table8[[#This Row],[I_50]]/Table8[[#This Row],[I_0]])</f>
        <v>1</v>
      </c>
    </row>
    <row r="885" spans="1:25" x14ac:dyDescent="0.3">
      <c r="A885" s="13">
        <v>946.01</v>
      </c>
      <c r="B885" s="12">
        <v>0</v>
      </c>
      <c r="C885" s="11">
        <v>946.01</v>
      </c>
      <c r="D885" s="12">
        <v>0</v>
      </c>
      <c r="E885" s="11">
        <v>946.01</v>
      </c>
      <c r="F885" s="12">
        <v>0</v>
      </c>
      <c r="G885" s="11">
        <v>946.01</v>
      </c>
      <c r="H885" s="12">
        <v>0</v>
      </c>
      <c r="I885" s="11">
        <v>946.01</v>
      </c>
      <c r="J885" s="12">
        <v>0</v>
      </c>
      <c r="K885" s="11">
        <v>946.01</v>
      </c>
      <c r="L885" s="12">
        <v>0</v>
      </c>
      <c r="M885" s="11">
        <v>946.01</v>
      </c>
      <c r="N885" s="13">
        <v>0</v>
      </c>
      <c r="O885" s="11">
        <v>0</v>
      </c>
      <c r="P885" s="11">
        <v>0</v>
      </c>
      <c r="Q885" s="11">
        <v>0</v>
      </c>
      <c r="R885" s="11">
        <v>0</v>
      </c>
      <c r="S885" s="14">
        <v>0</v>
      </c>
      <c r="T885" s="11">
        <v>946.01</v>
      </c>
      <c r="U885" s="13" cm="1">
        <f t="array" ref="U885">IF(Table8[[#This Row],[I_0]]&lt;Table24[Flitro de Ruido],1,Table8[[#This Row],[I_10]]/Table8[[#This Row],[I_0]])</f>
        <v>1</v>
      </c>
      <c r="V885" s="13" cm="1">
        <f t="array" ref="V885">IF(Table8[[#This Row],[I_0]]&lt;Table24[Flitro de Ruido],1,Table8[[#This Row],[I_20]]/Table8[[#This Row],[I_0]])</f>
        <v>1</v>
      </c>
      <c r="W885" s="13" cm="1">
        <f t="array" ref="W885">IF(Table8[[#This Row],[I_0]]&lt;Table24[Flitro de Ruido],1,Table8[[#This Row],[I_30]]/Table8[[#This Row],[I_0]])</f>
        <v>1</v>
      </c>
      <c r="X885" s="13" cm="1">
        <f t="array" ref="X885">IF(Table8[[#This Row],[I_0]]&lt;Table24[Flitro de Ruido],1,Table8[[#This Row],[I_40]]/Table8[[#This Row],[I_0]])</f>
        <v>1</v>
      </c>
      <c r="Y885" s="13" cm="1">
        <f t="array" ref="Y885">IF(Table8[[#This Row],[I_0]]&lt;Table24[Flitro de Ruido],1,Table8[[#This Row],[I_50]]/Table8[[#This Row],[I_0]])</f>
        <v>1</v>
      </c>
    </row>
    <row r="886" spans="1:25" x14ac:dyDescent="0.3">
      <c r="A886" s="13">
        <v>947</v>
      </c>
      <c r="B886" s="12">
        <v>0</v>
      </c>
      <c r="C886" s="11">
        <v>947</v>
      </c>
      <c r="D886" s="12">
        <v>0</v>
      </c>
      <c r="E886" s="11">
        <v>947</v>
      </c>
      <c r="F886" s="12">
        <v>0</v>
      </c>
      <c r="G886" s="11">
        <v>947</v>
      </c>
      <c r="H886" s="12">
        <v>0</v>
      </c>
      <c r="I886" s="11">
        <v>947</v>
      </c>
      <c r="J886" s="12">
        <v>0</v>
      </c>
      <c r="K886" s="11">
        <v>947</v>
      </c>
      <c r="L886" s="12">
        <v>0</v>
      </c>
      <c r="M886" s="11">
        <v>947</v>
      </c>
      <c r="N886" s="13">
        <v>0</v>
      </c>
      <c r="O886" s="11">
        <v>0</v>
      </c>
      <c r="P886" s="11">
        <v>0</v>
      </c>
      <c r="Q886" s="11">
        <v>0</v>
      </c>
      <c r="R886" s="11">
        <v>0</v>
      </c>
      <c r="S886" s="14">
        <v>0</v>
      </c>
      <c r="T886" s="11">
        <v>947</v>
      </c>
      <c r="U886" s="13" cm="1">
        <f t="array" ref="U886">IF(Table8[[#This Row],[I_0]]&lt;Table24[Flitro de Ruido],1,Table8[[#This Row],[I_10]]/Table8[[#This Row],[I_0]])</f>
        <v>1</v>
      </c>
      <c r="V886" s="13" cm="1">
        <f t="array" ref="V886">IF(Table8[[#This Row],[I_0]]&lt;Table24[Flitro de Ruido],1,Table8[[#This Row],[I_20]]/Table8[[#This Row],[I_0]])</f>
        <v>1</v>
      </c>
      <c r="W886" s="13" cm="1">
        <f t="array" ref="W886">IF(Table8[[#This Row],[I_0]]&lt;Table24[Flitro de Ruido],1,Table8[[#This Row],[I_30]]/Table8[[#This Row],[I_0]])</f>
        <v>1</v>
      </c>
      <c r="X886" s="13" cm="1">
        <f t="array" ref="X886">IF(Table8[[#This Row],[I_0]]&lt;Table24[Flitro de Ruido],1,Table8[[#This Row],[I_40]]/Table8[[#This Row],[I_0]])</f>
        <v>1</v>
      </c>
      <c r="Y886" s="13" cm="1">
        <f t="array" ref="Y886">IF(Table8[[#This Row],[I_0]]&lt;Table24[Flitro de Ruido],1,Table8[[#This Row],[I_50]]/Table8[[#This Row],[I_0]])</f>
        <v>1</v>
      </c>
    </row>
    <row r="887" spans="1:25" x14ac:dyDescent="0.3">
      <c r="A887" s="13">
        <v>947.99</v>
      </c>
      <c r="B887" s="12">
        <v>0</v>
      </c>
      <c r="C887" s="11">
        <v>947.99</v>
      </c>
      <c r="D887" s="12">
        <v>0</v>
      </c>
      <c r="E887" s="11">
        <v>947.99</v>
      </c>
      <c r="F887" s="12">
        <v>0</v>
      </c>
      <c r="G887" s="11">
        <v>947.99</v>
      </c>
      <c r="H887" s="12">
        <v>0</v>
      </c>
      <c r="I887" s="11">
        <v>947.99</v>
      </c>
      <c r="J887" s="12">
        <v>0</v>
      </c>
      <c r="K887" s="11">
        <v>947.99</v>
      </c>
      <c r="L887" s="12">
        <v>0</v>
      </c>
      <c r="M887" s="11">
        <v>947.99</v>
      </c>
      <c r="N887" s="13">
        <v>0</v>
      </c>
      <c r="O887" s="11">
        <v>0</v>
      </c>
      <c r="P887" s="11">
        <v>0</v>
      </c>
      <c r="Q887" s="11">
        <v>0</v>
      </c>
      <c r="R887" s="11">
        <v>0</v>
      </c>
      <c r="S887" s="14">
        <v>0</v>
      </c>
      <c r="T887" s="11">
        <v>947.99</v>
      </c>
      <c r="U887" s="13" cm="1">
        <f t="array" ref="U887">IF(Table8[[#This Row],[I_0]]&lt;Table24[Flitro de Ruido],1,Table8[[#This Row],[I_10]]/Table8[[#This Row],[I_0]])</f>
        <v>1</v>
      </c>
      <c r="V887" s="13" cm="1">
        <f t="array" ref="V887">IF(Table8[[#This Row],[I_0]]&lt;Table24[Flitro de Ruido],1,Table8[[#This Row],[I_20]]/Table8[[#This Row],[I_0]])</f>
        <v>1</v>
      </c>
      <c r="W887" s="13" cm="1">
        <f t="array" ref="W887">IF(Table8[[#This Row],[I_0]]&lt;Table24[Flitro de Ruido],1,Table8[[#This Row],[I_30]]/Table8[[#This Row],[I_0]])</f>
        <v>1</v>
      </c>
      <c r="X887" s="13" cm="1">
        <f t="array" ref="X887">IF(Table8[[#This Row],[I_0]]&lt;Table24[Flitro de Ruido],1,Table8[[#This Row],[I_40]]/Table8[[#This Row],[I_0]])</f>
        <v>1</v>
      </c>
      <c r="Y887" s="13" cm="1">
        <f t="array" ref="Y887">IF(Table8[[#This Row],[I_0]]&lt;Table24[Flitro de Ruido],1,Table8[[#This Row],[I_50]]/Table8[[#This Row],[I_0]])</f>
        <v>1</v>
      </c>
    </row>
    <row r="888" spans="1:25" x14ac:dyDescent="0.3">
      <c r="A888" s="13">
        <v>948.98</v>
      </c>
      <c r="B888" s="12">
        <v>0</v>
      </c>
      <c r="C888" s="11">
        <v>948.98</v>
      </c>
      <c r="D888" s="12">
        <v>0</v>
      </c>
      <c r="E888" s="11">
        <v>948.98</v>
      </c>
      <c r="F888" s="12">
        <v>0</v>
      </c>
      <c r="G888" s="11">
        <v>948.98</v>
      </c>
      <c r="H888" s="12">
        <v>0</v>
      </c>
      <c r="I888" s="11">
        <v>948.98</v>
      </c>
      <c r="J888" s="12">
        <v>0</v>
      </c>
      <c r="K888" s="11">
        <v>948.98</v>
      </c>
      <c r="L888" s="12">
        <v>0</v>
      </c>
      <c r="M888" s="11">
        <v>948.98</v>
      </c>
      <c r="N888" s="13">
        <v>0</v>
      </c>
      <c r="O888" s="11">
        <v>0</v>
      </c>
      <c r="P888" s="11">
        <v>0</v>
      </c>
      <c r="Q888" s="11">
        <v>0</v>
      </c>
      <c r="R888" s="11">
        <v>0</v>
      </c>
      <c r="S888" s="14">
        <v>0</v>
      </c>
      <c r="T888" s="11">
        <v>948.98</v>
      </c>
      <c r="U888" s="13" cm="1">
        <f t="array" ref="U888">IF(Table8[[#This Row],[I_0]]&lt;Table24[Flitro de Ruido],1,Table8[[#This Row],[I_10]]/Table8[[#This Row],[I_0]])</f>
        <v>1</v>
      </c>
      <c r="V888" s="13" cm="1">
        <f t="array" ref="V888">IF(Table8[[#This Row],[I_0]]&lt;Table24[Flitro de Ruido],1,Table8[[#This Row],[I_20]]/Table8[[#This Row],[I_0]])</f>
        <v>1</v>
      </c>
      <c r="W888" s="13" cm="1">
        <f t="array" ref="W888">IF(Table8[[#This Row],[I_0]]&lt;Table24[Flitro de Ruido],1,Table8[[#This Row],[I_30]]/Table8[[#This Row],[I_0]])</f>
        <v>1</v>
      </c>
      <c r="X888" s="13" cm="1">
        <f t="array" ref="X888">IF(Table8[[#This Row],[I_0]]&lt;Table24[Flitro de Ruido],1,Table8[[#This Row],[I_40]]/Table8[[#This Row],[I_0]])</f>
        <v>1</v>
      </c>
      <c r="Y888" s="13" cm="1">
        <f t="array" ref="Y888">IF(Table8[[#This Row],[I_0]]&lt;Table24[Flitro de Ruido],1,Table8[[#This Row],[I_50]]/Table8[[#This Row],[I_0]])</f>
        <v>1</v>
      </c>
    </row>
    <row r="889" spans="1:25" x14ac:dyDescent="0.3">
      <c r="A889" s="13">
        <v>949.98</v>
      </c>
      <c r="B889" s="12">
        <v>0</v>
      </c>
      <c r="C889" s="11">
        <v>949.98</v>
      </c>
      <c r="D889" s="12">
        <v>0</v>
      </c>
      <c r="E889" s="11">
        <v>949.98</v>
      </c>
      <c r="F889" s="12">
        <v>0</v>
      </c>
      <c r="G889" s="11">
        <v>949.98</v>
      </c>
      <c r="H889" s="12">
        <v>0</v>
      </c>
      <c r="I889" s="11">
        <v>949.98</v>
      </c>
      <c r="J889" s="12">
        <v>0</v>
      </c>
      <c r="K889" s="11">
        <v>949.98</v>
      </c>
      <c r="L889" s="12">
        <v>0</v>
      </c>
      <c r="M889" s="11">
        <v>949.98</v>
      </c>
      <c r="N889" s="13">
        <v>0</v>
      </c>
      <c r="O889" s="11">
        <v>0</v>
      </c>
      <c r="P889" s="11">
        <v>0</v>
      </c>
      <c r="Q889" s="11">
        <v>0</v>
      </c>
      <c r="R889" s="11">
        <v>0</v>
      </c>
      <c r="S889" s="14">
        <v>0</v>
      </c>
      <c r="T889" s="11">
        <v>949.98</v>
      </c>
      <c r="U889" s="13" cm="1">
        <f t="array" ref="U889">IF(Table8[[#This Row],[I_0]]&lt;Table24[Flitro de Ruido],1,Table8[[#This Row],[I_10]]/Table8[[#This Row],[I_0]])</f>
        <v>1</v>
      </c>
      <c r="V889" s="13" cm="1">
        <f t="array" ref="V889">IF(Table8[[#This Row],[I_0]]&lt;Table24[Flitro de Ruido],1,Table8[[#This Row],[I_20]]/Table8[[#This Row],[I_0]])</f>
        <v>1</v>
      </c>
      <c r="W889" s="13" cm="1">
        <f t="array" ref="W889">IF(Table8[[#This Row],[I_0]]&lt;Table24[Flitro de Ruido],1,Table8[[#This Row],[I_30]]/Table8[[#This Row],[I_0]])</f>
        <v>1</v>
      </c>
      <c r="X889" s="13" cm="1">
        <f t="array" ref="X889">IF(Table8[[#This Row],[I_0]]&lt;Table24[Flitro de Ruido],1,Table8[[#This Row],[I_40]]/Table8[[#This Row],[I_0]])</f>
        <v>1</v>
      </c>
      <c r="Y889" s="13" cm="1">
        <f t="array" ref="Y889">IF(Table8[[#This Row],[I_0]]&lt;Table24[Flitro de Ruido],1,Table8[[#This Row],[I_50]]/Table8[[#This Row],[I_0]])</f>
        <v>1</v>
      </c>
    </row>
    <row r="890" spans="1:25" x14ac:dyDescent="0.3">
      <c r="A890" s="13">
        <v>950.97</v>
      </c>
      <c r="B890" s="12">
        <v>0</v>
      </c>
      <c r="C890" s="11">
        <v>950.97</v>
      </c>
      <c r="D890" s="12">
        <v>0</v>
      </c>
      <c r="E890" s="11">
        <v>950.97</v>
      </c>
      <c r="F890" s="12">
        <v>0</v>
      </c>
      <c r="G890" s="11">
        <v>950.97</v>
      </c>
      <c r="H890" s="12">
        <v>0</v>
      </c>
      <c r="I890" s="11">
        <v>950.97</v>
      </c>
      <c r="J890" s="12">
        <v>0</v>
      </c>
      <c r="K890" s="11">
        <v>950.97</v>
      </c>
      <c r="L890" s="12">
        <v>0</v>
      </c>
      <c r="M890" s="11">
        <v>950.97</v>
      </c>
      <c r="N890" s="13">
        <v>0</v>
      </c>
      <c r="O890" s="11">
        <v>0</v>
      </c>
      <c r="P890" s="11">
        <v>0</v>
      </c>
      <c r="Q890" s="11">
        <v>0</v>
      </c>
      <c r="R890" s="11">
        <v>0</v>
      </c>
      <c r="S890" s="14">
        <v>0</v>
      </c>
      <c r="T890" s="11">
        <v>950.97</v>
      </c>
      <c r="U890" s="13" cm="1">
        <f t="array" ref="U890">IF(Table8[[#This Row],[I_0]]&lt;Table24[Flitro de Ruido],1,Table8[[#This Row],[I_10]]/Table8[[#This Row],[I_0]])</f>
        <v>1</v>
      </c>
      <c r="V890" s="13" cm="1">
        <f t="array" ref="V890">IF(Table8[[#This Row],[I_0]]&lt;Table24[Flitro de Ruido],1,Table8[[#This Row],[I_20]]/Table8[[#This Row],[I_0]])</f>
        <v>1</v>
      </c>
      <c r="W890" s="13" cm="1">
        <f t="array" ref="W890">IF(Table8[[#This Row],[I_0]]&lt;Table24[Flitro de Ruido],1,Table8[[#This Row],[I_30]]/Table8[[#This Row],[I_0]])</f>
        <v>1</v>
      </c>
      <c r="X890" s="13" cm="1">
        <f t="array" ref="X890">IF(Table8[[#This Row],[I_0]]&lt;Table24[Flitro de Ruido],1,Table8[[#This Row],[I_40]]/Table8[[#This Row],[I_0]])</f>
        <v>1</v>
      </c>
      <c r="Y890" s="13" cm="1">
        <f t="array" ref="Y890">IF(Table8[[#This Row],[I_0]]&lt;Table24[Flitro de Ruido],1,Table8[[#This Row],[I_50]]/Table8[[#This Row],[I_0]])</f>
        <v>1</v>
      </c>
    </row>
    <row r="891" spans="1:25" x14ac:dyDescent="0.3">
      <c r="A891" s="13">
        <v>951.96</v>
      </c>
      <c r="B891" s="12">
        <v>0</v>
      </c>
      <c r="C891" s="11">
        <v>951.96</v>
      </c>
      <c r="D891" s="12">
        <v>0</v>
      </c>
      <c r="E891" s="11">
        <v>951.96</v>
      </c>
      <c r="F891" s="12">
        <v>0</v>
      </c>
      <c r="G891" s="11">
        <v>951.96</v>
      </c>
      <c r="H891" s="12">
        <v>0</v>
      </c>
      <c r="I891" s="11">
        <v>951.96</v>
      </c>
      <c r="J891" s="12">
        <v>0</v>
      </c>
      <c r="K891" s="11">
        <v>951.96</v>
      </c>
      <c r="L891" s="12">
        <v>0</v>
      </c>
      <c r="M891" s="11">
        <v>951.96</v>
      </c>
      <c r="N891" s="13">
        <v>0</v>
      </c>
      <c r="O891" s="11">
        <v>0</v>
      </c>
      <c r="P891" s="11">
        <v>0</v>
      </c>
      <c r="Q891" s="11">
        <v>0</v>
      </c>
      <c r="R891" s="11">
        <v>0</v>
      </c>
      <c r="S891" s="14">
        <v>0</v>
      </c>
      <c r="T891" s="11">
        <v>951.96</v>
      </c>
      <c r="U891" s="13" cm="1">
        <f t="array" ref="U891">IF(Table8[[#This Row],[I_0]]&lt;Table24[Flitro de Ruido],1,Table8[[#This Row],[I_10]]/Table8[[#This Row],[I_0]])</f>
        <v>1</v>
      </c>
      <c r="V891" s="13" cm="1">
        <f t="array" ref="V891">IF(Table8[[#This Row],[I_0]]&lt;Table24[Flitro de Ruido],1,Table8[[#This Row],[I_20]]/Table8[[#This Row],[I_0]])</f>
        <v>1</v>
      </c>
      <c r="W891" s="13" cm="1">
        <f t="array" ref="W891">IF(Table8[[#This Row],[I_0]]&lt;Table24[Flitro de Ruido],1,Table8[[#This Row],[I_30]]/Table8[[#This Row],[I_0]])</f>
        <v>1</v>
      </c>
      <c r="X891" s="13" cm="1">
        <f t="array" ref="X891">IF(Table8[[#This Row],[I_0]]&lt;Table24[Flitro de Ruido],1,Table8[[#This Row],[I_40]]/Table8[[#This Row],[I_0]])</f>
        <v>1</v>
      </c>
      <c r="Y891" s="13" cm="1">
        <f t="array" ref="Y891">IF(Table8[[#This Row],[I_0]]&lt;Table24[Flitro de Ruido],1,Table8[[#This Row],[I_50]]/Table8[[#This Row],[I_0]])</f>
        <v>1</v>
      </c>
    </row>
    <row r="892" spans="1:25" x14ac:dyDescent="0.3">
      <c r="A892" s="13">
        <v>952.95</v>
      </c>
      <c r="B892" s="12">
        <v>0</v>
      </c>
      <c r="C892" s="11">
        <v>952.95</v>
      </c>
      <c r="D892" s="12">
        <v>0</v>
      </c>
      <c r="E892" s="11">
        <v>952.95</v>
      </c>
      <c r="F892" s="12">
        <v>0</v>
      </c>
      <c r="G892" s="11">
        <v>952.95</v>
      </c>
      <c r="H892" s="12">
        <v>0</v>
      </c>
      <c r="I892" s="11">
        <v>952.95</v>
      </c>
      <c r="J892" s="12">
        <v>0</v>
      </c>
      <c r="K892" s="11">
        <v>952.95</v>
      </c>
      <c r="L892" s="12">
        <v>0</v>
      </c>
      <c r="M892" s="11">
        <v>952.95</v>
      </c>
      <c r="N892" s="13">
        <v>0</v>
      </c>
      <c r="O892" s="11">
        <v>0</v>
      </c>
      <c r="P892" s="11">
        <v>0</v>
      </c>
      <c r="Q892" s="11">
        <v>0</v>
      </c>
      <c r="R892" s="11">
        <v>0</v>
      </c>
      <c r="S892" s="14">
        <v>0</v>
      </c>
      <c r="T892" s="11">
        <v>952.95</v>
      </c>
      <c r="U892" s="13" cm="1">
        <f t="array" ref="U892">IF(Table8[[#This Row],[I_0]]&lt;Table24[Flitro de Ruido],1,Table8[[#This Row],[I_10]]/Table8[[#This Row],[I_0]])</f>
        <v>1</v>
      </c>
      <c r="V892" s="13" cm="1">
        <f t="array" ref="V892">IF(Table8[[#This Row],[I_0]]&lt;Table24[Flitro de Ruido],1,Table8[[#This Row],[I_20]]/Table8[[#This Row],[I_0]])</f>
        <v>1</v>
      </c>
      <c r="W892" s="13" cm="1">
        <f t="array" ref="W892">IF(Table8[[#This Row],[I_0]]&lt;Table24[Flitro de Ruido],1,Table8[[#This Row],[I_30]]/Table8[[#This Row],[I_0]])</f>
        <v>1</v>
      </c>
      <c r="X892" s="13" cm="1">
        <f t="array" ref="X892">IF(Table8[[#This Row],[I_0]]&lt;Table24[Flitro de Ruido],1,Table8[[#This Row],[I_40]]/Table8[[#This Row],[I_0]])</f>
        <v>1</v>
      </c>
      <c r="Y892" s="13" cm="1">
        <f t="array" ref="Y892">IF(Table8[[#This Row],[I_0]]&lt;Table24[Flitro de Ruido],1,Table8[[#This Row],[I_50]]/Table8[[#This Row],[I_0]])</f>
        <v>1</v>
      </c>
    </row>
    <row r="893" spans="1:25" x14ac:dyDescent="0.3">
      <c r="A893" s="13">
        <v>953.94</v>
      </c>
      <c r="B893" s="12">
        <v>0</v>
      </c>
      <c r="C893" s="11">
        <v>953.94</v>
      </c>
      <c r="D893" s="12">
        <v>0</v>
      </c>
      <c r="E893" s="11">
        <v>953.94</v>
      </c>
      <c r="F893" s="12">
        <v>0</v>
      </c>
      <c r="G893" s="11">
        <v>953.94</v>
      </c>
      <c r="H893" s="12">
        <v>0</v>
      </c>
      <c r="I893" s="11">
        <v>953.94</v>
      </c>
      <c r="J893" s="12">
        <v>0</v>
      </c>
      <c r="K893" s="11">
        <v>953.94</v>
      </c>
      <c r="L893" s="12">
        <v>0</v>
      </c>
      <c r="M893" s="11">
        <v>953.94</v>
      </c>
      <c r="N893" s="13">
        <v>0</v>
      </c>
      <c r="O893" s="11">
        <v>0</v>
      </c>
      <c r="P893" s="11">
        <v>0</v>
      </c>
      <c r="Q893" s="11">
        <v>0</v>
      </c>
      <c r="R893" s="11">
        <v>0</v>
      </c>
      <c r="S893" s="14">
        <v>0</v>
      </c>
      <c r="T893" s="11">
        <v>953.94</v>
      </c>
      <c r="U893" s="13" cm="1">
        <f t="array" ref="U893">IF(Table8[[#This Row],[I_0]]&lt;Table24[Flitro de Ruido],1,Table8[[#This Row],[I_10]]/Table8[[#This Row],[I_0]])</f>
        <v>1</v>
      </c>
      <c r="V893" s="13" cm="1">
        <f t="array" ref="V893">IF(Table8[[#This Row],[I_0]]&lt;Table24[Flitro de Ruido],1,Table8[[#This Row],[I_20]]/Table8[[#This Row],[I_0]])</f>
        <v>1</v>
      </c>
      <c r="W893" s="13" cm="1">
        <f t="array" ref="W893">IF(Table8[[#This Row],[I_0]]&lt;Table24[Flitro de Ruido],1,Table8[[#This Row],[I_30]]/Table8[[#This Row],[I_0]])</f>
        <v>1</v>
      </c>
      <c r="X893" s="13" cm="1">
        <f t="array" ref="X893">IF(Table8[[#This Row],[I_0]]&lt;Table24[Flitro de Ruido],1,Table8[[#This Row],[I_40]]/Table8[[#This Row],[I_0]])</f>
        <v>1</v>
      </c>
      <c r="Y893" s="13" cm="1">
        <f t="array" ref="Y893">IF(Table8[[#This Row],[I_0]]&lt;Table24[Flitro de Ruido],1,Table8[[#This Row],[I_50]]/Table8[[#This Row],[I_0]])</f>
        <v>1</v>
      </c>
    </row>
    <row r="894" spans="1:25" x14ac:dyDescent="0.3">
      <c r="A894" s="13">
        <v>954.93</v>
      </c>
      <c r="B894" s="12">
        <v>0</v>
      </c>
      <c r="C894" s="11">
        <v>954.93</v>
      </c>
      <c r="D894" s="12">
        <v>0</v>
      </c>
      <c r="E894" s="11">
        <v>954.93</v>
      </c>
      <c r="F894" s="12">
        <v>0</v>
      </c>
      <c r="G894" s="11">
        <v>954.93</v>
      </c>
      <c r="H894" s="12">
        <v>0</v>
      </c>
      <c r="I894" s="11">
        <v>954.93</v>
      </c>
      <c r="J894" s="12">
        <v>0</v>
      </c>
      <c r="K894" s="11">
        <v>954.93</v>
      </c>
      <c r="L894" s="12">
        <v>0</v>
      </c>
      <c r="M894" s="11">
        <v>954.93</v>
      </c>
      <c r="N894" s="13">
        <v>0</v>
      </c>
      <c r="O894" s="11">
        <v>0</v>
      </c>
      <c r="P894" s="11">
        <v>0</v>
      </c>
      <c r="Q894" s="11">
        <v>0</v>
      </c>
      <c r="R894" s="11">
        <v>0</v>
      </c>
      <c r="S894" s="14">
        <v>0</v>
      </c>
      <c r="T894" s="11">
        <v>954.93</v>
      </c>
      <c r="U894" s="13" cm="1">
        <f t="array" ref="U894">IF(Table8[[#This Row],[I_0]]&lt;Table24[Flitro de Ruido],1,Table8[[#This Row],[I_10]]/Table8[[#This Row],[I_0]])</f>
        <v>1</v>
      </c>
      <c r="V894" s="13" cm="1">
        <f t="array" ref="V894">IF(Table8[[#This Row],[I_0]]&lt;Table24[Flitro de Ruido],1,Table8[[#This Row],[I_20]]/Table8[[#This Row],[I_0]])</f>
        <v>1</v>
      </c>
      <c r="W894" s="13" cm="1">
        <f t="array" ref="W894">IF(Table8[[#This Row],[I_0]]&lt;Table24[Flitro de Ruido],1,Table8[[#This Row],[I_30]]/Table8[[#This Row],[I_0]])</f>
        <v>1</v>
      </c>
      <c r="X894" s="13" cm="1">
        <f t="array" ref="X894">IF(Table8[[#This Row],[I_0]]&lt;Table24[Flitro de Ruido],1,Table8[[#This Row],[I_40]]/Table8[[#This Row],[I_0]])</f>
        <v>1</v>
      </c>
      <c r="Y894" s="13" cm="1">
        <f t="array" ref="Y894">IF(Table8[[#This Row],[I_0]]&lt;Table24[Flitro de Ruido],1,Table8[[#This Row],[I_50]]/Table8[[#This Row],[I_0]])</f>
        <v>1</v>
      </c>
    </row>
    <row r="895" spans="1:25" x14ac:dyDescent="0.3">
      <c r="A895" s="13">
        <v>955.93</v>
      </c>
      <c r="B895" s="12">
        <v>0</v>
      </c>
      <c r="C895" s="11">
        <v>955.93</v>
      </c>
      <c r="D895" s="12">
        <v>0</v>
      </c>
      <c r="E895" s="11">
        <v>955.93</v>
      </c>
      <c r="F895" s="12">
        <v>0</v>
      </c>
      <c r="G895" s="11">
        <v>955.93</v>
      </c>
      <c r="H895" s="12">
        <v>0</v>
      </c>
      <c r="I895" s="11">
        <v>955.93</v>
      </c>
      <c r="J895" s="12">
        <v>0</v>
      </c>
      <c r="K895" s="11">
        <v>955.93</v>
      </c>
      <c r="L895" s="12">
        <v>0</v>
      </c>
      <c r="M895" s="11">
        <v>955.93</v>
      </c>
      <c r="N895" s="13">
        <v>0</v>
      </c>
      <c r="O895" s="11">
        <v>0</v>
      </c>
      <c r="P895" s="11">
        <v>0</v>
      </c>
      <c r="Q895" s="11">
        <v>0</v>
      </c>
      <c r="R895" s="11">
        <v>0</v>
      </c>
      <c r="S895" s="14">
        <v>0</v>
      </c>
      <c r="T895" s="11">
        <v>955.93</v>
      </c>
      <c r="U895" s="13" cm="1">
        <f t="array" ref="U895">IF(Table8[[#This Row],[I_0]]&lt;Table24[Flitro de Ruido],1,Table8[[#This Row],[I_10]]/Table8[[#This Row],[I_0]])</f>
        <v>1</v>
      </c>
      <c r="V895" s="13" cm="1">
        <f t="array" ref="V895">IF(Table8[[#This Row],[I_0]]&lt;Table24[Flitro de Ruido],1,Table8[[#This Row],[I_20]]/Table8[[#This Row],[I_0]])</f>
        <v>1</v>
      </c>
      <c r="W895" s="13" cm="1">
        <f t="array" ref="W895">IF(Table8[[#This Row],[I_0]]&lt;Table24[Flitro de Ruido],1,Table8[[#This Row],[I_30]]/Table8[[#This Row],[I_0]])</f>
        <v>1</v>
      </c>
      <c r="X895" s="13" cm="1">
        <f t="array" ref="X895">IF(Table8[[#This Row],[I_0]]&lt;Table24[Flitro de Ruido],1,Table8[[#This Row],[I_40]]/Table8[[#This Row],[I_0]])</f>
        <v>1</v>
      </c>
      <c r="Y895" s="13" cm="1">
        <f t="array" ref="Y895">IF(Table8[[#This Row],[I_0]]&lt;Table24[Flitro de Ruido],1,Table8[[#This Row],[I_50]]/Table8[[#This Row],[I_0]])</f>
        <v>1</v>
      </c>
    </row>
    <row r="896" spans="1:25" x14ac:dyDescent="0.3">
      <c r="A896" s="13">
        <v>956.92</v>
      </c>
      <c r="B896" s="12">
        <v>0</v>
      </c>
      <c r="C896" s="11">
        <v>956.92</v>
      </c>
      <c r="D896" s="12">
        <v>0</v>
      </c>
      <c r="E896" s="11">
        <v>956.92</v>
      </c>
      <c r="F896" s="12">
        <v>0</v>
      </c>
      <c r="G896" s="11">
        <v>956.92</v>
      </c>
      <c r="H896" s="12">
        <v>0</v>
      </c>
      <c r="I896" s="11">
        <v>956.92</v>
      </c>
      <c r="J896" s="12">
        <v>0</v>
      </c>
      <c r="K896" s="11">
        <v>956.92</v>
      </c>
      <c r="L896" s="12">
        <v>0</v>
      </c>
      <c r="M896" s="11">
        <v>956.92</v>
      </c>
      <c r="N896" s="13">
        <v>0</v>
      </c>
      <c r="O896" s="11">
        <v>0</v>
      </c>
      <c r="P896" s="11">
        <v>0</v>
      </c>
      <c r="Q896" s="11">
        <v>0</v>
      </c>
      <c r="R896" s="11">
        <v>0</v>
      </c>
      <c r="S896" s="14">
        <v>0</v>
      </c>
      <c r="T896" s="11">
        <v>956.92</v>
      </c>
      <c r="U896" s="13" cm="1">
        <f t="array" ref="U896">IF(Table8[[#This Row],[I_0]]&lt;Table24[Flitro de Ruido],1,Table8[[#This Row],[I_10]]/Table8[[#This Row],[I_0]])</f>
        <v>1</v>
      </c>
      <c r="V896" s="13" cm="1">
        <f t="array" ref="V896">IF(Table8[[#This Row],[I_0]]&lt;Table24[Flitro de Ruido],1,Table8[[#This Row],[I_20]]/Table8[[#This Row],[I_0]])</f>
        <v>1</v>
      </c>
      <c r="W896" s="13" cm="1">
        <f t="array" ref="W896">IF(Table8[[#This Row],[I_0]]&lt;Table24[Flitro de Ruido],1,Table8[[#This Row],[I_30]]/Table8[[#This Row],[I_0]])</f>
        <v>1</v>
      </c>
      <c r="X896" s="13" cm="1">
        <f t="array" ref="X896">IF(Table8[[#This Row],[I_0]]&lt;Table24[Flitro de Ruido],1,Table8[[#This Row],[I_40]]/Table8[[#This Row],[I_0]])</f>
        <v>1</v>
      </c>
      <c r="Y896" s="13" cm="1">
        <f t="array" ref="Y896">IF(Table8[[#This Row],[I_0]]&lt;Table24[Flitro de Ruido],1,Table8[[#This Row],[I_50]]/Table8[[#This Row],[I_0]])</f>
        <v>1</v>
      </c>
    </row>
    <row r="897" spans="1:25" x14ac:dyDescent="0.3">
      <c r="A897" s="13">
        <v>957.91</v>
      </c>
      <c r="B897" s="12">
        <v>0</v>
      </c>
      <c r="C897" s="11">
        <v>957.91</v>
      </c>
      <c r="D897" s="12">
        <v>0</v>
      </c>
      <c r="E897" s="11">
        <v>957.91</v>
      </c>
      <c r="F897" s="12">
        <v>0</v>
      </c>
      <c r="G897" s="11">
        <v>957.91</v>
      </c>
      <c r="H897" s="12">
        <v>0</v>
      </c>
      <c r="I897" s="11">
        <v>957.91</v>
      </c>
      <c r="J897" s="12">
        <v>0</v>
      </c>
      <c r="K897" s="11">
        <v>957.91</v>
      </c>
      <c r="L897" s="12">
        <v>0</v>
      </c>
      <c r="M897" s="11">
        <v>957.91</v>
      </c>
      <c r="N897" s="13">
        <v>0</v>
      </c>
      <c r="O897" s="11">
        <v>0</v>
      </c>
      <c r="P897" s="11">
        <v>0</v>
      </c>
      <c r="Q897" s="11">
        <v>0</v>
      </c>
      <c r="R897" s="11">
        <v>0</v>
      </c>
      <c r="S897" s="14">
        <v>0</v>
      </c>
      <c r="T897" s="11">
        <v>957.91</v>
      </c>
      <c r="U897" s="13" cm="1">
        <f t="array" ref="U897">IF(Table8[[#This Row],[I_0]]&lt;Table24[Flitro de Ruido],1,Table8[[#This Row],[I_10]]/Table8[[#This Row],[I_0]])</f>
        <v>1</v>
      </c>
      <c r="V897" s="13" cm="1">
        <f t="array" ref="V897">IF(Table8[[#This Row],[I_0]]&lt;Table24[Flitro de Ruido],1,Table8[[#This Row],[I_20]]/Table8[[#This Row],[I_0]])</f>
        <v>1</v>
      </c>
      <c r="W897" s="13" cm="1">
        <f t="array" ref="W897">IF(Table8[[#This Row],[I_0]]&lt;Table24[Flitro de Ruido],1,Table8[[#This Row],[I_30]]/Table8[[#This Row],[I_0]])</f>
        <v>1</v>
      </c>
      <c r="X897" s="13" cm="1">
        <f t="array" ref="X897">IF(Table8[[#This Row],[I_0]]&lt;Table24[Flitro de Ruido],1,Table8[[#This Row],[I_40]]/Table8[[#This Row],[I_0]])</f>
        <v>1</v>
      </c>
      <c r="Y897" s="13" cm="1">
        <f t="array" ref="Y897">IF(Table8[[#This Row],[I_0]]&lt;Table24[Flitro de Ruido],1,Table8[[#This Row],[I_50]]/Table8[[#This Row],[I_0]])</f>
        <v>1</v>
      </c>
    </row>
    <row r="898" spans="1:25" x14ac:dyDescent="0.3">
      <c r="A898" s="13">
        <v>958.9</v>
      </c>
      <c r="B898" s="12">
        <v>0</v>
      </c>
      <c r="C898" s="11">
        <v>958.9</v>
      </c>
      <c r="D898" s="12">
        <v>0</v>
      </c>
      <c r="E898" s="11">
        <v>958.9</v>
      </c>
      <c r="F898" s="12">
        <v>0</v>
      </c>
      <c r="G898" s="11">
        <v>958.9</v>
      </c>
      <c r="H898" s="12">
        <v>0</v>
      </c>
      <c r="I898" s="11">
        <v>958.9</v>
      </c>
      <c r="J898" s="12">
        <v>0</v>
      </c>
      <c r="K898" s="11">
        <v>958.9</v>
      </c>
      <c r="L898" s="12">
        <v>0</v>
      </c>
      <c r="M898" s="11">
        <v>958.9</v>
      </c>
      <c r="N898" s="13">
        <v>0</v>
      </c>
      <c r="O898" s="11">
        <v>0</v>
      </c>
      <c r="P898" s="11">
        <v>0</v>
      </c>
      <c r="Q898" s="11">
        <v>0</v>
      </c>
      <c r="R898" s="11">
        <v>0</v>
      </c>
      <c r="S898" s="14">
        <v>0</v>
      </c>
      <c r="T898" s="11">
        <v>958.9</v>
      </c>
      <c r="U898" s="13" cm="1">
        <f t="array" ref="U898">IF(Table8[[#This Row],[I_0]]&lt;Table24[Flitro de Ruido],1,Table8[[#This Row],[I_10]]/Table8[[#This Row],[I_0]])</f>
        <v>1</v>
      </c>
      <c r="V898" s="13" cm="1">
        <f t="array" ref="V898">IF(Table8[[#This Row],[I_0]]&lt;Table24[Flitro de Ruido],1,Table8[[#This Row],[I_20]]/Table8[[#This Row],[I_0]])</f>
        <v>1</v>
      </c>
      <c r="W898" s="13" cm="1">
        <f t="array" ref="W898">IF(Table8[[#This Row],[I_0]]&lt;Table24[Flitro de Ruido],1,Table8[[#This Row],[I_30]]/Table8[[#This Row],[I_0]])</f>
        <v>1</v>
      </c>
      <c r="X898" s="13" cm="1">
        <f t="array" ref="X898">IF(Table8[[#This Row],[I_0]]&lt;Table24[Flitro de Ruido],1,Table8[[#This Row],[I_40]]/Table8[[#This Row],[I_0]])</f>
        <v>1</v>
      </c>
      <c r="Y898" s="13" cm="1">
        <f t="array" ref="Y898">IF(Table8[[#This Row],[I_0]]&lt;Table24[Flitro de Ruido],1,Table8[[#This Row],[I_50]]/Table8[[#This Row],[I_0]])</f>
        <v>1</v>
      </c>
    </row>
    <row r="899" spans="1:25" x14ac:dyDescent="0.3">
      <c r="A899" s="13">
        <v>959.89</v>
      </c>
      <c r="B899" s="12">
        <v>0</v>
      </c>
      <c r="C899" s="11">
        <v>959.89</v>
      </c>
      <c r="D899" s="12">
        <v>0</v>
      </c>
      <c r="E899" s="11">
        <v>959.89</v>
      </c>
      <c r="F899" s="12">
        <v>0</v>
      </c>
      <c r="G899" s="11">
        <v>959.89</v>
      </c>
      <c r="H899" s="12">
        <v>0</v>
      </c>
      <c r="I899" s="11">
        <v>959.89</v>
      </c>
      <c r="J899" s="12">
        <v>0</v>
      </c>
      <c r="K899" s="11">
        <v>959.89</v>
      </c>
      <c r="L899" s="12">
        <v>0</v>
      </c>
      <c r="M899" s="11">
        <v>959.89</v>
      </c>
      <c r="N899" s="13">
        <v>0</v>
      </c>
      <c r="O899" s="11">
        <v>0</v>
      </c>
      <c r="P899" s="11">
        <v>0</v>
      </c>
      <c r="Q899" s="11">
        <v>0</v>
      </c>
      <c r="R899" s="11">
        <v>0</v>
      </c>
      <c r="S899" s="14">
        <v>0</v>
      </c>
      <c r="T899" s="11">
        <v>959.89</v>
      </c>
      <c r="U899" s="13" cm="1">
        <f t="array" ref="U899">IF(Table8[[#This Row],[I_0]]&lt;Table24[Flitro de Ruido],1,Table8[[#This Row],[I_10]]/Table8[[#This Row],[I_0]])</f>
        <v>1</v>
      </c>
      <c r="V899" s="13" cm="1">
        <f t="array" ref="V899">IF(Table8[[#This Row],[I_0]]&lt;Table24[Flitro de Ruido],1,Table8[[#This Row],[I_20]]/Table8[[#This Row],[I_0]])</f>
        <v>1</v>
      </c>
      <c r="W899" s="13" cm="1">
        <f t="array" ref="W899">IF(Table8[[#This Row],[I_0]]&lt;Table24[Flitro de Ruido],1,Table8[[#This Row],[I_30]]/Table8[[#This Row],[I_0]])</f>
        <v>1</v>
      </c>
      <c r="X899" s="13" cm="1">
        <f t="array" ref="X899">IF(Table8[[#This Row],[I_0]]&lt;Table24[Flitro de Ruido],1,Table8[[#This Row],[I_40]]/Table8[[#This Row],[I_0]])</f>
        <v>1</v>
      </c>
      <c r="Y899" s="13" cm="1">
        <f t="array" ref="Y899">IF(Table8[[#This Row],[I_0]]&lt;Table24[Flitro de Ruido],1,Table8[[#This Row],[I_50]]/Table8[[#This Row],[I_0]])</f>
        <v>1</v>
      </c>
    </row>
    <row r="900" spans="1:25" x14ac:dyDescent="0.3">
      <c r="A900" s="13">
        <v>960.89</v>
      </c>
      <c r="B900" s="12">
        <v>0</v>
      </c>
      <c r="C900" s="11">
        <v>960.89</v>
      </c>
      <c r="D900" s="12">
        <v>0</v>
      </c>
      <c r="E900" s="11">
        <v>960.89</v>
      </c>
      <c r="F900" s="12">
        <v>0</v>
      </c>
      <c r="G900" s="11">
        <v>960.89</v>
      </c>
      <c r="H900" s="12">
        <v>0</v>
      </c>
      <c r="I900" s="11">
        <v>960.89</v>
      </c>
      <c r="J900" s="12">
        <v>0</v>
      </c>
      <c r="K900" s="11">
        <v>960.89</v>
      </c>
      <c r="L900" s="12">
        <v>0</v>
      </c>
      <c r="M900" s="11">
        <v>960.89</v>
      </c>
      <c r="N900" s="13">
        <v>0</v>
      </c>
      <c r="O900" s="11">
        <v>0</v>
      </c>
      <c r="P900" s="11">
        <v>0</v>
      </c>
      <c r="Q900" s="11">
        <v>0</v>
      </c>
      <c r="R900" s="11">
        <v>0</v>
      </c>
      <c r="S900" s="14">
        <v>0</v>
      </c>
      <c r="T900" s="11">
        <v>960.89</v>
      </c>
      <c r="U900" s="13" cm="1">
        <f t="array" ref="U900">IF(Table8[[#This Row],[I_0]]&lt;Table24[Flitro de Ruido],1,Table8[[#This Row],[I_10]]/Table8[[#This Row],[I_0]])</f>
        <v>1</v>
      </c>
      <c r="V900" s="13" cm="1">
        <f t="array" ref="V900">IF(Table8[[#This Row],[I_0]]&lt;Table24[Flitro de Ruido],1,Table8[[#This Row],[I_20]]/Table8[[#This Row],[I_0]])</f>
        <v>1</v>
      </c>
      <c r="W900" s="13" cm="1">
        <f t="array" ref="W900">IF(Table8[[#This Row],[I_0]]&lt;Table24[Flitro de Ruido],1,Table8[[#This Row],[I_30]]/Table8[[#This Row],[I_0]])</f>
        <v>1</v>
      </c>
      <c r="X900" s="13" cm="1">
        <f t="array" ref="X900">IF(Table8[[#This Row],[I_0]]&lt;Table24[Flitro de Ruido],1,Table8[[#This Row],[I_40]]/Table8[[#This Row],[I_0]])</f>
        <v>1</v>
      </c>
      <c r="Y900" s="13" cm="1">
        <f t="array" ref="Y900">IF(Table8[[#This Row],[I_0]]&lt;Table24[Flitro de Ruido],1,Table8[[#This Row],[I_50]]/Table8[[#This Row],[I_0]])</f>
        <v>1</v>
      </c>
    </row>
    <row r="901" spans="1:25" x14ac:dyDescent="0.3">
      <c r="A901" s="13">
        <v>961.88</v>
      </c>
      <c r="B901" s="12">
        <v>0</v>
      </c>
      <c r="C901" s="11">
        <v>961.88</v>
      </c>
      <c r="D901" s="12">
        <v>0</v>
      </c>
      <c r="E901" s="11">
        <v>961.88</v>
      </c>
      <c r="F901" s="12">
        <v>0</v>
      </c>
      <c r="G901" s="11">
        <v>961.88</v>
      </c>
      <c r="H901" s="12">
        <v>0</v>
      </c>
      <c r="I901" s="11">
        <v>961.88</v>
      </c>
      <c r="J901" s="12">
        <v>0</v>
      </c>
      <c r="K901" s="11">
        <v>961.88</v>
      </c>
      <c r="L901" s="12">
        <v>0</v>
      </c>
      <c r="M901" s="11">
        <v>961.88</v>
      </c>
      <c r="N901" s="13">
        <v>0</v>
      </c>
      <c r="O901" s="11">
        <v>0</v>
      </c>
      <c r="P901" s="11">
        <v>0</v>
      </c>
      <c r="Q901" s="11">
        <v>0</v>
      </c>
      <c r="R901" s="11">
        <v>0</v>
      </c>
      <c r="S901" s="14">
        <v>0</v>
      </c>
      <c r="T901" s="11">
        <v>961.88</v>
      </c>
      <c r="U901" s="13" cm="1">
        <f t="array" ref="U901">IF(Table8[[#This Row],[I_0]]&lt;Table24[Flitro de Ruido],1,Table8[[#This Row],[I_10]]/Table8[[#This Row],[I_0]])</f>
        <v>1</v>
      </c>
      <c r="V901" s="13" cm="1">
        <f t="array" ref="V901">IF(Table8[[#This Row],[I_0]]&lt;Table24[Flitro de Ruido],1,Table8[[#This Row],[I_20]]/Table8[[#This Row],[I_0]])</f>
        <v>1</v>
      </c>
      <c r="W901" s="13" cm="1">
        <f t="array" ref="W901">IF(Table8[[#This Row],[I_0]]&lt;Table24[Flitro de Ruido],1,Table8[[#This Row],[I_30]]/Table8[[#This Row],[I_0]])</f>
        <v>1</v>
      </c>
      <c r="X901" s="13" cm="1">
        <f t="array" ref="X901">IF(Table8[[#This Row],[I_0]]&lt;Table24[Flitro de Ruido],1,Table8[[#This Row],[I_40]]/Table8[[#This Row],[I_0]])</f>
        <v>1</v>
      </c>
      <c r="Y901" s="13" cm="1">
        <f t="array" ref="Y901">IF(Table8[[#This Row],[I_0]]&lt;Table24[Flitro de Ruido],1,Table8[[#This Row],[I_50]]/Table8[[#This Row],[I_0]])</f>
        <v>1</v>
      </c>
    </row>
    <row r="902" spans="1:25" x14ac:dyDescent="0.3">
      <c r="A902" s="13">
        <v>962.87</v>
      </c>
      <c r="B902" s="12">
        <v>0</v>
      </c>
      <c r="C902" s="11">
        <v>962.87</v>
      </c>
      <c r="D902" s="12">
        <v>0</v>
      </c>
      <c r="E902" s="11">
        <v>962.87</v>
      </c>
      <c r="F902" s="12">
        <v>0</v>
      </c>
      <c r="G902" s="11">
        <v>962.87</v>
      </c>
      <c r="H902" s="12">
        <v>0</v>
      </c>
      <c r="I902" s="11">
        <v>962.87</v>
      </c>
      <c r="J902" s="12">
        <v>0</v>
      </c>
      <c r="K902" s="11">
        <v>962.87</v>
      </c>
      <c r="L902" s="12">
        <v>0</v>
      </c>
      <c r="M902" s="11">
        <v>962.87</v>
      </c>
      <c r="N902" s="13">
        <v>0</v>
      </c>
      <c r="O902" s="11">
        <v>0</v>
      </c>
      <c r="P902" s="11">
        <v>0</v>
      </c>
      <c r="Q902" s="11">
        <v>0</v>
      </c>
      <c r="R902" s="11">
        <v>0</v>
      </c>
      <c r="S902" s="14">
        <v>0</v>
      </c>
      <c r="T902" s="11">
        <v>962.87</v>
      </c>
      <c r="U902" s="13" cm="1">
        <f t="array" ref="U902">IF(Table8[[#This Row],[I_0]]&lt;Table24[Flitro de Ruido],1,Table8[[#This Row],[I_10]]/Table8[[#This Row],[I_0]])</f>
        <v>1</v>
      </c>
      <c r="V902" s="13" cm="1">
        <f t="array" ref="V902">IF(Table8[[#This Row],[I_0]]&lt;Table24[Flitro de Ruido],1,Table8[[#This Row],[I_20]]/Table8[[#This Row],[I_0]])</f>
        <v>1</v>
      </c>
      <c r="W902" s="13" cm="1">
        <f t="array" ref="W902">IF(Table8[[#This Row],[I_0]]&lt;Table24[Flitro de Ruido],1,Table8[[#This Row],[I_30]]/Table8[[#This Row],[I_0]])</f>
        <v>1</v>
      </c>
      <c r="X902" s="13" cm="1">
        <f t="array" ref="X902">IF(Table8[[#This Row],[I_0]]&lt;Table24[Flitro de Ruido],1,Table8[[#This Row],[I_40]]/Table8[[#This Row],[I_0]])</f>
        <v>1</v>
      </c>
      <c r="Y902" s="13" cm="1">
        <f t="array" ref="Y902">IF(Table8[[#This Row],[I_0]]&lt;Table24[Flitro de Ruido],1,Table8[[#This Row],[I_50]]/Table8[[#This Row],[I_0]])</f>
        <v>1</v>
      </c>
    </row>
    <row r="903" spans="1:25" x14ac:dyDescent="0.3">
      <c r="A903" s="13">
        <v>963.86</v>
      </c>
      <c r="B903" s="12">
        <v>0</v>
      </c>
      <c r="C903" s="11">
        <v>963.86</v>
      </c>
      <c r="D903" s="12">
        <v>0</v>
      </c>
      <c r="E903" s="11">
        <v>963.86</v>
      </c>
      <c r="F903" s="12">
        <v>0</v>
      </c>
      <c r="G903" s="11">
        <v>963.86</v>
      </c>
      <c r="H903" s="12">
        <v>0</v>
      </c>
      <c r="I903" s="11">
        <v>963.86</v>
      </c>
      <c r="J903" s="12">
        <v>0</v>
      </c>
      <c r="K903" s="11">
        <v>963.86</v>
      </c>
      <c r="L903" s="12">
        <v>0</v>
      </c>
      <c r="M903" s="11">
        <v>963.86</v>
      </c>
      <c r="N903" s="13">
        <v>0</v>
      </c>
      <c r="O903" s="11">
        <v>0</v>
      </c>
      <c r="P903" s="11">
        <v>0</v>
      </c>
      <c r="Q903" s="11">
        <v>0</v>
      </c>
      <c r="R903" s="11">
        <v>0</v>
      </c>
      <c r="S903" s="14">
        <v>0</v>
      </c>
      <c r="T903" s="11">
        <v>963.86</v>
      </c>
      <c r="U903" s="13" cm="1">
        <f t="array" ref="U903">IF(Table8[[#This Row],[I_0]]&lt;Table24[Flitro de Ruido],1,Table8[[#This Row],[I_10]]/Table8[[#This Row],[I_0]])</f>
        <v>1</v>
      </c>
      <c r="V903" s="13" cm="1">
        <f t="array" ref="V903">IF(Table8[[#This Row],[I_0]]&lt;Table24[Flitro de Ruido],1,Table8[[#This Row],[I_20]]/Table8[[#This Row],[I_0]])</f>
        <v>1</v>
      </c>
      <c r="W903" s="13" cm="1">
        <f t="array" ref="W903">IF(Table8[[#This Row],[I_0]]&lt;Table24[Flitro de Ruido],1,Table8[[#This Row],[I_30]]/Table8[[#This Row],[I_0]])</f>
        <v>1</v>
      </c>
      <c r="X903" s="13" cm="1">
        <f t="array" ref="X903">IF(Table8[[#This Row],[I_0]]&lt;Table24[Flitro de Ruido],1,Table8[[#This Row],[I_40]]/Table8[[#This Row],[I_0]])</f>
        <v>1</v>
      </c>
      <c r="Y903" s="13" cm="1">
        <f t="array" ref="Y903">IF(Table8[[#This Row],[I_0]]&lt;Table24[Flitro de Ruido],1,Table8[[#This Row],[I_50]]/Table8[[#This Row],[I_0]])</f>
        <v>1</v>
      </c>
    </row>
    <row r="904" spans="1:25" x14ac:dyDescent="0.3">
      <c r="A904" s="13">
        <v>964.85</v>
      </c>
      <c r="B904" s="12">
        <v>0</v>
      </c>
      <c r="C904" s="11">
        <v>964.85</v>
      </c>
      <c r="D904" s="12">
        <v>0</v>
      </c>
      <c r="E904" s="11">
        <v>964.85</v>
      </c>
      <c r="F904" s="12">
        <v>0</v>
      </c>
      <c r="G904" s="11">
        <v>964.85</v>
      </c>
      <c r="H904" s="12">
        <v>0</v>
      </c>
      <c r="I904" s="11">
        <v>964.85</v>
      </c>
      <c r="J904" s="12">
        <v>0</v>
      </c>
      <c r="K904" s="11">
        <v>964.85</v>
      </c>
      <c r="L904" s="12">
        <v>0</v>
      </c>
      <c r="M904" s="11">
        <v>964.85</v>
      </c>
      <c r="N904" s="13">
        <v>0</v>
      </c>
      <c r="O904" s="11">
        <v>0</v>
      </c>
      <c r="P904" s="11">
        <v>0</v>
      </c>
      <c r="Q904" s="11">
        <v>0</v>
      </c>
      <c r="R904" s="11">
        <v>0</v>
      </c>
      <c r="S904" s="14">
        <v>0</v>
      </c>
      <c r="T904" s="11">
        <v>964.85</v>
      </c>
      <c r="U904" s="13" cm="1">
        <f t="array" ref="U904">IF(Table8[[#This Row],[I_0]]&lt;Table24[Flitro de Ruido],1,Table8[[#This Row],[I_10]]/Table8[[#This Row],[I_0]])</f>
        <v>1</v>
      </c>
      <c r="V904" s="13" cm="1">
        <f t="array" ref="V904">IF(Table8[[#This Row],[I_0]]&lt;Table24[Flitro de Ruido],1,Table8[[#This Row],[I_20]]/Table8[[#This Row],[I_0]])</f>
        <v>1</v>
      </c>
      <c r="W904" s="13" cm="1">
        <f t="array" ref="W904">IF(Table8[[#This Row],[I_0]]&lt;Table24[Flitro de Ruido],1,Table8[[#This Row],[I_30]]/Table8[[#This Row],[I_0]])</f>
        <v>1</v>
      </c>
      <c r="X904" s="13" cm="1">
        <f t="array" ref="X904">IF(Table8[[#This Row],[I_0]]&lt;Table24[Flitro de Ruido],1,Table8[[#This Row],[I_40]]/Table8[[#This Row],[I_0]])</f>
        <v>1</v>
      </c>
      <c r="Y904" s="13" cm="1">
        <f t="array" ref="Y904">IF(Table8[[#This Row],[I_0]]&lt;Table24[Flitro de Ruido],1,Table8[[#This Row],[I_50]]/Table8[[#This Row],[I_0]])</f>
        <v>1</v>
      </c>
    </row>
    <row r="905" spans="1:25" x14ac:dyDescent="0.3">
      <c r="A905" s="13">
        <v>965.84</v>
      </c>
      <c r="B905" s="12">
        <v>0</v>
      </c>
      <c r="C905" s="11">
        <v>965.84</v>
      </c>
      <c r="D905" s="12">
        <v>0</v>
      </c>
      <c r="E905" s="11">
        <v>965.84</v>
      </c>
      <c r="F905" s="12">
        <v>0</v>
      </c>
      <c r="G905" s="11">
        <v>965.84</v>
      </c>
      <c r="H905" s="12">
        <v>0</v>
      </c>
      <c r="I905" s="11">
        <v>965.84</v>
      </c>
      <c r="J905" s="12">
        <v>0</v>
      </c>
      <c r="K905" s="11">
        <v>965.84</v>
      </c>
      <c r="L905" s="12">
        <v>0</v>
      </c>
      <c r="M905" s="11">
        <v>965.84</v>
      </c>
      <c r="N905" s="13">
        <v>0</v>
      </c>
      <c r="O905" s="11">
        <v>0</v>
      </c>
      <c r="P905" s="11">
        <v>0</v>
      </c>
      <c r="Q905" s="11">
        <v>0</v>
      </c>
      <c r="R905" s="11">
        <v>0</v>
      </c>
      <c r="S905" s="14">
        <v>0</v>
      </c>
      <c r="T905" s="11">
        <v>965.84</v>
      </c>
      <c r="U905" s="13" cm="1">
        <f t="array" ref="U905">IF(Table8[[#This Row],[I_0]]&lt;Table24[Flitro de Ruido],1,Table8[[#This Row],[I_10]]/Table8[[#This Row],[I_0]])</f>
        <v>1</v>
      </c>
      <c r="V905" s="13" cm="1">
        <f t="array" ref="V905">IF(Table8[[#This Row],[I_0]]&lt;Table24[Flitro de Ruido],1,Table8[[#This Row],[I_20]]/Table8[[#This Row],[I_0]])</f>
        <v>1</v>
      </c>
      <c r="W905" s="13" cm="1">
        <f t="array" ref="W905">IF(Table8[[#This Row],[I_0]]&lt;Table24[Flitro de Ruido],1,Table8[[#This Row],[I_30]]/Table8[[#This Row],[I_0]])</f>
        <v>1</v>
      </c>
      <c r="X905" s="13" cm="1">
        <f t="array" ref="X905">IF(Table8[[#This Row],[I_0]]&lt;Table24[Flitro de Ruido],1,Table8[[#This Row],[I_40]]/Table8[[#This Row],[I_0]])</f>
        <v>1</v>
      </c>
      <c r="Y905" s="13" cm="1">
        <f t="array" ref="Y905">IF(Table8[[#This Row],[I_0]]&lt;Table24[Flitro de Ruido],1,Table8[[#This Row],[I_50]]/Table8[[#This Row],[I_0]])</f>
        <v>1</v>
      </c>
    </row>
    <row r="906" spans="1:25" x14ac:dyDescent="0.3">
      <c r="A906" s="13">
        <v>966.84</v>
      </c>
      <c r="B906" s="12">
        <v>0</v>
      </c>
      <c r="C906" s="11">
        <v>966.84</v>
      </c>
      <c r="D906" s="12">
        <v>0</v>
      </c>
      <c r="E906" s="11">
        <v>966.84</v>
      </c>
      <c r="F906" s="12">
        <v>0</v>
      </c>
      <c r="G906" s="11">
        <v>966.84</v>
      </c>
      <c r="H906" s="12">
        <v>0</v>
      </c>
      <c r="I906" s="11">
        <v>966.84</v>
      </c>
      <c r="J906" s="12">
        <v>0</v>
      </c>
      <c r="K906" s="11">
        <v>966.84</v>
      </c>
      <c r="L906" s="12">
        <v>0</v>
      </c>
      <c r="M906" s="11">
        <v>966.84</v>
      </c>
      <c r="N906" s="13">
        <v>0</v>
      </c>
      <c r="O906" s="11">
        <v>0</v>
      </c>
      <c r="P906" s="11">
        <v>0</v>
      </c>
      <c r="Q906" s="11">
        <v>0</v>
      </c>
      <c r="R906" s="11">
        <v>0</v>
      </c>
      <c r="S906" s="14">
        <v>0</v>
      </c>
      <c r="T906" s="11">
        <v>966.84</v>
      </c>
      <c r="U906" s="13" cm="1">
        <f t="array" ref="U906">IF(Table8[[#This Row],[I_0]]&lt;Table24[Flitro de Ruido],1,Table8[[#This Row],[I_10]]/Table8[[#This Row],[I_0]])</f>
        <v>1</v>
      </c>
      <c r="V906" s="13" cm="1">
        <f t="array" ref="V906">IF(Table8[[#This Row],[I_0]]&lt;Table24[Flitro de Ruido],1,Table8[[#This Row],[I_20]]/Table8[[#This Row],[I_0]])</f>
        <v>1</v>
      </c>
      <c r="W906" s="13" cm="1">
        <f t="array" ref="W906">IF(Table8[[#This Row],[I_0]]&lt;Table24[Flitro de Ruido],1,Table8[[#This Row],[I_30]]/Table8[[#This Row],[I_0]])</f>
        <v>1</v>
      </c>
      <c r="X906" s="13" cm="1">
        <f t="array" ref="X906">IF(Table8[[#This Row],[I_0]]&lt;Table24[Flitro de Ruido],1,Table8[[#This Row],[I_40]]/Table8[[#This Row],[I_0]])</f>
        <v>1</v>
      </c>
      <c r="Y906" s="13" cm="1">
        <f t="array" ref="Y906">IF(Table8[[#This Row],[I_0]]&lt;Table24[Flitro de Ruido],1,Table8[[#This Row],[I_50]]/Table8[[#This Row],[I_0]])</f>
        <v>1</v>
      </c>
    </row>
    <row r="907" spans="1:25" x14ac:dyDescent="0.3">
      <c r="A907" s="13">
        <v>967.83</v>
      </c>
      <c r="B907" s="12">
        <v>0</v>
      </c>
      <c r="C907" s="11">
        <v>967.83</v>
      </c>
      <c r="D907" s="12">
        <v>0</v>
      </c>
      <c r="E907" s="11">
        <v>967.83</v>
      </c>
      <c r="F907" s="12">
        <v>0</v>
      </c>
      <c r="G907" s="11">
        <v>967.83</v>
      </c>
      <c r="H907" s="12">
        <v>0</v>
      </c>
      <c r="I907" s="11">
        <v>967.83</v>
      </c>
      <c r="J907" s="12">
        <v>0</v>
      </c>
      <c r="K907" s="11">
        <v>967.83</v>
      </c>
      <c r="L907" s="12">
        <v>0</v>
      </c>
      <c r="M907" s="11">
        <v>967.83</v>
      </c>
      <c r="N907" s="13">
        <v>0</v>
      </c>
      <c r="O907" s="11">
        <v>0</v>
      </c>
      <c r="P907" s="11">
        <v>0</v>
      </c>
      <c r="Q907" s="11">
        <v>0</v>
      </c>
      <c r="R907" s="11">
        <v>0</v>
      </c>
      <c r="S907" s="14">
        <v>0</v>
      </c>
      <c r="T907" s="11">
        <v>967.83</v>
      </c>
      <c r="U907" s="13" cm="1">
        <f t="array" ref="U907">IF(Table8[[#This Row],[I_0]]&lt;Table24[Flitro de Ruido],1,Table8[[#This Row],[I_10]]/Table8[[#This Row],[I_0]])</f>
        <v>1</v>
      </c>
      <c r="V907" s="13" cm="1">
        <f t="array" ref="V907">IF(Table8[[#This Row],[I_0]]&lt;Table24[Flitro de Ruido],1,Table8[[#This Row],[I_20]]/Table8[[#This Row],[I_0]])</f>
        <v>1</v>
      </c>
      <c r="W907" s="13" cm="1">
        <f t="array" ref="W907">IF(Table8[[#This Row],[I_0]]&lt;Table24[Flitro de Ruido],1,Table8[[#This Row],[I_30]]/Table8[[#This Row],[I_0]])</f>
        <v>1</v>
      </c>
      <c r="X907" s="13" cm="1">
        <f t="array" ref="X907">IF(Table8[[#This Row],[I_0]]&lt;Table24[Flitro de Ruido],1,Table8[[#This Row],[I_40]]/Table8[[#This Row],[I_0]])</f>
        <v>1</v>
      </c>
      <c r="Y907" s="13" cm="1">
        <f t="array" ref="Y907">IF(Table8[[#This Row],[I_0]]&lt;Table24[Flitro de Ruido],1,Table8[[#This Row],[I_50]]/Table8[[#This Row],[I_0]])</f>
        <v>1</v>
      </c>
    </row>
    <row r="908" spans="1:25" x14ac:dyDescent="0.3">
      <c r="A908" s="13">
        <v>968.82</v>
      </c>
      <c r="B908" s="12">
        <v>0</v>
      </c>
      <c r="C908" s="11">
        <v>968.82</v>
      </c>
      <c r="D908" s="12">
        <v>0</v>
      </c>
      <c r="E908" s="11">
        <v>968.82</v>
      </c>
      <c r="F908" s="12">
        <v>0</v>
      </c>
      <c r="G908" s="11">
        <v>968.82</v>
      </c>
      <c r="H908" s="12">
        <v>0</v>
      </c>
      <c r="I908" s="11">
        <v>968.82</v>
      </c>
      <c r="J908" s="12">
        <v>0</v>
      </c>
      <c r="K908" s="11">
        <v>968.82</v>
      </c>
      <c r="L908" s="12">
        <v>0</v>
      </c>
      <c r="M908" s="11">
        <v>968.82</v>
      </c>
      <c r="N908" s="13">
        <v>0</v>
      </c>
      <c r="O908" s="11">
        <v>0</v>
      </c>
      <c r="P908" s="11">
        <v>0</v>
      </c>
      <c r="Q908" s="11">
        <v>0</v>
      </c>
      <c r="R908" s="11">
        <v>0</v>
      </c>
      <c r="S908" s="14">
        <v>0</v>
      </c>
      <c r="T908" s="11">
        <v>968.82</v>
      </c>
      <c r="U908" s="13" cm="1">
        <f t="array" ref="U908">IF(Table8[[#This Row],[I_0]]&lt;Table24[Flitro de Ruido],1,Table8[[#This Row],[I_10]]/Table8[[#This Row],[I_0]])</f>
        <v>1</v>
      </c>
      <c r="V908" s="13" cm="1">
        <f t="array" ref="V908">IF(Table8[[#This Row],[I_0]]&lt;Table24[Flitro de Ruido],1,Table8[[#This Row],[I_20]]/Table8[[#This Row],[I_0]])</f>
        <v>1</v>
      </c>
      <c r="W908" s="13" cm="1">
        <f t="array" ref="W908">IF(Table8[[#This Row],[I_0]]&lt;Table24[Flitro de Ruido],1,Table8[[#This Row],[I_30]]/Table8[[#This Row],[I_0]])</f>
        <v>1</v>
      </c>
      <c r="X908" s="13" cm="1">
        <f t="array" ref="X908">IF(Table8[[#This Row],[I_0]]&lt;Table24[Flitro de Ruido],1,Table8[[#This Row],[I_40]]/Table8[[#This Row],[I_0]])</f>
        <v>1</v>
      </c>
      <c r="Y908" s="13" cm="1">
        <f t="array" ref="Y908">IF(Table8[[#This Row],[I_0]]&lt;Table24[Flitro de Ruido],1,Table8[[#This Row],[I_50]]/Table8[[#This Row],[I_0]])</f>
        <v>1</v>
      </c>
    </row>
    <row r="909" spans="1:25" x14ac:dyDescent="0.3">
      <c r="A909" s="13">
        <v>969.81</v>
      </c>
      <c r="B909" s="12">
        <v>0</v>
      </c>
      <c r="C909" s="11">
        <v>969.81</v>
      </c>
      <c r="D909" s="12">
        <v>0</v>
      </c>
      <c r="E909" s="11">
        <v>969.81</v>
      </c>
      <c r="F909" s="12">
        <v>0</v>
      </c>
      <c r="G909" s="11">
        <v>969.81</v>
      </c>
      <c r="H909" s="12">
        <v>0</v>
      </c>
      <c r="I909" s="11">
        <v>969.81</v>
      </c>
      <c r="J909" s="12">
        <v>0</v>
      </c>
      <c r="K909" s="11">
        <v>969.81</v>
      </c>
      <c r="L909" s="12">
        <v>0</v>
      </c>
      <c r="M909" s="11">
        <v>969.81</v>
      </c>
      <c r="N909" s="13">
        <v>0</v>
      </c>
      <c r="O909" s="11">
        <v>0</v>
      </c>
      <c r="P909" s="11">
        <v>0</v>
      </c>
      <c r="Q909" s="11">
        <v>0</v>
      </c>
      <c r="R909" s="11">
        <v>0</v>
      </c>
      <c r="S909" s="14">
        <v>0</v>
      </c>
      <c r="T909" s="11">
        <v>969.81</v>
      </c>
      <c r="U909" s="13" cm="1">
        <f t="array" ref="U909">IF(Table8[[#This Row],[I_0]]&lt;Table24[Flitro de Ruido],1,Table8[[#This Row],[I_10]]/Table8[[#This Row],[I_0]])</f>
        <v>1</v>
      </c>
      <c r="V909" s="13" cm="1">
        <f t="array" ref="V909">IF(Table8[[#This Row],[I_0]]&lt;Table24[Flitro de Ruido],1,Table8[[#This Row],[I_20]]/Table8[[#This Row],[I_0]])</f>
        <v>1</v>
      </c>
      <c r="W909" s="13" cm="1">
        <f t="array" ref="W909">IF(Table8[[#This Row],[I_0]]&lt;Table24[Flitro de Ruido],1,Table8[[#This Row],[I_30]]/Table8[[#This Row],[I_0]])</f>
        <v>1</v>
      </c>
      <c r="X909" s="13" cm="1">
        <f t="array" ref="X909">IF(Table8[[#This Row],[I_0]]&lt;Table24[Flitro de Ruido],1,Table8[[#This Row],[I_40]]/Table8[[#This Row],[I_0]])</f>
        <v>1</v>
      </c>
      <c r="Y909" s="13" cm="1">
        <f t="array" ref="Y909">IF(Table8[[#This Row],[I_0]]&lt;Table24[Flitro de Ruido],1,Table8[[#This Row],[I_50]]/Table8[[#This Row],[I_0]])</f>
        <v>1</v>
      </c>
    </row>
    <row r="910" spans="1:25" x14ac:dyDescent="0.3">
      <c r="A910" s="13">
        <v>970.8</v>
      </c>
      <c r="B910" s="12">
        <v>0</v>
      </c>
      <c r="C910" s="11">
        <v>970.8</v>
      </c>
      <c r="D910" s="12">
        <v>0</v>
      </c>
      <c r="E910" s="11">
        <v>970.8</v>
      </c>
      <c r="F910" s="12">
        <v>0</v>
      </c>
      <c r="G910" s="11">
        <v>970.8</v>
      </c>
      <c r="H910" s="12">
        <v>0</v>
      </c>
      <c r="I910" s="11">
        <v>970.8</v>
      </c>
      <c r="J910" s="12">
        <v>0</v>
      </c>
      <c r="K910" s="11">
        <v>970.8</v>
      </c>
      <c r="L910" s="12">
        <v>0</v>
      </c>
      <c r="M910" s="11">
        <v>970.8</v>
      </c>
      <c r="N910" s="13">
        <v>0</v>
      </c>
      <c r="O910" s="11">
        <v>0</v>
      </c>
      <c r="P910" s="11">
        <v>0</v>
      </c>
      <c r="Q910" s="11">
        <v>0</v>
      </c>
      <c r="R910" s="11">
        <v>0</v>
      </c>
      <c r="S910" s="14">
        <v>0</v>
      </c>
      <c r="T910" s="11">
        <v>970.8</v>
      </c>
      <c r="U910" s="13" cm="1">
        <f t="array" ref="U910">IF(Table8[[#This Row],[I_0]]&lt;Table24[Flitro de Ruido],1,Table8[[#This Row],[I_10]]/Table8[[#This Row],[I_0]])</f>
        <v>1</v>
      </c>
      <c r="V910" s="13" cm="1">
        <f t="array" ref="V910">IF(Table8[[#This Row],[I_0]]&lt;Table24[Flitro de Ruido],1,Table8[[#This Row],[I_20]]/Table8[[#This Row],[I_0]])</f>
        <v>1</v>
      </c>
      <c r="W910" s="13" cm="1">
        <f t="array" ref="W910">IF(Table8[[#This Row],[I_0]]&lt;Table24[Flitro de Ruido],1,Table8[[#This Row],[I_30]]/Table8[[#This Row],[I_0]])</f>
        <v>1</v>
      </c>
      <c r="X910" s="13" cm="1">
        <f t="array" ref="X910">IF(Table8[[#This Row],[I_0]]&lt;Table24[Flitro de Ruido],1,Table8[[#This Row],[I_40]]/Table8[[#This Row],[I_0]])</f>
        <v>1</v>
      </c>
      <c r="Y910" s="13" cm="1">
        <f t="array" ref="Y910">IF(Table8[[#This Row],[I_0]]&lt;Table24[Flitro de Ruido],1,Table8[[#This Row],[I_50]]/Table8[[#This Row],[I_0]])</f>
        <v>1</v>
      </c>
    </row>
    <row r="911" spans="1:25" x14ac:dyDescent="0.3">
      <c r="A911" s="13">
        <v>971.79</v>
      </c>
      <c r="B911" s="12">
        <v>0</v>
      </c>
      <c r="C911" s="11">
        <v>971.79</v>
      </c>
      <c r="D911" s="12">
        <v>0</v>
      </c>
      <c r="E911" s="11">
        <v>971.79</v>
      </c>
      <c r="F911" s="12">
        <v>0</v>
      </c>
      <c r="G911" s="11">
        <v>971.79</v>
      </c>
      <c r="H911" s="12">
        <v>0</v>
      </c>
      <c r="I911" s="11">
        <v>971.79</v>
      </c>
      <c r="J911" s="12">
        <v>0</v>
      </c>
      <c r="K911" s="11">
        <v>971.79</v>
      </c>
      <c r="L911" s="12">
        <v>0</v>
      </c>
      <c r="M911" s="11">
        <v>971.79</v>
      </c>
      <c r="N911" s="13">
        <v>0</v>
      </c>
      <c r="O911" s="11">
        <v>0</v>
      </c>
      <c r="P911" s="11">
        <v>0</v>
      </c>
      <c r="Q911" s="11">
        <v>0</v>
      </c>
      <c r="R911" s="11">
        <v>0</v>
      </c>
      <c r="S911" s="14">
        <v>0</v>
      </c>
      <c r="T911" s="11">
        <v>971.79</v>
      </c>
      <c r="U911" s="13" cm="1">
        <f t="array" ref="U911">IF(Table8[[#This Row],[I_0]]&lt;Table24[Flitro de Ruido],1,Table8[[#This Row],[I_10]]/Table8[[#This Row],[I_0]])</f>
        <v>1</v>
      </c>
      <c r="V911" s="13" cm="1">
        <f t="array" ref="V911">IF(Table8[[#This Row],[I_0]]&lt;Table24[Flitro de Ruido],1,Table8[[#This Row],[I_20]]/Table8[[#This Row],[I_0]])</f>
        <v>1</v>
      </c>
      <c r="W911" s="13" cm="1">
        <f t="array" ref="W911">IF(Table8[[#This Row],[I_0]]&lt;Table24[Flitro de Ruido],1,Table8[[#This Row],[I_30]]/Table8[[#This Row],[I_0]])</f>
        <v>1</v>
      </c>
      <c r="X911" s="13" cm="1">
        <f t="array" ref="X911">IF(Table8[[#This Row],[I_0]]&lt;Table24[Flitro de Ruido],1,Table8[[#This Row],[I_40]]/Table8[[#This Row],[I_0]])</f>
        <v>1</v>
      </c>
      <c r="Y911" s="13" cm="1">
        <f t="array" ref="Y911">IF(Table8[[#This Row],[I_0]]&lt;Table24[Flitro de Ruido],1,Table8[[#This Row],[I_50]]/Table8[[#This Row],[I_0]])</f>
        <v>1</v>
      </c>
    </row>
    <row r="912" spans="1:25" x14ac:dyDescent="0.3">
      <c r="A912" s="13">
        <v>972.79</v>
      </c>
      <c r="B912" s="12">
        <v>0</v>
      </c>
      <c r="C912" s="11">
        <v>972.79</v>
      </c>
      <c r="D912" s="12">
        <v>0</v>
      </c>
      <c r="E912" s="11">
        <v>972.79</v>
      </c>
      <c r="F912" s="12">
        <v>0</v>
      </c>
      <c r="G912" s="11">
        <v>972.79</v>
      </c>
      <c r="H912" s="12">
        <v>0</v>
      </c>
      <c r="I912" s="11">
        <v>972.79</v>
      </c>
      <c r="J912" s="12">
        <v>0</v>
      </c>
      <c r="K912" s="11">
        <v>972.79</v>
      </c>
      <c r="L912" s="12">
        <v>0</v>
      </c>
      <c r="M912" s="11">
        <v>972.79</v>
      </c>
      <c r="N912" s="13">
        <v>0</v>
      </c>
      <c r="O912" s="11">
        <v>0</v>
      </c>
      <c r="P912" s="11">
        <v>0</v>
      </c>
      <c r="Q912" s="11">
        <v>0</v>
      </c>
      <c r="R912" s="11">
        <v>0</v>
      </c>
      <c r="S912" s="14">
        <v>0</v>
      </c>
      <c r="T912" s="11">
        <v>972.79</v>
      </c>
      <c r="U912" s="13" cm="1">
        <f t="array" ref="U912">IF(Table8[[#This Row],[I_0]]&lt;Table24[Flitro de Ruido],1,Table8[[#This Row],[I_10]]/Table8[[#This Row],[I_0]])</f>
        <v>1</v>
      </c>
      <c r="V912" s="13" cm="1">
        <f t="array" ref="V912">IF(Table8[[#This Row],[I_0]]&lt;Table24[Flitro de Ruido],1,Table8[[#This Row],[I_20]]/Table8[[#This Row],[I_0]])</f>
        <v>1</v>
      </c>
      <c r="W912" s="13" cm="1">
        <f t="array" ref="W912">IF(Table8[[#This Row],[I_0]]&lt;Table24[Flitro de Ruido],1,Table8[[#This Row],[I_30]]/Table8[[#This Row],[I_0]])</f>
        <v>1</v>
      </c>
      <c r="X912" s="13" cm="1">
        <f t="array" ref="X912">IF(Table8[[#This Row],[I_0]]&lt;Table24[Flitro de Ruido],1,Table8[[#This Row],[I_40]]/Table8[[#This Row],[I_0]])</f>
        <v>1</v>
      </c>
      <c r="Y912" s="13" cm="1">
        <f t="array" ref="Y912">IF(Table8[[#This Row],[I_0]]&lt;Table24[Flitro de Ruido],1,Table8[[#This Row],[I_50]]/Table8[[#This Row],[I_0]])</f>
        <v>1</v>
      </c>
    </row>
    <row r="913" spans="1:25" x14ac:dyDescent="0.3">
      <c r="A913" s="13">
        <v>973.78</v>
      </c>
      <c r="B913" s="12">
        <v>0</v>
      </c>
      <c r="C913" s="11">
        <v>973.78</v>
      </c>
      <c r="D913" s="12">
        <v>0</v>
      </c>
      <c r="E913" s="11">
        <v>973.78</v>
      </c>
      <c r="F913" s="12">
        <v>0</v>
      </c>
      <c r="G913" s="11">
        <v>973.78</v>
      </c>
      <c r="H913" s="12">
        <v>0</v>
      </c>
      <c r="I913" s="11">
        <v>973.78</v>
      </c>
      <c r="J913" s="12">
        <v>0</v>
      </c>
      <c r="K913" s="11">
        <v>973.78</v>
      </c>
      <c r="L913" s="12">
        <v>0</v>
      </c>
      <c r="M913" s="11">
        <v>973.78</v>
      </c>
      <c r="N913" s="13">
        <v>0</v>
      </c>
      <c r="O913" s="11">
        <v>0</v>
      </c>
      <c r="P913" s="11">
        <v>0</v>
      </c>
      <c r="Q913" s="11">
        <v>0</v>
      </c>
      <c r="R913" s="11">
        <v>0</v>
      </c>
      <c r="S913" s="14">
        <v>0</v>
      </c>
      <c r="T913" s="11">
        <v>973.78</v>
      </c>
      <c r="U913" s="13" cm="1">
        <f t="array" ref="U913">IF(Table8[[#This Row],[I_0]]&lt;Table24[Flitro de Ruido],1,Table8[[#This Row],[I_10]]/Table8[[#This Row],[I_0]])</f>
        <v>1</v>
      </c>
      <c r="V913" s="13" cm="1">
        <f t="array" ref="V913">IF(Table8[[#This Row],[I_0]]&lt;Table24[Flitro de Ruido],1,Table8[[#This Row],[I_20]]/Table8[[#This Row],[I_0]])</f>
        <v>1</v>
      </c>
      <c r="W913" s="13" cm="1">
        <f t="array" ref="W913">IF(Table8[[#This Row],[I_0]]&lt;Table24[Flitro de Ruido],1,Table8[[#This Row],[I_30]]/Table8[[#This Row],[I_0]])</f>
        <v>1</v>
      </c>
      <c r="X913" s="13" cm="1">
        <f t="array" ref="X913">IF(Table8[[#This Row],[I_0]]&lt;Table24[Flitro de Ruido],1,Table8[[#This Row],[I_40]]/Table8[[#This Row],[I_0]])</f>
        <v>1</v>
      </c>
      <c r="Y913" s="13" cm="1">
        <f t="array" ref="Y913">IF(Table8[[#This Row],[I_0]]&lt;Table24[Flitro de Ruido],1,Table8[[#This Row],[I_50]]/Table8[[#This Row],[I_0]])</f>
        <v>1</v>
      </c>
    </row>
    <row r="914" spans="1:25" x14ac:dyDescent="0.3">
      <c r="A914" s="13">
        <v>974.77</v>
      </c>
      <c r="B914" s="12">
        <v>0</v>
      </c>
      <c r="C914" s="11">
        <v>974.77</v>
      </c>
      <c r="D914" s="12">
        <v>0</v>
      </c>
      <c r="E914" s="11">
        <v>974.77</v>
      </c>
      <c r="F914" s="12">
        <v>0</v>
      </c>
      <c r="G914" s="11">
        <v>974.77</v>
      </c>
      <c r="H914" s="12">
        <v>0</v>
      </c>
      <c r="I914" s="11">
        <v>974.77</v>
      </c>
      <c r="J914" s="12">
        <v>0</v>
      </c>
      <c r="K914" s="11">
        <v>974.77</v>
      </c>
      <c r="L914" s="12">
        <v>0</v>
      </c>
      <c r="M914" s="11">
        <v>974.77</v>
      </c>
      <c r="N914" s="13">
        <v>0</v>
      </c>
      <c r="O914" s="11">
        <v>0</v>
      </c>
      <c r="P914" s="11">
        <v>0</v>
      </c>
      <c r="Q914" s="11">
        <v>0</v>
      </c>
      <c r="R914" s="11">
        <v>0</v>
      </c>
      <c r="S914" s="14">
        <v>0</v>
      </c>
      <c r="T914" s="11">
        <v>974.77</v>
      </c>
      <c r="U914" s="13" cm="1">
        <f t="array" ref="U914">IF(Table8[[#This Row],[I_0]]&lt;Table24[Flitro de Ruido],1,Table8[[#This Row],[I_10]]/Table8[[#This Row],[I_0]])</f>
        <v>1</v>
      </c>
      <c r="V914" s="13" cm="1">
        <f t="array" ref="V914">IF(Table8[[#This Row],[I_0]]&lt;Table24[Flitro de Ruido],1,Table8[[#This Row],[I_20]]/Table8[[#This Row],[I_0]])</f>
        <v>1</v>
      </c>
      <c r="W914" s="13" cm="1">
        <f t="array" ref="W914">IF(Table8[[#This Row],[I_0]]&lt;Table24[Flitro de Ruido],1,Table8[[#This Row],[I_30]]/Table8[[#This Row],[I_0]])</f>
        <v>1</v>
      </c>
      <c r="X914" s="13" cm="1">
        <f t="array" ref="X914">IF(Table8[[#This Row],[I_0]]&lt;Table24[Flitro de Ruido],1,Table8[[#This Row],[I_40]]/Table8[[#This Row],[I_0]])</f>
        <v>1</v>
      </c>
      <c r="Y914" s="13" cm="1">
        <f t="array" ref="Y914">IF(Table8[[#This Row],[I_0]]&lt;Table24[Flitro de Ruido],1,Table8[[#This Row],[I_50]]/Table8[[#This Row],[I_0]])</f>
        <v>1</v>
      </c>
    </row>
    <row r="915" spans="1:25" x14ac:dyDescent="0.3">
      <c r="A915" s="13">
        <v>975.76</v>
      </c>
      <c r="B915" s="12">
        <v>0</v>
      </c>
      <c r="C915" s="11">
        <v>975.76</v>
      </c>
      <c r="D915" s="12">
        <v>0</v>
      </c>
      <c r="E915" s="11">
        <v>975.76</v>
      </c>
      <c r="F915" s="12">
        <v>0</v>
      </c>
      <c r="G915" s="11">
        <v>975.76</v>
      </c>
      <c r="H915" s="12">
        <v>0</v>
      </c>
      <c r="I915" s="11">
        <v>975.76</v>
      </c>
      <c r="J915" s="12">
        <v>0</v>
      </c>
      <c r="K915" s="11">
        <v>975.76</v>
      </c>
      <c r="L915" s="12">
        <v>0</v>
      </c>
      <c r="M915" s="11">
        <v>975.76</v>
      </c>
      <c r="N915" s="13">
        <v>0</v>
      </c>
      <c r="O915" s="11">
        <v>0</v>
      </c>
      <c r="P915" s="11">
        <v>0</v>
      </c>
      <c r="Q915" s="11">
        <v>0</v>
      </c>
      <c r="R915" s="11">
        <v>0</v>
      </c>
      <c r="S915" s="14">
        <v>0</v>
      </c>
      <c r="T915" s="11">
        <v>975.76</v>
      </c>
      <c r="U915" s="13" cm="1">
        <f t="array" ref="U915">IF(Table8[[#This Row],[I_0]]&lt;Table24[Flitro de Ruido],1,Table8[[#This Row],[I_10]]/Table8[[#This Row],[I_0]])</f>
        <v>1</v>
      </c>
      <c r="V915" s="13" cm="1">
        <f t="array" ref="V915">IF(Table8[[#This Row],[I_0]]&lt;Table24[Flitro de Ruido],1,Table8[[#This Row],[I_20]]/Table8[[#This Row],[I_0]])</f>
        <v>1</v>
      </c>
      <c r="W915" s="13" cm="1">
        <f t="array" ref="W915">IF(Table8[[#This Row],[I_0]]&lt;Table24[Flitro de Ruido],1,Table8[[#This Row],[I_30]]/Table8[[#This Row],[I_0]])</f>
        <v>1</v>
      </c>
      <c r="X915" s="13" cm="1">
        <f t="array" ref="X915">IF(Table8[[#This Row],[I_0]]&lt;Table24[Flitro de Ruido],1,Table8[[#This Row],[I_40]]/Table8[[#This Row],[I_0]])</f>
        <v>1</v>
      </c>
      <c r="Y915" s="13" cm="1">
        <f t="array" ref="Y915">IF(Table8[[#This Row],[I_0]]&lt;Table24[Flitro de Ruido],1,Table8[[#This Row],[I_50]]/Table8[[#This Row],[I_0]])</f>
        <v>1</v>
      </c>
    </row>
    <row r="916" spans="1:25" x14ac:dyDescent="0.3">
      <c r="A916" s="13">
        <v>976.75</v>
      </c>
      <c r="B916" s="12">
        <v>0</v>
      </c>
      <c r="C916" s="11">
        <v>976.75</v>
      </c>
      <c r="D916" s="12">
        <v>0</v>
      </c>
      <c r="E916" s="11">
        <v>976.75</v>
      </c>
      <c r="F916" s="12">
        <v>0</v>
      </c>
      <c r="G916" s="11">
        <v>976.75</v>
      </c>
      <c r="H916" s="12">
        <v>0</v>
      </c>
      <c r="I916" s="11">
        <v>976.75</v>
      </c>
      <c r="J916" s="12">
        <v>0</v>
      </c>
      <c r="K916" s="11">
        <v>976.75</v>
      </c>
      <c r="L916" s="12">
        <v>0</v>
      </c>
      <c r="M916" s="11">
        <v>976.75</v>
      </c>
      <c r="N916" s="13">
        <v>0</v>
      </c>
      <c r="O916" s="11">
        <v>0</v>
      </c>
      <c r="P916" s="11">
        <v>0</v>
      </c>
      <c r="Q916" s="11">
        <v>0</v>
      </c>
      <c r="R916" s="11">
        <v>0</v>
      </c>
      <c r="S916" s="14">
        <v>0</v>
      </c>
      <c r="T916" s="11">
        <v>976.75</v>
      </c>
      <c r="U916" s="13" cm="1">
        <f t="array" ref="U916">IF(Table8[[#This Row],[I_0]]&lt;Table24[Flitro de Ruido],1,Table8[[#This Row],[I_10]]/Table8[[#This Row],[I_0]])</f>
        <v>1</v>
      </c>
      <c r="V916" s="13" cm="1">
        <f t="array" ref="V916">IF(Table8[[#This Row],[I_0]]&lt;Table24[Flitro de Ruido],1,Table8[[#This Row],[I_20]]/Table8[[#This Row],[I_0]])</f>
        <v>1</v>
      </c>
      <c r="W916" s="13" cm="1">
        <f t="array" ref="W916">IF(Table8[[#This Row],[I_0]]&lt;Table24[Flitro de Ruido],1,Table8[[#This Row],[I_30]]/Table8[[#This Row],[I_0]])</f>
        <v>1</v>
      </c>
      <c r="X916" s="13" cm="1">
        <f t="array" ref="X916">IF(Table8[[#This Row],[I_0]]&lt;Table24[Flitro de Ruido],1,Table8[[#This Row],[I_40]]/Table8[[#This Row],[I_0]])</f>
        <v>1</v>
      </c>
      <c r="Y916" s="13" cm="1">
        <f t="array" ref="Y916">IF(Table8[[#This Row],[I_0]]&lt;Table24[Flitro de Ruido],1,Table8[[#This Row],[I_50]]/Table8[[#This Row],[I_0]])</f>
        <v>1</v>
      </c>
    </row>
    <row r="917" spans="1:25" x14ac:dyDescent="0.3">
      <c r="A917" s="13">
        <v>977.75</v>
      </c>
      <c r="B917" s="12">
        <v>0</v>
      </c>
      <c r="C917" s="11">
        <v>977.75</v>
      </c>
      <c r="D917" s="12">
        <v>0</v>
      </c>
      <c r="E917" s="11">
        <v>977.75</v>
      </c>
      <c r="F917" s="12">
        <v>0</v>
      </c>
      <c r="G917" s="11">
        <v>977.75</v>
      </c>
      <c r="H917" s="12">
        <v>0</v>
      </c>
      <c r="I917" s="11">
        <v>977.75</v>
      </c>
      <c r="J917" s="12">
        <v>0</v>
      </c>
      <c r="K917" s="11">
        <v>977.75</v>
      </c>
      <c r="L917" s="12">
        <v>0</v>
      </c>
      <c r="M917" s="11">
        <v>977.75</v>
      </c>
      <c r="N917" s="13">
        <v>0</v>
      </c>
      <c r="O917" s="11">
        <v>0</v>
      </c>
      <c r="P917" s="11">
        <v>0</v>
      </c>
      <c r="Q917" s="11">
        <v>0</v>
      </c>
      <c r="R917" s="11">
        <v>0</v>
      </c>
      <c r="S917" s="14">
        <v>0</v>
      </c>
      <c r="T917" s="11">
        <v>977.75</v>
      </c>
      <c r="U917" s="13" cm="1">
        <f t="array" ref="U917">IF(Table8[[#This Row],[I_0]]&lt;Table24[Flitro de Ruido],1,Table8[[#This Row],[I_10]]/Table8[[#This Row],[I_0]])</f>
        <v>1</v>
      </c>
      <c r="V917" s="13" cm="1">
        <f t="array" ref="V917">IF(Table8[[#This Row],[I_0]]&lt;Table24[Flitro de Ruido],1,Table8[[#This Row],[I_20]]/Table8[[#This Row],[I_0]])</f>
        <v>1</v>
      </c>
      <c r="W917" s="13" cm="1">
        <f t="array" ref="W917">IF(Table8[[#This Row],[I_0]]&lt;Table24[Flitro de Ruido],1,Table8[[#This Row],[I_30]]/Table8[[#This Row],[I_0]])</f>
        <v>1</v>
      </c>
      <c r="X917" s="13" cm="1">
        <f t="array" ref="X917">IF(Table8[[#This Row],[I_0]]&lt;Table24[Flitro de Ruido],1,Table8[[#This Row],[I_40]]/Table8[[#This Row],[I_0]])</f>
        <v>1</v>
      </c>
      <c r="Y917" s="13" cm="1">
        <f t="array" ref="Y917">IF(Table8[[#This Row],[I_0]]&lt;Table24[Flitro de Ruido],1,Table8[[#This Row],[I_50]]/Table8[[#This Row],[I_0]])</f>
        <v>1</v>
      </c>
    </row>
    <row r="918" spans="1:25" x14ac:dyDescent="0.3">
      <c r="A918" s="13">
        <v>978.74</v>
      </c>
      <c r="B918" s="12">
        <v>0</v>
      </c>
      <c r="C918" s="11">
        <v>978.74</v>
      </c>
      <c r="D918" s="12">
        <v>0</v>
      </c>
      <c r="E918" s="11">
        <v>978.74</v>
      </c>
      <c r="F918" s="12">
        <v>0</v>
      </c>
      <c r="G918" s="11">
        <v>978.74</v>
      </c>
      <c r="H918" s="12">
        <v>0</v>
      </c>
      <c r="I918" s="11">
        <v>978.74</v>
      </c>
      <c r="J918" s="12">
        <v>0</v>
      </c>
      <c r="K918" s="11">
        <v>978.74</v>
      </c>
      <c r="L918" s="12">
        <v>0</v>
      </c>
      <c r="M918" s="11">
        <v>978.74</v>
      </c>
      <c r="N918" s="13">
        <v>0</v>
      </c>
      <c r="O918" s="11">
        <v>0</v>
      </c>
      <c r="P918" s="11">
        <v>0</v>
      </c>
      <c r="Q918" s="11">
        <v>0</v>
      </c>
      <c r="R918" s="11">
        <v>0</v>
      </c>
      <c r="S918" s="14">
        <v>0</v>
      </c>
      <c r="T918" s="11">
        <v>978.74</v>
      </c>
      <c r="U918" s="13" cm="1">
        <f t="array" ref="U918">IF(Table8[[#This Row],[I_0]]&lt;Table24[Flitro de Ruido],1,Table8[[#This Row],[I_10]]/Table8[[#This Row],[I_0]])</f>
        <v>1</v>
      </c>
      <c r="V918" s="13" cm="1">
        <f t="array" ref="V918">IF(Table8[[#This Row],[I_0]]&lt;Table24[Flitro de Ruido],1,Table8[[#This Row],[I_20]]/Table8[[#This Row],[I_0]])</f>
        <v>1</v>
      </c>
      <c r="W918" s="13" cm="1">
        <f t="array" ref="W918">IF(Table8[[#This Row],[I_0]]&lt;Table24[Flitro de Ruido],1,Table8[[#This Row],[I_30]]/Table8[[#This Row],[I_0]])</f>
        <v>1</v>
      </c>
      <c r="X918" s="13" cm="1">
        <f t="array" ref="X918">IF(Table8[[#This Row],[I_0]]&lt;Table24[Flitro de Ruido],1,Table8[[#This Row],[I_40]]/Table8[[#This Row],[I_0]])</f>
        <v>1</v>
      </c>
      <c r="Y918" s="13" cm="1">
        <f t="array" ref="Y918">IF(Table8[[#This Row],[I_0]]&lt;Table24[Flitro de Ruido],1,Table8[[#This Row],[I_50]]/Table8[[#This Row],[I_0]])</f>
        <v>1</v>
      </c>
    </row>
    <row r="919" spans="1:25" x14ac:dyDescent="0.3">
      <c r="A919" s="13">
        <v>979.73</v>
      </c>
      <c r="B919" s="12">
        <v>0</v>
      </c>
      <c r="C919" s="11">
        <v>979.73</v>
      </c>
      <c r="D919" s="12">
        <v>0</v>
      </c>
      <c r="E919" s="11">
        <v>979.73</v>
      </c>
      <c r="F919" s="12">
        <v>0</v>
      </c>
      <c r="G919" s="11">
        <v>979.73</v>
      </c>
      <c r="H919" s="12">
        <v>0</v>
      </c>
      <c r="I919" s="11">
        <v>979.73</v>
      </c>
      <c r="J919" s="12">
        <v>0</v>
      </c>
      <c r="K919" s="11">
        <v>979.73</v>
      </c>
      <c r="L919" s="12">
        <v>0</v>
      </c>
      <c r="M919" s="11">
        <v>979.73</v>
      </c>
      <c r="N919" s="13">
        <v>0</v>
      </c>
      <c r="O919" s="11">
        <v>0</v>
      </c>
      <c r="P919" s="11">
        <v>0</v>
      </c>
      <c r="Q919" s="11">
        <v>0</v>
      </c>
      <c r="R919" s="11">
        <v>0</v>
      </c>
      <c r="S919" s="14">
        <v>0</v>
      </c>
      <c r="T919" s="11">
        <v>979.73</v>
      </c>
      <c r="U919" s="13" cm="1">
        <f t="array" ref="U919">IF(Table8[[#This Row],[I_0]]&lt;Table24[Flitro de Ruido],1,Table8[[#This Row],[I_10]]/Table8[[#This Row],[I_0]])</f>
        <v>1</v>
      </c>
      <c r="V919" s="13" cm="1">
        <f t="array" ref="V919">IF(Table8[[#This Row],[I_0]]&lt;Table24[Flitro de Ruido],1,Table8[[#This Row],[I_20]]/Table8[[#This Row],[I_0]])</f>
        <v>1</v>
      </c>
      <c r="W919" s="13" cm="1">
        <f t="array" ref="W919">IF(Table8[[#This Row],[I_0]]&lt;Table24[Flitro de Ruido],1,Table8[[#This Row],[I_30]]/Table8[[#This Row],[I_0]])</f>
        <v>1</v>
      </c>
      <c r="X919" s="13" cm="1">
        <f t="array" ref="X919">IF(Table8[[#This Row],[I_0]]&lt;Table24[Flitro de Ruido],1,Table8[[#This Row],[I_40]]/Table8[[#This Row],[I_0]])</f>
        <v>1</v>
      </c>
      <c r="Y919" s="13" cm="1">
        <f t="array" ref="Y919">IF(Table8[[#This Row],[I_0]]&lt;Table24[Flitro de Ruido],1,Table8[[#This Row],[I_50]]/Table8[[#This Row],[I_0]])</f>
        <v>1</v>
      </c>
    </row>
    <row r="920" spans="1:25" x14ac:dyDescent="0.3">
      <c r="A920" s="13">
        <v>980.72</v>
      </c>
      <c r="B920" s="12">
        <v>0</v>
      </c>
      <c r="C920" s="11">
        <v>980.72</v>
      </c>
      <c r="D920" s="12">
        <v>0</v>
      </c>
      <c r="E920" s="11">
        <v>980.72</v>
      </c>
      <c r="F920" s="12">
        <v>0</v>
      </c>
      <c r="G920" s="11">
        <v>980.72</v>
      </c>
      <c r="H920" s="12">
        <v>0</v>
      </c>
      <c r="I920" s="11">
        <v>980.72</v>
      </c>
      <c r="J920" s="12">
        <v>0</v>
      </c>
      <c r="K920" s="11">
        <v>980.72</v>
      </c>
      <c r="L920" s="12">
        <v>0</v>
      </c>
      <c r="M920" s="11">
        <v>980.72</v>
      </c>
      <c r="N920" s="13">
        <v>0</v>
      </c>
      <c r="O920" s="11">
        <v>0</v>
      </c>
      <c r="P920" s="11">
        <v>0</v>
      </c>
      <c r="Q920" s="11">
        <v>0</v>
      </c>
      <c r="R920" s="11">
        <v>0</v>
      </c>
      <c r="S920" s="14">
        <v>0</v>
      </c>
      <c r="T920" s="11">
        <v>980.72</v>
      </c>
      <c r="U920" s="13" cm="1">
        <f t="array" ref="U920">IF(Table8[[#This Row],[I_0]]&lt;Table24[Flitro de Ruido],1,Table8[[#This Row],[I_10]]/Table8[[#This Row],[I_0]])</f>
        <v>1</v>
      </c>
      <c r="V920" s="13" cm="1">
        <f t="array" ref="V920">IF(Table8[[#This Row],[I_0]]&lt;Table24[Flitro de Ruido],1,Table8[[#This Row],[I_20]]/Table8[[#This Row],[I_0]])</f>
        <v>1</v>
      </c>
      <c r="W920" s="13" cm="1">
        <f t="array" ref="W920">IF(Table8[[#This Row],[I_0]]&lt;Table24[Flitro de Ruido],1,Table8[[#This Row],[I_30]]/Table8[[#This Row],[I_0]])</f>
        <v>1</v>
      </c>
      <c r="X920" s="13" cm="1">
        <f t="array" ref="X920">IF(Table8[[#This Row],[I_0]]&lt;Table24[Flitro de Ruido],1,Table8[[#This Row],[I_40]]/Table8[[#This Row],[I_0]])</f>
        <v>1</v>
      </c>
      <c r="Y920" s="13" cm="1">
        <f t="array" ref="Y920">IF(Table8[[#This Row],[I_0]]&lt;Table24[Flitro de Ruido],1,Table8[[#This Row],[I_50]]/Table8[[#This Row],[I_0]])</f>
        <v>1</v>
      </c>
    </row>
    <row r="921" spans="1:25" x14ac:dyDescent="0.3">
      <c r="A921" s="13">
        <v>981.71</v>
      </c>
      <c r="B921" s="12">
        <v>0</v>
      </c>
      <c r="C921" s="11">
        <v>981.71</v>
      </c>
      <c r="D921" s="12">
        <v>0</v>
      </c>
      <c r="E921" s="11">
        <v>981.71</v>
      </c>
      <c r="F921" s="12">
        <v>0</v>
      </c>
      <c r="G921" s="11">
        <v>981.71</v>
      </c>
      <c r="H921" s="12">
        <v>0</v>
      </c>
      <c r="I921" s="11">
        <v>981.71</v>
      </c>
      <c r="J921" s="12">
        <v>0</v>
      </c>
      <c r="K921" s="11">
        <v>981.71</v>
      </c>
      <c r="L921" s="12">
        <v>0</v>
      </c>
      <c r="M921" s="11">
        <v>981.71</v>
      </c>
      <c r="N921" s="13">
        <v>0</v>
      </c>
      <c r="O921" s="11">
        <v>0</v>
      </c>
      <c r="P921" s="11">
        <v>0</v>
      </c>
      <c r="Q921" s="11">
        <v>0</v>
      </c>
      <c r="R921" s="11">
        <v>0</v>
      </c>
      <c r="S921" s="14">
        <v>0</v>
      </c>
      <c r="T921" s="11">
        <v>981.71</v>
      </c>
      <c r="U921" s="13" cm="1">
        <f t="array" ref="U921">IF(Table8[[#This Row],[I_0]]&lt;Table24[Flitro de Ruido],1,Table8[[#This Row],[I_10]]/Table8[[#This Row],[I_0]])</f>
        <v>1</v>
      </c>
      <c r="V921" s="13" cm="1">
        <f t="array" ref="V921">IF(Table8[[#This Row],[I_0]]&lt;Table24[Flitro de Ruido],1,Table8[[#This Row],[I_20]]/Table8[[#This Row],[I_0]])</f>
        <v>1</v>
      </c>
      <c r="W921" s="13" cm="1">
        <f t="array" ref="W921">IF(Table8[[#This Row],[I_0]]&lt;Table24[Flitro de Ruido],1,Table8[[#This Row],[I_30]]/Table8[[#This Row],[I_0]])</f>
        <v>1</v>
      </c>
      <c r="X921" s="13" cm="1">
        <f t="array" ref="X921">IF(Table8[[#This Row],[I_0]]&lt;Table24[Flitro de Ruido],1,Table8[[#This Row],[I_40]]/Table8[[#This Row],[I_0]])</f>
        <v>1</v>
      </c>
      <c r="Y921" s="13" cm="1">
        <f t="array" ref="Y921">IF(Table8[[#This Row],[I_0]]&lt;Table24[Flitro de Ruido],1,Table8[[#This Row],[I_50]]/Table8[[#This Row],[I_0]])</f>
        <v>1</v>
      </c>
    </row>
    <row r="922" spans="1:25" x14ac:dyDescent="0.3">
      <c r="A922" s="13">
        <v>982.7</v>
      </c>
      <c r="B922" s="12">
        <v>0</v>
      </c>
      <c r="C922" s="11">
        <v>982.7</v>
      </c>
      <c r="D922" s="12">
        <v>0</v>
      </c>
      <c r="E922" s="11">
        <v>982.7</v>
      </c>
      <c r="F922" s="12">
        <v>0</v>
      </c>
      <c r="G922" s="11">
        <v>982.7</v>
      </c>
      <c r="H922" s="12">
        <v>0</v>
      </c>
      <c r="I922" s="11">
        <v>982.7</v>
      </c>
      <c r="J922" s="12">
        <v>0</v>
      </c>
      <c r="K922" s="11">
        <v>982.7</v>
      </c>
      <c r="L922" s="12">
        <v>0</v>
      </c>
      <c r="M922" s="11">
        <v>982.7</v>
      </c>
      <c r="N922" s="13">
        <v>0</v>
      </c>
      <c r="O922" s="11">
        <v>0</v>
      </c>
      <c r="P922" s="11">
        <v>0</v>
      </c>
      <c r="Q922" s="11">
        <v>0</v>
      </c>
      <c r="R922" s="11">
        <v>0</v>
      </c>
      <c r="S922" s="14">
        <v>0</v>
      </c>
      <c r="T922" s="11">
        <v>982.7</v>
      </c>
      <c r="U922" s="13" cm="1">
        <f t="array" ref="U922">IF(Table8[[#This Row],[I_0]]&lt;Table24[Flitro de Ruido],1,Table8[[#This Row],[I_10]]/Table8[[#This Row],[I_0]])</f>
        <v>1</v>
      </c>
      <c r="V922" s="13" cm="1">
        <f t="array" ref="V922">IF(Table8[[#This Row],[I_0]]&lt;Table24[Flitro de Ruido],1,Table8[[#This Row],[I_20]]/Table8[[#This Row],[I_0]])</f>
        <v>1</v>
      </c>
      <c r="W922" s="13" cm="1">
        <f t="array" ref="W922">IF(Table8[[#This Row],[I_0]]&lt;Table24[Flitro de Ruido],1,Table8[[#This Row],[I_30]]/Table8[[#This Row],[I_0]])</f>
        <v>1</v>
      </c>
      <c r="X922" s="13" cm="1">
        <f t="array" ref="X922">IF(Table8[[#This Row],[I_0]]&lt;Table24[Flitro de Ruido],1,Table8[[#This Row],[I_40]]/Table8[[#This Row],[I_0]])</f>
        <v>1</v>
      </c>
      <c r="Y922" s="13" cm="1">
        <f t="array" ref="Y922">IF(Table8[[#This Row],[I_0]]&lt;Table24[Flitro de Ruido],1,Table8[[#This Row],[I_50]]/Table8[[#This Row],[I_0]])</f>
        <v>1</v>
      </c>
    </row>
    <row r="923" spans="1:25" x14ac:dyDescent="0.3">
      <c r="A923" s="13">
        <v>983.7</v>
      </c>
      <c r="B923" s="12">
        <v>0</v>
      </c>
      <c r="C923" s="11">
        <v>983.7</v>
      </c>
      <c r="D923" s="12">
        <v>0</v>
      </c>
      <c r="E923" s="11">
        <v>983.7</v>
      </c>
      <c r="F923" s="12">
        <v>0</v>
      </c>
      <c r="G923" s="11">
        <v>983.7</v>
      </c>
      <c r="H923" s="12">
        <v>0</v>
      </c>
      <c r="I923" s="11">
        <v>983.7</v>
      </c>
      <c r="J923" s="12">
        <v>0</v>
      </c>
      <c r="K923" s="11">
        <v>983.7</v>
      </c>
      <c r="L923" s="12">
        <v>0</v>
      </c>
      <c r="M923" s="11">
        <v>983.7</v>
      </c>
      <c r="N923" s="13">
        <v>0</v>
      </c>
      <c r="O923" s="11">
        <v>0</v>
      </c>
      <c r="P923" s="11">
        <v>0</v>
      </c>
      <c r="Q923" s="11">
        <v>0</v>
      </c>
      <c r="R923" s="11">
        <v>0</v>
      </c>
      <c r="S923" s="14">
        <v>0</v>
      </c>
      <c r="T923" s="11">
        <v>983.7</v>
      </c>
      <c r="U923" s="13" cm="1">
        <f t="array" ref="U923">IF(Table8[[#This Row],[I_0]]&lt;Table24[Flitro de Ruido],1,Table8[[#This Row],[I_10]]/Table8[[#This Row],[I_0]])</f>
        <v>1</v>
      </c>
      <c r="V923" s="13" cm="1">
        <f t="array" ref="V923">IF(Table8[[#This Row],[I_0]]&lt;Table24[Flitro de Ruido],1,Table8[[#This Row],[I_20]]/Table8[[#This Row],[I_0]])</f>
        <v>1</v>
      </c>
      <c r="W923" s="13" cm="1">
        <f t="array" ref="W923">IF(Table8[[#This Row],[I_0]]&lt;Table24[Flitro de Ruido],1,Table8[[#This Row],[I_30]]/Table8[[#This Row],[I_0]])</f>
        <v>1</v>
      </c>
      <c r="X923" s="13" cm="1">
        <f t="array" ref="X923">IF(Table8[[#This Row],[I_0]]&lt;Table24[Flitro de Ruido],1,Table8[[#This Row],[I_40]]/Table8[[#This Row],[I_0]])</f>
        <v>1</v>
      </c>
      <c r="Y923" s="13" cm="1">
        <f t="array" ref="Y923">IF(Table8[[#This Row],[I_0]]&lt;Table24[Flitro de Ruido],1,Table8[[#This Row],[I_50]]/Table8[[#This Row],[I_0]])</f>
        <v>1</v>
      </c>
    </row>
    <row r="924" spans="1:25" x14ac:dyDescent="0.3">
      <c r="A924" s="13">
        <v>984.69</v>
      </c>
      <c r="B924" s="12">
        <v>0</v>
      </c>
      <c r="C924" s="11">
        <v>984.69</v>
      </c>
      <c r="D924" s="12">
        <v>0</v>
      </c>
      <c r="E924" s="11">
        <v>984.69</v>
      </c>
      <c r="F924" s="12">
        <v>0</v>
      </c>
      <c r="G924" s="11">
        <v>984.69</v>
      </c>
      <c r="H924" s="12">
        <v>0</v>
      </c>
      <c r="I924" s="11">
        <v>984.69</v>
      </c>
      <c r="J924" s="12">
        <v>0</v>
      </c>
      <c r="K924" s="11">
        <v>984.69</v>
      </c>
      <c r="L924" s="12">
        <v>0</v>
      </c>
      <c r="M924" s="11">
        <v>984.69</v>
      </c>
      <c r="N924" s="13">
        <v>0</v>
      </c>
      <c r="O924" s="11">
        <v>0</v>
      </c>
      <c r="P924" s="11">
        <v>0</v>
      </c>
      <c r="Q924" s="11">
        <v>0</v>
      </c>
      <c r="R924" s="11">
        <v>0</v>
      </c>
      <c r="S924" s="14">
        <v>0</v>
      </c>
      <c r="T924" s="11">
        <v>984.69</v>
      </c>
      <c r="U924" s="13" cm="1">
        <f t="array" ref="U924">IF(Table8[[#This Row],[I_0]]&lt;Table24[Flitro de Ruido],1,Table8[[#This Row],[I_10]]/Table8[[#This Row],[I_0]])</f>
        <v>1</v>
      </c>
      <c r="V924" s="13" cm="1">
        <f t="array" ref="V924">IF(Table8[[#This Row],[I_0]]&lt;Table24[Flitro de Ruido],1,Table8[[#This Row],[I_20]]/Table8[[#This Row],[I_0]])</f>
        <v>1</v>
      </c>
      <c r="W924" s="13" cm="1">
        <f t="array" ref="W924">IF(Table8[[#This Row],[I_0]]&lt;Table24[Flitro de Ruido],1,Table8[[#This Row],[I_30]]/Table8[[#This Row],[I_0]])</f>
        <v>1</v>
      </c>
      <c r="X924" s="13" cm="1">
        <f t="array" ref="X924">IF(Table8[[#This Row],[I_0]]&lt;Table24[Flitro de Ruido],1,Table8[[#This Row],[I_40]]/Table8[[#This Row],[I_0]])</f>
        <v>1</v>
      </c>
      <c r="Y924" s="13" cm="1">
        <f t="array" ref="Y924">IF(Table8[[#This Row],[I_0]]&lt;Table24[Flitro de Ruido],1,Table8[[#This Row],[I_50]]/Table8[[#This Row],[I_0]])</f>
        <v>1</v>
      </c>
    </row>
    <row r="925" spans="1:25" x14ac:dyDescent="0.3">
      <c r="A925" s="13">
        <v>985.68</v>
      </c>
      <c r="B925" s="12">
        <v>0</v>
      </c>
      <c r="C925" s="11">
        <v>985.68</v>
      </c>
      <c r="D925" s="12">
        <v>0</v>
      </c>
      <c r="E925" s="11">
        <v>985.68</v>
      </c>
      <c r="F925" s="12">
        <v>0</v>
      </c>
      <c r="G925" s="11">
        <v>985.68</v>
      </c>
      <c r="H925" s="12">
        <v>0</v>
      </c>
      <c r="I925" s="11">
        <v>985.68</v>
      </c>
      <c r="J925" s="12">
        <v>0</v>
      </c>
      <c r="K925" s="11">
        <v>985.68</v>
      </c>
      <c r="L925" s="12">
        <v>0</v>
      </c>
      <c r="M925" s="11">
        <v>985.68</v>
      </c>
      <c r="N925" s="13">
        <v>0</v>
      </c>
      <c r="O925" s="11">
        <v>0</v>
      </c>
      <c r="P925" s="11">
        <v>0</v>
      </c>
      <c r="Q925" s="11">
        <v>0</v>
      </c>
      <c r="R925" s="11">
        <v>0</v>
      </c>
      <c r="S925" s="14">
        <v>0</v>
      </c>
      <c r="T925" s="11">
        <v>985.68</v>
      </c>
      <c r="U925" s="13" cm="1">
        <f t="array" ref="U925">IF(Table8[[#This Row],[I_0]]&lt;Table24[Flitro de Ruido],1,Table8[[#This Row],[I_10]]/Table8[[#This Row],[I_0]])</f>
        <v>1</v>
      </c>
      <c r="V925" s="13" cm="1">
        <f t="array" ref="V925">IF(Table8[[#This Row],[I_0]]&lt;Table24[Flitro de Ruido],1,Table8[[#This Row],[I_20]]/Table8[[#This Row],[I_0]])</f>
        <v>1</v>
      </c>
      <c r="W925" s="13" cm="1">
        <f t="array" ref="W925">IF(Table8[[#This Row],[I_0]]&lt;Table24[Flitro de Ruido],1,Table8[[#This Row],[I_30]]/Table8[[#This Row],[I_0]])</f>
        <v>1</v>
      </c>
      <c r="X925" s="13" cm="1">
        <f t="array" ref="X925">IF(Table8[[#This Row],[I_0]]&lt;Table24[Flitro de Ruido],1,Table8[[#This Row],[I_40]]/Table8[[#This Row],[I_0]])</f>
        <v>1</v>
      </c>
      <c r="Y925" s="13" cm="1">
        <f t="array" ref="Y925">IF(Table8[[#This Row],[I_0]]&lt;Table24[Flitro de Ruido],1,Table8[[#This Row],[I_50]]/Table8[[#This Row],[I_0]])</f>
        <v>1</v>
      </c>
    </row>
    <row r="926" spans="1:25" x14ac:dyDescent="0.3">
      <c r="A926" s="13">
        <v>986.67</v>
      </c>
      <c r="B926" s="12">
        <v>0</v>
      </c>
      <c r="C926" s="11">
        <v>986.67</v>
      </c>
      <c r="D926" s="12">
        <v>0</v>
      </c>
      <c r="E926" s="11">
        <v>986.67</v>
      </c>
      <c r="F926" s="12">
        <v>0</v>
      </c>
      <c r="G926" s="11">
        <v>986.67</v>
      </c>
      <c r="H926" s="12">
        <v>0</v>
      </c>
      <c r="I926" s="11">
        <v>986.67</v>
      </c>
      <c r="J926" s="12">
        <v>0</v>
      </c>
      <c r="K926" s="11">
        <v>986.67</v>
      </c>
      <c r="L926" s="12">
        <v>0</v>
      </c>
      <c r="M926" s="11">
        <v>986.67</v>
      </c>
      <c r="N926" s="13">
        <v>0</v>
      </c>
      <c r="O926" s="11">
        <v>0</v>
      </c>
      <c r="P926" s="11">
        <v>0</v>
      </c>
      <c r="Q926" s="11">
        <v>0</v>
      </c>
      <c r="R926" s="11">
        <v>0</v>
      </c>
      <c r="S926" s="14">
        <v>0</v>
      </c>
      <c r="T926" s="11">
        <v>986.67</v>
      </c>
      <c r="U926" s="13" cm="1">
        <f t="array" ref="U926">IF(Table8[[#This Row],[I_0]]&lt;Table24[Flitro de Ruido],1,Table8[[#This Row],[I_10]]/Table8[[#This Row],[I_0]])</f>
        <v>1</v>
      </c>
      <c r="V926" s="13" cm="1">
        <f t="array" ref="V926">IF(Table8[[#This Row],[I_0]]&lt;Table24[Flitro de Ruido],1,Table8[[#This Row],[I_20]]/Table8[[#This Row],[I_0]])</f>
        <v>1</v>
      </c>
      <c r="W926" s="13" cm="1">
        <f t="array" ref="W926">IF(Table8[[#This Row],[I_0]]&lt;Table24[Flitro de Ruido],1,Table8[[#This Row],[I_30]]/Table8[[#This Row],[I_0]])</f>
        <v>1</v>
      </c>
      <c r="X926" s="13" cm="1">
        <f t="array" ref="X926">IF(Table8[[#This Row],[I_0]]&lt;Table24[Flitro de Ruido],1,Table8[[#This Row],[I_40]]/Table8[[#This Row],[I_0]])</f>
        <v>1</v>
      </c>
      <c r="Y926" s="13" cm="1">
        <f t="array" ref="Y926">IF(Table8[[#This Row],[I_0]]&lt;Table24[Flitro de Ruido],1,Table8[[#This Row],[I_50]]/Table8[[#This Row],[I_0]])</f>
        <v>1</v>
      </c>
    </row>
    <row r="927" spans="1:25" x14ac:dyDescent="0.3">
      <c r="A927" s="13">
        <v>987.66</v>
      </c>
      <c r="B927" s="12">
        <v>0</v>
      </c>
      <c r="C927" s="11">
        <v>987.66</v>
      </c>
      <c r="D927" s="12">
        <v>0</v>
      </c>
      <c r="E927" s="11">
        <v>987.66</v>
      </c>
      <c r="F927" s="12">
        <v>0</v>
      </c>
      <c r="G927" s="11">
        <v>987.66</v>
      </c>
      <c r="H927" s="12">
        <v>0</v>
      </c>
      <c r="I927" s="11">
        <v>987.66</v>
      </c>
      <c r="J927" s="12">
        <v>0</v>
      </c>
      <c r="K927" s="11">
        <v>987.66</v>
      </c>
      <c r="L927" s="12">
        <v>0</v>
      </c>
      <c r="M927" s="11">
        <v>987.66</v>
      </c>
      <c r="N927" s="13">
        <v>0</v>
      </c>
      <c r="O927" s="11">
        <v>0</v>
      </c>
      <c r="P927" s="11">
        <v>0</v>
      </c>
      <c r="Q927" s="11">
        <v>0</v>
      </c>
      <c r="R927" s="11">
        <v>0</v>
      </c>
      <c r="S927" s="14">
        <v>0</v>
      </c>
      <c r="T927" s="11">
        <v>987.66</v>
      </c>
      <c r="U927" s="13" cm="1">
        <f t="array" ref="U927">IF(Table8[[#This Row],[I_0]]&lt;Table24[Flitro de Ruido],1,Table8[[#This Row],[I_10]]/Table8[[#This Row],[I_0]])</f>
        <v>1</v>
      </c>
      <c r="V927" s="13" cm="1">
        <f t="array" ref="V927">IF(Table8[[#This Row],[I_0]]&lt;Table24[Flitro de Ruido],1,Table8[[#This Row],[I_20]]/Table8[[#This Row],[I_0]])</f>
        <v>1</v>
      </c>
      <c r="W927" s="13" cm="1">
        <f t="array" ref="W927">IF(Table8[[#This Row],[I_0]]&lt;Table24[Flitro de Ruido],1,Table8[[#This Row],[I_30]]/Table8[[#This Row],[I_0]])</f>
        <v>1</v>
      </c>
      <c r="X927" s="13" cm="1">
        <f t="array" ref="X927">IF(Table8[[#This Row],[I_0]]&lt;Table24[Flitro de Ruido],1,Table8[[#This Row],[I_40]]/Table8[[#This Row],[I_0]])</f>
        <v>1</v>
      </c>
      <c r="Y927" s="13" cm="1">
        <f t="array" ref="Y927">IF(Table8[[#This Row],[I_0]]&lt;Table24[Flitro de Ruido],1,Table8[[#This Row],[I_50]]/Table8[[#This Row],[I_0]])</f>
        <v>1</v>
      </c>
    </row>
    <row r="928" spans="1:25" x14ac:dyDescent="0.3">
      <c r="A928" s="13">
        <v>988.65</v>
      </c>
      <c r="B928" s="12">
        <v>0</v>
      </c>
      <c r="C928" s="11">
        <v>988.65</v>
      </c>
      <c r="D928" s="12">
        <v>0</v>
      </c>
      <c r="E928" s="11">
        <v>988.65</v>
      </c>
      <c r="F928" s="12">
        <v>0</v>
      </c>
      <c r="G928" s="11">
        <v>988.65</v>
      </c>
      <c r="H928" s="12">
        <v>0</v>
      </c>
      <c r="I928" s="11">
        <v>988.65</v>
      </c>
      <c r="J928" s="12">
        <v>0</v>
      </c>
      <c r="K928" s="11">
        <v>988.65</v>
      </c>
      <c r="L928" s="12">
        <v>0</v>
      </c>
      <c r="M928" s="11">
        <v>988.65</v>
      </c>
      <c r="N928" s="13">
        <v>0</v>
      </c>
      <c r="O928" s="11">
        <v>0</v>
      </c>
      <c r="P928" s="11">
        <v>0</v>
      </c>
      <c r="Q928" s="11">
        <v>0</v>
      </c>
      <c r="R928" s="11">
        <v>0</v>
      </c>
      <c r="S928" s="14">
        <v>0</v>
      </c>
      <c r="T928" s="11">
        <v>988.65</v>
      </c>
      <c r="U928" s="13" cm="1">
        <f t="array" ref="U928">IF(Table8[[#This Row],[I_0]]&lt;Table24[Flitro de Ruido],1,Table8[[#This Row],[I_10]]/Table8[[#This Row],[I_0]])</f>
        <v>1</v>
      </c>
      <c r="V928" s="13" cm="1">
        <f t="array" ref="V928">IF(Table8[[#This Row],[I_0]]&lt;Table24[Flitro de Ruido],1,Table8[[#This Row],[I_20]]/Table8[[#This Row],[I_0]])</f>
        <v>1</v>
      </c>
      <c r="W928" s="13" cm="1">
        <f t="array" ref="W928">IF(Table8[[#This Row],[I_0]]&lt;Table24[Flitro de Ruido],1,Table8[[#This Row],[I_30]]/Table8[[#This Row],[I_0]])</f>
        <v>1</v>
      </c>
      <c r="X928" s="13" cm="1">
        <f t="array" ref="X928">IF(Table8[[#This Row],[I_0]]&lt;Table24[Flitro de Ruido],1,Table8[[#This Row],[I_40]]/Table8[[#This Row],[I_0]])</f>
        <v>1</v>
      </c>
      <c r="Y928" s="13" cm="1">
        <f t="array" ref="Y928">IF(Table8[[#This Row],[I_0]]&lt;Table24[Flitro de Ruido],1,Table8[[#This Row],[I_50]]/Table8[[#This Row],[I_0]])</f>
        <v>1</v>
      </c>
    </row>
    <row r="929" spans="1:25" x14ac:dyDescent="0.3">
      <c r="A929" s="13">
        <v>989.65</v>
      </c>
      <c r="B929" s="12">
        <v>0</v>
      </c>
      <c r="C929" s="11">
        <v>989.65</v>
      </c>
      <c r="D929" s="12">
        <v>0</v>
      </c>
      <c r="E929" s="11">
        <v>989.65</v>
      </c>
      <c r="F929" s="12">
        <v>0</v>
      </c>
      <c r="G929" s="11">
        <v>989.65</v>
      </c>
      <c r="H929" s="12">
        <v>0</v>
      </c>
      <c r="I929" s="11">
        <v>989.65</v>
      </c>
      <c r="J929" s="12">
        <v>0</v>
      </c>
      <c r="K929" s="11">
        <v>989.65</v>
      </c>
      <c r="L929" s="12">
        <v>0</v>
      </c>
      <c r="M929" s="11">
        <v>989.65</v>
      </c>
      <c r="N929" s="13">
        <v>0</v>
      </c>
      <c r="O929" s="11">
        <v>0</v>
      </c>
      <c r="P929" s="11">
        <v>0</v>
      </c>
      <c r="Q929" s="11">
        <v>0</v>
      </c>
      <c r="R929" s="11">
        <v>0</v>
      </c>
      <c r="S929" s="14">
        <v>0</v>
      </c>
      <c r="T929" s="11">
        <v>989.65</v>
      </c>
      <c r="U929" s="13" cm="1">
        <f t="array" ref="U929">IF(Table8[[#This Row],[I_0]]&lt;Table24[Flitro de Ruido],1,Table8[[#This Row],[I_10]]/Table8[[#This Row],[I_0]])</f>
        <v>1</v>
      </c>
      <c r="V929" s="13" cm="1">
        <f t="array" ref="V929">IF(Table8[[#This Row],[I_0]]&lt;Table24[Flitro de Ruido],1,Table8[[#This Row],[I_20]]/Table8[[#This Row],[I_0]])</f>
        <v>1</v>
      </c>
      <c r="W929" s="13" cm="1">
        <f t="array" ref="W929">IF(Table8[[#This Row],[I_0]]&lt;Table24[Flitro de Ruido],1,Table8[[#This Row],[I_30]]/Table8[[#This Row],[I_0]])</f>
        <v>1</v>
      </c>
      <c r="X929" s="13" cm="1">
        <f t="array" ref="X929">IF(Table8[[#This Row],[I_0]]&lt;Table24[Flitro de Ruido],1,Table8[[#This Row],[I_40]]/Table8[[#This Row],[I_0]])</f>
        <v>1</v>
      </c>
      <c r="Y929" s="13" cm="1">
        <f t="array" ref="Y929">IF(Table8[[#This Row],[I_0]]&lt;Table24[Flitro de Ruido],1,Table8[[#This Row],[I_50]]/Table8[[#This Row],[I_0]])</f>
        <v>1</v>
      </c>
    </row>
    <row r="930" spans="1:25" x14ac:dyDescent="0.3">
      <c r="A930" s="13">
        <v>990.64</v>
      </c>
      <c r="B930" s="12">
        <v>0</v>
      </c>
      <c r="C930" s="11">
        <v>990.64</v>
      </c>
      <c r="D930" s="12">
        <v>0</v>
      </c>
      <c r="E930" s="11">
        <v>990.64</v>
      </c>
      <c r="F930" s="12">
        <v>0</v>
      </c>
      <c r="G930" s="11">
        <v>990.64</v>
      </c>
      <c r="H930" s="12">
        <v>0</v>
      </c>
      <c r="I930" s="11">
        <v>990.64</v>
      </c>
      <c r="J930" s="12">
        <v>0</v>
      </c>
      <c r="K930" s="11">
        <v>990.64</v>
      </c>
      <c r="L930" s="12">
        <v>0</v>
      </c>
      <c r="M930" s="11">
        <v>990.64</v>
      </c>
      <c r="N930" s="13">
        <v>0</v>
      </c>
      <c r="O930" s="11">
        <v>0</v>
      </c>
      <c r="P930" s="11">
        <v>0</v>
      </c>
      <c r="Q930" s="11">
        <v>0</v>
      </c>
      <c r="R930" s="11">
        <v>0</v>
      </c>
      <c r="S930" s="14">
        <v>0</v>
      </c>
      <c r="T930" s="11">
        <v>990.64</v>
      </c>
      <c r="U930" s="13" cm="1">
        <f t="array" ref="U930">IF(Table8[[#This Row],[I_0]]&lt;Table24[Flitro de Ruido],1,Table8[[#This Row],[I_10]]/Table8[[#This Row],[I_0]])</f>
        <v>1</v>
      </c>
      <c r="V930" s="13" cm="1">
        <f t="array" ref="V930">IF(Table8[[#This Row],[I_0]]&lt;Table24[Flitro de Ruido],1,Table8[[#This Row],[I_20]]/Table8[[#This Row],[I_0]])</f>
        <v>1</v>
      </c>
      <c r="W930" s="13" cm="1">
        <f t="array" ref="W930">IF(Table8[[#This Row],[I_0]]&lt;Table24[Flitro de Ruido],1,Table8[[#This Row],[I_30]]/Table8[[#This Row],[I_0]])</f>
        <v>1</v>
      </c>
      <c r="X930" s="13" cm="1">
        <f t="array" ref="X930">IF(Table8[[#This Row],[I_0]]&lt;Table24[Flitro de Ruido],1,Table8[[#This Row],[I_40]]/Table8[[#This Row],[I_0]])</f>
        <v>1</v>
      </c>
      <c r="Y930" s="13" cm="1">
        <f t="array" ref="Y930">IF(Table8[[#This Row],[I_0]]&lt;Table24[Flitro de Ruido],1,Table8[[#This Row],[I_50]]/Table8[[#This Row],[I_0]])</f>
        <v>1</v>
      </c>
    </row>
    <row r="931" spans="1:25" x14ac:dyDescent="0.3">
      <c r="A931" s="13">
        <v>991.63</v>
      </c>
      <c r="B931" s="12">
        <v>0</v>
      </c>
      <c r="C931" s="11">
        <v>991.63</v>
      </c>
      <c r="D931" s="12">
        <v>0</v>
      </c>
      <c r="E931" s="11">
        <v>991.63</v>
      </c>
      <c r="F931" s="12">
        <v>0</v>
      </c>
      <c r="G931" s="11">
        <v>991.63</v>
      </c>
      <c r="H931" s="12">
        <v>0</v>
      </c>
      <c r="I931" s="11">
        <v>991.63</v>
      </c>
      <c r="J931" s="12">
        <v>0</v>
      </c>
      <c r="K931" s="11">
        <v>991.63</v>
      </c>
      <c r="L931" s="12">
        <v>0</v>
      </c>
      <c r="M931" s="11">
        <v>991.63</v>
      </c>
      <c r="N931" s="13">
        <v>0</v>
      </c>
      <c r="O931" s="11">
        <v>0</v>
      </c>
      <c r="P931" s="11">
        <v>0</v>
      </c>
      <c r="Q931" s="11">
        <v>0</v>
      </c>
      <c r="R931" s="11">
        <v>0</v>
      </c>
      <c r="S931" s="14">
        <v>0</v>
      </c>
      <c r="T931" s="11">
        <v>991.63</v>
      </c>
      <c r="U931" s="13" cm="1">
        <f t="array" ref="U931">IF(Table8[[#This Row],[I_0]]&lt;Table24[Flitro de Ruido],1,Table8[[#This Row],[I_10]]/Table8[[#This Row],[I_0]])</f>
        <v>1</v>
      </c>
      <c r="V931" s="13" cm="1">
        <f t="array" ref="V931">IF(Table8[[#This Row],[I_0]]&lt;Table24[Flitro de Ruido],1,Table8[[#This Row],[I_20]]/Table8[[#This Row],[I_0]])</f>
        <v>1</v>
      </c>
      <c r="W931" s="13" cm="1">
        <f t="array" ref="W931">IF(Table8[[#This Row],[I_0]]&lt;Table24[Flitro de Ruido],1,Table8[[#This Row],[I_30]]/Table8[[#This Row],[I_0]])</f>
        <v>1</v>
      </c>
      <c r="X931" s="13" cm="1">
        <f t="array" ref="X931">IF(Table8[[#This Row],[I_0]]&lt;Table24[Flitro de Ruido],1,Table8[[#This Row],[I_40]]/Table8[[#This Row],[I_0]])</f>
        <v>1</v>
      </c>
      <c r="Y931" s="13" cm="1">
        <f t="array" ref="Y931">IF(Table8[[#This Row],[I_0]]&lt;Table24[Flitro de Ruido],1,Table8[[#This Row],[I_50]]/Table8[[#This Row],[I_0]])</f>
        <v>1</v>
      </c>
    </row>
    <row r="932" spans="1:25" x14ac:dyDescent="0.3">
      <c r="A932" s="13">
        <v>992.62</v>
      </c>
      <c r="B932" s="12">
        <v>0</v>
      </c>
      <c r="C932" s="11">
        <v>992.62</v>
      </c>
      <c r="D932" s="12">
        <v>0</v>
      </c>
      <c r="E932" s="11">
        <v>992.62</v>
      </c>
      <c r="F932" s="12">
        <v>0</v>
      </c>
      <c r="G932" s="11">
        <v>992.62</v>
      </c>
      <c r="H932" s="12">
        <v>0</v>
      </c>
      <c r="I932" s="11">
        <v>992.62</v>
      </c>
      <c r="J932" s="12">
        <v>0</v>
      </c>
      <c r="K932" s="11">
        <v>992.62</v>
      </c>
      <c r="L932" s="12">
        <v>0</v>
      </c>
      <c r="M932" s="11">
        <v>992.62</v>
      </c>
      <c r="N932" s="13">
        <v>0</v>
      </c>
      <c r="O932" s="11">
        <v>0</v>
      </c>
      <c r="P932" s="11">
        <v>0</v>
      </c>
      <c r="Q932" s="11">
        <v>0</v>
      </c>
      <c r="R932" s="11">
        <v>0</v>
      </c>
      <c r="S932" s="14">
        <v>0</v>
      </c>
      <c r="T932" s="11">
        <v>992.62</v>
      </c>
      <c r="U932" s="13" cm="1">
        <f t="array" ref="U932">IF(Table8[[#This Row],[I_0]]&lt;Table24[Flitro de Ruido],1,Table8[[#This Row],[I_10]]/Table8[[#This Row],[I_0]])</f>
        <v>1</v>
      </c>
      <c r="V932" s="13" cm="1">
        <f t="array" ref="V932">IF(Table8[[#This Row],[I_0]]&lt;Table24[Flitro de Ruido],1,Table8[[#This Row],[I_20]]/Table8[[#This Row],[I_0]])</f>
        <v>1</v>
      </c>
      <c r="W932" s="13" cm="1">
        <f t="array" ref="W932">IF(Table8[[#This Row],[I_0]]&lt;Table24[Flitro de Ruido],1,Table8[[#This Row],[I_30]]/Table8[[#This Row],[I_0]])</f>
        <v>1</v>
      </c>
      <c r="X932" s="13" cm="1">
        <f t="array" ref="X932">IF(Table8[[#This Row],[I_0]]&lt;Table24[Flitro de Ruido],1,Table8[[#This Row],[I_40]]/Table8[[#This Row],[I_0]])</f>
        <v>1</v>
      </c>
      <c r="Y932" s="13" cm="1">
        <f t="array" ref="Y932">IF(Table8[[#This Row],[I_0]]&lt;Table24[Flitro de Ruido],1,Table8[[#This Row],[I_50]]/Table8[[#This Row],[I_0]])</f>
        <v>1</v>
      </c>
    </row>
    <row r="933" spans="1:25" x14ac:dyDescent="0.3">
      <c r="A933" s="13">
        <v>993.61</v>
      </c>
      <c r="B933" s="12">
        <v>0</v>
      </c>
      <c r="C933" s="11">
        <v>993.61</v>
      </c>
      <c r="D933" s="12">
        <v>0</v>
      </c>
      <c r="E933" s="11">
        <v>993.61</v>
      </c>
      <c r="F933" s="12">
        <v>0</v>
      </c>
      <c r="G933" s="11">
        <v>993.61</v>
      </c>
      <c r="H933" s="12">
        <v>0</v>
      </c>
      <c r="I933" s="11">
        <v>993.61</v>
      </c>
      <c r="J933" s="12">
        <v>0</v>
      </c>
      <c r="K933" s="11">
        <v>993.61</v>
      </c>
      <c r="L933" s="12">
        <v>0</v>
      </c>
      <c r="M933" s="11">
        <v>993.61</v>
      </c>
      <c r="N933" s="13">
        <v>0</v>
      </c>
      <c r="O933" s="11">
        <v>0</v>
      </c>
      <c r="P933" s="11">
        <v>0</v>
      </c>
      <c r="Q933" s="11">
        <v>0</v>
      </c>
      <c r="R933" s="11">
        <v>0</v>
      </c>
      <c r="S933" s="14">
        <v>0</v>
      </c>
      <c r="T933" s="11">
        <v>993.61</v>
      </c>
      <c r="U933" s="13" cm="1">
        <f t="array" ref="U933">IF(Table8[[#This Row],[I_0]]&lt;Table24[Flitro de Ruido],1,Table8[[#This Row],[I_10]]/Table8[[#This Row],[I_0]])</f>
        <v>1</v>
      </c>
      <c r="V933" s="13" cm="1">
        <f t="array" ref="V933">IF(Table8[[#This Row],[I_0]]&lt;Table24[Flitro de Ruido],1,Table8[[#This Row],[I_20]]/Table8[[#This Row],[I_0]])</f>
        <v>1</v>
      </c>
      <c r="W933" s="13" cm="1">
        <f t="array" ref="W933">IF(Table8[[#This Row],[I_0]]&lt;Table24[Flitro de Ruido],1,Table8[[#This Row],[I_30]]/Table8[[#This Row],[I_0]])</f>
        <v>1</v>
      </c>
      <c r="X933" s="13" cm="1">
        <f t="array" ref="X933">IF(Table8[[#This Row],[I_0]]&lt;Table24[Flitro de Ruido],1,Table8[[#This Row],[I_40]]/Table8[[#This Row],[I_0]])</f>
        <v>1</v>
      </c>
      <c r="Y933" s="13" cm="1">
        <f t="array" ref="Y933">IF(Table8[[#This Row],[I_0]]&lt;Table24[Flitro de Ruido],1,Table8[[#This Row],[I_50]]/Table8[[#This Row],[I_0]])</f>
        <v>1</v>
      </c>
    </row>
    <row r="934" spans="1:25" x14ac:dyDescent="0.3">
      <c r="A934" s="13">
        <v>994.61</v>
      </c>
      <c r="B934" s="12">
        <v>0</v>
      </c>
      <c r="C934" s="11">
        <v>994.61</v>
      </c>
      <c r="D934" s="12">
        <v>0</v>
      </c>
      <c r="E934" s="11">
        <v>994.61</v>
      </c>
      <c r="F934" s="12">
        <v>0</v>
      </c>
      <c r="G934" s="11">
        <v>994.61</v>
      </c>
      <c r="H934" s="12">
        <v>0</v>
      </c>
      <c r="I934" s="11">
        <v>994.61</v>
      </c>
      <c r="J934" s="12">
        <v>0</v>
      </c>
      <c r="K934" s="11">
        <v>994.61</v>
      </c>
      <c r="L934" s="12">
        <v>0</v>
      </c>
      <c r="M934" s="11">
        <v>994.61</v>
      </c>
      <c r="N934" s="13">
        <v>0</v>
      </c>
      <c r="O934" s="11">
        <v>0</v>
      </c>
      <c r="P934" s="11">
        <v>0</v>
      </c>
      <c r="Q934" s="11">
        <v>0</v>
      </c>
      <c r="R934" s="11">
        <v>0</v>
      </c>
      <c r="S934" s="14">
        <v>0</v>
      </c>
      <c r="T934" s="11">
        <v>994.61</v>
      </c>
      <c r="U934" s="13" cm="1">
        <f t="array" ref="U934">IF(Table8[[#This Row],[I_0]]&lt;Table24[Flitro de Ruido],1,Table8[[#This Row],[I_10]]/Table8[[#This Row],[I_0]])</f>
        <v>1</v>
      </c>
      <c r="V934" s="13" cm="1">
        <f t="array" ref="V934">IF(Table8[[#This Row],[I_0]]&lt;Table24[Flitro de Ruido],1,Table8[[#This Row],[I_20]]/Table8[[#This Row],[I_0]])</f>
        <v>1</v>
      </c>
      <c r="W934" s="13" cm="1">
        <f t="array" ref="W934">IF(Table8[[#This Row],[I_0]]&lt;Table24[Flitro de Ruido],1,Table8[[#This Row],[I_30]]/Table8[[#This Row],[I_0]])</f>
        <v>1</v>
      </c>
      <c r="X934" s="13" cm="1">
        <f t="array" ref="X934">IF(Table8[[#This Row],[I_0]]&lt;Table24[Flitro de Ruido],1,Table8[[#This Row],[I_40]]/Table8[[#This Row],[I_0]])</f>
        <v>1</v>
      </c>
      <c r="Y934" s="13" cm="1">
        <f t="array" ref="Y934">IF(Table8[[#This Row],[I_0]]&lt;Table24[Flitro de Ruido],1,Table8[[#This Row],[I_50]]/Table8[[#This Row],[I_0]])</f>
        <v>1</v>
      </c>
    </row>
    <row r="935" spans="1:25" x14ac:dyDescent="0.3">
      <c r="A935" s="13">
        <v>995.6</v>
      </c>
      <c r="B935" s="12">
        <v>0</v>
      </c>
      <c r="C935" s="11">
        <v>995.6</v>
      </c>
      <c r="D935" s="12">
        <v>0</v>
      </c>
      <c r="E935" s="11">
        <v>995.6</v>
      </c>
      <c r="F935" s="12">
        <v>0</v>
      </c>
      <c r="G935" s="11">
        <v>995.6</v>
      </c>
      <c r="H935" s="12">
        <v>0</v>
      </c>
      <c r="I935" s="11">
        <v>995.6</v>
      </c>
      <c r="J935" s="12">
        <v>0</v>
      </c>
      <c r="K935" s="11">
        <v>995.6</v>
      </c>
      <c r="L935" s="12">
        <v>0</v>
      </c>
      <c r="M935" s="11">
        <v>995.6</v>
      </c>
      <c r="N935" s="13">
        <v>0</v>
      </c>
      <c r="O935" s="11">
        <v>0</v>
      </c>
      <c r="P935" s="11">
        <v>0</v>
      </c>
      <c r="Q935" s="11">
        <v>0</v>
      </c>
      <c r="R935" s="11">
        <v>0</v>
      </c>
      <c r="S935" s="14">
        <v>0</v>
      </c>
      <c r="T935" s="11">
        <v>995.6</v>
      </c>
      <c r="U935" s="13" cm="1">
        <f t="array" ref="U935">IF(Table8[[#This Row],[I_0]]&lt;Table24[Flitro de Ruido],1,Table8[[#This Row],[I_10]]/Table8[[#This Row],[I_0]])</f>
        <v>1</v>
      </c>
      <c r="V935" s="13" cm="1">
        <f t="array" ref="V935">IF(Table8[[#This Row],[I_0]]&lt;Table24[Flitro de Ruido],1,Table8[[#This Row],[I_20]]/Table8[[#This Row],[I_0]])</f>
        <v>1</v>
      </c>
      <c r="W935" s="13" cm="1">
        <f t="array" ref="W935">IF(Table8[[#This Row],[I_0]]&lt;Table24[Flitro de Ruido],1,Table8[[#This Row],[I_30]]/Table8[[#This Row],[I_0]])</f>
        <v>1</v>
      </c>
      <c r="X935" s="13" cm="1">
        <f t="array" ref="X935">IF(Table8[[#This Row],[I_0]]&lt;Table24[Flitro de Ruido],1,Table8[[#This Row],[I_40]]/Table8[[#This Row],[I_0]])</f>
        <v>1</v>
      </c>
      <c r="Y935" s="13" cm="1">
        <f t="array" ref="Y935">IF(Table8[[#This Row],[I_0]]&lt;Table24[Flitro de Ruido],1,Table8[[#This Row],[I_50]]/Table8[[#This Row],[I_0]])</f>
        <v>1</v>
      </c>
    </row>
    <row r="936" spans="1:25" x14ac:dyDescent="0.3">
      <c r="A936" s="13">
        <v>996.59</v>
      </c>
      <c r="B936" s="12">
        <v>0</v>
      </c>
      <c r="C936" s="11">
        <v>996.59</v>
      </c>
      <c r="D936" s="12">
        <v>0</v>
      </c>
      <c r="E936" s="11">
        <v>996.59</v>
      </c>
      <c r="F936" s="12">
        <v>0</v>
      </c>
      <c r="G936" s="11">
        <v>996.59</v>
      </c>
      <c r="H936" s="12">
        <v>0</v>
      </c>
      <c r="I936" s="11">
        <v>996.59</v>
      </c>
      <c r="J936" s="12">
        <v>0</v>
      </c>
      <c r="K936" s="11">
        <v>996.59</v>
      </c>
      <c r="L936" s="12">
        <v>0</v>
      </c>
      <c r="M936" s="11">
        <v>996.59</v>
      </c>
      <c r="N936" s="13">
        <v>0</v>
      </c>
      <c r="O936" s="11">
        <v>0</v>
      </c>
      <c r="P936" s="11">
        <v>0</v>
      </c>
      <c r="Q936" s="11">
        <v>0</v>
      </c>
      <c r="R936" s="11">
        <v>0</v>
      </c>
      <c r="S936" s="14">
        <v>0</v>
      </c>
      <c r="T936" s="11">
        <v>996.59</v>
      </c>
      <c r="U936" s="13" cm="1">
        <f t="array" ref="U936">IF(Table8[[#This Row],[I_0]]&lt;Table24[Flitro de Ruido],1,Table8[[#This Row],[I_10]]/Table8[[#This Row],[I_0]])</f>
        <v>1</v>
      </c>
      <c r="V936" s="13" cm="1">
        <f t="array" ref="V936">IF(Table8[[#This Row],[I_0]]&lt;Table24[Flitro de Ruido],1,Table8[[#This Row],[I_20]]/Table8[[#This Row],[I_0]])</f>
        <v>1</v>
      </c>
      <c r="W936" s="13" cm="1">
        <f t="array" ref="W936">IF(Table8[[#This Row],[I_0]]&lt;Table24[Flitro de Ruido],1,Table8[[#This Row],[I_30]]/Table8[[#This Row],[I_0]])</f>
        <v>1</v>
      </c>
      <c r="X936" s="13" cm="1">
        <f t="array" ref="X936">IF(Table8[[#This Row],[I_0]]&lt;Table24[Flitro de Ruido],1,Table8[[#This Row],[I_40]]/Table8[[#This Row],[I_0]])</f>
        <v>1</v>
      </c>
      <c r="Y936" s="13" cm="1">
        <f t="array" ref="Y936">IF(Table8[[#This Row],[I_0]]&lt;Table24[Flitro de Ruido],1,Table8[[#This Row],[I_50]]/Table8[[#This Row],[I_0]])</f>
        <v>1</v>
      </c>
    </row>
    <row r="937" spans="1:25" x14ac:dyDescent="0.3">
      <c r="A937" s="13">
        <v>997.58</v>
      </c>
      <c r="B937" s="12">
        <v>0</v>
      </c>
      <c r="C937" s="11">
        <v>997.58</v>
      </c>
      <c r="D937" s="12">
        <v>0</v>
      </c>
      <c r="E937" s="11">
        <v>997.58</v>
      </c>
      <c r="F937" s="12">
        <v>0</v>
      </c>
      <c r="G937" s="11">
        <v>997.58</v>
      </c>
      <c r="H937" s="12">
        <v>0</v>
      </c>
      <c r="I937" s="11">
        <v>997.58</v>
      </c>
      <c r="J937" s="12">
        <v>0</v>
      </c>
      <c r="K937" s="11">
        <v>997.58</v>
      </c>
      <c r="L937" s="12">
        <v>0</v>
      </c>
      <c r="M937" s="11">
        <v>997.58</v>
      </c>
      <c r="N937" s="13">
        <v>0</v>
      </c>
      <c r="O937" s="11">
        <v>0</v>
      </c>
      <c r="P937" s="11">
        <v>0</v>
      </c>
      <c r="Q937" s="11">
        <v>0</v>
      </c>
      <c r="R937" s="11">
        <v>0</v>
      </c>
      <c r="S937" s="14">
        <v>0</v>
      </c>
      <c r="T937" s="11">
        <v>997.58</v>
      </c>
      <c r="U937" s="13" cm="1">
        <f t="array" ref="U937">IF(Table8[[#This Row],[I_0]]&lt;Table24[Flitro de Ruido],1,Table8[[#This Row],[I_10]]/Table8[[#This Row],[I_0]])</f>
        <v>1</v>
      </c>
      <c r="V937" s="13" cm="1">
        <f t="array" ref="V937">IF(Table8[[#This Row],[I_0]]&lt;Table24[Flitro de Ruido],1,Table8[[#This Row],[I_20]]/Table8[[#This Row],[I_0]])</f>
        <v>1</v>
      </c>
      <c r="W937" s="13" cm="1">
        <f t="array" ref="W937">IF(Table8[[#This Row],[I_0]]&lt;Table24[Flitro de Ruido],1,Table8[[#This Row],[I_30]]/Table8[[#This Row],[I_0]])</f>
        <v>1</v>
      </c>
      <c r="X937" s="13" cm="1">
        <f t="array" ref="X937">IF(Table8[[#This Row],[I_0]]&lt;Table24[Flitro de Ruido],1,Table8[[#This Row],[I_40]]/Table8[[#This Row],[I_0]])</f>
        <v>1</v>
      </c>
      <c r="Y937" s="13" cm="1">
        <f t="array" ref="Y937">IF(Table8[[#This Row],[I_0]]&lt;Table24[Flitro de Ruido],1,Table8[[#This Row],[I_50]]/Table8[[#This Row],[I_0]])</f>
        <v>1</v>
      </c>
    </row>
    <row r="938" spans="1:25" x14ac:dyDescent="0.3">
      <c r="A938" s="13">
        <v>998.57</v>
      </c>
      <c r="B938" s="12">
        <v>0</v>
      </c>
      <c r="C938" s="11">
        <v>998.57</v>
      </c>
      <c r="D938" s="12">
        <v>0</v>
      </c>
      <c r="E938" s="11">
        <v>998.57</v>
      </c>
      <c r="F938" s="12">
        <v>0</v>
      </c>
      <c r="G938" s="11">
        <v>998.57</v>
      </c>
      <c r="H938" s="12">
        <v>0</v>
      </c>
      <c r="I938" s="11">
        <v>998.57</v>
      </c>
      <c r="J938" s="12">
        <v>0</v>
      </c>
      <c r="K938" s="11">
        <v>998.57</v>
      </c>
      <c r="L938" s="12">
        <v>0</v>
      </c>
      <c r="M938" s="11">
        <v>998.57</v>
      </c>
      <c r="N938" s="13">
        <v>0</v>
      </c>
      <c r="O938" s="11">
        <v>0</v>
      </c>
      <c r="P938" s="11">
        <v>0</v>
      </c>
      <c r="Q938" s="11">
        <v>0</v>
      </c>
      <c r="R938" s="11">
        <v>0</v>
      </c>
      <c r="S938" s="14">
        <v>0</v>
      </c>
      <c r="T938" s="11">
        <v>998.57</v>
      </c>
      <c r="U938" s="13" cm="1">
        <f t="array" ref="U938">IF(Table8[[#This Row],[I_0]]&lt;Table24[Flitro de Ruido],1,Table8[[#This Row],[I_10]]/Table8[[#This Row],[I_0]])</f>
        <v>1</v>
      </c>
      <c r="V938" s="13" cm="1">
        <f t="array" ref="V938">IF(Table8[[#This Row],[I_0]]&lt;Table24[Flitro de Ruido],1,Table8[[#This Row],[I_20]]/Table8[[#This Row],[I_0]])</f>
        <v>1</v>
      </c>
      <c r="W938" s="13" cm="1">
        <f t="array" ref="W938">IF(Table8[[#This Row],[I_0]]&lt;Table24[Flitro de Ruido],1,Table8[[#This Row],[I_30]]/Table8[[#This Row],[I_0]])</f>
        <v>1</v>
      </c>
      <c r="X938" s="13" cm="1">
        <f t="array" ref="X938">IF(Table8[[#This Row],[I_0]]&lt;Table24[Flitro de Ruido],1,Table8[[#This Row],[I_40]]/Table8[[#This Row],[I_0]])</f>
        <v>1</v>
      </c>
      <c r="Y938" s="13" cm="1">
        <f t="array" ref="Y938">IF(Table8[[#This Row],[I_0]]&lt;Table24[Flitro de Ruido],1,Table8[[#This Row],[I_50]]/Table8[[#This Row],[I_0]])</f>
        <v>1</v>
      </c>
    </row>
    <row r="939" spans="1:25" x14ac:dyDescent="0.3">
      <c r="A939" s="13">
        <v>999.56</v>
      </c>
      <c r="B939" s="12">
        <v>0</v>
      </c>
      <c r="C939" s="11">
        <v>999.56</v>
      </c>
      <c r="D939" s="12">
        <v>0</v>
      </c>
      <c r="E939" s="11">
        <v>999.56</v>
      </c>
      <c r="F939" s="12">
        <v>0</v>
      </c>
      <c r="G939" s="11">
        <v>999.56</v>
      </c>
      <c r="H939" s="12">
        <v>0</v>
      </c>
      <c r="I939" s="11">
        <v>999.56</v>
      </c>
      <c r="J939" s="12">
        <v>0</v>
      </c>
      <c r="K939" s="11">
        <v>999.56</v>
      </c>
      <c r="L939" s="12">
        <v>0</v>
      </c>
      <c r="M939" s="11">
        <v>999.56</v>
      </c>
      <c r="N939" s="13">
        <v>0</v>
      </c>
      <c r="O939" s="11">
        <v>0</v>
      </c>
      <c r="P939" s="11">
        <v>0</v>
      </c>
      <c r="Q939" s="11">
        <v>0</v>
      </c>
      <c r="R939" s="11">
        <v>0</v>
      </c>
      <c r="S939" s="14">
        <v>0</v>
      </c>
      <c r="T939" s="11">
        <v>999.56</v>
      </c>
      <c r="U939" s="13" cm="1">
        <f t="array" ref="U939">IF(Table8[[#This Row],[I_0]]&lt;Table24[Flitro de Ruido],1,Table8[[#This Row],[I_10]]/Table8[[#This Row],[I_0]])</f>
        <v>1</v>
      </c>
      <c r="V939" s="13" cm="1">
        <f t="array" ref="V939">IF(Table8[[#This Row],[I_0]]&lt;Table24[Flitro de Ruido],1,Table8[[#This Row],[I_20]]/Table8[[#This Row],[I_0]])</f>
        <v>1</v>
      </c>
      <c r="W939" s="13" cm="1">
        <f t="array" ref="W939">IF(Table8[[#This Row],[I_0]]&lt;Table24[Flitro de Ruido],1,Table8[[#This Row],[I_30]]/Table8[[#This Row],[I_0]])</f>
        <v>1</v>
      </c>
      <c r="X939" s="13" cm="1">
        <f t="array" ref="X939">IF(Table8[[#This Row],[I_0]]&lt;Table24[Flitro de Ruido],1,Table8[[#This Row],[I_40]]/Table8[[#This Row],[I_0]])</f>
        <v>1</v>
      </c>
      <c r="Y939" s="13" cm="1">
        <f t="array" ref="Y939">IF(Table8[[#This Row],[I_0]]&lt;Table24[Flitro de Ruido],1,Table8[[#This Row],[I_50]]/Table8[[#This Row],[I_0]])</f>
        <v>1</v>
      </c>
    </row>
    <row r="940" spans="1:25" x14ac:dyDescent="0.3">
      <c r="A940" s="13">
        <v>1000.56</v>
      </c>
      <c r="B940" s="12">
        <v>0</v>
      </c>
      <c r="C940" s="11">
        <v>1000.56</v>
      </c>
      <c r="D940" s="12">
        <v>0</v>
      </c>
      <c r="E940" s="11">
        <v>1000.56</v>
      </c>
      <c r="F940" s="12">
        <v>0</v>
      </c>
      <c r="G940" s="11">
        <v>1000.56</v>
      </c>
      <c r="H940" s="12">
        <v>0</v>
      </c>
      <c r="I940" s="11">
        <v>1000.56</v>
      </c>
      <c r="J940" s="12">
        <v>0</v>
      </c>
      <c r="K940" s="11">
        <v>1000.56</v>
      </c>
      <c r="L940" s="12">
        <v>0</v>
      </c>
      <c r="M940" s="11">
        <v>1000.56</v>
      </c>
      <c r="N940" s="13">
        <v>0</v>
      </c>
      <c r="O940" s="11">
        <v>0</v>
      </c>
      <c r="P940" s="11">
        <v>0</v>
      </c>
      <c r="Q940" s="11">
        <v>0</v>
      </c>
      <c r="R940" s="11">
        <v>0</v>
      </c>
      <c r="S940" s="14">
        <v>0</v>
      </c>
      <c r="T940" s="11">
        <v>1000.56</v>
      </c>
      <c r="U940" s="13" cm="1">
        <f t="array" ref="U940">IF(Table8[[#This Row],[I_0]]&lt;Table24[Flitro de Ruido],1,Table8[[#This Row],[I_10]]/Table8[[#This Row],[I_0]])</f>
        <v>1</v>
      </c>
      <c r="V940" s="13" cm="1">
        <f t="array" ref="V940">IF(Table8[[#This Row],[I_0]]&lt;Table24[Flitro de Ruido],1,Table8[[#This Row],[I_20]]/Table8[[#This Row],[I_0]])</f>
        <v>1</v>
      </c>
      <c r="W940" s="13" cm="1">
        <f t="array" ref="W940">IF(Table8[[#This Row],[I_0]]&lt;Table24[Flitro de Ruido],1,Table8[[#This Row],[I_30]]/Table8[[#This Row],[I_0]])</f>
        <v>1</v>
      </c>
      <c r="X940" s="13" cm="1">
        <f t="array" ref="X940">IF(Table8[[#This Row],[I_0]]&lt;Table24[Flitro de Ruido],1,Table8[[#This Row],[I_40]]/Table8[[#This Row],[I_0]])</f>
        <v>1</v>
      </c>
      <c r="Y940" s="13" cm="1">
        <f t="array" ref="Y940">IF(Table8[[#This Row],[I_0]]&lt;Table24[Flitro de Ruido],1,Table8[[#This Row],[I_50]]/Table8[[#This Row],[I_0]])</f>
        <v>1</v>
      </c>
    </row>
    <row r="941" spans="1:25" x14ac:dyDescent="0.3">
      <c r="A941" s="13">
        <v>1001.55</v>
      </c>
      <c r="B941" s="12">
        <v>0</v>
      </c>
      <c r="C941" s="11">
        <v>1001.55</v>
      </c>
      <c r="D941" s="12">
        <v>0</v>
      </c>
      <c r="E941" s="11">
        <v>1001.55</v>
      </c>
      <c r="F941" s="12">
        <v>0</v>
      </c>
      <c r="G941" s="11">
        <v>1001.55</v>
      </c>
      <c r="H941" s="12">
        <v>0</v>
      </c>
      <c r="I941" s="11">
        <v>1001.55</v>
      </c>
      <c r="J941" s="12">
        <v>0</v>
      </c>
      <c r="K941" s="11">
        <v>1001.55</v>
      </c>
      <c r="L941" s="12">
        <v>0</v>
      </c>
      <c r="M941" s="11">
        <v>1001.55</v>
      </c>
      <c r="N941" s="13">
        <v>0</v>
      </c>
      <c r="O941" s="11">
        <v>0</v>
      </c>
      <c r="P941" s="11">
        <v>0</v>
      </c>
      <c r="Q941" s="11">
        <v>0</v>
      </c>
      <c r="R941" s="11">
        <v>0</v>
      </c>
      <c r="S941" s="14">
        <v>0</v>
      </c>
      <c r="T941" s="11">
        <v>1001.55</v>
      </c>
      <c r="U941" s="13" cm="1">
        <f t="array" ref="U941">IF(Table8[[#This Row],[I_0]]&lt;Table24[Flitro de Ruido],1,Table8[[#This Row],[I_10]]/Table8[[#This Row],[I_0]])</f>
        <v>1</v>
      </c>
      <c r="V941" s="13" cm="1">
        <f t="array" ref="V941">IF(Table8[[#This Row],[I_0]]&lt;Table24[Flitro de Ruido],1,Table8[[#This Row],[I_20]]/Table8[[#This Row],[I_0]])</f>
        <v>1</v>
      </c>
      <c r="W941" s="13" cm="1">
        <f t="array" ref="W941">IF(Table8[[#This Row],[I_0]]&lt;Table24[Flitro de Ruido],1,Table8[[#This Row],[I_30]]/Table8[[#This Row],[I_0]])</f>
        <v>1</v>
      </c>
      <c r="X941" s="13" cm="1">
        <f t="array" ref="X941">IF(Table8[[#This Row],[I_0]]&lt;Table24[Flitro de Ruido],1,Table8[[#This Row],[I_40]]/Table8[[#This Row],[I_0]])</f>
        <v>1</v>
      </c>
      <c r="Y941" s="13" cm="1">
        <f t="array" ref="Y941">IF(Table8[[#This Row],[I_0]]&lt;Table24[Flitro de Ruido],1,Table8[[#This Row],[I_50]]/Table8[[#This Row],[I_0]])</f>
        <v>1</v>
      </c>
    </row>
    <row r="942" spans="1:25" x14ac:dyDescent="0.3">
      <c r="A942" s="13">
        <v>1002.54</v>
      </c>
      <c r="B942" s="12">
        <v>0</v>
      </c>
      <c r="C942" s="11">
        <v>1002.54</v>
      </c>
      <c r="D942" s="12">
        <v>0</v>
      </c>
      <c r="E942" s="11">
        <v>1002.54</v>
      </c>
      <c r="F942" s="12">
        <v>0</v>
      </c>
      <c r="G942" s="11">
        <v>1002.54</v>
      </c>
      <c r="H942" s="12">
        <v>0</v>
      </c>
      <c r="I942" s="11">
        <v>1002.54</v>
      </c>
      <c r="J942" s="12">
        <v>0</v>
      </c>
      <c r="K942" s="11">
        <v>1002.54</v>
      </c>
      <c r="L942" s="12">
        <v>0</v>
      </c>
      <c r="M942" s="11">
        <v>1002.54</v>
      </c>
      <c r="N942" s="13">
        <v>0</v>
      </c>
      <c r="O942" s="11">
        <v>0</v>
      </c>
      <c r="P942" s="11">
        <v>0</v>
      </c>
      <c r="Q942" s="11">
        <v>0</v>
      </c>
      <c r="R942" s="11">
        <v>0</v>
      </c>
      <c r="S942" s="14">
        <v>0</v>
      </c>
      <c r="T942" s="11">
        <v>1002.54</v>
      </c>
      <c r="U942" s="13" cm="1">
        <f t="array" ref="U942">IF(Table8[[#This Row],[I_0]]&lt;Table24[Flitro de Ruido],1,Table8[[#This Row],[I_10]]/Table8[[#This Row],[I_0]])</f>
        <v>1</v>
      </c>
      <c r="V942" s="13" cm="1">
        <f t="array" ref="V942">IF(Table8[[#This Row],[I_0]]&lt;Table24[Flitro de Ruido],1,Table8[[#This Row],[I_20]]/Table8[[#This Row],[I_0]])</f>
        <v>1</v>
      </c>
      <c r="W942" s="13" cm="1">
        <f t="array" ref="W942">IF(Table8[[#This Row],[I_0]]&lt;Table24[Flitro de Ruido],1,Table8[[#This Row],[I_30]]/Table8[[#This Row],[I_0]])</f>
        <v>1</v>
      </c>
      <c r="X942" s="13" cm="1">
        <f t="array" ref="X942">IF(Table8[[#This Row],[I_0]]&lt;Table24[Flitro de Ruido],1,Table8[[#This Row],[I_40]]/Table8[[#This Row],[I_0]])</f>
        <v>1</v>
      </c>
      <c r="Y942" s="13" cm="1">
        <f t="array" ref="Y942">IF(Table8[[#This Row],[I_0]]&lt;Table24[Flitro de Ruido],1,Table8[[#This Row],[I_50]]/Table8[[#This Row],[I_0]])</f>
        <v>1</v>
      </c>
    </row>
    <row r="943" spans="1:25" x14ac:dyDescent="0.3">
      <c r="A943" s="13">
        <v>1003.53</v>
      </c>
      <c r="B943" s="12">
        <v>0</v>
      </c>
      <c r="C943" s="11">
        <v>1003.53</v>
      </c>
      <c r="D943" s="12">
        <v>0</v>
      </c>
      <c r="E943" s="11">
        <v>1003.53</v>
      </c>
      <c r="F943" s="12">
        <v>0</v>
      </c>
      <c r="G943" s="11">
        <v>1003.53</v>
      </c>
      <c r="H943" s="12">
        <v>0</v>
      </c>
      <c r="I943" s="11">
        <v>1003.53</v>
      </c>
      <c r="J943" s="12">
        <v>0</v>
      </c>
      <c r="K943" s="11">
        <v>1003.53</v>
      </c>
      <c r="L943" s="12">
        <v>0</v>
      </c>
      <c r="M943" s="11">
        <v>1003.53</v>
      </c>
      <c r="N943" s="13">
        <v>0</v>
      </c>
      <c r="O943" s="11">
        <v>0</v>
      </c>
      <c r="P943" s="11">
        <v>0</v>
      </c>
      <c r="Q943" s="11">
        <v>0</v>
      </c>
      <c r="R943" s="11">
        <v>0</v>
      </c>
      <c r="S943" s="14">
        <v>0</v>
      </c>
      <c r="T943" s="11">
        <v>1003.53</v>
      </c>
      <c r="U943" s="13" cm="1">
        <f t="array" ref="U943">IF(Table8[[#This Row],[I_0]]&lt;Table24[Flitro de Ruido],1,Table8[[#This Row],[I_10]]/Table8[[#This Row],[I_0]])</f>
        <v>1</v>
      </c>
      <c r="V943" s="13" cm="1">
        <f t="array" ref="V943">IF(Table8[[#This Row],[I_0]]&lt;Table24[Flitro de Ruido],1,Table8[[#This Row],[I_20]]/Table8[[#This Row],[I_0]])</f>
        <v>1</v>
      </c>
      <c r="W943" s="13" cm="1">
        <f t="array" ref="W943">IF(Table8[[#This Row],[I_0]]&lt;Table24[Flitro de Ruido],1,Table8[[#This Row],[I_30]]/Table8[[#This Row],[I_0]])</f>
        <v>1</v>
      </c>
      <c r="X943" s="13" cm="1">
        <f t="array" ref="X943">IF(Table8[[#This Row],[I_0]]&lt;Table24[Flitro de Ruido],1,Table8[[#This Row],[I_40]]/Table8[[#This Row],[I_0]])</f>
        <v>1</v>
      </c>
      <c r="Y943" s="13" cm="1">
        <f t="array" ref="Y943">IF(Table8[[#This Row],[I_0]]&lt;Table24[Flitro de Ruido],1,Table8[[#This Row],[I_50]]/Table8[[#This Row],[I_0]])</f>
        <v>1</v>
      </c>
    </row>
    <row r="944" spans="1:25" x14ac:dyDescent="0.3">
      <c r="A944" s="13">
        <v>1004.52</v>
      </c>
      <c r="B944" s="12">
        <v>0</v>
      </c>
      <c r="C944" s="11">
        <v>1004.52</v>
      </c>
      <c r="D944" s="12">
        <v>0</v>
      </c>
      <c r="E944" s="11">
        <v>1004.52</v>
      </c>
      <c r="F944" s="12">
        <v>0</v>
      </c>
      <c r="G944" s="11">
        <v>1004.52</v>
      </c>
      <c r="H944" s="12">
        <v>0</v>
      </c>
      <c r="I944" s="11">
        <v>1004.52</v>
      </c>
      <c r="J944" s="12">
        <v>0</v>
      </c>
      <c r="K944" s="11">
        <v>1004.52</v>
      </c>
      <c r="L944" s="12">
        <v>0</v>
      </c>
      <c r="M944" s="11">
        <v>1004.52</v>
      </c>
      <c r="N944" s="13">
        <v>0</v>
      </c>
      <c r="O944" s="11">
        <v>0</v>
      </c>
      <c r="P944" s="11">
        <v>0</v>
      </c>
      <c r="Q944" s="11">
        <v>0</v>
      </c>
      <c r="R944" s="11">
        <v>0</v>
      </c>
      <c r="S944" s="14">
        <v>0</v>
      </c>
      <c r="T944" s="11">
        <v>1004.52</v>
      </c>
      <c r="U944" s="13" cm="1">
        <f t="array" ref="U944">IF(Table8[[#This Row],[I_0]]&lt;Table24[Flitro de Ruido],1,Table8[[#This Row],[I_10]]/Table8[[#This Row],[I_0]])</f>
        <v>1</v>
      </c>
      <c r="V944" s="13" cm="1">
        <f t="array" ref="V944">IF(Table8[[#This Row],[I_0]]&lt;Table24[Flitro de Ruido],1,Table8[[#This Row],[I_20]]/Table8[[#This Row],[I_0]])</f>
        <v>1</v>
      </c>
      <c r="W944" s="13" cm="1">
        <f t="array" ref="W944">IF(Table8[[#This Row],[I_0]]&lt;Table24[Flitro de Ruido],1,Table8[[#This Row],[I_30]]/Table8[[#This Row],[I_0]])</f>
        <v>1</v>
      </c>
      <c r="X944" s="13" cm="1">
        <f t="array" ref="X944">IF(Table8[[#This Row],[I_0]]&lt;Table24[Flitro de Ruido],1,Table8[[#This Row],[I_40]]/Table8[[#This Row],[I_0]])</f>
        <v>1</v>
      </c>
      <c r="Y944" s="13" cm="1">
        <f t="array" ref="Y944">IF(Table8[[#This Row],[I_0]]&lt;Table24[Flitro de Ruido],1,Table8[[#This Row],[I_50]]/Table8[[#This Row],[I_0]])</f>
        <v>1</v>
      </c>
    </row>
    <row r="945" spans="1:25" x14ac:dyDescent="0.3">
      <c r="A945" s="13">
        <v>1005.51</v>
      </c>
      <c r="B945" s="12">
        <v>0</v>
      </c>
      <c r="C945" s="11">
        <v>1005.51</v>
      </c>
      <c r="D945" s="12">
        <v>0</v>
      </c>
      <c r="E945" s="11">
        <v>1005.51</v>
      </c>
      <c r="F945" s="12">
        <v>0</v>
      </c>
      <c r="G945" s="11">
        <v>1005.51</v>
      </c>
      <c r="H945" s="12">
        <v>0</v>
      </c>
      <c r="I945" s="11">
        <v>1005.51</v>
      </c>
      <c r="J945" s="12">
        <v>0</v>
      </c>
      <c r="K945" s="11">
        <v>1005.51</v>
      </c>
      <c r="L945" s="12">
        <v>0</v>
      </c>
      <c r="M945" s="11">
        <v>1005.51</v>
      </c>
      <c r="N945" s="13">
        <v>0</v>
      </c>
      <c r="O945" s="11">
        <v>0</v>
      </c>
      <c r="P945" s="11">
        <v>0</v>
      </c>
      <c r="Q945" s="11">
        <v>0</v>
      </c>
      <c r="R945" s="11">
        <v>0</v>
      </c>
      <c r="S945" s="14">
        <v>0</v>
      </c>
      <c r="T945" s="11">
        <v>1005.51</v>
      </c>
      <c r="U945" s="13" cm="1">
        <f t="array" ref="U945">IF(Table8[[#This Row],[I_0]]&lt;Table24[Flitro de Ruido],1,Table8[[#This Row],[I_10]]/Table8[[#This Row],[I_0]])</f>
        <v>1</v>
      </c>
      <c r="V945" s="13" cm="1">
        <f t="array" ref="V945">IF(Table8[[#This Row],[I_0]]&lt;Table24[Flitro de Ruido],1,Table8[[#This Row],[I_20]]/Table8[[#This Row],[I_0]])</f>
        <v>1</v>
      </c>
      <c r="W945" s="13" cm="1">
        <f t="array" ref="W945">IF(Table8[[#This Row],[I_0]]&lt;Table24[Flitro de Ruido],1,Table8[[#This Row],[I_30]]/Table8[[#This Row],[I_0]])</f>
        <v>1</v>
      </c>
      <c r="X945" s="13" cm="1">
        <f t="array" ref="X945">IF(Table8[[#This Row],[I_0]]&lt;Table24[Flitro de Ruido],1,Table8[[#This Row],[I_40]]/Table8[[#This Row],[I_0]])</f>
        <v>1</v>
      </c>
      <c r="Y945" s="13" cm="1">
        <f t="array" ref="Y945">IF(Table8[[#This Row],[I_0]]&lt;Table24[Flitro de Ruido],1,Table8[[#This Row],[I_50]]/Table8[[#This Row],[I_0]])</f>
        <v>1</v>
      </c>
    </row>
    <row r="946" spans="1:25" x14ac:dyDescent="0.3">
      <c r="A946" s="13">
        <v>1006.51</v>
      </c>
      <c r="B946" s="12">
        <v>0</v>
      </c>
      <c r="C946" s="11">
        <v>1006.51</v>
      </c>
      <c r="D946" s="12">
        <v>0</v>
      </c>
      <c r="E946" s="11">
        <v>1006.51</v>
      </c>
      <c r="F946" s="12">
        <v>0</v>
      </c>
      <c r="G946" s="11">
        <v>1006.51</v>
      </c>
      <c r="H946" s="12">
        <v>0</v>
      </c>
      <c r="I946" s="11">
        <v>1006.51</v>
      </c>
      <c r="J946" s="12">
        <v>0</v>
      </c>
      <c r="K946" s="11">
        <v>1006.51</v>
      </c>
      <c r="L946" s="12">
        <v>0</v>
      </c>
      <c r="M946" s="11">
        <v>1006.51</v>
      </c>
      <c r="N946" s="13">
        <v>0</v>
      </c>
      <c r="O946" s="11">
        <v>0</v>
      </c>
      <c r="P946" s="11">
        <v>0</v>
      </c>
      <c r="Q946" s="11">
        <v>0</v>
      </c>
      <c r="R946" s="11">
        <v>0</v>
      </c>
      <c r="S946" s="14">
        <v>0</v>
      </c>
      <c r="T946" s="11">
        <v>1006.51</v>
      </c>
      <c r="U946" s="13" cm="1">
        <f t="array" ref="U946">IF(Table8[[#This Row],[I_0]]&lt;Table24[Flitro de Ruido],1,Table8[[#This Row],[I_10]]/Table8[[#This Row],[I_0]])</f>
        <v>1</v>
      </c>
      <c r="V946" s="13" cm="1">
        <f t="array" ref="V946">IF(Table8[[#This Row],[I_0]]&lt;Table24[Flitro de Ruido],1,Table8[[#This Row],[I_20]]/Table8[[#This Row],[I_0]])</f>
        <v>1</v>
      </c>
      <c r="W946" s="13" cm="1">
        <f t="array" ref="W946">IF(Table8[[#This Row],[I_0]]&lt;Table24[Flitro de Ruido],1,Table8[[#This Row],[I_30]]/Table8[[#This Row],[I_0]])</f>
        <v>1</v>
      </c>
      <c r="X946" s="13" cm="1">
        <f t="array" ref="X946">IF(Table8[[#This Row],[I_0]]&lt;Table24[Flitro de Ruido],1,Table8[[#This Row],[I_40]]/Table8[[#This Row],[I_0]])</f>
        <v>1</v>
      </c>
      <c r="Y946" s="13" cm="1">
        <f t="array" ref="Y946">IF(Table8[[#This Row],[I_0]]&lt;Table24[Flitro de Ruido],1,Table8[[#This Row],[I_50]]/Table8[[#This Row],[I_0]])</f>
        <v>1</v>
      </c>
    </row>
    <row r="947" spans="1:25" x14ac:dyDescent="0.3">
      <c r="A947" s="13">
        <v>1007.5</v>
      </c>
      <c r="B947" s="12">
        <v>0</v>
      </c>
      <c r="C947" s="11">
        <v>1007.5</v>
      </c>
      <c r="D947" s="12">
        <v>0</v>
      </c>
      <c r="E947" s="11">
        <v>1007.5</v>
      </c>
      <c r="F947" s="12">
        <v>0</v>
      </c>
      <c r="G947" s="11">
        <v>1007.5</v>
      </c>
      <c r="H947" s="12">
        <v>0</v>
      </c>
      <c r="I947" s="11">
        <v>1007.5</v>
      </c>
      <c r="J947" s="12">
        <v>0</v>
      </c>
      <c r="K947" s="11">
        <v>1007.5</v>
      </c>
      <c r="L947" s="12">
        <v>0</v>
      </c>
      <c r="M947" s="11">
        <v>1007.5</v>
      </c>
      <c r="N947" s="13">
        <v>0</v>
      </c>
      <c r="O947" s="11">
        <v>0</v>
      </c>
      <c r="P947" s="11">
        <v>0</v>
      </c>
      <c r="Q947" s="11">
        <v>0</v>
      </c>
      <c r="R947" s="11">
        <v>0</v>
      </c>
      <c r="S947" s="14">
        <v>0</v>
      </c>
      <c r="T947" s="11">
        <v>1007.5</v>
      </c>
      <c r="U947" s="13" cm="1">
        <f t="array" ref="U947">IF(Table8[[#This Row],[I_0]]&lt;Table24[Flitro de Ruido],1,Table8[[#This Row],[I_10]]/Table8[[#This Row],[I_0]])</f>
        <v>1</v>
      </c>
      <c r="V947" s="13" cm="1">
        <f t="array" ref="V947">IF(Table8[[#This Row],[I_0]]&lt;Table24[Flitro de Ruido],1,Table8[[#This Row],[I_20]]/Table8[[#This Row],[I_0]])</f>
        <v>1</v>
      </c>
      <c r="W947" s="13" cm="1">
        <f t="array" ref="W947">IF(Table8[[#This Row],[I_0]]&lt;Table24[Flitro de Ruido],1,Table8[[#This Row],[I_30]]/Table8[[#This Row],[I_0]])</f>
        <v>1</v>
      </c>
      <c r="X947" s="13" cm="1">
        <f t="array" ref="X947">IF(Table8[[#This Row],[I_0]]&lt;Table24[Flitro de Ruido],1,Table8[[#This Row],[I_40]]/Table8[[#This Row],[I_0]])</f>
        <v>1</v>
      </c>
      <c r="Y947" s="13" cm="1">
        <f t="array" ref="Y947">IF(Table8[[#This Row],[I_0]]&lt;Table24[Flitro de Ruido],1,Table8[[#This Row],[I_50]]/Table8[[#This Row],[I_0]])</f>
        <v>1</v>
      </c>
    </row>
    <row r="948" spans="1:25" x14ac:dyDescent="0.3">
      <c r="A948" s="13">
        <v>1008.49</v>
      </c>
      <c r="B948" s="12">
        <v>0</v>
      </c>
      <c r="C948" s="11">
        <v>1008.49</v>
      </c>
      <c r="D948" s="12">
        <v>0</v>
      </c>
      <c r="E948" s="11">
        <v>1008.49</v>
      </c>
      <c r="F948" s="12">
        <v>0</v>
      </c>
      <c r="G948" s="11">
        <v>1008.49</v>
      </c>
      <c r="H948" s="12">
        <v>0</v>
      </c>
      <c r="I948" s="11">
        <v>1008.49</v>
      </c>
      <c r="J948" s="12">
        <v>0</v>
      </c>
      <c r="K948" s="11">
        <v>1008.49</v>
      </c>
      <c r="L948" s="12">
        <v>0</v>
      </c>
      <c r="M948" s="11">
        <v>1008.49</v>
      </c>
      <c r="N948" s="13">
        <v>0</v>
      </c>
      <c r="O948" s="11">
        <v>0</v>
      </c>
      <c r="P948" s="11">
        <v>0</v>
      </c>
      <c r="Q948" s="11">
        <v>0</v>
      </c>
      <c r="R948" s="11">
        <v>0</v>
      </c>
      <c r="S948" s="14">
        <v>0</v>
      </c>
      <c r="T948" s="11">
        <v>1008.49</v>
      </c>
      <c r="U948" s="13" cm="1">
        <f t="array" ref="U948">IF(Table8[[#This Row],[I_0]]&lt;Table24[Flitro de Ruido],1,Table8[[#This Row],[I_10]]/Table8[[#This Row],[I_0]])</f>
        <v>1</v>
      </c>
      <c r="V948" s="13" cm="1">
        <f t="array" ref="V948">IF(Table8[[#This Row],[I_0]]&lt;Table24[Flitro de Ruido],1,Table8[[#This Row],[I_20]]/Table8[[#This Row],[I_0]])</f>
        <v>1</v>
      </c>
      <c r="W948" s="13" cm="1">
        <f t="array" ref="W948">IF(Table8[[#This Row],[I_0]]&lt;Table24[Flitro de Ruido],1,Table8[[#This Row],[I_30]]/Table8[[#This Row],[I_0]])</f>
        <v>1</v>
      </c>
      <c r="X948" s="13" cm="1">
        <f t="array" ref="X948">IF(Table8[[#This Row],[I_0]]&lt;Table24[Flitro de Ruido],1,Table8[[#This Row],[I_40]]/Table8[[#This Row],[I_0]])</f>
        <v>1</v>
      </c>
      <c r="Y948" s="13" cm="1">
        <f t="array" ref="Y948">IF(Table8[[#This Row],[I_0]]&lt;Table24[Flitro de Ruido],1,Table8[[#This Row],[I_50]]/Table8[[#This Row],[I_0]])</f>
        <v>1</v>
      </c>
    </row>
    <row r="949" spans="1:25" x14ac:dyDescent="0.3">
      <c r="A949" s="13">
        <v>1009.48</v>
      </c>
      <c r="B949" s="12">
        <v>0</v>
      </c>
      <c r="C949" s="11">
        <v>1009.48</v>
      </c>
      <c r="D949" s="12">
        <v>0</v>
      </c>
      <c r="E949" s="11">
        <v>1009.48</v>
      </c>
      <c r="F949" s="12">
        <v>0</v>
      </c>
      <c r="G949" s="11">
        <v>1009.48</v>
      </c>
      <c r="H949" s="12">
        <v>0</v>
      </c>
      <c r="I949" s="11">
        <v>1009.48</v>
      </c>
      <c r="J949" s="12">
        <v>0</v>
      </c>
      <c r="K949" s="11">
        <v>1009.48</v>
      </c>
      <c r="L949" s="12">
        <v>0</v>
      </c>
      <c r="M949" s="11">
        <v>1009.48</v>
      </c>
      <c r="N949" s="13">
        <v>0</v>
      </c>
      <c r="O949" s="11">
        <v>0</v>
      </c>
      <c r="P949" s="11">
        <v>0</v>
      </c>
      <c r="Q949" s="11">
        <v>0</v>
      </c>
      <c r="R949" s="11">
        <v>0</v>
      </c>
      <c r="S949" s="14">
        <v>0</v>
      </c>
      <c r="T949" s="11">
        <v>1009.48</v>
      </c>
      <c r="U949" s="13" cm="1">
        <f t="array" ref="U949">IF(Table8[[#This Row],[I_0]]&lt;Table24[Flitro de Ruido],1,Table8[[#This Row],[I_10]]/Table8[[#This Row],[I_0]])</f>
        <v>1</v>
      </c>
      <c r="V949" s="13" cm="1">
        <f t="array" ref="V949">IF(Table8[[#This Row],[I_0]]&lt;Table24[Flitro de Ruido],1,Table8[[#This Row],[I_20]]/Table8[[#This Row],[I_0]])</f>
        <v>1</v>
      </c>
      <c r="W949" s="13" cm="1">
        <f t="array" ref="W949">IF(Table8[[#This Row],[I_0]]&lt;Table24[Flitro de Ruido],1,Table8[[#This Row],[I_30]]/Table8[[#This Row],[I_0]])</f>
        <v>1</v>
      </c>
      <c r="X949" s="13" cm="1">
        <f t="array" ref="X949">IF(Table8[[#This Row],[I_0]]&lt;Table24[Flitro de Ruido],1,Table8[[#This Row],[I_40]]/Table8[[#This Row],[I_0]])</f>
        <v>1</v>
      </c>
      <c r="Y949" s="13" cm="1">
        <f t="array" ref="Y949">IF(Table8[[#This Row],[I_0]]&lt;Table24[Flitro de Ruido],1,Table8[[#This Row],[I_50]]/Table8[[#This Row],[I_0]])</f>
        <v>1</v>
      </c>
    </row>
    <row r="950" spans="1:25" x14ac:dyDescent="0.3">
      <c r="A950" s="13">
        <v>1010.47</v>
      </c>
      <c r="B950" s="12">
        <v>0</v>
      </c>
      <c r="C950" s="11">
        <v>1010.47</v>
      </c>
      <c r="D950" s="12">
        <v>0</v>
      </c>
      <c r="E950" s="11">
        <v>1010.47</v>
      </c>
      <c r="F950" s="12">
        <v>0</v>
      </c>
      <c r="G950" s="11">
        <v>1010.47</v>
      </c>
      <c r="H950" s="12">
        <v>0</v>
      </c>
      <c r="I950" s="11">
        <v>1010.47</v>
      </c>
      <c r="J950" s="12">
        <v>0</v>
      </c>
      <c r="K950" s="11">
        <v>1010.47</v>
      </c>
      <c r="L950" s="12">
        <v>0</v>
      </c>
      <c r="M950" s="11">
        <v>1010.47</v>
      </c>
      <c r="N950" s="13">
        <v>0</v>
      </c>
      <c r="O950" s="11">
        <v>0</v>
      </c>
      <c r="P950" s="11">
        <v>0</v>
      </c>
      <c r="Q950" s="11">
        <v>0</v>
      </c>
      <c r="R950" s="11">
        <v>0</v>
      </c>
      <c r="S950" s="14">
        <v>0</v>
      </c>
      <c r="T950" s="11">
        <v>1010.47</v>
      </c>
      <c r="U950" s="13" cm="1">
        <f t="array" ref="U950">IF(Table8[[#This Row],[I_0]]&lt;Table24[Flitro de Ruido],1,Table8[[#This Row],[I_10]]/Table8[[#This Row],[I_0]])</f>
        <v>1</v>
      </c>
      <c r="V950" s="13" cm="1">
        <f t="array" ref="V950">IF(Table8[[#This Row],[I_0]]&lt;Table24[Flitro de Ruido],1,Table8[[#This Row],[I_20]]/Table8[[#This Row],[I_0]])</f>
        <v>1</v>
      </c>
      <c r="W950" s="13" cm="1">
        <f t="array" ref="W950">IF(Table8[[#This Row],[I_0]]&lt;Table24[Flitro de Ruido],1,Table8[[#This Row],[I_30]]/Table8[[#This Row],[I_0]])</f>
        <v>1</v>
      </c>
      <c r="X950" s="13" cm="1">
        <f t="array" ref="X950">IF(Table8[[#This Row],[I_0]]&lt;Table24[Flitro de Ruido],1,Table8[[#This Row],[I_40]]/Table8[[#This Row],[I_0]])</f>
        <v>1</v>
      </c>
      <c r="Y950" s="13" cm="1">
        <f t="array" ref="Y950">IF(Table8[[#This Row],[I_0]]&lt;Table24[Flitro de Ruido],1,Table8[[#This Row],[I_50]]/Table8[[#This Row],[I_0]])</f>
        <v>1</v>
      </c>
    </row>
    <row r="951" spans="1:25" x14ac:dyDescent="0.3">
      <c r="A951" s="13">
        <v>1011.47</v>
      </c>
      <c r="B951" s="12">
        <v>0</v>
      </c>
      <c r="C951" s="11">
        <v>1011.47</v>
      </c>
      <c r="D951" s="12">
        <v>0</v>
      </c>
      <c r="E951" s="11">
        <v>1011.47</v>
      </c>
      <c r="F951" s="12">
        <v>0</v>
      </c>
      <c r="G951" s="11">
        <v>1011.47</v>
      </c>
      <c r="H951" s="12">
        <v>0</v>
      </c>
      <c r="I951" s="11">
        <v>1011.47</v>
      </c>
      <c r="J951" s="12">
        <v>0</v>
      </c>
      <c r="K951" s="11">
        <v>1011.47</v>
      </c>
      <c r="L951" s="12">
        <v>0</v>
      </c>
      <c r="M951" s="11">
        <v>1011.47</v>
      </c>
      <c r="N951" s="13">
        <v>0</v>
      </c>
      <c r="O951" s="11">
        <v>0</v>
      </c>
      <c r="P951" s="11">
        <v>0</v>
      </c>
      <c r="Q951" s="11">
        <v>0</v>
      </c>
      <c r="R951" s="11">
        <v>0</v>
      </c>
      <c r="S951" s="14">
        <v>0</v>
      </c>
      <c r="T951" s="11">
        <v>1011.47</v>
      </c>
      <c r="U951" s="13" cm="1">
        <f t="array" ref="U951">IF(Table8[[#This Row],[I_0]]&lt;Table24[Flitro de Ruido],1,Table8[[#This Row],[I_10]]/Table8[[#This Row],[I_0]])</f>
        <v>1</v>
      </c>
      <c r="V951" s="13" cm="1">
        <f t="array" ref="V951">IF(Table8[[#This Row],[I_0]]&lt;Table24[Flitro de Ruido],1,Table8[[#This Row],[I_20]]/Table8[[#This Row],[I_0]])</f>
        <v>1</v>
      </c>
      <c r="W951" s="13" cm="1">
        <f t="array" ref="W951">IF(Table8[[#This Row],[I_0]]&lt;Table24[Flitro de Ruido],1,Table8[[#This Row],[I_30]]/Table8[[#This Row],[I_0]])</f>
        <v>1</v>
      </c>
      <c r="X951" s="13" cm="1">
        <f t="array" ref="X951">IF(Table8[[#This Row],[I_0]]&lt;Table24[Flitro de Ruido],1,Table8[[#This Row],[I_40]]/Table8[[#This Row],[I_0]])</f>
        <v>1</v>
      </c>
      <c r="Y951" s="13" cm="1">
        <f t="array" ref="Y951">IF(Table8[[#This Row],[I_0]]&lt;Table24[Flitro de Ruido],1,Table8[[#This Row],[I_50]]/Table8[[#This Row],[I_0]])</f>
        <v>1</v>
      </c>
    </row>
    <row r="952" spans="1:25" x14ac:dyDescent="0.3">
      <c r="A952" s="13">
        <v>1012.46</v>
      </c>
      <c r="B952" s="12">
        <v>0</v>
      </c>
      <c r="C952" s="11">
        <v>1012.46</v>
      </c>
      <c r="D952" s="12">
        <v>0</v>
      </c>
      <c r="E952" s="11">
        <v>1012.46</v>
      </c>
      <c r="F952" s="12">
        <v>0</v>
      </c>
      <c r="G952" s="11">
        <v>1012.46</v>
      </c>
      <c r="H952" s="12">
        <v>0</v>
      </c>
      <c r="I952" s="11">
        <v>1012.46</v>
      </c>
      <c r="J952" s="12">
        <v>0</v>
      </c>
      <c r="K952" s="11">
        <v>1012.46</v>
      </c>
      <c r="L952" s="12">
        <v>0</v>
      </c>
      <c r="M952" s="11">
        <v>1012.46</v>
      </c>
      <c r="N952" s="13">
        <v>0</v>
      </c>
      <c r="O952" s="11">
        <v>0</v>
      </c>
      <c r="P952" s="11">
        <v>0</v>
      </c>
      <c r="Q952" s="11">
        <v>0</v>
      </c>
      <c r="R952" s="11">
        <v>0</v>
      </c>
      <c r="S952" s="14">
        <v>0</v>
      </c>
      <c r="T952" s="11">
        <v>1012.46</v>
      </c>
      <c r="U952" s="13" cm="1">
        <f t="array" ref="U952">IF(Table8[[#This Row],[I_0]]&lt;Table24[Flitro de Ruido],1,Table8[[#This Row],[I_10]]/Table8[[#This Row],[I_0]])</f>
        <v>1</v>
      </c>
      <c r="V952" s="13" cm="1">
        <f t="array" ref="V952">IF(Table8[[#This Row],[I_0]]&lt;Table24[Flitro de Ruido],1,Table8[[#This Row],[I_20]]/Table8[[#This Row],[I_0]])</f>
        <v>1</v>
      </c>
      <c r="W952" s="13" cm="1">
        <f t="array" ref="W952">IF(Table8[[#This Row],[I_0]]&lt;Table24[Flitro de Ruido],1,Table8[[#This Row],[I_30]]/Table8[[#This Row],[I_0]])</f>
        <v>1</v>
      </c>
      <c r="X952" s="13" cm="1">
        <f t="array" ref="X952">IF(Table8[[#This Row],[I_0]]&lt;Table24[Flitro de Ruido],1,Table8[[#This Row],[I_40]]/Table8[[#This Row],[I_0]])</f>
        <v>1</v>
      </c>
      <c r="Y952" s="13" cm="1">
        <f t="array" ref="Y952">IF(Table8[[#This Row],[I_0]]&lt;Table24[Flitro de Ruido],1,Table8[[#This Row],[I_50]]/Table8[[#This Row],[I_0]])</f>
        <v>1</v>
      </c>
    </row>
    <row r="953" spans="1:25" x14ac:dyDescent="0.3">
      <c r="A953" s="13">
        <v>1013.45</v>
      </c>
      <c r="B953" s="12">
        <v>0</v>
      </c>
      <c r="C953" s="11">
        <v>1013.45</v>
      </c>
      <c r="D953" s="12">
        <v>0</v>
      </c>
      <c r="E953" s="11">
        <v>1013.45</v>
      </c>
      <c r="F953" s="12">
        <v>0</v>
      </c>
      <c r="G953" s="11">
        <v>1013.45</v>
      </c>
      <c r="H953" s="12">
        <v>0</v>
      </c>
      <c r="I953" s="11">
        <v>1013.45</v>
      </c>
      <c r="J953" s="12">
        <v>0</v>
      </c>
      <c r="K953" s="11">
        <v>1013.45</v>
      </c>
      <c r="L953" s="12">
        <v>0</v>
      </c>
      <c r="M953" s="11">
        <v>1013.45</v>
      </c>
      <c r="N953" s="13">
        <v>0</v>
      </c>
      <c r="O953" s="11">
        <v>0</v>
      </c>
      <c r="P953" s="11">
        <v>0</v>
      </c>
      <c r="Q953" s="11">
        <v>0</v>
      </c>
      <c r="R953" s="11">
        <v>0</v>
      </c>
      <c r="S953" s="14">
        <v>0</v>
      </c>
      <c r="T953" s="11">
        <v>1013.45</v>
      </c>
      <c r="U953" s="13" cm="1">
        <f t="array" ref="U953">IF(Table8[[#This Row],[I_0]]&lt;Table24[Flitro de Ruido],1,Table8[[#This Row],[I_10]]/Table8[[#This Row],[I_0]])</f>
        <v>1</v>
      </c>
      <c r="V953" s="13" cm="1">
        <f t="array" ref="V953">IF(Table8[[#This Row],[I_0]]&lt;Table24[Flitro de Ruido],1,Table8[[#This Row],[I_20]]/Table8[[#This Row],[I_0]])</f>
        <v>1</v>
      </c>
      <c r="W953" s="13" cm="1">
        <f t="array" ref="W953">IF(Table8[[#This Row],[I_0]]&lt;Table24[Flitro de Ruido],1,Table8[[#This Row],[I_30]]/Table8[[#This Row],[I_0]])</f>
        <v>1</v>
      </c>
      <c r="X953" s="13" cm="1">
        <f t="array" ref="X953">IF(Table8[[#This Row],[I_0]]&lt;Table24[Flitro de Ruido],1,Table8[[#This Row],[I_40]]/Table8[[#This Row],[I_0]])</f>
        <v>1</v>
      </c>
      <c r="Y953" s="13" cm="1">
        <f t="array" ref="Y953">IF(Table8[[#This Row],[I_0]]&lt;Table24[Flitro de Ruido],1,Table8[[#This Row],[I_50]]/Table8[[#This Row],[I_0]])</f>
        <v>1</v>
      </c>
    </row>
    <row r="954" spans="1:25" x14ac:dyDescent="0.3">
      <c r="A954" s="13">
        <v>1014.44</v>
      </c>
      <c r="B954" s="12">
        <v>0</v>
      </c>
      <c r="C954" s="11">
        <v>1014.44</v>
      </c>
      <c r="D954" s="12">
        <v>0</v>
      </c>
      <c r="E954" s="11">
        <v>1014.44</v>
      </c>
      <c r="F954" s="12">
        <v>0</v>
      </c>
      <c r="G954" s="11">
        <v>1014.44</v>
      </c>
      <c r="H954" s="12">
        <v>0</v>
      </c>
      <c r="I954" s="11">
        <v>1014.44</v>
      </c>
      <c r="J954" s="12">
        <v>0</v>
      </c>
      <c r="K954" s="11">
        <v>1014.44</v>
      </c>
      <c r="L954" s="12">
        <v>0</v>
      </c>
      <c r="M954" s="11">
        <v>1014.44</v>
      </c>
      <c r="N954" s="13">
        <v>0</v>
      </c>
      <c r="O954" s="11">
        <v>0</v>
      </c>
      <c r="P954" s="11">
        <v>0</v>
      </c>
      <c r="Q954" s="11">
        <v>0</v>
      </c>
      <c r="R954" s="11">
        <v>0</v>
      </c>
      <c r="S954" s="14">
        <v>0</v>
      </c>
      <c r="T954" s="11">
        <v>1014.44</v>
      </c>
      <c r="U954" s="13" cm="1">
        <f t="array" ref="U954">IF(Table8[[#This Row],[I_0]]&lt;Table24[Flitro de Ruido],1,Table8[[#This Row],[I_10]]/Table8[[#This Row],[I_0]])</f>
        <v>1</v>
      </c>
      <c r="V954" s="13" cm="1">
        <f t="array" ref="V954">IF(Table8[[#This Row],[I_0]]&lt;Table24[Flitro de Ruido],1,Table8[[#This Row],[I_20]]/Table8[[#This Row],[I_0]])</f>
        <v>1</v>
      </c>
      <c r="W954" s="13" cm="1">
        <f t="array" ref="W954">IF(Table8[[#This Row],[I_0]]&lt;Table24[Flitro de Ruido],1,Table8[[#This Row],[I_30]]/Table8[[#This Row],[I_0]])</f>
        <v>1</v>
      </c>
      <c r="X954" s="13" cm="1">
        <f t="array" ref="X954">IF(Table8[[#This Row],[I_0]]&lt;Table24[Flitro de Ruido],1,Table8[[#This Row],[I_40]]/Table8[[#This Row],[I_0]])</f>
        <v>1</v>
      </c>
      <c r="Y954" s="13" cm="1">
        <f t="array" ref="Y954">IF(Table8[[#This Row],[I_0]]&lt;Table24[Flitro de Ruido],1,Table8[[#This Row],[I_50]]/Table8[[#This Row],[I_0]])</f>
        <v>1</v>
      </c>
    </row>
    <row r="955" spans="1:25" x14ac:dyDescent="0.3">
      <c r="A955" s="13">
        <v>1015.43</v>
      </c>
      <c r="B955" s="12">
        <v>0</v>
      </c>
      <c r="C955" s="11">
        <v>1015.43</v>
      </c>
      <c r="D955" s="12">
        <v>0</v>
      </c>
      <c r="E955" s="11">
        <v>1015.43</v>
      </c>
      <c r="F955" s="12">
        <v>0</v>
      </c>
      <c r="G955" s="11">
        <v>1015.43</v>
      </c>
      <c r="H955" s="12">
        <v>0</v>
      </c>
      <c r="I955" s="11">
        <v>1015.43</v>
      </c>
      <c r="J955" s="12">
        <v>0</v>
      </c>
      <c r="K955" s="11">
        <v>1015.43</v>
      </c>
      <c r="L955" s="12">
        <v>0</v>
      </c>
      <c r="M955" s="11">
        <v>1015.43</v>
      </c>
      <c r="N955" s="13">
        <v>0</v>
      </c>
      <c r="O955" s="11">
        <v>0</v>
      </c>
      <c r="P955" s="11">
        <v>0</v>
      </c>
      <c r="Q955" s="11">
        <v>0</v>
      </c>
      <c r="R955" s="11">
        <v>0</v>
      </c>
      <c r="S955" s="14">
        <v>0</v>
      </c>
      <c r="T955" s="11">
        <v>1015.43</v>
      </c>
      <c r="U955" s="13" cm="1">
        <f t="array" ref="U955">IF(Table8[[#This Row],[I_0]]&lt;Table24[Flitro de Ruido],1,Table8[[#This Row],[I_10]]/Table8[[#This Row],[I_0]])</f>
        <v>1</v>
      </c>
      <c r="V955" s="13" cm="1">
        <f t="array" ref="V955">IF(Table8[[#This Row],[I_0]]&lt;Table24[Flitro de Ruido],1,Table8[[#This Row],[I_20]]/Table8[[#This Row],[I_0]])</f>
        <v>1</v>
      </c>
      <c r="W955" s="13" cm="1">
        <f t="array" ref="W955">IF(Table8[[#This Row],[I_0]]&lt;Table24[Flitro de Ruido],1,Table8[[#This Row],[I_30]]/Table8[[#This Row],[I_0]])</f>
        <v>1</v>
      </c>
      <c r="X955" s="13" cm="1">
        <f t="array" ref="X955">IF(Table8[[#This Row],[I_0]]&lt;Table24[Flitro de Ruido],1,Table8[[#This Row],[I_40]]/Table8[[#This Row],[I_0]])</f>
        <v>1</v>
      </c>
      <c r="Y955" s="13" cm="1">
        <f t="array" ref="Y955">IF(Table8[[#This Row],[I_0]]&lt;Table24[Flitro de Ruido],1,Table8[[#This Row],[I_50]]/Table8[[#This Row],[I_0]])</f>
        <v>1</v>
      </c>
    </row>
    <row r="956" spans="1:25" x14ac:dyDescent="0.3">
      <c r="A956" s="13">
        <v>1016.42</v>
      </c>
      <c r="B956" s="12">
        <v>0</v>
      </c>
      <c r="C956" s="11">
        <v>1016.42</v>
      </c>
      <c r="D956" s="12">
        <v>0</v>
      </c>
      <c r="E956" s="11">
        <v>1016.42</v>
      </c>
      <c r="F956" s="12">
        <v>0</v>
      </c>
      <c r="G956" s="11">
        <v>1016.42</v>
      </c>
      <c r="H956" s="12">
        <v>0</v>
      </c>
      <c r="I956" s="11">
        <v>1016.42</v>
      </c>
      <c r="J956" s="12">
        <v>0</v>
      </c>
      <c r="K956" s="11">
        <v>1016.42</v>
      </c>
      <c r="L956" s="12">
        <v>0</v>
      </c>
      <c r="M956" s="11">
        <v>1016.42</v>
      </c>
      <c r="N956" s="13">
        <v>0</v>
      </c>
      <c r="O956" s="11">
        <v>0</v>
      </c>
      <c r="P956" s="11">
        <v>0</v>
      </c>
      <c r="Q956" s="11">
        <v>0</v>
      </c>
      <c r="R956" s="11">
        <v>0</v>
      </c>
      <c r="S956" s="14">
        <v>0</v>
      </c>
      <c r="T956" s="11">
        <v>1016.42</v>
      </c>
      <c r="U956" s="13" cm="1">
        <f t="array" ref="U956">IF(Table8[[#This Row],[I_0]]&lt;Table24[Flitro de Ruido],1,Table8[[#This Row],[I_10]]/Table8[[#This Row],[I_0]])</f>
        <v>1</v>
      </c>
      <c r="V956" s="13" cm="1">
        <f t="array" ref="V956">IF(Table8[[#This Row],[I_0]]&lt;Table24[Flitro de Ruido],1,Table8[[#This Row],[I_20]]/Table8[[#This Row],[I_0]])</f>
        <v>1</v>
      </c>
      <c r="W956" s="13" cm="1">
        <f t="array" ref="W956">IF(Table8[[#This Row],[I_0]]&lt;Table24[Flitro de Ruido],1,Table8[[#This Row],[I_30]]/Table8[[#This Row],[I_0]])</f>
        <v>1</v>
      </c>
      <c r="X956" s="13" cm="1">
        <f t="array" ref="X956">IF(Table8[[#This Row],[I_0]]&lt;Table24[Flitro de Ruido],1,Table8[[#This Row],[I_40]]/Table8[[#This Row],[I_0]])</f>
        <v>1</v>
      </c>
      <c r="Y956" s="13" cm="1">
        <f t="array" ref="Y956">IF(Table8[[#This Row],[I_0]]&lt;Table24[Flitro de Ruido],1,Table8[[#This Row],[I_50]]/Table8[[#This Row],[I_0]])</f>
        <v>1</v>
      </c>
    </row>
    <row r="957" spans="1:25" x14ac:dyDescent="0.3">
      <c r="A957" s="13">
        <v>1017.42</v>
      </c>
      <c r="B957" s="12">
        <v>0</v>
      </c>
      <c r="C957" s="11">
        <v>1017.42</v>
      </c>
      <c r="D957" s="12">
        <v>0</v>
      </c>
      <c r="E957" s="11">
        <v>1017.42</v>
      </c>
      <c r="F957" s="12">
        <v>0</v>
      </c>
      <c r="G957" s="11">
        <v>1017.42</v>
      </c>
      <c r="H957" s="12">
        <v>0</v>
      </c>
      <c r="I957" s="11">
        <v>1017.42</v>
      </c>
      <c r="J957" s="12">
        <v>0</v>
      </c>
      <c r="K957" s="11">
        <v>1017.42</v>
      </c>
      <c r="L957" s="12">
        <v>0</v>
      </c>
      <c r="M957" s="11">
        <v>1017.42</v>
      </c>
      <c r="N957" s="13">
        <v>0</v>
      </c>
      <c r="O957" s="11">
        <v>0</v>
      </c>
      <c r="P957" s="11">
        <v>0</v>
      </c>
      <c r="Q957" s="11">
        <v>0</v>
      </c>
      <c r="R957" s="11">
        <v>0</v>
      </c>
      <c r="S957" s="14">
        <v>0</v>
      </c>
      <c r="T957" s="11">
        <v>1017.42</v>
      </c>
      <c r="U957" s="13" cm="1">
        <f t="array" ref="U957">IF(Table8[[#This Row],[I_0]]&lt;Table24[Flitro de Ruido],1,Table8[[#This Row],[I_10]]/Table8[[#This Row],[I_0]])</f>
        <v>1</v>
      </c>
      <c r="V957" s="13" cm="1">
        <f t="array" ref="V957">IF(Table8[[#This Row],[I_0]]&lt;Table24[Flitro de Ruido],1,Table8[[#This Row],[I_20]]/Table8[[#This Row],[I_0]])</f>
        <v>1</v>
      </c>
      <c r="W957" s="13" cm="1">
        <f t="array" ref="W957">IF(Table8[[#This Row],[I_0]]&lt;Table24[Flitro de Ruido],1,Table8[[#This Row],[I_30]]/Table8[[#This Row],[I_0]])</f>
        <v>1</v>
      </c>
      <c r="X957" s="13" cm="1">
        <f t="array" ref="X957">IF(Table8[[#This Row],[I_0]]&lt;Table24[Flitro de Ruido],1,Table8[[#This Row],[I_40]]/Table8[[#This Row],[I_0]])</f>
        <v>1</v>
      </c>
      <c r="Y957" s="13" cm="1">
        <f t="array" ref="Y957">IF(Table8[[#This Row],[I_0]]&lt;Table24[Flitro de Ruido],1,Table8[[#This Row],[I_50]]/Table8[[#This Row],[I_0]])</f>
        <v>1</v>
      </c>
    </row>
    <row r="958" spans="1:25" x14ac:dyDescent="0.3">
      <c r="A958" s="13">
        <v>1018.41</v>
      </c>
      <c r="B958" s="12">
        <v>0</v>
      </c>
      <c r="C958" s="11">
        <v>1018.41</v>
      </c>
      <c r="D958" s="12">
        <v>0</v>
      </c>
      <c r="E958" s="11">
        <v>1018.41</v>
      </c>
      <c r="F958" s="12">
        <v>0</v>
      </c>
      <c r="G958" s="11">
        <v>1018.41</v>
      </c>
      <c r="H958" s="12">
        <v>0</v>
      </c>
      <c r="I958" s="11">
        <v>1018.41</v>
      </c>
      <c r="J958" s="12">
        <v>0</v>
      </c>
      <c r="K958" s="11">
        <v>1018.41</v>
      </c>
      <c r="L958" s="12">
        <v>0</v>
      </c>
      <c r="M958" s="11">
        <v>1018.41</v>
      </c>
      <c r="N958" s="13">
        <v>0</v>
      </c>
      <c r="O958" s="11">
        <v>0</v>
      </c>
      <c r="P958" s="11">
        <v>0</v>
      </c>
      <c r="Q958" s="11">
        <v>0</v>
      </c>
      <c r="R958" s="11">
        <v>0</v>
      </c>
      <c r="S958" s="14">
        <v>0</v>
      </c>
      <c r="T958" s="11">
        <v>1018.41</v>
      </c>
      <c r="U958" s="13" cm="1">
        <f t="array" ref="U958">IF(Table8[[#This Row],[I_0]]&lt;Table24[Flitro de Ruido],1,Table8[[#This Row],[I_10]]/Table8[[#This Row],[I_0]])</f>
        <v>1</v>
      </c>
      <c r="V958" s="13" cm="1">
        <f t="array" ref="V958">IF(Table8[[#This Row],[I_0]]&lt;Table24[Flitro de Ruido],1,Table8[[#This Row],[I_20]]/Table8[[#This Row],[I_0]])</f>
        <v>1</v>
      </c>
      <c r="W958" s="13" cm="1">
        <f t="array" ref="W958">IF(Table8[[#This Row],[I_0]]&lt;Table24[Flitro de Ruido],1,Table8[[#This Row],[I_30]]/Table8[[#This Row],[I_0]])</f>
        <v>1</v>
      </c>
      <c r="X958" s="13" cm="1">
        <f t="array" ref="X958">IF(Table8[[#This Row],[I_0]]&lt;Table24[Flitro de Ruido],1,Table8[[#This Row],[I_40]]/Table8[[#This Row],[I_0]])</f>
        <v>1</v>
      </c>
      <c r="Y958" s="13" cm="1">
        <f t="array" ref="Y958">IF(Table8[[#This Row],[I_0]]&lt;Table24[Flitro de Ruido],1,Table8[[#This Row],[I_50]]/Table8[[#This Row],[I_0]])</f>
        <v>1</v>
      </c>
    </row>
    <row r="959" spans="1:25" x14ac:dyDescent="0.3">
      <c r="A959" s="13">
        <v>1019.4</v>
      </c>
      <c r="B959" s="12">
        <v>0</v>
      </c>
      <c r="C959" s="11">
        <v>1019.4</v>
      </c>
      <c r="D959" s="12">
        <v>0</v>
      </c>
      <c r="E959" s="11">
        <v>1019.4</v>
      </c>
      <c r="F959" s="12">
        <v>0</v>
      </c>
      <c r="G959" s="11">
        <v>1019.4</v>
      </c>
      <c r="H959" s="12">
        <v>0</v>
      </c>
      <c r="I959" s="11">
        <v>1019.4</v>
      </c>
      <c r="J959" s="12">
        <v>0</v>
      </c>
      <c r="K959" s="11">
        <v>1019.4</v>
      </c>
      <c r="L959" s="12">
        <v>0</v>
      </c>
      <c r="M959" s="11">
        <v>1019.4</v>
      </c>
      <c r="N959" s="13">
        <v>0</v>
      </c>
      <c r="O959" s="11">
        <v>0</v>
      </c>
      <c r="P959" s="11">
        <v>0</v>
      </c>
      <c r="Q959" s="11">
        <v>0</v>
      </c>
      <c r="R959" s="11">
        <v>0</v>
      </c>
      <c r="S959" s="14">
        <v>0</v>
      </c>
      <c r="T959" s="11">
        <v>1019.4</v>
      </c>
      <c r="U959" s="13" cm="1">
        <f t="array" ref="U959">IF(Table8[[#This Row],[I_0]]&lt;Table24[Flitro de Ruido],1,Table8[[#This Row],[I_10]]/Table8[[#This Row],[I_0]])</f>
        <v>1</v>
      </c>
      <c r="V959" s="13" cm="1">
        <f t="array" ref="V959">IF(Table8[[#This Row],[I_0]]&lt;Table24[Flitro de Ruido],1,Table8[[#This Row],[I_20]]/Table8[[#This Row],[I_0]])</f>
        <v>1</v>
      </c>
      <c r="W959" s="13" cm="1">
        <f t="array" ref="W959">IF(Table8[[#This Row],[I_0]]&lt;Table24[Flitro de Ruido],1,Table8[[#This Row],[I_30]]/Table8[[#This Row],[I_0]])</f>
        <v>1</v>
      </c>
      <c r="X959" s="13" cm="1">
        <f t="array" ref="X959">IF(Table8[[#This Row],[I_0]]&lt;Table24[Flitro de Ruido],1,Table8[[#This Row],[I_40]]/Table8[[#This Row],[I_0]])</f>
        <v>1</v>
      </c>
      <c r="Y959" s="13" cm="1">
        <f t="array" ref="Y959">IF(Table8[[#This Row],[I_0]]&lt;Table24[Flitro de Ruido],1,Table8[[#This Row],[I_50]]/Table8[[#This Row],[I_0]])</f>
        <v>1</v>
      </c>
    </row>
    <row r="960" spans="1:25" x14ac:dyDescent="0.3">
      <c r="A960" s="13">
        <v>1020.39</v>
      </c>
      <c r="B960" s="12">
        <v>0</v>
      </c>
      <c r="C960" s="11">
        <v>1020.39</v>
      </c>
      <c r="D960" s="12">
        <v>0</v>
      </c>
      <c r="E960" s="11">
        <v>1020.39</v>
      </c>
      <c r="F960" s="12">
        <v>0</v>
      </c>
      <c r="G960" s="11">
        <v>1020.39</v>
      </c>
      <c r="H960" s="12">
        <v>0</v>
      </c>
      <c r="I960" s="11">
        <v>1020.39</v>
      </c>
      <c r="J960" s="12">
        <v>0</v>
      </c>
      <c r="K960" s="11">
        <v>1020.39</v>
      </c>
      <c r="L960" s="12">
        <v>0</v>
      </c>
      <c r="M960" s="11">
        <v>1020.39</v>
      </c>
      <c r="N960" s="13">
        <v>0</v>
      </c>
      <c r="O960" s="11">
        <v>0</v>
      </c>
      <c r="P960" s="11">
        <v>0</v>
      </c>
      <c r="Q960" s="11">
        <v>0</v>
      </c>
      <c r="R960" s="11">
        <v>0</v>
      </c>
      <c r="S960" s="14">
        <v>0</v>
      </c>
      <c r="T960" s="11">
        <v>1020.39</v>
      </c>
      <c r="U960" s="13" cm="1">
        <f t="array" ref="U960">IF(Table8[[#This Row],[I_0]]&lt;Table24[Flitro de Ruido],1,Table8[[#This Row],[I_10]]/Table8[[#This Row],[I_0]])</f>
        <v>1</v>
      </c>
      <c r="V960" s="13" cm="1">
        <f t="array" ref="V960">IF(Table8[[#This Row],[I_0]]&lt;Table24[Flitro de Ruido],1,Table8[[#This Row],[I_20]]/Table8[[#This Row],[I_0]])</f>
        <v>1</v>
      </c>
      <c r="W960" s="13" cm="1">
        <f t="array" ref="W960">IF(Table8[[#This Row],[I_0]]&lt;Table24[Flitro de Ruido],1,Table8[[#This Row],[I_30]]/Table8[[#This Row],[I_0]])</f>
        <v>1</v>
      </c>
      <c r="X960" s="13" cm="1">
        <f t="array" ref="X960">IF(Table8[[#This Row],[I_0]]&lt;Table24[Flitro de Ruido],1,Table8[[#This Row],[I_40]]/Table8[[#This Row],[I_0]])</f>
        <v>1</v>
      </c>
      <c r="Y960" s="13" cm="1">
        <f t="array" ref="Y960">IF(Table8[[#This Row],[I_0]]&lt;Table24[Flitro de Ruido],1,Table8[[#This Row],[I_50]]/Table8[[#This Row],[I_0]])</f>
        <v>1</v>
      </c>
    </row>
    <row r="961" spans="1:25" x14ac:dyDescent="0.3">
      <c r="A961" s="13">
        <v>1021.38</v>
      </c>
      <c r="B961" s="12">
        <v>0</v>
      </c>
      <c r="C961" s="11">
        <v>1021.38</v>
      </c>
      <c r="D961" s="12">
        <v>0</v>
      </c>
      <c r="E961" s="11">
        <v>1021.38</v>
      </c>
      <c r="F961" s="12">
        <v>0</v>
      </c>
      <c r="G961" s="11">
        <v>1021.38</v>
      </c>
      <c r="H961" s="12">
        <v>0</v>
      </c>
      <c r="I961" s="11">
        <v>1021.38</v>
      </c>
      <c r="J961" s="12">
        <v>0</v>
      </c>
      <c r="K961" s="11">
        <v>1021.38</v>
      </c>
      <c r="L961" s="12">
        <v>0</v>
      </c>
      <c r="M961" s="11">
        <v>1021.38</v>
      </c>
      <c r="N961" s="13">
        <v>0</v>
      </c>
      <c r="O961" s="11">
        <v>0</v>
      </c>
      <c r="P961" s="11">
        <v>0</v>
      </c>
      <c r="Q961" s="11">
        <v>0</v>
      </c>
      <c r="R961" s="11">
        <v>0</v>
      </c>
      <c r="S961" s="14">
        <v>0</v>
      </c>
      <c r="T961" s="11">
        <v>1021.38</v>
      </c>
      <c r="U961" s="13" cm="1">
        <f t="array" ref="U961">IF(Table8[[#This Row],[I_0]]&lt;Table24[Flitro de Ruido],1,Table8[[#This Row],[I_10]]/Table8[[#This Row],[I_0]])</f>
        <v>1</v>
      </c>
      <c r="V961" s="13" cm="1">
        <f t="array" ref="V961">IF(Table8[[#This Row],[I_0]]&lt;Table24[Flitro de Ruido],1,Table8[[#This Row],[I_20]]/Table8[[#This Row],[I_0]])</f>
        <v>1</v>
      </c>
      <c r="W961" s="13" cm="1">
        <f t="array" ref="W961">IF(Table8[[#This Row],[I_0]]&lt;Table24[Flitro de Ruido],1,Table8[[#This Row],[I_30]]/Table8[[#This Row],[I_0]])</f>
        <v>1</v>
      </c>
      <c r="X961" s="13" cm="1">
        <f t="array" ref="X961">IF(Table8[[#This Row],[I_0]]&lt;Table24[Flitro de Ruido],1,Table8[[#This Row],[I_40]]/Table8[[#This Row],[I_0]])</f>
        <v>1</v>
      </c>
      <c r="Y961" s="13" cm="1">
        <f t="array" ref="Y961">IF(Table8[[#This Row],[I_0]]&lt;Table24[Flitro de Ruido],1,Table8[[#This Row],[I_50]]/Table8[[#This Row],[I_0]])</f>
        <v>1</v>
      </c>
    </row>
    <row r="962" spans="1:25" x14ac:dyDescent="0.3">
      <c r="A962" s="13">
        <v>1022.37</v>
      </c>
      <c r="B962" s="12">
        <v>0</v>
      </c>
      <c r="C962" s="11">
        <v>1022.37</v>
      </c>
      <c r="D962" s="12">
        <v>0</v>
      </c>
      <c r="E962" s="11">
        <v>1022.37</v>
      </c>
      <c r="F962" s="12">
        <v>0</v>
      </c>
      <c r="G962" s="11">
        <v>1022.37</v>
      </c>
      <c r="H962" s="12">
        <v>0</v>
      </c>
      <c r="I962" s="11">
        <v>1022.37</v>
      </c>
      <c r="J962" s="12">
        <v>0</v>
      </c>
      <c r="K962" s="11">
        <v>1022.37</v>
      </c>
      <c r="L962" s="12">
        <v>0</v>
      </c>
      <c r="M962" s="11">
        <v>1022.37</v>
      </c>
      <c r="N962" s="13">
        <v>0</v>
      </c>
      <c r="O962" s="11">
        <v>0</v>
      </c>
      <c r="P962" s="11">
        <v>0</v>
      </c>
      <c r="Q962" s="11">
        <v>0</v>
      </c>
      <c r="R962" s="11">
        <v>0</v>
      </c>
      <c r="S962" s="14">
        <v>0</v>
      </c>
      <c r="T962" s="11">
        <v>1022.37</v>
      </c>
      <c r="U962" s="13" cm="1">
        <f t="array" ref="U962">IF(Table8[[#This Row],[I_0]]&lt;Table24[Flitro de Ruido],1,Table8[[#This Row],[I_10]]/Table8[[#This Row],[I_0]])</f>
        <v>1</v>
      </c>
      <c r="V962" s="13" cm="1">
        <f t="array" ref="V962">IF(Table8[[#This Row],[I_0]]&lt;Table24[Flitro de Ruido],1,Table8[[#This Row],[I_20]]/Table8[[#This Row],[I_0]])</f>
        <v>1</v>
      </c>
      <c r="W962" s="13" cm="1">
        <f t="array" ref="W962">IF(Table8[[#This Row],[I_0]]&lt;Table24[Flitro de Ruido],1,Table8[[#This Row],[I_30]]/Table8[[#This Row],[I_0]])</f>
        <v>1</v>
      </c>
      <c r="X962" s="13" cm="1">
        <f t="array" ref="X962">IF(Table8[[#This Row],[I_0]]&lt;Table24[Flitro de Ruido],1,Table8[[#This Row],[I_40]]/Table8[[#This Row],[I_0]])</f>
        <v>1</v>
      </c>
      <c r="Y962" s="13" cm="1">
        <f t="array" ref="Y962">IF(Table8[[#This Row],[I_0]]&lt;Table24[Flitro de Ruido],1,Table8[[#This Row],[I_50]]/Table8[[#This Row],[I_0]])</f>
        <v>1</v>
      </c>
    </row>
    <row r="963" spans="1:25" x14ac:dyDescent="0.3">
      <c r="A963" s="13">
        <v>1023.37</v>
      </c>
      <c r="B963" s="12">
        <v>0</v>
      </c>
      <c r="C963" s="11">
        <v>1023.37</v>
      </c>
      <c r="D963" s="12">
        <v>0</v>
      </c>
      <c r="E963" s="11">
        <v>1023.37</v>
      </c>
      <c r="F963" s="12">
        <v>0</v>
      </c>
      <c r="G963" s="11">
        <v>1023.37</v>
      </c>
      <c r="H963" s="12">
        <v>0</v>
      </c>
      <c r="I963" s="11">
        <v>1023.37</v>
      </c>
      <c r="J963" s="12">
        <v>0</v>
      </c>
      <c r="K963" s="11">
        <v>1023.37</v>
      </c>
      <c r="L963" s="12">
        <v>0</v>
      </c>
      <c r="M963" s="11">
        <v>1023.37</v>
      </c>
      <c r="N963" s="13">
        <v>0</v>
      </c>
      <c r="O963" s="11">
        <v>0</v>
      </c>
      <c r="P963" s="11">
        <v>0</v>
      </c>
      <c r="Q963" s="11">
        <v>0</v>
      </c>
      <c r="R963" s="11">
        <v>0</v>
      </c>
      <c r="S963" s="14">
        <v>0</v>
      </c>
      <c r="T963" s="11">
        <v>1023.37</v>
      </c>
      <c r="U963" s="13" cm="1">
        <f t="array" ref="U963">IF(Table8[[#This Row],[I_0]]&lt;Table24[Flitro de Ruido],1,Table8[[#This Row],[I_10]]/Table8[[#This Row],[I_0]])</f>
        <v>1</v>
      </c>
      <c r="V963" s="13" cm="1">
        <f t="array" ref="V963">IF(Table8[[#This Row],[I_0]]&lt;Table24[Flitro de Ruido],1,Table8[[#This Row],[I_20]]/Table8[[#This Row],[I_0]])</f>
        <v>1</v>
      </c>
      <c r="W963" s="13" cm="1">
        <f t="array" ref="W963">IF(Table8[[#This Row],[I_0]]&lt;Table24[Flitro de Ruido],1,Table8[[#This Row],[I_30]]/Table8[[#This Row],[I_0]])</f>
        <v>1</v>
      </c>
      <c r="X963" s="13" cm="1">
        <f t="array" ref="X963">IF(Table8[[#This Row],[I_0]]&lt;Table24[Flitro de Ruido],1,Table8[[#This Row],[I_40]]/Table8[[#This Row],[I_0]])</f>
        <v>1</v>
      </c>
      <c r="Y963" s="13" cm="1">
        <f t="array" ref="Y963">IF(Table8[[#This Row],[I_0]]&lt;Table24[Flitro de Ruido],1,Table8[[#This Row],[I_50]]/Table8[[#This Row],[I_0]])</f>
        <v>1</v>
      </c>
    </row>
    <row r="964" spans="1:25" x14ac:dyDescent="0.3">
      <c r="A964" s="13">
        <v>1024.3599999999999</v>
      </c>
      <c r="B964" s="12">
        <v>0</v>
      </c>
      <c r="C964" s="11">
        <v>1024.3599999999999</v>
      </c>
      <c r="D964" s="12">
        <v>0</v>
      </c>
      <c r="E964" s="11">
        <v>1024.3599999999999</v>
      </c>
      <c r="F964" s="12">
        <v>0</v>
      </c>
      <c r="G964" s="11">
        <v>1024.3599999999999</v>
      </c>
      <c r="H964" s="12">
        <v>0</v>
      </c>
      <c r="I964" s="11">
        <v>1024.3599999999999</v>
      </c>
      <c r="J964" s="12">
        <v>0</v>
      </c>
      <c r="K964" s="11">
        <v>1024.3599999999999</v>
      </c>
      <c r="L964" s="12">
        <v>0</v>
      </c>
      <c r="M964" s="11">
        <v>1024.3599999999999</v>
      </c>
      <c r="N964" s="13">
        <v>0</v>
      </c>
      <c r="O964" s="11">
        <v>0</v>
      </c>
      <c r="P964" s="11">
        <v>0</v>
      </c>
      <c r="Q964" s="11">
        <v>0</v>
      </c>
      <c r="R964" s="11">
        <v>0</v>
      </c>
      <c r="S964" s="14">
        <v>0</v>
      </c>
      <c r="T964" s="11">
        <v>1024.3599999999999</v>
      </c>
      <c r="U964" s="13" cm="1">
        <f t="array" ref="U964">IF(Table8[[#This Row],[I_0]]&lt;Table24[Flitro de Ruido],1,Table8[[#This Row],[I_10]]/Table8[[#This Row],[I_0]])</f>
        <v>1</v>
      </c>
      <c r="V964" s="13" cm="1">
        <f t="array" ref="V964">IF(Table8[[#This Row],[I_0]]&lt;Table24[Flitro de Ruido],1,Table8[[#This Row],[I_20]]/Table8[[#This Row],[I_0]])</f>
        <v>1</v>
      </c>
      <c r="W964" s="13" cm="1">
        <f t="array" ref="W964">IF(Table8[[#This Row],[I_0]]&lt;Table24[Flitro de Ruido],1,Table8[[#This Row],[I_30]]/Table8[[#This Row],[I_0]])</f>
        <v>1</v>
      </c>
      <c r="X964" s="13" cm="1">
        <f t="array" ref="X964">IF(Table8[[#This Row],[I_0]]&lt;Table24[Flitro de Ruido],1,Table8[[#This Row],[I_40]]/Table8[[#This Row],[I_0]])</f>
        <v>1</v>
      </c>
      <c r="Y964" s="13" cm="1">
        <f t="array" ref="Y964">IF(Table8[[#This Row],[I_0]]&lt;Table24[Flitro de Ruido],1,Table8[[#This Row],[I_50]]/Table8[[#This Row],[I_0]])</f>
        <v>1</v>
      </c>
    </row>
    <row r="965" spans="1:25" x14ac:dyDescent="0.3">
      <c r="A965" s="13">
        <v>1025.3499999999999</v>
      </c>
      <c r="B965" s="12">
        <v>0</v>
      </c>
      <c r="C965" s="11">
        <v>1025.3499999999999</v>
      </c>
      <c r="D965" s="12">
        <v>0</v>
      </c>
      <c r="E965" s="11">
        <v>1025.3499999999999</v>
      </c>
      <c r="F965" s="12">
        <v>0</v>
      </c>
      <c r="G965" s="11">
        <v>1025.3499999999999</v>
      </c>
      <c r="H965" s="12">
        <v>0</v>
      </c>
      <c r="I965" s="11">
        <v>1025.3499999999999</v>
      </c>
      <c r="J965" s="12">
        <v>0</v>
      </c>
      <c r="K965" s="11">
        <v>1025.3499999999999</v>
      </c>
      <c r="L965" s="12">
        <v>0</v>
      </c>
      <c r="M965" s="11">
        <v>1025.3499999999999</v>
      </c>
      <c r="N965" s="13">
        <v>0</v>
      </c>
      <c r="O965" s="11">
        <v>0</v>
      </c>
      <c r="P965" s="11">
        <v>0</v>
      </c>
      <c r="Q965" s="11">
        <v>0</v>
      </c>
      <c r="R965" s="11">
        <v>0</v>
      </c>
      <c r="S965" s="14">
        <v>0</v>
      </c>
      <c r="T965" s="11">
        <v>1025.3499999999999</v>
      </c>
      <c r="U965" s="13" cm="1">
        <f t="array" ref="U965">IF(Table8[[#This Row],[I_0]]&lt;Table24[Flitro de Ruido],1,Table8[[#This Row],[I_10]]/Table8[[#This Row],[I_0]])</f>
        <v>1</v>
      </c>
      <c r="V965" s="13" cm="1">
        <f t="array" ref="V965">IF(Table8[[#This Row],[I_0]]&lt;Table24[Flitro de Ruido],1,Table8[[#This Row],[I_20]]/Table8[[#This Row],[I_0]])</f>
        <v>1</v>
      </c>
      <c r="W965" s="13" cm="1">
        <f t="array" ref="W965">IF(Table8[[#This Row],[I_0]]&lt;Table24[Flitro de Ruido],1,Table8[[#This Row],[I_30]]/Table8[[#This Row],[I_0]])</f>
        <v>1</v>
      </c>
      <c r="X965" s="13" cm="1">
        <f t="array" ref="X965">IF(Table8[[#This Row],[I_0]]&lt;Table24[Flitro de Ruido],1,Table8[[#This Row],[I_40]]/Table8[[#This Row],[I_0]])</f>
        <v>1</v>
      </c>
      <c r="Y965" s="13" cm="1">
        <f t="array" ref="Y965">IF(Table8[[#This Row],[I_0]]&lt;Table24[Flitro de Ruido],1,Table8[[#This Row],[I_50]]/Table8[[#This Row],[I_0]])</f>
        <v>1</v>
      </c>
    </row>
    <row r="966" spans="1:25" x14ac:dyDescent="0.3">
      <c r="A966" s="13">
        <v>1026.3399999999999</v>
      </c>
      <c r="B966" s="12">
        <v>0</v>
      </c>
      <c r="C966" s="11">
        <v>1026.3399999999999</v>
      </c>
      <c r="D966" s="12">
        <v>0</v>
      </c>
      <c r="E966" s="11">
        <v>1026.3399999999999</v>
      </c>
      <c r="F966" s="12">
        <v>0</v>
      </c>
      <c r="G966" s="11">
        <v>1026.3399999999999</v>
      </c>
      <c r="H966" s="12">
        <v>0</v>
      </c>
      <c r="I966" s="11">
        <v>1026.3399999999999</v>
      </c>
      <c r="J966" s="12">
        <v>0</v>
      </c>
      <c r="K966" s="11">
        <v>1026.3399999999999</v>
      </c>
      <c r="L966" s="12">
        <v>0</v>
      </c>
      <c r="M966" s="11">
        <v>1026.3399999999999</v>
      </c>
      <c r="N966" s="13">
        <v>0</v>
      </c>
      <c r="O966" s="11">
        <v>0</v>
      </c>
      <c r="P966" s="11">
        <v>0</v>
      </c>
      <c r="Q966" s="11">
        <v>0</v>
      </c>
      <c r="R966" s="11">
        <v>0</v>
      </c>
      <c r="S966" s="14">
        <v>0</v>
      </c>
      <c r="T966" s="11">
        <v>1026.3399999999999</v>
      </c>
      <c r="U966" s="13" cm="1">
        <f t="array" ref="U966">IF(Table8[[#This Row],[I_0]]&lt;Table24[Flitro de Ruido],1,Table8[[#This Row],[I_10]]/Table8[[#This Row],[I_0]])</f>
        <v>1</v>
      </c>
      <c r="V966" s="13" cm="1">
        <f t="array" ref="V966">IF(Table8[[#This Row],[I_0]]&lt;Table24[Flitro de Ruido],1,Table8[[#This Row],[I_20]]/Table8[[#This Row],[I_0]])</f>
        <v>1</v>
      </c>
      <c r="W966" s="13" cm="1">
        <f t="array" ref="W966">IF(Table8[[#This Row],[I_0]]&lt;Table24[Flitro de Ruido],1,Table8[[#This Row],[I_30]]/Table8[[#This Row],[I_0]])</f>
        <v>1</v>
      </c>
      <c r="X966" s="13" cm="1">
        <f t="array" ref="X966">IF(Table8[[#This Row],[I_0]]&lt;Table24[Flitro de Ruido],1,Table8[[#This Row],[I_40]]/Table8[[#This Row],[I_0]])</f>
        <v>1</v>
      </c>
      <c r="Y966" s="13" cm="1">
        <f t="array" ref="Y966">IF(Table8[[#This Row],[I_0]]&lt;Table24[Flitro de Ruido],1,Table8[[#This Row],[I_50]]/Table8[[#This Row],[I_0]])</f>
        <v>1</v>
      </c>
    </row>
    <row r="967" spans="1:25" x14ac:dyDescent="0.3">
      <c r="A967" s="13">
        <v>1027.33</v>
      </c>
      <c r="B967" s="12">
        <v>0</v>
      </c>
      <c r="C967" s="11">
        <v>1027.33</v>
      </c>
      <c r="D967" s="12">
        <v>0</v>
      </c>
      <c r="E967" s="11">
        <v>1027.33</v>
      </c>
      <c r="F967" s="12">
        <v>0</v>
      </c>
      <c r="G967" s="11">
        <v>1027.33</v>
      </c>
      <c r="H967" s="12">
        <v>0</v>
      </c>
      <c r="I967" s="11">
        <v>1027.33</v>
      </c>
      <c r="J967" s="12">
        <v>0</v>
      </c>
      <c r="K967" s="11">
        <v>1027.33</v>
      </c>
      <c r="L967" s="12">
        <v>0</v>
      </c>
      <c r="M967" s="11">
        <v>1027.33</v>
      </c>
      <c r="N967" s="13">
        <v>0</v>
      </c>
      <c r="O967" s="11">
        <v>0</v>
      </c>
      <c r="P967" s="11">
        <v>0</v>
      </c>
      <c r="Q967" s="11">
        <v>0</v>
      </c>
      <c r="R967" s="11">
        <v>0</v>
      </c>
      <c r="S967" s="14">
        <v>0</v>
      </c>
      <c r="T967" s="11">
        <v>1027.33</v>
      </c>
      <c r="U967" s="13" cm="1">
        <f t="array" ref="U967">IF(Table8[[#This Row],[I_0]]&lt;Table24[Flitro de Ruido],1,Table8[[#This Row],[I_10]]/Table8[[#This Row],[I_0]])</f>
        <v>1</v>
      </c>
      <c r="V967" s="13" cm="1">
        <f t="array" ref="V967">IF(Table8[[#This Row],[I_0]]&lt;Table24[Flitro de Ruido],1,Table8[[#This Row],[I_20]]/Table8[[#This Row],[I_0]])</f>
        <v>1</v>
      </c>
      <c r="W967" s="13" cm="1">
        <f t="array" ref="W967">IF(Table8[[#This Row],[I_0]]&lt;Table24[Flitro de Ruido],1,Table8[[#This Row],[I_30]]/Table8[[#This Row],[I_0]])</f>
        <v>1</v>
      </c>
      <c r="X967" s="13" cm="1">
        <f t="array" ref="X967">IF(Table8[[#This Row],[I_0]]&lt;Table24[Flitro de Ruido],1,Table8[[#This Row],[I_40]]/Table8[[#This Row],[I_0]])</f>
        <v>1</v>
      </c>
      <c r="Y967" s="13" cm="1">
        <f t="array" ref="Y967">IF(Table8[[#This Row],[I_0]]&lt;Table24[Flitro de Ruido],1,Table8[[#This Row],[I_50]]/Table8[[#This Row],[I_0]])</f>
        <v>1</v>
      </c>
    </row>
    <row r="968" spans="1:25" x14ac:dyDescent="0.3">
      <c r="A968" s="13">
        <v>1028.33</v>
      </c>
      <c r="B968" s="12">
        <v>0</v>
      </c>
      <c r="C968" s="11">
        <v>1028.33</v>
      </c>
      <c r="D968" s="12">
        <v>0</v>
      </c>
      <c r="E968" s="11">
        <v>1028.33</v>
      </c>
      <c r="F968" s="12">
        <v>0</v>
      </c>
      <c r="G968" s="11">
        <v>1028.33</v>
      </c>
      <c r="H968" s="12">
        <v>0</v>
      </c>
      <c r="I968" s="11">
        <v>1028.33</v>
      </c>
      <c r="J968" s="12">
        <v>0</v>
      </c>
      <c r="K968" s="11">
        <v>1028.33</v>
      </c>
      <c r="L968" s="12">
        <v>0</v>
      </c>
      <c r="M968" s="11">
        <v>1028.33</v>
      </c>
      <c r="N968" s="13">
        <v>0</v>
      </c>
      <c r="O968" s="11">
        <v>0</v>
      </c>
      <c r="P968" s="11">
        <v>0</v>
      </c>
      <c r="Q968" s="11">
        <v>0</v>
      </c>
      <c r="R968" s="11">
        <v>0</v>
      </c>
      <c r="S968" s="14">
        <v>0</v>
      </c>
      <c r="T968" s="11">
        <v>1028.33</v>
      </c>
      <c r="U968" s="13" cm="1">
        <f t="array" ref="U968">IF(Table8[[#This Row],[I_0]]&lt;Table24[Flitro de Ruido],1,Table8[[#This Row],[I_10]]/Table8[[#This Row],[I_0]])</f>
        <v>1</v>
      </c>
      <c r="V968" s="13" cm="1">
        <f t="array" ref="V968">IF(Table8[[#This Row],[I_0]]&lt;Table24[Flitro de Ruido],1,Table8[[#This Row],[I_20]]/Table8[[#This Row],[I_0]])</f>
        <v>1</v>
      </c>
      <c r="W968" s="13" cm="1">
        <f t="array" ref="W968">IF(Table8[[#This Row],[I_0]]&lt;Table24[Flitro de Ruido],1,Table8[[#This Row],[I_30]]/Table8[[#This Row],[I_0]])</f>
        <v>1</v>
      </c>
      <c r="X968" s="13" cm="1">
        <f t="array" ref="X968">IF(Table8[[#This Row],[I_0]]&lt;Table24[Flitro de Ruido],1,Table8[[#This Row],[I_40]]/Table8[[#This Row],[I_0]])</f>
        <v>1</v>
      </c>
      <c r="Y968" s="13" cm="1">
        <f t="array" ref="Y968">IF(Table8[[#This Row],[I_0]]&lt;Table24[Flitro de Ruido],1,Table8[[#This Row],[I_50]]/Table8[[#This Row],[I_0]])</f>
        <v>1</v>
      </c>
    </row>
    <row r="969" spans="1:25" x14ac:dyDescent="0.3">
      <c r="A969" s="13">
        <v>1029.32</v>
      </c>
      <c r="B969" s="12">
        <v>0</v>
      </c>
      <c r="C969" s="11">
        <v>1029.32</v>
      </c>
      <c r="D969" s="12">
        <v>0</v>
      </c>
      <c r="E969" s="11">
        <v>1029.32</v>
      </c>
      <c r="F969" s="12">
        <v>0</v>
      </c>
      <c r="G969" s="11">
        <v>1029.32</v>
      </c>
      <c r="H969" s="12">
        <v>0</v>
      </c>
      <c r="I969" s="11">
        <v>1029.32</v>
      </c>
      <c r="J969" s="12">
        <v>0</v>
      </c>
      <c r="K969" s="11">
        <v>1029.32</v>
      </c>
      <c r="L969" s="12">
        <v>0</v>
      </c>
      <c r="M969" s="11">
        <v>1029.32</v>
      </c>
      <c r="N969" s="13">
        <v>0</v>
      </c>
      <c r="O969" s="11">
        <v>0</v>
      </c>
      <c r="P969" s="11">
        <v>0</v>
      </c>
      <c r="Q969" s="11">
        <v>0</v>
      </c>
      <c r="R969" s="11">
        <v>0</v>
      </c>
      <c r="S969" s="14">
        <v>0</v>
      </c>
      <c r="T969" s="11">
        <v>1029.32</v>
      </c>
      <c r="U969" s="13" cm="1">
        <f t="array" ref="U969">IF(Table8[[#This Row],[I_0]]&lt;Table24[Flitro de Ruido],1,Table8[[#This Row],[I_10]]/Table8[[#This Row],[I_0]])</f>
        <v>1</v>
      </c>
      <c r="V969" s="13" cm="1">
        <f t="array" ref="V969">IF(Table8[[#This Row],[I_0]]&lt;Table24[Flitro de Ruido],1,Table8[[#This Row],[I_20]]/Table8[[#This Row],[I_0]])</f>
        <v>1</v>
      </c>
      <c r="W969" s="13" cm="1">
        <f t="array" ref="W969">IF(Table8[[#This Row],[I_0]]&lt;Table24[Flitro de Ruido],1,Table8[[#This Row],[I_30]]/Table8[[#This Row],[I_0]])</f>
        <v>1</v>
      </c>
      <c r="X969" s="13" cm="1">
        <f t="array" ref="X969">IF(Table8[[#This Row],[I_0]]&lt;Table24[Flitro de Ruido],1,Table8[[#This Row],[I_40]]/Table8[[#This Row],[I_0]])</f>
        <v>1</v>
      </c>
      <c r="Y969" s="13" cm="1">
        <f t="array" ref="Y969">IF(Table8[[#This Row],[I_0]]&lt;Table24[Flitro de Ruido],1,Table8[[#This Row],[I_50]]/Table8[[#This Row],[I_0]])</f>
        <v>1</v>
      </c>
    </row>
    <row r="970" spans="1:25" x14ac:dyDescent="0.3">
      <c r="A970" s="13">
        <v>1030.31</v>
      </c>
      <c r="B970" s="12">
        <v>0</v>
      </c>
      <c r="C970" s="11">
        <v>1030.31</v>
      </c>
      <c r="D970" s="12">
        <v>0</v>
      </c>
      <c r="E970" s="11">
        <v>1030.31</v>
      </c>
      <c r="F970" s="12">
        <v>0</v>
      </c>
      <c r="G970" s="11">
        <v>1030.31</v>
      </c>
      <c r="H970" s="12">
        <v>0</v>
      </c>
      <c r="I970" s="11">
        <v>1030.31</v>
      </c>
      <c r="J970" s="12">
        <v>0</v>
      </c>
      <c r="K970" s="11">
        <v>1030.31</v>
      </c>
      <c r="L970" s="12">
        <v>0</v>
      </c>
      <c r="M970" s="11">
        <v>1030.31</v>
      </c>
      <c r="N970" s="13">
        <v>0</v>
      </c>
      <c r="O970" s="11">
        <v>0</v>
      </c>
      <c r="P970" s="11">
        <v>0</v>
      </c>
      <c r="Q970" s="11">
        <v>0</v>
      </c>
      <c r="R970" s="11">
        <v>0</v>
      </c>
      <c r="S970" s="14">
        <v>0</v>
      </c>
      <c r="T970" s="11">
        <v>1030.31</v>
      </c>
      <c r="U970" s="13" cm="1">
        <f t="array" ref="U970">IF(Table8[[#This Row],[I_0]]&lt;Table24[Flitro de Ruido],1,Table8[[#This Row],[I_10]]/Table8[[#This Row],[I_0]])</f>
        <v>1</v>
      </c>
      <c r="V970" s="13" cm="1">
        <f t="array" ref="V970">IF(Table8[[#This Row],[I_0]]&lt;Table24[Flitro de Ruido],1,Table8[[#This Row],[I_20]]/Table8[[#This Row],[I_0]])</f>
        <v>1</v>
      </c>
      <c r="W970" s="13" cm="1">
        <f t="array" ref="W970">IF(Table8[[#This Row],[I_0]]&lt;Table24[Flitro de Ruido],1,Table8[[#This Row],[I_30]]/Table8[[#This Row],[I_0]])</f>
        <v>1</v>
      </c>
      <c r="X970" s="13" cm="1">
        <f t="array" ref="X970">IF(Table8[[#This Row],[I_0]]&lt;Table24[Flitro de Ruido],1,Table8[[#This Row],[I_40]]/Table8[[#This Row],[I_0]])</f>
        <v>1</v>
      </c>
      <c r="Y970" s="13" cm="1">
        <f t="array" ref="Y970">IF(Table8[[#This Row],[I_0]]&lt;Table24[Flitro de Ruido],1,Table8[[#This Row],[I_50]]/Table8[[#This Row],[I_0]])</f>
        <v>1</v>
      </c>
    </row>
    <row r="971" spans="1:25" x14ac:dyDescent="0.3">
      <c r="A971" s="13">
        <v>1031.3</v>
      </c>
      <c r="B971" s="12">
        <v>0</v>
      </c>
      <c r="C971" s="11">
        <v>1031.3</v>
      </c>
      <c r="D971" s="12">
        <v>0</v>
      </c>
      <c r="E971" s="11">
        <v>1031.3</v>
      </c>
      <c r="F971" s="12">
        <v>0</v>
      </c>
      <c r="G971" s="11">
        <v>1031.3</v>
      </c>
      <c r="H971" s="12">
        <v>0</v>
      </c>
      <c r="I971" s="11">
        <v>1031.3</v>
      </c>
      <c r="J971" s="12">
        <v>0</v>
      </c>
      <c r="K971" s="11">
        <v>1031.3</v>
      </c>
      <c r="L971" s="12">
        <v>0</v>
      </c>
      <c r="M971" s="11">
        <v>1031.3</v>
      </c>
      <c r="N971" s="13">
        <v>0</v>
      </c>
      <c r="O971" s="11">
        <v>0</v>
      </c>
      <c r="P971" s="11">
        <v>0</v>
      </c>
      <c r="Q971" s="11">
        <v>0</v>
      </c>
      <c r="R971" s="11">
        <v>0</v>
      </c>
      <c r="S971" s="14">
        <v>0</v>
      </c>
      <c r="T971" s="11">
        <v>1031.3</v>
      </c>
      <c r="U971" s="13" cm="1">
        <f t="array" ref="U971">IF(Table8[[#This Row],[I_0]]&lt;Table24[Flitro de Ruido],1,Table8[[#This Row],[I_10]]/Table8[[#This Row],[I_0]])</f>
        <v>1</v>
      </c>
      <c r="V971" s="13" cm="1">
        <f t="array" ref="V971">IF(Table8[[#This Row],[I_0]]&lt;Table24[Flitro de Ruido],1,Table8[[#This Row],[I_20]]/Table8[[#This Row],[I_0]])</f>
        <v>1</v>
      </c>
      <c r="W971" s="13" cm="1">
        <f t="array" ref="W971">IF(Table8[[#This Row],[I_0]]&lt;Table24[Flitro de Ruido],1,Table8[[#This Row],[I_30]]/Table8[[#This Row],[I_0]])</f>
        <v>1</v>
      </c>
      <c r="X971" s="13" cm="1">
        <f t="array" ref="X971">IF(Table8[[#This Row],[I_0]]&lt;Table24[Flitro de Ruido],1,Table8[[#This Row],[I_40]]/Table8[[#This Row],[I_0]])</f>
        <v>1</v>
      </c>
      <c r="Y971" s="13" cm="1">
        <f t="array" ref="Y971">IF(Table8[[#This Row],[I_0]]&lt;Table24[Flitro de Ruido],1,Table8[[#This Row],[I_50]]/Table8[[#This Row],[I_0]])</f>
        <v>1</v>
      </c>
    </row>
    <row r="972" spans="1:25" x14ac:dyDescent="0.3">
      <c r="A972" s="13">
        <v>1032.29</v>
      </c>
      <c r="B972" s="12">
        <v>0</v>
      </c>
      <c r="C972" s="11">
        <v>1032.29</v>
      </c>
      <c r="D972" s="12">
        <v>0</v>
      </c>
      <c r="E972" s="11">
        <v>1032.29</v>
      </c>
      <c r="F972" s="12">
        <v>0</v>
      </c>
      <c r="G972" s="11">
        <v>1032.29</v>
      </c>
      <c r="H972" s="12">
        <v>0</v>
      </c>
      <c r="I972" s="11">
        <v>1032.29</v>
      </c>
      <c r="J972" s="12">
        <v>0</v>
      </c>
      <c r="K972" s="11">
        <v>1032.29</v>
      </c>
      <c r="L972" s="12">
        <v>0</v>
      </c>
      <c r="M972" s="11">
        <v>1032.29</v>
      </c>
      <c r="N972" s="13">
        <v>0</v>
      </c>
      <c r="O972" s="11">
        <v>0</v>
      </c>
      <c r="P972" s="11">
        <v>0</v>
      </c>
      <c r="Q972" s="11">
        <v>0</v>
      </c>
      <c r="R972" s="11">
        <v>0</v>
      </c>
      <c r="S972" s="14">
        <v>0</v>
      </c>
      <c r="T972" s="11">
        <v>1032.29</v>
      </c>
      <c r="U972" s="13" cm="1">
        <f t="array" ref="U972">IF(Table8[[#This Row],[I_0]]&lt;Table24[Flitro de Ruido],1,Table8[[#This Row],[I_10]]/Table8[[#This Row],[I_0]])</f>
        <v>1</v>
      </c>
      <c r="V972" s="13" cm="1">
        <f t="array" ref="V972">IF(Table8[[#This Row],[I_0]]&lt;Table24[Flitro de Ruido],1,Table8[[#This Row],[I_20]]/Table8[[#This Row],[I_0]])</f>
        <v>1</v>
      </c>
      <c r="W972" s="13" cm="1">
        <f t="array" ref="W972">IF(Table8[[#This Row],[I_0]]&lt;Table24[Flitro de Ruido],1,Table8[[#This Row],[I_30]]/Table8[[#This Row],[I_0]])</f>
        <v>1</v>
      </c>
      <c r="X972" s="13" cm="1">
        <f t="array" ref="X972">IF(Table8[[#This Row],[I_0]]&lt;Table24[Flitro de Ruido],1,Table8[[#This Row],[I_40]]/Table8[[#This Row],[I_0]])</f>
        <v>1</v>
      </c>
      <c r="Y972" s="13" cm="1">
        <f t="array" ref="Y972">IF(Table8[[#This Row],[I_0]]&lt;Table24[Flitro de Ruido],1,Table8[[#This Row],[I_50]]/Table8[[#This Row],[I_0]])</f>
        <v>1</v>
      </c>
    </row>
    <row r="973" spans="1:25" x14ac:dyDescent="0.3">
      <c r="A973" s="13">
        <v>1033.28</v>
      </c>
      <c r="B973" s="12">
        <v>0</v>
      </c>
      <c r="C973" s="11">
        <v>1033.28</v>
      </c>
      <c r="D973" s="12">
        <v>0</v>
      </c>
      <c r="E973" s="11">
        <v>1033.28</v>
      </c>
      <c r="F973" s="12">
        <v>0</v>
      </c>
      <c r="G973" s="11">
        <v>1033.28</v>
      </c>
      <c r="H973" s="12">
        <v>0</v>
      </c>
      <c r="I973" s="11">
        <v>1033.28</v>
      </c>
      <c r="J973" s="12">
        <v>0</v>
      </c>
      <c r="K973" s="11">
        <v>1033.28</v>
      </c>
      <c r="L973" s="12">
        <v>0</v>
      </c>
      <c r="M973" s="11">
        <v>1033.28</v>
      </c>
      <c r="N973" s="13">
        <v>0</v>
      </c>
      <c r="O973" s="11">
        <v>0</v>
      </c>
      <c r="P973" s="11">
        <v>0</v>
      </c>
      <c r="Q973" s="11">
        <v>0</v>
      </c>
      <c r="R973" s="11">
        <v>0</v>
      </c>
      <c r="S973" s="14">
        <v>0</v>
      </c>
      <c r="T973" s="11">
        <v>1033.28</v>
      </c>
      <c r="U973" s="13" cm="1">
        <f t="array" ref="U973">IF(Table8[[#This Row],[I_0]]&lt;Table24[Flitro de Ruido],1,Table8[[#This Row],[I_10]]/Table8[[#This Row],[I_0]])</f>
        <v>1</v>
      </c>
      <c r="V973" s="13" cm="1">
        <f t="array" ref="V973">IF(Table8[[#This Row],[I_0]]&lt;Table24[Flitro de Ruido],1,Table8[[#This Row],[I_20]]/Table8[[#This Row],[I_0]])</f>
        <v>1</v>
      </c>
      <c r="W973" s="13" cm="1">
        <f t="array" ref="W973">IF(Table8[[#This Row],[I_0]]&lt;Table24[Flitro de Ruido],1,Table8[[#This Row],[I_30]]/Table8[[#This Row],[I_0]])</f>
        <v>1</v>
      </c>
      <c r="X973" s="13" cm="1">
        <f t="array" ref="X973">IF(Table8[[#This Row],[I_0]]&lt;Table24[Flitro de Ruido],1,Table8[[#This Row],[I_40]]/Table8[[#This Row],[I_0]])</f>
        <v>1</v>
      </c>
      <c r="Y973" s="13" cm="1">
        <f t="array" ref="Y973">IF(Table8[[#This Row],[I_0]]&lt;Table24[Flitro de Ruido],1,Table8[[#This Row],[I_50]]/Table8[[#This Row],[I_0]])</f>
        <v>1</v>
      </c>
    </row>
    <row r="974" spans="1:25" x14ac:dyDescent="0.3">
      <c r="A974" s="13">
        <v>1034.28</v>
      </c>
      <c r="B974" s="12">
        <v>0</v>
      </c>
      <c r="C974" s="11">
        <v>1034.28</v>
      </c>
      <c r="D974" s="12">
        <v>0</v>
      </c>
      <c r="E974" s="11">
        <v>1034.28</v>
      </c>
      <c r="F974" s="12">
        <v>0</v>
      </c>
      <c r="G974" s="11">
        <v>1034.28</v>
      </c>
      <c r="H974" s="12">
        <v>0</v>
      </c>
      <c r="I974" s="11">
        <v>1034.28</v>
      </c>
      <c r="J974" s="12">
        <v>0</v>
      </c>
      <c r="K974" s="11">
        <v>1034.28</v>
      </c>
      <c r="L974" s="12">
        <v>0</v>
      </c>
      <c r="M974" s="11">
        <v>1034.28</v>
      </c>
      <c r="N974" s="13">
        <v>0</v>
      </c>
      <c r="O974" s="11">
        <v>0</v>
      </c>
      <c r="P974" s="11">
        <v>0</v>
      </c>
      <c r="Q974" s="11">
        <v>0</v>
      </c>
      <c r="R974" s="11">
        <v>0</v>
      </c>
      <c r="S974" s="14">
        <v>0</v>
      </c>
      <c r="T974" s="11">
        <v>1034.28</v>
      </c>
      <c r="U974" s="13" cm="1">
        <f t="array" ref="U974">IF(Table8[[#This Row],[I_0]]&lt;Table24[Flitro de Ruido],1,Table8[[#This Row],[I_10]]/Table8[[#This Row],[I_0]])</f>
        <v>1</v>
      </c>
      <c r="V974" s="13" cm="1">
        <f t="array" ref="V974">IF(Table8[[#This Row],[I_0]]&lt;Table24[Flitro de Ruido],1,Table8[[#This Row],[I_20]]/Table8[[#This Row],[I_0]])</f>
        <v>1</v>
      </c>
      <c r="W974" s="13" cm="1">
        <f t="array" ref="W974">IF(Table8[[#This Row],[I_0]]&lt;Table24[Flitro de Ruido],1,Table8[[#This Row],[I_30]]/Table8[[#This Row],[I_0]])</f>
        <v>1</v>
      </c>
      <c r="X974" s="13" cm="1">
        <f t="array" ref="X974">IF(Table8[[#This Row],[I_0]]&lt;Table24[Flitro de Ruido],1,Table8[[#This Row],[I_40]]/Table8[[#This Row],[I_0]])</f>
        <v>1</v>
      </c>
      <c r="Y974" s="13" cm="1">
        <f t="array" ref="Y974">IF(Table8[[#This Row],[I_0]]&lt;Table24[Flitro de Ruido],1,Table8[[#This Row],[I_50]]/Table8[[#This Row],[I_0]])</f>
        <v>1</v>
      </c>
    </row>
    <row r="975" spans="1:25" x14ac:dyDescent="0.3">
      <c r="A975" s="13">
        <v>1035.27</v>
      </c>
      <c r="B975" s="12">
        <v>0</v>
      </c>
      <c r="C975" s="11">
        <v>1035.27</v>
      </c>
      <c r="D975" s="12">
        <v>0</v>
      </c>
      <c r="E975" s="11">
        <v>1035.27</v>
      </c>
      <c r="F975" s="12">
        <v>0</v>
      </c>
      <c r="G975" s="11">
        <v>1035.27</v>
      </c>
      <c r="H975" s="12">
        <v>0</v>
      </c>
      <c r="I975" s="11">
        <v>1035.27</v>
      </c>
      <c r="J975" s="12">
        <v>0</v>
      </c>
      <c r="K975" s="11">
        <v>1035.27</v>
      </c>
      <c r="L975" s="12">
        <v>0</v>
      </c>
      <c r="M975" s="11">
        <v>1035.27</v>
      </c>
      <c r="N975" s="13">
        <v>0</v>
      </c>
      <c r="O975" s="11">
        <v>0</v>
      </c>
      <c r="P975" s="11">
        <v>0</v>
      </c>
      <c r="Q975" s="11">
        <v>0</v>
      </c>
      <c r="R975" s="11">
        <v>0</v>
      </c>
      <c r="S975" s="14">
        <v>0</v>
      </c>
      <c r="T975" s="11">
        <v>1035.27</v>
      </c>
      <c r="U975" s="13" cm="1">
        <f t="array" ref="U975">IF(Table8[[#This Row],[I_0]]&lt;Table24[Flitro de Ruido],1,Table8[[#This Row],[I_10]]/Table8[[#This Row],[I_0]])</f>
        <v>1</v>
      </c>
      <c r="V975" s="13" cm="1">
        <f t="array" ref="V975">IF(Table8[[#This Row],[I_0]]&lt;Table24[Flitro de Ruido],1,Table8[[#This Row],[I_20]]/Table8[[#This Row],[I_0]])</f>
        <v>1</v>
      </c>
      <c r="W975" s="13" cm="1">
        <f t="array" ref="W975">IF(Table8[[#This Row],[I_0]]&lt;Table24[Flitro de Ruido],1,Table8[[#This Row],[I_30]]/Table8[[#This Row],[I_0]])</f>
        <v>1</v>
      </c>
      <c r="X975" s="13" cm="1">
        <f t="array" ref="X975">IF(Table8[[#This Row],[I_0]]&lt;Table24[Flitro de Ruido],1,Table8[[#This Row],[I_40]]/Table8[[#This Row],[I_0]])</f>
        <v>1</v>
      </c>
      <c r="Y975" s="13" cm="1">
        <f t="array" ref="Y975">IF(Table8[[#This Row],[I_0]]&lt;Table24[Flitro de Ruido],1,Table8[[#This Row],[I_50]]/Table8[[#This Row],[I_0]])</f>
        <v>1</v>
      </c>
    </row>
    <row r="976" spans="1:25" x14ac:dyDescent="0.3">
      <c r="A976" s="13">
        <v>1036.26</v>
      </c>
      <c r="B976" s="12">
        <v>0</v>
      </c>
      <c r="C976" s="11">
        <v>1036.26</v>
      </c>
      <c r="D976" s="12">
        <v>0</v>
      </c>
      <c r="E976" s="11">
        <v>1036.26</v>
      </c>
      <c r="F976" s="12">
        <v>0</v>
      </c>
      <c r="G976" s="11">
        <v>1036.26</v>
      </c>
      <c r="H976" s="12">
        <v>0</v>
      </c>
      <c r="I976" s="11">
        <v>1036.26</v>
      </c>
      <c r="J976" s="12">
        <v>0</v>
      </c>
      <c r="K976" s="11">
        <v>1036.26</v>
      </c>
      <c r="L976" s="12">
        <v>0</v>
      </c>
      <c r="M976" s="11">
        <v>1036.26</v>
      </c>
      <c r="N976" s="13">
        <v>0</v>
      </c>
      <c r="O976" s="11">
        <v>0</v>
      </c>
      <c r="P976" s="11">
        <v>0</v>
      </c>
      <c r="Q976" s="11">
        <v>0</v>
      </c>
      <c r="R976" s="11">
        <v>0</v>
      </c>
      <c r="S976" s="14">
        <v>0</v>
      </c>
      <c r="T976" s="11">
        <v>1036.26</v>
      </c>
      <c r="U976" s="13" cm="1">
        <f t="array" ref="U976">IF(Table8[[#This Row],[I_0]]&lt;Table24[Flitro de Ruido],1,Table8[[#This Row],[I_10]]/Table8[[#This Row],[I_0]])</f>
        <v>1</v>
      </c>
      <c r="V976" s="13" cm="1">
        <f t="array" ref="V976">IF(Table8[[#This Row],[I_0]]&lt;Table24[Flitro de Ruido],1,Table8[[#This Row],[I_20]]/Table8[[#This Row],[I_0]])</f>
        <v>1</v>
      </c>
      <c r="W976" s="13" cm="1">
        <f t="array" ref="W976">IF(Table8[[#This Row],[I_0]]&lt;Table24[Flitro de Ruido],1,Table8[[#This Row],[I_30]]/Table8[[#This Row],[I_0]])</f>
        <v>1</v>
      </c>
      <c r="X976" s="13" cm="1">
        <f t="array" ref="X976">IF(Table8[[#This Row],[I_0]]&lt;Table24[Flitro de Ruido],1,Table8[[#This Row],[I_40]]/Table8[[#This Row],[I_0]])</f>
        <v>1</v>
      </c>
      <c r="Y976" s="13" cm="1">
        <f t="array" ref="Y976">IF(Table8[[#This Row],[I_0]]&lt;Table24[Flitro de Ruido],1,Table8[[#This Row],[I_50]]/Table8[[#This Row],[I_0]])</f>
        <v>1</v>
      </c>
    </row>
    <row r="977" spans="1:25" x14ac:dyDescent="0.3">
      <c r="A977" s="13">
        <v>1037.25</v>
      </c>
      <c r="B977" s="12">
        <v>0</v>
      </c>
      <c r="C977" s="11">
        <v>1037.25</v>
      </c>
      <c r="D977" s="12">
        <v>0</v>
      </c>
      <c r="E977" s="11">
        <v>1037.25</v>
      </c>
      <c r="F977" s="12">
        <v>0</v>
      </c>
      <c r="G977" s="11">
        <v>1037.25</v>
      </c>
      <c r="H977" s="12">
        <v>0</v>
      </c>
      <c r="I977" s="11">
        <v>1037.25</v>
      </c>
      <c r="J977" s="12">
        <v>0</v>
      </c>
      <c r="K977" s="11">
        <v>1037.25</v>
      </c>
      <c r="L977" s="12">
        <v>0</v>
      </c>
      <c r="M977" s="11">
        <v>1037.25</v>
      </c>
      <c r="N977" s="13">
        <v>0</v>
      </c>
      <c r="O977" s="11">
        <v>0</v>
      </c>
      <c r="P977" s="11">
        <v>0</v>
      </c>
      <c r="Q977" s="11">
        <v>0</v>
      </c>
      <c r="R977" s="11">
        <v>0</v>
      </c>
      <c r="S977" s="14">
        <v>0</v>
      </c>
      <c r="T977" s="11">
        <v>1037.25</v>
      </c>
      <c r="U977" s="13" cm="1">
        <f t="array" ref="U977">IF(Table8[[#This Row],[I_0]]&lt;Table24[Flitro de Ruido],1,Table8[[#This Row],[I_10]]/Table8[[#This Row],[I_0]])</f>
        <v>1</v>
      </c>
      <c r="V977" s="13" cm="1">
        <f t="array" ref="V977">IF(Table8[[#This Row],[I_0]]&lt;Table24[Flitro de Ruido],1,Table8[[#This Row],[I_20]]/Table8[[#This Row],[I_0]])</f>
        <v>1</v>
      </c>
      <c r="W977" s="13" cm="1">
        <f t="array" ref="W977">IF(Table8[[#This Row],[I_0]]&lt;Table24[Flitro de Ruido],1,Table8[[#This Row],[I_30]]/Table8[[#This Row],[I_0]])</f>
        <v>1</v>
      </c>
      <c r="X977" s="13" cm="1">
        <f t="array" ref="X977">IF(Table8[[#This Row],[I_0]]&lt;Table24[Flitro de Ruido],1,Table8[[#This Row],[I_40]]/Table8[[#This Row],[I_0]])</f>
        <v>1</v>
      </c>
      <c r="Y977" s="13" cm="1">
        <f t="array" ref="Y977">IF(Table8[[#This Row],[I_0]]&lt;Table24[Flitro de Ruido],1,Table8[[#This Row],[I_50]]/Table8[[#This Row],[I_0]])</f>
        <v>1</v>
      </c>
    </row>
    <row r="978" spans="1:25" x14ac:dyDescent="0.3">
      <c r="A978" s="13">
        <v>1038.24</v>
      </c>
      <c r="B978" s="12">
        <v>0</v>
      </c>
      <c r="C978" s="11">
        <v>1038.24</v>
      </c>
      <c r="D978" s="12">
        <v>0</v>
      </c>
      <c r="E978" s="11">
        <v>1038.24</v>
      </c>
      <c r="F978" s="12">
        <v>0</v>
      </c>
      <c r="G978" s="11">
        <v>1038.24</v>
      </c>
      <c r="H978" s="12">
        <v>0</v>
      </c>
      <c r="I978" s="11">
        <v>1038.24</v>
      </c>
      <c r="J978" s="12">
        <v>0</v>
      </c>
      <c r="K978" s="11">
        <v>1038.24</v>
      </c>
      <c r="L978" s="12">
        <v>0</v>
      </c>
      <c r="M978" s="11">
        <v>1038.24</v>
      </c>
      <c r="N978" s="13">
        <v>0</v>
      </c>
      <c r="O978" s="11">
        <v>0</v>
      </c>
      <c r="P978" s="11">
        <v>0</v>
      </c>
      <c r="Q978" s="11">
        <v>0</v>
      </c>
      <c r="R978" s="11">
        <v>0</v>
      </c>
      <c r="S978" s="14">
        <v>0</v>
      </c>
      <c r="T978" s="11">
        <v>1038.24</v>
      </c>
      <c r="U978" s="13" cm="1">
        <f t="array" ref="U978">IF(Table8[[#This Row],[I_0]]&lt;Table24[Flitro de Ruido],1,Table8[[#This Row],[I_10]]/Table8[[#This Row],[I_0]])</f>
        <v>1</v>
      </c>
      <c r="V978" s="13" cm="1">
        <f t="array" ref="V978">IF(Table8[[#This Row],[I_0]]&lt;Table24[Flitro de Ruido],1,Table8[[#This Row],[I_20]]/Table8[[#This Row],[I_0]])</f>
        <v>1</v>
      </c>
      <c r="W978" s="13" cm="1">
        <f t="array" ref="W978">IF(Table8[[#This Row],[I_0]]&lt;Table24[Flitro de Ruido],1,Table8[[#This Row],[I_30]]/Table8[[#This Row],[I_0]])</f>
        <v>1</v>
      </c>
      <c r="X978" s="13" cm="1">
        <f t="array" ref="X978">IF(Table8[[#This Row],[I_0]]&lt;Table24[Flitro de Ruido],1,Table8[[#This Row],[I_40]]/Table8[[#This Row],[I_0]])</f>
        <v>1</v>
      </c>
      <c r="Y978" s="13" cm="1">
        <f t="array" ref="Y978">IF(Table8[[#This Row],[I_0]]&lt;Table24[Flitro de Ruido],1,Table8[[#This Row],[I_50]]/Table8[[#This Row],[I_0]])</f>
        <v>1</v>
      </c>
    </row>
    <row r="979" spans="1:25" x14ac:dyDescent="0.3">
      <c r="A979" s="13">
        <v>1039.23</v>
      </c>
      <c r="B979" s="12">
        <v>0</v>
      </c>
      <c r="C979" s="11">
        <v>1039.23</v>
      </c>
      <c r="D979" s="12">
        <v>0</v>
      </c>
      <c r="E979" s="11">
        <v>1039.23</v>
      </c>
      <c r="F979" s="12">
        <v>0</v>
      </c>
      <c r="G979" s="11">
        <v>1039.23</v>
      </c>
      <c r="H979" s="12">
        <v>0</v>
      </c>
      <c r="I979" s="11">
        <v>1039.23</v>
      </c>
      <c r="J979" s="12">
        <v>0</v>
      </c>
      <c r="K979" s="11">
        <v>1039.23</v>
      </c>
      <c r="L979" s="12">
        <v>0</v>
      </c>
      <c r="M979" s="11">
        <v>1039.23</v>
      </c>
      <c r="N979" s="13">
        <v>0</v>
      </c>
      <c r="O979" s="11">
        <v>0</v>
      </c>
      <c r="P979" s="11">
        <v>0</v>
      </c>
      <c r="Q979" s="11">
        <v>0</v>
      </c>
      <c r="R979" s="11">
        <v>0</v>
      </c>
      <c r="S979" s="14">
        <v>0</v>
      </c>
      <c r="T979" s="11">
        <v>1039.23</v>
      </c>
      <c r="U979" s="13" cm="1">
        <f t="array" ref="U979">IF(Table8[[#This Row],[I_0]]&lt;Table24[Flitro de Ruido],1,Table8[[#This Row],[I_10]]/Table8[[#This Row],[I_0]])</f>
        <v>1</v>
      </c>
      <c r="V979" s="13" cm="1">
        <f t="array" ref="V979">IF(Table8[[#This Row],[I_0]]&lt;Table24[Flitro de Ruido],1,Table8[[#This Row],[I_20]]/Table8[[#This Row],[I_0]])</f>
        <v>1</v>
      </c>
      <c r="W979" s="13" cm="1">
        <f t="array" ref="W979">IF(Table8[[#This Row],[I_0]]&lt;Table24[Flitro de Ruido],1,Table8[[#This Row],[I_30]]/Table8[[#This Row],[I_0]])</f>
        <v>1</v>
      </c>
      <c r="X979" s="13" cm="1">
        <f t="array" ref="X979">IF(Table8[[#This Row],[I_0]]&lt;Table24[Flitro de Ruido],1,Table8[[#This Row],[I_40]]/Table8[[#This Row],[I_0]])</f>
        <v>1</v>
      </c>
      <c r="Y979" s="13" cm="1">
        <f t="array" ref="Y979">IF(Table8[[#This Row],[I_0]]&lt;Table24[Flitro de Ruido],1,Table8[[#This Row],[I_50]]/Table8[[#This Row],[I_0]])</f>
        <v>1</v>
      </c>
    </row>
    <row r="980" spans="1:25" x14ac:dyDescent="0.3">
      <c r="A980" s="13">
        <v>1040.23</v>
      </c>
      <c r="B980" s="12">
        <v>0</v>
      </c>
      <c r="C980" s="11">
        <v>1040.23</v>
      </c>
      <c r="D980" s="12">
        <v>0</v>
      </c>
      <c r="E980" s="11">
        <v>1040.23</v>
      </c>
      <c r="F980" s="12">
        <v>0</v>
      </c>
      <c r="G980" s="11">
        <v>1040.23</v>
      </c>
      <c r="H980" s="12">
        <v>0</v>
      </c>
      <c r="I980" s="11">
        <v>1040.23</v>
      </c>
      <c r="J980" s="12">
        <v>0</v>
      </c>
      <c r="K980" s="11">
        <v>1040.23</v>
      </c>
      <c r="L980" s="12">
        <v>0</v>
      </c>
      <c r="M980" s="11">
        <v>1040.23</v>
      </c>
      <c r="N980" s="13">
        <v>0</v>
      </c>
      <c r="O980" s="11">
        <v>0</v>
      </c>
      <c r="P980" s="11">
        <v>0</v>
      </c>
      <c r="Q980" s="11">
        <v>0</v>
      </c>
      <c r="R980" s="11">
        <v>0</v>
      </c>
      <c r="S980" s="14">
        <v>0</v>
      </c>
      <c r="T980" s="11">
        <v>1040.23</v>
      </c>
      <c r="U980" s="13" cm="1">
        <f t="array" ref="U980">IF(Table8[[#This Row],[I_0]]&lt;Table24[Flitro de Ruido],1,Table8[[#This Row],[I_10]]/Table8[[#This Row],[I_0]])</f>
        <v>1</v>
      </c>
      <c r="V980" s="13" cm="1">
        <f t="array" ref="V980">IF(Table8[[#This Row],[I_0]]&lt;Table24[Flitro de Ruido],1,Table8[[#This Row],[I_20]]/Table8[[#This Row],[I_0]])</f>
        <v>1</v>
      </c>
      <c r="W980" s="13" cm="1">
        <f t="array" ref="W980">IF(Table8[[#This Row],[I_0]]&lt;Table24[Flitro de Ruido],1,Table8[[#This Row],[I_30]]/Table8[[#This Row],[I_0]])</f>
        <v>1</v>
      </c>
      <c r="X980" s="13" cm="1">
        <f t="array" ref="X980">IF(Table8[[#This Row],[I_0]]&lt;Table24[Flitro de Ruido],1,Table8[[#This Row],[I_40]]/Table8[[#This Row],[I_0]])</f>
        <v>1</v>
      </c>
      <c r="Y980" s="13" cm="1">
        <f t="array" ref="Y980">IF(Table8[[#This Row],[I_0]]&lt;Table24[Flitro de Ruido],1,Table8[[#This Row],[I_50]]/Table8[[#This Row],[I_0]])</f>
        <v>1</v>
      </c>
    </row>
    <row r="981" spans="1:25" x14ac:dyDescent="0.3">
      <c r="A981" s="13">
        <v>1041.22</v>
      </c>
      <c r="B981" s="12">
        <v>0</v>
      </c>
      <c r="C981" s="11">
        <v>1041.22</v>
      </c>
      <c r="D981" s="12">
        <v>0</v>
      </c>
      <c r="E981" s="11">
        <v>1041.22</v>
      </c>
      <c r="F981" s="12">
        <v>0</v>
      </c>
      <c r="G981" s="11">
        <v>1041.22</v>
      </c>
      <c r="H981" s="12">
        <v>0</v>
      </c>
      <c r="I981" s="11">
        <v>1041.22</v>
      </c>
      <c r="J981" s="12">
        <v>0</v>
      </c>
      <c r="K981" s="11">
        <v>1041.22</v>
      </c>
      <c r="L981" s="12">
        <v>0</v>
      </c>
      <c r="M981" s="11">
        <v>1041.22</v>
      </c>
      <c r="N981" s="13">
        <v>0</v>
      </c>
      <c r="O981" s="11">
        <v>0</v>
      </c>
      <c r="P981" s="11">
        <v>0</v>
      </c>
      <c r="Q981" s="11">
        <v>0</v>
      </c>
      <c r="R981" s="11">
        <v>0</v>
      </c>
      <c r="S981" s="14">
        <v>0</v>
      </c>
      <c r="T981" s="11">
        <v>1041.22</v>
      </c>
      <c r="U981" s="13" cm="1">
        <f t="array" ref="U981">IF(Table8[[#This Row],[I_0]]&lt;Table24[Flitro de Ruido],1,Table8[[#This Row],[I_10]]/Table8[[#This Row],[I_0]])</f>
        <v>1</v>
      </c>
      <c r="V981" s="13" cm="1">
        <f t="array" ref="V981">IF(Table8[[#This Row],[I_0]]&lt;Table24[Flitro de Ruido],1,Table8[[#This Row],[I_20]]/Table8[[#This Row],[I_0]])</f>
        <v>1</v>
      </c>
      <c r="W981" s="13" cm="1">
        <f t="array" ref="W981">IF(Table8[[#This Row],[I_0]]&lt;Table24[Flitro de Ruido],1,Table8[[#This Row],[I_30]]/Table8[[#This Row],[I_0]])</f>
        <v>1</v>
      </c>
      <c r="X981" s="13" cm="1">
        <f t="array" ref="X981">IF(Table8[[#This Row],[I_0]]&lt;Table24[Flitro de Ruido],1,Table8[[#This Row],[I_40]]/Table8[[#This Row],[I_0]])</f>
        <v>1</v>
      </c>
      <c r="Y981" s="13" cm="1">
        <f t="array" ref="Y981">IF(Table8[[#This Row],[I_0]]&lt;Table24[Flitro de Ruido],1,Table8[[#This Row],[I_50]]/Table8[[#This Row],[I_0]])</f>
        <v>1</v>
      </c>
    </row>
    <row r="982" spans="1:25" x14ac:dyDescent="0.3">
      <c r="A982" s="13">
        <v>1042.21</v>
      </c>
      <c r="B982" s="12">
        <v>0</v>
      </c>
      <c r="C982" s="11">
        <v>1042.21</v>
      </c>
      <c r="D982" s="12">
        <v>0</v>
      </c>
      <c r="E982" s="11">
        <v>1042.21</v>
      </c>
      <c r="F982" s="12">
        <v>0</v>
      </c>
      <c r="G982" s="11">
        <v>1042.21</v>
      </c>
      <c r="H982" s="12">
        <v>0</v>
      </c>
      <c r="I982" s="11">
        <v>1042.21</v>
      </c>
      <c r="J982" s="12">
        <v>0</v>
      </c>
      <c r="K982" s="11">
        <v>1042.21</v>
      </c>
      <c r="L982" s="12">
        <v>0</v>
      </c>
      <c r="M982" s="11">
        <v>1042.21</v>
      </c>
      <c r="N982" s="13">
        <v>0</v>
      </c>
      <c r="O982" s="11">
        <v>0</v>
      </c>
      <c r="P982" s="11">
        <v>0</v>
      </c>
      <c r="Q982" s="11">
        <v>0</v>
      </c>
      <c r="R982" s="11">
        <v>0</v>
      </c>
      <c r="S982" s="14">
        <v>0</v>
      </c>
      <c r="T982" s="11">
        <v>1042.21</v>
      </c>
      <c r="U982" s="13" cm="1">
        <f t="array" ref="U982">IF(Table8[[#This Row],[I_0]]&lt;Table24[Flitro de Ruido],1,Table8[[#This Row],[I_10]]/Table8[[#This Row],[I_0]])</f>
        <v>1</v>
      </c>
      <c r="V982" s="13" cm="1">
        <f t="array" ref="V982">IF(Table8[[#This Row],[I_0]]&lt;Table24[Flitro de Ruido],1,Table8[[#This Row],[I_20]]/Table8[[#This Row],[I_0]])</f>
        <v>1</v>
      </c>
      <c r="W982" s="13" cm="1">
        <f t="array" ref="W982">IF(Table8[[#This Row],[I_0]]&lt;Table24[Flitro de Ruido],1,Table8[[#This Row],[I_30]]/Table8[[#This Row],[I_0]])</f>
        <v>1</v>
      </c>
      <c r="X982" s="13" cm="1">
        <f t="array" ref="X982">IF(Table8[[#This Row],[I_0]]&lt;Table24[Flitro de Ruido],1,Table8[[#This Row],[I_40]]/Table8[[#This Row],[I_0]])</f>
        <v>1</v>
      </c>
      <c r="Y982" s="13" cm="1">
        <f t="array" ref="Y982">IF(Table8[[#This Row],[I_0]]&lt;Table24[Flitro de Ruido],1,Table8[[#This Row],[I_50]]/Table8[[#This Row],[I_0]])</f>
        <v>1</v>
      </c>
    </row>
    <row r="983" spans="1:25" x14ac:dyDescent="0.3">
      <c r="A983" s="13">
        <v>1043.2</v>
      </c>
      <c r="B983" s="12">
        <v>0</v>
      </c>
      <c r="C983" s="11">
        <v>1043.2</v>
      </c>
      <c r="D983" s="12">
        <v>0</v>
      </c>
      <c r="E983" s="11">
        <v>1043.2</v>
      </c>
      <c r="F983" s="12">
        <v>0</v>
      </c>
      <c r="G983" s="11">
        <v>1043.2</v>
      </c>
      <c r="H983" s="12">
        <v>0</v>
      </c>
      <c r="I983" s="11">
        <v>1043.2</v>
      </c>
      <c r="J983" s="12">
        <v>0</v>
      </c>
      <c r="K983" s="11">
        <v>1043.2</v>
      </c>
      <c r="L983" s="12">
        <v>0</v>
      </c>
      <c r="M983" s="11">
        <v>1043.2</v>
      </c>
      <c r="N983" s="13">
        <v>0</v>
      </c>
      <c r="O983" s="11">
        <v>0</v>
      </c>
      <c r="P983" s="11">
        <v>0</v>
      </c>
      <c r="Q983" s="11">
        <v>0</v>
      </c>
      <c r="R983" s="11">
        <v>0</v>
      </c>
      <c r="S983" s="14">
        <v>0</v>
      </c>
      <c r="T983" s="11">
        <v>1043.2</v>
      </c>
      <c r="U983" s="13" cm="1">
        <f t="array" ref="U983">IF(Table8[[#This Row],[I_0]]&lt;Table24[Flitro de Ruido],1,Table8[[#This Row],[I_10]]/Table8[[#This Row],[I_0]])</f>
        <v>1</v>
      </c>
      <c r="V983" s="13" cm="1">
        <f t="array" ref="V983">IF(Table8[[#This Row],[I_0]]&lt;Table24[Flitro de Ruido],1,Table8[[#This Row],[I_20]]/Table8[[#This Row],[I_0]])</f>
        <v>1</v>
      </c>
      <c r="W983" s="13" cm="1">
        <f t="array" ref="W983">IF(Table8[[#This Row],[I_0]]&lt;Table24[Flitro de Ruido],1,Table8[[#This Row],[I_30]]/Table8[[#This Row],[I_0]])</f>
        <v>1</v>
      </c>
      <c r="X983" s="13" cm="1">
        <f t="array" ref="X983">IF(Table8[[#This Row],[I_0]]&lt;Table24[Flitro de Ruido],1,Table8[[#This Row],[I_40]]/Table8[[#This Row],[I_0]])</f>
        <v>1</v>
      </c>
      <c r="Y983" s="13" cm="1">
        <f t="array" ref="Y983">IF(Table8[[#This Row],[I_0]]&lt;Table24[Flitro de Ruido],1,Table8[[#This Row],[I_50]]/Table8[[#This Row],[I_0]])</f>
        <v>1</v>
      </c>
    </row>
    <row r="984" spans="1:25" x14ac:dyDescent="0.3">
      <c r="A984" s="13">
        <v>1044.19</v>
      </c>
      <c r="B984" s="12">
        <v>0</v>
      </c>
      <c r="C984" s="11">
        <v>1044.19</v>
      </c>
      <c r="D984" s="12">
        <v>0</v>
      </c>
      <c r="E984" s="11">
        <v>1044.19</v>
      </c>
      <c r="F984" s="12">
        <v>0</v>
      </c>
      <c r="G984" s="11">
        <v>1044.19</v>
      </c>
      <c r="H984" s="12">
        <v>0</v>
      </c>
      <c r="I984" s="11">
        <v>1044.19</v>
      </c>
      <c r="J984" s="12">
        <v>0</v>
      </c>
      <c r="K984" s="11">
        <v>1044.19</v>
      </c>
      <c r="L984" s="12">
        <v>0</v>
      </c>
      <c r="M984" s="11">
        <v>1044.19</v>
      </c>
      <c r="N984" s="13">
        <v>0</v>
      </c>
      <c r="O984" s="11">
        <v>0</v>
      </c>
      <c r="P984" s="11">
        <v>0</v>
      </c>
      <c r="Q984" s="11">
        <v>0</v>
      </c>
      <c r="R984" s="11">
        <v>0</v>
      </c>
      <c r="S984" s="14">
        <v>0</v>
      </c>
      <c r="T984" s="11">
        <v>1044.19</v>
      </c>
      <c r="U984" s="13" cm="1">
        <f t="array" ref="U984">IF(Table8[[#This Row],[I_0]]&lt;Table24[Flitro de Ruido],1,Table8[[#This Row],[I_10]]/Table8[[#This Row],[I_0]])</f>
        <v>1</v>
      </c>
      <c r="V984" s="13" cm="1">
        <f t="array" ref="V984">IF(Table8[[#This Row],[I_0]]&lt;Table24[Flitro de Ruido],1,Table8[[#This Row],[I_20]]/Table8[[#This Row],[I_0]])</f>
        <v>1</v>
      </c>
      <c r="W984" s="13" cm="1">
        <f t="array" ref="W984">IF(Table8[[#This Row],[I_0]]&lt;Table24[Flitro de Ruido],1,Table8[[#This Row],[I_30]]/Table8[[#This Row],[I_0]])</f>
        <v>1</v>
      </c>
      <c r="X984" s="13" cm="1">
        <f t="array" ref="X984">IF(Table8[[#This Row],[I_0]]&lt;Table24[Flitro de Ruido],1,Table8[[#This Row],[I_40]]/Table8[[#This Row],[I_0]])</f>
        <v>1</v>
      </c>
      <c r="Y984" s="13" cm="1">
        <f t="array" ref="Y984">IF(Table8[[#This Row],[I_0]]&lt;Table24[Flitro de Ruido],1,Table8[[#This Row],[I_50]]/Table8[[#This Row],[I_0]])</f>
        <v>1</v>
      </c>
    </row>
    <row r="985" spans="1:25" x14ac:dyDescent="0.3">
      <c r="A985" s="13">
        <v>1045.19</v>
      </c>
      <c r="B985" s="12">
        <v>0</v>
      </c>
      <c r="C985" s="11">
        <v>1045.19</v>
      </c>
      <c r="D985" s="12">
        <v>0</v>
      </c>
      <c r="E985" s="11">
        <v>1045.19</v>
      </c>
      <c r="F985" s="12">
        <v>0</v>
      </c>
      <c r="G985" s="11">
        <v>1045.19</v>
      </c>
      <c r="H985" s="12">
        <v>0</v>
      </c>
      <c r="I985" s="11">
        <v>1045.19</v>
      </c>
      <c r="J985" s="12">
        <v>0</v>
      </c>
      <c r="K985" s="11">
        <v>1045.19</v>
      </c>
      <c r="L985" s="12">
        <v>0</v>
      </c>
      <c r="M985" s="11">
        <v>1045.19</v>
      </c>
      <c r="N985" s="13">
        <v>0</v>
      </c>
      <c r="O985" s="11">
        <v>0</v>
      </c>
      <c r="P985" s="11">
        <v>0</v>
      </c>
      <c r="Q985" s="11">
        <v>0</v>
      </c>
      <c r="R985" s="11">
        <v>0</v>
      </c>
      <c r="S985" s="14">
        <v>0</v>
      </c>
      <c r="T985" s="11">
        <v>1045.19</v>
      </c>
      <c r="U985" s="13" cm="1">
        <f t="array" ref="U985">IF(Table8[[#This Row],[I_0]]&lt;Table24[Flitro de Ruido],1,Table8[[#This Row],[I_10]]/Table8[[#This Row],[I_0]])</f>
        <v>1</v>
      </c>
      <c r="V985" s="13" cm="1">
        <f t="array" ref="V985">IF(Table8[[#This Row],[I_0]]&lt;Table24[Flitro de Ruido],1,Table8[[#This Row],[I_20]]/Table8[[#This Row],[I_0]])</f>
        <v>1</v>
      </c>
      <c r="W985" s="13" cm="1">
        <f t="array" ref="W985">IF(Table8[[#This Row],[I_0]]&lt;Table24[Flitro de Ruido],1,Table8[[#This Row],[I_30]]/Table8[[#This Row],[I_0]])</f>
        <v>1</v>
      </c>
      <c r="X985" s="13" cm="1">
        <f t="array" ref="X985">IF(Table8[[#This Row],[I_0]]&lt;Table24[Flitro de Ruido],1,Table8[[#This Row],[I_40]]/Table8[[#This Row],[I_0]])</f>
        <v>1</v>
      </c>
      <c r="Y985" s="13" cm="1">
        <f t="array" ref="Y985">IF(Table8[[#This Row],[I_0]]&lt;Table24[Flitro de Ruido],1,Table8[[#This Row],[I_50]]/Table8[[#This Row],[I_0]])</f>
        <v>1</v>
      </c>
    </row>
    <row r="986" spans="1:25" x14ac:dyDescent="0.3">
      <c r="A986" s="13">
        <v>1046.18</v>
      </c>
      <c r="B986" s="12">
        <v>0</v>
      </c>
      <c r="C986" s="11">
        <v>1046.18</v>
      </c>
      <c r="D986" s="12">
        <v>0</v>
      </c>
      <c r="E986" s="11">
        <v>1046.18</v>
      </c>
      <c r="F986" s="12">
        <v>0</v>
      </c>
      <c r="G986" s="11">
        <v>1046.18</v>
      </c>
      <c r="H986" s="12">
        <v>0</v>
      </c>
      <c r="I986" s="11">
        <v>1046.18</v>
      </c>
      <c r="J986" s="12">
        <v>0</v>
      </c>
      <c r="K986" s="11">
        <v>1046.18</v>
      </c>
      <c r="L986" s="12">
        <v>0</v>
      </c>
      <c r="M986" s="11">
        <v>1046.18</v>
      </c>
      <c r="N986" s="13">
        <v>0</v>
      </c>
      <c r="O986" s="11">
        <v>0</v>
      </c>
      <c r="P986" s="11">
        <v>0</v>
      </c>
      <c r="Q986" s="11">
        <v>0</v>
      </c>
      <c r="R986" s="11">
        <v>0</v>
      </c>
      <c r="S986" s="14">
        <v>0</v>
      </c>
      <c r="T986" s="11">
        <v>1046.18</v>
      </c>
      <c r="U986" s="13" cm="1">
        <f t="array" ref="U986">IF(Table8[[#This Row],[I_0]]&lt;Table24[Flitro de Ruido],1,Table8[[#This Row],[I_10]]/Table8[[#This Row],[I_0]])</f>
        <v>1</v>
      </c>
      <c r="V986" s="13" cm="1">
        <f t="array" ref="V986">IF(Table8[[#This Row],[I_0]]&lt;Table24[Flitro de Ruido],1,Table8[[#This Row],[I_20]]/Table8[[#This Row],[I_0]])</f>
        <v>1</v>
      </c>
      <c r="W986" s="13" cm="1">
        <f t="array" ref="W986">IF(Table8[[#This Row],[I_0]]&lt;Table24[Flitro de Ruido],1,Table8[[#This Row],[I_30]]/Table8[[#This Row],[I_0]])</f>
        <v>1</v>
      </c>
      <c r="X986" s="13" cm="1">
        <f t="array" ref="X986">IF(Table8[[#This Row],[I_0]]&lt;Table24[Flitro de Ruido],1,Table8[[#This Row],[I_40]]/Table8[[#This Row],[I_0]])</f>
        <v>1</v>
      </c>
      <c r="Y986" s="13" cm="1">
        <f t="array" ref="Y986">IF(Table8[[#This Row],[I_0]]&lt;Table24[Flitro de Ruido],1,Table8[[#This Row],[I_50]]/Table8[[#This Row],[I_0]])</f>
        <v>1</v>
      </c>
    </row>
    <row r="987" spans="1:25" x14ac:dyDescent="0.3">
      <c r="A987" s="13">
        <v>1047.17</v>
      </c>
      <c r="B987" s="12">
        <v>0</v>
      </c>
      <c r="C987" s="11">
        <v>1047.17</v>
      </c>
      <c r="D987" s="12">
        <v>0</v>
      </c>
      <c r="E987" s="11">
        <v>1047.17</v>
      </c>
      <c r="F987" s="12">
        <v>0</v>
      </c>
      <c r="G987" s="11">
        <v>1047.17</v>
      </c>
      <c r="H987" s="12">
        <v>0</v>
      </c>
      <c r="I987" s="11">
        <v>1047.17</v>
      </c>
      <c r="J987" s="12">
        <v>0</v>
      </c>
      <c r="K987" s="11">
        <v>1047.17</v>
      </c>
      <c r="L987" s="12">
        <v>0</v>
      </c>
      <c r="M987" s="11">
        <v>1047.17</v>
      </c>
      <c r="N987" s="13">
        <v>0</v>
      </c>
      <c r="O987" s="11">
        <v>0</v>
      </c>
      <c r="P987" s="11">
        <v>0</v>
      </c>
      <c r="Q987" s="11">
        <v>0</v>
      </c>
      <c r="R987" s="11">
        <v>0</v>
      </c>
      <c r="S987" s="14">
        <v>0</v>
      </c>
      <c r="T987" s="11">
        <v>1047.17</v>
      </c>
      <c r="U987" s="13" cm="1">
        <f t="array" ref="U987">IF(Table8[[#This Row],[I_0]]&lt;Table24[Flitro de Ruido],1,Table8[[#This Row],[I_10]]/Table8[[#This Row],[I_0]])</f>
        <v>1</v>
      </c>
      <c r="V987" s="13" cm="1">
        <f t="array" ref="V987">IF(Table8[[#This Row],[I_0]]&lt;Table24[Flitro de Ruido],1,Table8[[#This Row],[I_20]]/Table8[[#This Row],[I_0]])</f>
        <v>1</v>
      </c>
      <c r="W987" s="13" cm="1">
        <f t="array" ref="W987">IF(Table8[[#This Row],[I_0]]&lt;Table24[Flitro de Ruido],1,Table8[[#This Row],[I_30]]/Table8[[#This Row],[I_0]])</f>
        <v>1</v>
      </c>
      <c r="X987" s="13" cm="1">
        <f t="array" ref="X987">IF(Table8[[#This Row],[I_0]]&lt;Table24[Flitro de Ruido],1,Table8[[#This Row],[I_40]]/Table8[[#This Row],[I_0]])</f>
        <v>1</v>
      </c>
      <c r="Y987" s="13" cm="1">
        <f t="array" ref="Y987">IF(Table8[[#This Row],[I_0]]&lt;Table24[Flitro de Ruido],1,Table8[[#This Row],[I_50]]/Table8[[#This Row],[I_0]])</f>
        <v>1</v>
      </c>
    </row>
    <row r="988" spans="1:25" x14ac:dyDescent="0.3">
      <c r="A988" s="13">
        <v>1048.1600000000001</v>
      </c>
      <c r="B988" s="12">
        <v>0</v>
      </c>
      <c r="C988" s="11">
        <v>1048.1600000000001</v>
      </c>
      <c r="D988" s="12">
        <v>0</v>
      </c>
      <c r="E988" s="11">
        <v>1048.1600000000001</v>
      </c>
      <c r="F988" s="12">
        <v>0</v>
      </c>
      <c r="G988" s="11">
        <v>1048.1600000000001</v>
      </c>
      <c r="H988" s="12">
        <v>0</v>
      </c>
      <c r="I988" s="11">
        <v>1048.1600000000001</v>
      </c>
      <c r="J988" s="12">
        <v>0</v>
      </c>
      <c r="K988" s="11">
        <v>1048.1600000000001</v>
      </c>
      <c r="L988" s="12">
        <v>0</v>
      </c>
      <c r="M988" s="11">
        <v>1048.1600000000001</v>
      </c>
      <c r="N988" s="13">
        <v>0</v>
      </c>
      <c r="O988" s="11">
        <v>0</v>
      </c>
      <c r="P988" s="11">
        <v>0</v>
      </c>
      <c r="Q988" s="11">
        <v>0</v>
      </c>
      <c r="R988" s="11">
        <v>0</v>
      </c>
      <c r="S988" s="14">
        <v>0</v>
      </c>
      <c r="T988" s="11">
        <v>1048.1600000000001</v>
      </c>
      <c r="U988" s="13" cm="1">
        <f t="array" ref="U988">IF(Table8[[#This Row],[I_0]]&lt;Table24[Flitro de Ruido],1,Table8[[#This Row],[I_10]]/Table8[[#This Row],[I_0]])</f>
        <v>1</v>
      </c>
      <c r="V988" s="13" cm="1">
        <f t="array" ref="V988">IF(Table8[[#This Row],[I_0]]&lt;Table24[Flitro de Ruido],1,Table8[[#This Row],[I_20]]/Table8[[#This Row],[I_0]])</f>
        <v>1</v>
      </c>
      <c r="W988" s="13" cm="1">
        <f t="array" ref="W988">IF(Table8[[#This Row],[I_0]]&lt;Table24[Flitro de Ruido],1,Table8[[#This Row],[I_30]]/Table8[[#This Row],[I_0]])</f>
        <v>1</v>
      </c>
      <c r="X988" s="13" cm="1">
        <f t="array" ref="X988">IF(Table8[[#This Row],[I_0]]&lt;Table24[Flitro de Ruido],1,Table8[[#This Row],[I_40]]/Table8[[#This Row],[I_0]])</f>
        <v>1</v>
      </c>
      <c r="Y988" s="13" cm="1">
        <f t="array" ref="Y988">IF(Table8[[#This Row],[I_0]]&lt;Table24[Flitro de Ruido],1,Table8[[#This Row],[I_50]]/Table8[[#This Row],[I_0]])</f>
        <v>1</v>
      </c>
    </row>
    <row r="989" spans="1:25" x14ac:dyDescent="0.3">
      <c r="A989" s="13">
        <v>1049.1500000000001</v>
      </c>
      <c r="B989" s="12">
        <v>0</v>
      </c>
      <c r="C989" s="11">
        <v>1049.1500000000001</v>
      </c>
      <c r="D989" s="12">
        <v>0</v>
      </c>
      <c r="E989" s="11">
        <v>1049.1500000000001</v>
      </c>
      <c r="F989" s="12">
        <v>0</v>
      </c>
      <c r="G989" s="11">
        <v>1049.1500000000001</v>
      </c>
      <c r="H989" s="12">
        <v>0</v>
      </c>
      <c r="I989" s="11">
        <v>1049.1500000000001</v>
      </c>
      <c r="J989" s="12">
        <v>0</v>
      </c>
      <c r="K989" s="11">
        <v>1049.1500000000001</v>
      </c>
      <c r="L989" s="12">
        <v>0</v>
      </c>
      <c r="M989" s="11">
        <v>1049.1500000000001</v>
      </c>
      <c r="N989" s="13">
        <v>0</v>
      </c>
      <c r="O989" s="11">
        <v>0</v>
      </c>
      <c r="P989" s="11">
        <v>0</v>
      </c>
      <c r="Q989" s="11">
        <v>0</v>
      </c>
      <c r="R989" s="11">
        <v>0</v>
      </c>
      <c r="S989" s="14">
        <v>0</v>
      </c>
      <c r="T989" s="11">
        <v>1049.1500000000001</v>
      </c>
      <c r="U989" s="13" cm="1">
        <f t="array" ref="U989">IF(Table8[[#This Row],[I_0]]&lt;Table24[Flitro de Ruido],1,Table8[[#This Row],[I_10]]/Table8[[#This Row],[I_0]])</f>
        <v>1</v>
      </c>
      <c r="V989" s="13" cm="1">
        <f t="array" ref="V989">IF(Table8[[#This Row],[I_0]]&lt;Table24[Flitro de Ruido],1,Table8[[#This Row],[I_20]]/Table8[[#This Row],[I_0]])</f>
        <v>1</v>
      </c>
      <c r="W989" s="13" cm="1">
        <f t="array" ref="W989">IF(Table8[[#This Row],[I_0]]&lt;Table24[Flitro de Ruido],1,Table8[[#This Row],[I_30]]/Table8[[#This Row],[I_0]])</f>
        <v>1</v>
      </c>
      <c r="X989" s="13" cm="1">
        <f t="array" ref="X989">IF(Table8[[#This Row],[I_0]]&lt;Table24[Flitro de Ruido],1,Table8[[#This Row],[I_40]]/Table8[[#This Row],[I_0]])</f>
        <v>1</v>
      </c>
      <c r="Y989" s="13" cm="1">
        <f t="array" ref="Y989">IF(Table8[[#This Row],[I_0]]&lt;Table24[Flitro de Ruido],1,Table8[[#This Row],[I_50]]/Table8[[#This Row],[I_0]])</f>
        <v>1</v>
      </c>
    </row>
    <row r="990" spans="1:25" x14ac:dyDescent="0.3">
      <c r="A990" s="13">
        <v>1050.1400000000001</v>
      </c>
      <c r="B990" s="12">
        <v>0</v>
      </c>
      <c r="C990" s="11">
        <v>1050.1400000000001</v>
      </c>
      <c r="D990" s="12">
        <v>0</v>
      </c>
      <c r="E990" s="11">
        <v>1050.1400000000001</v>
      </c>
      <c r="F990" s="12">
        <v>0</v>
      </c>
      <c r="G990" s="11">
        <v>1050.1400000000001</v>
      </c>
      <c r="H990" s="12">
        <v>0</v>
      </c>
      <c r="I990" s="11">
        <v>1050.1400000000001</v>
      </c>
      <c r="J990" s="12">
        <v>0</v>
      </c>
      <c r="K990" s="11">
        <v>1050.1400000000001</v>
      </c>
      <c r="L990" s="12">
        <v>0</v>
      </c>
      <c r="M990" s="11">
        <v>1050.1400000000001</v>
      </c>
      <c r="N990" s="13">
        <v>0</v>
      </c>
      <c r="O990" s="11">
        <v>0</v>
      </c>
      <c r="P990" s="11">
        <v>0</v>
      </c>
      <c r="Q990" s="11">
        <v>0</v>
      </c>
      <c r="R990" s="11">
        <v>0</v>
      </c>
      <c r="S990" s="14">
        <v>0</v>
      </c>
      <c r="T990" s="11">
        <v>1050.1400000000001</v>
      </c>
      <c r="U990" s="13" cm="1">
        <f t="array" ref="U990">IF(Table8[[#This Row],[I_0]]&lt;Table24[Flitro de Ruido],1,Table8[[#This Row],[I_10]]/Table8[[#This Row],[I_0]])</f>
        <v>1</v>
      </c>
      <c r="V990" s="13" cm="1">
        <f t="array" ref="V990">IF(Table8[[#This Row],[I_0]]&lt;Table24[Flitro de Ruido],1,Table8[[#This Row],[I_20]]/Table8[[#This Row],[I_0]])</f>
        <v>1</v>
      </c>
      <c r="W990" s="13" cm="1">
        <f t="array" ref="W990">IF(Table8[[#This Row],[I_0]]&lt;Table24[Flitro de Ruido],1,Table8[[#This Row],[I_30]]/Table8[[#This Row],[I_0]])</f>
        <v>1</v>
      </c>
      <c r="X990" s="13" cm="1">
        <f t="array" ref="X990">IF(Table8[[#This Row],[I_0]]&lt;Table24[Flitro de Ruido],1,Table8[[#This Row],[I_40]]/Table8[[#This Row],[I_0]])</f>
        <v>1</v>
      </c>
      <c r="Y990" s="13" cm="1">
        <f t="array" ref="Y990">IF(Table8[[#This Row],[I_0]]&lt;Table24[Flitro de Ruido],1,Table8[[#This Row],[I_50]]/Table8[[#This Row],[I_0]])</f>
        <v>1</v>
      </c>
    </row>
    <row r="991" spans="1:25" x14ac:dyDescent="0.3">
      <c r="A991" s="13">
        <v>1051.1400000000001</v>
      </c>
      <c r="B991" s="12">
        <v>0</v>
      </c>
      <c r="C991" s="11">
        <v>1051.1400000000001</v>
      </c>
      <c r="D991" s="12">
        <v>0</v>
      </c>
      <c r="E991" s="11">
        <v>1051.1400000000001</v>
      </c>
      <c r="F991" s="12">
        <v>0</v>
      </c>
      <c r="G991" s="11">
        <v>1051.1400000000001</v>
      </c>
      <c r="H991" s="12">
        <v>0</v>
      </c>
      <c r="I991" s="11">
        <v>1051.1400000000001</v>
      </c>
      <c r="J991" s="12">
        <v>0</v>
      </c>
      <c r="K991" s="11">
        <v>1051.1400000000001</v>
      </c>
      <c r="L991" s="12">
        <v>0</v>
      </c>
      <c r="M991" s="11">
        <v>1051.1400000000001</v>
      </c>
      <c r="N991" s="13">
        <v>0</v>
      </c>
      <c r="O991" s="11">
        <v>0</v>
      </c>
      <c r="P991" s="11">
        <v>0</v>
      </c>
      <c r="Q991" s="11">
        <v>0</v>
      </c>
      <c r="R991" s="11">
        <v>0</v>
      </c>
      <c r="S991" s="14">
        <v>0</v>
      </c>
      <c r="T991" s="11">
        <v>1051.1400000000001</v>
      </c>
      <c r="U991" s="13" cm="1">
        <f t="array" ref="U991">IF(Table8[[#This Row],[I_0]]&lt;Table24[Flitro de Ruido],1,Table8[[#This Row],[I_10]]/Table8[[#This Row],[I_0]])</f>
        <v>1</v>
      </c>
      <c r="V991" s="13" cm="1">
        <f t="array" ref="V991">IF(Table8[[#This Row],[I_0]]&lt;Table24[Flitro de Ruido],1,Table8[[#This Row],[I_20]]/Table8[[#This Row],[I_0]])</f>
        <v>1</v>
      </c>
      <c r="W991" s="13" cm="1">
        <f t="array" ref="W991">IF(Table8[[#This Row],[I_0]]&lt;Table24[Flitro de Ruido],1,Table8[[#This Row],[I_30]]/Table8[[#This Row],[I_0]])</f>
        <v>1</v>
      </c>
      <c r="X991" s="13" cm="1">
        <f t="array" ref="X991">IF(Table8[[#This Row],[I_0]]&lt;Table24[Flitro de Ruido],1,Table8[[#This Row],[I_40]]/Table8[[#This Row],[I_0]])</f>
        <v>1</v>
      </c>
      <c r="Y991" s="13" cm="1">
        <f t="array" ref="Y991">IF(Table8[[#This Row],[I_0]]&lt;Table24[Flitro de Ruido],1,Table8[[#This Row],[I_50]]/Table8[[#This Row],[I_0]])</f>
        <v>1</v>
      </c>
    </row>
    <row r="992" spans="1:25" x14ac:dyDescent="0.3">
      <c r="A992" s="13">
        <v>1052.1300000000001</v>
      </c>
      <c r="B992" s="12">
        <v>0</v>
      </c>
      <c r="C992" s="11">
        <v>1052.1300000000001</v>
      </c>
      <c r="D992" s="12">
        <v>0</v>
      </c>
      <c r="E992" s="11">
        <v>1052.1300000000001</v>
      </c>
      <c r="F992" s="12">
        <v>0</v>
      </c>
      <c r="G992" s="11">
        <v>1052.1300000000001</v>
      </c>
      <c r="H992" s="12">
        <v>0</v>
      </c>
      <c r="I992" s="11">
        <v>1052.1300000000001</v>
      </c>
      <c r="J992" s="12">
        <v>0</v>
      </c>
      <c r="K992" s="11">
        <v>1052.1300000000001</v>
      </c>
      <c r="L992" s="12">
        <v>0</v>
      </c>
      <c r="M992" s="11">
        <v>1052.1300000000001</v>
      </c>
      <c r="N992" s="13">
        <v>0</v>
      </c>
      <c r="O992" s="11">
        <v>0</v>
      </c>
      <c r="P992" s="11">
        <v>0</v>
      </c>
      <c r="Q992" s="11">
        <v>0</v>
      </c>
      <c r="R992" s="11">
        <v>0</v>
      </c>
      <c r="S992" s="14">
        <v>0</v>
      </c>
      <c r="T992" s="11">
        <v>1052.1300000000001</v>
      </c>
      <c r="U992" s="13" cm="1">
        <f t="array" ref="U992">IF(Table8[[#This Row],[I_0]]&lt;Table24[Flitro de Ruido],1,Table8[[#This Row],[I_10]]/Table8[[#This Row],[I_0]])</f>
        <v>1</v>
      </c>
      <c r="V992" s="13" cm="1">
        <f t="array" ref="V992">IF(Table8[[#This Row],[I_0]]&lt;Table24[Flitro de Ruido],1,Table8[[#This Row],[I_20]]/Table8[[#This Row],[I_0]])</f>
        <v>1</v>
      </c>
      <c r="W992" s="13" cm="1">
        <f t="array" ref="W992">IF(Table8[[#This Row],[I_0]]&lt;Table24[Flitro de Ruido],1,Table8[[#This Row],[I_30]]/Table8[[#This Row],[I_0]])</f>
        <v>1</v>
      </c>
      <c r="X992" s="13" cm="1">
        <f t="array" ref="X992">IF(Table8[[#This Row],[I_0]]&lt;Table24[Flitro de Ruido],1,Table8[[#This Row],[I_40]]/Table8[[#This Row],[I_0]])</f>
        <v>1</v>
      </c>
      <c r="Y992" s="13" cm="1">
        <f t="array" ref="Y992">IF(Table8[[#This Row],[I_0]]&lt;Table24[Flitro de Ruido],1,Table8[[#This Row],[I_50]]/Table8[[#This Row],[I_0]])</f>
        <v>1</v>
      </c>
    </row>
    <row r="993" spans="1:25" x14ac:dyDescent="0.3">
      <c r="A993" s="13">
        <v>1053.1199999999999</v>
      </c>
      <c r="B993" s="12">
        <v>0</v>
      </c>
      <c r="C993" s="11">
        <v>1053.1199999999999</v>
      </c>
      <c r="D993" s="12">
        <v>0</v>
      </c>
      <c r="E993" s="11">
        <v>1053.1199999999999</v>
      </c>
      <c r="F993" s="12">
        <v>0</v>
      </c>
      <c r="G993" s="11">
        <v>1053.1199999999999</v>
      </c>
      <c r="H993" s="12">
        <v>0</v>
      </c>
      <c r="I993" s="11">
        <v>1053.1199999999999</v>
      </c>
      <c r="J993" s="12">
        <v>0</v>
      </c>
      <c r="K993" s="11">
        <v>1053.1199999999999</v>
      </c>
      <c r="L993" s="12">
        <v>0</v>
      </c>
      <c r="M993" s="11">
        <v>1053.1199999999999</v>
      </c>
      <c r="N993" s="13">
        <v>0</v>
      </c>
      <c r="O993" s="11">
        <v>0</v>
      </c>
      <c r="P993" s="11">
        <v>0</v>
      </c>
      <c r="Q993" s="11">
        <v>0</v>
      </c>
      <c r="R993" s="11">
        <v>0</v>
      </c>
      <c r="S993" s="14">
        <v>0</v>
      </c>
      <c r="T993" s="11">
        <v>1053.1199999999999</v>
      </c>
      <c r="U993" s="13" cm="1">
        <f t="array" ref="U993">IF(Table8[[#This Row],[I_0]]&lt;Table24[Flitro de Ruido],1,Table8[[#This Row],[I_10]]/Table8[[#This Row],[I_0]])</f>
        <v>1</v>
      </c>
      <c r="V993" s="13" cm="1">
        <f t="array" ref="V993">IF(Table8[[#This Row],[I_0]]&lt;Table24[Flitro de Ruido],1,Table8[[#This Row],[I_20]]/Table8[[#This Row],[I_0]])</f>
        <v>1</v>
      </c>
      <c r="W993" s="13" cm="1">
        <f t="array" ref="W993">IF(Table8[[#This Row],[I_0]]&lt;Table24[Flitro de Ruido],1,Table8[[#This Row],[I_30]]/Table8[[#This Row],[I_0]])</f>
        <v>1</v>
      </c>
      <c r="X993" s="13" cm="1">
        <f t="array" ref="X993">IF(Table8[[#This Row],[I_0]]&lt;Table24[Flitro de Ruido],1,Table8[[#This Row],[I_40]]/Table8[[#This Row],[I_0]])</f>
        <v>1</v>
      </c>
      <c r="Y993" s="13" cm="1">
        <f t="array" ref="Y993">IF(Table8[[#This Row],[I_0]]&lt;Table24[Flitro de Ruido],1,Table8[[#This Row],[I_50]]/Table8[[#This Row],[I_0]])</f>
        <v>1</v>
      </c>
    </row>
    <row r="994" spans="1:25" x14ac:dyDescent="0.3">
      <c r="A994" s="13">
        <v>1054.1099999999999</v>
      </c>
      <c r="B994" s="12">
        <v>0</v>
      </c>
      <c r="C994" s="11">
        <v>1054.1099999999999</v>
      </c>
      <c r="D994" s="12">
        <v>0</v>
      </c>
      <c r="E994" s="11">
        <v>1054.1099999999999</v>
      </c>
      <c r="F994" s="12">
        <v>0</v>
      </c>
      <c r="G994" s="11">
        <v>1054.1099999999999</v>
      </c>
      <c r="H994" s="12">
        <v>0</v>
      </c>
      <c r="I994" s="11">
        <v>1054.1099999999999</v>
      </c>
      <c r="J994" s="12">
        <v>0</v>
      </c>
      <c r="K994" s="11">
        <v>1054.1099999999999</v>
      </c>
      <c r="L994" s="12">
        <v>0</v>
      </c>
      <c r="M994" s="11">
        <v>1054.1099999999999</v>
      </c>
      <c r="N994" s="13">
        <v>0</v>
      </c>
      <c r="O994" s="11">
        <v>0</v>
      </c>
      <c r="P994" s="11">
        <v>0</v>
      </c>
      <c r="Q994" s="11">
        <v>0</v>
      </c>
      <c r="R994" s="11">
        <v>0</v>
      </c>
      <c r="S994" s="14">
        <v>0</v>
      </c>
      <c r="T994" s="11">
        <v>1054.1099999999999</v>
      </c>
      <c r="U994" s="13" cm="1">
        <f t="array" ref="U994">IF(Table8[[#This Row],[I_0]]&lt;Table24[Flitro de Ruido],1,Table8[[#This Row],[I_10]]/Table8[[#This Row],[I_0]])</f>
        <v>1</v>
      </c>
      <c r="V994" s="13" cm="1">
        <f t="array" ref="V994">IF(Table8[[#This Row],[I_0]]&lt;Table24[Flitro de Ruido],1,Table8[[#This Row],[I_20]]/Table8[[#This Row],[I_0]])</f>
        <v>1</v>
      </c>
      <c r="W994" s="13" cm="1">
        <f t="array" ref="W994">IF(Table8[[#This Row],[I_0]]&lt;Table24[Flitro de Ruido],1,Table8[[#This Row],[I_30]]/Table8[[#This Row],[I_0]])</f>
        <v>1</v>
      </c>
      <c r="X994" s="13" cm="1">
        <f t="array" ref="X994">IF(Table8[[#This Row],[I_0]]&lt;Table24[Flitro de Ruido],1,Table8[[#This Row],[I_40]]/Table8[[#This Row],[I_0]])</f>
        <v>1</v>
      </c>
      <c r="Y994" s="13" cm="1">
        <f t="array" ref="Y994">IF(Table8[[#This Row],[I_0]]&lt;Table24[Flitro de Ruido],1,Table8[[#This Row],[I_50]]/Table8[[#This Row],[I_0]])</f>
        <v>1</v>
      </c>
    </row>
    <row r="995" spans="1:25" x14ac:dyDescent="0.3">
      <c r="A995" s="13">
        <v>1055.0999999999999</v>
      </c>
      <c r="B995" s="12">
        <v>0</v>
      </c>
      <c r="C995" s="11">
        <v>1055.0999999999999</v>
      </c>
      <c r="D995" s="12">
        <v>0</v>
      </c>
      <c r="E995" s="11">
        <v>1055.0999999999999</v>
      </c>
      <c r="F995" s="12">
        <v>0</v>
      </c>
      <c r="G995" s="11">
        <v>1055.0999999999999</v>
      </c>
      <c r="H995" s="12">
        <v>0</v>
      </c>
      <c r="I995" s="11">
        <v>1055.0999999999999</v>
      </c>
      <c r="J995" s="12">
        <v>0</v>
      </c>
      <c r="K995" s="11">
        <v>1055.0999999999999</v>
      </c>
      <c r="L995" s="12">
        <v>0</v>
      </c>
      <c r="M995" s="11">
        <v>1055.0999999999999</v>
      </c>
      <c r="N995" s="13">
        <v>0</v>
      </c>
      <c r="O995" s="11">
        <v>0</v>
      </c>
      <c r="P995" s="11">
        <v>0</v>
      </c>
      <c r="Q995" s="11">
        <v>0</v>
      </c>
      <c r="R995" s="11">
        <v>0</v>
      </c>
      <c r="S995" s="14">
        <v>0</v>
      </c>
      <c r="T995" s="11">
        <v>1055.0999999999999</v>
      </c>
      <c r="U995" s="13" cm="1">
        <f t="array" ref="U995">IF(Table8[[#This Row],[I_0]]&lt;Table24[Flitro de Ruido],1,Table8[[#This Row],[I_10]]/Table8[[#This Row],[I_0]])</f>
        <v>1</v>
      </c>
      <c r="V995" s="13" cm="1">
        <f t="array" ref="V995">IF(Table8[[#This Row],[I_0]]&lt;Table24[Flitro de Ruido],1,Table8[[#This Row],[I_20]]/Table8[[#This Row],[I_0]])</f>
        <v>1</v>
      </c>
      <c r="W995" s="13" cm="1">
        <f t="array" ref="W995">IF(Table8[[#This Row],[I_0]]&lt;Table24[Flitro de Ruido],1,Table8[[#This Row],[I_30]]/Table8[[#This Row],[I_0]])</f>
        <v>1</v>
      </c>
      <c r="X995" s="13" cm="1">
        <f t="array" ref="X995">IF(Table8[[#This Row],[I_0]]&lt;Table24[Flitro de Ruido],1,Table8[[#This Row],[I_40]]/Table8[[#This Row],[I_0]])</f>
        <v>1</v>
      </c>
      <c r="Y995" s="13" cm="1">
        <f t="array" ref="Y995">IF(Table8[[#This Row],[I_0]]&lt;Table24[Flitro de Ruido],1,Table8[[#This Row],[I_50]]/Table8[[#This Row],[I_0]])</f>
        <v>1</v>
      </c>
    </row>
    <row r="996" spans="1:25" x14ac:dyDescent="0.3">
      <c r="A996" s="13">
        <v>1056.0899999999999</v>
      </c>
      <c r="B996" s="12">
        <v>0</v>
      </c>
      <c r="C996" s="11">
        <v>1056.0899999999999</v>
      </c>
      <c r="D996" s="12">
        <v>0</v>
      </c>
      <c r="E996" s="11">
        <v>1056.0899999999999</v>
      </c>
      <c r="F996" s="12">
        <v>0</v>
      </c>
      <c r="G996" s="11">
        <v>1056.0899999999999</v>
      </c>
      <c r="H996" s="12">
        <v>0</v>
      </c>
      <c r="I996" s="11">
        <v>1056.0899999999999</v>
      </c>
      <c r="J996" s="12">
        <v>0</v>
      </c>
      <c r="K996" s="11">
        <v>1056.0899999999999</v>
      </c>
      <c r="L996" s="12">
        <v>0</v>
      </c>
      <c r="M996" s="11">
        <v>1056.0899999999999</v>
      </c>
      <c r="N996" s="13">
        <v>0</v>
      </c>
      <c r="O996" s="11">
        <v>0</v>
      </c>
      <c r="P996" s="11">
        <v>0</v>
      </c>
      <c r="Q996" s="11">
        <v>0</v>
      </c>
      <c r="R996" s="11">
        <v>0</v>
      </c>
      <c r="S996" s="14">
        <v>0</v>
      </c>
      <c r="T996" s="11">
        <v>1056.0899999999999</v>
      </c>
      <c r="U996" s="13" cm="1">
        <f t="array" ref="U996">IF(Table8[[#This Row],[I_0]]&lt;Table24[Flitro de Ruido],1,Table8[[#This Row],[I_10]]/Table8[[#This Row],[I_0]])</f>
        <v>1</v>
      </c>
      <c r="V996" s="13" cm="1">
        <f t="array" ref="V996">IF(Table8[[#This Row],[I_0]]&lt;Table24[Flitro de Ruido],1,Table8[[#This Row],[I_20]]/Table8[[#This Row],[I_0]])</f>
        <v>1</v>
      </c>
      <c r="W996" s="13" cm="1">
        <f t="array" ref="W996">IF(Table8[[#This Row],[I_0]]&lt;Table24[Flitro de Ruido],1,Table8[[#This Row],[I_30]]/Table8[[#This Row],[I_0]])</f>
        <v>1</v>
      </c>
      <c r="X996" s="13" cm="1">
        <f t="array" ref="X996">IF(Table8[[#This Row],[I_0]]&lt;Table24[Flitro de Ruido],1,Table8[[#This Row],[I_40]]/Table8[[#This Row],[I_0]])</f>
        <v>1</v>
      </c>
      <c r="Y996" s="13" cm="1">
        <f t="array" ref="Y996">IF(Table8[[#This Row],[I_0]]&lt;Table24[Flitro de Ruido],1,Table8[[#This Row],[I_50]]/Table8[[#This Row],[I_0]])</f>
        <v>1</v>
      </c>
    </row>
    <row r="997" spans="1:25" x14ac:dyDescent="0.3">
      <c r="A997" s="13">
        <v>1057.0899999999999</v>
      </c>
      <c r="B997" s="12">
        <v>0</v>
      </c>
      <c r="C997" s="11">
        <v>1057.0899999999999</v>
      </c>
      <c r="D997" s="12">
        <v>0</v>
      </c>
      <c r="E997" s="11">
        <v>1057.0899999999999</v>
      </c>
      <c r="F997" s="12">
        <v>0</v>
      </c>
      <c r="G997" s="11">
        <v>1057.0899999999999</v>
      </c>
      <c r="H997" s="12">
        <v>0</v>
      </c>
      <c r="I997" s="11">
        <v>1057.0899999999999</v>
      </c>
      <c r="J997" s="12">
        <v>0</v>
      </c>
      <c r="K997" s="11">
        <v>1057.0899999999999</v>
      </c>
      <c r="L997" s="12">
        <v>0</v>
      </c>
      <c r="M997" s="11">
        <v>1057.0899999999999</v>
      </c>
      <c r="N997" s="13">
        <v>0</v>
      </c>
      <c r="O997" s="11">
        <v>0</v>
      </c>
      <c r="P997" s="11">
        <v>0</v>
      </c>
      <c r="Q997" s="11">
        <v>0</v>
      </c>
      <c r="R997" s="11">
        <v>0</v>
      </c>
      <c r="S997" s="14">
        <v>0</v>
      </c>
      <c r="T997" s="11">
        <v>1057.0899999999999</v>
      </c>
      <c r="U997" s="13" cm="1">
        <f t="array" ref="U997">IF(Table8[[#This Row],[I_0]]&lt;Table24[Flitro de Ruido],1,Table8[[#This Row],[I_10]]/Table8[[#This Row],[I_0]])</f>
        <v>1</v>
      </c>
      <c r="V997" s="13" cm="1">
        <f t="array" ref="V997">IF(Table8[[#This Row],[I_0]]&lt;Table24[Flitro de Ruido],1,Table8[[#This Row],[I_20]]/Table8[[#This Row],[I_0]])</f>
        <v>1</v>
      </c>
      <c r="W997" s="13" cm="1">
        <f t="array" ref="W997">IF(Table8[[#This Row],[I_0]]&lt;Table24[Flitro de Ruido],1,Table8[[#This Row],[I_30]]/Table8[[#This Row],[I_0]])</f>
        <v>1</v>
      </c>
      <c r="X997" s="13" cm="1">
        <f t="array" ref="X997">IF(Table8[[#This Row],[I_0]]&lt;Table24[Flitro de Ruido],1,Table8[[#This Row],[I_40]]/Table8[[#This Row],[I_0]])</f>
        <v>1</v>
      </c>
      <c r="Y997" s="13" cm="1">
        <f t="array" ref="Y997">IF(Table8[[#This Row],[I_0]]&lt;Table24[Flitro de Ruido],1,Table8[[#This Row],[I_50]]/Table8[[#This Row],[I_0]])</f>
        <v>1</v>
      </c>
    </row>
    <row r="998" spans="1:25" x14ac:dyDescent="0.3">
      <c r="A998" s="13">
        <v>1058.08</v>
      </c>
      <c r="B998" s="12">
        <v>0</v>
      </c>
      <c r="C998" s="11">
        <v>1058.08</v>
      </c>
      <c r="D998" s="12">
        <v>0</v>
      </c>
      <c r="E998" s="11">
        <v>1058.08</v>
      </c>
      <c r="F998" s="12">
        <v>0</v>
      </c>
      <c r="G998" s="11">
        <v>1058.08</v>
      </c>
      <c r="H998" s="12">
        <v>0</v>
      </c>
      <c r="I998" s="11">
        <v>1058.08</v>
      </c>
      <c r="J998" s="12">
        <v>0</v>
      </c>
      <c r="K998" s="11">
        <v>1058.08</v>
      </c>
      <c r="L998" s="12">
        <v>0</v>
      </c>
      <c r="M998" s="11">
        <v>1058.08</v>
      </c>
      <c r="N998" s="13">
        <v>0</v>
      </c>
      <c r="O998" s="11">
        <v>0</v>
      </c>
      <c r="P998" s="11">
        <v>0</v>
      </c>
      <c r="Q998" s="11">
        <v>0</v>
      </c>
      <c r="R998" s="11">
        <v>0</v>
      </c>
      <c r="S998" s="14">
        <v>0</v>
      </c>
      <c r="T998" s="11">
        <v>1058.08</v>
      </c>
      <c r="U998" s="13" cm="1">
        <f t="array" ref="U998">IF(Table8[[#This Row],[I_0]]&lt;Table24[Flitro de Ruido],1,Table8[[#This Row],[I_10]]/Table8[[#This Row],[I_0]])</f>
        <v>1</v>
      </c>
      <c r="V998" s="13" cm="1">
        <f t="array" ref="V998">IF(Table8[[#This Row],[I_0]]&lt;Table24[Flitro de Ruido],1,Table8[[#This Row],[I_20]]/Table8[[#This Row],[I_0]])</f>
        <v>1</v>
      </c>
      <c r="W998" s="13" cm="1">
        <f t="array" ref="W998">IF(Table8[[#This Row],[I_0]]&lt;Table24[Flitro de Ruido],1,Table8[[#This Row],[I_30]]/Table8[[#This Row],[I_0]])</f>
        <v>1</v>
      </c>
      <c r="X998" s="13" cm="1">
        <f t="array" ref="X998">IF(Table8[[#This Row],[I_0]]&lt;Table24[Flitro de Ruido],1,Table8[[#This Row],[I_40]]/Table8[[#This Row],[I_0]])</f>
        <v>1</v>
      </c>
      <c r="Y998" s="13" cm="1">
        <f t="array" ref="Y998">IF(Table8[[#This Row],[I_0]]&lt;Table24[Flitro de Ruido],1,Table8[[#This Row],[I_50]]/Table8[[#This Row],[I_0]])</f>
        <v>1</v>
      </c>
    </row>
    <row r="999" spans="1:25" x14ac:dyDescent="0.3">
      <c r="A999" s="13">
        <v>1059.07</v>
      </c>
      <c r="B999" s="12">
        <v>0</v>
      </c>
      <c r="C999" s="11">
        <v>1059.07</v>
      </c>
      <c r="D999" s="12">
        <v>0</v>
      </c>
      <c r="E999" s="11">
        <v>1059.07</v>
      </c>
      <c r="F999" s="12">
        <v>0</v>
      </c>
      <c r="G999" s="11">
        <v>1059.07</v>
      </c>
      <c r="H999" s="12">
        <v>0</v>
      </c>
      <c r="I999" s="11">
        <v>1059.07</v>
      </c>
      <c r="J999" s="12">
        <v>0</v>
      </c>
      <c r="K999" s="11">
        <v>1059.07</v>
      </c>
      <c r="L999" s="12">
        <v>0</v>
      </c>
      <c r="M999" s="11">
        <v>1059.07</v>
      </c>
      <c r="N999" s="13">
        <v>0</v>
      </c>
      <c r="O999" s="11">
        <v>0</v>
      </c>
      <c r="P999" s="11">
        <v>0</v>
      </c>
      <c r="Q999" s="11">
        <v>0</v>
      </c>
      <c r="R999" s="11">
        <v>0</v>
      </c>
      <c r="S999" s="14">
        <v>0</v>
      </c>
      <c r="T999" s="11">
        <v>1059.07</v>
      </c>
      <c r="U999" s="13" cm="1">
        <f t="array" ref="U999">IF(Table8[[#This Row],[I_0]]&lt;Table24[Flitro de Ruido],1,Table8[[#This Row],[I_10]]/Table8[[#This Row],[I_0]])</f>
        <v>1</v>
      </c>
      <c r="V999" s="13" cm="1">
        <f t="array" ref="V999">IF(Table8[[#This Row],[I_0]]&lt;Table24[Flitro de Ruido],1,Table8[[#This Row],[I_20]]/Table8[[#This Row],[I_0]])</f>
        <v>1</v>
      </c>
      <c r="W999" s="13" cm="1">
        <f t="array" ref="W999">IF(Table8[[#This Row],[I_0]]&lt;Table24[Flitro de Ruido],1,Table8[[#This Row],[I_30]]/Table8[[#This Row],[I_0]])</f>
        <v>1</v>
      </c>
      <c r="X999" s="13" cm="1">
        <f t="array" ref="X999">IF(Table8[[#This Row],[I_0]]&lt;Table24[Flitro de Ruido],1,Table8[[#This Row],[I_40]]/Table8[[#This Row],[I_0]])</f>
        <v>1</v>
      </c>
      <c r="Y999" s="13" cm="1">
        <f t="array" ref="Y999">IF(Table8[[#This Row],[I_0]]&lt;Table24[Flitro de Ruido],1,Table8[[#This Row],[I_50]]/Table8[[#This Row],[I_0]])</f>
        <v>1</v>
      </c>
    </row>
    <row r="1000" spans="1:25" x14ac:dyDescent="0.3">
      <c r="A1000" s="13">
        <v>1060.06</v>
      </c>
      <c r="B1000" s="12">
        <v>0</v>
      </c>
      <c r="C1000" s="11">
        <v>1060.06</v>
      </c>
      <c r="D1000" s="12">
        <v>0</v>
      </c>
      <c r="E1000" s="11">
        <v>1060.06</v>
      </c>
      <c r="F1000" s="12">
        <v>0</v>
      </c>
      <c r="G1000" s="11">
        <v>1060.06</v>
      </c>
      <c r="H1000" s="12">
        <v>0</v>
      </c>
      <c r="I1000" s="11">
        <v>1060.06</v>
      </c>
      <c r="J1000" s="12">
        <v>0</v>
      </c>
      <c r="K1000" s="11">
        <v>1060.06</v>
      </c>
      <c r="L1000" s="12">
        <v>0</v>
      </c>
      <c r="M1000" s="11">
        <v>1060.06</v>
      </c>
      <c r="N1000" s="13">
        <v>0</v>
      </c>
      <c r="O1000" s="11">
        <v>0</v>
      </c>
      <c r="P1000" s="11">
        <v>0</v>
      </c>
      <c r="Q1000" s="11">
        <v>0</v>
      </c>
      <c r="R1000" s="11">
        <v>0</v>
      </c>
      <c r="S1000" s="14">
        <v>0</v>
      </c>
      <c r="T1000" s="11">
        <v>1060.06</v>
      </c>
      <c r="U1000" s="13" cm="1">
        <f t="array" ref="U1000">IF(Table8[[#This Row],[I_0]]&lt;Table24[Flitro de Ruido],1,Table8[[#This Row],[I_10]]/Table8[[#This Row],[I_0]])</f>
        <v>1</v>
      </c>
      <c r="V1000" s="13" cm="1">
        <f t="array" ref="V1000">IF(Table8[[#This Row],[I_0]]&lt;Table24[Flitro de Ruido],1,Table8[[#This Row],[I_20]]/Table8[[#This Row],[I_0]])</f>
        <v>1</v>
      </c>
      <c r="W1000" s="13" cm="1">
        <f t="array" ref="W1000">IF(Table8[[#This Row],[I_0]]&lt;Table24[Flitro de Ruido],1,Table8[[#This Row],[I_30]]/Table8[[#This Row],[I_0]])</f>
        <v>1</v>
      </c>
      <c r="X1000" s="13" cm="1">
        <f t="array" ref="X1000">IF(Table8[[#This Row],[I_0]]&lt;Table24[Flitro de Ruido],1,Table8[[#This Row],[I_40]]/Table8[[#This Row],[I_0]])</f>
        <v>1</v>
      </c>
      <c r="Y1000" s="13" cm="1">
        <f t="array" ref="Y1000">IF(Table8[[#This Row],[I_0]]&lt;Table24[Flitro de Ruido],1,Table8[[#This Row],[I_50]]/Table8[[#This Row],[I_0]])</f>
        <v>1</v>
      </c>
    </row>
    <row r="1001" spans="1:25" x14ac:dyDescent="0.3">
      <c r="A1001" s="13">
        <v>1061.05</v>
      </c>
      <c r="B1001" s="12">
        <v>0</v>
      </c>
      <c r="C1001" s="11">
        <v>1061.05</v>
      </c>
      <c r="D1001" s="12">
        <v>0</v>
      </c>
      <c r="E1001" s="11">
        <v>1061.05</v>
      </c>
      <c r="F1001" s="12">
        <v>0</v>
      </c>
      <c r="G1001" s="11">
        <v>1061.05</v>
      </c>
      <c r="H1001" s="12">
        <v>0</v>
      </c>
      <c r="I1001" s="11">
        <v>1061.05</v>
      </c>
      <c r="J1001" s="12">
        <v>0</v>
      </c>
      <c r="K1001" s="11">
        <v>1061.05</v>
      </c>
      <c r="L1001" s="12">
        <v>0</v>
      </c>
      <c r="M1001" s="11">
        <v>1061.05</v>
      </c>
      <c r="N1001" s="13">
        <v>0</v>
      </c>
      <c r="O1001" s="11">
        <v>0</v>
      </c>
      <c r="P1001" s="11">
        <v>0</v>
      </c>
      <c r="Q1001" s="11">
        <v>0</v>
      </c>
      <c r="R1001" s="11">
        <v>0</v>
      </c>
      <c r="S1001" s="14">
        <v>0</v>
      </c>
      <c r="T1001" s="11">
        <v>1061.05</v>
      </c>
      <c r="U1001" s="13" cm="1">
        <f t="array" ref="U1001">IF(Table8[[#This Row],[I_0]]&lt;Table24[Flitro de Ruido],1,Table8[[#This Row],[I_10]]/Table8[[#This Row],[I_0]])</f>
        <v>1</v>
      </c>
      <c r="V1001" s="13" cm="1">
        <f t="array" ref="V1001">IF(Table8[[#This Row],[I_0]]&lt;Table24[Flitro de Ruido],1,Table8[[#This Row],[I_20]]/Table8[[#This Row],[I_0]])</f>
        <v>1</v>
      </c>
      <c r="W1001" s="13" cm="1">
        <f t="array" ref="W1001">IF(Table8[[#This Row],[I_0]]&lt;Table24[Flitro de Ruido],1,Table8[[#This Row],[I_30]]/Table8[[#This Row],[I_0]])</f>
        <v>1</v>
      </c>
      <c r="X1001" s="13" cm="1">
        <f t="array" ref="X1001">IF(Table8[[#This Row],[I_0]]&lt;Table24[Flitro de Ruido],1,Table8[[#This Row],[I_40]]/Table8[[#This Row],[I_0]])</f>
        <v>1</v>
      </c>
      <c r="Y1001" s="13" cm="1">
        <f t="array" ref="Y1001">IF(Table8[[#This Row],[I_0]]&lt;Table24[Flitro de Ruido],1,Table8[[#This Row],[I_50]]/Table8[[#This Row],[I_0]])</f>
        <v>1</v>
      </c>
    </row>
    <row r="1002" spans="1:25" x14ac:dyDescent="0.3">
      <c r="A1002" s="13">
        <v>1062.05</v>
      </c>
      <c r="B1002" s="12">
        <v>0</v>
      </c>
      <c r="C1002" s="11">
        <v>1062.05</v>
      </c>
      <c r="D1002" s="12">
        <v>0</v>
      </c>
      <c r="E1002" s="11">
        <v>1062.05</v>
      </c>
      <c r="F1002" s="12">
        <v>0</v>
      </c>
      <c r="G1002" s="11">
        <v>1062.05</v>
      </c>
      <c r="H1002" s="12">
        <v>0</v>
      </c>
      <c r="I1002" s="11">
        <v>1062.05</v>
      </c>
      <c r="J1002" s="12">
        <v>0</v>
      </c>
      <c r="K1002" s="11">
        <v>1062.05</v>
      </c>
      <c r="L1002" s="12">
        <v>0</v>
      </c>
      <c r="M1002" s="11">
        <v>1062.05</v>
      </c>
      <c r="N1002" s="13">
        <v>0</v>
      </c>
      <c r="O1002" s="11">
        <v>0</v>
      </c>
      <c r="P1002" s="11">
        <v>0</v>
      </c>
      <c r="Q1002" s="11">
        <v>0</v>
      </c>
      <c r="R1002" s="11">
        <v>0</v>
      </c>
      <c r="S1002" s="14">
        <v>0</v>
      </c>
      <c r="T1002" s="11">
        <v>1062.05</v>
      </c>
      <c r="U1002" s="13" cm="1">
        <f t="array" ref="U1002">IF(Table8[[#This Row],[I_0]]&lt;Table24[Flitro de Ruido],1,Table8[[#This Row],[I_10]]/Table8[[#This Row],[I_0]])</f>
        <v>1</v>
      </c>
      <c r="V1002" s="13" cm="1">
        <f t="array" ref="V1002">IF(Table8[[#This Row],[I_0]]&lt;Table24[Flitro de Ruido],1,Table8[[#This Row],[I_20]]/Table8[[#This Row],[I_0]])</f>
        <v>1</v>
      </c>
      <c r="W1002" s="13" cm="1">
        <f t="array" ref="W1002">IF(Table8[[#This Row],[I_0]]&lt;Table24[Flitro de Ruido],1,Table8[[#This Row],[I_30]]/Table8[[#This Row],[I_0]])</f>
        <v>1</v>
      </c>
      <c r="X1002" s="13" cm="1">
        <f t="array" ref="X1002">IF(Table8[[#This Row],[I_0]]&lt;Table24[Flitro de Ruido],1,Table8[[#This Row],[I_40]]/Table8[[#This Row],[I_0]])</f>
        <v>1</v>
      </c>
      <c r="Y1002" s="13" cm="1">
        <f t="array" ref="Y1002">IF(Table8[[#This Row],[I_0]]&lt;Table24[Flitro de Ruido],1,Table8[[#This Row],[I_50]]/Table8[[#This Row],[I_0]])</f>
        <v>1</v>
      </c>
    </row>
    <row r="1003" spans="1:25" x14ac:dyDescent="0.3">
      <c r="A1003" s="13">
        <v>1063.04</v>
      </c>
      <c r="B1003" s="12">
        <v>0</v>
      </c>
      <c r="C1003" s="11">
        <v>1063.04</v>
      </c>
      <c r="D1003" s="12">
        <v>0</v>
      </c>
      <c r="E1003" s="11">
        <v>1063.04</v>
      </c>
      <c r="F1003" s="12">
        <v>0</v>
      </c>
      <c r="G1003" s="11">
        <v>1063.04</v>
      </c>
      <c r="H1003" s="12">
        <v>0</v>
      </c>
      <c r="I1003" s="11">
        <v>1063.04</v>
      </c>
      <c r="J1003" s="12">
        <v>0</v>
      </c>
      <c r="K1003" s="11">
        <v>1063.04</v>
      </c>
      <c r="L1003" s="12">
        <v>0</v>
      </c>
      <c r="M1003" s="11">
        <v>1063.04</v>
      </c>
      <c r="N1003" s="13">
        <v>0</v>
      </c>
      <c r="O1003" s="11">
        <v>0</v>
      </c>
      <c r="P1003" s="11">
        <v>0</v>
      </c>
      <c r="Q1003" s="11">
        <v>0</v>
      </c>
      <c r="R1003" s="11">
        <v>0</v>
      </c>
      <c r="S1003" s="14">
        <v>0</v>
      </c>
      <c r="T1003" s="11">
        <v>1063.04</v>
      </c>
      <c r="U1003" s="13" cm="1">
        <f t="array" ref="U1003">IF(Table8[[#This Row],[I_0]]&lt;Table24[Flitro de Ruido],1,Table8[[#This Row],[I_10]]/Table8[[#This Row],[I_0]])</f>
        <v>1</v>
      </c>
      <c r="V1003" s="13" cm="1">
        <f t="array" ref="V1003">IF(Table8[[#This Row],[I_0]]&lt;Table24[Flitro de Ruido],1,Table8[[#This Row],[I_20]]/Table8[[#This Row],[I_0]])</f>
        <v>1</v>
      </c>
      <c r="W1003" s="13" cm="1">
        <f t="array" ref="W1003">IF(Table8[[#This Row],[I_0]]&lt;Table24[Flitro de Ruido],1,Table8[[#This Row],[I_30]]/Table8[[#This Row],[I_0]])</f>
        <v>1</v>
      </c>
      <c r="X1003" s="13" cm="1">
        <f t="array" ref="X1003">IF(Table8[[#This Row],[I_0]]&lt;Table24[Flitro de Ruido],1,Table8[[#This Row],[I_40]]/Table8[[#This Row],[I_0]])</f>
        <v>1</v>
      </c>
      <c r="Y1003" s="13" cm="1">
        <f t="array" ref="Y1003">IF(Table8[[#This Row],[I_0]]&lt;Table24[Flitro de Ruido],1,Table8[[#This Row],[I_50]]/Table8[[#This Row],[I_0]])</f>
        <v>1</v>
      </c>
    </row>
    <row r="1004" spans="1:25" x14ac:dyDescent="0.3">
      <c r="A1004" s="13">
        <v>1064.03</v>
      </c>
      <c r="B1004" s="12">
        <v>0</v>
      </c>
      <c r="C1004" s="11">
        <v>1064.03</v>
      </c>
      <c r="D1004" s="12">
        <v>0</v>
      </c>
      <c r="E1004" s="11">
        <v>1064.03</v>
      </c>
      <c r="F1004" s="12">
        <v>0</v>
      </c>
      <c r="G1004" s="11">
        <v>1064.03</v>
      </c>
      <c r="H1004" s="12">
        <v>0</v>
      </c>
      <c r="I1004" s="11">
        <v>1064.03</v>
      </c>
      <c r="J1004" s="12">
        <v>0</v>
      </c>
      <c r="K1004" s="11">
        <v>1064.03</v>
      </c>
      <c r="L1004" s="12">
        <v>0</v>
      </c>
      <c r="M1004" s="11">
        <v>1064.03</v>
      </c>
      <c r="N1004" s="13">
        <v>0</v>
      </c>
      <c r="O1004" s="11">
        <v>0</v>
      </c>
      <c r="P1004" s="11">
        <v>0</v>
      </c>
      <c r="Q1004" s="11">
        <v>0</v>
      </c>
      <c r="R1004" s="11">
        <v>0</v>
      </c>
      <c r="S1004" s="14">
        <v>0</v>
      </c>
      <c r="T1004" s="11">
        <v>1064.03</v>
      </c>
      <c r="U1004" s="13" cm="1">
        <f t="array" ref="U1004">IF(Table8[[#This Row],[I_0]]&lt;Table24[Flitro de Ruido],1,Table8[[#This Row],[I_10]]/Table8[[#This Row],[I_0]])</f>
        <v>1</v>
      </c>
      <c r="V1004" s="13" cm="1">
        <f t="array" ref="V1004">IF(Table8[[#This Row],[I_0]]&lt;Table24[Flitro de Ruido],1,Table8[[#This Row],[I_20]]/Table8[[#This Row],[I_0]])</f>
        <v>1</v>
      </c>
      <c r="W1004" s="13" cm="1">
        <f t="array" ref="W1004">IF(Table8[[#This Row],[I_0]]&lt;Table24[Flitro de Ruido],1,Table8[[#This Row],[I_30]]/Table8[[#This Row],[I_0]])</f>
        <v>1</v>
      </c>
      <c r="X1004" s="13" cm="1">
        <f t="array" ref="X1004">IF(Table8[[#This Row],[I_0]]&lt;Table24[Flitro de Ruido],1,Table8[[#This Row],[I_40]]/Table8[[#This Row],[I_0]])</f>
        <v>1</v>
      </c>
      <c r="Y1004" s="13" cm="1">
        <f t="array" ref="Y1004">IF(Table8[[#This Row],[I_0]]&lt;Table24[Flitro de Ruido],1,Table8[[#This Row],[I_50]]/Table8[[#This Row],[I_0]])</f>
        <v>1</v>
      </c>
    </row>
    <row r="1005" spans="1:25" x14ac:dyDescent="0.3">
      <c r="A1005" s="13">
        <v>1065.02</v>
      </c>
      <c r="B1005" s="12">
        <v>0</v>
      </c>
      <c r="C1005" s="11">
        <v>1065.02</v>
      </c>
      <c r="D1005" s="12">
        <v>0</v>
      </c>
      <c r="E1005" s="11">
        <v>1065.02</v>
      </c>
      <c r="F1005" s="12">
        <v>0</v>
      </c>
      <c r="G1005" s="11">
        <v>1065.02</v>
      </c>
      <c r="H1005" s="12">
        <v>0</v>
      </c>
      <c r="I1005" s="11">
        <v>1065.02</v>
      </c>
      <c r="J1005" s="12">
        <v>0</v>
      </c>
      <c r="K1005" s="11">
        <v>1065.02</v>
      </c>
      <c r="L1005" s="12">
        <v>0</v>
      </c>
      <c r="M1005" s="11">
        <v>1065.02</v>
      </c>
      <c r="N1005" s="13">
        <v>0</v>
      </c>
      <c r="O1005" s="11">
        <v>0</v>
      </c>
      <c r="P1005" s="11">
        <v>0</v>
      </c>
      <c r="Q1005" s="11">
        <v>0</v>
      </c>
      <c r="R1005" s="11">
        <v>0</v>
      </c>
      <c r="S1005" s="14">
        <v>0</v>
      </c>
      <c r="T1005" s="11">
        <v>1065.02</v>
      </c>
      <c r="U1005" s="13" cm="1">
        <f t="array" ref="U1005">IF(Table8[[#This Row],[I_0]]&lt;Table24[Flitro de Ruido],1,Table8[[#This Row],[I_10]]/Table8[[#This Row],[I_0]])</f>
        <v>1</v>
      </c>
      <c r="V1005" s="13" cm="1">
        <f t="array" ref="V1005">IF(Table8[[#This Row],[I_0]]&lt;Table24[Flitro de Ruido],1,Table8[[#This Row],[I_20]]/Table8[[#This Row],[I_0]])</f>
        <v>1</v>
      </c>
      <c r="W1005" s="13" cm="1">
        <f t="array" ref="W1005">IF(Table8[[#This Row],[I_0]]&lt;Table24[Flitro de Ruido],1,Table8[[#This Row],[I_30]]/Table8[[#This Row],[I_0]])</f>
        <v>1</v>
      </c>
      <c r="X1005" s="13" cm="1">
        <f t="array" ref="X1005">IF(Table8[[#This Row],[I_0]]&lt;Table24[Flitro de Ruido],1,Table8[[#This Row],[I_40]]/Table8[[#This Row],[I_0]])</f>
        <v>1</v>
      </c>
      <c r="Y1005" s="13" cm="1">
        <f t="array" ref="Y1005">IF(Table8[[#This Row],[I_0]]&lt;Table24[Flitro de Ruido],1,Table8[[#This Row],[I_50]]/Table8[[#This Row],[I_0]])</f>
        <v>1</v>
      </c>
    </row>
    <row r="1006" spans="1:25" x14ac:dyDescent="0.3">
      <c r="A1006" s="13">
        <v>1066.01</v>
      </c>
      <c r="B1006" s="12">
        <v>0</v>
      </c>
      <c r="C1006" s="11">
        <v>1066.01</v>
      </c>
      <c r="D1006" s="12">
        <v>0</v>
      </c>
      <c r="E1006" s="11">
        <v>1066.01</v>
      </c>
      <c r="F1006" s="12">
        <v>0</v>
      </c>
      <c r="G1006" s="11">
        <v>1066.01</v>
      </c>
      <c r="H1006" s="12">
        <v>0</v>
      </c>
      <c r="I1006" s="11">
        <v>1066.01</v>
      </c>
      <c r="J1006" s="12">
        <v>0</v>
      </c>
      <c r="K1006" s="11">
        <v>1066.01</v>
      </c>
      <c r="L1006" s="12">
        <v>0</v>
      </c>
      <c r="M1006" s="11">
        <v>1066.01</v>
      </c>
      <c r="N1006" s="13">
        <v>0</v>
      </c>
      <c r="O1006" s="11">
        <v>0</v>
      </c>
      <c r="P1006" s="11">
        <v>0</v>
      </c>
      <c r="Q1006" s="11">
        <v>0</v>
      </c>
      <c r="R1006" s="11">
        <v>0</v>
      </c>
      <c r="S1006" s="14">
        <v>0</v>
      </c>
      <c r="T1006" s="11">
        <v>1066.01</v>
      </c>
      <c r="U1006" s="13" cm="1">
        <f t="array" ref="U1006">IF(Table8[[#This Row],[I_0]]&lt;Table24[Flitro de Ruido],1,Table8[[#This Row],[I_10]]/Table8[[#This Row],[I_0]])</f>
        <v>1</v>
      </c>
      <c r="V1006" s="13" cm="1">
        <f t="array" ref="V1006">IF(Table8[[#This Row],[I_0]]&lt;Table24[Flitro de Ruido],1,Table8[[#This Row],[I_20]]/Table8[[#This Row],[I_0]])</f>
        <v>1</v>
      </c>
      <c r="W1006" s="13" cm="1">
        <f t="array" ref="W1006">IF(Table8[[#This Row],[I_0]]&lt;Table24[Flitro de Ruido],1,Table8[[#This Row],[I_30]]/Table8[[#This Row],[I_0]])</f>
        <v>1</v>
      </c>
      <c r="X1006" s="13" cm="1">
        <f t="array" ref="X1006">IF(Table8[[#This Row],[I_0]]&lt;Table24[Flitro de Ruido],1,Table8[[#This Row],[I_40]]/Table8[[#This Row],[I_0]])</f>
        <v>1</v>
      </c>
      <c r="Y1006" s="13" cm="1">
        <f t="array" ref="Y1006">IF(Table8[[#This Row],[I_0]]&lt;Table24[Flitro de Ruido],1,Table8[[#This Row],[I_50]]/Table8[[#This Row],[I_0]])</f>
        <v>1</v>
      </c>
    </row>
    <row r="1007" spans="1:25" x14ac:dyDescent="0.3">
      <c r="A1007" s="13">
        <v>1067</v>
      </c>
      <c r="B1007" s="12">
        <v>0</v>
      </c>
      <c r="C1007" s="11">
        <v>1067</v>
      </c>
      <c r="D1007" s="12">
        <v>0</v>
      </c>
      <c r="E1007" s="11">
        <v>1067</v>
      </c>
      <c r="F1007" s="12">
        <v>0</v>
      </c>
      <c r="G1007" s="11">
        <v>1067</v>
      </c>
      <c r="H1007" s="12">
        <v>0</v>
      </c>
      <c r="I1007" s="11">
        <v>1067</v>
      </c>
      <c r="J1007" s="12">
        <v>0</v>
      </c>
      <c r="K1007" s="11">
        <v>1067</v>
      </c>
      <c r="L1007" s="12">
        <v>0</v>
      </c>
      <c r="M1007" s="11">
        <v>1067</v>
      </c>
      <c r="N1007" s="13">
        <v>0</v>
      </c>
      <c r="O1007" s="11">
        <v>0</v>
      </c>
      <c r="P1007" s="11">
        <v>0</v>
      </c>
      <c r="Q1007" s="11">
        <v>0</v>
      </c>
      <c r="R1007" s="11">
        <v>0</v>
      </c>
      <c r="S1007" s="14">
        <v>0</v>
      </c>
      <c r="T1007" s="11">
        <v>1067</v>
      </c>
      <c r="U1007" s="13" cm="1">
        <f t="array" ref="U1007">IF(Table8[[#This Row],[I_0]]&lt;Table24[Flitro de Ruido],1,Table8[[#This Row],[I_10]]/Table8[[#This Row],[I_0]])</f>
        <v>1</v>
      </c>
      <c r="V1007" s="13" cm="1">
        <f t="array" ref="V1007">IF(Table8[[#This Row],[I_0]]&lt;Table24[Flitro de Ruido],1,Table8[[#This Row],[I_20]]/Table8[[#This Row],[I_0]])</f>
        <v>1</v>
      </c>
      <c r="W1007" s="13" cm="1">
        <f t="array" ref="W1007">IF(Table8[[#This Row],[I_0]]&lt;Table24[Flitro de Ruido],1,Table8[[#This Row],[I_30]]/Table8[[#This Row],[I_0]])</f>
        <v>1</v>
      </c>
      <c r="X1007" s="13" cm="1">
        <f t="array" ref="X1007">IF(Table8[[#This Row],[I_0]]&lt;Table24[Flitro de Ruido],1,Table8[[#This Row],[I_40]]/Table8[[#This Row],[I_0]])</f>
        <v>1</v>
      </c>
      <c r="Y1007" s="13" cm="1">
        <f t="array" ref="Y1007">IF(Table8[[#This Row],[I_0]]&lt;Table24[Flitro de Ruido],1,Table8[[#This Row],[I_50]]/Table8[[#This Row],[I_0]])</f>
        <v>1</v>
      </c>
    </row>
    <row r="1008" spans="1:25" x14ac:dyDescent="0.3">
      <c r="A1008" s="13">
        <v>1068</v>
      </c>
      <c r="B1008" s="12">
        <v>0</v>
      </c>
      <c r="C1008" s="11">
        <v>1068</v>
      </c>
      <c r="D1008" s="12">
        <v>0</v>
      </c>
      <c r="E1008" s="11">
        <v>1068</v>
      </c>
      <c r="F1008" s="12">
        <v>0</v>
      </c>
      <c r="G1008" s="11">
        <v>1068</v>
      </c>
      <c r="H1008" s="12">
        <v>0</v>
      </c>
      <c r="I1008" s="11">
        <v>1068</v>
      </c>
      <c r="J1008" s="12">
        <v>0</v>
      </c>
      <c r="K1008" s="11">
        <v>1068</v>
      </c>
      <c r="L1008" s="12">
        <v>0</v>
      </c>
      <c r="M1008" s="11">
        <v>1068</v>
      </c>
      <c r="N1008" s="13">
        <v>0</v>
      </c>
      <c r="O1008" s="11">
        <v>0</v>
      </c>
      <c r="P1008" s="11">
        <v>0</v>
      </c>
      <c r="Q1008" s="11">
        <v>0</v>
      </c>
      <c r="R1008" s="11">
        <v>0</v>
      </c>
      <c r="S1008" s="14">
        <v>0</v>
      </c>
      <c r="T1008" s="11">
        <v>1068</v>
      </c>
      <c r="U1008" s="13" cm="1">
        <f t="array" ref="U1008">IF(Table8[[#This Row],[I_0]]&lt;Table24[Flitro de Ruido],1,Table8[[#This Row],[I_10]]/Table8[[#This Row],[I_0]])</f>
        <v>1</v>
      </c>
      <c r="V1008" s="13" cm="1">
        <f t="array" ref="V1008">IF(Table8[[#This Row],[I_0]]&lt;Table24[Flitro de Ruido],1,Table8[[#This Row],[I_20]]/Table8[[#This Row],[I_0]])</f>
        <v>1</v>
      </c>
      <c r="W1008" s="13" cm="1">
        <f t="array" ref="W1008">IF(Table8[[#This Row],[I_0]]&lt;Table24[Flitro de Ruido],1,Table8[[#This Row],[I_30]]/Table8[[#This Row],[I_0]])</f>
        <v>1</v>
      </c>
      <c r="X1008" s="13" cm="1">
        <f t="array" ref="X1008">IF(Table8[[#This Row],[I_0]]&lt;Table24[Flitro de Ruido],1,Table8[[#This Row],[I_40]]/Table8[[#This Row],[I_0]])</f>
        <v>1</v>
      </c>
      <c r="Y1008" s="13" cm="1">
        <f t="array" ref="Y1008">IF(Table8[[#This Row],[I_0]]&lt;Table24[Flitro de Ruido],1,Table8[[#This Row],[I_50]]/Table8[[#This Row],[I_0]])</f>
        <v>1</v>
      </c>
    </row>
    <row r="1009" spans="1:25" x14ac:dyDescent="0.3">
      <c r="A1009" s="13">
        <v>1068.99</v>
      </c>
      <c r="B1009" s="12">
        <v>0</v>
      </c>
      <c r="C1009" s="11">
        <v>1068.99</v>
      </c>
      <c r="D1009" s="12">
        <v>0</v>
      </c>
      <c r="E1009" s="11">
        <v>1068.99</v>
      </c>
      <c r="F1009" s="12">
        <v>0</v>
      </c>
      <c r="G1009" s="11">
        <v>1068.99</v>
      </c>
      <c r="H1009" s="12">
        <v>0</v>
      </c>
      <c r="I1009" s="11">
        <v>1068.99</v>
      </c>
      <c r="J1009" s="12">
        <v>0</v>
      </c>
      <c r="K1009" s="11">
        <v>1068.99</v>
      </c>
      <c r="L1009" s="12">
        <v>0</v>
      </c>
      <c r="M1009" s="11">
        <v>1068.99</v>
      </c>
      <c r="N1009" s="13">
        <v>0</v>
      </c>
      <c r="O1009" s="11">
        <v>0</v>
      </c>
      <c r="P1009" s="11">
        <v>0</v>
      </c>
      <c r="Q1009" s="11">
        <v>0</v>
      </c>
      <c r="R1009" s="11">
        <v>0</v>
      </c>
      <c r="S1009" s="14">
        <v>0</v>
      </c>
      <c r="T1009" s="11">
        <v>1068.99</v>
      </c>
      <c r="U1009" s="13" cm="1">
        <f t="array" ref="U1009">IF(Table8[[#This Row],[I_0]]&lt;Table24[Flitro de Ruido],1,Table8[[#This Row],[I_10]]/Table8[[#This Row],[I_0]])</f>
        <v>1</v>
      </c>
      <c r="V1009" s="13" cm="1">
        <f t="array" ref="V1009">IF(Table8[[#This Row],[I_0]]&lt;Table24[Flitro de Ruido],1,Table8[[#This Row],[I_20]]/Table8[[#This Row],[I_0]])</f>
        <v>1</v>
      </c>
      <c r="W1009" s="13" cm="1">
        <f t="array" ref="W1009">IF(Table8[[#This Row],[I_0]]&lt;Table24[Flitro de Ruido],1,Table8[[#This Row],[I_30]]/Table8[[#This Row],[I_0]])</f>
        <v>1</v>
      </c>
      <c r="X1009" s="13" cm="1">
        <f t="array" ref="X1009">IF(Table8[[#This Row],[I_0]]&lt;Table24[Flitro de Ruido],1,Table8[[#This Row],[I_40]]/Table8[[#This Row],[I_0]])</f>
        <v>1</v>
      </c>
      <c r="Y1009" s="13" cm="1">
        <f t="array" ref="Y1009">IF(Table8[[#This Row],[I_0]]&lt;Table24[Flitro de Ruido],1,Table8[[#This Row],[I_50]]/Table8[[#This Row],[I_0]])</f>
        <v>1</v>
      </c>
    </row>
    <row r="1010" spans="1:25" x14ac:dyDescent="0.3">
      <c r="A1010" s="13">
        <v>1069.98</v>
      </c>
      <c r="B1010" s="12">
        <v>0</v>
      </c>
      <c r="C1010" s="11">
        <v>1069.98</v>
      </c>
      <c r="D1010" s="12">
        <v>0</v>
      </c>
      <c r="E1010" s="11">
        <v>1069.98</v>
      </c>
      <c r="F1010" s="12">
        <v>0</v>
      </c>
      <c r="G1010" s="11">
        <v>1069.98</v>
      </c>
      <c r="H1010" s="12">
        <v>0</v>
      </c>
      <c r="I1010" s="11">
        <v>1069.98</v>
      </c>
      <c r="J1010" s="12">
        <v>0</v>
      </c>
      <c r="K1010" s="11">
        <v>1069.98</v>
      </c>
      <c r="L1010" s="12">
        <v>0</v>
      </c>
      <c r="M1010" s="11">
        <v>1069.98</v>
      </c>
      <c r="N1010" s="13">
        <v>0</v>
      </c>
      <c r="O1010" s="11">
        <v>0</v>
      </c>
      <c r="P1010" s="11">
        <v>0</v>
      </c>
      <c r="Q1010" s="11">
        <v>0</v>
      </c>
      <c r="R1010" s="11">
        <v>0</v>
      </c>
      <c r="S1010" s="14">
        <v>0</v>
      </c>
      <c r="T1010" s="11">
        <v>1069.98</v>
      </c>
      <c r="U1010" s="13" cm="1">
        <f t="array" ref="U1010">IF(Table8[[#This Row],[I_0]]&lt;Table24[Flitro de Ruido],1,Table8[[#This Row],[I_10]]/Table8[[#This Row],[I_0]])</f>
        <v>1</v>
      </c>
      <c r="V1010" s="13" cm="1">
        <f t="array" ref="V1010">IF(Table8[[#This Row],[I_0]]&lt;Table24[Flitro de Ruido],1,Table8[[#This Row],[I_20]]/Table8[[#This Row],[I_0]])</f>
        <v>1</v>
      </c>
      <c r="W1010" s="13" cm="1">
        <f t="array" ref="W1010">IF(Table8[[#This Row],[I_0]]&lt;Table24[Flitro de Ruido],1,Table8[[#This Row],[I_30]]/Table8[[#This Row],[I_0]])</f>
        <v>1</v>
      </c>
      <c r="X1010" s="13" cm="1">
        <f t="array" ref="X1010">IF(Table8[[#This Row],[I_0]]&lt;Table24[Flitro de Ruido],1,Table8[[#This Row],[I_40]]/Table8[[#This Row],[I_0]])</f>
        <v>1</v>
      </c>
      <c r="Y1010" s="13" cm="1">
        <f t="array" ref="Y1010">IF(Table8[[#This Row],[I_0]]&lt;Table24[Flitro de Ruido],1,Table8[[#This Row],[I_50]]/Table8[[#This Row],[I_0]])</f>
        <v>1</v>
      </c>
    </row>
    <row r="1011" spans="1:25" x14ac:dyDescent="0.3">
      <c r="A1011" s="13">
        <v>1070.97</v>
      </c>
      <c r="B1011" s="12">
        <v>0</v>
      </c>
      <c r="C1011" s="11">
        <v>1070.97</v>
      </c>
      <c r="D1011" s="12">
        <v>0</v>
      </c>
      <c r="E1011" s="11">
        <v>1070.97</v>
      </c>
      <c r="F1011" s="12">
        <v>0</v>
      </c>
      <c r="G1011" s="11">
        <v>1070.97</v>
      </c>
      <c r="H1011" s="12">
        <v>0</v>
      </c>
      <c r="I1011" s="11">
        <v>1070.97</v>
      </c>
      <c r="J1011" s="12">
        <v>0</v>
      </c>
      <c r="K1011" s="11">
        <v>1070.97</v>
      </c>
      <c r="L1011" s="12">
        <v>0</v>
      </c>
      <c r="M1011" s="11">
        <v>1070.97</v>
      </c>
      <c r="N1011" s="13">
        <v>0</v>
      </c>
      <c r="O1011" s="11">
        <v>0</v>
      </c>
      <c r="P1011" s="11">
        <v>0</v>
      </c>
      <c r="Q1011" s="11">
        <v>0</v>
      </c>
      <c r="R1011" s="11">
        <v>0</v>
      </c>
      <c r="S1011" s="14">
        <v>0</v>
      </c>
      <c r="T1011" s="11">
        <v>1070.97</v>
      </c>
      <c r="U1011" s="13" cm="1">
        <f t="array" ref="U1011">IF(Table8[[#This Row],[I_0]]&lt;Table24[Flitro de Ruido],1,Table8[[#This Row],[I_10]]/Table8[[#This Row],[I_0]])</f>
        <v>1</v>
      </c>
      <c r="V1011" s="13" cm="1">
        <f t="array" ref="V1011">IF(Table8[[#This Row],[I_0]]&lt;Table24[Flitro de Ruido],1,Table8[[#This Row],[I_20]]/Table8[[#This Row],[I_0]])</f>
        <v>1</v>
      </c>
      <c r="W1011" s="13" cm="1">
        <f t="array" ref="W1011">IF(Table8[[#This Row],[I_0]]&lt;Table24[Flitro de Ruido],1,Table8[[#This Row],[I_30]]/Table8[[#This Row],[I_0]])</f>
        <v>1</v>
      </c>
      <c r="X1011" s="13" cm="1">
        <f t="array" ref="X1011">IF(Table8[[#This Row],[I_0]]&lt;Table24[Flitro de Ruido],1,Table8[[#This Row],[I_40]]/Table8[[#This Row],[I_0]])</f>
        <v>1</v>
      </c>
      <c r="Y1011" s="13" cm="1">
        <f t="array" ref="Y1011">IF(Table8[[#This Row],[I_0]]&lt;Table24[Flitro de Ruido],1,Table8[[#This Row],[I_50]]/Table8[[#This Row],[I_0]])</f>
        <v>1</v>
      </c>
    </row>
    <row r="1012" spans="1:25" x14ac:dyDescent="0.3">
      <c r="A1012" s="13">
        <v>1071.96</v>
      </c>
      <c r="B1012" s="12">
        <v>0</v>
      </c>
      <c r="C1012" s="11">
        <v>1071.96</v>
      </c>
      <c r="D1012" s="12">
        <v>0</v>
      </c>
      <c r="E1012" s="11">
        <v>1071.96</v>
      </c>
      <c r="F1012" s="12">
        <v>0</v>
      </c>
      <c r="G1012" s="11">
        <v>1071.96</v>
      </c>
      <c r="H1012" s="12">
        <v>0</v>
      </c>
      <c r="I1012" s="11">
        <v>1071.96</v>
      </c>
      <c r="J1012" s="12">
        <v>0</v>
      </c>
      <c r="K1012" s="11">
        <v>1071.96</v>
      </c>
      <c r="L1012" s="12">
        <v>0</v>
      </c>
      <c r="M1012" s="11">
        <v>1071.96</v>
      </c>
      <c r="N1012" s="13">
        <v>0</v>
      </c>
      <c r="O1012" s="11">
        <v>0</v>
      </c>
      <c r="P1012" s="11">
        <v>0</v>
      </c>
      <c r="Q1012" s="11">
        <v>0</v>
      </c>
      <c r="R1012" s="11">
        <v>0</v>
      </c>
      <c r="S1012" s="14">
        <v>0</v>
      </c>
      <c r="T1012" s="11">
        <v>1071.96</v>
      </c>
      <c r="U1012" s="13" cm="1">
        <f t="array" ref="U1012">IF(Table8[[#This Row],[I_0]]&lt;Table24[Flitro de Ruido],1,Table8[[#This Row],[I_10]]/Table8[[#This Row],[I_0]])</f>
        <v>1</v>
      </c>
      <c r="V1012" s="13" cm="1">
        <f t="array" ref="V1012">IF(Table8[[#This Row],[I_0]]&lt;Table24[Flitro de Ruido],1,Table8[[#This Row],[I_20]]/Table8[[#This Row],[I_0]])</f>
        <v>1</v>
      </c>
      <c r="W1012" s="13" cm="1">
        <f t="array" ref="W1012">IF(Table8[[#This Row],[I_0]]&lt;Table24[Flitro de Ruido],1,Table8[[#This Row],[I_30]]/Table8[[#This Row],[I_0]])</f>
        <v>1</v>
      </c>
      <c r="X1012" s="13" cm="1">
        <f t="array" ref="X1012">IF(Table8[[#This Row],[I_0]]&lt;Table24[Flitro de Ruido],1,Table8[[#This Row],[I_40]]/Table8[[#This Row],[I_0]])</f>
        <v>1</v>
      </c>
      <c r="Y1012" s="13" cm="1">
        <f t="array" ref="Y1012">IF(Table8[[#This Row],[I_0]]&lt;Table24[Flitro de Ruido],1,Table8[[#This Row],[I_50]]/Table8[[#This Row],[I_0]])</f>
        <v>1</v>
      </c>
    </row>
    <row r="1013" spans="1:25" x14ac:dyDescent="0.3">
      <c r="A1013" s="13">
        <v>1072.95</v>
      </c>
      <c r="B1013" s="12">
        <v>0</v>
      </c>
      <c r="C1013" s="11">
        <v>1072.95</v>
      </c>
      <c r="D1013" s="12">
        <v>0</v>
      </c>
      <c r="E1013" s="11">
        <v>1072.95</v>
      </c>
      <c r="F1013" s="12">
        <v>0</v>
      </c>
      <c r="G1013" s="11">
        <v>1072.95</v>
      </c>
      <c r="H1013" s="12">
        <v>0</v>
      </c>
      <c r="I1013" s="11">
        <v>1072.95</v>
      </c>
      <c r="J1013" s="12">
        <v>0</v>
      </c>
      <c r="K1013" s="11">
        <v>1072.95</v>
      </c>
      <c r="L1013" s="12">
        <v>0</v>
      </c>
      <c r="M1013" s="11">
        <v>1072.95</v>
      </c>
      <c r="N1013" s="13">
        <v>0</v>
      </c>
      <c r="O1013" s="11">
        <v>0</v>
      </c>
      <c r="P1013" s="11">
        <v>0</v>
      </c>
      <c r="Q1013" s="11">
        <v>0</v>
      </c>
      <c r="R1013" s="11">
        <v>0</v>
      </c>
      <c r="S1013" s="14">
        <v>0</v>
      </c>
      <c r="T1013" s="11">
        <v>1072.95</v>
      </c>
      <c r="U1013" s="13" cm="1">
        <f t="array" ref="U1013">IF(Table8[[#This Row],[I_0]]&lt;Table24[Flitro de Ruido],1,Table8[[#This Row],[I_10]]/Table8[[#This Row],[I_0]])</f>
        <v>1</v>
      </c>
      <c r="V1013" s="13" cm="1">
        <f t="array" ref="V1013">IF(Table8[[#This Row],[I_0]]&lt;Table24[Flitro de Ruido],1,Table8[[#This Row],[I_20]]/Table8[[#This Row],[I_0]])</f>
        <v>1</v>
      </c>
      <c r="W1013" s="13" cm="1">
        <f t="array" ref="W1013">IF(Table8[[#This Row],[I_0]]&lt;Table24[Flitro de Ruido],1,Table8[[#This Row],[I_30]]/Table8[[#This Row],[I_0]])</f>
        <v>1</v>
      </c>
      <c r="X1013" s="13" cm="1">
        <f t="array" ref="X1013">IF(Table8[[#This Row],[I_0]]&lt;Table24[Flitro de Ruido],1,Table8[[#This Row],[I_40]]/Table8[[#This Row],[I_0]])</f>
        <v>1</v>
      </c>
      <c r="Y1013" s="13" cm="1">
        <f t="array" ref="Y1013">IF(Table8[[#This Row],[I_0]]&lt;Table24[Flitro de Ruido],1,Table8[[#This Row],[I_50]]/Table8[[#This Row],[I_0]])</f>
        <v>1</v>
      </c>
    </row>
    <row r="1014" spans="1:25" x14ac:dyDescent="0.3">
      <c r="A1014" s="13">
        <v>1073.95</v>
      </c>
      <c r="B1014" s="12">
        <v>0</v>
      </c>
      <c r="C1014" s="11">
        <v>1073.95</v>
      </c>
      <c r="D1014" s="12">
        <v>0</v>
      </c>
      <c r="E1014" s="11">
        <v>1073.95</v>
      </c>
      <c r="F1014" s="12">
        <v>0</v>
      </c>
      <c r="G1014" s="11">
        <v>1073.95</v>
      </c>
      <c r="H1014" s="12">
        <v>0</v>
      </c>
      <c r="I1014" s="11">
        <v>1073.95</v>
      </c>
      <c r="J1014" s="12">
        <v>0</v>
      </c>
      <c r="K1014" s="11">
        <v>1073.95</v>
      </c>
      <c r="L1014" s="12">
        <v>0</v>
      </c>
      <c r="M1014" s="11">
        <v>1073.95</v>
      </c>
      <c r="N1014" s="13">
        <v>0</v>
      </c>
      <c r="O1014" s="11">
        <v>0</v>
      </c>
      <c r="P1014" s="11">
        <v>0</v>
      </c>
      <c r="Q1014" s="11">
        <v>0</v>
      </c>
      <c r="R1014" s="11">
        <v>0</v>
      </c>
      <c r="S1014" s="14">
        <v>0</v>
      </c>
      <c r="T1014" s="11">
        <v>1073.95</v>
      </c>
      <c r="U1014" s="13" cm="1">
        <f t="array" ref="U1014">IF(Table8[[#This Row],[I_0]]&lt;Table24[Flitro de Ruido],1,Table8[[#This Row],[I_10]]/Table8[[#This Row],[I_0]])</f>
        <v>1</v>
      </c>
      <c r="V1014" s="13" cm="1">
        <f t="array" ref="V1014">IF(Table8[[#This Row],[I_0]]&lt;Table24[Flitro de Ruido],1,Table8[[#This Row],[I_20]]/Table8[[#This Row],[I_0]])</f>
        <v>1</v>
      </c>
      <c r="W1014" s="13" cm="1">
        <f t="array" ref="W1014">IF(Table8[[#This Row],[I_0]]&lt;Table24[Flitro de Ruido],1,Table8[[#This Row],[I_30]]/Table8[[#This Row],[I_0]])</f>
        <v>1</v>
      </c>
      <c r="X1014" s="13" cm="1">
        <f t="array" ref="X1014">IF(Table8[[#This Row],[I_0]]&lt;Table24[Flitro de Ruido],1,Table8[[#This Row],[I_40]]/Table8[[#This Row],[I_0]])</f>
        <v>1</v>
      </c>
      <c r="Y1014" s="13" cm="1">
        <f t="array" ref="Y1014">IF(Table8[[#This Row],[I_0]]&lt;Table24[Flitro de Ruido],1,Table8[[#This Row],[I_50]]/Table8[[#This Row],[I_0]])</f>
        <v>1</v>
      </c>
    </row>
    <row r="1015" spans="1:25" x14ac:dyDescent="0.3">
      <c r="A1015" s="13">
        <v>1074.94</v>
      </c>
      <c r="B1015" s="12">
        <v>0</v>
      </c>
      <c r="C1015" s="11">
        <v>1074.94</v>
      </c>
      <c r="D1015" s="12">
        <v>0</v>
      </c>
      <c r="E1015" s="11">
        <v>1074.94</v>
      </c>
      <c r="F1015" s="12">
        <v>0</v>
      </c>
      <c r="G1015" s="11">
        <v>1074.94</v>
      </c>
      <c r="H1015" s="12">
        <v>0</v>
      </c>
      <c r="I1015" s="11">
        <v>1074.94</v>
      </c>
      <c r="J1015" s="12">
        <v>0</v>
      </c>
      <c r="K1015" s="11">
        <v>1074.94</v>
      </c>
      <c r="L1015" s="12">
        <v>0</v>
      </c>
      <c r="M1015" s="11">
        <v>1074.94</v>
      </c>
      <c r="N1015" s="13">
        <v>0</v>
      </c>
      <c r="O1015" s="11">
        <v>0</v>
      </c>
      <c r="P1015" s="11">
        <v>0</v>
      </c>
      <c r="Q1015" s="11">
        <v>0</v>
      </c>
      <c r="R1015" s="11">
        <v>0</v>
      </c>
      <c r="S1015" s="14">
        <v>0</v>
      </c>
      <c r="T1015" s="11">
        <v>1074.94</v>
      </c>
      <c r="U1015" s="13" cm="1">
        <f t="array" ref="U1015">IF(Table8[[#This Row],[I_0]]&lt;Table24[Flitro de Ruido],1,Table8[[#This Row],[I_10]]/Table8[[#This Row],[I_0]])</f>
        <v>1</v>
      </c>
      <c r="V1015" s="13" cm="1">
        <f t="array" ref="V1015">IF(Table8[[#This Row],[I_0]]&lt;Table24[Flitro de Ruido],1,Table8[[#This Row],[I_20]]/Table8[[#This Row],[I_0]])</f>
        <v>1</v>
      </c>
      <c r="W1015" s="13" cm="1">
        <f t="array" ref="W1015">IF(Table8[[#This Row],[I_0]]&lt;Table24[Flitro de Ruido],1,Table8[[#This Row],[I_30]]/Table8[[#This Row],[I_0]])</f>
        <v>1</v>
      </c>
      <c r="X1015" s="13" cm="1">
        <f t="array" ref="X1015">IF(Table8[[#This Row],[I_0]]&lt;Table24[Flitro de Ruido],1,Table8[[#This Row],[I_40]]/Table8[[#This Row],[I_0]])</f>
        <v>1</v>
      </c>
      <c r="Y1015" s="13" cm="1">
        <f t="array" ref="Y1015">IF(Table8[[#This Row],[I_0]]&lt;Table24[Flitro de Ruido],1,Table8[[#This Row],[I_50]]/Table8[[#This Row],[I_0]])</f>
        <v>1</v>
      </c>
    </row>
    <row r="1016" spans="1:25" x14ac:dyDescent="0.3">
      <c r="A1016" s="13">
        <v>1075.93</v>
      </c>
      <c r="B1016" s="12">
        <v>0</v>
      </c>
      <c r="C1016" s="11">
        <v>1075.93</v>
      </c>
      <c r="D1016" s="12">
        <v>0</v>
      </c>
      <c r="E1016" s="11">
        <v>1075.93</v>
      </c>
      <c r="F1016" s="12">
        <v>0</v>
      </c>
      <c r="G1016" s="11">
        <v>1075.93</v>
      </c>
      <c r="H1016" s="12">
        <v>0</v>
      </c>
      <c r="I1016" s="11">
        <v>1075.93</v>
      </c>
      <c r="J1016" s="12">
        <v>0</v>
      </c>
      <c r="K1016" s="11">
        <v>1075.93</v>
      </c>
      <c r="L1016" s="12">
        <v>0</v>
      </c>
      <c r="M1016" s="11">
        <v>1075.93</v>
      </c>
      <c r="N1016" s="13">
        <v>0</v>
      </c>
      <c r="O1016" s="11">
        <v>0</v>
      </c>
      <c r="P1016" s="11">
        <v>0</v>
      </c>
      <c r="Q1016" s="11">
        <v>0</v>
      </c>
      <c r="R1016" s="11">
        <v>0</v>
      </c>
      <c r="S1016" s="14">
        <v>0</v>
      </c>
      <c r="T1016" s="11">
        <v>1075.93</v>
      </c>
      <c r="U1016" s="13" cm="1">
        <f t="array" ref="U1016">IF(Table8[[#This Row],[I_0]]&lt;Table24[Flitro de Ruido],1,Table8[[#This Row],[I_10]]/Table8[[#This Row],[I_0]])</f>
        <v>1</v>
      </c>
      <c r="V1016" s="13" cm="1">
        <f t="array" ref="V1016">IF(Table8[[#This Row],[I_0]]&lt;Table24[Flitro de Ruido],1,Table8[[#This Row],[I_20]]/Table8[[#This Row],[I_0]])</f>
        <v>1</v>
      </c>
      <c r="W1016" s="13" cm="1">
        <f t="array" ref="W1016">IF(Table8[[#This Row],[I_0]]&lt;Table24[Flitro de Ruido],1,Table8[[#This Row],[I_30]]/Table8[[#This Row],[I_0]])</f>
        <v>1</v>
      </c>
      <c r="X1016" s="13" cm="1">
        <f t="array" ref="X1016">IF(Table8[[#This Row],[I_0]]&lt;Table24[Flitro de Ruido],1,Table8[[#This Row],[I_40]]/Table8[[#This Row],[I_0]])</f>
        <v>1</v>
      </c>
      <c r="Y1016" s="13" cm="1">
        <f t="array" ref="Y1016">IF(Table8[[#This Row],[I_0]]&lt;Table24[Flitro de Ruido],1,Table8[[#This Row],[I_50]]/Table8[[#This Row],[I_0]])</f>
        <v>1</v>
      </c>
    </row>
    <row r="1017" spans="1:25" x14ac:dyDescent="0.3">
      <c r="A1017" s="13">
        <v>1076.92</v>
      </c>
      <c r="B1017" s="12">
        <v>0</v>
      </c>
      <c r="C1017" s="11">
        <v>1076.92</v>
      </c>
      <c r="D1017" s="12">
        <v>0</v>
      </c>
      <c r="E1017" s="11">
        <v>1076.92</v>
      </c>
      <c r="F1017" s="12">
        <v>0</v>
      </c>
      <c r="G1017" s="11">
        <v>1076.92</v>
      </c>
      <c r="H1017" s="12">
        <v>0</v>
      </c>
      <c r="I1017" s="11">
        <v>1076.92</v>
      </c>
      <c r="J1017" s="12">
        <v>0</v>
      </c>
      <c r="K1017" s="11">
        <v>1076.92</v>
      </c>
      <c r="L1017" s="12">
        <v>0</v>
      </c>
      <c r="M1017" s="11">
        <v>1076.92</v>
      </c>
      <c r="N1017" s="13">
        <v>0</v>
      </c>
      <c r="O1017" s="11">
        <v>0</v>
      </c>
      <c r="P1017" s="11">
        <v>0</v>
      </c>
      <c r="Q1017" s="11">
        <v>0</v>
      </c>
      <c r="R1017" s="11">
        <v>0</v>
      </c>
      <c r="S1017" s="14">
        <v>0</v>
      </c>
      <c r="T1017" s="11">
        <v>1076.92</v>
      </c>
      <c r="U1017" s="13" cm="1">
        <f t="array" ref="U1017">IF(Table8[[#This Row],[I_0]]&lt;Table24[Flitro de Ruido],1,Table8[[#This Row],[I_10]]/Table8[[#This Row],[I_0]])</f>
        <v>1</v>
      </c>
      <c r="V1017" s="13" cm="1">
        <f t="array" ref="V1017">IF(Table8[[#This Row],[I_0]]&lt;Table24[Flitro de Ruido],1,Table8[[#This Row],[I_20]]/Table8[[#This Row],[I_0]])</f>
        <v>1</v>
      </c>
      <c r="W1017" s="13" cm="1">
        <f t="array" ref="W1017">IF(Table8[[#This Row],[I_0]]&lt;Table24[Flitro de Ruido],1,Table8[[#This Row],[I_30]]/Table8[[#This Row],[I_0]])</f>
        <v>1</v>
      </c>
      <c r="X1017" s="13" cm="1">
        <f t="array" ref="X1017">IF(Table8[[#This Row],[I_0]]&lt;Table24[Flitro de Ruido],1,Table8[[#This Row],[I_40]]/Table8[[#This Row],[I_0]])</f>
        <v>1</v>
      </c>
      <c r="Y1017" s="13" cm="1">
        <f t="array" ref="Y1017">IF(Table8[[#This Row],[I_0]]&lt;Table24[Flitro de Ruido],1,Table8[[#This Row],[I_50]]/Table8[[#This Row],[I_0]])</f>
        <v>1</v>
      </c>
    </row>
    <row r="1018" spans="1:25" x14ac:dyDescent="0.3">
      <c r="A1018" s="13">
        <v>1077.9100000000001</v>
      </c>
      <c r="B1018" s="12">
        <v>0</v>
      </c>
      <c r="C1018" s="11">
        <v>1077.9100000000001</v>
      </c>
      <c r="D1018" s="12">
        <v>0</v>
      </c>
      <c r="E1018" s="11">
        <v>1077.9100000000001</v>
      </c>
      <c r="F1018" s="12">
        <v>0</v>
      </c>
      <c r="G1018" s="11">
        <v>1077.9100000000001</v>
      </c>
      <c r="H1018" s="12">
        <v>0</v>
      </c>
      <c r="I1018" s="11">
        <v>1077.9100000000001</v>
      </c>
      <c r="J1018" s="12">
        <v>0</v>
      </c>
      <c r="K1018" s="11">
        <v>1077.9100000000001</v>
      </c>
      <c r="L1018" s="12">
        <v>0</v>
      </c>
      <c r="M1018" s="11">
        <v>1077.9100000000001</v>
      </c>
      <c r="N1018" s="13">
        <v>0</v>
      </c>
      <c r="O1018" s="11">
        <v>0</v>
      </c>
      <c r="P1018" s="11">
        <v>0</v>
      </c>
      <c r="Q1018" s="11">
        <v>0</v>
      </c>
      <c r="R1018" s="11">
        <v>0</v>
      </c>
      <c r="S1018" s="14">
        <v>0</v>
      </c>
      <c r="T1018" s="11">
        <v>1077.9100000000001</v>
      </c>
      <c r="U1018" s="13" cm="1">
        <f t="array" ref="U1018">IF(Table8[[#This Row],[I_0]]&lt;Table24[Flitro de Ruido],1,Table8[[#This Row],[I_10]]/Table8[[#This Row],[I_0]])</f>
        <v>1</v>
      </c>
      <c r="V1018" s="13" cm="1">
        <f t="array" ref="V1018">IF(Table8[[#This Row],[I_0]]&lt;Table24[Flitro de Ruido],1,Table8[[#This Row],[I_20]]/Table8[[#This Row],[I_0]])</f>
        <v>1</v>
      </c>
      <c r="W1018" s="13" cm="1">
        <f t="array" ref="W1018">IF(Table8[[#This Row],[I_0]]&lt;Table24[Flitro de Ruido],1,Table8[[#This Row],[I_30]]/Table8[[#This Row],[I_0]])</f>
        <v>1</v>
      </c>
      <c r="X1018" s="13" cm="1">
        <f t="array" ref="X1018">IF(Table8[[#This Row],[I_0]]&lt;Table24[Flitro de Ruido],1,Table8[[#This Row],[I_40]]/Table8[[#This Row],[I_0]])</f>
        <v>1</v>
      </c>
      <c r="Y1018" s="13" cm="1">
        <f t="array" ref="Y1018">IF(Table8[[#This Row],[I_0]]&lt;Table24[Flitro de Ruido],1,Table8[[#This Row],[I_50]]/Table8[[#This Row],[I_0]])</f>
        <v>1</v>
      </c>
    </row>
    <row r="1019" spans="1:25" x14ac:dyDescent="0.3">
      <c r="A1019" s="13">
        <v>1078.9000000000001</v>
      </c>
      <c r="B1019" s="12">
        <v>0</v>
      </c>
      <c r="C1019" s="11">
        <v>1078.9000000000001</v>
      </c>
      <c r="D1019" s="12">
        <v>0</v>
      </c>
      <c r="E1019" s="11">
        <v>1078.9000000000001</v>
      </c>
      <c r="F1019" s="12">
        <v>0</v>
      </c>
      <c r="G1019" s="11">
        <v>1078.9000000000001</v>
      </c>
      <c r="H1019" s="12">
        <v>0</v>
      </c>
      <c r="I1019" s="11">
        <v>1078.9000000000001</v>
      </c>
      <c r="J1019" s="12">
        <v>0</v>
      </c>
      <c r="K1019" s="11">
        <v>1078.9000000000001</v>
      </c>
      <c r="L1019" s="12">
        <v>0</v>
      </c>
      <c r="M1019" s="11">
        <v>1078.9000000000001</v>
      </c>
      <c r="N1019" s="13">
        <v>0</v>
      </c>
      <c r="O1019" s="11">
        <v>0</v>
      </c>
      <c r="P1019" s="11">
        <v>0</v>
      </c>
      <c r="Q1019" s="11">
        <v>0</v>
      </c>
      <c r="R1019" s="11">
        <v>0</v>
      </c>
      <c r="S1019" s="14">
        <v>0</v>
      </c>
      <c r="T1019" s="11">
        <v>1078.9000000000001</v>
      </c>
      <c r="U1019" s="13" cm="1">
        <f t="array" ref="U1019">IF(Table8[[#This Row],[I_0]]&lt;Table24[Flitro de Ruido],1,Table8[[#This Row],[I_10]]/Table8[[#This Row],[I_0]])</f>
        <v>1</v>
      </c>
      <c r="V1019" s="13" cm="1">
        <f t="array" ref="V1019">IF(Table8[[#This Row],[I_0]]&lt;Table24[Flitro de Ruido],1,Table8[[#This Row],[I_20]]/Table8[[#This Row],[I_0]])</f>
        <v>1</v>
      </c>
      <c r="W1019" s="13" cm="1">
        <f t="array" ref="W1019">IF(Table8[[#This Row],[I_0]]&lt;Table24[Flitro de Ruido],1,Table8[[#This Row],[I_30]]/Table8[[#This Row],[I_0]])</f>
        <v>1</v>
      </c>
      <c r="X1019" s="13" cm="1">
        <f t="array" ref="X1019">IF(Table8[[#This Row],[I_0]]&lt;Table24[Flitro de Ruido],1,Table8[[#This Row],[I_40]]/Table8[[#This Row],[I_0]])</f>
        <v>1</v>
      </c>
      <c r="Y1019" s="13" cm="1">
        <f t="array" ref="Y1019">IF(Table8[[#This Row],[I_0]]&lt;Table24[Flitro de Ruido],1,Table8[[#This Row],[I_50]]/Table8[[#This Row],[I_0]])</f>
        <v>1</v>
      </c>
    </row>
    <row r="1020" spans="1:25" x14ac:dyDescent="0.3">
      <c r="A1020" s="13">
        <v>1079.9000000000001</v>
      </c>
      <c r="B1020" s="12">
        <v>0</v>
      </c>
      <c r="C1020" s="11">
        <v>1079.9000000000001</v>
      </c>
      <c r="D1020" s="12">
        <v>0</v>
      </c>
      <c r="E1020" s="11">
        <v>1079.9000000000001</v>
      </c>
      <c r="F1020" s="12">
        <v>0</v>
      </c>
      <c r="G1020" s="11">
        <v>1079.9000000000001</v>
      </c>
      <c r="H1020" s="12">
        <v>0</v>
      </c>
      <c r="I1020" s="11">
        <v>1079.9000000000001</v>
      </c>
      <c r="J1020" s="12">
        <v>0</v>
      </c>
      <c r="K1020" s="11">
        <v>1079.9000000000001</v>
      </c>
      <c r="L1020" s="12">
        <v>0</v>
      </c>
      <c r="M1020" s="11">
        <v>1079.9000000000001</v>
      </c>
      <c r="N1020" s="13">
        <v>0</v>
      </c>
      <c r="O1020" s="11">
        <v>0</v>
      </c>
      <c r="P1020" s="11">
        <v>0</v>
      </c>
      <c r="Q1020" s="11">
        <v>0</v>
      </c>
      <c r="R1020" s="11">
        <v>0</v>
      </c>
      <c r="S1020" s="14">
        <v>0</v>
      </c>
      <c r="T1020" s="11">
        <v>1079.9000000000001</v>
      </c>
      <c r="U1020" s="13" cm="1">
        <f t="array" ref="U1020">IF(Table8[[#This Row],[I_0]]&lt;Table24[Flitro de Ruido],1,Table8[[#This Row],[I_10]]/Table8[[#This Row],[I_0]])</f>
        <v>1</v>
      </c>
      <c r="V1020" s="13" cm="1">
        <f t="array" ref="V1020">IF(Table8[[#This Row],[I_0]]&lt;Table24[Flitro de Ruido],1,Table8[[#This Row],[I_20]]/Table8[[#This Row],[I_0]])</f>
        <v>1</v>
      </c>
      <c r="W1020" s="13" cm="1">
        <f t="array" ref="W1020">IF(Table8[[#This Row],[I_0]]&lt;Table24[Flitro de Ruido],1,Table8[[#This Row],[I_30]]/Table8[[#This Row],[I_0]])</f>
        <v>1</v>
      </c>
      <c r="X1020" s="13" cm="1">
        <f t="array" ref="X1020">IF(Table8[[#This Row],[I_0]]&lt;Table24[Flitro de Ruido],1,Table8[[#This Row],[I_40]]/Table8[[#This Row],[I_0]])</f>
        <v>1</v>
      </c>
      <c r="Y1020" s="13" cm="1">
        <f t="array" ref="Y1020">IF(Table8[[#This Row],[I_0]]&lt;Table24[Flitro de Ruido],1,Table8[[#This Row],[I_50]]/Table8[[#This Row],[I_0]])</f>
        <v>1</v>
      </c>
    </row>
    <row r="1021" spans="1:25" x14ac:dyDescent="0.3">
      <c r="A1021" s="13">
        <v>1080.8900000000001</v>
      </c>
      <c r="B1021" s="12">
        <v>0</v>
      </c>
      <c r="C1021" s="11">
        <v>1080.8900000000001</v>
      </c>
      <c r="D1021" s="12">
        <v>0</v>
      </c>
      <c r="E1021" s="11">
        <v>1080.8900000000001</v>
      </c>
      <c r="F1021" s="12">
        <v>0</v>
      </c>
      <c r="G1021" s="11">
        <v>1080.8900000000001</v>
      </c>
      <c r="H1021" s="12">
        <v>0</v>
      </c>
      <c r="I1021" s="11">
        <v>1080.8900000000001</v>
      </c>
      <c r="J1021" s="12">
        <v>0</v>
      </c>
      <c r="K1021" s="11">
        <v>1080.8900000000001</v>
      </c>
      <c r="L1021" s="12">
        <v>0</v>
      </c>
      <c r="M1021" s="11">
        <v>1080.8900000000001</v>
      </c>
      <c r="N1021" s="13">
        <v>0</v>
      </c>
      <c r="O1021" s="11">
        <v>0</v>
      </c>
      <c r="P1021" s="11">
        <v>0</v>
      </c>
      <c r="Q1021" s="11">
        <v>0</v>
      </c>
      <c r="R1021" s="11">
        <v>0</v>
      </c>
      <c r="S1021" s="14">
        <v>0</v>
      </c>
      <c r="T1021" s="11">
        <v>1080.8900000000001</v>
      </c>
      <c r="U1021" s="13" cm="1">
        <f t="array" ref="U1021">IF(Table8[[#This Row],[I_0]]&lt;Table24[Flitro de Ruido],1,Table8[[#This Row],[I_10]]/Table8[[#This Row],[I_0]])</f>
        <v>1</v>
      </c>
      <c r="V1021" s="13" cm="1">
        <f t="array" ref="V1021">IF(Table8[[#This Row],[I_0]]&lt;Table24[Flitro de Ruido],1,Table8[[#This Row],[I_20]]/Table8[[#This Row],[I_0]])</f>
        <v>1</v>
      </c>
      <c r="W1021" s="13" cm="1">
        <f t="array" ref="W1021">IF(Table8[[#This Row],[I_0]]&lt;Table24[Flitro de Ruido],1,Table8[[#This Row],[I_30]]/Table8[[#This Row],[I_0]])</f>
        <v>1</v>
      </c>
      <c r="X1021" s="13" cm="1">
        <f t="array" ref="X1021">IF(Table8[[#This Row],[I_0]]&lt;Table24[Flitro de Ruido],1,Table8[[#This Row],[I_40]]/Table8[[#This Row],[I_0]])</f>
        <v>1</v>
      </c>
      <c r="Y1021" s="13" cm="1">
        <f t="array" ref="Y1021">IF(Table8[[#This Row],[I_0]]&lt;Table24[Flitro de Ruido],1,Table8[[#This Row],[I_50]]/Table8[[#This Row],[I_0]])</f>
        <v>1</v>
      </c>
    </row>
    <row r="1022" spans="1:25" x14ac:dyDescent="0.3">
      <c r="A1022" s="13">
        <v>1081.8800000000001</v>
      </c>
      <c r="B1022" s="12">
        <v>0</v>
      </c>
      <c r="C1022" s="11">
        <v>1081.8800000000001</v>
      </c>
      <c r="D1022" s="12">
        <v>0</v>
      </c>
      <c r="E1022" s="11">
        <v>1081.8800000000001</v>
      </c>
      <c r="F1022" s="12">
        <v>0</v>
      </c>
      <c r="G1022" s="11">
        <v>1081.8800000000001</v>
      </c>
      <c r="H1022" s="12">
        <v>0</v>
      </c>
      <c r="I1022" s="11">
        <v>1081.8800000000001</v>
      </c>
      <c r="J1022" s="12">
        <v>0</v>
      </c>
      <c r="K1022" s="11">
        <v>1081.8800000000001</v>
      </c>
      <c r="L1022" s="12">
        <v>0</v>
      </c>
      <c r="M1022" s="11">
        <v>1081.8800000000001</v>
      </c>
      <c r="N1022" s="13">
        <v>0</v>
      </c>
      <c r="O1022" s="11">
        <v>0</v>
      </c>
      <c r="P1022" s="11">
        <v>0</v>
      </c>
      <c r="Q1022" s="11">
        <v>0</v>
      </c>
      <c r="R1022" s="11">
        <v>0</v>
      </c>
      <c r="S1022" s="14">
        <v>0</v>
      </c>
      <c r="T1022" s="11">
        <v>1081.8800000000001</v>
      </c>
      <c r="U1022" s="13" cm="1">
        <f t="array" ref="U1022">IF(Table8[[#This Row],[I_0]]&lt;Table24[Flitro de Ruido],1,Table8[[#This Row],[I_10]]/Table8[[#This Row],[I_0]])</f>
        <v>1</v>
      </c>
      <c r="V1022" s="13" cm="1">
        <f t="array" ref="V1022">IF(Table8[[#This Row],[I_0]]&lt;Table24[Flitro de Ruido],1,Table8[[#This Row],[I_20]]/Table8[[#This Row],[I_0]])</f>
        <v>1</v>
      </c>
      <c r="W1022" s="13" cm="1">
        <f t="array" ref="W1022">IF(Table8[[#This Row],[I_0]]&lt;Table24[Flitro de Ruido],1,Table8[[#This Row],[I_30]]/Table8[[#This Row],[I_0]])</f>
        <v>1</v>
      </c>
      <c r="X1022" s="13" cm="1">
        <f t="array" ref="X1022">IF(Table8[[#This Row],[I_0]]&lt;Table24[Flitro de Ruido],1,Table8[[#This Row],[I_40]]/Table8[[#This Row],[I_0]])</f>
        <v>1</v>
      </c>
      <c r="Y1022" s="13" cm="1">
        <f t="array" ref="Y1022">IF(Table8[[#This Row],[I_0]]&lt;Table24[Flitro de Ruido],1,Table8[[#This Row],[I_50]]/Table8[[#This Row],[I_0]])</f>
        <v>1</v>
      </c>
    </row>
    <row r="1023" spans="1:25" x14ac:dyDescent="0.3">
      <c r="A1023" s="13">
        <v>1082.8699999999999</v>
      </c>
      <c r="B1023" s="12">
        <v>0</v>
      </c>
      <c r="C1023" s="11">
        <v>1082.8699999999999</v>
      </c>
      <c r="D1023" s="12">
        <v>0</v>
      </c>
      <c r="E1023" s="11">
        <v>1082.8699999999999</v>
      </c>
      <c r="F1023" s="12">
        <v>0</v>
      </c>
      <c r="G1023" s="11">
        <v>1082.8699999999999</v>
      </c>
      <c r="H1023" s="12">
        <v>0</v>
      </c>
      <c r="I1023" s="11">
        <v>1082.8699999999999</v>
      </c>
      <c r="J1023" s="12">
        <v>0</v>
      </c>
      <c r="K1023" s="11">
        <v>1082.8699999999999</v>
      </c>
      <c r="L1023" s="12">
        <v>0</v>
      </c>
      <c r="M1023" s="11">
        <v>1082.8699999999999</v>
      </c>
      <c r="N1023" s="13">
        <v>0</v>
      </c>
      <c r="O1023" s="11">
        <v>0</v>
      </c>
      <c r="P1023" s="11">
        <v>0</v>
      </c>
      <c r="Q1023" s="11">
        <v>0</v>
      </c>
      <c r="R1023" s="11">
        <v>0</v>
      </c>
      <c r="S1023" s="14">
        <v>0</v>
      </c>
      <c r="T1023" s="11">
        <v>1082.8699999999999</v>
      </c>
      <c r="U1023" s="13" cm="1">
        <f t="array" ref="U1023">IF(Table8[[#This Row],[I_0]]&lt;Table24[Flitro de Ruido],1,Table8[[#This Row],[I_10]]/Table8[[#This Row],[I_0]])</f>
        <v>1</v>
      </c>
      <c r="V1023" s="13" cm="1">
        <f t="array" ref="V1023">IF(Table8[[#This Row],[I_0]]&lt;Table24[Flitro de Ruido],1,Table8[[#This Row],[I_20]]/Table8[[#This Row],[I_0]])</f>
        <v>1</v>
      </c>
      <c r="W1023" s="13" cm="1">
        <f t="array" ref="W1023">IF(Table8[[#This Row],[I_0]]&lt;Table24[Flitro de Ruido],1,Table8[[#This Row],[I_30]]/Table8[[#This Row],[I_0]])</f>
        <v>1</v>
      </c>
      <c r="X1023" s="13" cm="1">
        <f t="array" ref="X1023">IF(Table8[[#This Row],[I_0]]&lt;Table24[Flitro de Ruido],1,Table8[[#This Row],[I_40]]/Table8[[#This Row],[I_0]])</f>
        <v>1</v>
      </c>
      <c r="Y1023" s="13" cm="1">
        <f t="array" ref="Y1023">IF(Table8[[#This Row],[I_0]]&lt;Table24[Flitro de Ruido],1,Table8[[#This Row],[I_50]]/Table8[[#This Row],[I_0]])</f>
        <v>1</v>
      </c>
    </row>
    <row r="1024" spans="1:25" x14ac:dyDescent="0.3">
      <c r="A1024" s="13">
        <v>1083.8599999999999</v>
      </c>
      <c r="B1024" s="12">
        <v>0</v>
      </c>
      <c r="C1024" s="11">
        <v>1083.8599999999999</v>
      </c>
      <c r="D1024" s="12">
        <v>0</v>
      </c>
      <c r="E1024" s="11">
        <v>1083.8599999999999</v>
      </c>
      <c r="F1024" s="12">
        <v>0</v>
      </c>
      <c r="G1024" s="11">
        <v>1083.8599999999999</v>
      </c>
      <c r="H1024" s="12">
        <v>0</v>
      </c>
      <c r="I1024" s="11">
        <v>1083.8599999999999</v>
      </c>
      <c r="J1024" s="12">
        <v>0</v>
      </c>
      <c r="K1024" s="11">
        <v>1083.8599999999999</v>
      </c>
      <c r="L1024" s="12">
        <v>0</v>
      </c>
      <c r="M1024" s="11">
        <v>1083.8599999999999</v>
      </c>
      <c r="N1024" s="13">
        <v>0</v>
      </c>
      <c r="O1024" s="11">
        <v>0</v>
      </c>
      <c r="P1024" s="11">
        <v>0</v>
      </c>
      <c r="Q1024" s="11">
        <v>0</v>
      </c>
      <c r="R1024" s="11">
        <v>0</v>
      </c>
      <c r="S1024" s="14">
        <v>0</v>
      </c>
      <c r="T1024" s="11">
        <v>1083.8599999999999</v>
      </c>
      <c r="U1024" s="13" cm="1">
        <f t="array" ref="U1024">IF(Table8[[#This Row],[I_0]]&lt;Table24[Flitro de Ruido],1,Table8[[#This Row],[I_10]]/Table8[[#This Row],[I_0]])</f>
        <v>1</v>
      </c>
      <c r="V1024" s="13" cm="1">
        <f t="array" ref="V1024">IF(Table8[[#This Row],[I_0]]&lt;Table24[Flitro de Ruido],1,Table8[[#This Row],[I_20]]/Table8[[#This Row],[I_0]])</f>
        <v>1</v>
      </c>
      <c r="W1024" s="13" cm="1">
        <f t="array" ref="W1024">IF(Table8[[#This Row],[I_0]]&lt;Table24[Flitro de Ruido],1,Table8[[#This Row],[I_30]]/Table8[[#This Row],[I_0]])</f>
        <v>1</v>
      </c>
      <c r="X1024" s="13" cm="1">
        <f t="array" ref="X1024">IF(Table8[[#This Row],[I_0]]&lt;Table24[Flitro de Ruido],1,Table8[[#This Row],[I_40]]/Table8[[#This Row],[I_0]])</f>
        <v>1</v>
      </c>
      <c r="Y1024" s="13" cm="1">
        <f t="array" ref="Y1024">IF(Table8[[#This Row],[I_0]]&lt;Table24[Flitro de Ruido],1,Table8[[#This Row],[I_50]]/Table8[[#This Row],[I_0]])</f>
        <v>1</v>
      </c>
    </row>
    <row r="1025" spans="1:25" x14ac:dyDescent="0.3">
      <c r="A1025" s="13">
        <v>1084.8599999999999</v>
      </c>
      <c r="B1025" s="12">
        <v>0</v>
      </c>
      <c r="C1025" s="11">
        <v>1084.8599999999999</v>
      </c>
      <c r="D1025" s="12">
        <v>0</v>
      </c>
      <c r="E1025" s="11">
        <v>1084.8599999999999</v>
      </c>
      <c r="F1025" s="12">
        <v>0</v>
      </c>
      <c r="G1025" s="11">
        <v>1084.8599999999999</v>
      </c>
      <c r="H1025" s="12">
        <v>0</v>
      </c>
      <c r="I1025" s="11">
        <v>1084.8599999999999</v>
      </c>
      <c r="J1025" s="12">
        <v>0</v>
      </c>
      <c r="K1025" s="11">
        <v>1084.8599999999999</v>
      </c>
      <c r="L1025" s="12">
        <v>0</v>
      </c>
      <c r="M1025" s="11">
        <v>1084.8599999999999</v>
      </c>
      <c r="N1025" s="13">
        <v>0</v>
      </c>
      <c r="O1025" s="11">
        <v>0</v>
      </c>
      <c r="P1025" s="11">
        <v>0</v>
      </c>
      <c r="Q1025" s="11">
        <v>0</v>
      </c>
      <c r="R1025" s="11">
        <v>0</v>
      </c>
      <c r="S1025" s="14">
        <v>0</v>
      </c>
      <c r="T1025" s="11">
        <v>1084.8599999999999</v>
      </c>
      <c r="U1025" s="13" cm="1">
        <f t="array" ref="U1025">IF(Table8[[#This Row],[I_0]]&lt;Table24[Flitro de Ruido],1,Table8[[#This Row],[I_10]]/Table8[[#This Row],[I_0]])</f>
        <v>1</v>
      </c>
      <c r="V1025" s="13" cm="1">
        <f t="array" ref="V1025">IF(Table8[[#This Row],[I_0]]&lt;Table24[Flitro de Ruido],1,Table8[[#This Row],[I_20]]/Table8[[#This Row],[I_0]])</f>
        <v>1</v>
      </c>
      <c r="W1025" s="13" cm="1">
        <f t="array" ref="W1025">IF(Table8[[#This Row],[I_0]]&lt;Table24[Flitro de Ruido],1,Table8[[#This Row],[I_30]]/Table8[[#This Row],[I_0]])</f>
        <v>1</v>
      </c>
      <c r="X1025" s="13" cm="1">
        <f t="array" ref="X1025">IF(Table8[[#This Row],[I_0]]&lt;Table24[Flitro de Ruido],1,Table8[[#This Row],[I_40]]/Table8[[#This Row],[I_0]])</f>
        <v>1</v>
      </c>
      <c r="Y1025" s="13" cm="1">
        <f t="array" ref="Y1025">IF(Table8[[#This Row],[I_0]]&lt;Table24[Flitro de Ruido],1,Table8[[#This Row],[I_50]]/Table8[[#This Row],[I_0]])</f>
        <v>1</v>
      </c>
    </row>
    <row r="1026" spans="1:25" x14ac:dyDescent="0.3">
      <c r="A1026" s="13">
        <v>1085.8499999999999</v>
      </c>
      <c r="B1026" s="12">
        <v>0</v>
      </c>
      <c r="C1026" s="11">
        <v>1085.8499999999999</v>
      </c>
      <c r="D1026" s="12">
        <v>0</v>
      </c>
      <c r="E1026" s="11">
        <v>1085.8499999999999</v>
      </c>
      <c r="F1026" s="12">
        <v>0</v>
      </c>
      <c r="G1026" s="11">
        <v>1085.8499999999999</v>
      </c>
      <c r="H1026" s="12">
        <v>0</v>
      </c>
      <c r="I1026" s="11">
        <v>1085.8499999999999</v>
      </c>
      <c r="J1026" s="12">
        <v>0</v>
      </c>
      <c r="K1026" s="11">
        <v>1085.8499999999999</v>
      </c>
      <c r="L1026" s="12">
        <v>0</v>
      </c>
      <c r="M1026" s="11">
        <v>1085.8499999999999</v>
      </c>
      <c r="N1026" s="13">
        <v>0</v>
      </c>
      <c r="O1026" s="11">
        <v>0</v>
      </c>
      <c r="P1026" s="11">
        <v>0</v>
      </c>
      <c r="Q1026" s="11">
        <v>0</v>
      </c>
      <c r="R1026" s="11">
        <v>0</v>
      </c>
      <c r="S1026" s="14">
        <v>0</v>
      </c>
      <c r="T1026" s="11">
        <v>1085.8499999999999</v>
      </c>
      <c r="U1026" s="13" cm="1">
        <f t="array" ref="U1026">IF(Table8[[#This Row],[I_0]]&lt;Table24[Flitro de Ruido],1,Table8[[#This Row],[I_10]]/Table8[[#This Row],[I_0]])</f>
        <v>1</v>
      </c>
      <c r="V1026" s="13" cm="1">
        <f t="array" ref="V1026">IF(Table8[[#This Row],[I_0]]&lt;Table24[Flitro de Ruido],1,Table8[[#This Row],[I_20]]/Table8[[#This Row],[I_0]])</f>
        <v>1</v>
      </c>
      <c r="W1026" s="13" cm="1">
        <f t="array" ref="W1026">IF(Table8[[#This Row],[I_0]]&lt;Table24[Flitro de Ruido],1,Table8[[#This Row],[I_30]]/Table8[[#This Row],[I_0]])</f>
        <v>1</v>
      </c>
      <c r="X1026" s="13" cm="1">
        <f t="array" ref="X1026">IF(Table8[[#This Row],[I_0]]&lt;Table24[Flitro de Ruido],1,Table8[[#This Row],[I_40]]/Table8[[#This Row],[I_0]])</f>
        <v>1</v>
      </c>
      <c r="Y1026" s="13" cm="1">
        <f t="array" ref="Y1026">IF(Table8[[#This Row],[I_0]]&lt;Table24[Flitro de Ruido],1,Table8[[#This Row],[I_50]]/Table8[[#This Row],[I_0]])</f>
        <v>1</v>
      </c>
    </row>
    <row r="1027" spans="1:25" x14ac:dyDescent="0.3">
      <c r="A1027" s="13">
        <v>1086.8399999999999</v>
      </c>
      <c r="B1027" s="12">
        <v>0</v>
      </c>
      <c r="C1027" s="11">
        <v>1086.8399999999999</v>
      </c>
      <c r="D1027" s="12">
        <v>0</v>
      </c>
      <c r="E1027" s="11">
        <v>1086.8399999999999</v>
      </c>
      <c r="F1027" s="12">
        <v>0</v>
      </c>
      <c r="G1027" s="11">
        <v>1086.8399999999999</v>
      </c>
      <c r="H1027" s="12">
        <v>0</v>
      </c>
      <c r="I1027" s="11">
        <v>1086.8399999999999</v>
      </c>
      <c r="J1027" s="12">
        <v>0</v>
      </c>
      <c r="K1027" s="11">
        <v>1086.8399999999999</v>
      </c>
      <c r="L1027" s="12">
        <v>0</v>
      </c>
      <c r="M1027" s="11">
        <v>1086.8399999999999</v>
      </c>
      <c r="N1027" s="13">
        <v>0</v>
      </c>
      <c r="O1027" s="11">
        <v>0</v>
      </c>
      <c r="P1027" s="11">
        <v>0</v>
      </c>
      <c r="Q1027" s="11">
        <v>0</v>
      </c>
      <c r="R1027" s="11">
        <v>0</v>
      </c>
      <c r="S1027" s="14">
        <v>0</v>
      </c>
      <c r="T1027" s="11">
        <v>1086.8399999999999</v>
      </c>
      <c r="U1027" s="13" cm="1">
        <f t="array" ref="U1027">IF(Table8[[#This Row],[I_0]]&lt;Table24[Flitro de Ruido],1,Table8[[#This Row],[I_10]]/Table8[[#This Row],[I_0]])</f>
        <v>1</v>
      </c>
      <c r="V1027" s="13" cm="1">
        <f t="array" ref="V1027">IF(Table8[[#This Row],[I_0]]&lt;Table24[Flitro de Ruido],1,Table8[[#This Row],[I_20]]/Table8[[#This Row],[I_0]])</f>
        <v>1</v>
      </c>
      <c r="W1027" s="13" cm="1">
        <f t="array" ref="W1027">IF(Table8[[#This Row],[I_0]]&lt;Table24[Flitro de Ruido],1,Table8[[#This Row],[I_30]]/Table8[[#This Row],[I_0]])</f>
        <v>1</v>
      </c>
      <c r="X1027" s="13" cm="1">
        <f t="array" ref="X1027">IF(Table8[[#This Row],[I_0]]&lt;Table24[Flitro de Ruido],1,Table8[[#This Row],[I_40]]/Table8[[#This Row],[I_0]])</f>
        <v>1</v>
      </c>
      <c r="Y1027" s="13" cm="1">
        <f t="array" ref="Y1027">IF(Table8[[#This Row],[I_0]]&lt;Table24[Flitro de Ruido],1,Table8[[#This Row],[I_50]]/Table8[[#This Row],[I_0]])</f>
        <v>1</v>
      </c>
    </row>
    <row r="1028" spans="1:25" x14ac:dyDescent="0.3">
      <c r="A1028" s="13">
        <v>1087.83</v>
      </c>
      <c r="B1028" s="12">
        <v>0</v>
      </c>
      <c r="C1028" s="11">
        <v>1087.83</v>
      </c>
      <c r="D1028" s="12">
        <v>0</v>
      </c>
      <c r="E1028" s="11">
        <v>1087.83</v>
      </c>
      <c r="F1028" s="12">
        <v>0</v>
      </c>
      <c r="G1028" s="11">
        <v>1087.83</v>
      </c>
      <c r="H1028" s="12">
        <v>0</v>
      </c>
      <c r="I1028" s="11">
        <v>1087.83</v>
      </c>
      <c r="J1028" s="12">
        <v>0</v>
      </c>
      <c r="K1028" s="11">
        <v>1087.83</v>
      </c>
      <c r="L1028" s="12">
        <v>0</v>
      </c>
      <c r="M1028" s="11">
        <v>1087.83</v>
      </c>
      <c r="N1028" s="13">
        <v>0</v>
      </c>
      <c r="O1028" s="11">
        <v>0</v>
      </c>
      <c r="P1028" s="11">
        <v>0</v>
      </c>
      <c r="Q1028" s="11">
        <v>0</v>
      </c>
      <c r="R1028" s="11">
        <v>0</v>
      </c>
      <c r="S1028" s="14">
        <v>0</v>
      </c>
      <c r="T1028" s="11">
        <v>1087.83</v>
      </c>
      <c r="U1028" s="13" cm="1">
        <f t="array" ref="U1028">IF(Table8[[#This Row],[I_0]]&lt;Table24[Flitro de Ruido],1,Table8[[#This Row],[I_10]]/Table8[[#This Row],[I_0]])</f>
        <v>1</v>
      </c>
      <c r="V1028" s="13" cm="1">
        <f t="array" ref="V1028">IF(Table8[[#This Row],[I_0]]&lt;Table24[Flitro de Ruido],1,Table8[[#This Row],[I_20]]/Table8[[#This Row],[I_0]])</f>
        <v>1</v>
      </c>
      <c r="W1028" s="13" cm="1">
        <f t="array" ref="W1028">IF(Table8[[#This Row],[I_0]]&lt;Table24[Flitro de Ruido],1,Table8[[#This Row],[I_30]]/Table8[[#This Row],[I_0]])</f>
        <v>1</v>
      </c>
      <c r="X1028" s="13" cm="1">
        <f t="array" ref="X1028">IF(Table8[[#This Row],[I_0]]&lt;Table24[Flitro de Ruido],1,Table8[[#This Row],[I_40]]/Table8[[#This Row],[I_0]])</f>
        <v>1</v>
      </c>
      <c r="Y1028" s="13" cm="1">
        <f t="array" ref="Y1028">IF(Table8[[#This Row],[I_0]]&lt;Table24[Flitro de Ruido],1,Table8[[#This Row],[I_50]]/Table8[[#This Row],[I_0]])</f>
        <v>1</v>
      </c>
    </row>
    <row r="1029" spans="1:25" x14ac:dyDescent="0.3">
      <c r="A1029" s="13">
        <v>1088.82</v>
      </c>
      <c r="B1029" s="12">
        <v>0</v>
      </c>
      <c r="C1029" s="11">
        <v>1088.82</v>
      </c>
      <c r="D1029" s="12">
        <v>0</v>
      </c>
      <c r="E1029" s="11">
        <v>1088.82</v>
      </c>
      <c r="F1029" s="12">
        <v>0</v>
      </c>
      <c r="G1029" s="11">
        <v>1088.82</v>
      </c>
      <c r="H1029" s="12">
        <v>0</v>
      </c>
      <c r="I1029" s="11">
        <v>1088.82</v>
      </c>
      <c r="J1029" s="12">
        <v>0</v>
      </c>
      <c r="K1029" s="11">
        <v>1088.82</v>
      </c>
      <c r="L1029" s="12">
        <v>0</v>
      </c>
      <c r="M1029" s="11">
        <v>1088.82</v>
      </c>
      <c r="N1029" s="13">
        <v>0</v>
      </c>
      <c r="O1029" s="11">
        <v>0</v>
      </c>
      <c r="P1029" s="11">
        <v>0</v>
      </c>
      <c r="Q1029" s="11">
        <v>0</v>
      </c>
      <c r="R1029" s="11">
        <v>0</v>
      </c>
      <c r="S1029" s="14">
        <v>0</v>
      </c>
      <c r="T1029" s="11">
        <v>1088.82</v>
      </c>
      <c r="U1029" s="13" cm="1">
        <f t="array" ref="U1029">IF(Table8[[#This Row],[I_0]]&lt;Table24[Flitro de Ruido],1,Table8[[#This Row],[I_10]]/Table8[[#This Row],[I_0]])</f>
        <v>1</v>
      </c>
      <c r="V1029" s="13" cm="1">
        <f t="array" ref="V1029">IF(Table8[[#This Row],[I_0]]&lt;Table24[Flitro de Ruido],1,Table8[[#This Row],[I_20]]/Table8[[#This Row],[I_0]])</f>
        <v>1</v>
      </c>
      <c r="W1029" s="13" cm="1">
        <f t="array" ref="W1029">IF(Table8[[#This Row],[I_0]]&lt;Table24[Flitro de Ruido],1,Table8[[#This Row],[I_30]]/Table8[[#This Row],[I_0]])</f>
        <v>1</v>
      </c>
      <c r="X1029" s="13" cm="1">
        <f t="array" ref="X1029">IF(Table8[[#This Row],[I_0]]&lt;Table24[Flitro de Ruido],1,Table8[[#This Row],[I_40]]/Table8[[#This Row],[I_0]])</f>
        <v>1</v>
      </c>
      <c r="Y1029" s="13" cm="1">
        <f t="array" ref="Y1029">IF(Table8[[#This Row],[I_0]]&lt;Table24[Flitro de Ruido],1,Table8[[#This Row],[I_50]]/Table8[[#This Row],[I_0]])</f>
        <v>1</v>
      </c>
    </row>
    <row r="1030" spans="1:25" x14ac:dyDescent="0.3">
      <c r="A1030" s="13">
        <v>1089.81</v>
      </c>
      <c r="B1030" s="12">
        <v>0</v>
      </c>
      <c r="C1030" s="11">
        <v>1089.81</v>
      </c>
      <c r="D1030" s="12">
        <v>0</v>
      </c>
      <c r="E1030" s="11">
        <v>1089.81</v>
      </c>
      <c r="F1030" s="12">
        <v>0</v>
      </c>
      <c r="G1030" s="11">
        <v>1089.81</v>
      </c>
      <c r="H1030" s="12">
        <v>0</v>
      </c>
      <c r="I1030" s="11">
        <v>1089.81</v>
      </c>
      <c r="J1030" s="12">
        <v>0</v>
      </c>
      <c r="K1030" s="11">
        <v>1089.81</v>
      </c>
      <c r="L1030" s="12">
        <v>0</v>
      </c>
      <c r="M1030" s="11">
        <v>1089.81</v>
      </c>
      <c r="N1030" s="13">
        <v>0</v>
      </c>
      <c r="O1030" s="11">
        <v>0</v>
      </c>
      <c r="P1030" s="11">
        <v>0</v>
      </c>
      <c r="Q1030" s="11">
        <v>0</v>
      </c>
      <c r="R1030" s="11">
        <v>0</v>
      </c>
      <c r="S1030" s="14">
        <v>0</v>
      </c>
      <c r="T1030" s="11">
        <v>1089.81</v>
      </c>
      <c r="U1030" s="13" cm="1">
        <f t="array" ref="U1030">IF(Table8[[#This Row],[I_0]]&lt;Table24[Flitro de Ruido],1,Table8[[#This Row],[I_10]]/Table8[[#This Row],[I_0]])</f>
        <v>1</v>
      </c>
      <c r="V1030" s="13" cm="1">
        <f t="array" ref="V1030">IF(Table8[[#This Row],[I_0]]&lt;Table24[Flitro de Ruido],1,Table8[[#This Row],[I_20]]/Table8[[#This Row],[I_0]])</f>
        <v>1</v>
      </c>
      <c r="W1030" s="13" cm="1">
        <f t="array" ref="W1030">IF(Table8[[#This Row],[I_0]]&lt;Table24[Flitro de Ruido],1,Table8[[#This Row],[I_30]]/Table8[[#This Row],[I_0]])</f>
        <v>1</v>
      </c>
      <c r="X1030" s="13" cm="1">
        <f t="array" ref="X1030">IF(Table8[[#This Row],[I_0]]&lt;Table24[Flitro de Ruido],1,Table8[[#This Row],[I_40]]/Table8[[#This Row],[I_0]])</f>
        <v>1</v>
      </c>
      <c r="Y1030" s="13" cm="1">
        <f t="array" ref="Y1030">IF(Table8[[#This Row],[I_0]]&lt;Table24[Flitro de Ruido],1,Table8[[#This Row],[I_50]]/Table8[[#This Row],[I_0]])</f>
        <v>1</v>
      </c>
    </row>
    <row r="1031" spans="1:25" x14ac:dyDescent="0.3">
      <c r="A1031" s="13">
        <v>1090.81</v>
      </c>
      <c r="B1031" s="12">
        <v>0</v>
      </c>
      <c r="C1031" s="11">
        <v>1090.81</v>
      </c>
      <c r="D1031" s="12">
        <v>0</v>
      </c>
      <c r="E1031" s="11">
        <v>1090.81</v>
      </c>
      <c r="F1031" s="12">
        <v>0</v>
      </c>
      <c r="G1031" s="11">
        <v>1090.81</v>
      </c>
      <c r="H1031" s="12">
        <v>0</v>
      </c>
      <c r="I1031" s="11">
        <v>1090.81</v>
      </c>
      <c r="J1031" s="12">
        <v>0</v>
      </c>
      <c r="K1031" s="11">
        <v>1090.81</v>
      </c>
      <c r="L1031" s="12">
        <v>0</v>
      </c>
      <c r="M1031" s="11">
        <v>1090.81</v>
      </c>
      <c r="N1031" s="13">
        <v>0</v>
      </c>
      <c r="O1031" s="11">
        <v>0</v>
      </c>
      <c r="P1031" s="11">
        <v>0</v>
      </c>
      <c r="Q1031" s="11">
        <v>0</v>
      </c>
      <c r="R1031" s="11">
        <v>0</v>
      </c>
      <c r="S1031" s="14">
        <v>0</v>
      </c>
      <c r="T1031" s="11">
        <v>1090.81</v>
      </c>
      <c r="U1031" s="13" cm="1">
        <f t="array" ref="U1031">IF(Table8[[#This Row],[I_0]]&lt;Table24[Flitro de Ruido],1,Table8[[#This Row],[I_10]]/Table8[[#This Row],[I_0]])</f>
        <v>1</v>
      </c>
      <c r="V1031" s="13" cm="1">
        <f t="array" ref="V1031">IF(Table8[[#This Row],[I_0]]&lt;Table24[Flitro de Ruido],1,Table8[[#This Row],[I_20]]/Table8[[#This Row],[I_0]])</f>
        <v>1</v>
      </c>
      <c r="W1031" s="13" cm="1">
        <f t="array" ref="W1031">IF(Table8[[#This Row],[I_0]]&lt;Table24[Flitro de Ruido],1,Table8[[#This Row],[I_30]]/Table8[[#This Row],[I_0]])</f>
        <v>1</v>
      </c>
      <c r="X1031" s="13" cm="1">
        <f t="array" ref="X1031">IF(Table8[[#This Row],[I_0]]&lt;Table24[Flitro de Ruido],1,Table8[[#This Row],[I_40]]/Table8[[#This Row],[I_0]])</f>
        <v>1</v>
      </c>
      <c r="Y1031" s="13" cm="1">
        <f t="array" ref="Y1031">IF(Table8[[#This Row],[I_0]]&lt;Table24[Flitro de Ruido],1,Table8[[#This Row],[I_50]]/Table8[[#This Row],[I_0]])</f>
        <v>1</v>
      </c>
    </row>
    <row r="1032" spans="1:25" x14ac:dyDescent="0.3">
      <c r="A1032" s="13">
        <v>1091.8</v>
      </c>
      <c r="B1032" s="12">
        <v>0</v>
      </c>
      <c r="C1032" s="11">
        <v>1091.8</v>
      </c>
      <c r="D1032" s="12">
        <v>0</v>
      </c>
      <c r="E1032" s="11">
        <v>1091.8</v>
      </c>
      <c r="F1032" s="12">
        <v>0</v>
      </c>
      <c r="G1032" s="11">
        <v>1091.8</v>
      </c>
      <c r="H1032" s="12">
        <v>0</v>
      </c>
      <c r="I1032" s="11">
        <v>1091.8</v>
      </c>
      <c r="J1032" s="12">
        <v>0</v>
      </c>
      <c r="K1032" s="11">
        <v>1091.8</v>
      </c>
      <c r="L1032" s="12">
        <v>0</v>
      </c>
      <c r="M1032" s="11">
        <v>1091.8</v>
      </c>
      <c r="N1032" s="13">
        <v>0</v>
      </c>
      <c r="O1032" s="11">
        <v>0</v>
      </c>
      <c r="P1032" s="11">
        <v>0</v>
      </c>
      <c r="Q1032" s="11">
        <v>0</v>
      </c>
      <c r="R1032" s="11">
        <v>0</v>
      </c>
      <c r="S1032" s="14">
        <v>0</v>
      </c>
      <c r="T1032" s="11">
        <v>1091.8</v>
      </c>
      <c r="U1032" s="13" cm="1">
        <f t="array" ref="U1032">IF(Table8[[#This Row],[I_0]]&lt;Table24[Flitro de Ruido],1,Table8[[#This Row],[I_10]]/Table8[[#This Row],[I_0]])</f>
        <v>1</v>
      </c>
      <c r="V1032" s="13" cm="1">
        <f t="array" ref="V1032">IF(Table8[[#This Row],[I_0]]&lt;Table24[Flitro de Ruido],1,Table8[[#This Row],[I_20]]/Table8[[#This Row],[I_0]])</f>
        <v>1</v>
      </c>
      <c r="W1032" s="13" cm="1">
        <f t="array" ref="W1032">IF(Table8[[#This Row],[I_0]]&lt;Table24[Flitro de Ruido],1,Table8[[#This Row],[I_30]]/Table8[[#This Row],[I_0]])</f>
        <v>1</v>
      </c>
      <c r="X1032" s="13" cm="1">
        <f t="array" ref="X1032">IF(Table8[[#This Row],[I_0]]&lt;Table24[Flitro de Ruido],1,Table8[[#This Row],[I_40]]/Table8[[#This Row],[I_0]])</f>
        <v>1</v>
      </c>
      <c r="Y1032" s="13" cm="1">
        <f t="array" ref="Y1032">IF(Table8[[#This Row],[I_0]]&lt;Table24[Flitro de Ruido],1,Table8[[#This Row],[I_50]]/Table8[[#This Row],[I_0]])</f>
        <v>1</v>
      </c>
    </row>
    <row r="1033" spans="1:25" x14ac:dyDescent="0.3">
      <c r="A1033" s="13">
        <v>1092.79</v>
      </c>
      <c r="B1033" s="12">
        <v>0</v>
      </c>
      <c r="C1033" s="11">
        <v>1092.79</v>
      </c>
      <c r="D1033" s="12">
        <v>0</v>
      </c>
      <c r="E1033" s="11">
        <v>1092.79</v>
      </c>
      <c r="F1033" s="12">
        <v>0</v>
      </c>
      <c r="G1033" s="11">
        <v>1092.79</v>
      </c>
      <c r="H1033" s="12">
        <v>0</v>
      </c>
      <c r="I1033" s="11">
        <v>1092.79</v>
      </c>
      <c r="J1033" s="12">
        <v>0</v>
      </c>
      <c r="K1033" s="11">
        <v>1092.79</v>
      </c>
      <c r="L1033" s="12">
        <v>0</v>
      </c>
      <c r="M1033" s="11">
        <v>1092.79</v>
      </c>
      <c r="N1033" s="13">
        <v>0</v>
      </c>
      <c r="O1033" s="11">
        <v>0</v>
      </c>
      <c r="P1033" s="11">
        <v>0</v>
      </c>
      <c r="Q1033" s="11">
        <v>0</v>
      </c>
      <c r="R1033" s="11">
        <v>0</v>
      </c>
      <c r="S1033" s="14">
        <v>0</v>
      </c>
      <c r="T1033" s="11">
        <v>1092.79</v>
      </c>
      <c r="U1033" s="13" cm="1">
        <f t="array" ref="U1033">IF(Table8[[#This Row],[I_0]]&lt;Table24[Flitro de Ruido],1,Table8[[#This Row],[I_10]]/Table8[[#This Row],[I_0]])</f>
        <v>1</v>
      </c>
      <c r="V1033" s="13" cm="1">
        <f t="array" ref="V1033">IF(Table8[[#This Row],[I_0]]&lt;Table24[Flitro de Ruido],1,Table8[[#This Row],[I_20]]/Table8[[#This Row],[I_0]])</f>
        <v>1</v>
      </c>
      <c r="W1033" s="13" cm="1">
        <f t="array" ref="W1033">IF(Table8[[#This Row],[I_0]]&lt;Table24[Flitro de Ruido],1,Table8[[#This Row],[I_30]]/Table8[[#This Row],[I_0]])</f>
        <v>1</v>
      </c>
      <c r="X1033" s="13" cm="1">
        <f t="array" ref="X1033">IF(Table8[[#This Row],[I_0]]&lt;Table24[Flitro de Ruido],1,Table8[[#This Row],[I_40]]/Table8[[#This Row],[I_0]])</f>
        <v>1</v>
      </c>
      <c r="Y1033" s="13" cm="1">
        <f t="array" ref="Y1033">IF(Table8[[#This Row],[I_0]]&lt;Table24[Flitro de Ruido],1,Table8[[#This Row],[I_50]]/Table8[[#This Row],[I_0]])</f>
        <v>1</v>
      </c>
    </row>
    <row r="1034" spans="1:25" x14ac:dyDescent="0.3">
      <c r="A1034" s="13">
        <v>1093.78</v>
      </c>
      <c r="B1034" s="12">
        <v>0</v>
      </c>
      <c r="C1034" s="11">
        <v>1093.78</v>
      </c>
      <c r="D1034" s="12">
        <v>0</v>
      </c>
      <c r="E1034" s="11">
        <v>1093.78</v>
      </c>
      <c r="F1034" s="12">
        <v>0</v>
      </c>
      <c r="G1034" s="11">
        <v>1093.78</v>
      </c>
      <c r="H1034" s="12">
        <v>0</v>
      </c>
      <c r="I1034" s="11">
        <v>1093.78</v>
      </c>
      <c r="J1034" s="12">
        <v>0</v>
      </c>
      <c r="K1034" s="11">
        <v>1093.78</v>
      </c>
      <c r="L1034" s="12">
        <v>0</v>
      </c>
      <c r="M1034" s="11">
        <v>1093.78</v>
      </c>
      <c r="N1034" s="13">
        <v>0</v>
      </c>
      <c r="O1034" s="11">
        <v>0</v>
      </c>
      <c r="P1034" s="11">
        <v>0</v>
      </c>
      <c r="Q1034" s="11">
        <v>0</v>
      </c>
      <c r="R1034" s="11">
        <v>0</v>
      </c>
      <c r="S1034" s="14">
        <v>0</v>
      </c>
      <c r="T1034" s="11">
        <v>1093.78</v>
      </c>
      <c r="U1034" s="13" cm="1">
        <f t="array" ref="U1034">IF(Table8[[#This Row],[I_0]]&lt;Table24[Flitro de Ruido],1,Table8[[#This Row],[I_10]]/Table8[[#This Row],[I_0]])</f>
        <v>1</v>
      </c>
      <c r="V1034" s="13" cm="1">
        <f t="array" ref="V1034">IF(Table8[[#This Row],[I_0]]&lt;Table24[Flitro de Ruido],1,Table8[[#This Row],[I_20]]/Table8[[#This Row],[I_0]])</f>
        <v>1</v>
      </c>
      <c r="W1034" s="13" cm="1">
        <f t="array" ref="W1034">IF(Table8[[#This Row],[I_0]]&lt;Table24[Flitro de Ruido],1,Table8[[#This Row],[I_30]]/Table8[[#This Row],[I_0]])</f>
        <v>1</v>
      </c>
      <c r="X1034" s="13" cm="1">
        <f t="array" ref="X1034">IF(Table8[[#This Row],[I_0]]&lt;Table24[Flitro de Ruido],1,Table8[[#This Row],[I_40]]/Table8[[#This Row],[I_0]])</f>
        <v>1</v>
      </c>
      <c r="Y1034" s="13" cm="1">
        <f t="array" ref="Y1034">IF(Table8[[#This Row],[I_0]]&lt;Table24[Flitro de Ruido],1,Table8[[#This Row],[I_50]]/Table8[[#This Row],[I_0]])</f>
        <v>1</v>
      </c>
    </row>
    <row r="1035" spans="1:25" x14ac:dyDescent="0.3">
      <c r="A1035" s="13">
        <v>1094.77</v>
      </c>
      <c r="B1035" s="12">
        <v>0</v>
      </c>
      <c r="C1035" s="11">
        <v>1094.77</v>
      </c>
      <c r="D1035" s="12">
        <v>0</v>
      </c>
      <c r="E1035" s="11">
        <v>1094.77</v>
      </c>
      <c r="F1035" s="12">
        <v>0</v>
      </c>
      <c r="G1035" s="11">
        <v>1094.77</v>
      </c>
      <c r="H1035" s="12">
        <v>0</v>
      </c>
      <c r="I1035" s="11">
        <v>1094.77</v>
      </c>
      <c r="J1035" s="12">
        <v>0</v>
      </c>
      <c r="K1035" s="11">
        <v>1094.77</v>
      </c>
      <c r="L1035" s="12">
        <v>0</v>
      </c>
      <c r="M1035" s="11">
        <v>1094.77</v>
      </c>
      <c r="N1035" s="13">
        <v>0</v>
      </c>
      <c r="O1035" s="11">
        <v>0</v>
      </c>
      <c r="P1035" s="11">
        <v>0</v>
      </c>
      <c r="Q1035" s="11">
        <v>0</v>
      </c>
      <c r="R1035" s="11">
        <v>0</v>
      </c>
      <c r="S1035" s="14">
        <v>0</v>
      </c>
      <c r="T1035" s="11">
        <v>1094.77</v>
      </c>
      <c r="U1035" s="13" cm="1">
        <f t="array" ref="U1035">IF(Table8[[#This Row],[I_0]]&lt;Table24[Flitro de Ruido],1,Table8[[#This Row],[I_10]]/Table8[[#This Row],[I_0]])</f>
        <v>1</v>
      </c>
      <c r="V1035" s="13" cm="1">
        <f t="array" ref="V1035">IF(Table8[[#This Row],[I_0]]&lt;Table24[Flitro de Ruido],1,Table8[[#This Row],[I_20]]/Table8[[#This Row],[I_0]])</f>
        <v>1</v>
      </c>
      <c r="W1035" s="13" cm="1">
        <f t="array" ref="W1035">IF(Table8[[#This Row],[I_0]]&lt;Table24[Flitro de Ruido],1,Table8[[#This Row],[I_30]]/Table8[[#This Row],[I_0]])</f>
        <v>1</v>
      </c>
      <c r="X1035" s="13" cm="1">
        <f t="array" ref="X1035">IF(Table8[[#This Row],[I_0]]&lt;Table24[Flitro de Ruido],1,Table8[[#This Row],[I_40]]/Table8[[#This Row],[I_0]])</f>
        <v>1</v>
      </c>
      <c r="Y1035" s="13" cm="1">
        <f t="array" ref="Y1035">IF(Table8[[#This Row],[I_0]]&lt;Table24[Flitro de Ruido],1,Table8[[#This Row],[I_50]]/Table8[[#This Row],[I_0]])</f>
        <v>1</v>
      </c>
    </row>
    <row r="1036" spans="1:25" x14ac:dyDescent="0.3">
      <c r="A1036" s="13">
        <v>1095.76</v>
      </c>
      <c r="B1036" s="12">
        <v>0</v>
      </c>
      <c r="C1036" s="11">
        <v>1095.76</v>
      </c>
      <c r="D1036" s="12">
        <v>0</v>
      </c>
      <c r="E1036" s="11">
        <v>1095.76</v>
      </c>
      <c r="F1036" s="12">
        <v>0</v>
      </c>
      <c r="G1036" s="11">
        <v>1095.76</v>
      </c>
      <c r="H1036" s="12">
        <v>0</v>
      </c>
      <c r="I1036" s="11">
        <v>1095.76</v>
      </c>
      <c r="J1036" s="12">
        <v>0</v>
      </c>
      <c r="K1036" s="11">
        <v>1095.76</v>
      </c>
      <c r="L1036" s="12">
        <v>0</v>
      </c>
      <c r="M1036" s="11">
        <v>1095.76</v>
      </c>
      <c r="N1036" s="13">
        <v>0</v>
      </c>
      <c r="O1036" s="11">
        <v>0</v>
      </c>
      <c r="P1036" s="11">
        <v>0</v>
      </c>
      <c r="Q1036" s="11">
        <v>0</v>
      </c>
      <c r="R1036" s="11">
        <v>0</v>
      </c>
      <c r="S1036" s="14">
        <v>0</v>
      </c>
      <c r="T1036" s="11">
        <v>1095.76</v>
      </c>
      <c r="U1036" s="13" cm="1">
        <f t="array" ref="U1036">IF(Table8[[#This Row],[I_0]]&lt;Table24[Flitro de Ruido],1,Table8[[#This Row],[I_10]]/Table8[[#This Row],[I_0]])</f>
        <v>1</v>
      </c>
      <c r="V1036" s="13" cm="1">
        <f t="array" ref="V1036">IF(Table8[[#This Row],[I_0]]&lt;Table24[Flitro de Ruido],1,Table8[[#This Row],[I_20]]/Table8[[#This Row],[I_0]])</f>
        <v>1</v>
      </c>
      <c r="W1036" s="13" cm="1">
        <f t="array" ref="W1036">IF(Table8[[#This Row],[I_0]]&lt;Table24[Flitro de Ruido],1,Table8[[#This Row],[I_30]]/Table8[[#This Row],[I_0]])</f>
        <v>1</v>
      </c>
      <c r="X1036" s="13" cm="1">
        <f t="array" ref="X1036">IF(Table8[[#This Row],[I_0]]&lt;Table24[Flitro de Ruido],1,Table8[[#This Row],[I_40]]/Table8[[#This Row],[I_0]])</f>
        <v>1</v>
      </c>
      <c r="Y1036" s="13" cm="1">
        <f t="array" ref="Y1036">IF(Table8[[#This Row],[I_0]]&lt;Table24[Flitro de Ruido],1,Table8[[#This Row],[I_50]]/Table8[[#This Row],[I_0]])</f>
        <v>1</v>
      </c>
    </row>
    <row r="1037" spans="1:25" x14ac:dyDescent="0.3">
      <c r="A1037" s="13">
        <v>1096.76</v>
      </c>
      <c r="B1037" s="12">
        <v>0</v>
      </c>
      <c r="C1037" s="11">
        <v>1096.76</v>
      </c>
      <c r="D1037" s="12">
        <v>0</v>
      </c>
      <c r="E1037" s="11">
        <v>1096.76</v>
      </c>
      <c r="F1037" s="12">
        <v>0</v>
      </c>
      <c r="G1037" s="11">
        <v>1096.76</v>
      </c>
      <c r="H1037" s="12">
        <v>0</v>
      </c>
      <c r="I1037" s="11">
        <v>1096.76</v>
      </c>
      <c r="J1037" s="12">
        <v>0</v>
      </c>
      <c r="K1037" s="11">
        <v>1096.76</v>
      </c>
      <c r="L1037" s="12">
        <v>0</v>
      </c>
      <c r="M1037" s="11">
        <v>1096.76</v>
      </c>
      <c r="N1037" s="13">
        <v>0</v>
      </c>
      <c r="O1037" s="11">
        <v>0</v>
      </c>
      <c r="P1037" s="11">
        <v>0</v>
      </c>
      <c r="Q1037" s="11">
        <v>0</v>
      </c>
      <c r="R1037" s="11">
        <v>0</v>
      </c>
      <c r="S1037" s="14">
        <v>0</v>
      </c>
      <c r="T1037" s="11">
        <v>1096.76</v>
      </c>
      <c r="U1037" s="13" cm="1">
        <f t="array" ref="U1037">IF(Table8[[#This Row],[I_0]]&lt;Table24[Flitro de Ruido],1,Table8[[#This Row],[I_10]]/Table8[[#This Row],[I_0]])</f>
        <v>1</v>
      </c>
      <c r="V1037" s="13" cm="1">
        <f t="array" ref="V1037">IF(Table8[[#This Row],[I_0]]&lt;Table24[Flitro de Ruido],1,Table8[[#This Row],[I_20]]/Table8[[#This Row],[I_0]])</f>
        <v>1</v>
      </c>
      <c r="W1037" s="13" cm="1">
        <f t="array" ref="W1037">IF(Table8[[#This Row],[I_0]]&lt;Table24[Flitro de Ruido],1,Table8[[#This Row],[I_30]]/Table8[[#This Row],[I_0]])</f>
        <v>1</v>
      </c>
      <c r="X1037" s="13" cm="1">
        <f t="array" ref="X1037">IF(Table8[[#This Row],[I_0]]&lt;Table24[Flitro de Ruido],1,Table8[[#This Row],[I_40]]/Table8[[#This Row],[I_0]])</f>
        <v>1</v>
      </c>
      <c r="Y1037" s="13" cm="1">
        <f t="array" ref="Y1037">IF(Table8[[#This Row],[I_0]]&lt;Table24[Flitro de Ruido],1,Table8[[#This Row],[I_50]]/Table8[[#This Row],[I_0]])</f>
        <v>1</v>
      </c>
    </row>
    <row r="1038" spans="1:25" x14ac:dyDescent="0.3">
      <c r="A1038" s="13">
        <v>1097.75</v>
      </c>
      <c r="B1038" s="12">
        <v>0</v>
      </c>
      <c r="C1038" s="11">
        <v>1097.75</v>
      </c>
      <c r="D1038" s="12">
        <v>0</v>
      </c>
      <c r="E1038" s="11">
        <v>1097.75</v>
      </c>
      <c r="F1038" s="12">
        <v>0</v>
      </c>
      <c r="G1038" s="11">
        <v>1097.75</v>
      </c>
      <c r="H1038" s="12">
        <v>0</v>
      </c>
      <c r="I1038" s="11">
        <v>1097.75</v>
      </c>
      <c r="J1038" s="12">
        <v>0</v>
      </c>
      <c r="K1038" s="11">
        <v>1097.75</v>
      </c>
      <c r="L1038" s="12">
        <v>0</v>
      </c>
      <c r="M1038" s="11">
        <v>1097.75</v>
      </c>
      <c r="N1038" s="13">
        <v>0</v>
      </c>
      <c r="O1038" s="11">
        <v>0</v>
      </c>
      <c r="P1038" s="11">
        <v>0</v>
      </c>
      <c r="Q1038" s="11">
        <v>0</v>
      </c>
      <c r="R1038" s="11">
        <v>0</v>
      </c>
      <c r="S1038" s="14">
        <v>0</v>
      </c>
      <c r="T1038" s="11">
        <v>1097.75</v>
      </c>
      <c r="U1038" s="13" cm="1">
        <f t="array" ref="U1038">IF(Table8[[#This Row],[I_0]]&lt;Table24[Flitro de Ruido],1,Table8[[#This Row],[I_10]]/Table8[[#This Row],[I_0]])</f>
        <v>1</v>
      </c>
      <c r="V1038" s="13" cm="1">
        <f t="array" ref="V1038">IF(Table8[[#This Row],[I_0]]&lt;Table24[Flitro de Ruido],1,Table8[[#This Row],[I_20]]/Table8[[#This Row],[I_0]])</f>
        <v>1</v>
      </c>
      <c r="W1038" s="13" cm="1">
        <f t="array" ref="W1038">IF(Table8[[#This Row],[I_0]]&lt;Table24[Flitro de Ruido],1,Table8[[#This Row],[I_30]]/Table8[[#This Row],[I_0]])</f>
        <v>1</v>
      </c>
      <c r="X1038" s="13" cm="1">
        <f t="array" ref="X1038">IF(Table8[[#This Row],[I_0]]&lt;Table24[Flitro de Ruido],1,Table8[[#This Row],[I_40]]/Table8[[#This Row],[I_0]])</f>
        <v>1</v>
      </c>
      <c r="Y1038" s="13" cm="1">
        <f t="array" ref="Y1038">IF(Table8[[#This Row],[I_0]]&lt;Table24[Flitro de Ruido],1,Table8[[#This Row],[I_50]]/Table8[[#This Row],[I_0]])</f>
        <v>1</v>
      </c>
    </row>
    <row r="1039" spans="1:25" x14ac:dyDescent="0.3">
      <c r="A1039" s="13">
        <v>1098.74</v>
      </c>
      <c r="B1039" s="12">
        <v>0</v>
      </c>
      <c r="C1039" s="11">
        <v>1098.74</v>
      </c>
      <c r="D1039" s="12">
        <v>0</v>
      </c>
      <c r="E1039" s="11">
        <v>1098.74</v>
      </c>
      <c r="F1039" s="12">
        <v>0</v>
      </c>
      <c r="G1039" s="11">
        <v>1098.74</v>
      </c>
      <c r="H1039" s="12">
        <v>0</v>
      </c>
      <c r="I1039" s="11">
        <v>1098.74</v>
      </c>
      <c r="J1039" s="12">
        <v>0</v>
      </c>
      <c r="K1039" s="11">
        <v>1098.74</v>
      </c>
      <c r="L1039" s="12">
        <v>0</v>
      </c>
      <c r="M1039" s="11">
        <v>1098.74</v>
      </c>
      <c r="N1039" s="13">
        <v>0</v>
      </c>
      <c r="O1039" s="11">
        <v>0</v>
      </c>
      <c r="P1039" s="11">
        <v>0</v>
      </c>
      <c r="Q1039" s="11">
        <v>0</v>
      </c>
      <c r="R1039" s="11">
        <v>0</v>
      </c>
      <c r="S1039" s="14">
        <v>0</v>
      </c>
      <c r="T1039" s="11">
        <v>1098.74</v>
      </c>
      <c r="U1039" s="13" cm="1">
        <f t="array" ref="U1039">IF(Table8[[#This Row],[I_0]]&lt;Table24[Flitro de Ruido],1,Table8[[#This Row],[I_10]]/Table8[[#This Row],[I_0]])</f>
        <v>1</v>
      </c>
      <c r="V1039" s="13" cm="1">
        <f t="array" ref="V1039">IF(Table8[[#This Row],[I_0]]&lt;Table24[Flitro de Ruido],1,Table8[[#This Row],[I_20]]/Table8[[#This Row],[I_0]])</f>
        <v>1</v>
      </c>
      <c r="W1039" s="13" cm="1">
        <f t="array" ref="W1039">IF(Table8[[#This Row],[I_0]]&lt;Table24[Flitro de Ruido],1,Table8[[#This Row],[I_30]]/Table8[[#This Row],[I_0]])</f>
        <v>1</v>
      </c>
      <c r="X1039" s="13" cm="1">
        <f t="array" ref="X1039">IF(Table8[[#This Row],[I_0]]&lt;Table24[Flitro de Ruido],1,Table8[[#This Row],[I_40]]/Table8[[#This Row],[I_0]])</f>
        <v>1</v>
      </c>
      <c r="Y1039" s="13" cm="1">
        <f t="array" ref="Y1039">IF(Table8[[#This Row],[I_0]]&lt;Table24[Flitro de Ruido],1,Table8[[#This Row],[I_50]]/Table8[[#This Row],[I_0]])</f>
        <v>1</v>
      </c>
    </row>
    <row r="1040" spans="1:25" x14ac:dyDescent="0.3">
      <c r="A1040" s="13">
        <v>1099.73</v>
      </c>
      <c r="B1040" s="12">
        <v>0</v>
      </c>
      <c r="C1040" s="11">
        <v>1099.73</v>
      </c>
      <c r="D1040" s="12">
        <v>0</v>
      </c>
      <c r="E1040" s="11">
        <v>1099.73</v>
      </c>
      <c r="F1040" s="12">
        <v>0</v>
      </c>
      <c r="G1040" s="11">
        <v>1099.73</v>
      </c>
      <c r="H1040" s="12">
        <v>0</v>
      </c>
      <c r="I1040" s="11">
        <v>1099.73</v>
      </c>
      <c r="J1040" s="12">
        <v>0</v>
      </c>
      <c r="K1040" s="11">
        <v>1099.73</v>
      </c>
      <c r="L1040" s="12">
        <v>0</v>
      </c>
      <c r="M1040" s="11">
        <v>1099.73</v>
      </c>
      <c r="N1040" s="13">
        <v>0</v>
      </c>
      <c r="O1040" s="11">
        <v>0</v>
      </c>
      <c r="P1040" s="11">
        <v>0</v>
      </c>
      <c r="Q1040" s="11">
        <v>0</v>
      </c>
      <c r="R1040" s="11">
        <v>0</v>
      </c>
      <c r="S1040" s="14">
        <v>0</v>
      </c>
      <c r="T1040" s="11">
        <v>1099.73</v>
      </c>
      <c r="U1040" s="13" cm="1">
        <f t="array" ref="U1040">IF(Table8[[#This Row],[I_0]]&lt;Table24[Flitro de Ruido],1,Table8[[#This Row],[I_10]]/Table8[[#This Row],[I_0]])</f>
        <v>1</v>
      </c>
      <c r="V1040" s="13" cm="1">
        <f t="array" ref="V1040">IF(Table8[[#This Row],[I_0]]&lt;Table24[Flitro de Ruido],1,Table8[[#This Row],[I_20]]/Table8[[#This Row],[I_0]])</f>
        <v>1</v>
      </c>
      <c r="W1040" s="13" cm="1">
        <f t="array" ref="W1040">IF(Table8[[#This Row],[I_0]]&lt;Table24[Flitro de Ruido],1,Table8[[#This Row],[I_30]]/Table8[[#This Row],[I_0]])</f>
        <v>1</v>
      </c>
      <c r="X1040" s="13" cm="1">
        <f t="array" ref="X1040">IF(Table8[[#This Row],[I_0]]&lt;Table24[Flitro de Ruido],1,Table8[[#This Row],[I_40]]/Table8[[#This Row],[I_0]])</f>
        <v>1</v>
      </c>
      <c r="Y1040" s="13" cm="1">
        <f t="array" ref="Y1040">IF(Table8[[#This Row],[I_0]]&lt;Table24[Flitro de Ruido],1,Table8[[#This Row],[I_50]]/Table8[[#This Row],[I_0]])</f>
        <v>1</v>
      </c>
    </row>
    <row r="1041" spans="1:25" x14ac:dyDescent="0.3">
      <c r="A1041" s="13">
        <v>1100.72</v>
      </c>
      <c r="B1041" s="12">
        <v>0</v>
      </c>
      <c r="C1041" s="11">
        <v>1100.72</v>
      </c>
      <c r="D1041" s="12">
        <v>0</v>
      </c>
      <c r="E1041" s="11">
        <v>1100.72</v>
      </c>
      <c r="F1041" s="12">
        <v>0</v>
      </c>
      <c r="G1041" s="11">
        <v>1100.72</v>
      </c>
      <c r="H1041" s="12">
        <v>0</v>
      </c>
      <c r="I1041" s="11">
        <v>1100.72</v>
      </c>
      <c r="J1041" s="12">
        <v>0</v>
      </c>
      <c r="K1041" s="11">
        <v>1100.72</v>
      </c>
      <c r="L1041" s="12">
        <v>0</v>
      </c>
      <c r="M1041" s="11">
        <v>1100.72</v>
      </c>
      <c r="N1041" s="13">
        <v>0</v>
      </c>
      <c r="O1041" s="11">
        <v>0</v>
      </c>
      <c r="P1041" s="11">
        <v>0</v>
      </c>
      <c r="Q1041" s="11">
        <v>0</v>
      </c>
      <c r="R1041" s="11">
        <v>0</v>
      </c>
      <c r="S1041" s="14">
        <v>0</v>
      </c>
      <c r="T1041" s="11">
        <v>1100.72</v>
      </c>
      <c r="U1041" s="13" cm="1">
        <f t="array" ref="U1041">IF(Table8[[#This Row],[I_0]]&lt;Table24[Flitro de Ruido],1,Table8[[#This Row],[I_10]]/Table8[[#This Row],[I_0]])</f>
        <v>1</v>
      </c>
      <c r="V1041" s="13" cm="1">
        <f t="array" ref="V1041">IF(Table8[[#This Row],[I_0]]&lt;Table24[Flitro de Ruido],1,Table8[[#This Row],[I_20]]/Table8[[#This Row],[I_0]])</f>
        <v>1</v>
      </c>
      <c r="W1041" s="13" cm="1">
        <f t="array" ref="W1041">IF(Table8[[#This Row],[I_0]]&lt;Table24[Flitro de Ruido],1,Table8[[#This Row],[I_30]]/Table8[[#This Row],[I_0]])</f>
        <v>1</v>
      </c>
      <c r="X1041" s="13" cm="1">
        <f t="array" ref="X1041">IF(Table8[[#This Row],[I_0]]&lt;Table24[Flitro de Ruido],1,Table8[[#This Row],[I_40]]/Table8[[#This Row],[I_0]])</f>
        <v>1</v>
      </c>
      <c r="Y1041" s="13" cm="1">
        <f t="array" ref="Y1041">IF(Table8[[#This Row],[I_0]]&lt;Table24[Flitro de Ruido],1,Table8[[#This Row],[I_50]]/Table8[[#This Row],[I_0]])</f>
        <v>1</v>
      </c>
    </row>
    <row r="1042" spans="1:25" x14ac:dyDescent="0.3">
      <c r="A1042" s="13">
        <v>1101.72</v>
      </c>
      <c r="B1042" s="12">
        <v>0</v>
      </c>
      <c r="C1042" s="11">
        <v>1101.72</v>
      </c>
      <c r="D1042" s="12">
        <v>0</v>
      </c>
      <c r="E1042" s="11">
        <v>1101.72</v>
      </c>
      <c r="F1042" s="12">
        <v>0</v>
      </c>
      <c r="G1042" s="11">
        <v>1101.72</v>
      </c>
      <c r="H1042" s="12">
        <v>0</v>
      </c>
      <c r="I1042" s="11">
        <v>1101.72</v>
      </c>
      <c r="J1042" s="12">
        <v>0</v>
      </c>
      <c r="K1042" s="11">
        <v>1101.72</v>
      </c>
      <c r="L1042" s="12">
        <v>0</v>
      </c>
      <c r="M1042" s="11">
        <v>1101.72</v>
      </c>
      <c r="N1042" s="13">
        <v>0</v>
      </c>
      <c r="O1042" s="11">
        <v>0</v>
      </c>
      <c r="P1042" s="11">
        <v>0</v>
      </c>
      <c r="Q1042" s="11">
        <v>0</v>
      </c>
      <c r="R1042" s="11">
        <v>0</v>
      </c>
      <c r="S1042" s="14">
        <v>0</v>
      </c>
      <c r="T1042" s="11">
        <v>1101.72</v>
      </c>
      <c r="U1042" s="13" cm="1">
        <f t="array" ref="U1042">IF(Table8[[#This Row],[I_0]]&lt;Table24[Flitro de Ruido],1,Table8[[#This Row],[I_10]]/Table8[[#This Row],[I_0]])</f>
        <v>1</v>
      </c>
      <c r="V1042" s="13" cm="1">
        <f t="array" ref="V1042">IF(Table8[[#This Row],[I_0]]&lt;Table24[Flitro de Ruido],1,Table8[[#This Row],[I_20]]/Table8[[#This Row],[I_0]])</f>
        <v>1</v>
      </c>
      <c r="W1042" s="13" cm="1">
        <f t="array" ref="W1042">IF(Table8[[#This Row],[I_0]]&lt;Table24[Flitro de Ruido],1,Table8[[#This Row],[I_30]]/Table8[[#This Row],[I_0]])</f>
        <v>1</v>
      </c>
      <c r="X1042" s="13" cm="1">
        <f t="array" ref="X1042">IF(Table8[[#This Row],[I_0]]&lt;Table24[Flitro de Ruido],1,Table8[[#This Row],[I_40]]/Table8[[#This Row],[I_0]])</f>
        <v>1</v>
      </c>
      <c r="Y1042" s="13" cm="1">
        <f t="array" ref="Y1042">IF(Table8[[#This Row],[I_0]]&lt;Table24[Flitro de Ruido],1,Table8[[#This Row],[I_50]]/Table8[[#This Row],[I_0]])</f>
        <v>1</v>
      </c>
    </row>
    <row r="1043" spans="1:25" x14ac:dyDescent="0.3">
      <c r="A1043" s="13">
        <v>1102.71</v>
      </c>
      <c r="B1043" s="12">
        <v>0</v>
      </c>
      <c r="C1043" s="11">
        <v>1102.71</v>
      </c>
      <c r="D1043" s="12">
        <v>0</v>
      </c>
      <c r="E1043" s="11">
        <v>1102.71</v>
      </c>
      <c r="F1043" s="12">
        <v>0</v>
      </c>
      <c r="G1043" s="11">
        <v>1102.71</v>
      </c>
      <c r="H1043" s="12">
        <v>0</v>
      </c>
      <c r="I1043" s="11">
        <v>1102.71</v>
      </c>
      <c r="J1043" s="12">
        <v>0</v>
      </c>
      <c r="K1043" s="11">
        <v>1102.71</v>
      </c>
      <c r="L1043" s="12">
        <v>0</v>
      </c>
      <c r="M1043" s="11">
        <v>1102.71</v>
      </c>
      <c r="N1043" s="13">
        <v>0</v>
      </c>
      <c r="O1043" s="11">
        <v>0</v>
      </c>
      <c r="P1043" s="11">
        <v>0</v>
      </c>
      <c r="Q1043" s="11">
        <v>0</v>
      </c>
      <c r="R1043" s="11">
        <v>0</v>
      </c>
      <c r="S1043" s="14">
        <v>0</v>
      </c>
      <c r="T1043" s="11">
        <v>1102.71</v>
      </c>
      <c r="U1043" s="13" cm="1">
        <f t="array" ref="U1043">IF(Table8[[#This Row],[I_0]]&lt;Table24[Flitro de Ruido],1,Table8[[#This Row],[I_10]]/Table8[[#This Row],[I_0]])</f>
        <v>1</v>
      </c>
      <c r="V1043" s="13" cm="1">
        <f t="array" ref="V1043">IF(Table8[[#This Row],[I_0]]&lt;Table24[Flitro de Ruido],1,Table8[[#This Row],[I_20]]/Table8[[#This Row],[I_0]])</f>
        <v>1</v>
      </c>
      <c r="W1043" s="13" cm="1">
        <f t="array" ref="W1043">IF(Table8[[#This Row],[I_0]]&lt;Table24[Flitro de Ruido],1,Table8[[#This Row],[I_30]]/Table8[[#This Row],[I_0]])</f>
        <v>1</v>
      </c>
      <c r="X1043" s="13" cm="1">
        <f t="array" ref="X1043">IF(Table8[[#This Row],[I_0]]&lt;Table24[Flitro de Ruido],1,Table8[[#This Row],[I_40]]/Table8[[#This Row],[I_0]])</f>
        <v>1</v>
      </c>
      <c r="Y1043" s="13" cm="1">
        <f t="array" ref="Y1043">IF(Table8[[#This Row],[I_0]]&lt;Table24[Flitro de Ruido],1,Table8[[#This Row],[I_50]]/Table8[[#This Row],[I_0]])</f>
        <v>1</v>
      </c>
    </row>
    <row r="1044" spans="1:25" x14ac:dyDescent="0.3">
      <c r="A1044" s="13">
        <v>1103.7</v>
      </c>
      <c r="B1044" s="12">
        <v>0</v>
      </c>
      <c r="C1044" s="11">
        <v>1103.7</v>
      </c>
      <c r="D1044" s="12">
        <v>0</v>
      </c>
      <c r="E1044" s="11">
        <v>1103.7</v>
      </c>
      <c r="F1044" s="12">
        <v>0</v>
      </c>
      <c r="G1044" s="11">
        <v>1103.7</v>
      </c>
      <c r="H1044" s="12">
        <v>0</v>
      </c>
      <c r="I1044" s="11">
        <v>1103.7</v>
      </c>
      <c r="J1044" s="12">
        <v>0</v>
      </c>
      <c r="K1044" s="11">
        <v>1103.7</v>
      </c>
      <c r="L1044" s="12">
        <v>0</v>
      </c>
      <c r="M1044" s="11">
        <v>1103.7</v>
      </c>
      <c r="N1044" s="13">
        <v>0</v>
      </c>
      <c r="O1044" s="11">
        <v>0</v>
      </c>
      <c r="P1044" s="11">
        <v>0</v>
      </c>
      <c r="Q1044" s="11">
        <v>0</v>
      </c>
      <c r="R1044" s="11">
        <v>0</v>
      </c>
      <c r="S1044" s="14">
        <v>0</v>
      </c>
      <c r="T1044" s="11">
        <v>1103.7</v>
      </c>
      <c r="U1044" s="13" cm="1">
        <f t="array" ref="U1044">IF(Table8[[#This Row],[I_0]]&lt;Table24[Flitro de Ruido],1,Table8[[#This Row],[I_10]]/Table8[[#This Row],[I_0]])</f>
        <v>1</v>
      </c>
      <c r="V1044" s="13" cm="1">
        <f t="array" ref="V1044">IF(Table8[[#This Row],[I_0]]&lt;Table24[Flitro de Ruido],1,Table8[[#This Row],[I_20]]/Table8[[#This Row],[I_0]])</f>
        <v>1</v>
      </c>
      <c r="W1044" s="13" cm="1">
        <f t="array" ref="W1044">IF(Table8[[#This Row],[I_0]]&lt;Table24[Flitro de Ruido],1,Table8[[#This Row],[I_30]]/Table8[[#This Row],[I_0]])</f>
        <v>1</v>
      </c>
      <c r="X1044" s="13" cm="1">
        <f t="array" ref="X1044">IF(Table8[[#This Row],[I_0]]&lt;Table24[Flitro de Ruido],1,Table8[[#This Row],[I_40]]/Table8[[#This Row],[I_0]])</f>
        <v>1</v>
      </c>
      <c r="Y1044" s="13" cm="1">
        <f t="array" ref="Y1044">IF(Table8[[#This Row],[I_0]]&lt;Table24[Flitro de Ruido],1,Table8[[#This Row],[I_50]]/Table8[[#This Row],[I_0]])</f>
        <v>1</v>
      </c>
    </row>
    <row r="1045" spans="1:25" x14ac:dyDescent="0.3">
      <c r="A1045" s="13">
        <v>1104.69</v>
      </c>
      <c r="B1045" s="12">
        <v>0</v>
      </c>
      <c r="C1045" s="11">
        <v>1104.69</v>
      </c>
      <c r="D1045" s="12">
        <v>0</v>
      </c>
      <c r="E1045" s="11">
        <v>1104.69</v>
      </c>
      <c r="F1045" s="12">
        <v>0</v>
      </c>
      <c r="G1045" s="11">
        <v>1104.69</v>
      </c>
      <c r="H1045" s="12">
        <v>0</v>
      </c>
      <c r="I1045" s="11">
        <v>1104.69</v>
      </c>
      <c r="J1045" s="12">
        <v>0</v>
      </c>
      <c r="K1045" s="11">
        <v>1104.69</v>
      </c>
      <c r="L1045" s="12">
        <v>0</v>
      </c>
      <c r="M1045" s="11">
        <v>1104.69</v>
      </c>
      <c r="N1045" s="13">
        <v>0</v>
      </c>
      <c r="O1045" s="11">
        <v>0</v>
      </c>
      <c r="P1045" s="11">
        <v>0</v>
      </c>
      <c r="Q1045" s="11">
        <v>0</v>
      </c>
      <c r="R1045" s="11">
        <v>0</v>
      </c>
      <c r="S1045" s="14">
        <v>0</v>
      </c>
      <c r="T1045" s="11">
        <v>1104.69</v>
      </c>
      <c r="U1045" s="13" cm="1">
        <f t="array" ref="U1045">IF(Table8[[#This Row],[I_0]]&lt;Table24[Flitro de Ruido],1,Table8[[#This Row],[I_10]]/Table8[[#This Row],[I_0]])</f>
        <v>1</v>
      </c>
      <c r="V1045" s="13" cm="1">
        <f t="array" ref="V1045">IF(Table8[[#This Row],[I_0]]&lt;Table24[Flitro de Ruido],1,Table8[[#This Row],[I_20]]/Table8[[#This Row],[I_0]])</f>
        <v>1</v>
      </c>
      <c r="W1045" s="13" cm="1">
        <f t="array" ref="W1045">IF(Table8[[#This Row],[I_0]]&lt;Table24[Flitro de Ruido],1,Table8[[#This Row],[I_30]]/Table8[[#This Row],[I_0]])</f>
        <v>1</v>
      </c>
      <c r="X1045" s="13" cm="1">
        <f t="array" ref="X1045">IF(Table8[[#This Row],[I_0]]&lt;Table24[Flitro de Ruido],1,Table8[[#This Row],[I_40]]/Table8[[#This Row],[I_0]])</f>
        <v>1</v>
      </c>
      <c r="Y1045" s="13" cm="1">
        <f t="array" ref="Y1045">IF(Table8[[#This Row],[I_0]]&lt;Table24[Flitro de Ruido],1,Table8[[#This Row],[I_50]]/Table8[[#This Row],[I_0]])</f>
        <v>1</v>
      </c>
    </row>
    <row r="1046" spans="1:25" x14ac:dyDescent="0.3">
      <c r="A1046" s="13">
        <v>1105.68</v>
      </c>
      <c r="B1046" s="12">
        <v>0</v>
      </c>
      <c r="C1046" s="11">
        <v>1105.68</v>
      </c>
      <c r="D1046" s="12">
        <v>0</v>
      </c>
      <c r="E1046" s="11">
        <v>1105.68</v>
      </c>
      <c r="F1046" s="12">
        <v>0</v>
      </c>
      <c r="G1046" s="11">
        <v>1105.68</v>
      </c>
      <c r="H1046" s="12">
        <v>0</v>
      </c>
      <c r="I1046" s="11">
        <v>1105.68</v>
      </c>
      <c r="J1046" s="12">
        <v>0</v>
      </c>
      <c r="K1046" s="11">
        <v>1105.68</v>
      </c>
      <c r="L1046" s="12">
        <v>0</v>
      </c>
      <c r="M1046" s="11">
        <v>1105.68</v>
      </c>
      <c r="N1046" s="13">
        <v>0</v>
      </c>
      <c r="O1046" s="11">
        <v>0</v>
      </c>
      <c r="P1046" s="11">
        <v>0</v>
      </c>
      <c r="Q1046" s="11">
        <v>0</v>
      </c>
      <c r="R1046" s="11">
        <v>0</v>
      </c>
      <c r="S1046" s="14">
        <v>0</v>
      </c>
      <c r="T1046" s="11">
        <v>1105.68</v>
      </c>
      <c r="U1046" s="13" cm="1">
        <f t="array" ref="U1046">IF(Table8[[#This Row],[I_0]]&lt;Table24[Flitro de Ruido],1,Table8[[#This Row],[I_10]]/Table8[[#This Row],[I_0]])</f>
        <v>1</v>
      </c>
      <c r="V1046" s="13" cm="1">
        <f t="array" ref="V1046">IF(Table8[[#This Row],[I_0]]&lt;Table24[Flitro de Ruido],1,Table8[[#This Row],[I_20]]/Table8[[#This Row],[I_0]])</f>
        <v>1</v>
      </c>
      <c r="W1046" s="13" cm="1">
        <f t="array" ref="W1046">IF(Table8[[#This Row],[I_0]]&lt;Table24[Flitro de Ruido],1,Table8[[#This Row],[I_30]]/Table8[[#This Row],[I_0]])</f>
        <v>1</v>
      </c>
      <c r="X1046" s="13" cm="1">
        <f t="array" ref="X1046">IF(Table8[[#This Row],[I_0]]&lt;Table24[Flitro de Ruido],1,Table8[[#This Row],[I_40]]/Table8[[#This Row],[I_0]])</f>
        <v>1</v>
      </c>
      <c r="Y1046" s="13" cm="1">
        <f t="array" ref="Y1046">IF(Table8[[#This Row],[I_0]]&lt;Table24[Flitro de Ruido],1,Table8[[#This Row],[I_50]]/Table8[[#This Row],[I_0]])</f>
        <v>1</v>
      </c>
    </row>
    <row r="1047" spans="1:25" x14ac:dyDescent="0.3">
      <c r="A1047" s="13">
        <v>1106.67</v>
      </c>
      <c r="B1047" s="12">
        <v>0</v>
      </c>
      <c r="C1047" s="11">
        <v>1106.67</v>
      </c>
      <c r="D1047" s="12">
        <v>0</v>
      </c>
      <c r="E1047" s="11">
        <v>1106.67</v>
      </c>
      <c r="F1047" s="12">
        <v>0</v>
      </c>
      <c r="G1047" s="11">
        <v>1106.67</v>
      </c>
      <c r="H1047" s="12">
        <v>0</v>
      </c>
      <c r="I1047" s="11">
        <v>1106.67</v>
      </c>
      <c r="J1047" s="12">
        <v>0</v>
      </c>
      <c r="K1047" s="11">
        <v>1106.67</v>
      </c>
      <c r="L1047" s="12">
        <v>0</v>
      </c>
      <c r="M1047" s="11">
        <v>1106.67</v>
      </c>
      <c r="N1047" s="13">
        <v>0</v>
      </c>
      <c r="O1047" s="11">
        <v>0</v>
      </c>
      <c r="P1047" s="11">
        <v>0</v>
      </c>
      <c r="Q1047" s="11">
        <v>0</v>
      </c>
      <c r="R1047" s="11">
        <v>0</v>
      </c>
      <c r="S1047" s="14">
        <v>0</v>
      </c>
      <c r="T1047" s="11">
        <v>1106.67</v>
      </c>
      <c r="U1047" s="13" cm="1">
        <f t="array" ref="U1047">IF(Table8[[#This Row],[I_0]]&lt;Table24[Flitro de Ruido],1,Table8[[#This Row],[I_10]]/Table8[[#This Row],[I_0]])</f>
        <v>1</v>
      </c>
      <c r="V1047" s="13" cm="1">
        <f t="array" ref="V1047">IF(Table8[[#This Row],[I_0]]&lt;Table24[Flitro de Ruido],1,Table8[[#This Row],[I_20]]/Table8[[#This Row],[I_0]])</f>
        <v>1</v>
      </c>
      <c r="W1047" s="13" cm="1">
        <f t="array" ref="W1047">IF(Table8[[#This Row],[I_0]]&lt;Table24[Flitro de Ruido],1,Table8[[#This Row],[I_30]]/Table8[[#This Row],[I_0]])</f>
        <v>1</v>
      </c>
      <c r="X1047" s="13" cm="1">
        <f t="array" ref="X1047">IF(Table8[[#This Row],[I_0]]&lt;Table24[Flitro de Ruido],1,Table8[[#This Row],[I_40]]/Table8[[#This Row],[I_0]])</f>
        <v>1</v>
      </c>
      <c r="Y1047" s="13" cm="1">
        <f t="array" ref="Y1047">IF(Table8[[#This Row],[I_0]]&lt;Table24[Flitro de Ruido],1,Table8[[#This Row],[I_50]]/Table8[[#This Row],[I_0]])</f>
        <v>1</v>
      </c>
    </row>
    <row r="1048" spans="1:25" x14ac:dyDescent="0.3">
      <c r="A1048" s="13">
        <v>1107.67</v>
      </c>
      <c r="B1048" s="12">
        <v>0</v>
      </c>
      <c r="C1048" s="11">
        <v>1107.67</v>
      </c>
      <c r="D1048" s="12">
        <v>0</v>
      </c>
      <c r="E1048" s="11">
        <v>1107.67</v>
      </c>
      <c r="F1048" s="12">
        <v>0</v>
      </c>
      <c r="G1048" s="11">
        <v>1107.67</v>
      </c>
      <c r="H1048" s="12">
        <v>0</v>
      </c>
      <c r="I1048" s="11">
        <v>1107.67</v>
      </c>
      <c r="J1048" s="12">
        <v>0</v>
      </c>
      <c r="K1048" s="11">
        <v>1107.67</v>
      </c>
      <c r="L1048" s="12">
        <v>0</v>
      </c>
      <c r="M1048" s="11">
        <v>1107.67</v>
      </c>
      <c r="N1048" s="13">
        <v>0</v>
      </c>
      <c r="O1048" s="11">
        <v>0</v>
      </c>
      <c r="P1048" s="11">
        <v>0</v>
      </c>
      <c r="Q1048" s="11">
        <v>0</v>
      </c>
      <c r="R1048" s="11">
        <v>0</v>
      </c>
      <c r="S1048" s="14">
        <v>0</v>
      </c>
      <c r="T1048" s="11">
        <v>1107.67</v>
      </c>
      <c r="U1048" s="13" cm="1">
        <f t="array" ref="U1048">IF(Table8[[#This Row],[I_0]]&lt;Table24[Flitro de Ruido],1,Table8[[#This Row],[I_10]]/Table8[[#This Row],[I_0]])</f>
        <v>1</v>
      </c>
      <c r="V1048" s="13" cm="1">
        <f t="array" ref="V1048">IF(Table8[[#This Row],[I_0]]&lt;Table24[Flitro de Ruido],1,Table8[[#This Row],[I_20]]/Table8[[#This Row],[I_0]])</f>
        <v>1</v>
      </c>
      <c r="W1048" s="13" cm="1">
        <f t="array" ref="W1048">IF(Table8[[#This Row],[I_0]]&lt;Table24[Flitro de Ruido],1,Table8[[#This Row],[I_30]]/Table8[[#This Row],[I_0]])</f>
        <v>1</v>
      </c>
      <c r="X1048" s="13" cm="1">
        <f t="array" ref="X1048">IF(Table8[[#This Row],[I_0]]&lt;Table24[Flitro de Ruido],1,Table8[[#This Row],[I_40]]/Table8[[#This Row],[I_0]])</f>
        <v>1</v>
      </c>
      <c r="Y1048" s="13" cm="1">
        <f t="array" ref="Y1048">IF(Table8[[#This Row],[I_0]]&lt;Table24[Flitro de Ruido],1,Table8[[#This Row],[I_50]]/Table8[[#This Row],[I_0]])</f>
        <v>1</v>
      </c>
    </row>
    <row r="1049" spans="1:25" x14ac:dyDescent="0.3">
      <c r="A1049" s="13">
        <v>1108.6600000000001</v>
      </c>
      <c r="B1049" s="12">
        <v>0</v>
      </c>
      <c r="C1049" s="11">
        <v>1108.6600000000001</v>
      </c>
      <c r="D1049" s="12">
        <v>0</v>
      </c>
      <c r="E1049" s="11">
        <v>1108.6600000000001</v>
      </c>
      <c r="F1049" s="12">
        <v>0</v>
      </c>
      <c r="G1049" s="11">
        <v>1108.6600000000001</v>
      </c>
      <c r="H1049" s="12">
        <v>0</v>
      </c>
      <c r="I1049" s="11">
        <v>1108.6600000000001</v>
      </c>
      <c r="J1049" s="12">
        <v>0</v>
      </c>
      <c r="K1049" s="11">
        <v>1108.6600000000001</v>
      </c>
      <c r="L1049" s="12">
        <v>0</v>
      </c>
      <c r="M1049" s="11">
        <v>1108.6600000000001</v>
      </c>
      <c r="N1049" s="13">
        <v>0</v>
      </c>
      <c r="O1049" s="11">
        <v>0</v>
      </c>
      <c r="P1049" s="11">
        <v>0</v>
      </c>
      <c r="Q1049" s="11">
        <v>0</v>
      </c>
      <c r="R1049" s="11">
        <v>0</v>
      </c>
      <c r="S1049" s="14">
        <v>0</v>
      </c>
      <c r="T1049" s="11">
        <v>1108.6600000000001</v>
      </c>
      <c r="U1049" s="13" cm="1">
        <f t="array" ref="U1049">IF(Table8[[#This Row],[I_0]]&lt;Table24[Flitro de Ruido],1,Table8[[#This Row],[I_10]]/Table8[[#This Row],[I_0]])</f>
        <v>1</v>
      </c>
      <c r="V1049" s="13" cm="1">
        <f t="array" ref="V1049">IF(Table8[[#This Row],[I_0]]&lt;Table24[Flitro de Ruido],1,Table8[[#This Row],[I_20]]/Table8[[#This Row],[I_0]])</f>
        <v>1</v>
      </c>
      <c r="W1049" s="13" cm="1">
        <f t="array" ref="W1049">IF(Table8[[#This Row],[I_0]]&lt;Table24[Flitro de Ruido],1,Table8[[#This Row],[I_30]]/Table8[[#This Row],[I_0]])</f>
        <v>1</v>
      </c>
      <c r="X1049" s="13" cm="1">
        <f t="array" ref="X1049">IF(Table8[[#This Row],[I_0]]&lt;Table24[Flitro de Ruido],1,Table8[[#This Row],[I_40]]/Table8[[#This Row],[I_0]])</f>
        <v>1</v>
      </c>
      <c r="Y1049" s="13" cm="1">
        <f t="array" ref="Y1049">IF(Table8[[#This Row],[I_0]]&lt;Table24[Flitro de Ruido],1,Table8[[#This Row],[I_50]]/Table8[[#This Row],[I_0]])</f>
        <v>1</v>
      </c>
    </row>
    <row r="1050" spans="1:25" x14ac:dyDescent="0.3">
      <c r="A1050" s="13">
        <v>1109.6500000000001</v>
      </c>
      <c r="B1050" s="12">
        <v>0</v>
      </c>
      <c r="C1050" s="11">
        <v>1109.6500000000001</v>
      </c>
      <c r="D1050" s="12">
        <v>0</v>
      </c>
      <c r="E1050" s="11">
        <v>1109.6500000000001</v>
      </c>
      <c r="F1050" s="12">
        <v>0</v>
      </c>
      <c r="G1050" s="11">
        <v>1109.6500000000001</v>
      </c>
      <c r="H1050" s="12">
        <v>0</v>
      </c>
      <c r="I1050" s="11">
        <v>1109.6500000000001</v>
      </c>
      <c r="J1050" s="12">
        <v>0</v>
      </c>
      <c r="K1050" s="11">
        <v>1109.6500000000001</v>
      </c>
      <c r="L1050" s="12">
        <v>0</v>
      </c>
      <c r="M1050" s="11">
        <v>1109.6500000000001</v>
      </c>
      <c r="N1050" s="13">
        <v>0</v>
      </c>
      <c r="O1050" s="11">
        <v>0</v>
      </c>
      <c r="P1050" s="11">
        <v>0</v>
      </c>
      <c r="Q1050" s="11">
        <v>0</v>
      </c>
      <c r="R1050" s="11">
        <v>0</v>
      </c>
      <c r="S1050" s="14">
        <v>0</v>
      </c>
      <c r="T1050" s="11">
        <v>1109.6500000000001</v>
      </c>
      <c r="U1050" s="13" cm="1">
        <f t="array" ref="U1050">IF(Table8[[#This Row],[I_0]]&lt;Table24[Flitro de Ruido],1,Table8[[#This Row],[I_10]]/Table8[[#This Row],[I_0]])</f>
        <v>1</v>
      </c>
      <c r="V1050" s="13" cm="1">
        <f t="array" ref="V1050">IF(Table8[[#This Row],[I_0]]&lt;Table24[Flitro de Ruido],1,Table8[[#This Row],[I_20]]/Table8[[#This Row],[I_0]])</f>
        <v>1</v>
      </c>
      <c r="W1050" s="13" cm="1">
        <f t="array" ref="W1050">IF(Table8[[#This Row],[I_0]]&lt;Table24[Flitro de Ruido],1,Table8[[#This Row],[I_30]]/Table8[[#This Row],[I_0]])</f>
        <v>1</v>
      </c>
      <c r="X1050" s="13" cm="1">
        <f t="array" ref="X1050">IF(Table8[[#This Row],[I_0]]&lt;Table24[Flitro de Ruido],1,Table8[[#This Row],[I_40]]/Table8[[#This Row],[I_0]])</f>
        <v>1</v>
      </c>
      <c r="Y1050" s="13" cm="1">
        <f t="array" ref="Y1050">IF(Table8[[#This Row],[I_0]]&lt;Table24[Flitro de Ruido],1,Table8[[#This Row],[I_50]]/Table8[[#This Row],[I_0]])</f>
        <v>1</v>
      </c>
    </row>
    <row r="1051" spans="1:25" x14ac:dyDescent="0.3">
      <c r="A1051" s="13">
        <v>1110.6400000000001</v>
      </c>
      <c r="B1051" s="12">
        <v>0</v>
      </c>
      <c r="C1051" s="11">
        <v>1110.6400000000001</v>
      </c>
      <c r="D1051" s="12">
        <v>0</v>
      </c>
      <c r="E1051" s="11">
        <v>1110.6400000000001</v>
      </c>
      <c r="F1051" s="12">
        <v>0</v>
      </c>
      <c r="G1051" s="11">
        <v>1110.6400000000001</v>
      </c>
      <c r="H1051" s="12">
        <v>0</v>
      </c>
      <c r="I1051" s="11">
        <v>1110.6400000000001</v>
      </c>
      <c r="J1051" s="12">
        <v>0</v>
      </c>
      <c r="K1051" s="11">
        <v>1110.6400000000001</v>
      </c>
      <c r="L1051" s="12">
        <v>0</v>
      </c>
      <c r="M1051" s="11">
        <v>1110.6400000000001</v>
      </c>
      <c r="N1051" s="13">
        <v>0</v>
      </c>
      <c r="O1051" s="11">
        <v>0</v>
      </c>
      <c r="P1051" s="11">
        <v>0</v>
      </c>
      <c r="Q1051" s="11">
        <v>0</v>
      </c>
      <c r="R1051" s="11">
        <v>0</v>
      </c>
      <c r="S1051" s="14">
        <v>0</v>
      </c>
      <c r="T1051" s="11">
        <v>1110.6400000000001</v>
      </c>
      <c r="U1051" s="13" cm="1">
        <f t="array" ref="U1051">IF(Table8[[#This Row],[I_0]]&lt;Table24[Flitro de Ruido],1,Table8[[#This Row],[I_10]]/Table8[[#This Row],[I_0]])</f>
        <v>1</v>
      </c>
      <c r="V1051" s="13" cm="1">
        <f t="array" ref="V1051">IF(Table8[[#This Row],[I_0]]&lt;Table24[Flitro de Ruido],1,Table8[[#This Row],[I_20]]/Table8[[#This Row],[I_0]])</f>
        <v>1</v>
      </c>
      <c r="W1051" s="13" cm="1">
        <f t="array" ref="W1051">IF(Table8[[#This Row],[I_0]]&lt;Table24[Flitro de Ruido],1,Table8[[#This Row],[I_30]]/Table8[[#This Row],[I_0]])</f>
        <v>1</v>
      </c>
      <c r="X1051" s="13" cm="1">
        <f t="array" ref="X1051">IF(Table8[[#This Row],[I_0]]&lt;Table24[Flitro de Ruido],1,Table8[[#This Row],[I_40]]/Table8[[#This Row],[I_0]])</f>
        <v>1</v>
      </c>
      <c r="Y1051" s="13" cm="1">
        <f t="array" ref="Y1051">IF(Table8[[#This Row],[I_0]]&lt;Table24[Flitro de Ruido],1,Table8[[#This Row],[I_50]]/Table8[[#This Row],[I_0]])</f>
        <v>1</v>
      </c>
    </row>
    <row r="1052" spans="1:25" x14ac:dyDescent="0.3">
      <c r="A1052" s="13">
        <v>1111.6300000000001</v>
      </c>
      <c r="B1052" s="12">
        <v>0</v>
      </c>
      <c r="C1052" s="11">
        <v>1111.6300000000001</v>
      </c>
      <c r="D1052" s="12">
        <v>0</v>
      </c>
      <c r="E1052" s="11">
        <v>1111.6300000000001</v>
      </c>
      <c r="F1052" s="12">
        <v>0</v>
      </c>
      <c r="G1052" s="11">
        <v>1111.6300000000001</v>
      </c>
      <c r="H1052" s="12">
        <v>0</v>
      </c>
      <c r="I1052" s="11">
        <v>1111.6300000000001</v>
      </c>
      <c r="J1052" s="12">
        <v>0</v>
      </c>
      <c r="K1052" s="11">
        <v>1111.6300000000001</v>
      </c>
      <c r="L1052" s="12">
        <v>0</v>
      </c>
      <c r="M1052" s="11">
        <v>1111.6300000000001</v>
      </c>
      <c r="N1052" s="13">
        <v>0</v>
      </c>
      <c r="O1052" s="11">
        <v>0</v>
      </c>
      <c r="P1052" s="11">
        <v>0</v>
      </c>
      <c r="Q1052" s="11">
        <v>0</v>
      </c>
      <c r="R1052" s="11">
        <v>0</v>
      </c>
      <c r="S1052" s="14">
        <v>0</v>
      </c>
      <c r="T1052" s="11">
        <v>1111.6300000000001</v>
      </c>
      <c r="U1052" s="13" cm="1">
        <f t="array" ref="U1052">IF(Table8[[#This Row],[I_0]]&lt;Table24[Flitro de Ruido],1,Table8[[#This Row],[I_10]]/Table8[[#This Row],[I_0]])</f>
        <v>1</v>
      </c>
      <c r="V1052" s="13" cm="1">
        <f t="array" ref="V1052">IF(Table8[[#This Row],[I_0]]&lt;Table24[Flitro de Ruido],1,Table8[[#This Row],[I_20]]/Table8[[#This Row],[I_0]])</f>
        <v>1</v>
      </c>
      <c r="W1052" s="13" cm="1">
        <f t="array" ref="W1052">IF(Table8[[#This Row],[I_0]]&lt;Table24[Flitro de Ruido],1,Table8[[#This Row],[I_30]]/Table8[[#This Row],[I_0]])</f>
        <v>1</v>
      </c>
      <c r="X1052" s="13" cm="1">
        <f t="array" ref="X1052">IF(Table8[[#This Row],[I_0]]&lt;Table24[Flitro de Ruido],1,Table8[[#This Row],[I_40]]/Table8[[#This Row],[I_0]])</f>
        <v>1</v>
      </c>
      <c r="Y1052" s="13" cm="1">
        <f t="array" ref="Y1052">IF(Table8[[#This Row],[I_0]]&lt;Table24[Flitro de Ruido],1,Table8[[#This Row],[I_50]]/Table8[[#This Row],[I_0]])</f>
        <v>1</v>
      </c>
    </row>
    <row r="1053" spans="1:25" x14ac:dyDescent="0.3">
      <c r="A1053" s="13">
        <v>1112.6199999999999</v>
      </c>
      <c r="B1053" s="12">
        <v>0</v>
      </c>
      <c r="C1053" s="11">
        <v>1112.6199999999999</v>
      </c>
      <c r="D1053" s="12">
        <v>0</v>
      </c>
      <c r="E1053" s="11">
        <v>1112.6199999999999</v>
      </c>
      <c r="F1053" s="12">
        <v>0</v>
      </c>
      <c r="G1053" s="11">
        <v>1112.6199999999999</v>
      </c>
      <c r="H1053" s="12">
        <v>0</v>
      </c>
      <c r="I1053" s="11">
        <v>1112.6199999999999</v>
      </c>
      <c r="J1053" s="12">
        <v>0</v>
      </c>
      <c r="K1053" s="11">
        <v>1112.6199999999999</v>
      </c>
      <c r="L1053" s="12">
        <v>0</v>
      </c>
      <c r="M1053" s="11">
        <v>1112.6199999999999</v>
      </c>
      <c r="N1053" s="13">
        <v>0</v>
      </c>
      <c r="O1053" s="11">
        <v>0</v>
      </c>
      <c r="P1053" s="11">
        <v>0</v>
      </c>
      <c r="Q1053" s="11">
        <v>0</v>
      </c>
      <c r="R1053" s="11">
        <v>0</v>
      </c>
      <c r="S1053" s="14">
        <v>0</v>
      </c>
      <c r="T1053" s="11">
        <v>1112.6199999999999</v>
      </c>
      <c r="U1053" s="13" cm="1">
        <f t="array" ref="U1053">IF(Table8[[#This Row],[I_0]]&lt;Table24[Flitro de Ruido],1,Table8[[#This Row],[I_10]]/Table8[[#This Row],[I_0]])</f>
        <v>1</v>
      </c>
      <c r="V1053" s="13" cm="1">
        <f t="array" ref="V1053">IF(Table8[[#This Row],[I_0]]&lt;Table24[Flitro de Ruido],1,Table8[[#This Row],[I_20]]/Table8[[#This Row],[I_0]])</f>
        <v>1</v>
      </c>
      <c r="W1053" s="13" cm="1">
        <f t="array" ref="W1053">IF(Table8[[#This Row],[I_0]]&lt;Table24[Flitro de Ruido],1,Table8[[#This Row],[I_30]]/Table8[[#This Row],[I_0]])</f>
        <v>1</v>
      </c>
      <c r="X1053" s="13" cm="1">
        <f t="array" ref="X1053">IF(Table8[[#This Row],[I_0]]&lt;Table24[Flitro de Ruido],1,Table8[[#This Row],[I_40]]/Table8[[#This Row],[I_0]])</f>
        <v>1</v>
      </c>
      <c r="Y1053" s="13" cm="1">
        <f t="array" ref="Y1053">IF(Table8[[#This Row],[I_0]]&lt;Table24[Flitro de Ruido],1,Table8[[#This Row],[I_50]]/Table8[[#This Row],[I_0]])</f>
        <v>1</v>
      </c>
    </row>
    <row r="1054" spans="1:25" x14ac:dyDescent="0.3">
      <c r="A1054" s="13">
        <v>1113.6199999999999</v>
      </c>
      <c r="B1054" s="12">
        <v>0</v>
      </c>
      <c r="C1054" s="11">
        <v>1113.6199999999999</v>
      </c>
      <c r="D1054" s="12">
        <v>0</v>
      </c>
      <c r="E1054" s="11">
        <v>1113.6199999999999</v>
      </c>
      <c r="F1054" s="12">
        <v>0</v>
      </c>
      <c r="G1054" s="11">
        <v>1113.6199999999999</v>
      </c>
      <c r="H1054" s="12">
        <v>0</v>
      </c>
      <c r="I1054" s="11">
        <v>1113.6199999999999</v>
      </c>
      <c r="J1054" s="12">
        <v>0</v>
      </c>
      <c r="K1054" s="11">
        <v>1113.6199999999999</v>
      </c>
      <c r="L1054" s="12">
        <v>0</v>
      </c>
      <c r="M1054" s="11">
        <v>1113.6199999999999</v>
      </c>
      <c r="N1054" s="13">
        <v>0</v>
      </c>
      <c r="O1054" s="11">
        <v>0</v>
      </c>
      <c r="P1054" s="11">
        <v>0</v>
      </c>
      <c r="Q1054" s="11">
        <v>0</v>
      </c>
      <c r="R1054" s="11">
        <v>0</v>
      </c>
      <c r="S1054" s="14">
        <v>0</v>
      </c>
      <c r="T1054" s="11">
        <v>1113.6199999999999</v>
      </c>
      <c r="U1054" s="13" cm="1">
        <f t="array" ref="U1054">IF(Table8[[#This Row],[I_0]]&lt;Table24[Flitro de Ruido],1,Table8[[#This Row],[I_10]]/Table8[[#This Row],[I_0]])</f>
        <v>1</v>
      </c>
      <c r="V1054" s="13" cm="1">
        <f t="array" ref="V1054">IF(Table8[[#This Row],[I_0]]&lt;Table24[Flitro de Ruido],1,Table8[[#This Row],[I_20]]/Table8[[#This Row],[I_0]])</f>
        <v>1</v>
      </c>
      <c r="W1054" s="13" cm="1">
        <f t="array" ref="W1054">IF(Table8[[#This Row],[I_0]]&lt;Table24[Flitro de Ruido],1,Table8[[#This Row],[I_30]]/Table8[[#This Row],[I_0]])</f>
        <v>1</v>
      </c>
      <c r="X1054" s="13" cm="1">
        <f t="array" ref="X1054">IF(Table8[[#This Row],[I_0]]&lt;Table24[Flitro de Ruido],1,Table8[[#This Row],[I_40]]/Table8[[#This Row],[I_0]])</f>
        <v>1</v>
      </c>
      <c r="Y1054" s="13" cm="1">
        <f t="array" ref="Y1054">IF(Table8[[#This Row],[I_0]]&lt;Table24[Flitro de Ruido],1,Table8[[#This Row],[I_50]]/Table8[[#This Row],[I_0]])</f>
        <v>1</v>
      </c>
    </row>
    <row r="1055" spans="1:25" x14ac:dyDescent="0.3">
      <c r="A1055" s="13">
        <v>1114.6099999999999</v>
      </c>
      <c r="B1055" s="12">
        <v>0</v>
      </c>
      <c r="C1055" s="11">
        <v>1114.6099999999999</v>
      </c>
      <c r="D1055" s="12">
        <v>0</v>
      </c>
      <c r="E1055" s="11">
        <v>1114.6099999999999</v>
      </c>
      <c r="F1055" s="12">
        <v>0</v>
      </c>
      <c r="G1055" s="11">
        <v>1114.6099999999999</v>
      </c>
      <c r="H1055" s="12">
        <v>0</v>
      </c>
      <c r="I1055" s="11">
        <v>1114.6099999999999</v>
      </c>
      <c r="J1055" s="12">
        <v>0</v>
      </c>
      <c r="K1055" s="11">
        <v>1114.6099999999999</v>
      </c>
      <c r="L1055" s="12">
        <v>0</v>
      </c>
      <c r="M1055" s="11">
        <v>1114.6099999999999</v>
      </c>
      <c r="N1055" s="13">
        <v>0</v>
      </c>
      <c r="O1055" s="11">
        <v>0</v>
      </c>
      <c r="P1055" s="11">
        <v>0</v>
      </c>
      <c r="Q1055" s="11">
        <v>0</v>
      </c>
      <c r="R1055" s="11">
        <v>0</v>
      </c>
      <c r="S1055" s="14">
        <v>0</v>
      </c>
      <c r="T1055" s="11">
        <v>1114.6099999999999</v>
      </c>
      <c r="U1055" s="13" cm="1">
        <f t="array" ref="U1055">IF(Table8[[#This Row],[I_0]]&lt;Table24[Flitro de Ruido],1,Table8[[#This Row],[I_10]]/Table8[[#This Row],[I_0]])</f>
        <v>1</v>
      </c>
      <c r="V1055" s="13" cm="1">
        <f t="array" ref="V1055">IF(Table8[[#This Row],[I_0]]&lt;Table24[Flitro de Ruido],1,Table8[[#This Row],[I_20]]/Table8[[#This Row],[I_0]])</f>
        <v>1</v>
      </c>
      <c r="W1055" s="13" cm="1">
        <f t="array" ref="W1055">IF(Table8[[#This Row],[I_0]]&lt;Table24[Flitro de Ruido],1,Table8[[#This Row],[I_30]]/Table8[[#This Row],[I_0]])</f>
        <v>1</v>
      </c>
      <c r="X1055" s="13" cm="1">
        <f t="array" ref="X1055">IF(Table8[[#This Row],[I_0]]&lt;Table24[Flitro de Ruido],1,Table8[[#This Row],[I_40]]/Table8[[#This Row],[I_0]])</f>
        <v>1</v>
      </c>
      <c r="Y1055" s="13" cm="1">
        <f t="array" ref="Y1055">IF(Table8[[#This Row],[I_0]]&lt;Table24[Flitro de Ruido],1,Table8[[#This Row],[I_50]]/Table8[[#This Row],[I_0]])</f>
        <v>1</v>
      </c>
    </row>
    <row r="1056" spans="1:25" x14ac:dyDescent="0.3">
      <c r="A1056" s="13">
        <v>1115.5999999999999</v>
      </c>
      <c r="B1056" s="12">
        <v>0</v>
      </c>
      <c r="C1056" s="11">
        <v>1115.5999999999999</v>
      </c>
      <c r="D1056" s="12">
        <v>0</v>
      </c>
      <c r="E1056" s="11">
        <v>1115.5999999999999</v>
      </c>
      <c r="F1056" s="12">
        <v>0</v>
      </c>
      <c r="G1056" s="11">
        <v>1115.5999999999999</v>
      </c>
      <c r="H1056" s="12">
        <v>0</v>
      </c>
      <c r="I1056" s="11">
        <v>1115.5999999999999</v>
      </c>
      <c r="J1056" s="12">
        <v>0</v>
      </c>
      <c r="K1056" s="11">
        <v>1115.5999999999999</v>
      </c>
      <c r="L1056" s="12">
        <v>0</v>
      </c>
      <c r="M1056" s="11">
        <v>1115.5999999999999</v>
      </c>
      <c r="N1056" s="13">
        <v>0</v>
      </c>
      <c r="O1056" s="11">
        <v>0</v>
      </c>
      <c r="P1056" s="11">
        <v>0</v>
      </c>
      <c r="Q1056" s="11">
        <v>0</v>
      </c>
      <c r="R1056" s="11">
        <v>0</v>
      </c>
      <c r="S1056" s="14">
        <v>0</v>
      </c>
      <c r="T1056" s="11">
        <v>1115.5999999999999</v>
      </c>
      <c r="U1056" s="13" cm="1">
        <f t="array" ref="U1056">IF(Table8[[#This Row],[I_0]]&lt;Table24[Flitro de Ruido],1,Table8[[#This Row],[I_10]]/Table8[[#This Row],[I_0]])</f>
        <v>1</v>
      </c>
      <c r="V1056" s="13" cm="1">
        <f t="array" ref="V1056">IF(Table8[[#This Row],[I_0]]&lt;Table24[Flitro de Ruido],1,Table8[[#This Row],[I_20]]/Table8[[#This Row],[I_0]])</f>
        <v>1</v>
      </c>
      <c r="W1056" s="13" cm="1">
        <f t="array" ref="W1056">IF(Table8[[#This Row],[I_0]]&lt;Table24[Flitro de Ruido],1,Table8[[#This Row],[I_30]]/Table8[[#This Row],[I_0]])</f>
        <v>1</v>
      </c>
      <c r="X1056" s="13" cm="1">
        <f t="array" ref="X1056">IF(Table8[[#This Row],[I_0]]&lt;Table24[Flitro de Ruido],1,Table8[[#This Row],[I_40]]/Table8[[#This Row],[I_0]])</f>
        <v>1</v>
      </c>
      <c r="Y1056" s="13" cm="1">
        <f t="array" ref="Y1056">IF(Table8[[#This Row],[I_0]]&lt;Table24[Flitro de Ruido],1,Table8[[#This Row],[I_50]]/Table8[[#This Row],[I_0]])</f>
        <v>1</v>
      </c>
    </row>
    <row r="1057" spans="1:25" x14ac:dyDescent="0.3">
      <c r="A1057" s="13">
        <v>1116.5899999999999</v>
      </c>
      <c r="B1057" s="12">
        <v>0</v>
      </c>
      <c r="C1057" s="11">
        <v>1116.5899999999999</v>
      </c>
      <c r="D1057" s="12">
        <v>0</v>
      </c>
      <c r="E1057" s="11">
        <v>1116.5899999999999</v>
      </c>
      <c r="F1057" s="12">
        <v>0</v>
      </c>
      <c r="G1057" s="11">
        <v>1116.5899999999999</v>
      </c>
      <c r="H1057" s="12">
        <v>0</v>
      </c>
      <c r="I1057" s="11">
        <v>1116.5899999999999</v>
      </c>
      <c r="J1057" s="12">
        <v>0</v>
      </c>
      <c r="K1057" s="11">
        <v>1116.5899999999999</v>
      </c>
      <c r="L1057" s="12">
        <v>0</v>
      </c>
      <c r="M1057" s="11">
        <v>1116.5899999999999</v>
      </c>
      <c r="N1057" s="13">
        <v>0</v>
      </c>
      <c r="O1057" s="11">
        <v>0</v>
      </c>
      <c r="P1057" s="11">
        <v>0</v>
      </c>
      <c r="Q1057" s="11">
        <v>0</v>
      </c>
      <c r="R1057" s="11">
        <v>0</v>
      </c>
      <c r="S1057" s="14">
        <v>0</v>
      </c>
      <c r="T1057" s="11">
        <v>1116.5899999999999</v>
      </c>
      <c r="U1057" s="13" cm="1">
        <f t="array" ref="U1057">IF(Table8[[#This Row],[I_0]]&lt;Table24[Flitro de Ruido],1,Table8[[#This Row],[I_10]]/Table8[[#This Row],[I_0]])</f>
        <v>1</v>
      </c>
      <c r="V1057" s="13" cm="1">
        <f t="array" ref="V1057">IF(Table8[[#This Row],[I_0]]&lt;Table24[Flitro de Ruido],1,Table8[[#This Row],[I_20]]/Table8[[#This Row],[I_0]])</f>
        <v>1</v>
      </c>
      <c r="W1057" s="13" cm="1">
        <f t="array" ref="W1057">IF(Table8[[#This Row],[I_0]]&lt;Table24[Flitro de Ruido],1,Table8[[#This Row],[I_30]]/Table8[[#This Row],[I_0]])</f>
        <v>1</v>
      </c>
      <c r="X1057" s="13" cm="1">
        <f t="array" ref="X1057">IF(Table8[[#This Row],[I_0]]&lt;Table24[Flitro de Ruido],1,Table8[[#This Row],[I_40]]/Table8[[#This Row],[I_0]])</f>
        <v>1</v>
      </c>
      <c r="Y1057" s="13" cm="1">
        <f t="array" ref="Y1057">IF(Table8[[#This Row],[I_0]]&lt;Table24[Flitro de Ruido],1,Table8[[#This Row],[I_50]]/Table8[[#This Row],[I_0]])</f>
        <v>1</v>
      </c>
    </row>
    <row r="1058" spans="1:25" x14ac:dyDescent="0.3">
      <c r="A1058" s="13">
        <v>1117.58</v>
      </c>
      <c r="B1058" s="12">
        <v>0</v>
      </c>
      <c r="C1058" s="11">
        <v>1117.58</v>
      </c>
      <c r="D1058" s="12">
        <v>0</v>
      </c>
      <c r="E1058" s="11">
        <v>1117.58</v>
      </c>
      <c r="F1058" s="12">
        <v>0</v>
      </c>
      <c r="G1058" s="11">
        <v>1117.58</v>
      </c>
      <c r="H1058" s="12">
        <v>0</v>
      </c>
      <c r="I1058" s="11">
        <v>1117.58</v>
      </c>
      <c r="J1058" s="12">
        <v>0</v>
      </c>
      <c r="K1058" s="11">
        <v>1117.58</v>
      </c>
      <c r="L1058" s="12">
        <v>0</v>
      </c>
      <c r="M1058" s="11">
        <v>1117.58</v>
      </c>
      <c r="N1058" s="13">
        <v>0</v>
      </c>
      <c r="O1058" s="11">
        <v>0</v>
      </c>
      <c r="P1058" s="11">
        <v>0</v>
      </c>
      <c r="Q1058" s="11">
        <v>0</v>
      </c>
      <c r="R1058" s="11">
        <v>0</v>
      </c>
      <c r="S1058" s="14">
        <v>0</v>
      </c>
      <c r="T1058" s="11">
        <v>1117.58</v>
      </c>
      <c r="U1058" s="13" cm="1">
        <f t="array" ref="U1058">IF(Table8[[#This Row],[I_0]]&lt;Table24[Flitro de Ruido],1,Table8[[#This Row],[I_10]]/Table8[[#This Row],[I_0]])</f>
        <v>1</v>
      </c>
      <c r="V1058" s="13" cm="1">
        <f t="array" ref="V1058">IF(Table8[[#This Row],[I_0]]&lt;Table24[Flitro de Ruido],1,Table8[[#This Row],[I_20]]/Table8[[#This Row],[I_0]])</f>
        <v>1</v>
      </c>
      <c r="W1058" s="13" cm="1">
        <f t="array" ref="W1058">IF(Table8[[#This Row],[I_0]]&lt;Table24[Flitro de Ruido],1,Table8[[#This Row],[I_30]]/Table8[[#This Row],[I_0]])</f>
        <v>1</v>
      </c>
      <c r="X1058" s="13" cm="1">
        <f t="array" ref="X1058">IF(Table8[[#This Row],[I_0]]&lt;Table24[Flitro de Ruido],1,Table8[[#This Row],[I_40]]/Table8[[#This Row],[I_0]])</f>
        <v>1</v>
      </c>
      <c r="Y1058" s="13" cm="1">
        <f t="array" ref="Y1058">IF(Table8[[#This Row],[I_0]]&lt;Table24[Flitro de Ruido],1,Table8[[#This Row],[I_50]]/Table8[[#This Row],[I_0]])</f>
        <v>1</v>
      </c>
    </row>
    <row r="1059" spans="1:25" x14ac:dyDescent="0.3">
      <c r="A1059" s="13">
        <v>1118.58</v>
      </c>
      <c r="B1059" s="12">
        <v>0</v>
      </c>
      <c r="C1059" s="11">
        <v>1118.58</v>
      </c>
      <c r="D1059" s="12">
        <v>0</v>
      </c>
      <c r="E1059" s="11">
        <v>1118.58</v>
      </c>
      <c r="F1059" s="12">
        <v>0</v>
      </c>
      <c r="G1059" s="11">
        <v>1118.58</v>
      </c>
      <c r="H1059" s="12">
        <v>0</v>
      </c>
      <c r="I1059" s="11">
        <v>1118.58</v>
      </c>
      <c r="J1059" s="12">
        <v>0</v>
      </c>
      <c r="K1059" s="11">
        <v>1118.58</v>
      </c>
      <c r="L1059" s="12">
        <v>0</v>
      </c>
      <c r="M1059" s="11">
        <v>1118.58</v>
      </c>
      <c r="N1059" s="13">
        <v>0</v>
      </c>
      <c r="O1059" s="11">
        <v>0</v>
      </c>
      <c r="P1059" s="11">
        <v>0</v>
      </c>
      <c r="Q1059" s="11">
        <v>0</v>
      </c>
      <c r="R1059" s="11">
        <v>0</v>
      </c>
      <c r="S1059" s="14">
        <v>0</v>
      </c>
      <c r="T1059" s="11">
        <v>1118.58</v>
      </c>
      <c r="U1059" s="13" cm="1">
        <f t="array" ref="U1059">IF(Table8[[#This Row],[I_0]]&lt;Table24[Flitro de Ruido],1,Table8[[#This Row],[I_10]]/Table8[[#This Row],[I_0]])</f>
        <v>1</v>
      </c>
      <c r="V1059" s="13" cm="1">
        <f t="array" ref="V1059">IF(Table8[[#This Row],[I_0]]&lt;Table24[Flitro de Ruido],1,Table8[[#This Row],[I_20]]/Table8[[#This Row],[I_0]])</f>
        <v>1</v>
      </c>
      <c r="W1059" s="13" cm="1">
        <f t="array" ref="W1059">IF(Table8[[#This Row],[I_0]]&lt;Table24[Flitro de Ruido],1,Table8[[#This Row],[I_30]]/Table8[[#This Row],[I_0]])</f>
        <v>1</v>
      </c>
      <c r="X1059" s="13" cm="1">
        <f t="array" ref="X1059">IF(Table8[[#This Row],[I_0]]&lt;Table24[Flitro de Ruido],1,Table8[[#This Row],[I_40]]/Table8[[#This Row],[I_0]])</f>
        <v>1</v>
      </c>
      <c r="Y1059" s="13" cm="1">
        <f t="array" ref="Y1059">IF(Table8[[#This Row],[I_0]]&lt;Table24[Flitro de Ruido],1,Table8[[#This Row],[I_50]]/Table8[[#This Row],[I_0]])</f>
        <v>1</v>
      </c>
    </row>
    <row r="1060" spans="1:25" x14ac:dyDescent="0.3">
      <c r="A1060" s="13">
        <v>1119.57</v>
      </c>
      <c r="B1060" s="12">
        <v>0</v>
      </c>
      <c r="C1060" s="11">
        <v>1119.57</v>
      </c>
      <c r="D1060" s="12">
        <v>0</v>
      </c>
      <c r="E1060" s="11">
        <v>1119.57</v>
      </c>
      <c r="F1060" s="12">
        <v>0</v>
      </c>
      <c r="G1060" s="11">
        <v>1119.57</v>
      </c>
      <c r="H1060" s="12">
        <v>0</v>
      </c>
      <c r="I1060" s="11">
        <v>1119.57</v>
      </c>
      <c r="J1060" s="12">
        <v>0</v>
      </c>
      <c r="K1060" s="11">
        <v>1119.57</v>
      </c>
      <c r="L1060" s="12">
        <v>0</v>
      </c>
      <c r="M1060" s="11">
        <v>1119.57</v>
      </c>
      <c r="N1060" s="13">
        <v>0</v>
      </c>
      <c r="O1060" s="11">
        <v>0</v>
      </c>
      <c r="P1060" s="11">
        <v>0</v>
      </c>
      <c r="Q1060" s="11">
        <v>0</v>
      </c>
      <c r="R1060" s="11">
        <v>0</v>
      </c>
      <c r="S1060" s="14">
        <v>0</v>
      </c>
      <c r="T1060" s="11">
        <v>1119.57</v>
      </c>
      <c r="U1060" s="13" cm="1">
        <f t="array" ref="U1060">IF(Table8[[#This Row],[I_0]]&lt;Table24[Flitro de Ruido],1,Table8[[#This Row],[I_10]]/Table8[[#This Row],[I_0]])</f>
        <v>1</v>
      </c>
      <c r="V1060" s="13" cm="1">
        <f t="array" ref="V1060">IF(Table8[[#This Row],[I_0]]&lt;Table24[Flitro de Ruido],1,Table8[[#This Row],[I_20]]/Table8[[#This Row],[I_0]])</f>
        <v>1</v>
      </c>
      <c r="W1060" s="13" cm="1">
        <f t="array" ref="W1060">IF(Table8[[#This Row],[I_0]]&lt;Table24[Flitro de Ruido],1,Table8[[#This Row],[I_30]]/Table8[[#This Row],[I_0]])</f>
        <v>1</v>
      </c>
      <c r="X1060" s="13" cm="1">
        <f t="array" ref="X1060">IF(Table8[[#This Row],[I_0]]&lt;Table24[Flitro de Ruido],1,Table8[[#This Row],[I_40]]/Table8[[#This Row],[I_0]])</f>
        <v>1</v>
      </c>
      <c r="Y1060" s="13" cm="1">
        <f t="array" ref="Y1060">IF(Table8[[#This Row],[I_0]]&lt;Table24[Flitro de Ruido],1,Table8[[#This Row],[I_50]]/Table8[[#This Row],[I_0]])</f>
        <v>1</v>
      </c>
    </row>
    <row r="1061" spans="1:25" x14ac:dyDescent="0.3">
      <c r="A1061" s="13">
        <v>1120.56</v>
      </c>
      <c r="B1061" s="12">
        <v>0</v>
      </c>
      <c r="C1061" s="11">
        <v>1120.56</v>
      </c>
      <c r="D1061" s="12">
        <v>0</v>
      </c>
      <c r="E1061" s="11">
        <v>1120.56</v>
      </c>
      <c r="F1061" s="12">
        <v>0</v>
      </c>
      <c r="G1061" s="11">
        <v>1120.56</v>
      </c>
      <c r="H1061" s="12">
        <v>0</v>
      </c>
      <c r="I1061" s="11">
        <v>1120.56</v>
      </c>
      <c r="J1061" s="12">
        <v>0</v>
      </c>
      <c r="K1061" s="11">
        <v>1120.56</v>
      </c>
      <c r="L1061" s="12">
        <v>0</v>
      </c>
      <c r="M1061" s="11">
        <v>1120.56</v>
      </c>
      <c r="N1061" s="13">
        <v>0</v>
      </c>
      <c r="O1061" s="11">
        <v>0</v>
      </c>
      <c r="P1061" s="11">
        <v>0</v>
      </c>
      <c r="Q1061" s="11">
        <v>0</v>
      </c>
      <c r="R1061" s="11">
        <v>0</v>
      </c>
      <c r="S1061" s="14">
        <v>0</v>
      </c>
      <c r="T1061" s="11">
        <v>1120.56</v>
      </c>
      <c r="U1061" s="13" cm="1">
        <f t="array" ref="U1061">IF(Table8[[#This Row],[I_0]]&lt;Table24[Flitro de Ruido],1,Table8[[#This Row],[I_10]]/Table8[[#This Row],[I_0]])</f>
        <v>1</v>
      </c>
      <c r="V1061" s="13" cm="1">
        <f t="array" ref="V1061">IF(Table8[[#This Row],[I_0]]&lt;Table24[Flitro de Ruido],1,Table8[[#This Row],[I_20]]/Table8[[#This Row],[I_0]])</f>
        <v>1</v>
      </c>
      <c r="W1061" s="13" cm="1">
        <f t="array" ref="W1061">IF(Table8[[#This Row],[I_0]]&lt;Table24[Flitro de Ruido],1,Table8[[#This Row],[I_30]]/Table8[[#This Row],[I_0]])</f>
        <v>1</v>
      </c>
      <c r="X1061" s="13" cm="1">
        <f t="array" ref="X1061">IF(Table8[[#This Row],[I_0]]&lt;Table24[Flitro de Ruido],1,Table8[[#This Row],[I_40]]/Table8[[#This Row],[I_0]])</f>
        <v>1</v>
      </c>
      <c r="Y1061" s="13" cm="1">
        <f t="array" ref="Y1061">IF(Table8[[#This Row],[I_0]]&lt;Table24[Flitro de Ruido],1,Table8[[#This Row],[I_50]]/Table8[[#This Row],[I_0]])</f>
        <v>1</v>
      </c>
    </row>
    <row r="1062" spans="1:25" x14ac:dyDescent="0.3">
      <c r="A1062" s="13">
        <v>1121.55</v>
      </c>
      <c r="B1062" s="12">
        <v>0</v>
      </c>
      <c r="C1062" s="11">
        <v>1121.55</v>
      </c>
      <c r="D1062" s="12">
        <v>0</v>
      </c>
      <c r="E1062" s="11">
        <v>1121.55</v>
      </c>
      <c r="F1062" s="12">
        <v>0</v>
      </c>
      <c r="G1062" s="11">
        <v>1121.55</v>
      </c>
      <c r="H1062" s="12">
        <v>0</v>
      </c>
      <c r="I1062" s="11">
        <v>1121.55</v>
      </c>
      <c r="J1062" s="12">
        <v>0</v>
      </c>
      <c r="K1062" s="11">
        <v>1121.55</v>
      </c>
      <c r="L1062" s="12">
        <v>0</v>
      </c>
      <c r="M1062" s="11">
        <v>1121.55</v>
      </c>
      <c r="N1062" s="13">
        <v>0</v>
      </c>
      <c r="O1062" s="11">
        <v>0</v>
      </c>
      <c r="P1062" s="11">
        <v>0</v>
      </c>
      <c r="Q1062" s="11">
        <v>0</v>
      </c>
      <c r="R1062" s="11">
        <v>0</v>
      </c>
      <c r="S1062" s="14">
        <v>0</v>
      </c>
      <c r="T1062" s="11">
        <v>1121.55</v>
      </c>
      <c r="U1062" s="13" cm="1">
        <f t="array" ref="U1062">IF(Table8[[#This Row],[I_0]]&lt;Table24[Flitro de Ruido],1,Table8[[#This Row],[I_10]]/Table8[[#This Row],[I_0]])</f>
        <v>1</v>
      </c>
      <c r="V1062" s="13" cm="1">
        <f t="array" ref="V1062">IF(Table8[[#This Row],[I_0]]&lt;Table24[Flitro de Ruido],1,Table8[[#This Row],[I_20]]/Table8[[#This Row],[I_0]])</f>
        <v>1</v>
      </c>
      <c r="W1062" s="13" cm="1">
        <f t="array" ref="W1062">IF(Table8[[#This Row],[I_0]]&lt;Table24[Flitro de Ruido],1,Table8[[#This Row],[I_30]]/Table8[[#This Row],[I_0]])</f>
        <v>1</v>
      </c>
      <c r="X1062" s="13" cm="1">
        <f t="array" ref="X1062">IF(Table8[[#This Row],[I_0]]&lt;Table24[Flitro de Ruido],1,Table8[[#This Row],[I_40]]/Table8[[#This Row],[I_0]])</f>
        <v>1</v>
      </c>
      <c r="Y1062" s="13" cm="1">
        <f t="array" ref="Y1062">IF(Table8[[#This Row],[I_0]]&lt;Table24[Flitro de Ruido],1,Table8[[#This Row],[I_50]]/Table8[[#This Row],[I_0]])</f>
        <v>1</v>
      </c>
    </row>
    <row r="1063" spans="1:25" x14ac:dyDescent="0.3">
      <c r="A1063" s="13">
        <v>1122.54</v>
      </c>
      <c r="B1063" s="12">
        <v>0</v>
      </c>
      <c r="C1063" s="11">
        <v>1122.54</v>
      </c>
      <c r="D1063" s="12">
        <v>0</v>
      </c>
      <c r="E1063" s="11">
        <v>1122.54</v>
      </c>
      <c r="F1063" s="12">
        <v>0</v>
      </c>
      <c r="G1063" s="11">
        <v>1122.54</v>
      </c>
      <c r="H1063" s="12">
        <v>0</v>
      </c>
      <c r="I1063" s="11">
        <v>1122.54</v>
      </c>
      <c r="J1063" s="12">
        <v>0</v>
      </c>
      <c r="K1063" s="11">
        <v>1122.54</v>
      </c>
      <c r="L1063" s="12">
        <v>0</v>
      </c>
      <c r="M1063" s="11">
        <v>1122.54</v>
      </c>
      <c r="N1063" s="13">
        <v>0</v>
      </c>
      <c r="O1063" s="11">
        <v>0</v>
      </c>
      <c r="P1063" s="11">
        <v>0</v>
      </c>
      <c r="Q1063" s="11">
        <v>0</v>
      </c>
      <c r="R1063" s="11">
        <v>0</v>
      </c>
      <c r="S1063" s="14">
        <v>0</v>
      </c>
      <c r="T1063" s="11">
        <v>1122.54</v>
      </c>
      <c r="U1063" s="13" cm="1">
        <f t="array" ref="U1063">IF(Table8[[#This Row],[I_0]]&lt;Table24[Flitro de Ruido],1,Table8[[#This Row],[I_10]]/Table8[[#This Row],[I_0]])</f>
        <v>1</v>
      </c>
      <c r="V1063" s="13" cm="1">
        <f t="array" ref="V1063">IF(Table8[[#This Row],[I_0]]&lt;Table24[Flitro de Ruido],1,Table8[[#This Row],[I_20]]/Table8[[#This Row],[I_0]])</f>
        <v>1</v>
      </c>
      <c r="W1063" s="13" cm="1">
        <f t="array" ref="W1063">IF(Table8[[#This Row],[I_0]]&lt;Table24[Flitro de Ruido],1,Table8[[#This Row],[I_30]]/Table8[[#This Row],[I_0]])</f>
        <v>1</v>
      </c>
      <c r="X1063" s="13" cm="1">
        <f t="array" ref="X1063">IF(Table8[[#This Row],[I_0]]&lt;Table24[Flitro de Ruido],1,Table8[[#This Row],[I_40]]/Table8[[#This Row],[I_0]])</f>
        <v>1</v>
      </c>
      <c r="Y1063" s="13" cm="1">
        <f t="array" ref="Y1063">IF(Table8[[#This Row],[I_0]]&lt;Table24[Flitro de Ruido],1,Table8[[#This Row],[I_50]]/Table8[[#This Row],[I_0]])</f>
        <v>1</v>
      </c>
    </row>
    <row r="1064" spans="1:25" x14ac:dyDescent="0.3">
      <c r="A1064" s="13">
        <v>1123.53</v>
      </c>
      <c r="B1064" s="12">
        <v>0</v>
      </c>
      <c r="C1064" s="11">
        <v>1123.53</v>
      </c>
      <c r="D1064" s="12">
        <v>0</v>
      </c>
      <c r="E1064" s="11">
        <v>1123.53</v>
      </c>
      <c r="F1064" s="12">
        <v>0</v>
      </c>
      <c r="G1064" s="11">
        <v>1123.53</v>
      </c>
      <c r="H1064" s="12">
        <v>0</v>
      </c>
      <c r="I1064" s="11">
        <v>1123.53</v>
      </c>
      <c r="J1064" s="12">
        <v>0</v>
      </c>
      <c r="K1064" s="11">
        <v>1123.53</v>
      </c>
      <c r="L1064" s="12">
        <v>0</v>
      </c>
      <c r="M1064" s="11">
        <v>1123.53</v>
      </c>
      <c r="N1064" s="13">
        <v>0</v>
      </c>
      <c r="O1064" s="11">
        <v>0</v>
      </c>
      <c r="P1064" s="11">
        <v>0</v>
      </c>
      <c r="Q1064" s="11">
        <v>0</v>
      </c>
      <c r="R1064" s="11">
        <v>0</v>
      </c>
      <c r="S1064" s="14">
        <v>0</v>
      </c>
      <c r="T1064" s="11">
        <v>1123.53</v>
      </c>
      <c r="U1064" s="13" cm="1">
        <f t="array" ref="U1064">IF(Table8[[#This Row],[I_0]]&lt;Table24[Flitro de Ruido],1,Table8[[#This Row],[I_10]]/Table8[[#This Row],[I_0]])</f>
        <v>1</v>
      </c>
      <c r="V1064" s="13" cm="1">
        <f t="array" ref="V1064">IF(Table8[[#This Row],[I_0]]&lt;Table24[Flitro de Ruido],1,Table8[[#This Row],[I_20]]/Table8[[#This Row],[I_0]])</f>
        <v>1</v>
      </c>
      <c r="W1064" s="13" cm="1">
        <f t="array" ref="W1064">IF(Table8[[#This Row],[I_0]]&lt;Table24[Flitro de Ruido],1,Table8[[#This Row],[I_30]]/Table8[[#This Row],[I_0]])</f>
        <v>1</v>
      </c>
      <c r="X1064" s="13" cm="1">
        <f t="array" ref="X1064">IF(Table8[[#This Row],[I_0]]&lt;Table24[Flitro de Ruido],1,Table8[[#This Row],[I_40]]/Table8[[#This Row],[I_0]])</f>
        <v>1</v>
      </c>
      <c r="Y1064" s="13" cm="1">
        <f t="array" ref="Y1064">IF(Table8[[#This Row],[I_0]]&lt;Table24[Flitro de Ruido],1,Table8[[#This Row],[I_50]]/Table8[[#This Row],[I_0]])</f>
        <v>1</v>
      </c>
    </row>
    <row r="1065" spans="1:25" x14ac:dyDescent="0.3">
      <c r="A1065" s="13">
        <v>1124.53</v>
      </c>
      <c r="B1065" s="12">
        <v>0</v>
      </c>
      <c r="C1065" s="11">
        <v>1124.53</v>
      </c>
      <c r="D1065" s="12">
        <v>0</v>
      </c>
      <c r="E1065" s="11">
        <v>1124.53</v>
      </c>
      <c r="F1065" s="12">
        <v>0</v>
      </c>
      <c r="G1065" s="11">
        <v>1124.53</v>
      </c>
      <c r="H1065" s="12">
        <v>0</v>
      </c>
      <c r="I1065" s="11">
        <v>1124.53</v>
      </c>
      <c r="J1065" s="12">
        <v>0</v>
      </c>
      <c r="K1065" s="11">
        <v>1124.53</v>
      </c>
      <c r="L1065" s="12">
        <v>0</v>
      </c>
      <c r="M1065" s="11">
        <v>1124.53</v>
      </c>
      <c r="N1065" s="13">
        <v>0</v>
      </c>
      <c r="O1065" s="11">
        <v>0</v>
      </c>
      <c r="P1065" s="11">
        <v>0</v>
      </c>
      <c r="Q1065" s="11">
        <v>0</v>
      </c>
      <c r="R1065" s="11">
        <v>0</v>
      </c>
      <c r="S1065" s="14">
        <v>0</v>
      </c>
      <c r="T1065" s="11">
        <v>1124.53</v>
      </c>
      <c r="U1065" s="13" cm="1">
        <f t="array" ref="U1065">IF(Table8[[#This Row],[I_0]]&lt;Table24[Flitro de Ruido],1,Table8[[#This Row],[I_10]]/Table8[[#This Row],[I_0]])</f>
        <v>1</v>
      </c>
      <c r="V1065" s="13" cm="1">
        <f t="array" ref="V1065">IF(Table8[[#This Row],[I_0]]&lt;Table24[Flitro de Ruido],1,Table8[[#This Row],[I_20]]/Table8[[#This Row],[I_0]])</f>
        <v>1</v>
      </c>
      <c r="W1065" s="13" cm="1">
        <f t="array" ref="W1065">IF(Table8[[#This Row],[I_0]]&lt;Table24[Flitro de Ruido],1,Table8[[#This Row],[I_30]]/Table8[[#This Row],[I_0]])</f>
        <v>1</v>
      </c>
      <c r="X1065" s="13" cm="1">
        <f t="array" ref="X1065">IF(Table8[[#This Row],[I_0]]&lt;Table24[Flitro de Ruido],1,Table8[[#This Row],[I_40]]/Table8[[#This Row],[I_0]])</f>
        <v>1</v>
      </c>
      <c r="Y1065" s="13" cm="1">
        <f t="array" ref="Y1065">IF(Table8[[#This Row],[I_0]]&lt;Table24[Flitro de Ruido],1,Table8[[#This Row],[I_50]]/Table8[[#This Row],[I_0]])</f>
        <v>1</v>
      </c>
    </row>
    <row r="1066" spans="1:25" x14ac:dyDescent="0.3">
      <c r="A1066" s="13">
        <v>1125.52</v>
      </c>
      <c r="B1066" s="12">
        <v>0</v>
      </c>
      <c r="C1066" s="11">
        <v>1125.52</v>
      </c>
      <c r="D1066" s="12">
        <v>0</v>
      </c>
      <c r="E1066" s="11">
        <v>1125.52</v>
      </c>
      <c r="F1066" s="12">
        <v>0</v>
      </c>
      <c r="G1066" s="11">
        <v>1125.52</v>
      </c>
      <c r="H1066" s="12">
        <v>0</v>
      </c>
      <c r="I1066" s="11">
        <v>1125.52</v>
      </c>
      <c r="J1066" s="12">
        <v>0</v>
      </c>
      <c r="K1066" s="11">
        <v>1125.52</v>
      </c>
      <c r="L1066" s="12">
        <v>0</v>
      </c>
      <c r="M1066" s="11">
        <v>1125.52</v>
      </c>
      <c r="N1066" s="13">
        <v>0</v>
      </c>
      <c r="O1066" s="11">
        <v>0</v>
      </c>
      <c r="P1066" s="11">
        <v>0</v>
      </c>
      <c r="Q1066" s="11">
        <v>0</v>
      </c>
      <c r="R1066" s="11">
        <v>0</v>
      </c>
      <c r="S1066" s="14">
        <v>0</v>
      </c>
      <c r="T1066" s="11">
        <v>1125.52</v>
      </c>
      <c r="U1066" s="13" cm="1">
        <f t="array" ref="U1066">IF(Table8[[#This Row],[I_0]]&lt;Table24[Flitro de Ruido],1,Table8[[#This Row],[I_10]]/Table8[[#This Row],[I_0]])</f>
        <v>1</v>
      </c>
      <c r="V1066" s="13" cm="1">
        <f t="array" ref="V1066">IF(Table8[[#This Row],[I_0]]&lt;Table24[Flitro de Ruido],1,Table8[[#This Row],[I_20]]/Table8[[#This Row],[I_0]])</f>
        <v>1</v>
      </c>
      <c r="W1066" s="13" cm="1">
        <f t="array" ref="W1066">IF(Table8[[#This Row],[I_0]]&lt;Table24[Flitro de Ruido],1,Table8[[#This Row],[I_30]]/Table8[[#This Row],[I_0]])</f>
        <v>1</v>
      </c>
      <c r="X1066" s="13" cm="1">
        <f t="array" ref="X1066">IF(Table8[[#This Row],[I_0]]&lt;Table24[Flitro de Ruido],1,Table8[[#This Row],[I_40]]/Table8[[#This Row],[I_0]])</f>
        <v>1</v>
      </c>
      <c r="Y1066" s="13" cm="1">
        <f t="array" ref="Y1066">IF(Table8[[#This Row],[I_0]]&lt;Table24[Flitro de Ruido],1,Table8[[#This Row],[I_50]]/Table8[[#This Row],[I_0]])</f>
        <v>1</v>
      </c>
    </row>
    <row r="1067" spans="1:25" x14ac:dyDescent="0.3">
      <c r="A1067" s="13">
        <v>1126.51</v>
      </c>
      <c r="B1067" s="12">
        <v>0</v>
      </c>
      <c r="C1067" s="11">
        <v>1126.51</v>
      </c>
      <c r="D1067" s="12">
        <v>0</v>
      </c>
      <c r="E1067" s="11">
        <v>1126.51</v>
      </c>
      <c r="F1067" s="12">
        <v>0</v>
      </c>
      <c r="G1067" s="11">
        <v>1126.51</v>
      </c>
      <c r="H1067" s="12">
        <v>0</v>
      </c>
      <c r="I1067" s="11">
        <v>1126.51</v>
      </c>
      <c r="J1067" s="12">
        <v>0</v>
      </c>
      <c r="K1067" s="11">
        <v>1126.51</v>
      </c>
      <c r="L1067" s="12">
        <v>0</v>
      </c>
      <c r="M1067" s="11">
        <v>1126.51</v>
      </c>
      <c r="N1067" s="13">
        <v>0</v>
      </c>
      <c r="O1067" s="11">
        <v>0</v>
      </c>
      <c r="P1067" s="11">
        <v>0</v>
      </c>
      <c r="Q1067" s="11">
        <v>0</v>
      </c>
      <c r="R1067" s="11">
        <v>0</v>
      </c>
      <c r="S1067" s="14">
        <v>0</v>
      </c>
      <c r="T1067" s="11">
        <v>1126.51</v>
      </c>
      <c r="U1067" s="13" cm="1">
        <f t="array" ref="U1067">IF(Table8[[#This Row],[I_0]]&lt;Table24[Flitro de Ruido],1,Table8[[#This Row],[I_10]]/Table8[[#This Row],[I_0]])</f>
        <v>1</v>
      </c>
      <c r="V1067" s="13" cm="1">
        <f t="array" ref="V1067">IF(Table8[[#This Row],[I_0]]&lt;Table24[Flitro de Ruido],1,Table8[[#This Row],[I_20]]/Table8[[#This Row],[I_0]])</f>
        <v>1</v>
      </c>
      <c r="W1067" s="13" cm="1">
        <f t="array" ref="W1067">IF(Table8[[#This Row],[I_0]]&lt;Table24[Flitro de Ruido],1,Table8[[#This Row],[I_30]]/Table8[[#This Row],[I_0]])</f>
        <v>1</v>
      </c>
      <c r="X1067" s="13" cm="1">
        <f t="array" ref="X1067">IF(Table8[[#This Row],[I_0]]&lt;Table24[Flitro de Ruido],1,Table8[[#This Row],[I_40]]/Table8[[#This Row],[I_0]])</f>
        <v>1</v>
      </c>
      <c r="Y1067" s="13" cm="1">
        <f t="array" ref="Y1067">IF(Table8[[#This Row],[I_0]]&lt;Table24[Flitro de Ruido],1,Table8[[#This Row],[I_50]]/Table8[[#This Row],[I_0]])</f>
        <v>1</v>
      </c>
    </row>
    <row r="1068" spans="1:25" x14ac:dyDescent="0.3">
      <c r="A1068" s="13">
        <v>1127.5</v>
      </c>
      <c r="B1068" s="12">
        <v>0</v>
      </c>
      <c r="C1068" s="11">
        <v>1127.5</v>
      </c>
      <c r="D1068" s="12">
        <v>0</v>
      </c>
      <c r="E1068" s="11">
        <v>1127.5</v>
      </c>
      <c r="F1068" s="12">
        <v>0</v>
      </c>
      <c r="G1068" s="11">
        <v>1127.5</v>
      </c>
      <c r="H1068" s="12">
        <v>0</v>
      </c>
      <c r="I1068" s="11">
        <v>1127.5</v>
      </c>
      <c r="J1068" s="12">
        <v>0</v>
      </c>
      <c r="K1068" s="11">
        <v>1127.5</v>
      </c>
      <c r="L1068" s="12">
        <v>0</v>
      </c>
      <c r="M1068" s="11">
        <v>1127.5</v>
      </c>
      <c r="N1068" s="13">
        <v>0</v>
      </c>
      <c r="O1068" s="11">
        <v>0</v>
      </c>
      <c r="P1068" s="11">
        <v>0</v>
      </c>
      <c r="Q1068" s="11">
        <v>0</v>
      </c>
      <c r="R1068" s="11">
        <v>0</v>
      </c>
      <c r="S1068" s="14">
        <v>0</v>
      </c>
      <c r="T1068" s="11">
        <v>1127.5</v>
      </c>
      <c r="U1068" s="13" cm="1">
        <f t="array" ref="U1068">IF(Table8[[#This Row],[I_0]]&lt;Table24[Flitro de Ruido],1,Table8[[#This Row],[I_10]]/Table8[[#This Row],[I_0]])</f>
        <v>1</v>
      </c>
      <c r="V1068" s="13" cm="1">
        <f t="array" ref="V1068">IF(Table8[[#This Row],[I_0]]&lt;Table24[Flitro de Ruido],1,Table8[[#This Row],[I_20]]/Table8[[#This Row],[I_0]])</f>
        <v>1</v>
      </c>
      <c r="W1068" s="13" cm="1">
        <f t="array" ref="W1068">IF(Table8[[#This Row],[I_0]]&lt;Table24[Flitro de Ruido],1,Table8[[#This Row],[I_30]]/Table8[[#This Row],[I_0]])</f>
        <v>1</v>
      </c>
      <c r="X1068" s="13" cm="1">
        <f t="array" ref="X1068">IF(Table8[[#This Row],[I_0]]&lt;Table24[Flitro de Ruido],1,Table8[[#This Row],[I_40]]/Table8[[#This Row],[I_0]])</f>
        <v>1</v>
      </c>
      <c r="Y1068" s="13" cm="1">
        <f t="array" ref="Y1068">IF(Table8[[#This Row],[I_0]]&lt;Table24[Flitro de Ruido],1,Table8[[#This Row],[I_50]]/Table8[[#This Row],[I_0]])</f>
        <v>1</v>
      </c>
    </row>
    <row r="1069" spans="1:25" x14ac:dyDescent="0.3">
      <c r="A1069" s="13">
        <v>1128.49</v>
      </c>
      <c r="B1069" s="12">
        <v>0</v>
      </c>
      <c r="C1069" s="11">
        <v>1128.49</v>
      </c>
      <c r="D1069" s="12">
        <v>0</v>
      </c>
      <c r="E1069" s="11">
        <v>1128.49</v>
      </c>
      <c r="F1069" s="12">
        <v>0</v>
      </c>
      <c r="G1069" s="11">
        <v>1128.49</v>
      </c>
      <c r="H1069" s="12">
        <v>0</v>
      </c>
      <c r="I1069" s="11">
        <v>1128.49</v>
      </c>
      <c r="J1069" s="12">
        <v>0</v>
      </c>
      <c r="K1069" s="11">
        <v>1128.49</v>
      </c>
      <c r="L1069" s="12">
        <v>0</v>
      </c>
      <c r="M1069" s="11">
        <v>1128.49</v>
      </c>
      <c r="N1069" s="13">
        <v>0</v>
      </c>
      <c r="O1069" s="11">
        <v>0</v>
      </c>
      <c r="P1069" s="11">
        <v>0</v>
      </c>
      <c r="Q1069" s="11">
        <v>0</v>
      </c>
      <c r="R1069" s="11">
        <v>0</v>
      </c>
      <c r="S1069" s="14">
        <v>0</v>
      </c>
      <c r="T1069" s="11">
        <v>1128.49</v>
      </c>
      <c r="U1069" s="13" cm="1">
        <f t="array" ref="U1069">IF(Table8[[#This Row],[I_0]]&lt;Table24[Flitro de Ruido],1,Table8[[#This Row],[I_10]]/Table8[[#This Row],[I_0]])</f>
        <v>1</v>
      </c>
      <c r="V1069" s="13" cm="1">
        <f t="array" ref="V1069">IF(Table8[[#This Row],[I_0]]&lt;Table24[Flitro de Ruido],1,Table8[[#This Row],[I_20]]/Table8[[#This Row],[I_0]])</f>
        <v>1</v>
      </c>
      <c r="W1069" s="13" cm="1">
        <f t="array" ref="W1069">IF(Table8[[#This Row],[I_0]]&lt;Table24[Flitro de Ruido],1,Table8[[#This Row],[I_30]]/Table8[[#This Row],[I_0]])</f>
        <v>1</v>
      </c>
      <c r="X1069" s="13" cm="1">
        <f t="array" ref="X1069">IF(Table8[[#This Row],[I_0]]&lt;Table24[Flitro de Ruido],1,Table8[[#This Row],[I_40]]/Table8[[#This Row],[I_0]])</f>
        <v>1</v>
      </c>
      <c r="Y1069" s="13" cm="1">
        <f t="array" ref="Y1069">IF(Table8[[#This Row],[I_0]]&lt;Table24[Flitro de Ruido],1,Table8[[#This Row],[I_50]]/Table8[[#This Row],[I_0]])</f>
        <v>1</v>
      </c>
    </row>
    <row r="1070" spans="1:25" x14ac:dyDescent="0.3">
      <c r="A1070" s="13">
        <v>1129.48</v>
      </c>
      <c r="B1070" s="12">
        <v>0</v>
      </c>
      <c r="C1070" s="11">
        <v>1129.48</v>
      </c>
      <c r="D1070" s="12">
        <v>0</v>
      </c>
      <c r="E1070" s="11">
        <v>1129.48</v>
      </c>
      <c r="F1070" s="12">
        <v>0</v>
      </c>
      <c r="G1070" s="11">
        <v>1129.48</v>
      </c>
      <c r="H1070" s="12">
        <v>0</v>
      </c>
      <c r="I1070" s="11">
        <v>1129.48</v>
      </c>
      <c r="J1070" s="12">
        <v>0</v>
      </c>
      <c r="K1070" s="11">
        <v>1129.48</v>
      </c>
      <c r="L1070" s="12">
        <v>0</v>
      </c>
      <c r="M1070" s="11">
        <v>1129.48</v>
      </c>
      <c r="N1070" s="13">
        <v>0</v>
      </c>
      <c r="O1070" s="11">
        <v>0</v>
      </c>
      <c r="P1070" s="11">
        <v>0</v>
      </c>
      <c r="Q1070" s="11">
        <v>0</v>
      </c>
      <c r="R1070" s="11">
        <v>0</v>
      </c>
      <c r="S1070" s="14">
        <v>0</v>
      </c>
      <c r="T1070" s="11">
        <v>1129.48</v>
      </c>
      <c r="U1070" s="13" cm="1">
        <f t="array" ref="U1070">IF(Table8[[#This Row],[I_0]]&lt;Table24[Flitro de Ruido],1,Table8[[#This Row],[I_10]]/Table8[[#This Row],[I_0]])</f>
        <v>1</v>
      </c>
      <c r="V1070" s="13" cm="1">
        <f t="array" ref="V1070">IF(Table8[[#This Row],[I_0]]&lt;Table24[Flitro de Ruido],1,Table8[[#This Row],[I_20]]/Table8[[#This Row],[I_0]])</f>
        <v>1</v>
      </c>
      <c r="W1070" s="13" cm="1">
        <f t="array" ref="W1070">IF(Table8[[#This Row],[I_0]]&lt;Table24[Flitro de Ruido],1,Table8[[#This Row],[I_30]]/Table8[[#This Row],[I_0]])</f>
        <v>1</v>
      </c>
      <c r="X1070" s="13" cm="1">
        <f t="array" ref="X1070">IF(Table8[[#This Row],[I_0]]&lt;Table24[Flitro de Ruido],1,Table8[[#This Row],[I_40]]/Table8[[#This Row],[I_0]])</f>
        <v>1</v>
      </c>
      <c r="Y1070" s="13" cm="1">
        <f t="array" ref="Y1070">IF(Table8[[#This Row],[I_0]]&lt;Table24[Flitro de Ruido],1,Table8[[#This Row],[I_50]]/Table8[[#This Row],[I_0]])</f>
        <v>1</v>
      </c>
    </row>
    <row r="1071" spans="1:25" x14ac:dyDescent="0.3">
      <c r="A1071" s="13">
        <v>1130.48</v>
      </c>
      <c r="B1071" s="12">
        <v>0</v>
      </c>
      <c r="C1071" s="11">
        <v>1130.48</v>
      </c>
      <c r="D1071" s="12">
        <v>0</v>
      </c>
      <c r="E1071" s="11">
        <v>1130.48</v>
      </c>
      <c r="F1071" s="12">
        <v>0</v>
      </c>
      <c r="G1071" s="11">
        <v>1130.48</v>
      </c>
      <c r="H1071" s="12">
        <v>0</v>
      </c>
      <c r="I1071" s="11">
        <v>1130.48</v>
      </c>
      <c r="J1071" s="12">
        <v>0</v>
      </c>
      <c r="K1071" s="11">
        <v>1130.48</v>
      </c>
      <c r="L1071" s="12">
        <v>0</v>
      </c>
      <c r="M1071" s="11">
        <v>1130.48</v>
      </c>
      <c r="N1071" s="13">
        <v>0</v>
      </c>
      <c r="O1071" s="11">
        <v>0</v>
      </c>
      <c r="P1071" s="11">
        <v>0</v>
      </c>
      <c r="Q1071" s="11">
        <v>0</v>
      </c>
      <c r="R1071" s="11">
        <v>0</v>
      </c>
      <c r="S1071" s="14">
        <v>0</v>
      </c>
      <c r="T1071" s="11">
        <v>1130.48</v>
      </c>
      <c r="U1071" s="13" cm="1">
        <f t="array" ref="U1071">IF(Table8[[#This Row],[I_0]]&lt;Table24[Flitro de Ruido],1,Table8[[#This Row],[I_10]]/Table8[[#This Row],[I_0]])</f>
        <v>1</v>
      </c>
      <c r="V1071" s="13" cm="1">
        <f t="array" ref="V1071">IF(Table8[[#This Row],[I_0]]&lt;Table24[Flitro de Ruido],1,Table8[[#This Row],[I_20]]/Table8[[#This Row],[I_0]])</f>
        <v>1</v>
      </c>
      <c r="W1071" s="13" cm="1">
        <f t="array" ref="W1071">IF(Table8[[#This Row],[I_0]]&lt;Table24[Flitro de Ruido],1,Table8[[#This Row],[I_30]]/Table8[[#This Row],[I_0]])</f>
        <v>1</v>
      </c>
      <c r="X1071" s="13" cm="1">
        <f t="array" ref="X1071">IF(Table8[[#This Row],[I_0]]&lt;Table24[Flitro de Ruido],1,Table8[[#This Row],[I_40]]/Table8[[#This Row],[I_0]])</f>
        <v>1</v>
      </c>
      <c r="Y1071" s="13" cm="1">
        <f t="array" ref="Y1071">IF(Table8[[#This Row],[I_0]]&lt;Table24[Flitro de Ruido],1,Table8[[#This Row],[I_50]]/Table8[[#This Row],[I_0]])</f>
        <v>1</v>
      </c>
    </row>
    <row r="1072" spans="1:25" x14ac:dyDescent="0.3">
      <c r="A1072" s="13">
        <v>1131.47</v>
      </c>
      <c r="B1072" s="12">
        <v>0</v>
      </c>
      <c r="C1072" s="11">
        <v>1131.47</v>
      </c>
      <c r="D1072" s="12">
        <v>0</v>
      </c>
      <c r="E1072" s="11">
        <v>1131.47</v>
      </c>
      <c r="F1072" s="12">
        <v>0</v>
      </c>
      <c r="G1072" s="11">
        <v>1131.47</v>
      </c>
      <c r="H1072" s="12">
        <v>0</v>
      </c>
      <c r="I1072" s="11">
        <v>1131.47</v>
      </c>
      <c r="J1072" s="12">
        <v>0</v>
      </c>
      <c r="K1072" s="11">
        <v>1131.47</v>
      </c>
      <c r="L1072" s="12">
        <v>0</v>
      </c>
      <c r="M1072" s="11">
        <v>1131.47</v>
      </c>
      <c r="N1072" s="13">
        <v>0</v>
      </c>
      <c r="O1072" s="11">
        <v>0</v>
      </c>
      <c r="P1072" s="11">
        <v>0</v>
      </c>
      <c r="Q1072" s="11">
        <v>0</v>
      </c>
      <c r="R1072" s="11">
        <v>0</v>
      </c>
      <c r="S1072" s="14">
        <v>0</v>
      </c>
      <c r="T1072" s="11">
        <v>1131.47</v>
      </c>
      <c r="U1072" s="13" cm="1">
        <f t="array" ref="U1072">IF(Table8[[#This Row],[I_0]]&lt;Table24[Flitro de Ruido],1,Table8[[#This Row],[I_10]]/Table8[[#This Row],[I_0]])</f>
        <v>1</v>
      </c>
      <c r="V1072" s="13" cm="1">
        <f t="array" ref="V1072">IF(Table8[[#This Row],[I_0]]&lt;Table24[Flitro de Ruido],1,Table8[[#This Row],[I_20]]/Table8[[#This Row],[I_0]])</f>
        <v>1</v>
      </c>
      <c r="W1072" s="13" cm="1">
        <f t="array" ref="W1072">IF(Table8[[#This Row],[I_0]]&lt;Table24[Flitro de Ruido],1,Table8[[#This Row],[I_30]]/Table8[[#This Row],[I_0]])</f>
        <v>1</v>
      </c>
      <c r="X1072" s="13" cm="1">
        <f t="array" ref="X1072">IF(Table8[[#This Row],[I_0]]&lt;Table24[Flitro de Ruido],1,Table8[[#This Row],[I_40]]/Table8[[#This Row],[I_0]])</f>
        <v>1</v>
      </c>
      <c r="Y1072" s="13" cm="1">
        <f t="array" ref="Y1072">IF(Table8[[#This Row],[I_0]]&lt;Table24[Flitro de Ruido],1,Table8[[#This Row],[I_50]]/Table8[[#This Row],[I_0]])</f>
        <v>1</v>
      </c>
    </row>
    <row r="1073" spans="1:25" x14ac:dyDescent="0.3">
      <c r="A1073" s="13">
        <v>1132.46</v>
      </c>
      <c r="B1073" s="12">
        <v>0</v>
      </c>
      <c r="C1073" s="11">
        <v>1132.46</v>
      </c>
      <c r="D1073" s="12">
        <v>0</v>
      </c>
      <c r="E1073" s="11">
        <v>1132.46</v>
      </c>
      <c r="F1073" s="12">
        <v>0</v>
      </c>
      <c r="G1073" s="11">
        <v>1132.46</v>
      </c>
      <c r="H1073" s="12">
        <v>0</v>
      </c>
      <c r="I1073" s="11">
        <v>1132.46</v>
      </c>
      <c r="J1073" s="12">
        <v>0</v>
      </c>
      <c r="K1073" s="11">
        <v>1132.46</v>
      </c>
      <c r="L1073" s="12">
        <v>0</v>
      </c>
      <c r="M1073" s="11">
        <v>1132.46</v>
      </c>
      <c r="N1073" s="13">
        <v>0</v>
      </c>
      <c r="O1073" s="11">
        <v>0</v>
      </c>
      <c r="P1073" s="11">
        <v>0</v>
      </c>
      <c r="Q1073" s="11">
        <v>0</v>
      </c>
      <c r="R1073" s="11">
        <v>0</v>
      </c>
      <c r="S1073" s="14">
        <v>0</v>
      </c>
      <c r="T1073" s="11">
        <v>1132.46</v>
      </c>
      <c r="U1073" s="13" cm="1">
        <f t="array" ref="U1073">IF(Table8[[#This Row],[I_0]]&lt;Table24[Flitro de Ruido],1,Table8[[#This Row],[I_10]]/Table8[[#This Row],[I_0]])</f>
        <v>1</v>
      </c>
      <c r="V1073" s="13" cm="1">
        <f t="array" ref="V1073">IF(Table8[[#This Row],[I_0]]&lt;Table24[Flitro de Ruido],1,Table8[[#This Row],[I_20]]/Table8[[#This Row],[I_0]])</f>
        <v>1</v>
      </c>
      <c r="W1073" s="13" cm="1">
        <f t="array" ref="W1073">IF(Table8[[#This Row],[I_0]]&lt;Table24[Flitro de Ruido],1,Table8[[#This Row],[I_30]]/Table8[[#This Row],[I_0]])</f>
        <v>1</v>
      </c>
      <c r="X1073" s="13" cm="1">
        <f t="array" ref="X1073">IF(Table8[[#This Row],[I_0]]&lt;Table24[Flitro de Ruido],1,Table8[[#This Row],[I_40]]/Table8[[#This Row],[I_0]])</f>
        <v>1</v>
      </c>
      <c r="Y1073" s="13" cm="1">
        <f t="array" ref="Y1073">IF(Table8[[#This Row],[I_0]]&lt;Table24[Flitro de Ruido],1,Table8[[#This Row],[I_50]]/Table8[[#This Row],[I_0]])</f>
        <v>1</v>
      </c>
    </row>
    <row r="1074" spans="1:25" x14ac:dyDescent="0.3">
      <c r="A1074" s="13">
        <v>1133.45</v>
      </c>
      <c r="B1074" s="12">
        <v>0</v>
      </c>
      <c r="C1074" s="11">
        <v>1133.45</v>
      </c>
      <c r="D1074" s="12">
        <v>0</v>
      </c>
      <c r="E1074" s="11">
        <v>1133.45</v>
      </c>
      <c r="F1074" s="12">
        <v>0</v>
      </c>
      <c r="G1074" s="11">
        <v>1133.45</v>
      </c>
      <c r="H1074" s="12">
        <v>0</v>
      </c>
      <c r="I1074" s="11">
        <v>1133.45</v>
      </c>
      <c r="J1074" s="12">
        <v>0</v>
      </c>
      <c r="K1074" s="11">
        <v>1133.45</v>
      </c>
      <c r="L1074" s="12">
        <v>0</v>
      </c>
      <c r="M1074" s="11">
        <v>1133.45</v>
      </c>
      <c r="N1074" s="13">
        <v>0</v>
      </c>
      <c r="O1074" s="11">
        <v>0</v>
      </c>
      <c r="P1074" s="11">
        <v>0</v>
      </c>
      <c r="Q1074" s="11">
        <v>0</v>
      </c>
      <c r="R1074" s="11">
        <v>0</v>
      </c>
      <c r="S1074" s="14">
        <v>0</v>
      </c>
      <c r="T1074" s="11">
        <v>1133.45</v>
      </c>
      <c r="U1074" s="13" cm="1">
        <f t="array" ref="U1074">IF(Table8[[#This Row],[I_0]]&lt;Table24[Flitro de Ruido],1,Table8[[#This Row],[I_10]]/Table8[[#This Row],[I_0]])</f>
        <v>1</v>
      </c>
      <c r="V1074" s="13" cm="1">
        <f t="array" ref="V1074">IF(Table8[[#This Row],[I_0]]&lt;Table24[Flitro de Ruido],1,Table8[[#This Row],[I_20]]/Table8[[#This Row],[I_0]])</f>
        <v>1</v>
      </c>
      <c r="W1074" s="13" cm="1">
        <f t="array" ref="W1074">IF(Table8[[#This Row],[I_0]]&lt;Table24[Flitro de Ruido],1,Table8[[#This Row],[I_30]]/Table8[[#This Row],[I_0]])</f>
        <v>1</v>
      </c>
      <c r="X1074" s="13" cm="1">
        <f t="array" ref="X1074">IF(Table8[[#This Row],[I_0]]&lt;Table24[Flitro de Ruido],1,Table8[[#This Row],[I_40]]/Table8[[#This Row],[I_0]])</f>
        <v>1</v>
      </c>
      <c r="Y1074" s="13" cm="1">
        <f t="array" ref="Y1074">IF(Table8[[#This Row],[I_0]]&lt;Table24[Flitro de Ruido],1,Table8[[#This Row],[I_50]]/Table8[[#This Row],[I_0]])</f>
        <v>1</v>
      </c>
    </row>
    <row r="1075" spans="1:25" x14ac:dyDescent="0.3">
      <c r="A1075" s="13">
        <v>1134.44</v>
      </c>
      <c r="B1075" s="12">
        <v>0</v>
      </c>
      <c r="C1075" s="11">
        <v>1134.44</v>
      </c>
      <c r="D1075" s="12">
        <v>0</v>
      </c>
      <c r="E1075" s="11">
        <v>1134.44</v>
      </c>
      <c r="F1075" s="12">
        <v>0</v>
      </c>
      <c r="G1075" s="11">
        <v>1134.44</v>
      </c>
      <c r="H1075" s="12">
        <v>0</v>
      </c>
      <c r="I1075" s="11">
        <v>1134.44</v>
      </c>
      <c r="J1075" s="12">
        <v>0</v>
      </c>
      <c r="K1075" s="11">
        <v>1134.44</v>
      </c>
      <c r="L1075" s="12">
        <v>0</v>
      </c>
      <c r="M1075" s="11">
        <v>1134.44</v>
      </c>
      <c r="N1075" s="13">
        <v>0</v>
      </c>
      <c r="O1075" s="11">
        <v>0</v>
      </c>
      <c r="P1075" s="11">
        <v>0</v>
      </c>
      <c r="Q1075" s="11">
        <v>0</v>
      </c>
      <c r="R1075" s="11">
        <v>0</v>
      </c>
      <c r="S1075" s="14">
        <v>0</v>
      </c>
      <c r="T1075" s="11">
        <v>1134.44</v>
      </c>
      <c r="U1075" s="13" cm="1">
        <f t="array" ref="U1075">IF(Table8[[#This Row],[I_0]]&lt;Table24[Flitro de Ruido],1,Table8[[#This Row],[I_10]]/Table8[[#This Row],[I_0]])</f>
        <v>1</v>
      </c>
      <c r="V1075" s="13" cm="1">
        <f t="array" ref="V1075">IF(Table8[[#This Row],[I_0]]&lt;Table24[Flitro de Ruido],1,Table8[[#This Row],[I_20]]/Table8[[#This Row],[I_0]])</f>
        <v>1</v>
      </c>
      <c r="W1075" s="13" cm="1">
        <f t="array" ref="W1075">IF(Table8[[#This Row],[I_0]]&lt;Table24[Flitro de Ruido],1,Table8[[#This Row],[I_30]]/Table8[[#This Row],[I_0]])</f>
        <v>1</v>
      </c>
      <c r="X1075" s="13" cm="1">
        <f t="array" ref="X1075">IF(Table8[[#This Row],[I_0]]&lt;Table24[Flitro de Ruido],1,Table8[[#This Row],[I_40]]/Table8[[#This Row],[I_0]])</f>
        <v>1</v>
      </c>
      <c r="Y1075" s="13" cm="1">
        <f t="array" ref="Y1075">IF(Table8[[#This Row],[I_0]]&lt;Table24[Flitro de Ruido],1,Table8[[#This Row],[I_50]]/Table8[[#This Row],[I_0]])</f>
        <v>1</v>
      </c>
    </row>
    <row r="1076" spans="1:25" x14ac:dyDescent="0.3">
      <c r="A1076" s="13">
        <v>1135.44</v>
      </c>
      <c r="B1076" s="12">
        <v>0</v>
      </c>
      <c r="C1076" s="11">
        <v>1135.44</v>
      </c>
      <c r="D1076" s="12">
        <v>0</v>
      </c>
      <c r="E1076" s="11">
        <v>1135.44</v>
      </c>
      <c r="F1076" s="12">
        <v>0</v>
      </c>
      <c r="G1076" s="11">
        <v>1135.44</v>
      </c>
      <c r="H1076" s="12">
        <v>0</v>
      </c>
      <c r="I1076" s="11">
        <v>1135.44</v>
      </c>
      <c r="J1076" s="12">
        <v>0</v>
      </c>
      <c r="K1076" s="11">
        <v>1135.44</v>
      </c>
      <c r="L1076" s="12">
        <v>0</v>
      </c>
      <c r="M1076" s="11">
        <v>1135.44</v>
      </c>
      <c r="N1076" s="13">
        <v>0</v>
      </c>
      <c r="O1076" s="11">
        <v>0</v>
      </c>
      <c r="P1076" s="11">
        <v>0</v>
      </c>
      <c r="Q1076" s="11">
        <v>0</v>
      </c>
      <c r="R1076" s="11">
        <v>0</v>
      </c>
      <c r="S1076" s="14">
        <v>0</v>
      </c>
      <c r="T1076" s="11">
        <v>1135.44</v>
      </c>
      <c r="U1076" s="13" cm="1">
        <f t="array" ref="U1076">IF(Table8[[#This Row],[I_0]]&lt;Table24[Flitro de Ruido],1,Table8[[#This Row],[I_10]]/Table8[[#This Row],[I_0]])</f>
        <v>1</v>
      </c>
      <c r="V1076" s="13" cm="1">
        <f t="array" ref="V1076">IF(Table8[[#This Row],[I_0]]&lt;Table24[Flitro de Ruido],1,Table8[[#This Row],[I_20]]/Table8[[#This Row],[I_0]])</f>
        <v>1</v>
      </c>
      <c r="W1076" s="13" cm="1">
        <f t="array" ref="W1076">IF(Table8[[#This Row],[I_0]]&lt;Table24[Flitro de Ruido],1,Table8[[#This Row],[I_30]]/Table8[[#This Row],[I_0]])</f>
        <v>1</v>
      </c>
      <c r="X1076" s="13" cm="1">
        <f t="array" ref="X1076">IF(Table8[[#This Row],[I_0]]&lt;Table24[Flitro de Ruido],1,Table8[[#This Row],[I_40]]/Table8[[#This Row],[I_0]])</f>
        <v>1</v>
      </c>
      <c r="Y1076" s="13" cm="1">
        <f t="array" ref="Y1076">IF(Table8[[#This Row],[I_0]]&lt;Table24[Flitro de Ruido],1,Table8[[#This Row],[I_50]]/Table8[[#This Row],[I_0]])</f>
        <v>1</v>
      </c>
    </row>
    <row r="1077" spans="1:25" x14ac:dyDescent="0.3">
      <c r="A1077" s="13">
        <v>1136.43</v>
      </c>
      <c r="B1077" s="12">
        <v>0</v>
      </c>
      <c r="C1077" s="11">
        <v>1136.43</v>
      </c>
      <c r="D1077" s="12">
        <v>0</v>
      </c>
      <c r="E1077" s="11">
        <v>1136.43</v>
      </c>
      <c r="F1077" s="12">
        <v>0</v>
      </c>
      <c r="G1077" s="11">
        <v>1136.43</v>
      </c>
      <c r="H1077" s="12">
        <v>0</v>
      </c>
      <c r="I1077" s="11">
        <v>1136.43</v>
      </c>
      <c r="J1077" s="12">
        <v>0</v>
      </c>
      <c r="K1077" s="11">
        <v>1136.43</v>
      </c>
      <c r="L1077" s="12">
        <v>0</v>
      </c>
      <c r="M1077" s="11">
        <v>1136.43</v>
      </c>
      <c r="N1077" s="13">
        <v>0</v>
      </c>
      <c r="O1077" s="11">
        <v>0</v>
      </c>
      <c r="P1077" s="11">
        <v>0</v>
      </c>
      <c r="Q1077" s="11">
        <v>0</v>
      </c>
      <c r="R1077" s="11">
        <v>0</v>
      </c>
      <c r="S1077" s="14">
        <v>0</v>
      </c>
      <c r="T1077" s="11">
        <v>1136.43</v>
      </c>
      <c r="U1077" s="13" cm="1">
        <f t="array" ref="U1077">IF(Table8[[#This Row],[I_0]]&lt;Table24[Flitro de Ruido],1,Table8[[#This Row],[I_10]]/Table8[[#This Row],[I_0]])</f>
        <v>1</v>
      </c>
      <c r="V1077" s="13" cm="1">
        <f t="array" ref="V1077">IF(Table8[[#This Row],[I_0]]&lt;Table24[Flitro de Ruido],1,Table8[[#This Row],[I_20]]/Table8[[#This Row],[I_0]])</f>
        <v>1</v>
      </c>
      <c r="W1077" s="13" cm="1">
        <f t="array" ref="W1077">IF(Table8[[#This Row],[I_0]]&lt;Table24[Flitro de Ruido],1,Table8[[#This Row],[I_30]]/Table8[[#This Row],[I_0]])</f>
        <v>1</v>
      </c>
      <c r="X1077" s="13" cm="1">
        <f t="array" ref="X1077">IF(Table8[[#This Row],[I_0]]&lt;Table24[Flitro de Ruido],1,Table8[[#This Row],[I_40]]/Table8[[#This Row],[I_0]])</f>
        <v>1</v>
      </c>
      <c r="Y1077" s="13" cm="1">
        <f t="array" ref="Y1077">IF(Table8[[#This Row],[I_0]]&lt;Table24[Flitro de Ruido],1,Table8[[#This Row],[I_50]]/Table8[[#This Row],[I_0]])</f>
        <v>1</v>
      </c>
    </row>
    <row r="1078" spans="1:25" x14ac:dyDescent="0.3">
      <c r="A1078" s="13">
        <v>1137.42</v>
      </c>
      <c r="B1078" s="12">
        <v>0</v>
      </c>
      <c r="C1078" s="11">
        <v>1137.42</v>
      </c>
      <c r="D1078" s="12">
        <v>0</v>
      </c>
      <c r="E1078" s="11">
        <v>1137.42</v>
      </c>
      <c r="F1078" s="12">
        <v>0</v>
      </c>
      <c r="G1078" s="11">
        <v>1137.42</v>
      </c>
      <c r="H1078" s="12">
        <v>0</v>
      </c>
      <c r="I1078" s="11">
        <v>1137.42</v>
      </c>
      <c r="J1078" s="12">
        <v>0</v>
      </c>
      <c r="K1078" s="11">
        <v>1137.42</v>
      </c>
      <c r="L1078" s="12">
        <v>0</v>
      </c>
      <c r="M1078" s="11">
        <v>1137.42</v>
      </c>
      <c r="N1078" s="13">
        <v>0</v>
      </c>
      <c r="O1078" s="11">
        <v>0</v>
      </c>
      <c r="P1078" s="11">
        <v>0</v>
      </c>
      <c r="Q1078" s="11">
        <v>0</v>
      </c>
      <c r="R1078" s="11">
        <v>0</v>
      </c>
      <c r="S1078" s="14">
        <v>0</v>
      </c>
      <c r="T1078" s="11">
        <v>1137.42</v>
      </c>
      <c r="U1078" s="13" cm="1">
        <f t="array" ref="U1078">IF(Table8[[#This Row],[I_0]]&lt;Table24[Flitro de Ruido],1,Table8[[#This Row],[I_10]]/Table8[[#This Row],[I_0]])</f>
        <v>1</v>
      </c>
      <c r="V1078" s="13" cm="1">
        <f t="array" ref="V1078">IF(Table8[[#This Row],[I_0]]&lt;Table24[Flitro de Ruido],1,Table8[[#This Row],[I_20]]/Table8[[#This Row],[I_0]])</f>
        <v>1</v>
      </c>
      <c r="W1078" s="13" cm="1">
        <f t="array" ref="W1078">IF(Table8[[#This Row],[I_0]]&lt;Table24[Flitro de Ruido],1,Table8[[#This Row],[I_30]]/Table8[[#This Row],[I_0]])</f>
        <v>1</v>
      </c>
      <c r="X1078" s="13" cm="1">
        <f t="array" ref="X1078">IF(Table8[[#This Row],[I_0]]&lt;Table24[Flitro de Ruido],1,Table8[[#This Row],[I_40]]/Table8[[#This Row],[I_0]])</f>
        <v>1</v>
      </c>
      <c r="Y1078" s="13" cm="1">
        <f t="array" ref="Y1078">IF(Table8[[#This Row],[I_0]]&lt;Table24[Flitro de Ruido],1,Table8[[#This Row],[I_50]]/Table8[[#This Row],[I_0]])</f>
        <v>1</v>
      </c>
    </row>
    <row r="1079" spans="1:25" x14ac:dyDescent="0.3">
      <c r="A1079" s="13">
        <v>1138.4100000000001</v>
      </c>
      <c r="B1079" s="12">
        <v>0</v>
      </c>
      <c r="C1079" s="11">
        <v>1138.4100000000001</v>
      </c>
      <c r="D1079" s="12">
        <v>0</v>
      </c>
      <c r="E1079" s="11">
        <v>1138.4100000000001</v>
      </c>
      <c r="F1079" s="12">
        <v>0</v>
      </c>
      <c r="G1079" s="11">
        <v>1138.4100000000001</v>
      </c>
      <c r="H1079" s="12">
        <v>0</v>
      </c>
      <c r="I1079" s="11">
        <v>1138.4100000000001</v>
      </c>
      <c r="J1079" s="12">
        <v>0</v>
      </c>
      <c r="K1079" s="11">
        <v>1138.4100000000001</v>
      </c>
      <c r="L1079" s="12">
        <v>0</v>
      </c>
      <c r="M1079" s="11">
        <v>1138.4100000000001</v>
      </c>
      <c r="N1079" s="13">
        <v>0</v>
      </c>
      <c r="O1079" s="11">
        <v>0</v>
      </c>
      <c r="P1079" s="11">
        <v>0</v>
      </c>
      <c r="Q1079" s="11">
        <v>0</v>
      </c>
      <c r="R1079" s="11">
        <v>0</v>
      </c>
      <c r="S1079" s="14">
        <v>0</v>
      </c>
      <c r="T1079" s="11">
        <v>1138.4100000000001</v>
      </c>
      <c r="U1079" s="13" cm="1">
        <f t="array" ref="U1079">IF(Table8[[#This Row],[I_0]]&lt;Table24[Flitro de Ruido],1,Table8[[#This Row],[I_10]]/Table8[[#This Row],[I_0]])</f>
        <v>1</v>
      </c>
      <c r="V1079" s="13" cm="1">
        <f t="array" ref="V1079">IF(Table8[[#This Row],[I_0]]&lt;Table24[Flitro de Ruido],1,Table8[[#This Row],[I_20]]/Table8[[#This Row],[I_0]])</f>
        <v>1</v>
      </c>
      <c r="W1079" s="13" cm="1">
        <f t="array" ref="W1079">IF(Table8[[#This Row],[I_0]]&lt;Table24[Flitro de Ruido],1,Table8[[#This Row],[I_30]]/Table8[[#This Row],[I_0]])</f>
        <v>1</v>
      </c>
      <c r="X1079" s="13" cm="1">
        <f t="array" ref="X1079">IF(Table8[[#This Row],[I_0]]&lt;Table24[Flitro de Ruido],1,Table8[[#This Row],[I_40]]/Table8[[#This Row],[I_0]])</f>
        <v>1</v>
      </c>
      <c r="Y1079" s="13" cm="1">
        <f t="array" ref="Y1079">IF(Table8[[#This Row],[I_0]]&lt;Table24[Flitro de Ruido],1,Table8[[#This Row],[I_50]]/Table8[[#This Row],[I_0]])</f>
        <v>1</v>
      </c>
    </row>
    <row r="1080" spans="1:25" x14ac:dyDescent="0.3">
      <c r="A1080" s="13">
        <v>1139.4000000000001</v>
      </c>
      <c r="B1080" s="12">
        <v>0</v>
      </c>
      <c r="C1080" s="11">
        <v>1139.4000000000001</v>
      </c>
      <c r="D1080" s="12">
        <v>0</v>
      </c>
      <c r="E1080" s="11">
        <v>1139.4000000000001</v>
      </c>
      <c r="F1080" s="12">
        <v>0</v>
      </c>
      <c r="G1080" s="11">
        <v>1139.4000000000001</v>
      </c>
      <c r="H1080" s="12">
        <v>0</v>
      </c>
      <c r="I1080" s="11">
        <v>1139.4000000000001</v>
      </c>
      <c r="J1080" s="12">
        <v>0</v>
      </c>
      <c r="K1080" s="11">
        <v>1139.4000000000001</v>
      </c>
      <c r="L1080" s="12">
        <v>0</v>
      </c>
      <c r="M1080" s="11">
        <v>1139.4000000000001</v>
      </c>
      <c r="N1080" s="13">
        <v>0</v>
      </c>
      <c r="O1080" s="11">
        <v>0</v>
      </c>
      <c r="P1080" s="11">
        <v>0</v>
      </c>
      <c r="Q1080" s="11">
        <v>0</v>
      </c>
      <c r="R1080" s="11">
        <v>0</v>
      </c>
      <c r="S1080" s="14">
        <v>0</v>
      </c>
      <c r="T1080" s="11">
        <v>1139.4000000000001</v>
      </c>
      <c r="U1080" s="13" cm="1">
        <f t="array" ref="U1080">IF(Table8[[#This Row],[I_0]]&lt;Table24[Flitro de Ruido],1,Table8[[#This Row],[I_10]]/Table8[[#This Row],[I_0]])</f>
        <v>1</v>
      </c>
      <c r="V1080" s="13" cm="1">
        <f t="array" ref="V1080">IF(Table8[[#This Row],[I_0]]&lt;Table24[Flitro de Ruido],1,Table8[[#This Row],[I_20]]/Table8[[#This Row],[I_0]])</f>
        <v>1</v>
      </c>
      <c r="W1080" s="13" cm="1">
        <f t="array" ref="W1080">IF(Table8[[#This Row],[I_0]]&lt;Table24[Flitro de Ruido],1,Table8[[#This Row],[I_30]]/Table8[[#This Row],[I_0]])</f>
        <v>1</v>
      </c>
      <c r="X1080" s="13" cm="1">
        <f t="array" ref="X1080">IF(Table8[[#This Row],[I_0]]&lt;Table24[Flitro de Ruido],1,Table8[[#This Row],[I_40]]/Table8[[#This Row],[I_0]])</f>
        <v>1</v>
      </c>
      <c r="Y1080" s="13" cm="1">
        <f t="array" ref="Y1080">IF(Table8[[#This Row],[I_0]]&lt;Table24[Flitro de Ruido],1,Table8[[#This Row],[I_50]]/Table8[[#This Row],[I_0]])</f>
        <v>1</v>
      </c>
    </row>
    <row r="1081" spans="1:25" x14ac:dyDescent="0.3">
      <c r="A1081" s="13">
        <v>1140.3900000000001</v>
      </c>
      <c r="B1081" s="12">
        <v>0</v>
      </c>
      <c r="C1081" s="11">
        <v>1140.3900000000001</v>
      </c>
      <c r="D1081" s="12">
        <v>0</v>
      </c>
      <c r="E1081" s="11">
        <v>1140.3900000000001</v>
      </c>
      <c r="F1081" s="12">
        <v>0</v>
      </c>
      <c r="G1081" s="11">
        <v>1140.3900000000001</v>
      </c>
      <c r="H1081" s="12">
        <v>0</v>
      </c>
      <c r="I1081" s="11">
        <v>1140.3900000000001</v>
      </c>
      <c r="J1081" s="12">
        <v>0</v>
      </c>
      <c r="K1081" s="11">
        <v>1140.3900000000001</v>
      </c>
      <c r="L1081" s="12">
        <v>0</v>
      </c>
      <c r="M1081" s="11">
        <v>1140.3900000000001</v>
      </c>
      <c r="N1081" s="13">
        <v>0</v>
      </c>
      <c r="O1081" s="11">
        <v>0</v>
      </c>
      <c r="P1081" s="11">
        <v>0</v>
      </c>
      <c r="Q1081" s="11">
        <v>0</v>
      </c>
      <c r="R1081" s="11">
        <v>0</v>
      </c>
      <c r="S1081" s="14">
        <v>0</v>
      </c>
      <c r="T1081" s="11">
        <v>1140.3900000000001</v>
      </c>
      <c r="U1081" s="13" cm="1">
        <f t="array" ref="U1081">IF(Table8[[#This Row],[I_0]]&lt;Table24[Flitro de Ruido],1,Table8[[#This Row],[I_10]]/Table8[[#This Row],[I_0]])</f>
        <v>1</v>
      </c>
      <c r="V1081" s="13" cm="1">
        <f t="array" ref="V1081">IF(Table8[[#This Row],[I_0]]&lt;Table24[Flitro de Ruido],1,Table8[[#This Row],[I_20]]/Table8[[#This Row],[I_0]])</f>
        <v>1</v>
      </c>
      <c r="W1081" s="13" cm="1">
        <f t="array" ref="W1081">IF(Table8[[#This Row],[I_0]]&lt;Table24[Flitro de Ruido],1,Table8[[#This Row],[I_30]]/Table8[[#This Row],[I_0]])</f>
        <v>1</v>
      </c>
      <c r="X1081" s="13" cm="1">
        <f t="array" ref="X1081">IF(Table8[[#This Row],[I_0]]&lt;Table24[Flitro de Ruido],1,Table8[[#This Row],[I_40]]/Table8[[#This Row],[I_0]])</f>
        <v>1</v>
      </c>
      <c r="Y1081" s="13" cm="1">
        <f t="array" ref="Y1081">IF(Table8[[#This Row],[I_0]]&lt;Table24[Flitro de Ruido],1,Table8[[#This Row],[I_50]]/Table8[[#This Row],[I_0]])</f>
        <v>1</v>
      </c>
    </row>
    <row r="1082" spans="1:25" x14ac:dyDescent="0.3">
      <c r="A1082" s="13">
        <v>1141.3900000000001</v>
      </c>
      <c r="B1082" s="12">
        <v>0</v>
      </c>
      <c r="C1082" s="11">
        <v>1141.3900000000001</v>
      </c>
      <c r="D1082" s="12">
        <v>0</v>
      </c>
      <c r="E1082" s="11">
        <v>1141.3900000000001</v>
      </c>
      <c r="F1082" s="12">
        <v>0</v>
      </c>
      <c r="G1082" s="11">
        <v>1141.3900000000001</v>
      </c>
      <c r="H1082" s="12">
        <v>0</v>
      </c>
      <c r="I1082" s="11">
        <v>1141.3900000000001</v>
      </c>
      <c r="J1082" s="12">
        <v>0</v>
      </c>
      <c r="K1082" s="11">
        <v>1141.3900000000001</v>
      </c>
      <c r="L1082" s="12">
        <v>0</v>
      </c>
      <c r="M1082" s="11">
        <v>1141.3900000000001</v>
      </c>
      <c r="N1082" s="13">
        <v>0</v>
      </c>
      <c r="O1082" s="11">
        <v>0</v>
      </c>
      <c r="P1082" s="11">
        <v>0</v>
      </c>
      <c r="Q1082" s="11">
        <v>0</v>
      </c>
      <c r="R1082" s="11">
        <v>0</v>
      </c>
      <c r="S1082" s="14">
        <v>0</v>
      </c>
      <c r="T1082" s="11">
        <v>1141.3900000000001</v>
      </c>
      <c r="U1082" s="13" cm="1">
        <f t="array" ref="U1082">IF(Table8[[#This Row],[I_0]]&lt;Table24[Flitro de Ruido],1,Table8[[#This Row],[I_10]]/Table8[[#This Row],[I_0]])</f>
        <v>1</v>
      </c>
      <c r="V1082" s="13" cm="1">
        <f t="array" ref="V1082">IF(Table8[[#This Row],[I_0]]&lt;Table24[Flitro de Ruido],1,Table8[[#This Row],[I_20]]/Table8[[#This Row],[I_0]])</f>
        <v>1</v>
      </c>
      <c r="W1082" s="13" cm="1">
        <f t="array" ref="W1082">IF(Table8[[#This Row],[I_0]]&lt;Table24[Flitro de Ruido],1,Table8[[#This Row],[I_30]]/Table8[[#This Row],[I_0]])</f>
        <v>1</v>
      </c>
      <c r="X1082" s="13" cm="1">
        <f t="array" ref="X1082">IF(Table8[[#This Row],[I_0]]&lt;Table24[Flitro de Ruido],1,Table8[[#This Row],[I_40]]/Table8[[#This Row],[I_0]])</f>
        <v>1</v>
      </c>
      <c r="Y1082" s="13" cm="1">
        <f t="array" ref="Y1082">IF(Table8[[#This Row],[I_0]]&lt;Table24[Flitro de Ruido],1,Table8[[#This Row],[I_50]]/Table8[[#This Row],[I_0]])</f>
        <v>1</v>
      </c>
    </row>
    <row r="1083" spans="1:25" x14ac:dyDescent="0.3">
      <c r="A1083" s="13">
        <v>1142.3800000000001</v>
      </c>
      <c r="B1083" s="12">
        <v>0</v>
      </c>
      <c r="C1083" s="11">
        <v>1142.3800000000001</v>
      </c>
      <c r="D1083" s="12">
        <v>0</v>
      </c>
      <c r="E1083" s="11">
        <v>1142.3800000000001</v>
      </c>
      <c r="F1083" s="12">
        <v>0</v>
      </c>
      <c r="G1083" s="11">
        <v>1142.3800000000001</v>
      </c>
      <c r="H1083" s="12">
        <v>0</v>
      </c>
      <c r="I1083" s="11">
        <v>1142.3800000000001</v>
      </c>
      <c r="J1083" s="12">
        <v>0</v>
      </c>
      <c r="K1083" s="11">
        <v>1142.3800000000001</v>
      </c>
      <c r="L1083" s="12">
        <v>0</v>
      </c>
      <c r="M1083" s="11">
        <v>1142.3800000000001</v>
      </c>
      <c r="N1083" s="13">
        <v>0</v>
      </c>
      <c r="O1083" s="11">
        <v>0</v>
      </c>
      <c r="P1083" s="11">
        <v>0</v>
      </c>
      <c r="Q1083" s="11">
        <v>0</v>
      </c>
      <c r="R1083" s="11">
        <v>0</v>
      </c>
      <c r="S1083" s="14">
        <v>0</v>
      </c>
      <c r="T1083" s="11">
        <v>1142.3800000000001</v>
      </c>
      <c r="U1083" s="13" cm="1">
        <f t="array" ref="U1083">IF(Table8[[#This Row],[I_0]]&lt;Table24[Flitro de Ruido],1,Table8[[#This Row],[I_10]]/Table8[[#This Row],[I_0]])</f>
        <v>1</v>
      </c>
      <c r="V1083" s="13" cm="1">
        <f t="array" ref="V1083">IF(Table8[[#This Row],[I_0]]&lt;Table24[Flitro de Ruido],1,Table8[[#This Row],[I_20]]/Table8[[#This Row],[I_0]])</f>
        <v>1</v>
      </c>
      <c r="W1083" s="13" cm="1">
        <f t="array" ref="W1083">IF(Table8[[#This Row],[I_0]]&lt;Table24[Flitro de Ruido],1,Table8[[#This Row],[I_30]]/Table8[[#This Row],[I_0]])</f>
        <v>1</v>
      </c>
      <c r="X1083" s="13" cm="1">
        <f t="array" ref="X1083">IF(Table8[[#This Row],[I_0]]&lt;Table24[Flitro de Ruido],1,Table8[[#This Row],[I_40]]/Table8[[#This Row],[I_0]])</f>
        <v>1</v>
      </c>
      <c r="Y1083" s="13" cm="1">
        <f t="array" ref="Y1083">IF(Table8[[#This Row],[I_0]]&lt;Table24[Flitro de Ruido],1,Table8[[#This Row],[I_50]]/Table8[[#This Row],[I_0]])</f>
        <v>1</v>
      </c>
    </row>
    <row r="1084" spans="1:25" x14ac:dyDescent="0.3">
      <c r="A1084" s="13">
        <v>1143.3699999999999</v>
      </c>
      <c r="B1084" s="12">
        <v>0</v>
      </c>
      <c r="C1084" s="11">
        <v>1143.3699999999999</v>
      </c>
      <c r="D1084" s="12">
        <v>0</v>
      </c>
      <c r="E1084" s="11">
        <v>1143.3699999999999</v>
      </c>
      <c r="F1084" s="12">
        <v>0</v>
      </c>
      <c r="G1084" s="11">
        <v>1143.3699999999999</v>
      </c>
      <c r="H1084" s="12">
        <v>0</v>
      </c>
      <c r="I1084" s="11">
        <v>1143.3699999999999</v>
      </c>
      <c r="J1084" s="12">
        <v>0</v>
      </c>
      <c r="K1084" s="11">
        <v>1143.3699999999999</v>
      </c>
      <c r="L1084" s="12">
        <v>0</v>
      </c>
      <c r="M1084" s="11">
        <v>1143.3699999999999</v>
      </c>
      <c r="N1084" s="13">
        <v>0</v>
      </c>
      <c r="O1084" s="11">
        <v>0</v>
      </c>
      <c r="P1084" s="11">
        <v>0</v>
      </c>
      <c r="Q1084" s="11">
        <v>0</v>
      </c>
      <c r="R1084" s="11">
        <v>0</v>
      </c>
      <c r="S1084" s="14">
        <v>0</v>
      </c>
      <c r="T1084" s="11">
        <v>1143.3699999999999</v>
      </c>
      <c r="U1084" s="13" cm="1">
        <f t="array" ref="U1084">IF(Table8[[#This Row],[I_0]]&lt;Table24[Flitro de Ruido],1,Table8[[#This Row],[I_10]]/Table8[[#This Row],[I_0]])</f>
        <v>1</v>
      </c>
      <c r="V1084" s="13" cm="1">
        <f t="array" ref="V1084">IF(Table8[[#This Row],[I_0]]&lt;Table24[Flitro de Ruido],1,Table8[[#This Row],[I_20]]/Table8[[#This Row],[I_0]])</f>
        <v>1</v>
      </c>
      <c r="W1084" s="13" cm="1">
        <f t="array" ref="W1084">IF(Table8[[#This Row],[I_0]]&lt;Table24[Flitro de Ruido],1,Table8[[#This Row],[I_30]]/Table8[[#This Row],[I_0]])</f>
        <v>1</v>
      </c>
      <c r="X1084" s="13" cm="1">
        <f t="array" ref="X1084">IF(Table8[[#This Row],[I_0]]&lt;Table24[Flitro de Ruido],1,Table8[[#This Row],[I_40]]/Table8[[#This Row],[I_0]])</f>
        <v>1</v>
      </c>
      <c r="Y1084" s="13" cm="1">
        <f t="array" ref="Y1084">IF(Table8[[#This Row],[I_0]]&lt;Table24[Flitro de Ruido],1,Table8[[#This Row],[I_50]]/Table8[[#This Row],[I_0]])</f>
        <v>1</v>
      </c>
    </row>
    <row r="1085" spans="1:25" x14ac:dyDescent="0.3">
      <c r="A1085" s="13">
        <v>1144.3599999999999</v>
      </c>
      <c r="B1085" s="12">
        <v>0</v>
      </c>
      <c r="C1085" s="11">
        <v>1144.3599999999999</v>
      </c>
      <c r="D1085" s="12">
        <v>0</v>
      </c>
      <c r="E1085" s="11">
        <v>1144.3599999999999</v>
      </c>
      <c r="F1085" s="12">
        <v>0</v>
      </c>
      <c r="G1085" s="11">
        <v>1144.3599999999999</v>
      </c>
      <c r="H1085" s="12">
        <v>0</v>
      </c>
      <c r="I1085" s="11">
        <v>1144.3599999999999</v>
      </c>
      <c r="J1085" s="12">
        <v>0</v>
      </c>
      <c r="K1085" s="11">
        <v>1144.3599999999999</v>
      </c>
      <c r="L1085" s="12">
        <v>0</v>
      </c>
      <c r="M1085" s="11">
        <v>1144.3599999999999</v>
      </c>
      <c r="N1085" s="13">
        <v>0</v>
      </c>
      <c r="O1085" s="11">
        <v>0</v>
      </c>
      <c r="P1085" s="11">
        <v>0</v>
      </c>
      <c r="Q1085" s="11">
        <v>0</v>
      </c>
      <c r="R1085" s="11">
        <v>0</v>
      </c>
      <c r="S1085" s="14">
        <v>0</v>
      </c>
      <c r="T1085" s="11">
        <v>1144.3599999999999</v>
      </c>
      <c r="U1085" s="13" cm="1">
        <f t="array" ref="U1085">IF(Table8[[#This Row],[I_0]]&lt;Table24[Flitro de Ruido],1,Table8[[#This Row],[I_10]]/Table8[[#This Row],[I_0]])</f>
        <v>1</v>
      </c>
      <c r="V1085" s="13" cm="1">
        <f t="array" ref="V1085">IF(Table8[[#This Row],[I_0]]&lt;Table24[Flitro de Ruido],1,Table8[[#This Row],[I_20]]/Table8[[#This Row],[I_0]])</f>
        <v>1</v>
      </c>
      <c r="W1085" s="13" cm="1">
        <f t="array" ref="W1085">IF(Table8[[#This Row],[I_0]]&lt;Table24[Flitro de Ruido],1,Table8[[#This Row],[I_30]]/Table8[[#This Row],[I_0]])</f>
        <v>1</v>
      </c>
      <c r="X1085" s="13" cm="1">
        <f t="array" ref="X1085">IF(Table8[[#This Row],[I_0]]&lt;Table24[Flitro de Ruido],1,Table8[[#This Row],[I_40]]/Table8[[#This Row],[I_0]])</f>
        <v>1</v>
      </c>
      <c r="Y1085" s="13" cm="1">
        <f t="array" ref="Y1085">IF(Table8[[#This Row],[I_0]]&lt;Table24[Flitro de Ruido],1,Table8[[#This Row],[I_50]]/Table8[[#This Row],[I_0]])</f>
        <v>1</v>
      </c>
    </row>
    <row r="1086" spans="1:25" x14ac:dyDescent="0.3">
      <c r="A1086" s="13">
        <v>1145.3499999999999</v>
      </c>
      <c r="B1086" s="12">
        <v>0</v>
      </c>
      <c r="C1086" s="11">
        <v>1145.3499999999999</v>
      </c>
      <c r="D1086" s="12">
        <v>0</v>
      </c>
      <c r="E1086" s="11">
        <v>1145.3499999999999</v>
      </c>
      <c r="F1086" s="12">
        <v>0</v>
      </c>
      <c r="G1086" s="11">
        <v>1145.3499999999999</v>
      </c>
      <c r="H1086" s="12">
        <v>0</v>
      </c>
      <c r="I1086" s="11">
        <v>1145.3499999999999</v>
      </c>
      <c r="J1086" s="12">
        <v>0</v>
      </c>
      <c r="K1086" s="11">
        <v>1145.3499999999999</v>
      </c>
      <c r="L1086" s="12">
        <v>0</v>
      </c>
      <c r="M1086" s="11">
        <v>1145.3499999999999</v>
      </c>
      <c r="N1086" s="13">
        <v>0</v>
      </c>
      <c r="O1086" s="11">
        <v>0</v>
      </c>
      <c r="P1086" s="11">
        <v>0</v>
      </c>
      <c r="Q1086" s="11">
        <v>0</v>
      </c>
      <c r="R1086" s="11">
        <v>0</v>
      </c>
      <c r="S1086" s="14">
        <v>0</v>
      </c>
      <c r="T1086" s="11">
        <v>1145.3499999999999</v>
      </c>
      <c r="U1086" s="13" cm="1">
        <f t="array" ref="U1086">IF(Table8[[#This Row],[I_0]]&lt;Table24[Flitro de Ruido],1,Table8[[#This Row],[I_10]]/Table8[[#This Row],[I_0]])</f>
        <v>1</v>
      </c>
      <c r="V1086" s="13" cm="1">
        <f t="array" ref="V1086">IF(Table8[[#This Row],[I_0]]&lt;Table24[Flitro de Ruido],1,Table8[[#This Row],[I_20]]/Table8[[#This Row],[I_0]])</f>
        <v>1</v>
      </c>
      <c r="W1086" s="13" cm="1">
        <f t="array" ref="W1086">IF(Table8[[#This Row],[I_0]]&lt;Table24[Flitro de Ruido],1,Table8[[#This Row],[I_30]]/Table8[[#This Row],[I_0]])</f>
        <v>1</v>
      </c>
      <c r="X1086" s="13" cm="1">
        <f t="array" ref="X1086">IF(Table8[[#This Row],[I_0]]&lt;Table24[Flitro de Ruido],1,Table8[[#This Row],[I_40]]/Table8[[#This Row],[I_0]])</f>
        <v>1</v>
      </c>
      <c r="Y1086" s="13" cm="1">
        <f t="array" ref="Y1086">IF(Table8[[#This Row],[I_0]]&lt;Table24[Flitro de Ruido],1,Table8[[#This Row],[I_50]]/Table8[[#This Row],[I_0]])</f>
        <v>1</v>
      </c>
    </row>
    <row r="1087" spans="1:25" x14ac:dyDescent="0.3">
      <c r="A1087" s="13">
        <v>1146.3399999999999</v>
      </c>
      <c r="B1087" s="12">
        <v>0</v>
      </c>
      <c r="C1087" s="11">
        <v>1146.3399999999999</v>
      </c>
      <c r="D1087" s="12">
        <v>0</v>
      </c>
      <c r="E1087" s="11">
        <v>1146.3399999999999</v>
      </c>
      <c r="F1087" s="12">
        <v>0</v>
      </c>
      <c r="G1087" s="11">
        <v>1146.3399999999999</v>
      </c>
      <c r="H1087" s="12">
        <v>0</v>
      </c>
      <c r="I1087" s="11">
        <v>1146.3399999999999</v>
      </c>
      <c r="J1087" s="12">
        <v>0</v>
      </c>
      <c r="K1087" s="11">
        <v>1146.3399999999999</v>
      </c>
      <c r="L1087" s="12">
        <v>0</v>
      </c>
      <c r="M1087" s="11">
        <v>1146.3399999999999</v>
      </c>
      <c r="N1087" s="13">
        <v>0</v>
      </c>
      <c r="O1087" s="11">
        <v>0</v>
      </c>
      <c r="P1087" s="11">
        <v>0</v>
      </c>
      <c r="Q1087" s="11">
        <v>0</v>
      </c>
      <c r="R1087" s="11">
        <v>0</v>
      </c>
      <c r="S1087" s="14">
        <v>0</v>
      </c>
      <c r="T1087" s="11">
        <v>1146.3399999999999</v>
      </c>
      <c r="U1087" s="13" cm="1">
        <f t="array" ref="U1087">IF(Table8[[#This Row],[I_0]]&lt;Table24[Flitro de Ruido],1,Table8[[#This Row],[I_10]]/Table8[[#This Row],[I_0]])</f>
        <v>1</v>
      </c>
      <c r="V1087" s="13" cm="1">
        <f t="array" ref="V1087">IF(Table8[[#This Row],[I_0]]&lt;Table24[Flitro de Ruido],1,Table8[[#This Row],[I_20]]/Table8[[#This Row],[I_0]])</f>
        <v>1</v>
      </c>
      <c r="W1087" s="13" cm="1">
        <f t="array" ref="W1087">IF(Table8[[#This Row],[I_0]]&lt;Table24[Flitro de Ruido],1,Table8[[#This Row],[I_30]]/Table8[[#This Row],[I_0]])</f>
        <v>1</v>
      </c>
      <c r="X1087" s="13" cm="1">
        <f t="array" ref="X1087">IF(Table8[[#This Row],[I_0]]&lt;Table24[Flitro de Ruido],1,Table8[[#This Row],[I_40]]/Table8[[#This Row],[I_0]])</f>
        <v>1</v>
      </c>
      <c r="Y1087" s="13" cm="1">
        <f t="array" ref="Y1087">IF(Table8[[#This Row],[I_0]]&lt;Table24[Flitro de Ruido],1,Table8[[#This Row],[I_50]]/Table8[[#This Row],[I_0]])</f>
        <v>1</v>
      </c>
    </row>
    <row r="1088" spans="1:25" x14ac:dyDescent="0.3">
      <c r="A1088" s="13">
        <v>1147.3399999999999</v>
      </c>
      <c r="B1088" s="12">
        <v>0</v>
      </c>
      <c r="C1088" s="11">
        <v>1147.3399999999999</v>
      </c>
      <c r="D1088" s="12">
        <v>0</v>
      </c>
      <c r="E1088" s="11">
        <v>1147.3399999999999</v>
      </c>
      <c r="F1088" s="12">
        <v>0</v>
      </c>
      <c r="G1088" s="11">
        <v>1147.3399999999999</v>
      </c>
      <c r="H1088" s="12">
        <v>0</v>
      </c>
      <c r="I1088" s="11">
        <v>1147.3399999999999</v>
      </c>
      <c r="J1088" s="12">
        <v>0</v>
      </c>
      <c r="K1088" s="11">
        <v>1147.3399999999999</v>
      </c>
      <c r="L1088" s="12">
        <v>0</v>
      </c>
      <c r="M1088" s="11">
        <v>1147.3399999999999</v>
      </c>
      <c r="N1088" s="13">
        <v>0</v>
      </c>
      <c r="O1088" s="11">
        <v>0</v>
      </c>
      <c r="P1088" s="11">
        <v>0</v>
      </c>
      <c r="Q1088" s="11">
        <v>0</v>
      </c>
      <c r="R1088" s="11">
        <v>0</v>
      </c>
      <c r="S1088" s="14">
        <v>0</v>
      </c>
      <c r="T1088" s="11">
        <v>1147.3399999999999</v>
      </c>
      <c r="U1088" s="13" cm="1">
        <f t="array" ref="U1088">IF(Table8[[#This Row],[I_0]]&lt;Table24[Flitro de Ruido],1,Table8[[#This Row],[I_10]]/Table8[[#This Row],[I_0]])</f>
        <v>1</v>
      </c>
      <c r="V1088" s="13" cm="1">
        <f t="array" ref="V1088">IF(Table8[[#This Row],[I_0]]&lt;Table24[Flitro de Ruido],1,Table8[[#This Row],[I_20]]/Table8[[#This Row],[I_0]])</f>
        <v>1</v>
      </c>
      <c r="W1088" s="13" cm="1">
        <f t="array" ref="W1088">IF(Table8[[#This Row],[I_0]]&lt;Table24[Flitro de Ruido],1,Table8[[#This Row],[I_30]]/Table8[[#This Row],[I_0]])</f>
        <v>1</v>
      </c>
      <c r="X1088" s="13" cm="1">
        <f t="array" ref="X1088">IF(Table8[[#This Row],[I_0]]&lt;Table24[Flitro de Ruido],1,Table8[[#This Row],[I_40]]/Table8[[#This Row],[I_0]])</f>
        <v>1</v>
      </c>
      <c r="Y1088" s="13" cm="1">
        <f t="array" ref="Y1088">IF(Table8[[#This Row],[I_0]]&lt;Table24[Flitro de Ruido],1,Table8[[#This Row],[I_50]]/Table8[[#This Row],[I_0]])</f>
        <v>1</v>
      </c>
    </row>
    <row r="1089" spans="1:25" x14ac:dyDescent="0.3">
      <c r="A1089" s="13">
        <v>1148.33</v>
      </c>
      <c r="B1089" s="12">
        <v>0</v>
      </c>
      <c r="C1089" s="11">
        <v>1148.33</v>
      </c>
      <c r="D1089" s="12">
        <v>0</v>
      </c>
      <c r="E1089" s="11">
        <v>1148.33</v>
      </c>
      <c r="F1089" s="12">
        <v>0</v>
      </c>
      <c r="G1089" s="11">
        <v>1148.33</v>
      </c>
      <c r="H1089" s="12">
        <v>0</v>
      </c>
      <c r="I1089" s="11">
        <v>1148.33</v>
      </c>
      <c r="J1089" s="12">
        <v>0</v>
      </c>
      <c r="K1089" s="11">
        <v>1148.33</v>
      </c>
      <c r="L1089" s="12">
        <v>0</v>
      </c>
      <c r="M1089" s="11">
        <v>1148.33</v>
      </c>
      <c r="N1089" s="13">
        <v>0</v>
      </c>
      <c r="O1089" s="11">
        <v>0</v>
      </c>
      <c r="P1089" s="11">
        <v>0</v>
      </c>
      <c r="Q1089" s="11">
        <v>0</v>
      </c>
      <c r="R1089" s="11">
        <v>0</v>
      </c>
      <c r="S1089" s="14">
        <v>0</v>
      </c>
      <c r="T1089" s="11">
        <v>1148.33</v>
      </c>
      <c r="U1089" s="13" cm="1">
        <f t="array" ref="U1089">IF(Table8[[#This Row],[I_0]]&lt;Table24[Flitro de Ruido],1,Table8[[#This Row],[I_10]]/Table8[[#This Row],[I_0]])</f>
        <v>1</v>
      </c>
      <c r="V1089" s="13" cm="1">
        <f t="array" ref="V1089">IF(Table8[[#This Row],[I_0]]&lt;Table24[Flitro de Ruido],1,Table8[[#This Row],[I_20]]/Table8[[#This Row],[I_0]])</f>
        <v>1</v>
      </c>
      <c r="W1089" s="13" cm="1">
        <f t="array" ref="W1089">IF(Table8[[#This Row],[I_0]]&lt;Table24[Flitro de Ruido],1,Table8[[#This Row],[I_30]]/Table8[[#This Row],[I_0]])</f>
        <v>1</v>
      </c>
      <c r="X1089" s="13" cm="1">
        <f t="array" ref="X1089">IF(Table8[[#This Row],[I_0]]&lt;Table24[Flitro de Ruido],1,Table8[[#This Row],[I_40]]/Table8[[#This Row],[I_0]])</f>
        <v>1</v>
      </c>
      <c r="Y1089" s="13" cm="1">
        <f t="array" ref="Y1089">IF(Table8[[#This Row],[I_0]]&lt;Table24[Flitro de Ruido],1,Table8[[#This Row],[I_50]]/Table8[[#This Row],[I_0]])</f>
        <v>1</v>
      </c>
    </row>
    <row r="1090" spans="1:25" x14ac:dyDescent="0.3">
      <c r="A1090" s="13">
        <v>1149.32</v>
      </c>
      <c r="B1090" s="12">
        <v>0</v>
      </c>
      <c r="C1090" s="11">
        <v>1149.32</v>
      </c>
      <c r="D1090" s="12">
        <v>0</v>
      </c>
      <c r="E1090" s="11">
        <v>1149.32</v>
      </c>
      <c r="F1090" s="12">
        <v>0</v>
      </c>
      <c r="G1090" s="11">
        <v>1149.32</v>
      </c>
      <c r="H1090" s="12">
        <v>0</v>
      </c>
      <c r="I1090" s="11">
        <v>1149.32</v>
      </c>
      <c r="J1090" s="12">
        <v>0</v>
      </c>
      <c r="K1090" s="11">
        <v>1149.32</v>
      </c>
      <c r="L1090" s="12">
        <v>0</v>
      </c>
      <c r="M1090" s="11">
        <v>1149.32</v>
      </c>
      <c r="N1090" s="13">
        <v>0</v>
      </c>
      <c r="O1090" s="11">
        <v>0</v>
      </c>
      <c r="P1090" s="11">
        <v>0</v>
      </c>
      <c r="Q1090" s="11">
        <v>0</v>
      </c>
      <c r="R1090" s="11">
        <v>0</v>
      </c>
      <c r="S1090" s="14">
        <v>0</v>
      </c>
      <c r="T1090" s="11">
        <v>1149.32</v>
      </c>
      <c r="U1090" s="13" cm="1">
        <f t="array" ref="U1090">IF(Table8[[#This Row],[I_0]]&lt;Table24[Flitro de Ruido],1,Table8[[#This Row],[I_10]]/Table8[[#This Row],[I_0]])</f>
        <v>1</v>
      </c>
      <c r="V1090" s="13" cm="1">
        <f t="array" ref="V1090">IF(Table8[[#This Row],[I_0]]&lt;Table24[Flitro de Ruido],1,Table8[[#This Row],[I_20]]/Table8[[#This Row],[I_0]])</f>
        <v>1</v>
      </c>
      <c r="W1090" s="13" cm="1">
        <f t="array" ref="W1090">IF(Table8[[#This Row],[I_0]]&lt;Table24[Flitro de Ruido],1,Table8[[#This Row],[I_30]]/Table8[[#This Row],[I_0]])</f>
        <v>1</v>
      </c>
      <c r="X1090" s="13" cm="1">
        <f t="array" ref="X1090">IF(Table8[[#This Row],[I_0]]&lt;Table24[Flitro de Ruido],1,Table8[[#This Row],[I_40]]/Table8[[#This Row],[I_0]])</f>
        <v>1</v>
      </c>
      <c r="Y1090" s="13" cm="1">
        <f t="array" ref="Y1090">IF(Table8[[#This Row],[I_0]]&lt;Table24[Flitro de Ruido],1,Table8[[#This Row],[I_50]]/Table8[[#This Row],[I_0]])</f>
        <v>1</v>
      </c>
    </row>
    <row r="1091" spans="1:25" x14ac:dyDescent="0.3">
      <c r="A1091" s="13">
        <v>1150.31</v>
      </c>
      <c r="B1091" s="12">
        <v>0</v>
      </c>
      <c r="C1091" s="11">
        <v>1150.31</v>
      </c>
      <c r="D1091" s="12">
        <v>0</v>
      </c>
      <c r="E1091" s="11">
        <v>1150.31</v>
      </c>
      <c r="F1091" s="12">
        <v>0</v>
      </c>
      <c r="G1091" s="11">
        <v>1150.31</v>
      </c>
      <c r="H1091" s="12">
        <v>0</v>
      </c>
      <c r="I1091" s="11">
        <v>1150.31</v>
      </c>
      <c r="J1091" s="12">
        <v>0</v>
      </c>
      <c r="K1091" s="11">
        <v>1150.31</v>
      </c>
      <c r="L1091" s="12">
        <v>0</v>
      </c>
      <c r="M1091" s="11">
        <v>1150.31</v>
      </c>
      <c r="N1091" s="13">
        <v>0</v>
      </c>
      <c r="O1091" s="11">
        <v>0</v>
      </c>
      <c r="P1091" s="11">
        <v>0</v>
      </c>
      <c r="Q1091" s="11">
        <v>0</v>
      </c>
      <c r="R1091" s="11">
        <v>0</v>
      </c>
      <c r="S1091" s="14">
        <v>0</v>
      </c>
      <c r="T1091" s="11">
        <v>1150.31</v>
      </c>
      <c r="U1091" s="13" cm="1">
        <f t="array" ref="U1091">IF(Table8[[#This Row],[I_0]]&lt;Table24[Flitro de Ruido],1,Table8[[#This Row],[I_10]]/Table8[[#This Row],[I_0]])</f>
        <v>1</v>
      </c>
      <c r="V1091" s="13" cm="1">
        <f t="array" ref="V1091">IF(Table8[[#This Row],[I_0]]&lt;Table24[Flitro de Ruido],1,Table8[[#This Row],[I_20]]/Table8[[#This Row],[I_0]])</f>
        <v>1</v>
      </c>
      <c r="W1091" s="13" cm="1">
        <f t="array" ref="W1091">IF(Table8[[#This Row],[I_0]]&lt;Table24[Flitro de Ruido],1,Table8[[#This Row],[I_30]]/Table8[[#This Row],[I_0]])</f>
        <v>1</v>
      </c>
      <c r="X1091" s="13" cm="1">
        <f t="array" ref="X1091">IF(Table8[[#This Row],[I_0]]&lt;Table24[Flitro de Ruido],1,Table8[[#This Row],[I_40]]/Table8[[#This Row],[I_0]])</f>
        <v>1</v>
      </c>
      <c r="Y1091" s="13" cm="1">
        <f t="array" ref="Y1091">IF(Table8[[#This Row],[I_0]]&lt;Table24[Flitro de Ruido],1,Table8[[#This Row],[I_50]]/Table8[[#This Row],[I_0]])</f>
        <v>1</v>
      </c>
    </row>
    <row r="1092" spans="1:25" x14ac:dyDescent="0.3">
      <c r="A1092" s="13">
        <v>1151.3</v>
      </c>
      <c r="B1092" s="12">
        <v>0</v>
      </c>
      <c r="C1092" s="11">
        <v>1151.3</v>
      </c>
      <c r="D1092" s="12">
        <v>0</v>
      </c>
      <c r="E1092" s="11">
        <v>1151.3</v>
      </c>
      <c r="F1092" s="12">
        <v>0</v>
      </c>
      <c r="G1092" s="11">
        <v>1151.3</v>
      </c>
      <c r="H1092" s="12">
        <v>0</v>
      </c>
      <c r="I1092" s="11">
        <v>1151.3</v>
      </c>
      <c r="J1092" s="12">
        <v>0</v>
      </c>
      <c r="K1092" s="11">
        <v>1151.3</v>
      </c>
      <c r="L1092" s="12">
        <v>0</v>
      </c>
      <c r="M1092" s="11">
        <v>1151.3</v>
      </c>
      <c r="N1092" s="13">
        <v>0</v>
      </c>
      <c r="O1092" s="11">
        <v>0</v>
      </c>
      <c r="P1092" s="11">
        <v>0</v>
      </c>
      <c r="Q1092" s="11">
        <v>0</v>
      </c>
      <c r="R1092" s="11">
        <v>0</v>
      </c>
      <c r="S1092" s="14">
        <v>0</v>
      </c>
      <c r="T1092" s="11">
        <v>1151.3</v>
      </c>
      <c r="U1092" s="13" cm="1">
        <f t="array" ref="U1092">IF(Table8[[#This Row],[I_0]]&lt;Table24[Flitro de Ruido],1,Table8[[#This Row],[I_10]]/Table8[[#This Row],[I_0]])</f>
        <v>1</v>
      </c>
      <c r="V1092" s="13" cm="1">
        <f t="array" ref="V1092">IF(Table8[[#This Row],[I_0]]&lt;Table24[Flitro de Ruido],1,Table8[[#This Row],[I_20]]/Table8[[#This Row],[I_0]])</f>
        <v>1</v>
      </c>
      <c r="W1092" s="13" cm="1">
        <f t="array" ref="W1092">IF(Table8[[#This Row],[I_0]]&lt;Table24[Flitro de Ruido],1,Table8[[#This Row],[I_30]]/Table8[[#This Row],[I_0]])</f>
        <v>1</v>
      </c>
      <c r="X1092" s="13" cm="1">
        <f t="array" ref="X1092">IF(Table8[[#This Row],[I_0]]&lt;Table24[Flitro de Ruido],1,Table8[[#This Row],[I_40]]/Table8[[#This Row],[I_0]])</f>
        <v>1</v>
      </c>
      <c r="Y1092" s="13" cm="1">
        <f t="array" ref="Y1092">IF(Table8[[#This Row],[I_0]]&lt;Table24[Flitro de Ruido],1,Table8[[#This Row],[I_50]]/Table8[[#This Row],[I_0]])</f>
        <v>1</v>
      </c>
    </row>
    <row r="1093" spans="1:25" x14ac:dyDescent="0.3">
      <c r="A1093" s="13">
        <v>1152.3</v>
      </c>
      <c r="B1093" s="12">
        <v>0</v>
      </c>
      <c r="C1093" s="11">
        <v>1152.3</v>
      </c>
      <c r="D1093" s="12">
        <v>0</v>
      </c>
      <c r="E1093" s="11">
        <v>1152.3</v>
      </c>
      <c r="F1093" s="12">
        <v>0</v>
      </c>
      <c r="G1093" s="11">
        <v>1152.3</v>
      </c>
      <c r="H1093" s="12">
        <v>0</v>
      </c>
      <c r="I1093" s="11">
        <v>1152.3</v>
      </c>
      <c r="J1093" s="12">
        <v>0</v>
      </c>
      <c r="K1093" s="11">
        <v>1152.3</v>
      </c>
      <c r="L1093" s="12">
        <v>0</v>
      </c>
      <c r="M1093" s="11">
        <v>1152.3</v>
      </c>
      <c r="N1093" s="13">
        <v>0</v>
      </c>
      <c r="O1093" s="11">
        <v>0</v>
      </c>
      <c r="P1093" s="11">
        <v>0</v>
      </c>
      <c r="Q1093" s="11">
        <v>0</v>
      </c>
      <c r="R1093" s="11">
        <v>0</v>
      </c>
      <c r="S1093" s="14">
        <v>0</v>
      </c>
      <c r="T1093" s="11">
        <v>1152.3</v>
      </c>
      <c r="U1093" s="13" cm="1">
        <f t="array" ref="U1093">IF(Table8[[#This Row],[I_0]]&lt;Table24[Flitro de Ruido],1,Table8[[#This Row],[I_10]]/Table8[[#This Row],[I_0]])</f>
        <v>1</v>
      </c>
      <c r="V1093" s="13" cm="1">
        <f t="array" ref="V1093">IF(Table8[[#This Row],[I_0]]&lt;Table24[Flitro de Ruido],1,Table8[[#This Row],[I_20]]/Table8[[#This Row],[I_0]])</f>
        <v>1</v>
      </c>
      <c r="W1093" s="13" cm="1">
        <f t="array" ref="W1093">IF(Table8[[#This Row],[I_0]]&lt;Table24[Flitro de Ruido],1,Table8[[#This Row],[I_30]]/Table8[[#This Row],[I_0]])</f>
        <v>1</v>
      </c>
      <c r="X1093" s="13" cm="1">
        <f t="array" ref="X1093">IF(Table8[[#This Row],[I_0]]&lt;Table24[Flitro de Ruido],1,Table8[[#This Row],[I_40]]/Table8[[#This Row],[I_0]])</f>
        <v>1</v>
      </c>
      <c r="Y1093" s="13" cm="1">
        <f t="array" ref="Y1093">IF(Table8[[#This Row],[I_0]]&lt;Table24[Flitro de Ruido],1,Table8[[#This Row],[I_50]]/Table8[[#This Row],[I_0]])</f>
        <v>1</v>
      </c>
    </row>
    <row r="1094" spans="1:25" x14ac:dyDescent="0.3">
      <c r="A1094" s="13">
        <v>1153.29</v>
      </c>
      <c r="B1094" s="12">
        <v>0</v>
      </c>
      <c r="C1094" s="11">
        <v>1153.29</v>
      </c>
      <c r="D1094" s="12">
        <v>0</v>
      </c>
      <c r="E1094" s="11">
        <v>1153.29</v>
      </c>
      <c r="F1094" s="12">
        <v>0</v>
      </c>
      <c r="G1094" s="11">
        <v>1153.29</v>
      </c>
      <c r="H1094" s="12">
        <v>0</v>
      </c>
      <c r="I1094" s="11">
        <v>1153.29</v>
      </c>
      <c r="J1094" s="12">
        <v>0</v>
      </c>
      <c r="K1094" s="11">
        <v>1153.29</v>
      </c>
      <c r="L1094" s="12">
        <v>0</v>
      </c>
      <c r="M1094" s="11">
        <v>1153.29</v>
      </c>
      <c r="N1094" s="13">
        <v>0</v>
      </c>
      <c r="O1094" s="11">
        <v>0</v>
      </c>
      <c r="P1094" s="11">
        <v>0</v>
      </c>
      <c r="Q1094" s="11">
        <v>0</v>
      </c>
      <c r="R1094" s="11">
        <v>0</v>
      </c>
      <c r="S1094" s="14">
        <v>0</v>
      </c>
      <c r="T1094" s="11">
        <v>1153.29</v>
      </c>
      <c r="U1094" s="13" cm="1">
        <f t="array" ref="U1094">IF(Table8[[#This Row],[I_0]]&lt;Table24[Flitro de Ruido],1,Table8[[#This Row],[I_10]]/Table8[[#This Row],[I_0]])</f>
        <v>1</v>
      </c>
      <c r="V1094" s="13" cm="1">
        <f t="array" ref="V1094">IF(Table8[[#This Row],[I_0]]&lt;Table24[Flitro de Ruido],1,Table8[[#This Row],[I_20]]/Table8[[#This Row],[I_0]])</f>
        <v>1</v>
      </c>
      <c r="W1094" s="13" cm="1">
        <f t="array" ref="W1094">IF(Table8[[#This Row],[I_0]]&lt;Table24[Flitro de Ruido],1,Table8[[#This Row],[I_30]]/Table8[[#This Row],[I_0]])</f>
        <v>1</v>
      </c>
      <c r="X1094" s="13" cm="1">
        <f t="array" ref="X1094">IF(Table8[[#This Row],[I_0]]&lt;Table24[Flitro de Ruido],1,Table8[[#This Row],[I_40]]/Table8[[#This Row],[I_0]])</f>
        <v>1</v>
      </c>
      <c r="Y1094" s="13" cm="1">
        <f t="array" ref="Y1094">IF(Table8[[#This Row],[I_0]]&lt;Table24[Flitro de Ruido],1,Table8[[#This Row],[I_50]]/Table8[[#This Row],[I_0]])</f>
        <v>1</v>
      </c>
    </row>
    <row r="1095" spans="1:25" x14ac:dyDescent="0.3">
      <c r="A1095" s="13">
        <v>1154.28</v>
      </c>
      <c r="B1095" s="12">
        <v>0</v>
      </c>
      <c r="C1095" s="11">
        <v>1154.28</v>
      </c>
      <c r="D1095" s="12">
        <v>0</v>
      </c>
      <c r="E1095" s="11">
        <v>1154.28</v>
      </c>
      <c r="F1095" s="12">
        <v>0</v>
      </c>
      <c r="G1095" s="11">
        <v>1154.28</v>
      </c>
      <c r="H1095" s="12">
        <v>0</v>
      </c>
      <c r="I1095" s="11">
        <v>1154.28</v>
      </c>
      <c r="J1095" s="12">
        <v>0</v>
      </c>
      <c r="K1095" s="11">
        <v>1154.28</v>
      </c>
      <c r="L1095" s="12">
        <v>0</v>
      </c>
      <c r="M1095" s="11">
        <v>1154.28</v>
      </c>
      <c r="N1095" s="13">
        <v>0</v>
      </c>
      <c r="O1095" s="11">
        <v>0</v>
      </c>
      <c r="P1095" s="11">
        <v>0</v>
      </c>
      <c r="Q1095" s="11">
        <v>0</v>
      </c>
      <c r="R1095" s="11">
        <v>0</v>
      </c>
      <c r="S1095" s="14">
        <v>0</v>
      </c>
      <c r="T1095" s="11">
        <v>1154.28</v>
      </c>
      <c r="U1095" s="13" cm="1">
        <f t="array" ref="U1095">IF(Table8[[#This Row],[I_0]]&lt;Table24[Flitro de Ruido],1,Table8[[#This Row],[I_10]]/Table8[[#This Row],[I_0]])</f>
        <v>1</v>
      </c>
      <c r="V1095" s="13" cm="1">
        <f t="array" ref="V1095">IF(Table8[[#This Row],[I_0]]&lt;Table24[Flitro de Ruido],1,Table8[[#This Row],[I_20]]/Table8[[#This Row],[I_0]])</f>
        <v>1</v>
      </c>
      <c r="W1095" s="13" cm="1">
        <f t="array" ref="W1095">IF(Table8[[#This Row],[I_0]]&lt;Table24[Flitro de Ruido],1,Table8[[#This Row],[I_30]]/Table8[[#This Row],[I_0]])</f>
        <v>1</v>
      </c>
      <c r="X1095" s="13" cm="1">
        <f t="array" ref="X1095">IF(Table8[[#This Row],[I_0]]&lt;Table24[Flitro de Ruido],1,Table8[[#This Row],[I_40]]/Table8[[#This Row],[I_0]])</f>
        <v>1</v>
      </c>
      <c r="Y1095" s="13" cm="1">
        <f t="array" ref="Y1095">IF(Table8[[#This Row],[I_0]]&lt;Table24[Flitro de Ruido],1,Table8[[#This Row],[I_50]]/Table8[[#This Row],[I_0]])</f>
        <v>1</v>
      </c>
    </row>
    <row r="1096" spans="1:25" x14ac:dyDescent="0.3">
      <c r="A1096" s="13">
        <v>1155.27</v>
      </c>
      <c r="B1096" s="12">
        <v>0</v>
      </c>
      <c r="C1096" s="11">
        <v>1155.27</v>
      </c>
      <c r="D1096" s="12">
        <v>0</v>
      </c>
      <c r="E1096" s="11">
        <v>1155.27</v>
      </c>
      <c r="F1096" s="12">
        <v>0</v>
      </c>
      <c r="G1096" s="11">
        <v>1155.27</v>
      </c>
      <c r="H1096" s="12">
        <v>0</v>
      </c>
      <c r="I1096" s="11">
        <v>1155.27</v>
      </c>
      <c r="J1096" s="12">
        <v>0</v>
      </c>
      <c r="K1096" s="11">
        <v>1155.27</v>
      </c>
      <c r="L1096" s="12">
        <v>0</v>
      </c>
      <c r="M1096" s="11">
        <v>1155.27</v>
      </c>
      <c r="N1096" s="13">
        <v>0</v>
      </c>
      <c r="O1096" s="11">
        <v>0</v>
      </c>
      <c r="P1096" s="11">
        <v>0</v>
      </c>
      <c r="Q1096" s="11">
        <v>0</v>
      </c>
      <c r="R1096" s="11">
        <v>0</v>
      </c>
      <c r="S1096" s="14">
        <v>0</v>
      </c>
      <c r="T1096" s="11">
        <v>1155.27</v>
      </c>
      <c r="U1096" s="13" cm="1">
        <f t="array" ref="U1096">IF(Table8[[#This Row],[I_0]]&lt;Table24[Flitro de Ruido],1,Table8[[#This Row],[I_10]]/Table8[[#This Row],[I_0]])</f>
        <v>1</v>
      </c>
      <c r="V1096" s="13" cm="1">
        <f t="array" ref="V1096">IF(Table8[[#This Row],[I_0]]&lt;Table24[Flitro de Ruido],1,Table8[[#This Row],[I_20]]/Table8[[#This Row],[I_0]])</f>
        <v>1</v>
      </c>
      <c r="W1096" s="13" cm="1">
        <f t="array" ref="W1096">IF(Table8[[#This Row],[I_0]]&lt;Table24[Flitro de Ruido],1,Table8[[#This Row],[I_30]]/Table8[[#This Row],[I_0]])</f>
        <v>1</v>
      </c>
      <c r="X1096" s="13" cm="1">
        <f t="array" ref="X1096">IF(Table8[[#This Row],[I_0]]&lt;Table24[Flitro de Ruido],1,Table8[[#This Row],[I_40]]/Table8[[#This Row],[I_0]])</f>
        <v>1</v>
      </c>
      <c r="Y1096" s="13" cm="1">
        <f t="array" ref="Y1096">IF(Table8[[#This Row],[I_0]]&lt;Table24[Flitro de Ruido],1,Table8[[#This Row],[I_50]]/Table8[[#This Row],[I_0]])</f>
        <v>1</v>
      </c>
    </row>
    <row r="1097" spans="1:25" x14ac:dyDescent="0.3">
      <c r="A1097" s="13">
        <v>1156.26</v>
      </c>
      <c r="B1097" s="12">
        <v>0</v>
      </c>
      <c r="C1097" s="11">
        <v>1156.26</v>
      </c>
      <c r="D1097" s="12">
        <v>0</v>
      </c>
      <c r="E1097" s="11">
        <v>1156.26</v>
      </c>
      <c r="F1097" s="12">
        <v>0</v>
      </c>
      <c r="G1097" s="11">
        <v>1156.26</v>
      </c>
      <c r="H1097" s="12">
        <v>0</v>
      </c>
      <c r="I1097" s="11">
        <v>1156.26</v>
      </c>
      <c r="J1097" s="12">
        <v>0</v>
      </c>
      <c r="K1097" s="11">
        <v>1156.26</v>
      </c>
      <c r="L1097" s="12">
        <v>0</v>
      </c>
      <c r="M1097" s="11">
        <v>1156.26</v>
      </c>
      <c r="N1097" s="13">
        <v>0</v>
      </c>
      <c r="O1097" s="11">
        <v>0</v>
      </c>
      <c r="P1097" s="11">
        <v>0</v>
      </c>
      <c r="Q1097" s="11">
        <v>0</v>
      </c>
      <c r="R1097" s="11">
        <v>0</v>
      </c>
      <c r="S1097" s="14">
        <v>0</v>
      </c>
      <c r="T1097" s="11">
        <v>1156.26</v>
      </c>
      <c r="U1097" s="13" cm="1">
        <f t="array" ref="U1097">IF(Table8[[#This Row],[I_0]]&lt;Table24[Flitro de Ruido],1,Table8[[#This Row],[I_10]]/Table8[[#This Row],[I_0]])</f>
        <v>1</v>
      </c>
      <c r="V1097" s="13" cm="1">
        <f t="array" ref="V1097">IF(Table8[[#This Row],[I_0]]&lt;Table24[Flitro de Ruido],1,Table8[[#This Row],[I_20]]/Table8[[#This Row],[I_0]])</f>
        <v>1</v>
      </c>
      <c r="W1097" s="13" cm="1">
        <f t="array" ref="W1097">IF(Table8[[#This Row],[I_0]]&lt;Table24[Flitro de Ruido],1,Table8[[#This Row],[I_30]]/Table8[[#This Row],[I_0]])</f>
        <v>1</v>
      </c>
      <c r="X1097" s="13" cm="1">
        <f t="array" ref="X1097">IF(Table8[[#This Row],[I_0]]&lt;Table24[Flitro de Ruido],1,Table8[[#This Row],[I_40]]/Table8[[#This Row],[I_0]])</f>
        <v>1</v>
      </c>
      <c r="Y1097" s="13" cm="1">
        <f t="array" ref="Y1097">IF(Table8[[#This Row],[I_0]]&lt;Table24[Flitro de Ruido],1,Table8[[#This Row],[I_50]]/Table8[[#This Row],[I_0]])</f>
        <v>1</v>
      </c>
    </row>
    <row r="1098" spans="1:25" x14ac:dyDescent="0.3">
      <c r="A1098" s="13">
        <v>1157.25</v>
      </c>
      <c r="B1098" s="12">
        <v>0</v>
      </c>
      <c r="C1098" s="11">
        <v>1157.25</v>
      </c>
      <c r="D1098" s="12">
        <v>0</v>
      </c>
      <c r="E1098" s="11">
        <v>1157.25</v>
      </c>
      <c r="F1098" s="12">
        <v>0</v>
      </c>
      <c r="G1098" s="11">
        <v>1157.25</v>
      </c>
      <c r="H1098" s="12">
        <v>0</v>
      </c>
      <c r="I1098" s="11">
        <v>1157.25</v>
      </c>
      <c r="J1098" s="12">
        <v>0</v>
      </c>
      <c r="K1098" s="11">
        <v>1157.25</v>
      </c>
      <c r="L1098" s="12">
        <v>0</v>
      </c>
      <c r="M1098" s="11">
        <v>1157.25</v>
      </c>
      <c r="N1098" s="13">
        <v>0</v>
      </c>
      <c r="O1098" s="11">
        <v>0</v>
      </c>
      <c r="P1098" s="11">
        <v>0</v>
      </c>
      <c r="Q1098" s="11">
        <v>0</v>
      </c>
      <c r="R1098" s="11">
        <v>0</v>
      </c>
      <c r="S1098" s="14">
        <v>0</v>
      </c>
      <c r="T1098" s="11">
        <v>1157.25</v>
      </c>
      <c r="U1098" s="13" cm="1">
        <f t="array" ref="U1098">IF(Table8[[#This Row],[I_0]]&lt;Table24[Flitro de Ruido],1,Table8[[#This Row],[I_10]]/Table8[[#This Row],[I_0]])</f>
        <v>1</v>
      </c>
      <c r="V1098" s="13" cm="1">
        <f t="array" ref="V1098">IF(Table8[[#This Row],[I_0]]&lt;Table24[Flitro de Ruido],1,Table8[[#This Row],[I_20]]/Table8[[#This Row],[I_0]])</f>
        <v>1</v>
      </c>
      <c r="W1098" s="13" cm="1">
        <f t="array" ref="W1098">IF(Table8[[#This Row],[I_0]]&lt;Table24[Flitro de Ruido],1,Table8[[#This Row],[I_30]]/Table8[[#This Row],[I_0]])</f>
        <v>1</v>
      </c>
      <c r="X1098" s="13" cm="1">
        <f t="array" ref="X1098">IF(Table8[[#This Row],[I_0]]&lt;Table24[Flitro de Ruido],1,Table8[[#This Row],[I_40]]/Table8[[#This Row],[I_0]])</f>
        <v>1</v>
      </c>
      <c r="Y1098" s="13" cm="1">
        <f t="array" ref="Y1098">IF(Table8[[#This Row],[I_0]]&lt;Table24[Flitro de Ruido],1,Table8[[#This Row],[I_50]]/Table8[[#This Row],[I_0]])</f>
        <v>1</v>
      </c>
    </row>
    <row r="1099" spans="1:25" x14ac:dyDescent="0.3">
      <c r="A1099" s="13">
        <v>1158.25</v>
      </c>
      <c r="B1099" s="12">
        <v>0</v>
      </c>
      <c r="C1099" s="11">
        <v>1158.25</v>
      </c>
      <c r="D1099" s="12">
        <v>0</v>
      </c>
      <c r="E1099" s="11">
        <v>1158.25</v>
      </c>
      <c r="F1099" s="12">
        <v>0</v>
      </c>
      <c r="G1099" s="11">
        <v>1158.25</v>
      </c>
      <c r="H1099" s="12">
        <v>0</v>
      </c>
      <c r="I1099" s="11">
        <v>1158.25</v>
      </c>
      <c r="J1099" s="12">
        <v>0</v>
      </c>
      <c r="K1099" s="11">
        <v>1158.25</v>
      </c>
      <c r="L1099" s="12">
        <v>0</v>
      </c>
      <c r="M1099" s="11">
        <v>1158.25</v>
      </c>
      <c r="N1099" s="13">
        <v>0</v>
      </c>
      <c r="O1099" s="11">
        <v>0</v>
      </c>
      <c r="P1099" s="11">
        <v>0</v>
      </c>
      <c r="Q1099" s="11">
        <v>0</v>
      </c>
      <c r="R1099" s="11">
        <v>0</v>
      </c>
      <c r="S1099" s="14">
        <v>0</v>
      </c>
      <c r="T1099" s="11">
        <v>1158.25</v>
      </c>
      <c r="U1099" s="13" cm="1">
        <f t="array" ref="U1099">IF(Table8[[#This Row],[I_0]]&lt;Table24[Flitro de Ruido],1,Table8[[#This Row],[I_10]]/Table8[[#This Row],[I_0]])</f>
        <v>1</v>
      </c>
      <c r="V1099" s="13" cm="1">
        <f t="array" ref="V1099">IF(Table8[[#This Row],[I_0]]&lt;Table24[Flitro de Ruido],1,Table8[[#This Row],[I_20]]/Table8[[#This Row],[I_0]])</f>
        <v>1</v>
      </c>
      <c r="W1099" s="13" cm="1">
        <f t="array" ref="W1099">IF(Table8[[#This Row],[I_0]]&lt;Table24[Flitro de Ruido],1,Table8[[#This Row],[I_30]]/Table8[[#This Row],[I_0]])</f>
        <v>1</v>
      </c>
      <c r="X1099" s="13" cm="1">
        <f t="array" ref="X1099">IF(Table8[[#This Row],[I_0]]&lt;Table24[Flitro de Ruido],1,Table8[[#This Row],[I_40]]/Table8[[#This Row],[I_0]])</f>
        <v>1</v>
      </c>
      <c r="Y1099" s="13" cm="1">
        <f t="array" ref="Y1099">IF(Table8[[#This Row],[I_0]]&lt;Table24[Flitro de Ruido],1,Table8[[#This Row],[I_50]]/Table8[[#This Row],[I_0]])</f>
        <v>1</v>
      </c>
    </row>
    <row r="1100" spans="1:25" x14ac:dyDescent="0.3">
      <c r="A1100" s="13">
        <v>1159.24</v>
      </c>
      <c r="B1100" s="12">
        <v>0</v>
      </c>
      <c r="C1100" s="11">
        <v>1159.24</v>
      </c>
      <c r="D1100" s="12">
        <v>0</v>
      </c>
      <c r="E1100" s="11">
        <v>1159.24</v>
      </c>
      <c r="F1100" s="12">
        <v>0</v>
      </c>
      <c r="G1100" s="11">
        <v>1159.24</v>
      </c>
      <c r="H1100" s="12">
        <v>0</v>
      </c>
      <c r="I1100" s="11">
        <v>1159.24</v>
      </c>
      <c r="J1100" s="12">
        <v>0</v>
      </c>
      <c r="K1100" s="11">
        <v>1159.24</v>
      </c>
      <c r="L1100" s="12">
        <v>0</v>
      </c>
      <c r="M1100" s="11">
        <v>1159.24</v>
      </c>
      <c r="N1100" s="13">
        <v>0</v>
      </c>
      <c r="O1100" s="11">
        <v>0</v>
      </c>
      <c r="P1100" s="11">
        <v>0</v>
      </c>
      <c r="Q1100" s="11">
        <v>0</v>
      </c>
      <c r="R1100" s="11">
        <v>0</v>
      </c>
      <c r="S1100" s="14">
        <v>0</v>
      </c>
      <c r="T1100" s="11">
        <v>1159.24</v>
      </c>
      <c r="U1100" s="13" cm="1">
        <f t="array" ref="U1100">IF(Table8[[#This Row],[I_0]]&lt;Table24[Flitro de Ruido],1,Table8[[#This Row],[I_10]]/Table8[[#This Row],[I_0]])</f>
        <v>1</v>
      </c>
      <c r="V1100" s="13" cm="1">
        <f t="array" ref="V1100">IF(Table8[[#This Row],[I_0]]&lt;Table24[Flitro de Ruido],1,Table8[[#This Row],[I_20]]/Table8[[#This Row],[I_0]])</f>
        <v>1</v>
      </c>
      <c r="W1100" s="13" cm="1">
        <f t="array" ref="W1100">IF(Table8[[#This Row],[I_0]]&lt;Table24[Flitro de Ruido],1,Table8[[#This Row],[I_30]]/Table8[[#This Row],[I_0]])</f>
        <v>1</v>
      </c>
      <c r="X1100" s="13" cm="1">
        <f t="array" ref="X1100">IF(Table8[[#This Row],[I_0]]&lt;Table24[Flitro de Ruido],1,Table8[[#This Row],[I_40]]/Table8[[#This Row],[I_0]])</f>
        <v>1</v>
      </c>
      <c r="Y1100" s="13" cm="1">
        <f t="array" ref="Y1100">IF(Table8[[#This Row],[I_0]]&lt;Table24[Flitro de Ruido],1,Table8[[#This Row],[I_50]]/Table8[[#This Row],[I_0]])</f>
        <v>1</v>
      </c>
    </row>
    <row r="1101" spans="1:25" x14ac:dyDescent="0.3">
      <c r="A1101" s="13">
        <v>1160.23</v>
      </c>
      <c r="B1101" s="12">
        <v>0</v>
      </c>
      <c r="C1101" s="11">
        <v>1160.23</v>
      </c>
      <c r="D1101" s="12">
        <v>0</v>
      </c>
      <c r="E1101" s="11">
        <v>1160.23</v>
      </c>
      <c r="F1101" s="12">
        <v>0</v>
      </c>
      <c r="G1101" s="11">
        <v>1160.23</v>
      </c>
      <c r="H1101" s="12">
        <v>0</v>
      </c>
      <c r="I1101" s="11">
        <v>1160.23</v>
      </c>
      <c r="J1101" s="12">
        <v>0</v>
      </c>
      <c r="K1101" s="11">
        <v>1160.23</v>
      </c>
      <c r="L1101" s="12">
        <v>0</v>
      </c>
      <c r="M1101" s="11">
        <v>1160.23</v>
      </c>
      <c r="N1101" s="13">
        <v>0</v>
      </c>
      <c r="O1101" s="11">
        <v>0</v>
      </c>
      <c r="P1101" s="11">
        <v>0</v>
      </c>
      <c r="Q1101" s="11">
        <v>0</v>
      </c>
      <c r="R1101" s="11">
        <v>0</v>
      </c>
      <c r="S1101" s="14">
        <v>0</v>
      </c>
      <c r="T1101" s="11">
        <v>1160.23</v>
      </c>
      <c r="U1101" s="13" cm="1">
        <f t="array" ref="U1101">IF(Table8[[#This Row],[I_0]]&lt;Table24[Flitro de Ruido],1,Table8[[#This Row],[I_10]]/Table8[[#This Row],[I_0]])</f>
        <v>1</v>
      </c>
      <c r="V1101" s="13" cm="1">
        <f t="array" ref="V1101">IF(Table8[[#This Row],[I_0]]&lt;Table24[Flitro de Ruido],1,Table8[[#This Row],[I_20]]/Table8[[#This Row],[I_0]])</f>
        <v>1</v>
      </c>
      <c r="W1101" s="13" cm="1">
        <f t="array" ref="W1101">IF(Table8[[#This Row],[I_0]]&lt;Table24[Flitro de Ruido],1,Table8[[#This Row],[I_30]]/Table8[[#This Row],[I_0]])</f>
        <v>1</v>
      </c>
      <c r="X1101" s="13" cm="1">
        <f t="array" ref="X1101">IF(Table8[[#This Row],[I_0]]&lt;Table24[Flitro de Ruido],1,Table8[[#This Row],[I_40]]/Table8[[#This Row],[I_0]])</f>
        <v>1</v>
      </c>
      <c r="Y1101" s="13" cm="1">
        <f t="array" ref="Y1101">IF(Table8[[#This Row],[I_0]]&lt;Table24[Flitro de Ruido],1,Table8[[#This Row],[I_50]]/Table8[[#This Row],[I_0]])</f>
        <v>1</v>
      </c>
    </row>
    <row r="1102" spans="1:25" x14ac:dyDescent="0.3">
      <c r="A1102" s="13">
        <v>1161.22</v>
      </c>
      <c r="B1102" s="12">
        <v>0</v>
      </c>
      <c r="C1102" s="11">
        <v>1161.22</v>
      </c>
      <c r="D1102" s="12">
        <v>0</v>
      </c>
      <c r="E1102" s="11">
        <v>1161.22</v>
      </c>
      <c r="F1102" s="12">
        <v>0</v>
      </c>
      <c r="G1102" s="11">
        <v>1161.22</v>
      </c>
      <c r="H1102" s="12">
        <v>0</v>
      </c>
      <c r="I1102" s="11">
        <v>1161.22</v>
      </c>
      <c r="J1102" s="12">
        <v>0</v>
      </c>
      <c r="K1102" s="11">
        <v>1161.22</v>
      </c>
      <c r="L1102" s="12">
        <v>0</v>
      </c>
      <c r="M1102" s="11">
        <v>1161.22</v>
      </c>
      <c r="N1102" s="13">
        <v>0</v>
      </c>
      <c r="O1102" s="11">
        <v>0</v>
      </c>
      <c r="P1102" s="11">
        <v>0</v>
      </c>
      <c r="Q1102" s="11">
        <v>0</v>
      </c>
      <c r="R1102" s="11">
        <v>0</v>
      </c>
      <c r="S1102" s="14">
        <v>0</v>
      </c>
      <c r="T1102" s="11">
        <v>1161.22</v>
      </c>
      <c r="U1102" s="13" cm="1">
        <f t="array" ref="U1102">IF(Table8[[#This Row],[I_0]]&lt;Table24[Flitro de Ruido],1,Table8[[#This Row],[I_10]]/Table8[[#This Row],[I_0]])</f>
        <v>1</v>
      </c>
      <c r="V1102" s="13" cm="1">
        <f t="array" ref="V1102">IF(Table8[[#This Row],[I_0]]&lt;Table24[Flitro de Ruido],1,Table8[[#This Row],[I_20]]/Table8[[#This Row],[I_0]])</f>
        <v>1</v>
      </c>
      <c r="W1102" s="13" cm="1">
        <f t="array" ref="W1102">IF(Table8[[#This Row],[I_0]]&lt;Table24[Flitro de Ruido],1,Table8[[#This Row],[I_30]]/Table8[[#This Row],[I_0]])</f>
        <v>1</v>
      </c>
      <c r="X1102" s="13" cm="1">
        <f t="array" ref="X1102">IF(Table8[[#This Row],[I_0]]&lt;Table24[Flitro de Ruido],1,Table8[[#This Row],[I_40]]/Table8[[#This Row],[I_0]])</f>
        <v>1</v>
      </c>
      <c r="Y1102" s="13" cm="1">
        <f t="array" ref="Y1102">IF(Table8[[#This Row],[I_0]]&lt;Table24[Flitro de Ruido],1,Table8[[#This Row],[I_50]]/Table8[[#This Row],[I_0]])</f>
        <v>1</v>
      </c>
    </row>
    <row r="1103" spans="1:25" x14ac:dyDescent="0.3">
      <c r="A1103" s="13">
        <v>1162.21</v>
      </c>
      <c r="B1103" s="12">
        <v>0</v>
      </c>
      <c r="C1103" s="11">
        <v>1162.21</v>
      </c>
      <c r="D1103" s="12">
        <v>0</v>
      </c>
      <c r="E1103" s="11">
        <v>1162.21</v>
      </c>
      <c r="F1103" s="12">
        <v>0</v>
      </c>
      <c r="G1103" s="11">
        <v>1162.21</v>
      </c>
      <c r="H1103" s="12">
        <v>0</v>
      </c>
      <c r="I1103" s="11">
        <v>1162.21</v>
      </c>
      <c r="J1103" s="12">
        <v>0</v>
      </c>
      <c r="K1103" s="11">
        <v>1162.21</v>
      </c>
      <c r="L1103" s="12">
        <v>0</v>
      </c>
      <c r="M1103" s="11">
        <v>1162.21</v>
      </c>
      <c r="N1103" s="13">
        <v>0</v>
      </c>
      <c r="O1103" s="11">
        <v>0</v>
      </c>
      <c r="P1103" s="11">
        <v>0</v>
      </c>
      <c r="Q1103" s="11">
        <v>0</v>
      </c>
      <c r="R1103" s="11">
        <v>0</v>
      </c>
      <c r="S1103" s="14">
        <v>0</v>
      </c>
      <c r="T1103" s="11">
        <v>1162.21</v>
      </c>
      <c r="U1103" s="13" cm="1">
        <f t="array" ref="U1103">IF(Table8[[#This Row],[I_0]]&lt;Table24[Flitro de Ruido],1,Table8[[#This Row],[I_10]]/Table8[[#This Row],[I_0]])</f>
        <v>1</v>
      </c>
      <c r="V1103" s="13" cm="1">
        <f t="array" ref="V1103">IF(Table8[[#This Row],[I_0]]&lt;Table24[Flitro de Ruido],1,Table8[[#This Row],[I_20]]/Table8[[#This Row],[I_0]])</f>
        <v>1</v>
      </c>
      <c r="W1103" s="13" cm="1">
        <f t="array" ref="W1103">IF(Table8[[#This Row],[I_0]]&lt;Table24[Flitro de Ruido],1,Table8[[#This Row],[I_30]]/Table8[[#This Row],[I_0]])</f>
        <v>1</v>
      </c>
      <c r="X1103" s="13" cm="1">
        <f t="array" ref="X1103">IF(Table8[[#This Row],[I_0]]&lt;Table24[Flitro de Ruido],1,Table8[[#This Row],[I_40]]/Table8[[#This Row],[I_0]])</f>
        <v>1</v>
      </c>
      <c r="Y1103" s="13" cm="1">
        <f t="array" ref="Y1103">IF(Table8[[#This Row],[I_0]]&lt;Table24[Flitro de Ruido],1,Table8[[#This Row],[I_50]]/Table8[[#This Row],[I_0]])</f>
        <v>1</v>
      </c>
    </row>
    <row r="1104" spans="1:25" x14ac:dyDescent="0.3">
      <c r="A1104" s="13">
        <v>1163.2</v>
      </c>
      <c r="B1104" s="12">
        <v>0</v>
      </c>
      <c r="C1104" s="11">
        <v>1163.2</v>
      </c>
      <c r="D1104" s="12">
        <v>0</v>
      </c>
      <c r="E1104" s="11">
        <v>1163.2</v>
      </c>
      <c r="F1104" s="12">
        <v>0</v>
      </c>
      <c r="G1104" s="11">
        <v>1163.2</v>
      </c>
      <c r="H1104" s="12">
        <v>0</v>
      </c>
      <c r="I1104" s="11">
        <v>1163.2</v>
      </c>
      <c r="J1104" s="12">
        <v>0</v>
      </c>
      <c r="K1104" s="11">
        <v>1163.2</v>
      </c>
      <c r="L1104" s="12">
        <v>0</v>
      </c>
      <c r="M1104" s="11">
        <v>1163.2</v>
      </c>
      <c r="N1104" s="13">
        <v>0</v>
      </c>
      <c r="O1104" s="11">
        <v>0</v>
      </c>
      <c r="P1104" s="11">
        <v>0</v>
      </c>
      <c r="Q1104" s="11">
        <v>0</v>
      </c>
      <c r="R1104" s="11">
        <v>0</v>
      </c>
      <c r="S1104" s="14">
        <v>0</v>
      </c>
      <c r="T1104" s="11">
        <v>1163.2</v>
      </c>
      <c r="U1104" s="13" cm="1">
        <f t="array" ref="U1104">IF(Table8[[#This Row],[I_0]]&lt;Table24[Flitro de Ruido],1,Table8[[#This Row],[I_10]]/Table8[[#This Row],[I_0]])</f>
        <v>1</v>
      </c>
      <c r="V1104" s="13" cm="1">
        <f t="array" ref="V1104">IF(Table8[[#This Row],[I_0]]&lt;Table24[Flitro de Ruido],1,Table8[[#This Row],[I_20]]/Table8[[#This Row],[I_0]])</f>
        <v>1</v>
      </c>
      <c r="W1104" s="13" cm="1">
        <f t="array" ref="W1104">IF(Table8[[#This Row],[I_0]]&lt;Table24[Flitro de Ruido],1,Table8[[#This Row],[I_30]]/Table8[[#This Row],[I_0]])</f>
        <v>1</v>
      </c>
      <c r="X1104" s="13" cm="1">
        <f t="array" ref="X1104">IF(Table8[[#This Row],[I_0]]&lt;Table24[Flitro de Ruido],1,Table8[[#This Row],[I_40]]/Table8[[#This Row],[I_0]])</f>
        <v>1</v>
      </c>
      <c r="Y1104" s="13" cm="1">
        <f t="array" ref="Y1104">IF(Table8[[#This Row],[I_0]]&lt;Table24[Flitro de Ruido],1,Table8[[#This Row],[I_50]]/Table8[[#This Row],[I_0]])</f>
        <v>1</v>
      </c>
    </row>
    <row r="1105" spans="1:25" x14ac:dyDescent="0.3">
      <c r="A1105" s="13">
        <v>1164.2</v>
      </c>
      <c r="B1105" s="12">
        <v>0</v>
      </c>
      <c r="C1105" s="11">
        <v>1164.2</v>
      </c>
      <c r="D1105" s="12">
        <v>0</v>
      </c>
      <c r="E1105" s="11">
        <v>1164.2</v>
      </c>
      <c r="F1105" s="12">
        <v>0</v>
      </c>
      <c r="G1105" s="11">
        <v>1164.2</v>
      </c>
      <c r="H1105" s="12">
        <v>0</v>
      </c>
      <c r="I1105" s="11">
        <v>1164.2</v>
      </c>
      <c r="J1105" s="12">
        <v>0</v>
      </c>
      <c r="K1105" s="11">
        <v>1164.2</v>
      </c>
      <c r="L1105" s="12">
        <v>0</v>
      </c>
      <c r="M1105" s="11">
        <v>1164.2</v>
      </c>
      <c r="N1105" s="13">
        <v>0</v>
      </c>
      <c r="O1105" s="11">
        <v>0</v>
      </c>
      <c r="P1105" s="11">
        <v>0</v>
      </c>
      <c r="Q1105" s="11">
        <v>0</v>
      </c>
      <c r="R1105" s="11">
        <v>0</v>
      </c>
      <c r="S1105" s="14">
        <v>0</v>
      </c>
      <c r="T1105" s="11">
        <v>1164.2</v>
      </c>
      <c r="U1105" s="13" cm="1">
        <f t="array" ref="U1105">IF(Table8[[#This Row],[I_0]]&lt;Table24[Flitro de Ruido],1,Table8[[#This Row],[I_10]]/Table8[[#This Row],[I_0]])</f>
        <v>1</v>
      </c>
      <c r="V1105" s="13" cm="1">
        <f t="array" ref="V1105">IF(Table8[[#This Row],[I_0]]&lt;Table24[Flitro de Ruido],1,Table8[[#This Row],[I_20]]/Table8[[#This Row],[I_0]])</f>
        <v>1</v>
      </c>
      <c r="W1105" s="13" cm="1">
        <f t="array" ref="W1105">IF(Table8[[#This Row],[I_0]]&lt;Table24[Flitro de Ruido],1,Table8[[#This Row],[I_30]]/Table8[[#This Row],[I_0]])</f>
        <v>1</v>
      </c>
      <c r="X1105" s="13" cm="1">
        <f t="array" ref="X1105">IF(Table8[[#This Row],[I_0]]&lt;Table24[Flitro de Ruido],1,Table8[[#This Row],[I_40]]/Table8[[#This Row],[I_0]])</f>
        <v>1</v>
      </c>
      <c r="Y1105" s="13" cm="1">
        <f t="array" ref="Y1105">IF(Table8[[#This Row],[I_0]]&lt;Table24[Flitro de Ruido],1,Table8[[#This Row],[I_50]]/Table8[[#This Row],[I_0]])</f>
        <v>1</v>
      </c>
    </row>
    <row r="1106" spans="1:25" x14ac:dyDescent="0.3">
      <c r="A1106" s="13">
        <v>1165.19</v>
      </c>
      <c r="B1106" s="12">
        <v>0</v>
      </c>
      <c r="C1106" s="11">
        <v>1165.19</v>
      </c>
      <c r="D1106" s="12">
        <v>0</v>
      </c>
      <c r="E1106" s="11">
        <v>1165.19</v>
      </c>
      <c r="F1106" s="12">
        <v>0</v>
      </c>
      <c r="G1106" s="11">
        <v>1165.19</v>
      </c>
      <c r="H1106" s="12">
        <v>0</v>
      </c>
      <c r="I1106" s="11">
        <v>1165.19</v>
      </c>
      <c r="J1106" s="12">
        <v>0</v>
      </c>
      <c r="K1106" s="11">
        <v>1165.19</v>
      </c>
      <c r="L1106" s="12">
        <v>0</v>
      </c>
      <c r="M1106" s="11">
        <v>1165.19</v>
      </c>
      <c r="N1106" s="13">
        <v>0</v>
      </c>
      <c r="O1106" s="11">
        <v>0</v>
      </c>
      <c r="P1106" s="11">
        <v>0</v>
      </c>
      <c r="Q1106" s="11">
        <v>0</v>
      </c>
      <c r="R1106" s="11">
        <v>0</v>
      </c>
      <c r="S1106" s="14">
        <v>0</v>
      </c>
      <c r="T1106" s="11">
        <v>1165.19</v>
      </c>
      <c r="U1106" s="13" cm="1">
        <f t="array" ref="U1106">IF(Table8[[#This Row],[I_0]]&lt;Table24[Flitro de Ruido],1,Table8[[#This Row],[I_10]]/Table8[[#This Row],[I_0]])</f>
        <v>1</v>
      </c>
      <c r="V1106" s="13" cm="1">
        <f t="array" ref="V1106">IF(Table8[[#This Row],[I_0]]&lt;Table24[Flitro de Ruido],1,Table8[[#This Row],[I_20]]/Table8[[#This Row],[I_0]])</f>
        <v>1</v>
      </c>
      <c r="W1106" s="13" cm="1">
        <f t="array" ref="W1106">IF(Table8[[#This Row],[I_0]]&lt;Table24[Flitro de Ruido],1,Table8[[#This Row],[I_30]]/Table8[[#This Row],[I_0]])</f>
        <v>1</v>
      </c>
      <c r="X1106" s="13" cm="1">
        <f t="array" ref="X1106">IF(Table8[[#This Row],[I_0]]&lt;Table24[Flitro de Ruido],1,Table8[[#This Row],[I_40]]/Table8[[#This Row],[I_0]])</f>
        <v>1</v>
      </c>
      <c r="Y1106" s="13" cm="1">
        <f t="array" ref="Y1106">IF(Table8[[#This Row],[I_0]]&lt;Table24[Flitro de Ruido],1,Table8[[#This Row],[I_50]]/Table8[[#This Row],[I_0]])</f>
        <v>1</v>
      </c>
    </row>
    <row r="1107" spans="1:25" x14ac:dyDescent="0.3">
      <c r="A1107" s="13">
        <v>1166.18</v>
      </c>
      <c r="B1107" s="12">
        <v>0</v>
      </c>
      <c r="C1107" s="11">
        <v>1166.18</v>
      </c>
      <c r="D1107" s="12">
        <v>0</v>
      </c>
      <c r="E1107" s="11">
        <v>1166.18</v>
      </c>
      <c r="F1107" s="12">
        <v>0</v>
      </c>
      <c r="G1107" s="11">
        <v>1166.18</v>
      </c>
      <c r="H1107" s="12">
        <v>0</v>
      </c>
      <c r="I1107" s="11">
        <v>1166.18</v>
      </c>
      <c r="J1107" s="12">
        <v>0</v>
      </c>
      <c r="K1107" s="11">
        <v>1166.18</v>
      </c>
      <c r="L1107" s="12">
        <v>0</v>
      </c>
      <c r="M1107" s="11">
        <v>1166.18</v>
      </c>
      <c r="N1107" s="13">
        <v>0</v>
      </c>
      <c r="O1107" s="11">
        <v>0</v>
      </c>
      <c r="P1107" s="11">
        <v>0</v>
      </c>
      <c r="Q1107" s="11">
        <v>0</v>
      </c>
      <c r="R1107" s="11">
        <v>0</v>
      </c>
      <c r="S1107" s="14">
        <v>0</v>
      </c>
      <c r="T1107" s="11">
        <v>1166.18</v>
      </c>
      <c r="U1107" s="13" cm="1">
        <f t="array" ref="U1107">IF(Table8[[#This Row],[I_0]]&lt;Table24[Flitro de Ruido],1,Table8[[#This Row],[I_10]]/Table8[[#This Row],[I_0]])</f>
        <v>1</v>
      </c>
      <c r="V1107" s="13" cm="1">
        <f t="array" ref="V1107">IF(Table8[[#This Row],[I_0]]&lt;Table24[Flitro de Ruido],1,Table8[[#This Row],[I_20]]/Table8[[#This Row],[I_0]])</f>
        <v>1</v>
      </c>
      <c r="W1107" s="13" cm="1">
        <f t="array" ref="W1107">IF(Table8[[#This Row],[I_0]]&lt;Table24[Flitro de Ruido],1,Table8[[#This Row],[I_30]]/Table8[[#This Row],[I_0]])</f>
        <v>1</v>
      </c>
      <c r="X1107" s="13" cm="1">
        <f t="array" ref="X1107">IF(Table8[[#This Row],[I_0]]&lt;Table24[Flitro de Ruido],1,Table8[[#This Row],[I_40]]/Table8[[#This Row],[I_0]])</f>
        <v>1</v>
      </c>
      <c r="Y1107" s="13" cm="1">
        <f t="array" ref="Y1107">IF(Table8[[#This Row],[I_0]]&lt;Table24[Flitro de Ruido],1,Table8[[#This Row],[I_50]]/Table8[[#This Row],[I_0]])</f>
        <v>1</v>
      </c>
    </row>
    <row r="1108" spans="1:25" x14ac:dyDescent="0.3">
      <c r="A1108" s="13">
        <v>1167.17</v>
      </c>
      <c r="B1108" s="12">
        <v>0</v>
      </c>
      <c r="C1108" s="11">
        <v>1167.17</v>
      </c>
      <c r="D1108" s="12">
        <v>0</v>
      </c>
      <c r="E1108" s="11">
        <v>1167.17</v>
      </c>
      <c r="F1108" s="12">
        <v>0</v>
      </c>
      <c r="G1108" s="11">
        <v>1167.17</v>
      </c>
      <c r="H1108" s="12">
        <v>0</v>
      </c>
      <c r="I1108" s="11">
        <v>1167.17</v>
      </c>
      <c r="J1108" s="12">
        <v>0</v>
      </c>
      <c r="K1108" s="11">
        <v>1167.17</v>
      </c>
      <c r="L1108" s="12">
        <v>0</v>
      </c>
      <c r="M1108" s="11">
        <v>1167.17</v>
      </c>
      <c r="N1108" s="13">
        <v>0</v>
      </c>
      <c r="O1108" s="11">
        <v>0</v>
      </c>
      <c r="P1108" s="11">
        <v>0</v>
      </c>
      <c r="Q1108" s="11">
        <v>0</v>
      </c>
      <c r="R1108" s="11">
        <v>0</v>
      </c>
      <c r="S1108" s="14">
        <v>0</v>
      </c>
      <c r="T1108" s="11">
        <v>1167.17</v>
      </c>
      <c r="U1108" s="13" cm="1">
        <f t="array" ref="U1108">IF(Table8[[#This Row],[I_0]]&lt;Table24[Flitro de Ruido],1,Table8[[#This Row],[I_10]]/Table8[[#This Row],[I_0]])</f>
        <v>1</v>
      </c>
      <c r="V1108" s="13" cm="1">
        <f t="array" ref="V1108">IF(Table8[[#This Row],[I_0]]&lt;Table24[Flitro de Ruido],1,Table8[[#This Row],[I_20]]/Table8[[#This Row],[I_0]])</f>
        <v>1</v>
      </c>
      <c r="W1108" s="13" cm="1">
        <f t="array" ref="W1108">IF(Table8[[#This Row],[I_0]]&lt;Table24[Flitro de Ruido],1,Table8[[#This Row],[I_30]]/Table8[[#This Row],[I_0]])</f>
        <v>1</v>
      </c>
      <c r="X1108" s="13" cm="1">
        <f t="array" ref="X1108">IF(Table8[[#This Row],[I_0]]&lt;Table24[Flitro de Ruido],1,Table8[[#This Row],[I_40]]/Table8[[#This Row],[I_0]])</f>
        <v>1</v>
      </c>
      <c r="Y1108" s="13" cm="1">
        <f t="array" ref="Y1108">IF(Table8[[#This Row],[I_0]]&lt;Table24[Flitro de Ruido],1,Table8[[#This Row],[I_50]]/Table8[[#This Row],[I_0]])</f>
        <v>1</v>
      </c>
    </row>
    <row r="1109" spans="1:25" x14ac:dyDescent="0.3">
      <c r="A1109" s="13">
        <v>1168.1600000000001</v>
      </c>
      <c r="B1109" s="12">
        <v>0</v>
      </c>
      <c r="C1109" s="11">
        <v>1168.1600000000001</v>
      </c>
      <c r="D1109" s="12">
        <v>0</v>
      </c>
      <c r="E1109" s="11">
        <v>1168.1600000000001</v>
      </c>
      <c r="F1109" s="12">
        <v>0</v>
      </c>
      <c r="G1109" s="11">
        <v>1168.1600000000001</v>
      </c>
      <c r="H1109" s="12">
        <v>0</v>
      </c>
      <c r="I1109" s="11">
        <v>1168.1600000000001</v>
      </c>
      <c r="J1109" s="12">
        <v>0</v>
      </c>
      <c r="K1109" s="11">
        <v>1168.1600000000001</v>
      </c>
      <c r="L1109" s="12">
        <v>0</v>
      </c>
      <c r="M1109" s="11">
        <v>1168.1600000000001</v>
      </c>
      <c r="N1109" s="13">
        <v>0</v>
      </c>
      <c r="O1109" s="11">
        <v>0</v>
      </c>
      <c r="P1109" s="11">
        <v>0</v>
      </c>
      <c r="Q1109" s="11">
        <v>0</v>
      </c>
      <c r="R1109" s="11">
        <v>0</v>
      </c>
      <c r="S1109" s="14">
        <v>0</v>
      </c>
      <c r="T1109" s="11">
        <v>1168.1600000000001</v>
      </c>
      <c r="U1109" s="13" cm="1">
        <f t="array" ref="U1109">IF(Table8[[#This Row],[I_0]]&lt;Table24[Flitro de Ruido],1,Table8[[#This Row],[I_10]]/Table8[[#This Row],[I_0]])</f>
        <v>1</v>
      </c>
      <c r="V1109" s="13" cm="1">
        <f t="array" ref="V1109">IF(Table8[[#This Row],[I_0]]&lt;Table24[Flitro de Ruido],1,Table8[[#This Row],[I_20]]/Table8[[#This Row],[I_0]])</f>
        <v>1</v>
      </c>
      <c r="W1109" s="13" cm="1">
        <f t="array" ref="W1109">IF(Table8[[#This Row],[I_0]]&lt;Table24[Flitro de Ruido],1,Table8[[#This Row],[I_30]]/Table8[[#This Row],[I_0]])</f>
        <v>1</v>
      </c>
      <c r="X1109" s="13" cm="1">
        <f t="array" ref="X1109">IF(Table8[[#This Row],[I_0]]&lt;Table24[Flitro de Ruido],1,Table8[[#This Row],[I_40]]/Table8[[#This Row],[I_0]])</f>
        <v>1</v>
      </c>
      <c r="Y1109" s="13" cm="1">
        <f t="array" ref="Y1109">IF(Table8[[#This Row],[I_0]]&lt;Table24[Flitro de Ruido],1,Table8[[#This Row],[I_50]]/Table8[[#This Row],[I_0]])</f>
        <v>1</v>
      </c>
    </row>
    <row r="1110" spans="1:25" x14ac:dyDescent="0.3">
      <c r="A1110" s="13">
        <v>1169.1600000000001</v>
      </c>
      <c r="B1110" s="12">
        <v>0</v>
      </c>
      <c r="C1110" s="11">
        <v>1169.1600000000001</v>
      </c>
      <c r="D1110" s="12">
        <v>0</v>
      </c>
      <c r="E1110" s="11">
        <v>1169.1600000000001</v>
      </c>
      <c r="F1110" s="12">
        <v>0</v>
      </c>
      <c r="G1110" s="11">
        <v>1169.1600000000001</v>
      </c>
      <c r="H1110" s="12">
        <v>0</v>
      </c>
      <c r="I1110" s="11">
        <v>1169.1600000000001</v>
      </c>
      <c r="J1110" s="12">
        <v>0</v>
      </c>
      <c r="K1110" s="11">
        <v>1169.1600000000001</v>
      </c>
      <c r="L1110" s="12">
        <v>0</v>
      </c>
      <c r="M1110" s="11">
        <v>1169.1600000000001</v>
      </c>
      <c r="N1110" s="13">
        <v>0</v>
      </c>
      <c r="O1110" s="11">
        <v>0</v>
      </c>
      <c r="P1110" s="11">
        <v>0</v>
      </c>
      <c r="Q1110" s="11">
        <v>0</v>
      </c>
      <c r="R1110" s="11">
        <v>0</v>
      </c>
      <c r="S1110" s="14">
        <v>0</v>
      </c>
      <c r="T1110" s="11">
        <v>1169.1600000000001</v>
      </c>
      <c r="U1110" s="13" cm="1">
        <f t="array" ref="U1110">IF(Table8[[#This Row],[I_0]]&lt;Table24[Flitro de Ruido],1,Table8[[#This Row],[I_10]]/Table8[[#This Row],[I_0]])</f>
        <v>1</v>
      </c>
      <c r="V1110" s="13" cm="1">
        <f t="array" ref="V1110">IF(Table8[[#This Row],[I_0]]&lt;Table24[Flitro de Ruido],1,Table8[[#This Row],[I_20]]/Table8[[#This Row],[I_0]])</f>
        <v>1</v>
      </c>
      <c r="W1110" s="13" cm="1">
        <f t="array" ref="W1110">IF(Table8[[#This Row],[I_0]]&lt;Table24[Flitro de Ruido],1,Table8[[#This Row],[I_30]]/Table8[[#This Row],[I_0]])</f>
        <v>1</v>
      </c>
      <c r="X1110" s="13" cm="1">
        <f t="array" ref="X1110">IF(Table8[[#This Row],[I_0]]&lt;Table24[Flitro de Ruido],1,Table8[[#This Row],[I_40]]/Table8[[#This Row],[I_0]])</f>
        <v>1</v>
      </c>
      <c r="Y1110" s="13" cm="1">
        <f t="array" ref="Y1110">IF(Table8[[#This Row],[I_0]]&lt;Table24[Flitro de Ruido],1,Table8[[#This Row],[I_50]]/Table8[[#This Row],[I_0]])</f>
        <v>1</v>
      </c>
    </row>
    <row r="1111" spans="1:25" x14ac:dyDescent="0.3">
      <c r="A1111" s="13">
        <v>1170.1500000000001</v>
      </c>
      <c r="B1111" s="12">
        <v>0</v>
      </c>
      <c r="C1111" s="11">
        <v>1170.1500000000001</v>
      </c>
      <c r="D1111" s="12">
        <v>0</v>
      </c>
      <c r="E1111" s="11">
        <v>1170.1500000000001</v>
      </c>
      <c r="F1111" s="12">
        <v>0</v>
      </c>
      <c r="G1111" s="11">
        <v>1170.1500000000001</v>
      </c>
      <c r="H1111" s="12">
        <v>0</v>
      </c>
      <c r="I1111" s="11">
        <v>1170.1500000000001</v>
      </c>
      <c r="J1111" s="12">
        <v>0</v>
      </c>
      <c r="K1111" s="11">
        <v>1170.1500000000001</v>
      </c>
      <c r="L1111" s="12">
        <v>0</v>
      </c>
      <c r="M1111" s="11">
        <v>1170.1500000000001</v>
      </c>
      <c r="N1111" s="13">
        <v>0</v>
      </c>
      <c r="O1111" s="11">
        <v>0</v>
      </c>
      <c r="P1111" s="11">
        <v>0</v>
      </c>
      <c r="Q1111" s="11">
        <v>0</v>
      </c>
      <c r="R1111" s="11">
        <v>0</v>
      </c>
      <c r="S1111" s="14">
        <v>0</v>
      </c>
      <c r="T1111" s="11">
        <v>1170.1500000000001</v>
      </c>
      <c r="U1111" s="13" cm="1">
        <f t="array" ref="U1111">IF(Table8[[#This Row],[I_0]]&lt;Table24[Flitro de Ruido],1,Table8[[#This Row],[I_10]]/Table8[[#This Row],[I_0]])</f>
        <v>1</v>
      </c>
      <c r="V1111" s="13" cm="1">
        <f t="array" ref="V1111">IF(Table8[[#This Row],[I_0]]&lt;Table24[Flitro de Ruido],1,Table8[[#This Row],[I_20]]/Table8[[#This Row],[I_0]])</f>
        <v>1</v>
      </c>
      <c r="W1111" s="13" cm="1">
        <f t="array" ref="W1111">IF(Table8[[#This Row],[I_0]]&lt;Table24[Flitro de Ruido],1,Table8[[#This Row],[I_30]]/Table8[[#This Row],[I_0]])</f>
        <v>1</v>
      </c>
      <c r="X1111" s="13" cm="1">
        <f t="array" ref="X1111">IF(Table8[[#This Row],[I_0]]&lt;Table24[Flitro de Ruido],1,Table8[[#This Row],[I_40]]/Table8[[#This Row],[I_0]])</f>
        <v>1</v>
      </c>
      <c r="Y1111" s="13" cm="1">
        <f t="array" ref="Y1111">IF(Table8[[#This Row],[I_0]]&lt;Table24[Flitro de Ruido],1,Table8[[#This Row],[I_50]]/Table8[[#This Row],[I_0]])</f>
        <v>1</v>
      </c>
    </row>
    <row r="1112" spans="1:25" x14ac:dyDescent="0.3">
      <c r="A1112" s="13">
        <v>1171.1400000000001</v>
      </c>
      <c r="B1112" s="12">
        <v>0</v>
      </c>
      <c r="C1112" s="11">
        <v>1171.1400000000001</v>
      </c>
      <c r="D1112" s="12">
        <v>0</v>
      </c>
      <c r="E1112" s="11">
        <v>1171.1400000000001</v>
      </c>
      <c r="F1112" s="12">
        <v>0</v>
      </c>
      <c r="G1112" s="11">
        <v>1171.1400000000001</v>
      </c>
      <c r="H1112" s="12">
        <v>0</v>
      </c>
      <c r="I1112" s="11">
        <v>1171.1400000000001</v>
      </c>
      <c r="J1112" s="12">
        <v>0</v>
      </c>
      <c r="K1112" s="11">
        <v>1171.1400000000001</v>
      </c>
      <c r="L1112" s="12">
        <v>0</v>
      </c>
      <c r="M1112" s="11">
        <v>1171.1400000000001</v>
      </c>
      <c r="N1112" s="13">
        <v>0</v>
      </c>
      <c r="O1112" s="11">
        <v>0</v>
      </c>
      <c r="P1112" s="11">
        <v>0</v>
      </c>
      <c r="Q1112" s="11">
        <v>0</v>
      </c>
      <c r="R1112" s="11">
        <v>0</v>
      </c>
      <c r="S1112" s="14">
        <v>0</v>
      </c>
      <c r="T1112" s="11">
        <v>1171.1400000000001</v>
      </c>
      <c r="U1112" s="13" cm="1">
        <f t="array" ref="U1112">IF(Table8[[#This Row],[I_0]]&lt;Table24[Flitro de Ruido],1,Table8[[#This Row],[I_10]]/Table8[[#This Row],[I_0]])</f>
        <v>1</v>
      </c>
      <c r="V1112" s="13" cm="1">
        <f t="array" ref="V1112">IF(Table8[[#This Row],[I_0]]&lt;Table24[Flitro de Ruido],1,Table8[[#This Row],[I_20]]/Table8[[#This Row],[I_0]])</f>
        <v>1</v>
      </c>
      <c r="W1112" s="13" cm="1">
        <f t="array" ref="W1112">IF(Table8[[#This Row],[I_0]]&lt;Table24[Flitro de Ruido],1,Table8[[#This Row],[I_30]]/Table8[[#This Row],[I_0]])</f>
        <v>1</v>
      </c>
      <c r="X1112" s="13" cm="1">
        <f t="array" ref="X1112">IF(Table8[[#This Row],[I_0]]&lt;Table24[Flitro de Ruido],1,Table8[[#This Row],[I_40]]/Table8[[#This Row],[I_0]])</f>
        <v>1</v>
      </c>
      <c r="Y1112" s="13" cm="1">
        <f t="array" ref="Y1112">IF(Table8[[#This Row],[I_0]]&lt;Table24[Flitro de Ruido],1,Table8[[#This Row],[I_50]]/Table8[[#This Row],[I_0]])</f>
        <v>1</v>
      </c>
    </row>
    <row r="1113" spans="1:25" x14ac:dyDescent="0.3">
      <c r="A1113" s="13">
        <v>1172.1300000000001</v>
      </c>
      <c r="B1113" s="12">
        <v>0</v>
      </c>
      <c r="C1113" s="11">
        <v>1172.1300000000001</v>
      </c>
      <c r="D1113" s="12">
        <v>0</v>
      </c>
      <c r="E1113" s="11">
        <v>1172.1300000000001</v>
      </c>
      <c r="F1113" s="12">
        <v>0</v>
      </c>
      <c r="G1113" s="11">
        <v>1172.1300000000001</v>
      </c>
      <c r="H1113" s="12">
        <v>0</v>
      </c>
      <c r="I1113" s="11">
        <v>1172.1300000000001</v>
      </c>
      <c r="J1113" s="12">
        <v>0</v>
      </c>
      <c r="K1113" s="11">
        <v>1172.1300000000001</v>
      </c>
      <c r="L1113" s="12">
        <v>0</v>
      </c>
      <c r="M1113" s="11">
        <v>1172.1300000000001</v>
      </c>
      <c r="N1113" s="13">
        <v>0</v>
      </c>
      <c r="O1113" s="11">
        <v>0</v>
      </c>
      <c r="P1113" s="11">
        <v>0</v>
      </c>
      <c r="Q1113" s="11">
        <v>0</v>
      </c>
      <c r="R1113" s="11">
        <v>0</v>
      </c>
      <c r="S1113" s="14">
        <v>0</v>
      </c>
      <c r="T1113" s="11">
        <v>1172.1300000000001</v>
      </c>
      <c r="U1113" s="13" cm="1">
        <f t="array" ref="U1113">IF(Table8[[#This Row],[I_0]]&lt;Table24[Flitro de Ruido],1,Table8[[#This Row],[I_10]]/Table8[[#This Row],[I_0]])</f>
        <v>1</v>
      </c>
      <c r="V1113" s="13" cm="1">
        <f t="array" ref="V1113">IF(Table8[[#This Row],[I_0]]&lt;Table24[Flitro de Ruido],1,Table8[[#This Row],[I_20]]/Table8[[#This Row],[I_0]])</f>
        <v>1</v>
      </c>
      <c r="W1113" s="13" cm="1">
        <f t="array" ref="W1113">IF(Table8[[#This Row],[I_0]]&lt;Table24[Flitro de Ruido],1,Table8[[#This Row],[I_30]]/Table8[[#This Row],[I_0]])</f>
        <v>1</v>
      </c>
      <c r="X1113" s="13" cm="1">
        <f t="array" ref="X1113">IF(Table8[[#This Row],[I_0]]&lt;Table24[Flitro de Ruido],1,Table8[[#This Row],[I_40]]/Table8[[#This Row],[I_0]])</f>
        <v>1</v>
      </c>
      <c r="Y1113" s="13" cm="1">
        <f t="array" ref="Y1113">IF(Table8[[#This Row],[I_0]]&lt;Table24[Flitro de Ruido],1,Table8[[#This Row],[I_50]]/Table8[[#This Row],[I_0]])</f>
        <v>1</v>
      </c>
    </row>
    <row r="1114" spans="1:25" x14ac:dyDescent="0.3">
      <c r="A1114" s="13">
        <v>1173.1199999999999</v>
      </c>
      <c r="B1114" s="12">
        <v>0</v>
      </c>
      <c r="C1114" s="11">
        <v>1173.1199999999999</v>
      </c>
      <c r="D1114" s="12">
        <v>0</v>
      </c>
      <c r="E1114" s="11">
        <v>1173.1199999999999</v>
      </c>
      <c r="F1114" s="12">
        <v>0</v>
      </c>
      <c r="G1114" s="11">
        <v>1173.1199999999999</v>
      </c>
      <c r="H1114" s="12">
        <v>0</v>
      </c>
      <c r="I1114" s="11">
        <v>1173.1199999999999</v>
      </c>
      <c r="J1114" s="12">
        <v>0</v>
      </c>
      <c r="K1114" s="11">
        <v>1173.1199999999999</v>
      </c>
      <c r="L1114" s="12">
        <v>0</v>
      </c>
      <c r="M1114" s="11">
        <v>1173.1199999999999</v>
      </c>
      <c r="N1114" s="13">
        <v>0</v>
      </c>
      <c r="O1114" s="11">
        <v>0</v>
      </c>
      <c r="P1114" s="11">
        <v>0</v>
      </c>
      <c r="Q1114" s="11">
        <v>0</v>
      </c>
      <c r="R1114" s="11">
        <v>0</v>
      </c>
      <c r="S1114" s="14">
        <v>0</v>
      </c>
      <c r="T1114" s="11">
        <v>1173.1199999999999</v>
      </c>
      <c r="U1114" s="13" cm="1">
        <f t="array" ref="U1114">IF(Table8[[#This Row],[I_0]]&lt;Table24[Flitro de Ruido],1,Table8[[#This Row],[I_10]]/Table8[[#This Row],[I_0]])</f>
        <v>1</v>
      </c>
      <c r="V1114" s="13" cm="1">
        <f t="array" ref="V1114">IF(Table8[[#This Row],[I_0]]&lt;Table24[Flitro de Ruido],1,Table8[[#This Row],[I_20]]/Table8[[#This Row],[I_0]])</f>
        <v>1</v>
      </c>
      <c r="W1114" s="13" cm="1">
        <f t="array" ref="W1114">IF(Table8[[#This Row],[I_0]]&lt;Table24[Flitro de Ruido],1,Table8[[#This Row],[I_30]]/Table8[[#This Row],[I_0]])</f>
        <v>1</v>
      </c>
      <c r="X1114" s="13" cm="1">
        <f t="array" ref="X1114">IF(Table8[[#This Row],[I_0]]&lt;Table24[Flitro de Ruido],1,Table8[[#This Row],[I_40]]/Table8[[#This Row],[I_0]])</f>
        <v>1</v>
      </c>
      <c r="Y1114" s="13" cm="1">
        <f t="array" ref="Y1114">IF(Table8[[#This Row],[I_0]]&lt;Table24[Flitro de Ruido],1,Table8[[#This Row],[I_50]]/Table8[[#This Row],[I_0]])</f>
        <v>1</v>
      </c>
    </row>
    <row r="1115" spans="1:25" x14ac:dyDescent="0.3">
      <c r="A1115" s="13">
        <v>1174.1099999999999</v>
      </c>
      <c r="B1115" s="12">
        <v>0</v>
      </c>
      <c r="C1115" s="11">
        <v>1174.1099999999999</v>
      </c>
      <c r="D1115" s="12">
        <v>0</v>
      </c>
      <c r="E1115" s="11">
        <v>1174.1099999999999</v>
      </c>
      <c r="F1115" s="12">
        <v>0</v>
      </c>
      <c r="G1115" s="11">
        <v>1174.1099999999999</v>
      </c>
      <c r="H1115" s="12">
        <v>0</v>
      </c>
      <c r="I1115" s="11">
        <v>1174.1099999999999</v>
      </c>
      <c r="J1115" s="12">
        <v>0</v>
      </c>
      <c r="K1115" s="11">
        <v>1174.1099999999999</v>
      </c>
      <c r="L1115" s="12">
        <v>0</v>
      </c>
      <c r="M1115" s="11">
        <v>1174.1099999999999</v>
      </c>
      <c r="N1115" s="13">
        <v>0</v>
      </c>
      <c r="O1115" s="11">
        <v>0</v>
      </c>
      <c r="P1115" s="11">
        <v>0</v>
      </c>
      <c r="Q1115" s="11">
        <v>0</v>
      </c>
      <c r="R1115" s="11">
        <v>0</v>
      </c>
      <c r="S1115" s="14">
        <v>0</v>
      </c>
      <c r="T1115" s="11">
        <v>1174.1099999999999</v>
      </c>
      <c r="U1115" s="13" cm="1">
        <f t="array" ref="U1115">IF(Table8[[#This Row],[I_0]]&lt;Table24[Flitro de Ruido],1,Table8[[#This Row],[I_10]]/Table8[[#This Row],[I_0]])</f>
        <v>1</v>
      </c>
      <c r="V1115" s="13" cm="1">
        <f t="array" ref="V1115">IF(Table8[[#This Row],[I_0]]&lt;Table24[Flitro de Ruido],1,Table8[[#This Row],[I_20]]/Table8[[#This Row],[I_0]])</f>
        <v>1</v>
      </c>
      <c r="W1115" s="13" cm="1">
        <f t="array" ref="W1115">IF(Table8[[#This Row],[I_0]]&lt;Table24[Flitro de Ruido],1,Table8[[#This Row],[I_30]]/Table8[[#This Row],[I_0]])</f>
        <v>1</v>
      </c>
      <c r="X1115" s="13" cm="1">
        <f t="array" ref="X1115">IF(Table8[[#This Row],[I_0]]&lt;Table24[Flitro de Ruido],1,Table8[[#This Row],[I_40]]/Table8[[#This Row],[I_0]])</f>
        <v>1</v>
      </c>
      <c r="Y1115" s="13" cm="1">
        <f t="array" ref="Y1115">IF(Table8[[#This Row],[I_0]]&lt;Table24[Flitro de Ruido],1,Table8[[#This Row],[I_50]]/Table8[[#This Row],[I_0]])</f>
        <v>1</v>
      </c>
    </row>
    <row r="1116" spans="1:25" x14ac:dyDescent="0.3">
      <c r="A1116" s="13">
        <v>1175.1099999999999</v>
      </c>
      <c r="B1116" s="12">
        <v>0</v>
      </c>
      <c r="C1116" s="11">
        <v>1175.1099999999999</v>
      </c>
      <c r="D1116" s="12">
        <v>0</v>
      </c>
      <c r="E1116" s="11">
        <v>1175.1099999999999</v>
      </c>
      <c r="F1116" s="12">
        <v>0</v>
      </c>
      <c r="G1116" s="11">
        <v>1175.1099999999999</v>
      </c>
      <c r="H1116" s="12">
        <v>0</v>
      </c>
      <c r="I1116" s="11">
        <v>1175.1099999999999</v>
      </c>
      <c r="J1116" s="12">
        <v>0</v>
      </c>
      <c r="K1116" s="11">
        <v>1175.1099999999999</v>
      </c>
      <c r="L1116" s="12">
        <v>0</v>
      </c>
      <c r="M1116" s="11">
        <v>1175.1099999999999</v>
      </c>
      <c r="N1116" s="13">
        <v>0</v>
      </c>
      <c r="O1116" s="11">
        <v>0</v>
      </c>
      <c r="P1116" s="11">
        <v>0</v>
      </c>
      <c r="Q1116" s="11">
        <v>0</v>
      </c>
      <c r="R1116" s="11">
        <v>0</v>
      </c>
      <c r="S1116" s="14">
        <v>0</v>
      </c>
      <c r="T1116" s="11">
        <v>1175.1099999999999</v>
      </c>
      <c r="U1116" s="13" cm="1">
        <f t="array" ref="U1116">IF(Table8[[#This Row],[I_0]]&lt;Table24[Flitro de Ruido],1,Table8[[#This Row],[I_10]]/Table8[[#This Row],[I_0]])</f>
        <v>1</v>
      </c>
      <c r="V1116" s="13" cm="1">
        <f t="array" ref="V1116">IF(Table8[[#This Row],[I_0]]&lt;Table24[Flitro de Ruido],1,Table8[[#This Row],[I_20]]/Table8[[#This Row],[I_0]])</f>
        <v>1</v>
      </c>
      <c r="W1116" s="13" cm="1">
        <f t="array" ref="W1116">IF(Table8[[#This Row],[I_0]]&lt;Table24[Flitro de Ruido],1,Table8[[#This Row],[I_30]]/Table8[[#This Row],[I_0]])</f>
        <v>1</v>
      </c>
      <c r="X1116" s="13" cm="1">
        <f t="array" ref="X1116">IF(Table8[[#This Row],[I_0]]&lt;Table24[Flitro de Ruido],1,Table8[[#This Row],[I_40]]/Table8[[#This Row],[I_0]])</f>
        <v>1</v>
      </c>
      <c r="Y1116" s="13" cm="1">
        <f t="array" ref="Y1116">IF(Table8[[#This Row],[I_0]]&lt;Table24[Flitro de Ruido],1,Table8[[#This Row],[I_50]]/Table8[[#This Row],[I_0]])</f>
        <v>1</v>
      </c>
    </row>
    <row r="1117" spans="1:25" x14ac:dyDescent="0.3">
      <c r="A1117" s="13">
        <v>1176.0999999999999</v>
      </c>
      <c r="B1117" s="12">
        <v>0</v>
      </c>
      <c r="C1117" s="11">
        <v>1176.0999999999999</v>
      </c>
      <c r="D1117" s="12">
        <v>0</v>
      </c>
      <c r="E1117" s="11">
        <v>1176.0999999999999</v>
      </c>
      <c r="F1117" s="12">
        <v>0</v>
      </c>
      <c r="G1117" s="11">
        <v>1176.0999999999999</v>
      </c>
      <c r="H1117" s="12">
        <v>0</v>
      </c>
      <c r="I1117" s="11">
        <v>1176.0999999999999</v>
      </c>
      <c r="J1117" s="12">
        <v>0</v>
      </c>
      <c r="K1117" s="11">
        <v>1176.0999999999999</v>
      </c>
      <c r="L1117" s="12">
        <v>0</v>
      </c>
      <c r="M1117" s="11">
        <v>1176.0999999999999</v>
      </c>
      <c r="N1117" s="13">
        <v>0</v>
      </c>
      <c r="O1117" s="11">
        <v>0</v>
      </c>
      <c r="P1117" s="11">
        <v>0</v>
      </c>
      <c r="Q1117" s="11">
        <v>0</v>
      </c>
      <c r="R1117" s="11">
        <v>0</v>
      </c>
      <c r="S1117" s="14">
        <v>0</v>
      </c>
      <c r="T1117" s="11">
        <v>1176.0999999999999</v>
      </c>
      <c r="U1117" s="13" cm="1">
        <f t="array" ref="U1117">IF(Table8[[#This Row],[I_0]]&lt;Table24[Flitro de Ruido],1,Table8[[#This Row],[I_10]]/Table8[[#This Row],[I_0]])</f>
        <v>1</v>
      </c>
      <c r="V1117" s="13" cm="1">
        <f t="array" ref="V1117">IF(Table8[[#This Row],[I_0]]&lt;Table24[Flitro de Ruido],1,Table8[[#This Row],[I_20]]/Table8[[#This Row],[I_0]])</f>
        <v>1</v>
      </c>
      <c r="W1117" s="13" cm="1">
        <f t="array" ref="W1117">IF(Table8[[#This Row],[I_0]]&lt;Table24[Flitro de Ruido],1,Table8[[#This Row],[I_30]]/Table8[[#This Row],[I_0]])</f>
        <v>1</v>
      </c>
      <c r="X1117" s="13" cm="1">
        <f t="array" ref="X1117">IF(Table8[[#This Row],[I_0]]&lt;Table24[Flitro de Ruido],1,Table8[[#This Row],[I_40]]/Table8[[#This Row],[I_0]])</f>
        <v>1</v>
      </c>
      <c r="Y1117" s="13" cm="1">
        <f t="array" ref="Y1117">IF(Table8[[#This Row],[I_0]]&lt;Table24[Flitro de Ruido],1,Table8[[#This Row],[I_50]]/Table8[[#This Row],[I_0]])</f>
        <v>1</v>
      </c>
    </row>
    <row r="1118" spans="1:25" x14ac:dyDescent="0.3">
      <c r="A1118" s="13">
        <v>1177.0899999999999</v>
      </c>
      <c r="B1118" s="12">
        <v>0</v>
      </c>
      <c r="C1118" s="11">
        <v>1177.0899999999999</v>
      </c>
      <c r="D1118" s="12">
        <v>0</v>
      </c>
      <c r="E1118" s="11">
        <v>1177.0899999999999</v>
      </c>
      <c r="F1118" s="12">
        <v>0</v>
      </c>
      <c r="G1118" s="11">
        <v>1177.0899999999999</v>
      </c>
      <c r="H1118" s="12">
        <v>0</v>
      </c>
      <c r="I1118" s="11">
        <v>1177.0899999999999</v>
      </c>
      <c r="J1118" s="12">
        <v>0</v>
      </c>
      <c r="K1118" s="11">
        <v>1177.0899999999999</v>
      </c>
      <c r="L1118" s="12">
        <v>0</v>
      </c>
      <c r="M1118" s="11">
        <v>1177.0899999999999</v>
      </c>
      <c r="N1118" s="13">
        <v>0</v>
      </c>
      <c r="O1118" s="11">
        <v>0</v>
      </c>
      <c r="P1118" s="11">
        <v>0</v>
      </c>
      <c r="Q1118" s="11">
        <v>0</v>
      </c>
      <c r="R1118" s="11">
        <v>0</v>
      </c>
      <c r="S1118" s="14">
        <v>0</v>
      </c>
      <c r="T1118" s="11">
        <v>1177.0899999999999</v>
      </c>
      <c r="U1118" s="13" cm="1">
        <f t="array" ref="U1118">IF(Table8[[#This Row],[I_0]]&lt;Table24[Flitro de Ruido],1,Table8[[#This Row],[I_10]]/Table8[[#This Row],[I_0]])</f>
        <v>1</v>
      </c>
      <c r="V1118" s="13" cm="1">
        <f t="array" ref="V1118">IF(Table8[[#This Row],[I_0]]&lt;Table24[Flitro de Ruido],1,Table8[[#This Row],[I_20]]/Table8[[#This Row],[I_0]])</f>
        <v>1</v>
      </c>
      <c r="W1118" s="13" cm="1">
        <f t="array" ref="W1118">IF(Table8[[#This Row],[I_0]]&lt;Table24[Flitro de Ruido],1,Table8[[#This Row],[I_30]]/Table8[[#This Row],[I_0]])</f>
        <v>1</v>
      </c>
      <c r="X1118" s="13" cm="1">
        <f t="array" ref="X1118">IF(Table8[[#This Row],[I_0]]&lt;Table24[Flitro de Ruido],1,Table8[[#This Row],[I_40]]/Table8[[#This Row],[I_0]])</f>
        <v>1</v>
      </c>
      <c r="Y1118" s="13" cm="1">
        <f t="array" ref="Y1118">IF(Table8[[#This Row],[I_0]]&lt;Table24[Flitro de Ruido],1,Table8[[#This Row],[I_50]]/Table8[[#This Row],[I_0]])</f>
        <v>1</v>
      </c>
    </row>
    <row r="1119" spans="1:25" x14ac:dyDescent="0.3">
      <c r="A1119" s="13">
        <v>1178.08</v>
      </c>
      <c r="B1119" s="12">
        <v>0</v>
      </c>
      <c r="C1119" s="11">
        <v>1178.08</v>
      </c>
      <c r="D1119" s="12">
        <v>0</v>
      </c>
      <c r="E1119" s="11">
        <v>1178.08</v>
      </c>
      <c r="F1119" s="12">
        <v>0</v>
      </c>
      <c r="G1119" s="11">
        <v>1178.08</v>
      </c>
      <c r="H1119" s="12">
        <v>0</v>
      </c>
      <c r="I1119" s="11">
        <v>1178.08</v>
      </c>
      <c r="J1119" s="12">
        <v>0</v>
      </c>
      <c r="K1119" s="11">
        <v>1178.08</v>
      </c>
      <c r="L1119" s="12">
        <v>0</v>
      </c>
      <c r="M1119" s="11">
        <v>1178.08</v>
      </c>
      <c r="N1119" s="13">
        <v>0</v>
      </c>
      <c r="O1119" s="11">
        <v>0</v>
      </c>
      <c r="P1119" s="11">
        <v>0</v>
      </c>
      <c r="Q1119" s="11">
        <v>0</v>
      </c>
      <c r="R1119" s="11">
        <v>0</v>
      </c>
      <c r="S1119" s="14">
        <v>0</v>
      </c>
      <c r="T1119" s="11">
        <v>1178.08</v>
      </c>
      <c r="U1119" s="13" cm="1">
        <f t="array" ref="U1119">IF(Table8[[#This Row],[I_0]]&lt;Table24[Flitro de Ruido],1,Table8[[#This Row],[I_10]]/Table8[[#This Row],[I_0]])</f>
        <v>1</v>
      </c>
      <c r="V1119" s="13" cm="1">
        <f t="array" ref="V1119">IF(Table8[[#This Row],[I_0]]&lt;Table24[Flitro de Ruido],1,Table8[[#This Row],[I_20]]/Table8[[#This Row],[I_0]])</f>
        <v>1</v>
      </c>
      <c r="W1119" s="13" cm="1">
        <f t="array" ref="W1119">IF(Table8[[#This Row],[I_0]]&lt;Table24[Flitro de Ruido],1,Table8[[#This Row],[I_30]]/Table8[[#This Row],[I_0]])</f>
        <v>1</v>
      </c>
      <c r="X1119" s="13" cm="1">
        <f t="array" ref="X1119">IF(Table8[[#This Row],[I_0]]&lt;Table24[Flitro de Ruido],1,Table8[[#This Row],[I_40]]/Table8[[#This Row],[I_0]])</f>
        <v>1</v>
      </c>
      <c r="Y1119" s="13" cm="1">
        <f t="array" ref="Y1119">IF(Table8[[#This Row],[I_0]]&lt;Table24[Flitro de Ruido],1,Table8[[#This Row],[I_50]]/Table8[[#This Row],[I_0]])</f>
        <v>1</v>
      </c>
    </row>
    <row r="1120" spans="1:25" x14ac:dyDescent="0.3">
      <c r="A1120" s="13">
        <v>1179.07</v>
      </c>
      <c r="B1120" s="12">
        <v>0</v>
      </c>
      <c r="C1120" s="11">
        <v>1179.07</v>
      </c>
      <c r="D1120" s="12">
        <v>0</v>
      </c>
      <c r="E1120" s="11">
        <v>1179.07</v>
      </c>
      <c r="F1120" s="12">
        <v>0</v>
      </c>
      <c r="G1120" s="11">
        <v>1179.07</v>
      </c>
      <c r="H1120" s="12">
        <v>0</v>
      </c>
      <c r="I1120" s="11">
        <v>1179.07</v>
      </c>
      <c r="J1120" s="12">
        <v>0</v>
      </c>
      <c r="K1120" s="11">
        <v>1179.07</v>
      </c>
      <c r="L1120" s="12">
        <v>0</v>
      </c>
      <c r="M1120" s="11">
        <v>1179.07</v>
      </c>
      <c r="N1120" s="13">
        <v>0</v>
      </c>
      <c r="O1120" s="11">
        <v>0</v>
      </c>
      <c r="P1120" s="11">
        <v>0</v>
      </c>
      <c r="Q1120" s="11">
        <v>0</v>
      </c>
      <c r="R1120" s="11">
        <v>0</v>
      </c>
      <c r="S1120" s="14">
        <v>0</v>
      </c>
      <c r="T1120" s="11">
        <v>1179.07</v>
      </c>
      <c r="U1120" s="13" cm="1">
        <f t="array" ref="U1120">IF(Table8[[#This Row],[I_0]]&lt;Table24[Flitro de Ruido],1,Table8[[#This Row],[I_10]]/Table8[[#This Row],[I_0]])</f>
        <v>1</v>
      </c>
      <c r="V1120" s="13" cm="1">
        <f t="array" ref="V1120">IF(Table8[[#This Row],[I_0]]&lt;Table24[Flitro de Ruido],1,Table8[[#This Row],[I_20]]/Table8[[#This Row],[I_0]])</f>
        <v>1</v>
      </c>
      <c r="W1120" s="13" cm="1">
        <f t="array" ref="W1120">IF(Table8[[#This Row],[I_0]]&lt;Table24[Flitro de Ruido],1,Table8[[#This Row],[I_30]]/Table8[[#This Row],[I_0]])</f>
        <v>1</v>
      </c>
      <c r="X1120" s="13" cm="1">
        <f t="array" ref="X1120">IF(Table8[[#This Row],[I_0]]&lt;Table24[Flitro de Ruido],1,Table8[[#This Row],[I_40]]/Table8[[#This Row],[I_0]])</f>
        <v>1</v>
      </c>
      <c r="Y1120" s="13" cm="1">
        <f t="array" ref="Y1120">IF(Table8[[#This Row],[I_0]]&lt;Table24[Flitro de Ruido],1,Table8[[#This Row],[I_50]]/Table8[[#This Row],[I_0]])</f>
        <v>1</v>
      </c>
    </row>
    <row r="1121" spans="1:25" x14ac:dyDescent="0.3">
      <c r="A1121" s="13">
        <v>1180.06</v>
      </c>
      <c r="B1121" s="12">
        <v>0</v>
      </c>
      <c r="C1121" s="11">
        <v>1180.06</v>
      </c>
      <c r="D1121" s="12">
        <v>0</v>
      </c>
      <c r="E1121" s="11">
        <v>1180.06</v>
      </c>
      <c r="F1121" s="12">
        <v>0</v>
      </c>
      <c r="G1121" s="11">
        <v>1180.06</v>
      </c>
      <c r="H1121" s="12">
        <v>0</v>
      </c>
      <c r="I1121" s="11">
        <v>1180.06</v>
      </c>
      <c r="J1121" s="12">
        <v>0</v>
      </c>
      <c r="K1121" s="11">
        <v>1180.06</v>
      </c>
      <c r="L1121" s="12">
        <v>0.1</v>
      </c>
      <c r="M1121" s="11">
        <v>1180.06</v>
      </c>
      <c r="N1121" s="13">
        <v>0</v>
      </c>
      <c r="O1121" s="11">
        <v>0</v>
      </c>
      <c r="P1121" s="11">
        <v>0</v>
      </c>
      <c r="Q1121" s="11">
        <v>0</v>
      </c>
      <c r="R1121" s="11">
        <v>0</v>
      </c>
      <c r="S1121" s="14">
        <v>0.1</v>
      </c>
      <c r="T1121" s="11">
        <v>1180.06</v>
      </c>
      <c r="U1121" s="13" cm="1">
        <f t="array" ref="U1121">IF(Table8[[#This Row],[I_0]]&lt;Table24[Flitro de Ruido],1,Table8[[#This Row],[I_10]]/Table8[[#This Row],[I_0]])</f>
        <v>1</v>
      </c>
      <c r="V1121" s="13" cm="1">
        <f t="array" ref="V1121">IF(Table8[[#This Row],[I_0]]&lt;Table24[Flitro de Ruido],1,Table8[[#This Row],[I_20]]/Table8[[#This Row],[I_0]])</f>
        <v>1</v>
      </c>
      <c r="W1121" s="13" cm="1">
        <f t="array" ref="W1121">IF(Table8[[#This Row],[I_0]]&lt;Table24[Flitro de Ruido],1,Table8[[#This Row],[I_30]]/Table8[[#This Row],[I_0]])</f>
        <v>1</v>
      </c>
      <c r="X1121" s="13" cm="1">
        <f t="array" ref="X1121">IF(Table8[[#This Row],[I_0]]&lt;Table24[Flitro de Ruido],1,Table8[[#This Row],[I_40]]/Table8[[#This Row],[I_0]])</f>
        <v>1</v>
      </c>
      <c r="Y1121" s="13" cm="1">
        <f t="array" ref="Y1121">IF(Table8[[#This Row],[I_0]]&lt;Table24[Flitro de Ruido],1,Table8[[#This Row],[I_50]]/Table8[[#This Row],[I_0]])</f>
        <v>1</v>
      </c>
    </row>
    <row r="1122" spans="1:25" x14ac:dyDescent="0.3">
      <c r="A1122" s="13">
        <v>1181.06</v>
      </c>
      <c r="B1122" s="12">
        <v>0</v>
      </c>
      <c r="C1122" s="11">
        <v>1181.06</v>
      </c>
      <c r="D1122" s="12">
        <v>0</v>
      </c>
      <c r="E1122" s="11">
        <v>1181.06</v>
      </c>
      <c r="F1122" s="12">
        <v>0</v>
      </c>
      <c r="G1122" s="11">
        <v>1181.06</v>
      </c>
      <c r="H1122" s="12">
        <v>0</v>
      </c>
      <c r="I1122" s="11">
        <v>1181.06</v>
      </c>
      <c r="J1122" s="12">
        <v>0</v>
      </c>
      <c r="K1122" s="11">
        <v>1181.06</v>
      </c>
      <c r="L1122" s="12">
        <v>0.1</v>
      </c>
      <c r="M1122" s="11">
        <v>1181.06</v>
      </c>
      <c r="N1122" s="13">
        <v>0</v>
      </c>
      <c r="O1122" s="11">
        <v>0</v>
      </c>
      <c r="P1122" s="11">
        <v>0</v>
      </c>
      <c r="Q1122" s="11">
        <v>0</v>
      </c>
      <c r="R1122" s="11">
        <v>0</v>
      </c>
      <c r="S1122" s="14">
        <v>0.1</v>
      </c>
      <c r="T1122" s="11">
        <v>1181.06</v>
      </c>
      <c r="U1122" s="13" cm="1">
        <f t="array" ref="U1122">IF(Table8[[#This Row],[I_0]]&lt;Table24[Flitro de Ruido],1,Table8[[#This Row],[I_10]]/Table8[[#This Row],[I_0]])</f>
        <v>1</v>
      </c>
      <c r="V1122" s="13" cm="1">
        <f t="array" ref="V1122">IF(Table8[[#This Row],[I_0]]&lt;Table24[Flitro de Ruido],1,Table8[[#This Row],[I_20]]/Table8[[#This Row],[I_0]])</f>
        <v>1</v>
      </c>
      <c r="W1122" s="13" cm="1">
        <f t="array" ref="W1122">IF(Table8[[#This Row],[I_0]]&lt;Table24[Flitro de Ruido],1,Table8[[#This Row],[I_30]]/Table8[[#This Row],[I_0]])</f>
        <v>1</v>
      </c>
      <c r="X1122" s="13" cm="1">
        <f t="array" ref="X1122">IF(Table8[[#This Row],[I_0]]&lt;Table24[Flitro de Ruido],1,Table8[[#This Row],[I_40]]/Table8[[#This Row],[I_0]])</f>
        <v>1</v>
      </c>
      <c r="Y1122" s="13" cm="1">
        <f t="array" ref="Y1122">IF(Table8[[#This Row],[I_0]]&lt;Table24[Flitro de Ruido],1,Table8[[#This Row],[I_50]]/Table8[[#This Row],[I_0]])</f>
        <v>1</v>
      </c>
    </row>
    <row r="1123" spans="1:25" x14ac:dyDescent="0.3">
      <c r="A1123" s="13">
        <v>1182.05</v>
      </c>
      <c r="B1123" s="12">
        <v>0</v>
      </c>
      <c r="C1123" s="11">
        <v>1182.05</v>
      </c>
      <c r="D1123" s="12">
        <v>0</v>
      </c>
      <c r="E1123" s="11">
        <v>1182.05</v>
      </c>
      <c r="F1123" s="12">
        <v>0</v>
      </c>
      <c r="G1123" s="11">
        <v>1182.05</v>
      </c>
      <c r="H1123" s="12">
        <v>0</v>
      </c>
      <c r="I1123" s="11">
        <v>1182.05</v>
      </c>
      <c r="J1123" s="12">
        <v>0</v>
      </c>
      <c r="K1123" s="11">
        <v>1182.05</v>
      </c>
      <c r="L1123" s="12">
        <v>0.1</v>
      </c>
      <c r="M1123" s="11">
        <v>1182.05</v>
      </c>
      <c r="N1123" s="13">
        <v>0</v>
      </c>
      <c r="O1123" s="11">
        <v>0</v>
      </c>
      <c r="P1123" s="11">
        <v>0</v>
      </c>
      <c r="Q1123" s="11">
        <v>0</v>
      </c>
      <c r="R1123" s="11">
        <v>0</v>
      </c>
      <c r="S1123" s="14">
        <v>0.1</v>
      </c>
      <c r="T1123" s="11">
        <v>1182.05</v>
      </c>
      <c r="U1123" s="13" cm="1">
        <f t="array" ref="U1123">IF(Table8[[#This Row],[I_0]]&lt;Table24[Flitro de Ruido],1,Table8[[#This Row],[I_10]]/Table8[[#This Row],[I_0]])</f>
        <v>1</v>
      </c>
      <c r="V1123" s="13" cm="1">
        <f t="array" ref="V1123">IF(Table8[[#This Row],[I_0]]&lt;Table24[Flitro de Ruido],1,Table8[[#This Row],[I_20]]/Table8[[#This Row],[I_0]])</f>
        <v>1</v>
      </c>
      <c r="W1123" s="13" cm="1">
        <f t="array" ref="W1123">IF(Table8[[#This Row],[I_0]]&lt;Table24[Flitro de Ruido],1,Table8[[#This Row],[I_30]]/Table8[[#This Row],[I_0]])</f>
        <v>1</v>
      </c>
      <c r="X1123" s="13" cm="1">
        <f t="array" ref="X1123">IF(Table8[[#This Row],[I_0]]&lt;Table24[Flitro de Ruido],1,Table8[[#This Row],[I_40]]/Table8[[#This Row],[I_0]])</f>
        <v>1</v>
      </c>
      <c r="Y1123" s="13" cm="1">
        <f t="array" ref="Y1123">IF(Table8[[#This Row],[I_0]]&lt;Table24[Flitro de Ruido],1,Table8[[#This Row],[I_50]]/Table8[[#This Row],[I_0]])</f>
        <v>1</v>
      </c>
    </row>
    <row r="1124" spans="1:25" x14ac:dyDescent="0.3">
      <c r="A1124" s="13">
        <v>1183.04</v>
      </c>
      <c r="B1124" s="12">
        <v>0</v>
      </c>
      <c r="C1124" s="11">
        <v>1183.04</v>
      </c>
      <c r="D1124" s="12">
        <v>0</v>
      </c>
      <c r="E1124" s="11">
        <v>1183.04</v>
      </c>
      <c r="F1124" s="12">
        <v>0</v>
      </c>
      <c r="G1124" s="11">
        <v>1183.04</v>
      </c>
      <c r="H1124" s="12">
        <v>0</v>
      </c>
      <c r="I1124" s="11">
        <v>1183.04</v>
      </c>
      <c r="J1124" s="12">
        <v>0.1</v>
      </c>
      <c r="K1124" s="11">
        <v>1183.04</v>
      </c>
      <c r="L1124" s="12">
        <v>0.1</v>
      </c>
      <c r="M1124" s="11">
        <v>1183.04</v>
      </c>
      <c r="N1124" s="13">
        <v>0</v>
      </c>
      <c r="O1124" s="11">
        <v>0</v>
      </c>
      <c r="P1124" s="11">
        <v>0</v>
      </c>
      <c r="Q1124" s="11">
        <v>0</v>
      </c>
      <c r="R1124" s="11">
        <v>0.1</v>
      </c>
      <c r="S1124" s="14">
        <v>0.1</v>
      </c>
      <c r="T1124" s="11">
        <v>1183.04</v>
      </c>
      <c r="U1124" s="13" cm="1">
        <f t="array" ref="U1124">IF(Table8[[#This Row],[I_0]]&lt;Table24[Flitro de Ruido],1,Table8[[#This Row],[I_10]]/Table8[[#This Row],[I_0]])</f>
        <v>1</v>
      </c>
      <c r="V1124" s="13" cm="1">
        <f t="array" ref="V1124">IF(Table8[[#This Row],[I_0]]&lt;Table24[Flitro de Ruido],1,Table8[[#This Row],[I_20]]/Table8[[#This Row],[I_0]])</f>
        <v>1</v>
      </c>
      <c r="W1124" s="13" cm="1">
        <f t="array" ref="W1124">IF(Table8[[#This Row],[I_0]]&lt;Table24[Flitro de Ruido],1,Table8[[#This Row],[I_30]]/Table8[[#This Row],[I_0]])</f>
        <v>1</v>
      </c>
      <c r="X1124" s="13" cm="1">
        <f t="array" ref="X1124">IF(Table8[[#This Row],[I_0]]&lt;Table24[Flitro de Ruido],1,Table8[[#This Row],[I_40]]/Table8[[#This Row],[I_0]])</f>
        <v>1</v>
      </c>
      <c r="Y1124" s="13" cm="1">
        <f t="array" ref="Y1124">IF(Table8[[#This Row],[I_0]]&lt;Table24[Flitro de Ruido],1,Table8[[#This Row],[I_50]]/Table8[[#This Row],[I_0]])</f>
        <v>1</v>
      </c>
    </row>
    <row r="1125" spans="1:25" x14ac:dyDescent="0.3">
      <c r="A1125" s="13">
        <v>1184.03</v>
      </c>
      <c r="B1125" s="12">
        <v>0</v>
      </c>
      <c r="C1125" s="11">
        <v>1184.03</v>
      </c>
      <c r="D1125" s="12">
        <v>0</v>
      </c>
      <c r="E1125" s="11">
        <v>1184.03</v>
      </c>
      <c r="F1125" s="12">
        <v>0.1</v>
      </c>
      <c r="G1125" s="11">
        <v>1184.03</v>
      </c>
      <c r="H1125" s="12">
        <v>0</v>
      </c>
      <c r="I1125" s="11">
        <v>1184.03</v>
      </c>
      <c r="J1125" s="12">
        <v>0.1</v>
      </c>
      <c r="K1125" s="11">
        <v>1184.03</v>
      </c>
      <c r="L1125" s="12">
        <v>0.1</v>
      </c>
      <c r="M1125" s="11">
        <v>1184.03</v>
      </c>
      <c r="N1125" s="13">
        <v>0</v>
      </c>
      <c r="O1125" s="11">
        <v>0</v>
      </c>
      <c r="P1125" s="11">
        <v>0.1</v>
      </c>
      <c r="Q1125" s="11">
        <v>0</v>
      </c>
      <c r="R1125" s="11">
        <v>0.1</v>
      </c>
      <c r="S1125" s="14">
        <v>0.1</v>
      </c>
      <c r="T1125" s="11">
        <v>1184.03</v>
      </c>
      <c r="U1125" s="13" cm="1">
        <f t="array" ref="U1125">IF(Table8[[#This Row],[I_0]]&lt;Table24[Flitro de Ruido],1,Table8[[#This Row],[I_10]]/Table8[[#This Row],[I_0]])</f>
        <v>1</v>
      </c>
      <c r="V1125" s="13" cm="1">
        <f t="array" ref="V1125">IF(Table8[[#This Row],[I_0]]&lt;Table24[Flitro de Ruido],1,Table8[[#This Row],[I_20]]/Table8[[#This Row],[I_0]])</f>
        <v>1</v>
      </c>
      <c r="W1125" s="13" cm="1">
        <f t="array" ref="W1125">IF(Table8[[#This Row],[I_0]]&lt;Table24[Flitro de Ruido],1,Table8[[#This Row],[I_30]]/Table8[[#This Row],[I_0]])</f>
        <v>1</v>
      </c>
      <c r="X1125" s="13" cm="1">
        <f t="array" ref="X1125">IF(Table8[[#This Row],[I_0]]&lt;Table24[Flitro de Ruido],1,Table8[[#This Row],[I_40]]/Table8[[#This Row],[I_0]])</f>
        <v>1</v>
      </c>
      <c r="Y1125" s="13" cm="1">
        <f t="array" ref="Y1125">IF(Table8[[#This Row],[I_0]]&lt;Table24[Flitro de Ruido],1,Table8[[#This Row],[I_50]]/Table8[[#This Row],[I_0]])</f>
        <v>1</v>
      </c>
    </row>
    <row r="1126" spans="1:25" x14ac:dyDescent="0.3">
      <c r="A1126" s="13">
        <v>1185.02</v>
      </c>
      <c r="B1126" s="12">
        <v>0</v>
      </c>
      <c r="C1126" s="11">
        <v>1185.02</v>
      </c>
      <c r="D1126" s="12">
        <v>0</v>
      </c>
      <c r="E1126" s="11">
        <v>1185.02</v>
      </c>
      <c r="F1126" s="12">
        <v>0.1</v>
      </c>
      <c r="G1126" s="11">
        <v>1185.02</v>
      </c>
      <c r="H1126" s="12">
        <v>0.1</v>
      </c>
      <c r="I1126" s="11">
        <v>1185.02</v>
      </c>
      <c r="J1126" s="12">
        <v>0.1</v>
      </c>
      <c r="K1126" s="11">
        <v>1185.02</v>
      </c>
      <c r="L1126" s="12">
        <v>0.2</v>
      </c>
      <c r="M1126" s="11">
        <v>1185.02</v>
      </c>
      <c r="N1126" s="13">
        <v>0</v>
      </c>
      <c r="O1126" s="11">
        <v>0</v>
      </c>
      <c r="P1126" s="11">
        <v>0.1</v>
      </c>
      <c r="Q1126" s="11">
        <v>0.1</v>
      </c>
      <c r="R1126" s="11">
        <v>0.1</v>
      </c>
      <c r="S1126" s="14">
        <v>0.2</v>
      </c>
      <c r="T1126" s="11">
        <v>1185.02</v>
      </c>
      <c r="U1126" s="13" cm="1">
        <f t="array" ref="U1126">IF(Table8[[#This Row],[I_0]]&lt;Table24[Flitro de Ruido],1,Table8[[#This Row],[I_10]]/Table8[[#This Row],[I_0]])</f>
        <v>1</v>
      </c>
      <c r="V1126" s="13" cm="1">
        <f t="array" ref="V1126">IF(Table8[[#This Row],[I_0]]&lt;Table24[Flitro de Ruido],1,Table8[[#This Row],[I_20]]/Table8[[#This Row],[I_0]])</f>
        <v>1</v>
      </c>
      <c r="W1126" s="13" cm="1">
        <f t="array" ref="W1126">IF(Table8[[#This Row],[I_0]]&lt;Table24[Flitro de Ruido],1,Table8[[#This Row],[I_30]]/Table8[[#This Row],[I_0]])</f>
        <v>1</v>
      </c>
      <c r="X1126" s="13" cm="1">
        <f t="array" ref="X1126">IF(Table8[[#This Row],[I_0]]&lt;Table24[Flitro de Ruido],1,Table8[[#This Row],[I_40]]/Table8[[#This Row],[I_0]])</f>
        <v>1</v>
      </c>
      <c r="Y1126" s="13" cm="1">
        <f t="array" ref="Y1126">IF(Table8[[#This Row],[I_0]]&lt;Table24[Flitro de Ruido],1,Table8[[#This Row],[I_50]]/Table8[[#This Row],[I_0]])</f>
        <v>1</v>
      </c>
    </row>
    <row r="1127" spans="1:25" x14ac:dyDescent="0.3">
      <c r="A1127" s="13">
        <v>1186.02</v>
      </c>
      <c r="B1127" s="12">
        <v>0</v>
      </c>
      <c r="C1127" s="11">
        <v>1186.02</v>
      </c>
      <c r="D1127" s="12">
        <v>0</v>
      </c>
      <c r="E1127" s="11">
        <v>1186.02</v>
      </c>
      <c r="F1127" s="12">
        <v>0.1</v>
      </c>
      <c r="G1127" s="11">
        <v>1186.02</v>
      </c>
      <c r="H1127" s="12">
        <v>0.1</v>
      </c>
      <c r="I1127" s="11">
        <v>1186.02</v>
      </c>
      <c r="J1127" s="12">
        <v>0.1</v>
      </c>
      <c r="K1127" s="11">
        <v>1186.02</v>
      </c>
      <c r="L1127" s="12">
        <v>0.2</v>
      </c>
      <c r="M1127" s="11">
        <v>1186.02</v>
      </c>
      <c r="N1127" s="13">
        <v>0</v>
      </c>
      <c r="O1127" s="11">
        <v>0</v>
      </c>
      <c r="P1127" s="11">
        <v>0.1</v>
      </c>
      <c r="Q1127" s="11">
        <v>0.1</v>
      </c>
      <c r="R1127" s="11">
        <v>0.1</v>
      </c>
      <c r="S1127" s="14">
        <v>0.2</v>
      </c>
      <c r="T1127" s="11">
        <v>1186.02</v>
      </c>
      <c r="U1127" s="13" cm="1">
        <f t="array" ref="U1127">IF(Table8[[#This Row],[I_0]]&lt;Table24[Flitro de Ruido],1,Table8[[#This Row],[I_10]]/Table8[[#This Row],[I_0]])</f>
        <v>1</v>
      </c>
      <c r="V1127" s="13" cm="1">
        <f t="array" ref="V1127">IF(Table8[[#This Row],[I_0]]&lt;Table24[Flitro de Ruido],1,Table8[[#This Row],[I_20]]/Table8[[#This Row],[I_0]])</f>
        <v>1</v>
      </c>
      <c r="W1127" s="13" cm="1">
        <f t="array" ref="W1127">IF(Table8[[#This Row],[I_0]]&lt;Table24[Flitro de Ruido],1,Table8[[#This Row],[I_30]]/Table8[[#This Row],[I_0]])</f>
        <v>1</v>
      </c>
      <c r="X1127" s="13" cm="1">
        <f t="array" ref="X1127">IF(Table8[[#This Row],[I_0]]&lt;Table24[Flitro de Ruido],1,Table8[[#This Row],[I_40]]/Table8[[#This Row],[I_0]])</f>
        <v>1</v>
      </c>
      <c r="Y1127" s="13" cm="1">
        <f t="array" ref="Y1127">IF(Table8[[#This Row],[I_0]]&lt;Table24[Flitro de Ruido],1,Table8[[#This Row],[I_50]]/Table8[[#This Row],[I_0]])</f>
        <v>1</v>
      </c>
    </row>
    <row r="1128" spans="1:25" x14ac:dyDescent="0.3">
      <c r="A1128" s="13">
        <v>1187.01</v>
      </c>
      <c r="B1128" s="12">
        <v>0</v>
      </c>
      <c r="C1128" s="11">
        <v>1187.01</v>
      </c>
      <c r="D1128" s="12">
        <v>0.1</v>
      </c>
      <c r="E1128" s="11">
        <v>1187.01</v>
      </c>
      <c r="F1128" s="12">
        <v>0.1</v>
      </c>
      <c r="G1128" s="11">
        <v>1187.01</v>
      </c>
      <c r="H1128" s="12">
        <v>0.1</v>
      </c>
      <c r="I1128" s="11">
        <v>1187.01</v>
      </c>
      <c r="J1128" s="12">
        <v>0.1</v>
      </c>
      <c r="K1128" s="11">
        <v>1187.01</v>
      </c>
      <c r="L1128" s="12">
        <v>0.2</v>
      </c>
      <c r="M1128" s="11">
        <v>1187.01</v>
      </c>
      <c r="N1128" s="13">
        <v>0</v>
      </c>
      <c r="O1128" s="11">
        <v>0.1</v>
      </c>
      <c r="P1128" s="11">
        <v>0.1</v>
      </c>
      <c r="Q1128" s="11">
        <v>0.1</v>
      </c>
      <c r="R1128" s="11">
        <v>0.1</v>
      </c>
      <c r="S1128" s="14">
        <v>0.2</v>
      </c>
      <c r="T1128" s="11">
        <v>1187.01</v>
      </c>
      <c r="U1128" s="13" cm="1">
        <f t="array" ref="U1128">IF(Table8[[#This Row],[I_0]]&lt;Table24[Flitro de Ruido],1,Table8[[#This Row],[I_10]]/Table8[[#This Row],[I_0]])</f>
        <v>1</v>
      </c>
      <c r="V1128" s="13" cm="1">
        <f t="array" ref="V1128">IF(Table8[[#This Row],[I_0]]&lt;Table24[Flitro de Ruido],1,Table8[[#This Row],[I_20]]/Table8[[#This Row],[I_0]])</f>
        <v>1</v>
      </c>
      <c r="W1128" s="13" cm="1">
        <f t="array" ref="W1128">IF(Table8[[#This Row],[I_0]]&lt;Table24[Flitro de Ruido],1,Table8[[#This Row],[I_30]]/Table8[[#This Row],[I_0]])</f>
        <v>1</v>
      </c>
      <c r="X1128" s="13" cm="1">
        <f t="array" ref="X1128">IF(Table8[[#This Row],[I_0]]&lt;Table24[Flitro de Ruido],1,Table8[[#This Row],[I_40]]/Table8[[#This Row],[I_0]])</f>
        <v>1</v>
      </c>
      <c r="Y1128" s="13" cm="1">
        <f t="array" ref="Y1128">IF(Table8[[#This Row],[I_0]]&lt;Table24[Flitro de Ruido],1,Table8[[#This Row],[I_50]]/Table8[[#This Row],[I_0]])</f>
        <v>1</v>
      </c>
    </row>
    <row r="1129" spans="1:25" x14ac:dyDescent="0.3">
      <c r="A1129" s="13">
        <v>1188</v>
      </c>
      <c r="B1129" s="12">
        <v>0</v>
      </c>
      <c r="C1129" s="11">
        <v>1188</v>
      </c>
      <c r="D1129" s="12">
        <v>0.1</v>
      </c>
      <c r="E1129" s="11">
        <v>1188</v>
      </c>
      <c r="F1129" s="12">
        <v>0.1</v>
      </c>
      <c r="G1129" s="11">
        <v>1188</v>
      </c>
      <c r="H1129" s="12">
        <v>0.1</v>
      </c>
      <c r="I1129" s="11">
        <v>1188</v>
      </c>
      <c r="J1129" s="12">
        <v>0.2</v>
      </c>
      <c r="K1129" s="11">
        <v>1188</v>
      </c>
      <c r="L1129" s="12">
        <v>0.3</v>
      </c>
      <c r="M1129" s="11">
        <v>1188</v>
      </c>
      <c r="N1129" s="13">
        <v>0</v>
      </c>
      <c r="O1129" s="11">
        <v>0.1</v>
      </c>
      <c r="P1129" s="11">
        <v>0.1</v>
      </c>
      <c r="Q1129" s="11">
        <v>0.1</v>
      </c>
      <c r="R1129" s="11">
        <v>0.2</v>
      </c>
      <c r="S1129" s="14">
        <v>0.3</v>
      </c>
      <c r="T1129" s="11">
        <v>1188</v>
      </c>
      <c r="U1129" s="13" cm="1">
        <f t="array" ref="U1129">IF(Table8[[#This Row],[I_0]]&lt;Table24[Flitro de Ruido],1,Table8[[#This Row],[I_10]]/Table8[[#This Row],[I_0]])</f>
        <v>1</v>
      </c>
      <c r="V1129" s="13" cm="1">
        <f t="array" ref="V1129">IF(Table8[[#This Row],[I_0]]&lt;Table24[Flitro de Ruido],1,Table8[[#This Row],[I_20]]/Table8[[#This Row],[I_0]])</f>
        <v>1</v>
      </c>
      <c r="W1129" s="13" cm="1">
        <f t="array" ref="W1129">IF(Table8[[#This Row],[I_0]]&lt;Table24[Flitro de Ruido],1,Table8[[#This Row],[I_30]]/Table8[[#This Row],[I_0]])</f>
        <v>1</v>
      </c>
      <c r="X1129" s="13" cm="1">
        <f t="array" ref="X1129">IF(Table8[[#This Row],[I_0]]&lt;Table24[Flitro de Ruido],1,Table8[[#This Row],[I_40]]/Table8[[#This Row],[I_0]])</f>
        <v>1</v>
      </c>
      <c r="Y1129" s="13" cm="1">
        <f t="array" ref="Y1129">IF(Table8[[#This Row],[I_0]]&lt;Table24[Flitro de Ruido],1,Table8[[#This Row],[I_50]]/Table8[[#This Row],[I_0]])</f>
        <v>1</v>
      </c>
    </row>
    <row r="1130" spans="1:25" x14ac:dyDescent="0.3">
      <c r="A1130" s="13">
        <v>1188.99</v>
      </c>
      <c r="B1130" s="12">
        <v>0</v>
      </c>
      <c r="C1130" s="11">
        <v>1188.99</v>
      </c>
      <c r="D1130" s="12">
        <v>0.1</v>
      </c>
      <c r="E1130" s="11">
        <v>1188.99</v>
      </c>
      <c r="F1130" s="12">
        <v>0.1</v>
      </c>
      <c r="G1130" s="11">
        <v>1188.99</v>
      </c>
      <c r="H1130" s="12">
        <v>0.1</v>
      </c>
      <c r="I1130" s="11">
        <v>1188.99</v>
      </c>
      <c r="J1130" s="12">
        <v>0.2</v>
      </c>
      <c r="K1130" s="11">
        <v>1188.99</v>
      </c>
      <c r="L1130" s="12">
        <v>0.3</v>
      </c>
      <c r="M1130" s="11">
        <v>1188.99</v>
      </c>
      <c r="N1130" s="13">
        <v>0</v>
      </c>
      <c r="O1130" s="11">
        <v>0.1</v>
      </c>
      <c r="P1130" s="11">
        <v>0.1</v>
      </c>
      <c r="Q1130" s="11">
        <v>0.1</v>
      </c>
      <c r="R1130" s="11">
        <v>0.2</v>
      </c>
      <c r="S1130" s="14">
        <v>0.3</v>
      </c>
      <c r="T1130" s="11">
        <v>1188.99</v>
      </c>
      <c r="U1130" s="13" cm="1">
        <f t="array" ref="U1130">IF(Table8[[#This Row],[I_0]]&lt;Table24[Flitro de Ruido],1,Table8[[#This Row],[I_10]]/Table8[[#This Row],[I_0]])</f>
        <v>1</v>
      </c>
      <c r="V1130" s="13" cm="1">
        <f t="array" ref="V1130">IF(Table8[[#This Row],[I_0]]&lt;Table24[Flitro de Ruido],1,Table8[[#This Row],[I_20]]/Table8[[#This Row],[I_0]])</f>
        <v>1</v>
      </c>
      <c r="W1130" s="13" cm="1">
        <f t="array" ref="W1130">IF(Table8[[#This Row],[I_0]]&lt;Table24[Flitro de Ruido],1,Table8[[#This Row],[I_30]]/Table8[[#This Row],[I_0]])</f>
        <v>1</v>
      </c>
      <c r="X1130" s="13" cm="1">
        <f t="array" ref="X1130">IF(Table8[[#This Row],[I_0]]&lt;Table24[Flitro de Ruido],1,Table8[[#This Row],[I_40]]/Table8[[#This Row],[I_0]])</f>
        <v>1</v>
      </c>
      <c r="Y1130" s="13" cm="1">
        <f t="array" ref="Y1130">IF(Table8[[#This Row],[I_0]]&lt;Table24[Flitro de Ruido],1,Table8[[#This Row],[I_50]]/Table8[[#This Row],[I_0]])</f>
        <v>1</v>
      </c>
    </row>
    <row r="1131" spans="1:25" x14ac:dyDescent="0.3">
      <c r="A1131" s="13">
        <v>1189.98</v>
      </c>
      <c r="B1131" s="12">
        <v>0</v>
      </c>
      <c r="C1131" s="11">
        <v>1189.98</v>
      </c>
      <c r="D1131" s="12">
        <v>0.1</v>
      </c>
      <c r="E1131" s="11">
        <v>1189.98</v>
      </c>
      <c r="F1131" s="12">
        <v>0.2</v>
      </c>
      <c r="G1131" s="11">
        <v>1189.98</v>
      </c>
      <c r="H1131" s="12">
        <v>0.1</v>
      </c>
      <c r="I1131" s="11">
        <v>1189.98</v>
      </c>
      <c r="J1131" s="12">
        <v>0.2</v>
      </c>
      <c r="K1131" s="11">
        <v>1189.98</v>
      </c>
      <c r="L1131" s="12">
        <v>0.4</v>
      </c>
      <c r="M1131" s="11">
        <v>1189.98</v>
      </c>
      <c r="N1131" s="13">
        <v>0</v>
      </c>
      <c r="O1131" s="11">
        <v>0.1</v>
      </c>
      <c r="P1131" s="11">
        <v>0.2</v>
      </c>
      <c r="Q1131" s="11">
        <v>0.1</v>
      </c>
      <c r="R1131" s="11">
        <v>0.2</v>
      </c>
      <c r="S1131" s="14">
        <v>0.4</v>
      </c>
      <c r="T1131" s="11">
        <v>1189.98</v>
      </c>
      <c r="U1131" s="13" cm="1">
        <f t="array" ref="U1131">IF(Table8[[#This Row],[I_0]]&lt;Table24[Flitro de Ruido],1,Table8[[#This Row],[I_10]]/Table8[[#This Row],[I_0]])</f>
        <v>1</v>
      </c>
      <c r="V1131" s="13" cm="1">
        <f t="array" ref="V1131">IF(Table8[[#This Row],[I_0]]&lt;Table24[Flitro de Ruido],1,Table8[[#This Row],[I_20]]/Table8[[#This Row],[I_0]])</f>
        <v>1</v>
      </c>
      <c r="W1131" s="13" cm="1">
        <f t="array" ref="W1131">IF(Table8[[#This Row],[I_0]]&lt;Table24[Flitro de Ruido],1,Table8[[#This Row],[I_30]]/Table8[[#This Row],[I_0]])</f>
        <v>1</v>
      </c>
      <c r="X1131" s="13" cm="1">
        <f t="array" ref="X1131">IF(Table8[[#This Row],[I_0]]&lt;Table24[Flitro de Ruido],1,Table8[[#This Row],[I_40]]/Table8[[#This Row],[I_0]])</f>
        <v>1</v>
      </c>
      <c r="Y1131" s="13" cm="1">
        <f t="array" ref="Y1131">IF(Table8[[#This Row],[I_0]]&lt;Table24[Flitro de Ruido],1,Table8[[#This Row],[I_50]]/Table8[[#This Row],[I_0]])</f>
        <v>1</v>
      </c>
    </row>
    <row r="1132" spans="1:25" x14ac:dyDescent="0.3">
      <c r="A1132" s="13">
        <v>1190.97</v>
      </c>
      <c r="B1132" s="12">
        <v>0.1</v>
      </c>
      <c r="C1132" s="11">
        <v>1190.97</v>
      </c>
      <c r="D1132" s="12">
        <v>0.1</v>
      </c>
      <c r="E1132" s="11">
        <v>1190.97</v>
      </c>
      <c r="F1132" s="12">
        <v>0.2</v>
      </c>
      <c r="G1132" s="11">
        <v>1190.97</v>
      </c>
      <c r="H1132" s="12">
        <v>0.2</v>
      </c>
      <c r="I1132" s="11">
        <v>1190.97</v>
      </c>
      <c r="J1132" s="12">
        <v>0.3</v>
      </c>
      <c r="K1132" s="11">
        <v>1190.97</v>
      </c>
      <c r="L1132" s="12">
        <v>0.5</v>
      </c>
      <c r="M1132" s="11">
        <v>1190.97</v>
      </c>
      <c r="N1132" s="13">
        <v>0.1</v>
      </c>
      <c r="O1132" s="11">
        <v>0.1</v>
      </c>
      <c r="P1132" s="11">
        <v>0.2</v>
      </c>
      <c r="Q1132" s="11">
        <v>0.2</v>
      </c>
      <c r="R1132" s="11">
        <v>0.3</v>
      </c>
      <c r="S1132" s="14">
        <v>0.5</v>
      </c>
      <c r="T1132" s="11">
        <v>1190.97</v>
      </c>
      <c r="U1132" s="13" cm="1">
        <f t="array" ref="U1132">IF(Table8[[#This Row],[I_0]]&lt;Table24[Flitro de Ruido],1,Table8[[#This Row],[I_10]]/Table8[[#This Row],[I_0]])</f>
        <v>1</v>
      </c>
      <c r="V1132" s="13" cm="1">
        <f t="array" ref="V1132">IF(Table8[[#This Row],[I_0]]&lt;Table24[Flitro de Ruido],1,Table8[[#This Row],[I_20]]/Table8[[#This Row],[I_0]])</f>
        <v>2</v>
      </c>
      <c r="W1132" s="13" cm="1">
        <f t="array" ref="W1132">IF(Table8[[#This Row],[I_0]]&lt;Table24[Flitro de Ruido],1,Table8[[#This Row],[I_30]]/Table8[[#This Row],[I_0]])</f>
        <v>2</v>
      </c>
      <c r="X1132" s="13" cm="1">
        <f t="array" ref="X1132">IF(Table8[[#This Row],[I_0]]&lt;Table24[Flitro de Ruido],1,Table8[[#This Row],[I_40]]/Table8[[#This Row],[I_0]])</f>
        <v>2.9999999999999996</v>
      </c>
      <c r="Y1132" s="13" cm="1">
        <f t="array" ref="Y1132">IF(Table8[[#This Row],[I_0]]&lt;Table24[Flitro de Ruido],1,Table8[[#This Row],[I_50]]/Table8[[#This Row],[I_0]])</f>
        <v>5</v>
      </c>
    </row>
    <row r="1133" spans="1:25" x14ac:dyDescent="0.3">
      <c r="A1133" s="13">
        <v>1191.97</v>
      </c>
      <c r="B1133" s="12">
        <v>0.1</v>
      </c>
      <c r="C1133" s="11">
        <v>1191.97</v>
      </c>
      <c r="D1133" s="12">
        <v>0.1</v>
      </c>
      <c r="E1133" s="11">
        <v>1191.97</v>
      </c>
      <c r="F1133" s="12">
        <v>0.2</v>
      </c>
      <c r="G1133" s="11">
        <v>1191.97</v>
      </c>
      <c r="H1133" s="12">
        <v>0.2</v>
      </c>
      <c r="I1133" s="11">
        <v>1191.97</v>
      </c>
      <c r="J1133" s="12">
        <v>0.4</v>
      </c>
      <c r="K1133" s="11">
        <v>1191.97</v>
      </c>
      <c r="L1133" s="12">
        <v>0.6</v>
      </c>
      <c r="M1133" s="11">
        <v>1191.97</v>
      </c>
      <c r="N1133" s="13">
        <v>0.1</v>
      </c>
      <c r="O1133" s="11">
        <v>0.1</v>
      </c>
      <c r="P1133" s="11">
        <v>0.2</v>
      </c>
      <c r="Q1133" s="11">
        <v>0.2</v>
      </c>
      <c r="R1133" s="11">
        <v>0.4</v>
      </c>
      <c r="S1133" s="14">
        <v>0.6</v>
      </c>
      <c r="T1133" s="11">
        <v>1191.97</v>
      </c>
      <c r="U1133" s="13" cm="1">
        <f t="array" ref="U1133">IF(Table8[[#This Row],[I_0]]&lt;Table24[Flitro de Ruido],1,Table8[[#This Row],[I_10]]/Table8[[#This Row],[I_0]])</f>
        <v>1</v>
      </c>
      <c r="V1133" s="13" cm="1">
        <f t="array" ref="V1133">IF(Table8[[#This Row],[I_0]]&lt;Table24[Flitro de Ruido],1,Table8[[#This Row],[I_20]]/Table8[[#This Row],[I_0]])</f>
        <v>2</v>
      </c>
      <c r="W1133" s="13" cm="1">
        <f t="array" ref="W1133">IF(Table8[[#This Row],[I_0]]&lt;Table24[Flitro de Ruido],1,Table8[[#This Row],[I_30]]/Table8[[#This Row],[I_0]])</f>
        <v>2</v>
      </c>
      <c r="X1133" s="13" cm="1">
        <f t="array" ref="X1133">IF(Table8[[#This Row],[I_0]]&lt;Table24[Flitro de Ruido],1,Table8[[#This Row],[I_40]]/Table8[[#This Row],[I_0]])</f>
        <v>4</v>
      </c>
      <c r="Y1133" s="13" cm="1">
        <f t="array" ref="Y1133">IF(Table8[[#This Row],[I_0]]&lt;Table24[Flitro de Ruido],1,Table8[[#This Row],[I_50]]/Table8[[#This Row],[I_0]])</f>
        <v>5.9999999999999991</v>
      </c>
    </row>
    <row r="1134" spans="1:25" x14ac:dyDescent="0.3">
      <c r="A1134" s="13">
        <v>1192.96</v>
      </c>
      <c r="B1134" s="12">
        <v>0.1</v>
      </c>
      <c r="C1134" s="11">
        <v>1192.96</v>
      </c>
      <c r="D1134" s="12">
        <v>0.2</v>
      </c>
      <c r="E1134" s="11">
        <v>1192.96</v>
      </c>
      <c r="F1134" s="12">
        <v>0.3</v>
      </c>
      <c r="G1134" s="11">
        <v>1192.96</v>
      </c>
      <c r="H1134" s="12">
        <v>0.3</v>
      </c>
      <c r="I1134" s="11">
        <v>1192.96</v>
      </c>
      <c r="J1134" s="12">
        <v>0.4</v>
      </c>
      <c r="K1134" s="11">
        <v>1192.96</v>
      </c>
      <c r="L1134" s="12">
        <v>0.7</v>
      </c>
      <c r="M1134" s="11">
        <v>1192.96</v>
      </c>
      <c r="N1134" s="13">
        <v>0.1</v>
      </c>
      <c r="O1134" s="11">
        <v>0.2</v>
      </c>
      <c r="P1134" s="11">
        <v>0.3</v>
      </c>
      <c r="Q1134" s="11">
        <v>0.3</v>
      </c>
      <c r="R1134" s="11">
        <v>0.4</v>
      </c>
      <c r="S1134" s="14">
        <v>0.7</v>
      </c>
      <c r="T1134" s="11">
        <v>1192.96</v>
      </c>
      <c r="U1134" s="13" cm="1">
        <f t="array" ref="U1134">IF(Table8[[#This Row],[I_0]]&lt;Table24[Flitro de Ruido],1,Table8[[#This Row],[I_10]]/Table8[[#This Row],[I_0]])</f>
        <v>2</v>
      </c>
      <c r="V1134" s="13" cm="1">
        <f t="array" ref="V1134">IF(Table8[[#This Row],[I_0]]&lt;Table24[Flitro de Ruido],1,Table8[[#This Row],[I_20]]/Table8[[#This Row],[I_0]])</f>
        <v>2.9999999999999996</v>
      </c>
      <c r="W1134" s="13" cm="1">
        <f t="array" ref="W1134">IF(Table8[[#This Row],[I_0]]&lt;Table24[Flitro de Ruido],1,Table8[[#This Row],[I_30]]/Table8[[#This Row],[I_0]])</f>
        <v>2.9999999999999996</v>
      </c>
      <c r="X1134" s="13" cm="1">
        <f t="array" ref="X1134">IF(Table8[[#This Row],[I_0]]&lt;Table24[Flitro de Ruido],1,Table8[[#This Row],[I_40]]/Table8[[#This Row],[I_0]])</f>
        <v>4</v>
      </c>
      <c r="Y1134" s="13" cm="1">
        <f t="array" ref="Y1134">IF(Table8[[#This Row],[I_0]]&lt;Table24[Flitro de Ruido],1,Table8[[#This Row],[I_50]]/Table8[[#This Row],[I_0]])</f>
        <v>6.9999999999999991</v>
      </c>
    </row>
    <row r="1135" spans="1:25" x14ac:dyDescent="0.3">
      <c r="A1135" s="13">
        <v>1193.95</v>
      </c>
      <c r="B1135" s="12">
        <v>0.1</v>
      </c>
      <c r="C1135" s="11">
        <v>1193.95</v>
      </c>
      <c r="D1135" s="12">
        <v>0.2</v>
      </c>
      <c r="E1135" s="11">
        <v>1193.95</v>
      </c>
      <c r="F1135" s="12">
        <v>0.4</v>
      </c>
      <c r="G1135" s="11">
        <v>1193.95</v>
      </c>
      <c r="H1135" s="12">
        <v>0.3</v>
      </c>
      <c r="I1135" s="11">
        <v>1193.95</v>
      </c>
      <c r="J1135" s="12">
        <v>0.5</v>
      </c>
      <c r="K1135" s="11">
        <v>1193.95</v>
      </c>
      <c r="L1135" s="12">
        <v>0.8</v>
      </c>
      <c r="M1135" s="11">
        <v>1193.95</v>
      </c>
      <c r="N1135" s="13">
        <v>0.1</v>
      </c>
      <c r="O1135" s="11">
        <v>0.2</v>
      </c>
      <c r="P1135" s="11">
        <v>0.4</v>
      </c>
      <c r="Q1135" s="11">
        <v>0.3</v>
      </c>
      <c r="R1135" s="11">
        <v>0.5</v>
      </c>
      <c r="S1135" s="14">
        <v>0.8</v>
      </c>
      <c r="T1135" s="11">
        <v>1193.95</v>
      </c>
      <c r="U1135" s="13" cm="1">
        <f t="array" ref="U1135">IF(Table8[[#This Row],[I_0]]&lt;Table24[Flitro de Ruido],1,Table8[[#This Row],[I_10]]/Table8[[#This Row],[I_0]])</f>
        <v>2</v>
      </c>
      <c r="V1135" s="13" cm="1">
        <f t="array" ref="V1135">IF(Table8[[#This Row],[I_0]]&lt;Table24[Flitro de Ruido],1,Table8[[#This Row],[I_20]]/Table8[[#This Row],[I_0]])</f>
        <v>4</v>
      </c>
      <c r="W1135" s="13" cm="1">
        <f t="array" ref="W1135">IF(Table8[[#This Row],[I_0]]&lt;Table24[Flitro de Ruido],1,Table8[[#This Row],[I_30]]/Table8[[#This Row],[I_0]])</f>
        <v>2.9999999999999996</v>
      </c>
      <c r="X1135" s="13" cm="1">
        <f t="array" ref="X1135">IF(Table8[[#This Row],[I_0]]&lt;Table24[Flitro de Ruido],1,Table8[[#This Row],[I_40]]/Table8[[#This Row],[I_0]])</f>
        <v>5</v>
      </c>
      <c r="Y1135" s="13" cm="1">
        <f t="array" ref="Y1135">IF(Table8[[#This Row],[I_0]]&lt;Table24[Flitro de Ruido],1,Table8[[#This Row],[I_50]]/Table8[[#This Row],[I_0]])</f>
        <v>8</v>
      </c>
    </row>
    <row r="1136" spans="1:25" x14ac:dyDescent="0.3">
      <c r="A1136" s="13">
        <v>1194.94</v>
      </c>
      <c r="B1136" s="12">
        <v>0.1</v>
      </c>
      <c r="C1136" s="11">
        <v>1194.94</v>
      </c>
      <c r="D1136" s="12">
        <v>0.3</v>
      </c>
      <c r="E1136" s="11">
        <v>1194.94</v>
      </c>
      <c r="F1136" s="12">
        <v>0.4</v>
      </c>
      <c r="G1136" s="11">
        <v>1194.94</v>
      </c>
      <c r="H1136" s="12">
        <v>0.4</v>
      </c>
      <c r="I1136" s="11">
        <v>1194.94</v>
      </c>
      <c r="J1136" s="12">
        <v>0.6</v>
      </c>
      <c r="K1136" s="11">
        <v>1194.94</v>
      </c>
      <c r="L1136" s="12">
        <v>1</v>
      </c>
      <c r="M1136" s="11">
        <v>1194.94</v>
      </c>
      <c r="N1136" s="13">
        <v>0.1</v>
      </c>
      <c r="O1136" s="11">
        <v>0.3</v>
      </c>
      <c r="P1136" s="11">
        <v>0.4</v>
      </c>
      <c r="Q1136" s="11">
        <v>0.4</v>
      </c>
      <c r="R1136" s="11">
        <v>0.6</v>
      </c>
      <c r="S1136" s="14">
        <v>1</v>
      </c>
      <c r="T1136" s="11">
        <v>1194.94</v>
      </c>
      <c r="U1136" s="13" cm="1">
        <f t="array" ref="U1136">IF(Table8[[#This Row],[I_0]]&lt;Table24[Flitro de Ruido],1,Table8[[#This Row],[I_10]]/Table8[[#This Row],[I_0]])</f>
        <v>2.9999999999999996</v>
      </c>
      <c r="V1136" s="13" cm="1">
        <f t="array" ref="V1136">IF(Table8[[#This Row],[I_0]]&lt;Table24[Flitro de Ruido],1,Table8[[#This Row],[I_20]]/Table8[[#This Row],[I_0]])</f>
        <v>4</v>
      </c>
      <c r="W1136" s="13" cm="1">
        <f t="array" ref="W1136">IF(Table8[[#This Row],[I_0]]&lt;Table24[Flitro de Ruido],1,Table8[[#This Row],[I_30]]/Table8[[#This Row],[I_0]])</f>
        <v>4</v>
      </c>
      <c r="X1136" s="13" cm="1">
        <f t="array" ref="X1136">IF(Table8[[#This Row],[I_0]]&lt;Table24[Flitro de Ruido],1,Table8[[#This Row],[I_40]]/Table8[[#This Row],[I_0]])</f>
        <v>5.9999999999999991</v>
      </c>
      <c r="Y1136" s="13" cm="1">
        <f t="array" ref="Y1136">IF(Table8[[#This Row],[I_0]]&lt;Table24[Flitro de Ruido],1,Table8[[#This Row],[I_50]]/Table8[[#This Row],[I_0]])</f>
        <v>10</v>
      </c>
    </row>
    <row r="1137" spans="1:25" x14ac:dyDescent="0.3">
      <c r="A1137" s="13">
        <v>1195.93</v>
      </c>
      <c r="B1137" s="12">
        <v>0.1</v>
      </c>
      <c r="C1137" s="11">
        <v>1195.93</v>
      </c>
      <c r="D1137" s="12">
        <v>0.3</v>
      </c>
      <c r="E1137" s="11">
        <v>1195.93</v>
      </c>
      <c r="F1137" s="12">
        <v>0.5</v>
      </c>
      <c r="G1137" s="11">
        <v>1195.93</v>
      </c>
      <c r="H1137" s="12">
        <v>0.4</v>
      </c>
      <c r="I1137" s="11">
        <v>1195.93</v>
      </c>
      <c r="J1137" s="12">
        <v>0.7</v>
      </c>
      <c r="K1137" s="11">
        <v>1195.93</v>
      </c>
      <c r="L1137" s="12">
        <v>1.2</v>
      </c>
      <c r="M1137" s="11">
        <v>1195.93</v>
      </c>
      <c r="N1137" s="13">
        <v>0.1</v>
      </c>
      <c r="O1137" s="11">
        <v>0.3</v>
      </c>
      <c r="P1137" s="11">
        <v>0.5</v>
      </c>
      <c r="Q1137" s="11">
        <v>0.4</v>
      </c>
      <c r="R1137" s="11">
        <v>0.7</v>
      </c>
      <c r="S1137" s="14">
        <v>1.2</v>
      </c>
      <c r="T1137" s="11">
        <v>1195.93</v>
      </c>
      <c r="U1137" s="13" cm="1">
        <f t="array" ref="U1137">IF(Table8[[#This Row],[I_0]]&lt;Table24[Flitro de Ruido],1,Table8[[#This Row],[I_10]]/Table8[[#This Row],[I_0]])</f>
        <v>2.9999999999999996</v>
      </c>
      <c r="V1137" s="13" cm="1">
        <f t="array" ref="V1137">IF(Table8[[#This Row],[I_0]]&lt;Table24[Flitro de Ruido],1,Table8[[#This Row],[I_20]]/Table8[[#This Row],[I_0]])</f>
        <v>5</v>
      </c>
      <c r="W1137" s="13" cm="1">
        <f t="array" ref="W1137">IF(Table8[[#This Row],[I_0]]&lt;Table24[Flitro de Ruido],1,Table8[[#This Row],[I_30]]/Table8[[#This Row],[I_0]])</f>
        <v>4</v>
      </c>
      <c r="X1137" s="13" cm="1">
        <f t="array" ref="X1137">IF(Table8[[#This Row],[I_0]]&lt;Table24[Flitro de Ruido],1,Table8[[#This Row],[I_40]]/Table8[[#This Row],[I_0]])</f>
        <v>6.9999999999999991</v>
      </c>
      <c r="Y1137" s="13" cm="1">
        <f t="array" ref="Y1137">IF(Table8[[#This Row],[I_0]]&lt;Table24[Flitro de Ruido],1,Table8[[#This Row],[I_50]]/Table8[[#This Row],[I_0]])</f>
        <v>11.999999999999998</v>
      </c>
    </row>
    <row r="1138" spans="1:25" x14ac:dyDescent="0.3">
      <c r="A1138" s="13">
        <v>1196.92</v>
      </c>
      <c r="B1138" s="12">
        <v>0.2</v>
      </c>
      <c r="C1138" s="11">
        <v>1196.92</v>
      </c>
      <c r="D1138" s="12">
        <v>0.4</v>
      </c>
      <c r="E1138" s="11">
        <v>1196.92</v>
      </c>
      <c r="F1138" s="12">
        <v>0.6</v>
      </c>
      <c r="G1138" s="11">
        <v>1196.92</v>
      </c>
      <c r="H1138" s="12">
        <v>0.5</v>
      </c>
      <c r="I1138" s="11">
        <v>1196.92</v>
      </c>
      <c r="J1138" s="12">
        <v>0.9</v>
      </c>
      <c r="K1138" s="11">
        <v>1196.92</v>
      </c>
      <c r="L1138" s="12">
        <v>1.4</v>
      </c>
      <c r="M1138" s="11">
        <v>1196.92</v>
      </c>
      <c r="N1138" s="13">
        <v>0.2</v>
      </c>
      <c r="O1138" s="11">
        <v>0.4</v>
      </c>
      <c r="P1138" s="11">
        <v>0.6</v>
      </c>
      <c r="Q1138" s="11">
        <v>0.5</v>
      </c>
      <c r="R1138" s="11">
        <v>0.9</v>
      </c>
      <c r="S1138" s="14">
        <v>1.4</v>
      </c>
      <c r="T1138" s="11">
        <v>1196.92</v>
      </c>
      <c r="U1138" s="13" cm="1">
        <f t="array" ref="U1138">IF(Table8[[#This Row],[I_0]]&lt;Table24[Flitro de Ruido],1,Table8[[#This Row],[I_10]]/Table8[[#This Row],[I_0]])</f>
        <v>2</v>
      </c>
      <c r="V1138" s="13" cm="1">
        <f t="array" ref="V1138">IF(Table8[[#This Row],[I_0]]&lt;Table24[Flitro de Ruido],1,Table8[[#This Row],[I_20]]/Table8[[#This Row],[I_0]])</f>
        <v>2.9999999999999996</v>
      </c>
      <c r="W1138" s="13" cm="1">
        <f t="array" ref="W1138">IF(Table8[[#This Row],[I_0]]&lt;Table24[Flitro de Ruido],1,Table8[[#This Row],[I_30]]/Table8[[#This Row],[I_0]])</f>
        <v>2.5</v>
      </c>
      <c r="X1138" s="13" cm="1">
        <f t="array" ref="X1138">IF(Table8[[#This Row],[I_0]]&lt;Table24[Flitro de Ruido],1,Table8[[#This Row],[I_40]]/Table8[[#This Row],[I_0]])</f>
        <v>4.5</v>
      </c>
      <c r="Y1138" s="13" cm="1">
        <f t="array" ref="Y1138">IF(Table8[[#This Row],[I_0]]&lt;Table24[Flitro de Ruido],1,Table8[[#This Row],[I_50]]/Table8[[#This Row],[I_0]])</f>
        <v>6.9999999999999991</v>
      </c>
    </row>
    <row r="1139" spans="1:25" x14ac:dyDescent="0.3">
      <c r="A1139" s="13">
        <v>1197.92</v>
      </c>
      <c r="B1139" s="12">
        <v>0.2</v>
      </c>
      <c r="C1139" s="11">
        <v>1197.92</v>
      </c>
      <c r="D1139" s="12">
        <v>0.5</v>
      </c>
      <c r="E1139" s="11">
        <v>1197.92</v>
      </c>
      <c r="F1139" s="12">
        <v>0.8</v>
      </c>
      <c r="G1139" s="11">
        <v>1197.92</v>
      </c>
      <c r="H1139" s="12">
        <v>0.6</v>
      </c>
      <c r="I1139" s="11">
        <v>1197.92</v>
      </c>
      <c r="J1139" s="12">
        <v>1.1000000000000001</v>
      </c>
      <c r="K1139" s="11">
        <v>1197.92</v>
      </c>
      <c r="L1139" s="12">
        <v>1.6</v>
      </c>
      <c r="M1139" s="11">
        <v>1197.92</v>
      </c>
      <c r="N1139" s="13">
        <v>0.2</v>
      </c>
      <c r="O1139" s="11">
        <v>0.5</v>
      </c>
      <c r="P1139" s="11">
        <v>0.8</v>
      </c>
      <c r="Q1139" s="11">
        <v>0.6</v>
      </c>
      <c r="R1139" s="11">
        <v>1.1000000000000001</v>
      </c>
      <c r="S1139" s="14">
        <v>1.6</v>
      </c>
      <c r="T1139" s="11">
        <v>1197.92</v>
      </c>
      <c r="U1139" s="13" cm="1">
        <f t="array" ref="U1139">IF(Table8[[#This Row],[I_0]]&lt;Table24[Flitro de Ruido],1,Table8[[#This Row],[I_10]]/Table8[[#This Row],[I_0]])</f>
        <v>2.5</v>
      </c>
      <c r="V1139" s="13" cm="1">
        <f t="array" ref="V1139">IF(Table8[[#This Row],[I_0]]&lt;Table24[Flitro de Ruido],1,Table8[[#This Row],[I_20]]/Table8[[#This Row],[I_0]])</f>
        <v>4</v>
      </c>
      <c r="W1139" s="13" cm="1">
        <f t="array" ref="W1139">IF(Table8[[#This Row],[I_0]]&lt;Table24[Flitro de Ruido],1,Table8[[#This Row],[I_30]]/Table8[[#This Row],[I_0]])</f>
        <v>2.9999999999999996</v>
      </c>
      <c r="X1139" s="13" cm="1">
        <f t="array" ref="X1139">IF(Table8[[#This Row],[I_0]]&lt;Table24[Flitro de Ruido],1,Table8[[#This Row],[I_40]]/Table8[[#This Row],[I_0]])</f>
        <v>5.5</v>
      </c>
      <c r="Y1139" s="13" cm="1">
        <f t="array" ref="Y1139">IF(Table8[[#This Row],[I_0]]&lt;Table24[Flitro de Ruido],1,Table8[[#This Row],[I_50]]/Table8[[#This Row],[I_0]])</f>
        <v>8</v>
      </c>
    </row>
    <row r="1140" spans="1:25" x14ac:dyDescent="0.3">
      <c r="A1140" s="13">
        <v>1198.9100000000001</v>
      </c>
      <c r="B1140" s="12">
        <v>0.3</v>
      </c>
      <c r="C1140" s="11">
        <v>1198.9100000000001</v>
      </c>
      <c r="D1140" s="12">
        <v>0.6</v>
      </c>
      <c r="E1140" s="11">
        <v>1198.9100000000001</v>
      </c>
      <c r="F1140" s="12">
        <v>0.9</v>
      </c>
      <c r="G1140" s="11">
        <v>1198.9100000000001</v>
      </c>
      <c r="H1140" s="12">
        <v>0.8</v>
      </c>
      <c r="I1140" s="11">
        <v>1198.9100000000001</v>
      </c>
      <c r="J1140" s="12">
        <v>1.3</v>
      </c>
      <c r="K1140" s="11">
        <v>1198.9100000000001</v>
      </c>
      <c r="L1140" s="12">
        <v>1.9</v>
      </c>
      <c r="M1140" s="11">
        <v>1198.9100000000001</v>
      </c>
      <c r="N1140" s="13">
        <v>0.3</v>
      </c>
      <c r="O1140" s="11">
        <v>0.6</v>
      </c>
      <c r="P1140" s="11">
        <v>0.9</v>
      </c>
      <c r="Q1140" s="11">
        <v>0.8</v>
      </c>
      <c r="R1140" s="11">
        <v>1.3</v>
      </c>
      <c r="S1140" s="14">
        <v>1.9</v>
      </c>
      <c r="T1140" s="11">
        <v>1198.9100000000001</v>
      </c>
      <c r="U1140" s="13" cm="1">
        <f t="array" ref="U1140">IF(Table8[[#This Row],[I_0]]&lt;Table24[Flitro de Ruido],1,Table8[[#This Row],[I_10]]/Table8[[#This Row],[I_0]])</f>
        <v>2</v>
      </c>
      <c r="V1140" s="13" cm="1">
        <f t="array" ref="V1140">IF(Table8[[#This Row],[I_0]]&lt;Table24[Flitro de Ruido],1,Table8[[#This Row],[I_20]]/Table8[[#This Row],[I_0]])</f>
        <v>3</v>
      </c>
      <c r="W1140" s="13" cm="1">
        <f t="array" ref="W1140">IF(Table8[[#This Row],[I_0]]&lt;Table24[Flitro de Ruido],1,Table8[[#This Row],[I_30]]/Table8[[#This Row],[I_0]])</f>
        <v>2.666666666666667</v>
      </c>
      <c r="X1140" s="13" cm="1">
        <f t="array" ref="X1140">IF(Table8[[#This Row],[I_0]]&lt;Table24[Flitro de Ruido],1,Table8[[#This Row],[I_40]]/Table8[[#This Row],[I_0]])</f>
        <v>4.3333333333333339</v>
      </c>
      <c r="Y1140" s="13" cm="1">
        <f t="array" ref="Y1140">IF(Table8[[#This Row],[I_0]]&lt;Table24[Flitro de Ruido],1,Table8[[#This Row],[I_50]]/Table8[[#This Row],[I_0]])</f>
        <v>6.333333333333333</v>
      </c>
    </row>
    <row r="1141" spans="1:25" x14ac:dyDescent="0.3">
      <c r="A1141" s="13">
        <v>1199.9000000000001</v>
      </c>
      <c r="B1141" s="12">
        <v>0.3</v>
      </c>
      <c r="C1141" s="11">
        <v>1199.9000000000001</v>
      </c>
      <c r="D1141" s="12">
        <v>0.7</v>
      </c>
      <c r="E1141" s="11">
        <v>1199.9000000000001</v>
      </c>
      <c r="F1141" s="12">
        <v>1</v>
      </c>
      <c r="G1141" s="11">
        <v>1199.9000000000001</v>
      </c>
      <c r="H1141" s="12">
        <v>0.9</v>
      </c>
      <c r="I1141" s="11">
        <v>1199.9000000000001</v>
      </c>
      <c r="J1141" s="12">
        <v>1.5</v>
      </c>
      <c r="K1141" s="11">
        <v>1199.9000000000001</v>
      </c>
      <c r="L1141" s="12">
        <v>2.2000000000000002</v>
      </c>
      <c r="M1141" s="11">
        <v>1199.9000000000001</v>
      </c>
      <c r="N1141" s="13">
        <v>0.3</v>
      </c>
      <c r="O1141" s="11">
        <v>0.7</v>
      </c>
      <c r="P1141" s="11">
        <v>1</v>
      </c>
      <c r="Q1141" s="11">
        <v>0.9</v>
      </c>
      <c r="R1141" s="11">
        <v>1.5</v>
      </c>
      <c r="S1141" s="14">
        <v>2.2000000000000002</v>
      </c>
      <c r="T1141" s="11">
        <v>1199.9000000000001</v>
      </c>
      <c r="U1141" s="13" cm="1">
        <f t="array" ref="U1141">IF(Table8[[#This Row],[I_0]]&lt;Table24[Flitro de Ruido],1,Table8[[#This Row],[I_10]]/Table8[[#This Row],[I_0]])</f>
        <v>2.3333333333333335</v>
      </c>
      <c r="V1141" s="13" cm="1">
        <f t="array" ref="V1141">IF(Table8[[#This Row],[I_0]]&lt;Table24[Flitro de Ruido],1,Table8[[#This Row],[I_20]]/Table8[[#This Row],[I_0]])</f>
        <v>3.3333333333333335</v>
      </c>
      <c r="W1141" s="13" cm="1">
        <f t="array" ref="W1141">IF(Table8[[#This Row],[I_0]]&lt;Table24[Flitro de Ruido],1,Table8[[#This Row],[I_30]]/Table8[[#This Row],[I_0]])</f>
        <v>3</v>
      </c>
      <c r="X1141" s="13" cm="1">
        <f t="array" ref="X1141">IF(Table8[[#This Row],[I_0]]&lt;Table24[Flitro de Ruido],1,Table8[[#This Row],[I_40]]/Table8[[#This Row],[I_0]])</f>
        <v>5</v>
      </c>
      <c r="Y1141" s="13" cm="1">
        <f t="array" ref="Y1141">IF(Table8[[#This Row],[I_0]]&lt;Table24[Flitro de Ruido],1,Table8[[#This Row],[I_50]]/Table8[[#This Row],[I_0]])</f>
        <v>7.3333333333333339</v>
      </c>
    </row>
    <row r="1142" spans="1:25" x14ac:dyDescent="0.3">
      <c r="A1142" s="13">
        <v>1200.8900000000001</v>
      </c>
      <c r="B1142" s="12">
        <v>0.4</v>
      </c>
      <c r="C1142" s="11">
        <v>1200.8900000000001</v>
      </c>
      <c r="D1142" s="12">
        <v>0.8</v>
      </c>
      <c r="E1142" s="11">
        <v>1200.8900000000001</v>
      </c>
      <c r="F1142" s="12">
        <v>1.2</v>
      </c>
      <c r="G1142" s="11">
        <v>1200.8900000000001</v>
      </c>
      <c r="H1142" s="12">
        <v>1.1000000000000001</v>
      </c>
      <c r="I1142" s="11">
        <v>1200.8900000000001</v>
      </c>
      <c r="J1142" s="12">
        <v>1.7</v>
      </c>
      <c r="K1142" s="11">
        <v>1200.8900000000001</v>
      </c>
      <c r="L1142" s="12">
        <v>2.6</v>
      </c>
      <c r="M1142" s="11">
        <v>1200.8900000000001</v>
      </c>
      <c r="N1142" s="13">
        <v>0.4</v>
      </c>
      <c r="O1142" s="11">
        <v>0.8</v>
      </c>
      <c r="P1142" s="11">
        <v>1.2</v>
      </c>
      <c r="Q1142" s="11">
        <v>1.1000000000000001</v>
      </c>
      <c r="R1142" s="11">
        <v>1.7</v>
      </c>
      <c r="S1142" s="14">
        <v>2.6</v>
      </c>
      <c r="T1142" s="11">
        <v>1200.8900000000001</v>
      </c>
      <c r="U1142" s="13" cm="1">
        <f t="array" ref="U1142">IF(Table8[[#This Row],[I_0]]&lt;Table24[Flitro de Ruido],1,Table8[[#This Row],[I_10]]/Table8[[#This Row],[I_0]])</f>
        <v>2</v>
      </c>
      <c r="V1142" s="13" cm="1">
        <f t="array" ref="V1142">IF(Table8[[#This Row],[I_0]]&lt;Table24[Flitro de Ruido],1,Table8[[#This Row],[I_20]]/Table8[[#This Row],[I_0]])</f>
        <v>2.9999999999999996</v>
      </c>
      <c r="W1142" s="13" cm="1">
        <f t="array" ref="W1142">IF(Table8[[#This Row],[I_0]]&lt;Table24[Flitro de Ruido],1,Table8[[#This Row],[I_30]]/Table8[[#This Row],[I_0]])</f>
        <v>2.75</v>
      </c>
      <c r="X1142" s="13" cm="1">
        <f t="array" ref="X1142">IF(Table8[[#This Row],[I_0]]&lt;Table24[Flitro de Ruido],1,Table8[[#This Row],[I_40]]/Table8[[#This Row],[I_0]])</f>
        <v>4.25</v>
      </c>
      <c r="Y1142" s="13" cm="1">
        <f t="array" ref="Y1142">IF(Table8[[#This Row],[I_0]]&lt;Table24[Flitro de Ruido],1,Table8[[#This Row],[I_50]]/Table8[[#This Row],[I_0]])</f>
        <v>6.5</v>
      </c>
    </row>
    <row r="1143" spans="1:25" x14ac:dyDescent="0.3">
      <c r="A1143" s="13">
        <v>1201.8800000000001</v>
      </c>
      <c r="B1143" s="12">
        <v>0.4</v>
      </c>
      <c r="C1143" s="11">
        <v>1201.8800000000001</v>
      </c>
      <c r="D1143" s="12">
        <v>0.9</v>
      </c>
      <c r="E1143" s="11">
        <v>1201.8800000000001</v>
      </c>
      <c r="F1143" s="12">
        <v>1.5</v>
      </c>
      <c r="G1143" s="11">
        <v>1201.8800000000001</v>
      </c>
      <c r="H1143" s="12">
        <v>1.3</v>
      </c>
      <c r="I1143" s="11">
        <v>1201.8800000000001</v>
      </c>
      <c r="J1143" s="12">
        <v>2</v>
      </c>
      <c r="K1143" s="11">
        <v>1201.8800000000001</v>
      </c>
      <c r="L1143" s="12">
        <v>3</v>
      </c>
      <c r="M1143" s="11">
        <v>1201.8800000000001</v>
      </c>
      <c r="N1143" s="13">
        <v>0.4</v>
      </c>
      <c r="O1143" s="11">
        <v>0.9</v>
      </c>
      <c r="P1143" s="11">
        <v>1.5</v>
      </c>
      <c r="Q1143" s="11">
        <v>1.3</v>
      </c>
      <c r="R1143" s="11">
        <v>2</v>
      </c>
      <c r="S1143" s="14">
        <v>3</v>
      </c>
      <c r="T1143" s="11">
        <v>1201.8800000000001</v>
      </c>
      <c r="U1143" s="13" cm="1">
        <f t="array" ref="U1143">IF(Table8[[#This Row],[I_0]]&lt;Table24[Flitro de Ruido],1,Table8[[#This Row],[I_10]]/Table8[[#This Row],[I_0]])</f>
        <v>2.25</v>
      </c>
      <c r="V1143" s="13" cm="1">
        <f t="array" ref="V1143">IF(Table8[[#This Row],[I_0]]&lt;Table24[Flitro de Ruido],1,Table8[[#This Row],[I_20]]/Table8[[#This Row],[I_0]])</f>
        <v>3.75</v>
      </c>
      <c r="W1143" s="13" cm="1">
        <f t="array" ref="W1143">IF(Table8[[#This Row],[I_0]]&lt;Table24[Flitro de Ruido],1,Table8[[#This Row],[I_30]]/Table8[[#This Row],[I_0]])</f>
        <v>3.25</v>
      </c>
      <c r="X1143" s="13" cm="1">
        <f t="array" ref="X1143">IF(Table8[[#This Row],[I_0]]&lt;Table24[Flitro de Ruido],1,Table8[[#This Row],[I_40]]/Table8[[#This Row],[I_0]])</f>
        <v>5</v>
      </c>
      <c r="Y1143" s="13" cm="1">
        <f t="array" ref="Y1143">IF(Table8[[#This Row],[I_0]]&lt;Table24[Flitro de Ruido],1,Table8[[#This Row],[I_50]]/Table8[[#This Row],[I_0]])</f>
        <v>7.5</v>
      </c>
    </row>
    <row r="1144" spans="1:25" x14ac:dyDescent="0.3">
      <c r="A1144" s="13">
        <v>1202.8800000000001</v>
      </c>
      <c r="B1144" s="12">
        <v>0.5</v>
      </c>
      <c r="C1144" s="11">
        <v>1202.8800000000001</v>
      </c>
      <c r="D1144" s="12">
        <v>1.1000000000000001</v>
      </c>
      <c r="E1144" s="11">
        <v>1202.8800000000001</v>
      </c>
      <c r="F1144" s="12">
        <v>1.7</v>
      </c>
      <c r="G1144" s="11">
        <v>1202.8800000000001</v>
      </c>
      <c r="H1144" s="12">
        <v>1.5</v>
      </c>
      <c r="I1144" s="11">
        <v>1202.8800000000001</v>
      </c>
      <c r="J1144" s="12">
        <v>2.4</v>
      </c>
      <c r="K1144" s="11">
        <v>1202.8800000000001</v>
      </c>
      <c r="L1144" s="12">
        <v>3.5</v>
      </c>
      <c r="M1144" s="11">
        <v>1202.8800000000001</v>
      </c>
      <c r="N1144" s="13">
        <v>0.5</v>
      </c>
      <c r="O1144" s="11">
        <v>1.1000000000000001</v>
      </c>
      <c r="P1144" s="11">
        <v>1.7</v>
      </c>
      <c r="Q1144" s="11">
        <v>1.5</v>
      </c>
      <c r="R1144" s="11">
        <v>2.4</v>
      </c>
      <c r="S1144" s="14">
        <v>3.5</v>
      </c>
      <c r="T1144" s="11">
        <v>1202.8800000000001</v>
      </c>
      <c r="U1144" s="13" cm="1">
        <f t="array" ref="U1144">IF(Table8[[#This Row],[I_0]]&lt;Table24[Flitro de Ruido],1,Table8[[#This Row],[I_10]]/Table8[[#This Row],[I_0]])</f>
        <v>2.2000000000000002</v>
      </c>
      <c r="V1144" s="13" cm="1">
        <f t="array" ref="V1144">IF(Table8[[#This Row],[I_0]]&lt;Table24[Flitro de Ruido],1,Table8[[#This Row],[I_20]]/Table8[[#This Row],[I_0]])</f>
        <v>3.4</v>
      </c>
      <c r="W1144" s="13" cm="1">
        <f t="array" ref="W1144">IF(Table8[[#This Row],[I_0]]&lt;Table24[Flitro de Ruido],1,Table8[[#This Row],[I_30]]/Table8[[#This Row],[I_0]])</f>
        <v>3</v>
      </c>
      <c r="X1144" s="13" cm="1">
        <f t="array" ref="X1144">IF(Table8[[#This Row],[I_0]]&lt;Table24[Flitro de Ruido],1,Table8[[#This Row],[I_40]]/Table8[[#This Row],[I_0]])</f>
        <v>4.8</v>
      </c>
      <c r="Y1144" s="13" cm="1">
        <f t="array" ref="Y1144">IF(Table8[[#This Row],[I_0]]&lt;Table24[Flitro de Ruido],1,Table8[[#This Row],[I_50]]/Table8[[#This Row],[I_0]])</f>
        <v>7</v>
      </c>
    </row>
    <row r="1145" spans="1:25" x14ac:dyDescent="0.3">
      <c r="A1145" s="13">
        <v>1203.8699999999999</v>
      </c>
      <c r="B1145" s="12">
        <v>0.6</v>
      </c>
      <c r="C1145" s="11">
        <v>1203.8699999999999</v>
      </c>
      <c r="D1145" s="12">
        <v>1.3</v>
      </c>
      <c r="E1145" s="11">
        <v>1203.8699999999999</v>
      </c>
      <c r="F1145" s="12">
        <v>2</v>
      </c>
      <c r="G1145" s="11">
        <v>1203.8699999999999</v>
      </c>
      <c r="H1145" s="12">
        <v>1.7</v>
      </c>
      <c r="I1145" s="11">
        <v>1203.8699999999999</v>
      </c>
      <c r="J1145" s="12">
        <v>2.7</v>
      </c>
      <c r="K1145" s="11">
        <v>1203.8699999999999</v>
      </c>
      <c r="L1145" s="12">
        <v>4</v>
      </c>
      <c r="M1145" s="11">
        <v>1203.8699999999999</v>
      </c>
      <c r="N1145" s="13">
        <v>0.6</v>
      </c>
      <c r="O1145" s="11">
        <v>1.3</v>
      </c>
      <c r="P1145" s="11">
        <v>2</v>
      </c>
      <c r="Q1145" s="11">
        <v>1.7</v>
      </c>
      <c r="R1145" s="11">
        <v>2.7</v>
      </c>
      <c r="S1145" s="14">
        <v>4</v>
      </c>
      <c r="T1145" s="11">
        <v>1203.8699999999999</v>
      </c>
      <c r="U1145" s="13" cm="1">
        <f t="array" ref="U1145">IF(Table8[[#This Row],[I_0]]&lt;Table24[Flitro de Ruido],1,Table8[[#This Row],[I_10]]/Table8[[#This Row],[I_0]])</f>
        <v>2.166666666666667</v>
      </c>
      <c r="V1145" s="13" cm="1">
        <f t="array" ref="V1145">IF(Table8[[#This Row],[I_0]]&lt;Table24[Flitro de Ruido],1,Table8[[#This Row],[I_20]]/Table8[[#This Row],[I_0]])</f>
        <v>3.3333333333333335</v>
      </c>
      <c r="W1145" s="13" cm="1">
        <f t="array" ref="W1145">IF(Table8[[#This Row],[I_0]]&lt;Table24[Flitro de Ruido],1,Table8[[#This Row],[I_30]]/Table8[[#This Row],[I_0]])</f>
        <v>2.8333333333333335</v>
      </c>
      <c r="X1145" s="13" cm="1">
        <f t="array" ref="X1145">IF(Table8[[#This Row],[I_0]]&lt;Table24[Flitro de Ruido],1,Table8[[#This Row],[I_40]]/Table8[[#This Row],[I_0]])</f>
        <v>4.5000000000000009</v>
      </c>
      <c r="Y1145" s="13" cm="1">
        <f t="array" ref="Y1145">IF(Table8[[#This Row],[I_0]]&lt;Table24[Flitro de Ruido],1,Table8[[#This Row],[I_50]]/Table8[[#This Row],[I_0]])</f>
        <v>6.666666666666667</v>
      </c>
    </row>
    <row r="1146" spans="1:25" x14ac:dyDescent="0.3">
      <c r="A1146" s="13">
        <v>1204.8599999999999</v>
      </c>
      <c r="B1146" s="12">
        <v>0.8</v>
      </c>
      <c r="C1146" s="11">
        <v>1204.8599999999999</v>
      </c>
      <c r="D1146" s="12">
        <v>1.6</v>
      </c>
      <c r="E1146" s="11">
        <v>1204.8599999999999</v>
      </c>
      <c r="F1146" s="12">
        <v>2.4</v>
      </c>
      <c r="G1146" s="11">
        <v>1204.8599999999999</v>
      </c>
      <c r="H1146" s="12">
        <v>2.1</v>
      </c>
      <c r="I1146" s="11">
        <v>1204.8599999999999</v>
      </c>
      <c r="J1146" s="12">
        <v>3.2</v>
      </c>
      <c r="K1146" s="11">
        <v>1204.8599999999999</v>
      </c>
      <c r="L1146" s="12">
        <v>4.5999999999999996</v>
      </c>
      <c r="M1146" s="11">
        <v>1204.8599999999999</v>
      </c>
      <c r="N1146" s="13">
        <v>0.8</v>
      </c>
      <c r="O1146" s="11">
        <v>1.6</v>
      </c>
      <c r="P1146" s="11">
        <v>2.4</v>
      </c>
      <c r="Q1146" s="11">
        <v>2.1</v>
      </c>
      <c r="R1146" s="11">
        <v>3.2</v>
      </c>
      <c r="S1146" s="14">
        <v>4.5999999999999996</v>
      </c>
      <c r="T1146" s="11">
        <v>1204.8599999999999</v>
      </c>
      <c r="U1146" s="13" cm="1">
        <f t="array" ref="U1146">IF(Table8[[#This Row],[I_0]]&lt;Table24[Flitro de Ruido],1,Table8[[#This Row],[I_10]]/Table8[[#This Row],[I_0]])</f>
        <v>2</v>
      </c>
      <c r="V1146" s="13" cm="1">
        <f t="array" ref="V1146">IF(Table8[[#This Row],[I_0]]&lt;Table24[Flitro de Ruido],1,Table8[[#This Row],[I_20]]/Table8[[#This Row],[I_0]])</f>
        <v>2.9999999999999996</v>
      </c>
      <c r="W1146" s="13" cm="1">
        <f t="array" ref="W1146">IF(Table8[[#This Row],[I_0]]&lt;Table24[Flitro de Ruido],1,Table8[[#This Row],[I_30]]/Table8[[#This Row],[I_0]])</f>
        <v>2.625</v>
      </c>
      <c r="X1146" s="13" cm="1">
        <f t="array" ref="X1146">IF(Table8[[#This Row],[I_0]]&lt;Table24[Flitro de Ruido],1,Table8[[#This Row],[I_40]]/Table8[[#This Row],[I_0]])</f>
        <v>4</v>
      </c>
      <c r="Y1146" s="13" cm="1">
        <f t="array" ref="Y1146">IF(Table8[[#This Row],[I_0]]&lt;Table24[Flitro de Ruido],1,Table8[[#This Row],[I_50]]/Table8[[#This Row],[I_0]])</f>
        <v>5.7499999999999991</v>
      </c>
    </row>
    <row r="1147" spans="1:25" x14ac:dyDescent="0.3">
      <c r="A1147" s="13">
        <v>1205.8499999999999</v>
      </c>
      <c r="B1147" s="12">
        <v>0.9</v>
      </c>
      <c r="C1147" s="11">
        <v>1205.8499999999999</v>
      </c>
      <c r="D1147" s="12">
        <v>1.9</v>
      </c>
      <c r="E1147" s="11">
        <v>1205.8499999999999</v>
      </c>
      <c r="F1147" s="12">
        <v>2.7</v>
      </c>
      <c r="G1147" s="11">
        <v>1205.8499999999999</v>
      </c>
      <c r="H1147" s="12">
        <v>2.4</v>
      </c>
      <c r="I1147" s="11">
        <v>1205.8499999999999</v>
      </c>
      <c r="J1147" s="12">
        <v>3.7</v>
      </c>
      <c r="K1147" s="11">
        <v>1205.8499999999999</v>
      </c>
      <c r="L1147" s="12">
        <v>5.2</v>
      </c>
      <c r="M1147" s="11">
        <v>1205.8499999999999</v>
      </c>
      <c r="N1147" s="13">
        <v>0.9</v>
      </c>
      <c r="O1147" s="11">
        <v>1.9</v>
      </c>
      <c r="P1147" s="11">
        <v>2.7</v>
      </c>
      <c r="Q1147" s="11">
        <v>2.4</v>
      </c>
      <c r="R1147" s="11">
        <v>3.7</v>
      </c>
      <c r="S1147" s="14">
        <v>5.2</v>
      </c>
      <c r="T1147" s="11">
        <v>1205.8499999999999</v>
      </c>
      <c r="U1147" s="13" cm="1">
        <f t="array" ref="U1147">IF(Table8[[#This Row],[I_0]]&lt;Table24[Flitro de Ruido],1,Table8[[#This Row],[I_10]]/Table8[[#This Row],[I_0]])</f>
        <v>2.1111111111111112</v>
      </c>
      <c r="V1147" s="13" cm="1">
        <f t="array" ref="V1147">IF(Table8[[#This Row],[I_0]]&lt;Table24[Flitro de Ruido],1,Table8[[#This Row],[I_20]]/Table8[[#This Row],[I_0]])</f>
        <v>3</v>
      </c>
      <c r="W1147" s="13" cm="1">
        <f t="array" ref="W1147">IF(Table8[[#This Row],[I_0]]&lt;Table24[Flitro de Ruido],1,Table8[[#This Row],[I_30]]/Table8[[#This Row],[I_0]])</f>
        <v>2.6666666666666665</v>
      </c>
      <c r="X1147" s="13" cm="1">
        <f t="array" ref="X1147">IF(Table8[[#This Row],[I_0]]&lt;Table24[Flitro de Ruido],1,Table8[[#This Row],[I_40]]/Table8[[#This Row],[I_0]])</f>
        <v>4.1111111111111116</v>
      </c>
      <c r="Y1147" s="13" cm="1">
        <f t="array" ref="Y1147">IF(Table8[[#This Row],[I_0]]&lt;Table24[Flitro de Ruido],1,Table8[[#This Row],[I_50]]/Table8[[#This Row],[I_0]])</f>
        <v>5.7777777777777777</v>
      </c>
    </row>
    <row r="1148" spans="1:25" x14ac:dyDescent="0.3">
      <c r="A1148" s="13">
        <v>1206.8399999999999</v>
      </c>
      <c r="B1148" s="12">
        <v>1.1000000000000001</v>
      </c>
      <c r="C1148" s="11">
        <v>1206.8399999999999</v>
      </c>
      <c r="D1148" s="12">
        <v>2.2000000000000002</v>
      </c>
      <c r="E1148" s="11">
        <v>1206.8399999999999</v>
      </c>
      <c r="F1148" s="12">
        <v>3.2</v>
      </c>
      <c r="G1148" s="11">
        <v>1206.8399999999999</v>
      </c>
      <c r="H1148" s="12">
        <v>2.8</v>
      </c>
      <c r="I1148" s="11">
        <v>1206.8399999999999</v>
      </c>
      <c r="J1148" s="12">
        <v>4.2</v>
      </c>
      <c r="K1148" s="11">
        <v>1206.8399999999999</v>
      </c>
      <c r="L1148" s="12">
        <v>5.9</v>
      </c>
      <c r="M1148" s="11">
        <v>1206.8399999999999</v>
      </c>
      <c r="N1148" s="13">
        <v>1.1000000000000001</v>
      </c>
      <c r="O1148" s="11">
        <v>2.2000000000000002</v>
      </c>
      <c r="P1148" s="11">
        <v>3.2</v>
      </c>
      <c r="Q1148" s="11">
        <v>2.8</v>
      </c>
      <c r="R1148" s="11">
        <v>4.2</v>
      </c>
      <c r="S1148" s="14">
        <v>5.9</v>
      </c>
      <c r="T1148" s="11">
        <v>1206.8399999999999</v>
      </c>
      <c r="U1148" s="13" cm="1">
        <f t="array" ref="U1148">IF(Table8[[#This Row],[I_0]]&lt;Table24[Flitro de Ruido],1,Table8[[#This Row],[I_10]]/Table8[[#This Row],[I_0]])</f>
        <v>2</v>
      </c>
      <c r="V1148" s="13" cm="1">
        <f t="array" ref="V1148">IF(Table8[[#This Row],[I_0]]&lt;Table24[Flitro de Ruido],1,Table8[[#This Row],[I_20]]/Table8[[#This Row],[I_0]])</f>
        <v>2.9090909090909092</v>
      </c>
      <c r="W1148" s="13" cm="1">
        <f t="array" ref="W1148">IF(Table8[[#This Row],[I_0]]&lt;Table24[Flitro de Ruido],1,Table8[[#This Row],[I_30]]/Table8[[#This Row],[I_0]])</f>
        <v>2.545454545454545</v>
      </c>
      <c r="X1148" s="13" cm="1">
        <f t="array" ref="X1148">IF(Table8[[#This Row],[I_0]]&lt;Table24[Flitro de Ruido],1,Table8[[#This Row],[I_40]]/Table8[[#This Row],[I_0]])</f>
        <v>3.8181818181818179</v>
      </c>
      <c r="Y1148" s="13" cm="1">
        <f t="array" ref="Y1148">IF(Table8[[#This Row],[I_0]]&lt;Table24[Flitro de Ruido],1,Table8[[#This Row],[I_50]]/Table8[[#This Row],[I_0]])</f>
        <v>5.3636363636363633</v>
      </c>
    </row>
    <row r="1149" spans="1:25" x14ac:dyDescent="0.3">
      <c r="A1149" s="13">
        <v>1207.83</v>
      </c>
      <c r="B1149" s="12">
        <v>1.3</v>
      </c>
      <c r="C1149" s="11">
        <v>1207.83</v>
      </c>
      <c r="D1149" s="12">
        <v>2.5</v>
      </c>
      <c r="E1149" s="11">
        <v>1207.83</v>
      </c>
      <c r="F1149" s="12">
        <v>3.7</v>
      </c>
      <c r="G1149" s="11">
        <v>1207.83</v>
      </c>
      <c r="H1149" s="12">
        <v>3.3</v>
      </c>
      <c r="I1149" s="11">
        <v>1207.83</v>
      </c>
      <c r="J1149" s="12">
        <v>4.8</v>
      </c>
      <c r="K1149" s="11">
        <v>1207.83</v>
      </c>
      <c r="L1149" s="12">
        <v>6.6</v>
      </c>
      <c r="M1149" s="11">
        <v>1207.83</v>
      </c>
      <c r="N1149" s="13">
        <v>1.3</v>
      </c>
      <c r="O1149" s="11">
        <v>2.5</v>
      </c>
      <c r="P1149" s="11">
        <v>3.7</v>
      </c>
      <c r="Q1149" s="11">
        <v>3.3</v>
      </c>
      <c r="R1149" s="11">
        <v>4.8</v>
      </c>
      <c r="S1149" s="14">
        <v>6.6</v>
      </c>
      <c r="T1149" s="11">
        <v>1207.83</v>
      </c>
      <c r="U1149" s="13" cm="1">
        <f t="array" ref="U1149">IF(Table8[[#This Row],[I_0]]&lt;Table24[Flitro de Ruido],1,Table8[[#This Row],[I_10]]/Table8[[#This Row],[I_0]])</f>
        <v>1.9230769230769229</v>
      </c>
      <c r="V1149" s="13" cm="1">
        <f t="array" ref="V1149">IF(Table8[[#This Row],[I_0]]&lt;Table24[Flitro de Ruido],1,Table8[[#This Row],[I_20]]/Table8[[#This Row],[I_0]])</f>
        <v>2.8461538461538463</v>
      </c>
      <c r="W1149" s="13" cm="1">
        <f t="array" ref="W1149">IF(Table8[[#This Row],[I_0]]&lt;Table24[Flitro de Ruido],1,Table8[[#This Row],[I_30]]/Table8[[#This Row],[I_0]])</f>
        <v>2.5384615384615383</v>
      </c>
      <c r="X1149" s="13" cm="1">
        <f t="array" ref="X1149">IF(Table8[[#This Row],[I_0]]&lt;Table24[Flitro de Ruido],1,Table8[[#This Row],[I_40]]/Table8[[#This Row],[I_0]])</f>
        <v>3.6923076923076921</v>
      </c>
      <c r="Y1149" s="13" cm="1">
        <f t="array" ref="Y1149">IF(Table8[[#This Row],[I_0]]&lt;Table24[Flitro de Ruido],1,Table8[[#This Row],[I_50]]/Table8[[#This Row],[I_0]])</f>
        <v>5.0769230769230766</v>
      </c>
    </row>
    <row r="1150" spans="1:25" x14ac:dyDescent="0.3">
      <c r="A1150" s="13">
        <v>1208.83</v>
      </c>
      <c r="B1150" s="12">
        <v>1.5</v>
      </c>
      <c r="C1150" s="11">
        <v>1208.83</v>
      </c>
      <c r="D1150" s="12">
        <v>2.9</v>
      </c>
      <c r="E1150" s="11">
        <v>1208.83</v>
      </c>
      <c r="F1150" s="12">
        <v>4.2</v>
      </c>
      <c r="G1150" s="11">
        <v>1208.83</v>
      </c>
      <c r="H1150" s="12">
        <v>3.8</v>
      </c>
      <c r="I1150" s="11">
        <v>1208.83</v>
      </c>
      <c r="J1150" s="12">
        <v>5.5</v>
      </c>
      <c r="K1150" s="11">
        <v>1208.83</v>
      </c>
      <c r="L1150" s="12">
        <v>7.4</v>
      </c>
      <c r="M1150" s="11">
        <v>1208.83</v>
      </c>
      <c r="N1150" s="13">
        <v>1.5</v>
      </c>
      <c r="O1150" s="11">
        <v>2.9</v>
      </c>
      <c r="P1150" s="11">
        <v>4.2</v>
      </c>
      <c r="Q1150" s="11">
        <v>3.8</v>
      </c>
      <c r="R1150" s="11">
        <v>5.5</v>
      </c>
      <c r="S1150" s="14">
        <v>7.4</v>
      </c>
      <c r="T1150" s="11">
        <v>1208.83</v>
      </c>
      <c r="U1150" s="13" cm="1">
        <f t="array" ref="U1150">IF(Table8[[#This Row],[I_0]]&lt;Table24[Flitro de Ruido],1,Table8[[#This Row],[I_10]]/Table8[[#This Row],[I_0]])</f>
        <v>1.9333333333333333</v>
      </c>
      <c r="V1150" s="13" cm="1">
        <f t="array" ref="V1150">IF(Table8[[#This Row],[I_0]]&lt;Table24[Flitro de Ruido],1,Table8[[#This Row],[I_20]]/Table8[[#This Row],[I_0]])</f>
        <v>2.8000000000000003</v>
      </c>
      <c r="W1150" s="13" cm="1">
        <f t="array" ref="W1150">IF(Table8[[#This Row],[I_0]]&lt;Table24[Flitro de Ruido],1,Table8[[#This Row],[I_30]]/Table8[[#This Row],[I_0]])</f>
        <v>2.5333333333333332</v>
      </c>
      <c r="X1150" s="13" cm="1">
        <f t="array" ref="X1150">IF(Table8[[#This Row],[I_0]]&lt;Table24[Flitro de Ruido],1,Table8[[#This Row],[I_40]]/Table8[[#This Row],[I_0]])</f>
        <v>3.6666666666666665</v>
      </c>
      <c r="Y1150" s="13" cm="1">
        <f t="array" ref="Y1150">IF(Table8[[#This Row],[I_0]]&lt;Table24[Flitro de Ruido],1,Table8[[#This Row],[I_50]]/Table8[[#This Row],[I_0]])</f>
        <v>4.9333333333333336</v>
      </c>
    </row>
    <row r="1151" spans="1:25" x14ac:dyDescent="0.3">
      <c r="A1151" s="13">
        <v>1209.82</v>
      </c>
      <c r="B1151" s="12">
        <v>1.7</v>
      </c>
      <c r="C1151" s="11">
        <v>1209.82</v>
      </c>
      <c r="D1151" s="12">
        <v>3.4</v>
      </c>
      <c r="E1151" s="11">
        <v>1209.82</v>
      </c>
      <c r="F1151" s="12">
        <v>4.8</v>
      </c>
      <c r="G1151" s="11">
        <v>1209.82</v>
      </c>
      <c r="H1151" s="12">
        <v>4.3</v>
      </c>
      <c r="I1151" s="11">
        <v>1209.82</v>
      </c>
      <c r="J1151" s="12">
        <v>6.1</v>
      </c>
      <c r="K1151" s="11">
        <v>1209.82</v>
      </c>
      <c r="L1151" s="12">
        <v>8.1999999999999993</v>
      </c>
      <c r="M1151" s="11">
        <v>1209.82</v>
      </c>
      <c r="N1151" s="13">
        <v>1.7</v>
      </c>
      <c r="O1151" s="11">
        <v>3.4</v>
      </c>
      <c r="P1151" s="11">
        <v>4.8</v>
      </c>
      <c r="Q1151" s="11">
        <v>4.3</v>
      </c>
      <c r="R1151" s="11">
        <v>6.1</v>
      </c>
      <c r="S1151" s="14">
        <v>8.1999999999999993</v>
      </c>
      <c r="T1151" s="11">
        <v>1209.82</v>
      </c>
      <c r="U1151" s="13" cm="1">
        <f t="array" ref="U1151">IF(Table8[[#This Row],[I_0]]&lt;Table24[Flitro de Ruido],1,Table8[[#This Row],[I_10]]/Table8[[#This Row],[I_0]])</f>
        <v>2</v>
      </c>
      <c r="V1151" s="13" cm="1">
        <f t="array" ref="V1151">IF(Table8[[#This Row],[I_0]]&lt;Table24[Flitro de Ruido],1,Table8[[#This Row],[I_20]]/Table8[[#This Row],[I_0]])</f>
        <v>2.8235294117647061</v>
      </c>
      <c r="W1151" s="13" cm="1">
        <f t="array" ref="W1151">IF(Table8[[#This Row],[I_0]]&lt;Table24[Flitro de Ruido],1,Table8[[#This Row],[I_30]]/Table8[[#This Row],[I_0]])</f>
        <v>2.5294117647058822</v>
      </c>
      <c r="X1151" s="13" cm="1">
        <f t="array" ref="X1151">IF(Table8[[#This Row],[I_0]]&lt;Table24[Flitro de Ruido],1,Table8[[#This Row],[I_40]]/Table8[[#This Row],[I_0]])</f>
        <v>3.5882352941176467</v>
      </c>
      <c r="Y1151" s="13" cm="1">
        <f t="array" ref="Y1151">IF(Table8[[#This Row],[I_0]]&lt;Table24[Flitro de Ruido],1,Table8[[#This Row],[I_50]]/Table8[[#This Row],[I_0]])</f>
        <v>4.8235294117647056</v>
      </c>
    </row>
    <row r="1152" spans="1:25" x14ac:dyDescent="0.3">
      <c r="A1152" s="13">
        <v>1210.81</v>
      </c>
      <c r="B1152" s="12">
        <v>2</v>
      </c>
      <c r="C1152" s="11">
        <v>1210.81</v>
      </c>
      <c r="D1152" s="12">
        <v>3.9</v>
      </c>
      <c r="E1152" s="11">
        <v>1210.81</v>
      </c>
      <c r="F1152" s="12">
        <v>5.4</v>
      </c>
      <c r="G1152" s="11">
        <v>1210.81</v>
      </c>
      <c r="H1152" s="12">
        <v>4.9000000000000004</v>
      </c>
      <c r="I1152" s="11">
        <v>1210.81</v>
      </c>
      <c r="J1152" s="12">
        <v>6.9</v>
      </c>
      <c r="K1152" s="11">
        <v>1210.81</v>
      </c>
      <c r="L1152" s="12">
        <v>9.1</v>
      </c>
      <c r="M1152" s="11">
        <v>1210.81</v>
      </c>
      <c r="N1152" s="13">
        <v>2</v>
      </c>
      <c r="O1152" s="11">
        <v>3.9</v>
      </c>
      <c r="P1152" s="11">
        <v>5.4</v>
      </c>
      <c r="Q1152" s="11">
        <v>4.9000000000000004</v>
      </c>
      <c r="R1152" s="11">
        <v>6.9</v>
      </c>
      <c r="S1152" s="14">
        <v>9.1</v>
      </c>
      <c r="T1152" s="11">
        <v>1210.81</v>
      </c>
      <c r="U1152" s="13" cm="1">
        <f t="array" ref="U1152">IF(Table8[[#This Row],[I_0]]&lt;Table24[Flitro de Ruido],1,Table8[[#This Row],[I_10]]/Table8[[#This Row],[I_0]])</f>
        <v>1.95</v>
      </c>
      <c r="V1152" s="13" cm="1">
        <f t="array" ref="V1152">IF(Table8[[#This Row],[I_0]]&lt;Table24[Flitro de Ruido],1,Table8[[#This Row],[I_20]]/Table8[[#This Row],[I_0]])</f>
        <v>2.7</v>
      </c>
      <c r="W1152" s="13" cm="1">
        <f t="array" ref="W1152">IF(Table8[[#This Row],[I_0]]&lt;Table24[Flitro de Ruido],1,Table8[[#This Row],[I_30]]/Table8[[#This Row],[I_0]])</f>
        <v>2.4500000000000002</v>
      </c>
      <c r="X1152" s="13" cm="1">
        <f t="array" ref="X1152">IF(Table8[[#This Row],[I_0]]&lt;Table24[Flitro de Ruido],1,Table8[[#This Row],[I_40]]/Table8[[#This Row],[I_0]])</f>
        <v>3.45</v>
      </c>
      <c r="Y1152" s="13" cm="1">
        <f t="array" ref="Y1152">IF(Table8[[#This Row],[I_0]]&lt;Table24[Flitro de Ruido],1,Table8[[#This Row],[I_50]]/Table8[[#This Row],[I_0]])</f>
        <v>4.55</v>
      </c>
    </row>
    <row r="1153" spans="1:25" x14ac:dyDescent="0.3">
      <c r="A1153" s="13">
        <v>1211.8</v>
      </c>
      <c r="B1153" s="12">
        <v>2.2999999999999998</v>
      </c>
      <c r="C1153" s="11">
        <v>1211.8</v>
      </c>
      <c r="D1153" s="12">
        <v>4.3</v>
      </c>
      <c r="E1153" s="11">
        <v>1211.8</v>
      </c>
      <c r="F1153" s="12">
        <v>6</v>
      </c>
      <c r="G1153" s="11">
        <v>1211.8</v>
      </c>
      <c r="H1153" s="12">
        <v>5.5</v>
      </c>
      <c r="I1153" s="11">
        <v>1211.8</v>
      </c>
      <c r="J1153" s="12">
        <v>7.6</v>
      </c>
      <c r="K1153" s="11">
        <v>1211.8</v>
      </c>
      <c r="L1153" s="12">
        <v>9.9</v>
      </c>
      <c r="M1153" s="11">
        <v>1211.8</v>
      </c>
      <c r="N1153" s="13">
        <v>2.2999999999999998</v>
      </c>
      <c r="O1153" s="11">
        <v>4.3</v>
      </c>
      <c r="P1153" s="11">
        <v>6</v>
      </c>
      <c r="Q1153" s="11">
        <v>5.5</v>
      </c>
      <c r="R1153" s="11">
        <v>7.6</v>
      </c>
      <c r="S1153" s="14">
        <v>9.9</v>
      </c>
      <c r="T1153" s="11">
        <v>1211.8</v>
      </c>
      <c r="U1153" s="13" cm="1">
        <f t="array" ref="U1153">IF(Table8[[#This Row],[I_0]]&lt;Table24[Flitro de Ruido],1,Table8[[#This Row],[I_10]]/Table8[[#This Row],[I_0]])</f>
        <v>1.8695652173913044</v>
      </c>
      <c r="V1153" s="13" cm="1">
        <f t="array" ref="V1153">IF(Table8[[#This Row],[I_0]]&lt;Table24[Flitro de Ruido],1,Table8[[#This Row],[I_20]]/Table8[[#This Row],[I_0]])</f>
        <v>2.6086956521739131</v>
      </c>
      <c r="W1153" s="13" cm="1">
        <f t="array" ref="W1153">IF(Table8[[#This Row],[I_0]]&lt;Table24[Flitro de Ruido],1,Table8[[#This Row],[I_30]]/Table8[[#This Row],[I_0]])</f>
        <v>2.3913043478260874</v>
      </c>
      <c r="X1153" s="13" cm="1">
        <f t="array" ref="X1153">IF(Table8[[#This Row],[I_0]]&lt;Table24[Flitro de Ruido],1,Table8[[#This Row],[I_40]]/Table8[[#This Row],[I_0]])</f>
        <v>3.3043478260869565</v>
      </c>
      <c r="Y1153" s="13" cm="1">
        <f t="array" ref="Y1153">IF(Table8[[#This Row],[I_0]]&lt;Table24[Flitro de Ruido],1,Table8[[#This Row],[I_50]]/Table8[[#This Row],[I_0]])</f>
        <v>4.304347826086957</v>
      </c>
    </row>
    <row r="1154" spans="1:25" x14ac:dyDescent="0.3">
      <c r="A1154" s="13">
        <v>1212.79</v>
      </c>
      <c r="B1154" s="12">
        <v>2.7</v>
      </c>
      <c r="C1154" s="11">
        <v>1212.79</v>
      </c>
      <c r="D1154" s="12">
        <v>4.9000000000000004</v>
      </c>
      <c r="E1154" s="11">
        <v>1212.79</v>
      </c>
      <c r="F1154" s="12">
        <v>6.6</v>
      </c>
      <c r="G1154" s="11">
        <v>1212.79</v>
      </c>
      <c r="H1154" s="12">
        <v>6.1</v>
      </c>
      <c r="I1154" s="11">
        <v>1212.79</v>
      </c>
      <c r="J1154" s="12">
        <v>8.4</v>
      </c>
      <c r="K1154" s="11">
        <v>1212.79</v>
      </c>
      <c r="L1154" s="12">
        <v>10.8</v>
      </c>
      <c r="M1154" s="11">
        <v>1212.79</v>
      </c>
      <c r="N1154" s="13">
        <v>2.7</v>
      </c>
      <c r="O1154" s="11">
        <v>4.9000000000000004</v>
      </c>
      <c r="P1154" s="11">
        <v>6.6</v>
      </c>
      <c r="Q1154" s="11">
        <v>6.1</v>
      </c>
      <c r="R1154" s="11">
        <v>8.4</v>
      </c>
      <c r="S1154" s="14">
        <v>10.8</v>
      </c>
      <c r="T1154" s="11">
        <v>1212.79</v>
      </c>
      <c r="U1154" s="13" cm="1">
        <f t="array" ref="U1154">IF(Table8[[#This Row],[I_0]]&lt;Table24[Flitro de Ruido],1,Table8[[#This Row],[I_10]]/Table8[[#This Row],[I_0]])</f>
        <v>1.8148148148148149</v>
      </c>
      <c r="V1154" s="13" cm="1">
        <f t="array" ref="V1154">IF(Table8[[#This Row],[I_0]]&lt;Table24[Flitro de Ruido],1,Table8[[#This Row],[I_20]]/Table8[[#This Row],[I_0]])</f>
        <v>2.4444444444444442</v>
      </c>
      <c r="W1154" s="13" cm="1">
        <f t="array" ref="W1154">IF(Table8[[#This Row],[I_0]]&lt;Table24[Flitro de Ruido],1,Table8[[#This Row],[I_30]]/Table8[[#This Row],[I_0]])</f>
        <v>2.2592592592592591</v>
      </c>
      <c r="X1154" s="13" cm="1">
        <f t="array" ref="X1154">IF(Table8[[#This Row],[I_0]]&lt;Table24[Flitro de Ruido],1,Table8[[#This Row],[I_40]]/Table8[[#This Row],[I_0]])</f>
        <v>3.1111111111111112</v>
      </c>
      <c r="Y1154" s="13" cm="1">
        <f t="array" ref="Y1154">IF(Table8[[#This Row],[I_0]]&lt;Table24[Flitro de Ruido],1,Table8[[#This Row],[I_50]]/Table8[[#This Row],[I_0]])</f>
        <v>4</v>
      </c>
    </row>
    <row r="1155" spans="1:25" x14ac:dyDescent="0.3">
      <c r="A1155" s="13">
        <v>1213.78</v>
      </c>
      <c r="B1155" s="12">
        <v>3</v>
      </c>
      <c r="C1155" s="11">
        <v>1213.78</v>
      </c>
      <c r="D1155" s="12">
        <v>5.4</v>
      </c>
      <c r="E1155" s="11">
        <v>1213.78</v>
      </c>
      <c r="F1155" s="12">
        <v>7.2</v>
      </c>
      <c r="G1155" s="11">
        <v>1213.78</v>
      </c>
      <c r="H1155" s="12">
        <v>6.7</v>
      </c>
      <c r="I1155" s="11">
        <v>1213.78</v>
      </c>
      <c r="J1155" s="12">
        <v>9.1</v>
      </c>
      <c r="K1155" s="11">
        <v>1213.78</v>
      </c>
      <c r="L1155" s="12">
        <v>11.6</v>
      </c>
      <c r="M1155" s="11">
        <v>1213.78</v>
      </c>
      <c r="N1155" s="13">
        <v>3</v>
      </c>
      <c r="O1155" s="11">
        <v>5.4</v>
      </c>
      <c r="P1155" s="11">
        <v>7.2</v>
      </c>
      <c r="Q1155" s="11">
        <v>6.7</v>
      </c>
      <c r="R1155" s="11">
        <v>9.1</v>
      </c>
      <c r="S1155" s="14">
        <v>11.6</v>
      </c>
      <c r="T1155" s="11">
        <v>1213.78</v>
      </c>
      <c r="U1155" s="13" cm="1">
        <f t="array" ref="U1155">IF(Table8[[#This Row],[I_0]]&lt;Table24[Flitro de Ruido],1,Table8[[#This Row],[I_10]]/Table8[[#This Row],[I_0]])</f>
        <v>1.8</v>
      </c>
      <c r="V1155" s="13" cm="1">
        <f t="array" ref="V1155">IF(Table8[[#This Row],[I_0]]&lt;Table24[Flitro de Ruido],1,Table8[[#This Row],[I_20]]/Table8[[#This Row],[I_0]])</f>
        <v>2.4</v>
      </c>
      <c r="W1155" s="13" cm="1">
        <f t="array" ref="W1155">IF(Table8[[#This Row],[I_0]]&lt;Table24[Flitro de Ruido],1,Table8[[#This Row],[I_30]]/Table8[[#This Row],[I_0]])</f>
        <v>2.2333333333333334</v>
      </c>
      <c r="X1155" s="13" cm="1">
        <f t="array" ref="X1155">IF(Table8[[#This Row],[I_0]]&lt;Table24[Flitro de Ruido],1,Table8[[#This Row],[I_40]]/Table8[[#This Row],[I_0]])</f>
        <v>3.0333333333333332</v>
      </c>
      <c r="Y1155" s="13" cm="1">
        <f t="array" ref="Y1155">IF(Table8[[#This Row],[I_0]]&lt;Table24[Flitro de Ruido],1,Table8[[#This Row],[I_50]]/Table8[[#This Row],[I_0]])</f>
        <v>3.8666666666666667</v>
      </c>
    </row>
    <row r="1156" spans="1:25" x14ac:dyDescent="0.3">
      <c r="A1156" s="13">
        <v>1214.78</v>
      </c>
      <c r="B1156" s="12">
        <v>3.4</v>
      </c>
      <c r="C1156" s="11">
        <v>1214.78</v>
      </c>
      <c r="D1156" s="12">
        <v>6</v>
      </c>
      <c r="E1156" s="11">
        <v>1214.78</v>
      </c>
      <c r="F1156" s="12">
        <v>7.9</v>
      </c>
      <c r="G1156" s="11">
        <v>1214.78</v>
      </c>
      <c r="H1156" s="12">
        <v>7.3</v>
      </c>
      <c r="I1156" s="11">
        <v>1214.78</v>
      </c>
      <c r="J1156" s="12">
        <v>9.9</v>
      </c>
      <c r="K1156" s="11">
        <v>1214.78</v>
      </c>
      <c r="L1156" s="12">
        <v>12.5</v>
      </c>
      <c r="M1156" s="11">
        <v>1214.78</v>
      </c>
      <c r="N1156" s="13">
        <v>3.4</v>
      </c>
      <c r="O1156" s="11">
        <v>6</v>
      </c>
      <c r="P1156" s="11">
        <v>7.9</v>
      </c>
      <c r="Q1156" s="11">
        <v>7.3</v>
      </c>
      <c r="R1156" s="11">
        <v>9.9</v>
      </c>
      <c r="S1156" s="14">
        <v>12.5</v>
      </c>
      <c r="T1156" s="11">
        <v>1214.78</v>
      </c>
      <c r="U1156" s="13" cm="1">
        <f t="array" ref="U1156">IF(Table8[[#This Row],[I_0]]&lt;Table24[Flitro de Ruido],1,Table8[[#This Row],[I_10]]/Table8[[#This Row],[I_0]])</f>
        <v>1.7647058823529411</v>
      </c>
      <c r="V1156" s="13" cm="1">
        <f t="array" ref="V1156">IF(Table8[[#This Row],[I_0]]&lt;Table24[Flitro de Ruido],1,Table8[[#This Row],[I_20]]/Table8[[#This Row],[I_0]])</f>
        <v>2.3235294117647061</v>
      </c>
      <c r="W1156" s="13" cm="1">
        <f t="array" ref="W1156">IF(Table8[[#This Row],[I_0]]&lt;Table24[Flitro de Ruido],1,Table8[[#This Row],[I_30]]/Table8[[#This Row],[I_0]])</f>
        <v>2.1470588235294117</v>
      </c>
      <c r="X1156" s="13" cm="1">
        <f t="array" ref="X1156">IF(Table8[[#This Row],[I_0]]&lt;Table24[Flitro de Ruido],1,Table8[[#This Row],[I_40]]/Table8[[#This Row],[I_0]])</f>
        <v>2.9117647058823533</v>
      </c>
      <c r="Y1156" s="13" cm="1">
        <f t="array" ref="Y1156">IF(Table8[[#This Row],[I_0]]&lt;Table24[Flitro de Ruido],1,Table8[[#This Row],[I_50]]/Table8[[#This Row],[I_0]])</f>
        <v>3.6764705882352944</v>
      </c>
    </row>
    <row r="1157" spans="1:25" x14ac:dyDescent="0.3">
      <c r="A1157" s="13">
        <v>1215.77</v>
      </c>
      <c r="B1157" s="12">
        <v>3.8</v>
      </c>
      <c r="C1157" s="11">
        <v>1215.77</v>
      </c>
      <c r="D1157" s="12">
        <v>6.6</v>
      </c>
      <c r="E1157" s="11">
        <v>1215.77</v>
      </c>
      <c r="F1157" s="12">
        <v>8.6</v>
      </c>
      <c r="G1157" s="11">
        <v>1215.77</v>
      </c>
      <c r="H1157" s="12">
        <v>8</v>
      </c>
      <c r="I1157" s="11">
        <v>1215.77</v>
      </c>
      <c r="J1157" s="12">
        <v>10.6</v>
      </c>
      <c r="K1157" s="11">
        <v>1215.77</v>
      </c>
      <c r="L1157" s="12">
        <v>13.3</v>
      </c>
      <c r="M1157" s="11">
        <v>1215.77</v>
      </c>
      <c r="N1157" s="13">
        <v>3.8</v>
      </c>
      <c r="O1157" s="11">
        <v>6.6</v>
      </c>
      <c r="P1157" s="11">
        <v>8.6</v>
      </c>
      <c r="Q1157" s="11">
        <v>8</v>
      </c>
      <c r="R1157" s="11">
        <v>10.6</v>
      </c>
      <c r="S1157" s="14">
        <v>13.3</v>
      </c>
      <c r="T1157" s="11">
        <v>1215.77</v>
      </c>
      <c r="U1157" s="13" cm="1">
        <f t="array" ref="U1157">IF(Table8[[#This Row],[I_0]]&lt;Table24[Flitro de Ruido],1,Table8[[#This Row],[I_10]]/Table8[[#This Row],[I_0]])</f>
        <v>1.736842105263158</v>
      </c>
      <c r="V1157" s="13" cm="1">
        <f t="array" ref="V1157">IF(Table8[[#This Row],[I_0]]&lt;Table24[Flitro de Ruido],1,Table8[[#This Row],[I_20]]/Table8[[#This Row],[I_0]])</f>
        <v>2.263157894736842</v>
      </c>
      <c r="W1157" s="13" cm="1">
        <f t="array" ref="W1157">IF(Table8[[#This Row],[I_0]]&lt;Table24[Flitro de Ruido],1,Table8[[#This Row],[I_30]]/Table8[[#This Row],[I_0]])</f>
        <v>2.1052631578947367</v>
      </c>
      <c r="X1157" s="13" cm="1">
        <f t="array" ref="X1157">IF(Table8[[#This Row],[I_0]]&lt;Table24[Flitro de Ruido],1,Table8[[#This Row],[I_40]]/Table8[[#This Row],[I_0]])</f>
        <v>2.7894736842105265</v>
      </c>
      <c r="Y1157" s="13" cm="1">
        <f t="array" ref="Y1157">IF(Table8[[#This Row],[I_0]]&lt;Table24[Flitro de Ruido],1,Table8[[#This Row],[I_50]]/Table8[[#This Row],[I_0]])</f>
        <v>3.5000000000000004</v>
      </c>
    </row>
    <row r="1158" spans="1:25" x14ac:dyDescent="0.3">
      <c r="A1158" s="13">
        <v>1216.76</v>
      </c>
      <c r="B1158" s="12">
        <v>4.3</v>
      </c>
      <c r="C1158" s="11">
        <v>1216.76</v>
      </c>
      <c r="D1158" s="12">
        <v>7.2</v>
      </c>
      <c r="E1158" s="11">
        <v>1216.76</v>
      </c>
      <c r="F1158" s="12">
        <v>9.3000000000000007</v>
      </c>
      <c r="G1158" s="11">
        <v>1216.76</v>
      </c>
      <c r="H1158" s="12">
        <v>8.6999999999999993</v>
      </c>
      <c r="I1158" s="11">
        <v>1216.76</v>
      </c>
      <c r="J1158" s="12">
        <v>11.4</v>
      </c>
      <c r="K1158" s="11">
        <v>1216.76</v>
      </c>
      <c r="L1158" s="12">
        <v>14.2</v>
      </c>
      <c r="M1158" s="11">
        <v>1216.76</v>
      </c>
      <c r="N1158" s="13">
        <v>4.3</v>
      </c>
      <c r="O1158" s="11">
        <v>7.2</v>
      </c>
      <c r="P1158" s="11">
        <v>9.3000000000000007</v>
      </c>
      <c r="Q1158" s="11">
        <v>8.6999999999999993</v>
      </c>
      <c r="R1158" s="11">
        <v>11.4</v>
      </c>
      <c r="S1158" s="14">
        <v>14.2</v>
      </c>
      <c r="T1158" s="11">
        <v>1216.76</v>
      </c>
      <c r="U1158" s="13" cm="1">
        <f t="array" ref="U1158">IF(Table8[[#This Row],[I_0]]&lt;Table24[Flitro de Ruido],1,Table8[[#This Row],[I_10]]/Table8[[#This Row],[I_0]])</f>
        <v>1.6744186046511629</v>
      </c>
      <c r="V1158" s="13" cm="1">
        <f t="array" ref="V1158">IF(Table8[[#This Row],[I_0]]&lt;Table24[Flitro de Ruido],1,Table8[[#This Row],[I_20]]/Table8[[#This Row],[I_0]])</f>
        <v>2.1627906976744189</v>
      </c>
      <c r="W1158" s="13" cm="1">
        <f t="array" ref="W1158">IF(Table8[[#This Row],[I_0]]&lt;Table24[Flitro de Ruido],1,Table8[[#This Row],[I_30]]/Table8[[#This Row],[I_0]])</f>
        <v>2.0232558139534884</v>
      </c>
      <c r="X1158" s="13" cm="1">
        <f t="array" ref="X1158">IF(Table8[[#This Row],[I_0]]&lt;Table24[Flitro de Ruido],1,Table8[[#This Row],[I_40]]/Table8[[#This Row],[I_0]])</f>
        <v>2.6511627906976747</v>
      </c>
      <c r="Y1158" s="13" cm="1">
        <f t="array" ref="Y1158">IF(Table8[[#This Row],[I_0]]&lt;Table24[Flitro de Ruido],1,Table8[[#This Row],[I_50]]/Table8[[#This Row],[I_0]])</f>
        <v>3.3023255813953489</v>
      </c>
    </row>
    <row r="1159" spans="1:25" x14ac:dyDescent="0.3">
      <c r="A1159" s="13">
        <v>1217.75</v>
      </c>
      <c r="B1159" s="12">
        <v>4.5999999999999996</v>
      </c>
      <c r="C1159" s="11">
        <v>1217.75</v>
      </c>
      <c r="D1159" s="12">
        <v>7.7</v>
      </c>
      <c r="E1159" s="11">
        <v>1217.75</v>
      </c>
      <c r="F1159" s="12">
        <v>9.9</v>
      </c>
      <c r="G1159" s="11">
        <v>1217.75</v>
      </c>
      <c r="H1159" s="12">
        <v>9.3000000000000007</v>
      </c>
      <c r="I1159" s="11">
        <v>1217.75</v>
      </c>
      <c r="J1159" s="12">
        <v>12.1</v>
      </c>
      <c r="K1159" s="11">
        <v>1217.75</v>
      </c>
      <c r="L1159" s="12">
        <v>15</v>
      </c>
      <c r="M1159" s="11">
        <v>1217.75</v>
      </c>
      <c r="N1159" s="13">
        <v>4.5999999999999996</v>
      </c>
      <c r="O1159" s="11">
        <v>7.7</v>
      </c>
      <c r="P1159" s="11">
        <v>9.9</v>
      </c>
      <c r="Q1159" s="11">
        <v>9.3000000000000007</v>
      </c>
      <c r="R1159" s="11">
        <v>12.1</v>
      </c>
      <c r="S1159" s="14">
        <v>15</v>
      </c>
      <c r="T1159" s="11">
        <v>1217.75</v>
      </c>
      <c r="U1159" s="13" cm="1">
        <f t="array" ref="U1159">IF(Table8[[#This Row],[I_0]]&lt;Table24[Flitro de Ruido],1,Table8[[#This Row],[I_10]]/Table8[[#This Row],[I_0]])</f>
        <v>1.673913043478261</v>
      </c>
      <c r="V1159" s="13" cm="1">
        <f t="array" ref="V1159">IF(Table8[[#This Row],[I_0]]&lt;Table24[Flitro de Ruido],1,Table8[[#This Row],[I_20]]/Table8[[#This Row],[I_0]])</f>
        <v>2.1521739130434785</v>
      </c>
      <c r="W1159" s="13" cm="1">
        <f t="array" ref="W1159">IF(Table8[[#This Row],[I_0]]&lt;Table24[Flitro de Ruido],1,Table8[[#This Row],[I_30]]/Table8[[#This Row],[I_0]])</f>
        <v>2.0217391304347827</v>
      </c>
      <c r="X1159" s="13" cm="1">
        <f t="array" ref="X1159">IF(Table8[[#This Row],[I_0]]&lt;Table24[Flitro de Ruido],1,Table8[[#This Row],[I_40]]/Table8[[#This Row],[I_0]])</f>
        <v>2.6304347826086958</v>
      </c>
      <c r="Y1159" s="13" cm="1">
        <f t="array" ref="Y1159">IF(Table8[[#This Row],[I_0]]&lt;Table24[Flitro de Ruido],1,Table8[[#This Row],[I_50]]/Table8[[#This Row],[I_0]])</f>
        <v>3.2608695652173916</v>
      </c>
    </row>
    <row r="1160" spans="1:25" x14ac:dyDescent="0.3">
      <c r="A1160" s="13">
        <v>1218.74</v>
      </c>
      <c r="B1160" s="12">
        <v>5.0999999999999996</v>
      </c>
      <c r="C1160" s="11">
        <v>1218.74</v>
      </c>
      <c r="D1160" s="12">
        <v>8.3000000000000007</v>
      </c>
      <c r="E1160" s="11">
        <v>1218.74</v>
      </c>
      <c r="F1160" s="12">
        <v>10.6</v>
      </c>
      <c r="G1160" s="11">
        <v>1218.74</v>
      </c>
      <c r="H1160" s="12">
        <v>9.9</v>
      </c>
      <c r="I1160" s="11">
        <v>1218.74</v>
      </c>
      <c r="J1160" s="12">
        <v>12.7</v>
      </c>
      <c r="K1160" s="11">
        <v>1218.74</v>
      </c>
      <c r="L1160" s="12">
        <v>15.8</v>
      </c>
      <c r="M1160" s="11">
        <v>1218.74</v>
      </c>
      <c r="N1160" s="13">
        <v>5.0999999999999996</v>
      </c>
      <c r="O1160" s="11">
        <v>8.3000000000000007</v>
      </c>
      <c r="P1160" s="11">
        <v>10.6</v>
      </c>
      <c r="Q1160" s="11">
        <v>9.9</v>
      </c>
      <c r="R1160" s="11">
        <v>12.7</v>
      </c>
      <c r="S1160" s="14">
        <v>15.8</v>
      </c>
      <c r="T1160" s="11">
        <v>1218.74</v>
      </c>
      <c r="U1160" s="13" cm="1">
        <f t="array" ref="U1160">IF(Table8[[#This Row],[I_0]]&lt;Table24[Flitro de Ruido],1,Table8[[#This Row],[I_10]]/Table8[[#This Row],[I_0]])</f>
        <v>1.6274509803921571</v>
      </c>
      <c r="V1160" s="13" cm="1">
        <f t="array" ref="V1160">IF(Table8[[#This Row],[I_0]]&lt;Table24[Flitro de Ruido],1,Table8[[#This Row],[I_20]]/Table8[[#This Row],[I_0]])</f>
        <v>2.0784313725490198</v>
      </c>
      <c r="W1160" s="13" cm="1">
        <f t="array" ref="W1160">IF(Table8[[#This Row],[I_0]]&lt;Table24[Flitro de Ruido],1,Table8[[#This Row],[I_30]]/Table8[[#This Row],[I_0]])</f>
        <v>1.9411764705882355</v>
      </c>
      <c r="X1160" s="13" cm="1">
        <f t="array" ref="X1160">IF(Table8[[#This Row],[I_0]]&lt;Table24[Flitro de Ruido],1,Table8[[#This Row],[I_40]]/Table8[[#This Row],[I_0]])</f>
        <v>2.4901960784313726</v>
      </c>
      <c r="Y1160" s="13" cm="1">
        <f t="array" ref="Y1160">IF(Table8[[#This Row],[I_0]]&lt;Table24[Flitro de Ruido],1,Table8[[#This Row],[I_50]]/Table8[[#This Row],[I_0]])</f>
        <v>3.098039215686275</v>
      </c>
    </row>
    <row r="1161" spans="1:25" x14ac:dyDescent="0.3">
      <c r="A1161" s="13">
        <v>1219.74</v>
      </c>
      <c r="B1161" s="12">
        <v>5.6</v>
      </c>
      <c r="C1161" s="11">
        <v>1219.74</v>
      </c>
      <c r="D1161" s="12">
        <v>9</v>
      </c>
      <c r="E1161" s="11">
        <v>1219.74</v>
      </c>
      <c r="F1161" s="12">
        <v>11.4</v>
      </c>
      <c r="G1161" s="11">
        <v>1219.74</v>
      </c>
      <c r="H1161" s="12">
        <v>10.6</v>
      </c>
      <c r="I1161" s="11">
        <v>1219.74</v>
      </c>
      <c r="J1161" s="12">
        <v>13.6</v>
      </c>
      <c r="K1161" s="11">
        <v>1219.74</v>
      </c>
      <c r="L1161" s="12">
        <v>16.7</v>
      </c>
      <c r="M1161" s="11">
        <v>1219.74</v>
      </c>
      <c r="N1161" s="13">
        <v>5.6</v>
      </c>
      <c r="O1161" s="11">
        <v>9</v>
      </c>
      <c r="P1161" s="11">
        <v>11.4</v>
      </c>
      <c r="Q1161" s="11">
        <v>10.6</v>
      </c>
      <c r="R1161" s="11">
        <v>13.6</v>
      </c>
      <c r="S1161" s="14">
        <v>16.7</v>
      </c>
      <c r="T1161" s="11">
        <v>1219.74</v>
      </c>
      <c r="U1161" s="13" cm="1">
        <f t="array" ref="U1161">IF(Table8[[#This Row],[I_0]]&lt;Table24[Flitro de Ruido],1,Table8[[#This Row],[I_10]]/Table8[[#This Row],[I_0]])</f>
        <v>1.6071428571428572</v>
      </c>
      <c r="V1161" s="13" cm="1">
        <f t="array" ref="V1161">IF(Table8[[#This Row],[I_0]]&lt;Table24[Flitro de Ruido],1,Table8[[#This Row],[I_20]]/Table8[[#This Row],[I_0]])</f>
        <v>2.035714285714286</v>
      </c>
      <c r="W1161" s="13" cm="1">
        <f t="array" ref="W1161">IF(Table8[[#This Row],[I_0]]&lt;Table24[Flitro de Ruido],1,Table8[[#This Row],[I_30]]/Table8[[#This Row],[I_0]])</f>
        <v>1.892857142857143</v>
      </c>
      <c r="X1161" s="13" cm="1">
        <f t="array" ref="X1161">IF(Table8[[#This Row],[I_0]]&lt;Table24[Flitro de Ruido],1,Table8[[#This Row],[I_40]]/Table8[[#This Row],[I_0]])</f>
        <v>2.4285714285714288</v>
      </c>
      <c r="Y1161" s="13" cm="1">
        <f t="array" ref="Y1161">IF(Table8[[#This Row],[I_0]]&lt;Table24[Flitro de Ruido],1,Table8[[#This Row],[I_50]]/Table8[[#This Row],[I_0]])</f>
        <v>2.9821428571428572</v>
      </c>
    </row>
    <row r="1162" spans="1:25" x14ac:dyDescent="0.3">
      <c r="A1162" s="13">
        <v>1220.73</v>
      </c>
      <c r="B1162" s="12">
        <v>6</v>
      </c>
      <c r="C1162" s="11">
        <v>1220.73</v>
      </c>
      <c r="D1162" s="12">
        <v>9.6</v>
      </c>
      <c r="E1162" s="11">
        <v>1220.73</v>
      </c>
      <c r="F1162" s="12">
        <v>12.1</v>
      </c>
      <c r="G1162" s="11">
        <v>1220.73</v>
      </c>
      <c r="H1162" s="12">
        <v>11.3</v>
      </c>
      <c r="I1162" s="11">
        <v>1220.73</v>
      </c>
      <c r="J1162" s="12">
        <v>14.3</v>
      </c>
      <c r="K1162" s="11">
        <v>1220.73</v>
      </c>
      <c r="L1162" s="12">
        <v>17.600000000000001</v>
      </c>
      <c r="M1162" s="11">
        <v>1220.73</v>
      </c>
      <c r="N1162" s="13">
        <v>6</v>
      </c>
      <c r="O1162" s="11">
        <v>9.6</v>
      </c>
      <c r="P1162" s="11">
        <v>12.1</v>
      </c>
      <c r="Q1162" s="11">
        <v>11.3</v>
      </c>
      <c r="R1162" s="11">
        <v>14.3</v>
      </c>
      <c r="S1162" s="14">
        <v>17.600000000000001</v>
      </c>
      <c r="T1162" s="11">
        <v>1220.73</v>
      </c>
      <c r="U1162" s="13" cm="1">
        <f t="array" ref="U1162">IF(Table8[[#This Row],[I_0]]&lt;Table24[Flitro de Ruido],1,Table8[[#This Row],[I_10]]/Table8[[#This Row],[I_0]])</f>
        <v>1.5999999999999999</v>
      </c>
      <c r="V1162" s="13" cm="1">
        <f t="array" ref="V1162">IF(Table8[[#This Row],[I_0]]&lt;Table24[Flitro de Ruido],1,Table8[[#This Row],[I_20]]/Table8[[#This Row],[I_0]])</f>
        <v>2.0166666666666666</v>
      </c>
      <c r="W1162" s="13" cm="1">
        <f t="array" ref="W1162">IF(Table8[[#This Row],[I_0]]&lt;Table24[Flitro de Ruido],1,Table8[[#This Row],[I_30]]/Table8[[#This Row],[I_0]])</f>
        <v>1.8833333333333335</v>
      </c>
      <c r="X1162" s="13" cm="1">
        <f t="array" ref="X1162">IF(Table8[[#This Row],[I_0]]&lt;Table24[Flitro de Ruido],1,Table8[[#This Row],[I_40]]/Table8[[#This Row],[I_0]])</f>
        <v>2.3833333333333333</v>
      </c>
      <c r="Y1162" s="13" cm="1">
        <f t="array" ref="Y1162">IF(Table8[[#This Row],[I_0]]&lt;Table24[Flitro de Ruido],1,Table8[[#This Row],[I_50]]/Table8[[#This Row],[I_0]])</f>
        <v>2.9333333333333336</v>
      </c>
    </row>
    <row r="1163" spans="1:25" x14ac:dyDescent="0.3">
      <c r="A1163" s="13">
        <v>1221.72</v>
      </c>
      <c r="B1163" s="12">
        <v>6.6</v>
      </c>
      <c r="C1163" s="11">
        <v>1221.72</v>
      </c>
      <c r="D1163" s="12">
        <v>10.3</v>
      </c>
      <c r="E1163" s="11">
        <v>1221.72</v>
      </c>
      <c r="F1163" s="12">
        <v>12.9</v>
      </c>
      <c r="G1163" s="11">
        <v>1221.72</v>
      </c>
      <c r="H1163" s="12">
        <v>12</v>
      </c>
      <c r="I1163" s="11">
        <v>1221.72</v>
      </c>
      <c r="J1163" s="12">
        <v>15.2</v>
      </c>
      <c r="K1163" s="11">
        <v>1221.72</v>
      </c>
      <c r="L1163" s="12">
        <v>18.600000000000001</v>
      </c>
      <c r="M1163" s="11">
        <v>1221.72</v>
      </c>
      <c r="N1163" s="13">
        <v>6.6</v>
      </c>
      <c r="O1163" s="11">
        <v>10.3</v>
      </c>
      <c r="P1163" s="11">
        <v>12.9</v>
      </c>
      <c r="Q1163" s="11">
        <v>12</v>
      </c>
      <c r="R1163" s="11">
        <v>15.2</v>
      </c>
      <c r="S1163" s="14">
        <v>18.600000000000001</v>
      </c>
      <c r="T1163" s="11">
        <v>1221.72</v>
      </c>
      <c r="U1163" s="13" cm="1">
        <f t="array" ref="U1163">IF(Table8[[#This Row],[I_0]]&lt;Table24[Flitro de Ruido],1,Table8[[#This Row],[I_10]]/Table8[[#This Row],[I_0]])</f>
        <v>1.5606060606060608</v>
      </c>
      <c r="V1163" s="13" cm="1">
        <f t="array" ref="V1163">IF(Table8[[#This Row],[I_0]]&lt;Table24[Flitro de Ruido],1,Table8[[#This Row],[I_20]]/Table8[[#This Row],[I_0]])</f>
        <v>1.9545454545454548</v>
      </c>
      <c r="W1163" s="13" cm="1">
        <f t="array" ref="W1163">IF(Table8[[#This Row],[I_0]]&lt;Table24[Flitro de Ruido],1,Table8[[#This Row],[I_30]]/Table8[[#This Row],[I_0]])</f>
        <v>1.8181818181818183</v>
      </c>
      <c r="X1163" s="13" cm="1">
        <f t="array" ref="X1163">IF(Table8[[#This Row],[I_0]]&lt;Table24[Flitro de Ruido],1,Table8[[#This Row],[I_40]]/Table8[[#This Row],[I_0]])</f>
        <v>2.3030303030303032</v>
      </c>
      <c r="Y1163" s="13" cm="1">
        <f t="array" ref="Y1163">IF(Table8[[#This Row],[I_0]]&lt;Table24[Flitro de Ruido],1,Table8[[#This Row],[I_50]]/Table8[[#This Row],[I_0]])</f>
        <v>2.8181818181818183</v>
      </c>
    </row>
    <row r="1164" spans="1:25" x14ac:dyDescent="0.3">
      <c r="A1164" s="13">
        <v>1222.71</v>
      </c>
      <c r="B1164" s="12">
        <v>7.1</v>
      </c>
      <c r="C1164" s="11">
        <v>1222.71</v>
      </c>
      <c r="D1164" s="12">
        <v>11</v>
      </c>
      <c r="E1164" s="11">
        <v>1222.71</v>
      </c>
      <c r="F1164" s="12">
        <v>13.6</v>
      </c>
      <c r="G1164" s="11">
        <v>1222.71</v>
      </c>
      <c r="H1164" s="12">
        <v>12.7</v>
      </c>
      <c r="I1164" s="11">
        <v>1222.71</v>
      </c>
      <c r="J1164" s="12">
        <v>16</v>
      </c>
      <c r="K1164" s="11">
        <v>1222.71</v>
      </c>
      <c r="L1164" s="12">
        <v>19.5</v>
      </c>
      <c r="M1164" s="11">
        <v>1222.71</v>
      </c>
      <c r="N1164" s="13">
        <v>7.1</v>
      </c>
      <c r="O1164" s="11">
        <v>11</v>
      </c>
      <c r="P1164" s="11">
        <v>13.6</v>
      </c>
      <c r="Q1164" s="11">
        <v>12.7</v>
      </c>
      <c r="R1164" s="11">
        <v>16</v>
      </c>
      <c r="S1164" s="14">
        <v>19.5</v>
      </c>
      <c r="T1164" s="11">
        <v>1222.71</v>
      </c>
      <c r="U1164" s="13" cm="1">
        <f t="array" ref="U1164">IF(Table8[[#This Row],[I_0]]&lt;Table24[Flitro de Ruido],1,Table8[[#This Row],[I_10]]/Table8[[#This Row],[I_0]])</f>
        <v>1.5492957746478875</v>
      </c>
      <c r="V1164" s="13" cm="1">
        <f t="array" ref="V1164">IF(Table8[[#This Row],[I_0]]&lt;Table24[Flitro de Ruido],1,Table8[[#This Row],[I_20]]/Table8[[#This Row],[I_0]])</f>
        <v>1.915492957746479</v>
      </c>
      <c r="W1164" s="13" cm="1">
        <f t="array" ref="W1164">IF(Table8[[#This Row],[I_0]]&lt;Table24[Flitro de Ruido],1,Table8[[#This Row],[I_30]]/Table8[[#This Row],[I_0]])</f>
        <v>1.7887323943661972</v>
      </c>
      <c r="X1164" s="13" cm="1">
        <f t="array" ref="X1164">IF(Table8[[#This Row],[I_0]]&lt;Table24[Flitro de Ruido],1,Table8[[#This Row],[I_40]]/Table8[[#This Row],[I_0]])</f>
        <v>2.2535211267605635</v>
      </c>
      <c r="Y1164" s="13" cm="1">
        <f t="array" ref="Y1164">IF(Table8[[#This Row],[I_0]]&lt;Table24[Flitro de Ruido],1,Table8[[#This Row],[I_50]]/Table8[[#This Row],[I_0]])</f>
        <v>2.746478873239437</v>
      </c>
    </row>
    <row r="1165" spans="1:25" x14ac:dyDescent="0.3">
      <c r="A1165" s="13">
        <v>1223.7</v>
      </c>
      <c r="B1165" s="12">
        <v>7.7</v>
      </c>
      <c r="C1165" s="11">
        <v>1223.7</v>
      </c>
      <c r="D1165" s="12">
        <v>11.7</v>
      </c>
      <c r="E1165" s="11">
        <v>1223.7</v>
      </c>
      <c r="F1165" s="12">
        <v>14.5</v>
      </c>
      <c r="G1165" s="11">
        <v>1223.7</v>
      </c>
      <c r="H1165" s="12">
        <v>13.5</v>
      </c>
      <c r="I1165" s="11">
        <v>1223.7</v>
      </c>
      <c r="J1165" s="12">
        <v>16.899999999999999</v>
      </c>
      <c r="K1165" s="11">
        <v>1223.7</v>
      </c>
      <c r="L1165" s="12">
        <v>20.6</v>
      </c>
      <c r="M1165" s="11">
        <v>1223.7</v>
      </c>
      <c r="N1165" s="13">
        <v>7.7</v>
      </c>
      <c r="O1165" s="11">
        <v>11.7</v>
      </c>
      <c r="P1165" s="11">
        <v>14.5</v>
      </c>
      <c r="Q1165" s="11">
        <v>13.5</v>
      </c>
      <c r="R1165" s="11">
        <v>16.899999999999999</v>
      </c>
      <c r="S1165" s="14">
        <v>20.6</v>
      </c>
      <c r="T1165" s="11">
        <v>1223.7</v>
      </c>
      <c r="U1165" s="13" cm="1">
        <f t="array" ref="U1165">IF(Table8[[#This Row],[I_0]]&lt;Table24[Flitro de Ruido],1,Table8[[#This Row],[I_10]]/Table8[[#This Row],[I_0]])</f>
        <v>1.5194805194805194</v>
      </c>
      <c r="V1165" s="13" cm="1">
        <f t="array" ref="V1165">IF(Table8[[#This Row],[I_0]]&lt;Table24[Flitro de Ruido],1,Table8[[#This Row],[I_20]]/Table8[[#This Row],[I_0]])</f>
        <v>1.883116883116883</v>
      </c>
      <c r="W1165" s="13" cm="1">
        <f t="array" ref="W1165">IF(Table8[[#This Row],[I_0]]&lt;Table24[Flitro de Ruido],1,Table8[[#This Row],[I_30]]/Table8[[#This Row],[I_0]])</f>
        <v>1.7532467532467533</v>
      </c>
      <c r="X1165" s="13" cm="1">
        <f t="array" ref="X1165">IF(Table8[[#This Row],[I_0]]&lt;Table24[Flitro de Ruido],1,Table8[[#This Row],[I_40]]/Table8[[#This Row],[I_0]])</f>
        <v>2.1948051948051948</v>
      </c>
      <c r="Y1165" s="13" cm="1">
        <f t="array" ref="Y1165">IF(Table8[[#This Row],[I_0]]&lt;Table24[Flitro de Ruido],1,Table8[[#This Row],[I_50]]/Table8[[#This Row],[I_0]])</f>
        <v>2.6753246753246755</v>
      </c>
    </row>
    <row r="1166" spans="1:25" x14ac:dyDescent="0.3">
      <c r="A1166" s="13">
        <v>1224.69</v>
      </c>
      <c r="B1166" s="12">
        <v>8.3000000000000007</v>
      </c>
      <c r="C1166" s="11">
        <v>1224.69</v>
      </c>
      <c r="D1166" s="12">
        <v>12.4</v>
      </c>
      <c r="E1166" s="11">
        <v>1224.69</v>
      </c>
      <c r="F1166" s="12">
        <v>15.2</v>
      </c>
      <c r="G1166" s="11">
        <v>1224.69</v>
      </c>
      <c r="H1166" s="12">
        <v>14.2</v>
      </c>
      <c r="I1166" s="11">
        <v>1224.69</v>
      </c>
      <c r="J1166" s="12">
        <v>17.7</v>
      </c>
      <c r="K1166" s="11">
        <v>1224.69</v>
      </c>
      <c r="L1166" s="12">
        <v>21.6</v>
      </c>
      <c r="M1166" s="11">
        <v>1224.69</v>
      </c>
      <c r="N1166" s="13">
        <v>8.3000000000000007</v>
      </c>
      <c r="O1166" s="11">
        <v>12.4</v>
      </c>
      <c r="P1166" s="11">
        <v>15.2</v>
      </c>
      <c r="Q1166" s="11">
        <v>14.2</v>
      </c>
      <c r="R1166" s="11">
        <v>17.7</v>
      </c>
      <c r="S1166" s="14">
        <v>21.6</v>
      </c>
      <c r="T1166" s="11">
        <v>1224.69</v>
      </c>
      <c r="U1166" s="13" cm="1">
        <f t="array" ref="U1166">IF(Table8[[#This Row],[I_0]]&lt;Table24[Flitro de Ruido],1,Table8[[#This Row],[I_10]]/Table8[[#This Row],[I_0]])</f>
        <v>1.4939759036144578</v>
      </c>
      <c r="V1166" s="13" cm="1">
        <f t="array" ref="V1166">IF(Table8[[#This Row],[I_0]]&lt;Table24[Flitro de Ruido],1,Table8[[#This Row],[I_20]]/Table8[[#This Row],[I_0]])</f>
        <v>1.831325301204819</v>
      </c>
      <c r="W1166" s="13" cm="1">
        <f t="array" ref="W1166">IF(Table8[[#This Row],[I_0]]&lt;Table24[Flitro de Ruido],1,Table8[[#This Row],[I_30]]/Table8[[#This Row],[I_0]])</f>
        <v>1.7108433734939756</v>
      </c>
      <c r="X1166" s="13" cm="1">
        <f t="array" ref="X1166">IF(Table8[[#This Row],[I_0]]&lt;Table24[Flitro de Ruido],1,Table8[[#This Row],[I_40]]/Table8[[#This Row],[I_0]])</f>
        <v>2.1325301204819276</v>
      </c>
      <c r="Y1166" s="13" cm="1">
        <f t="array" ref="Y1166">IF(Table8[[#This Row],[I_0]]&lt;Table24[Flitro de Ruido],1,Table8[[#This Row],[I_50]]/Table8[[#This Row],[I_0]])</f>
        <v>2.6024096385542168</v>
      </c>
    </row>
    <row r="1167" spans="1:25" x14ac:dyDescent="0.3">
      <c r="A1167" s="13">
        <v>1225.69</v>
      </c>
      <c r="B1167" s="12">
        <v>8.9</v>
      </c>
      <c r="C1167" s="11">
        <v>1225.69</v>
      </c>
      <c r="D1167" s="12">
        <v>13.1</v>
      </c>
      <c r="E1167" s="11">
        <v>1225.69</v>
      </c>
      <c r="F1167" s="12">
        <v>16</v>
      </c>
      <c r="G1167" s="11">
        <v>1225.69</v>
      </c>
      <c r="H1167" s="12">
        <v>15</v>
      </c>
      <c r="I1167" s="11">
        <v>1225.69</v>
      </c>
      <c r="J1167" s="12">
        <v>18.600000000000001</v>
      </c>
      <c r="K1167" s="11">
        <v>1225.69</v>
      </c>
      <c r="L1167" s="12">
        <v>22.7</v>
      </c>
      <c r="M1167" s="11">
        <v>1225.69</v>
      </c>
      <c r="N1167" s="13">
        <v>8.9</v>
      </c>
      <c r="O1167" s="11">
        <v>13.1</v>
      </c>
      <c r="P1167" s="11">
        <v>16</v>
      </c>
      <c r="Q1167" s="11">
        <v>15</v>
      </c>
      <c r="R1167" s="11">
        <v>18.600000000000001</v>
      </c>
      <c r="S1167" s="14">
        <v>22.7</v>
      </c>
      <c r="T1167" s="11">
        <v>1225.69</v>
      </c>
      <c r="U1167" s="13" cm="1">
        <f t="array" ref="U1167">IF(Table8[[#This Row],[I_0]]&lt;Table24[Flitro de Ruido],1,Table8[[#This Row],[I_10]]/Table8[[#This Row],[I_0]])</f>
        <v>1.4719101123595504</v>
      </c>
      <c r="V1167" s="13" cm="1">
        <f t="array" ref="V1167">IF(Table8[[#This Row],[I_0]]&lt;Table24[Flitro de Ruido],1,Table8[[#This Row],[I_20]]/Table8[[#This Row],[I_0]])</f>
        <v>1.797752808988764</v>
      </c>
      <c r="W1167" s="13" cm="1">
        <f t="array" ref="W1167">IF(Table8[[#This Row],[I_0]]&lt;Table24[Flitro de Ruido],1,Table8[[#This Row],[I_30]]/Table8[[#This Row],[I_0]])</f>
        <v>1.6853932584269662</v>
      </c>
      <c r="X1167" s="13" cm="1">
        <f t="array" ref="X1167">IF(Table8[[#This Row],[I_0]]&lt;Table24[Flitro de Ruido],1,Table8[[#This Row],[I_40]]/Table8[[#This Row],[I_0]])</f>
        <v>2.0898876404494384</v>
      </c>
      <c r="Y1167" s="13" cm="1">
        <f t="array" ref="Y1167">IF(Table8[[#This Row],[I_0]]&lt;Table24[Flitro de Ruido],1,Table8[[#This Row],[I_50]]/Table8[[#This Row],[I_0]])</f>
        <v>2.5505617977528088</v>
      </c>
    </row>
    <row r="1168" spans="1:25" x14ac:dyDescent="0.3">
      <c r="A1168" s="13">
        <v>1226.68</v>
      </c>
      <c r="B1168" s="12">
        <v>9.4</v>
      </c>
      <c r="C1168" s="11">
        <v>1226.68</v>
      </c>
      <c r="D1168" s="12">
        <v>13.7</v>
      </c>
      <c r="E1168" s="11">
        <v>1226.68</v>
      </c>
      <c r="F1168" s="12">
        <v>16.7</v>
      </c>
      <c r="G1168" s="11">
        <v>1226.68</v>
      </c>
      <c r="H1168" s="12">
        <v>15.7</v>
      </c>
      <c r="I1168" s="11">
        <v>1226.68</v>
      </c>
      <c r="J1168" s="12">
        <v>19.399999999999999</v>
      </c>
      <c r="K1168" s="11">
        <v>1226.68</v>
      </c>
      <c r="L1168" s="12">
        <v>23.6</v>
      </c>
      <c r="M1168" s="11">
        <v>1226.68</v>
      </c>
      <c r="N1168" s="13">
        <v>9.4</v>
      </c>
      <c r="O1168" s="11">
        <v>13.7</v>
      </c>
      <c r="P1168" s="11">
        <v>16.7</v>
      </c>
      <c r="Q1168" s="11">
        <v>15.7</v>
      </c>
      <c r="R1168" s="11">
        <v>19.399999999999999</v>
      </c>
      <c r="S1168" s="14">
        <v>23.6</v>
      </c>
      <c r="T1168" s="11">
        <v>1226.68</v>
      </c>
      <c r="U1168" s="13" cm="1">
        <f t="array" ref="U1168">IF(Table8[[#This Row],[I_0]]&lt;Table24[Flitro de Ruido],1,Table8[[#This Row],[I_10]]/Table8[[#This Row],[I_0]])</f>
        <v>1.4574468085106382</v>
      </c>
      <c r="V1168" s="13" cm="1">
        <f t="array" ref="V1168">IF(Table8[[#This Row],[I_0]]&lt;Table24[Flitro de Ruido],1,Table8[[#This Row],[I_20]]/Table8[[#This Row],[I_0]])</f>
        <v>1.7765957446808509</v>
      </c>
      <c r="W1168" s="13" cm="1">
        <f t="array" ref="W1168">IF(Table8[[#This Row],[I_0]]&lt;Table24[Flitro de Ruido],1,Table8[[#This Row],[I_30]]/Table8[[#This Row],[I_0]])</f>
        <v>1.6702127659574466</v>
      </c>
      <c r="X1168" s="13" cm="1">
        <f t="array" ref="X1168">IF(Table8[[#This Row],[I_0]]&lt;Table24[Flitro de Ruido],1,Table8[[#This Row],[I_40]]/Table8[[#This Row],[I_0]])</f>
        <v>2.0638297872340425</v>
      </c>
      <c r="Y1168" s="13" cm="1">
        <f t="array" ref="Y1168">IF(Table8[[#This Row],[I_0]]&lt;Table24[Flitro de Ruido],1,Table8[[#This Row],[I_50]]/Table8[[#This Row],[I_0]])</f>
        <v>2.5106382978723403</v>
      </c>
    </row>
    <row r="1169" spans="1:25" x14ac:dyDescent="0.3">
      <c r="A1169" s="13">
        <v>1227.67</v>
      </c>
      <c r="B1169" s="12">
        <v>10</v>
      </c>
      <c r="C1169" s="11">
        <v>1227.67</v>
      </c>
      <c r="D1169" s="12">
        <v>14.5</v>
      </c>
      <c r="E1169" s="11">
        <v>1227.67</v>
      </c>
      <c r="F1169" s="12">
        <v>17.600000000000001</v>
      </c>
      <c r="G1169" s="11">
        <v>1227.67</v>
      </c>
      <c r="H1169" s="12">
        <v>16.5</v>
      </c>
      <c r="I1169" s="11">
        <v>1227.67</v>
      </c>
      <c r="J1169" s="12">
        <v>20.399999999999999</v>
      </c>
      <c r="K1169" s="11">
        <v>1227.67</v>
      </c>
      <c r="L1169" s="12">
        <v>24.8</v>
      </c>
      <c r="M1169" s="11">
        <v>1227.67</v>
      </c>
      <c r="N1169" s="13">
        <v>10</v>
      </c>
      <c r="O1169" s="11">
        <v>14.5</v>
      </c>
      <c r="P1169" s="11">
        <v>17.600000000000001</v>
      </c>
      <c r="Q1169" s="11">
        <v>16.5</v>
      </c>
      <c r="R1169" s="11">
        <v>20.399999999999999</v>
      </c>
      <c r="S1169" s="14">
        <v>24.8</v>
      </c>
      <c r="T1169" s="11">
        <v>1227.67</v>
      </c>
      <c r="U1169" s="13" cm="1">
        <f t="array" ref="U1169">IF(Table8[[#This Row],[I_0]]&lt;Table24[Flitro de Ruido],1,Table8[[#This Row],[I_10]]/Table8[[#This Row],[I_0]])</f>
        <v>1.45</v>
      </c>
      <c r="V1169" s="13" cm="1">
        <f t="array" ref="V1169">IF(Table8[[#This Row],[I_0]]&lt;Table24[Flitro de Ruido],1,Table8[[#This Row],[I_20]]/Table8[[#This Row],[I_0]])</f>
        <v>1.7600000000000002</v>
      </c>
      <c r="W1169" s="13" cm="1">
        <f t="array" ref="W1169">IF(Table8[[#This Row],[I_0]]&lt;Table24[Flitro de Ruido],1,Table8[[#This Row],[I_30]]/Table8[[#This Row],[I_0]])</f>
        <v>1.65</v>
      </c>
      <c r="X1169" s="13" cm="1">
        <f t="array" ref="X1169">IF(Table8[[#This Row],[I_0]]&lt;Table24[Flitro de Ruido],1,Table8[[#This Row],[I_40]]/Table8[[#This Row],[I_0]])</f>
        <v>2.04</v>
      </c>
      <c r="Y1169" s="13" cm="1">
        <f t="array" ref="Y1169">IF(Table8[[#This Row],[I_0]]&lt;Table24[Flitro de Ruido],1,Table8[[#This Row],[I_50]]/Table8[[#This Row],[I_0]])</f>
        <v>2.48</v>
      </c>
    </row>
    <row r="1170" spans="1:25" x14ac:dyDescent="0.3">
      <c r="A1170" s="13">
        <v>1228.6600000000001</v>
      </c>
      <c r="B1170" s="12">
        <v>10.5</v>
      </c>
      <c r="C1170" s="11">
        <v>1228.6600000000001</v>
      </c>
      <c r="D1170" s="12">
        <v>15.1</v>
      </c>
      <c r="E1170" s="11">
        <v>1228.6600000000001</v>
      </c>
      <c r="F1170" s="12">
        <v>18.3</v>
      </c>
      <c r="G1170" s="11">
        <v>1228.6600000000001</v>
      </c>
      <c r="H1170" s="12">
        <v>17.2</v>
      </c>
      <c r="I1170" s="11">
        <v>1228.6600000000001</v>
      </c>
      <c r="J1170" s="12">
        <v>21.2</v>
      </c>
      <c r="K1170" s="11">
        <v>1228.6600000000001</v>
      </c>
      <c r="L1170" s="12">
        <v>25.8</v>
      </c>
      <c r="M1170" s="11">
        <v>1228.6600000000001</v>
      </c>
      <c r="N1170" s="13">
        <v>10.5</v>
      </c>
      <c r="O1170" s="11">
        <v>15.1</v>
      </c>
      <c r="P1170" s="11">
        <v>18.3</v>
      </c>
      <c r="Q1170" s="11">
        <v>17.2</v>
      </c>
      <c r="R1170" s="11">
        <v>21.2</v>
      </c>
      <c r="S1170" s="14">
        <v>25.8</v>
      </c>
      <c r="T1170" s="11">
        <v>1228.6600000000001</v>
      </c>
      <c r="U1170" s="13" cm="1">
        <f t="array" ref="U1170">IF(Table8[[#This Row],[I_0]]&lt;Table24[Flitro de Ruido],1,Table8[[#This Row],[I_10]]/Table8[[#This Row],[I_0]])</f>
        <v>1.4380952380952381</v>
      </c>
      <c r="V1170" s="13" cm="1">
        <f t="array" ref="V1170">IF(Table8[[#This Row],[I_0]]&lt;Table24[Flitro de Ruido],1,Table8[[#This Row],[I_20]]/Table8[[#This Row],[I_0]])</f>
        <v>1.7428571428571429</v>
      </c>
      <c r="W1170" s="13" cm="1">
        <f t="array" ref="W1170">IF(Table8[[#This Row],[I_0]]&lt;Table24[Flitro de Ruido],1,Table8[[#This Row],[I_30]]/Table8[[#This Row],[I_0]])</f>
        <v>1.638095238095238</v>
      </c>
      <c r="X1170" s="13" cm="1">
        <f t="array" ref="X1170">IF(Table8[[#This Row],[I_0]]&lt;Table24[Flitro de Ruido],1,Table8[[#This Row],[I_40]]/Table8[[#This Row],[I_0]])</f>
        <v>2.019047619047619</v>
      </c>
      <c r="Y1170" s="13" cm="1">
        <f t="array" ref="Y1170">IF(Table8[[#This Row],[I_0]]&lt;Table24[Flitro de Ruido],1,Table8[[#This Row],[I_50]]/Table8[[#This Row],[I_0]])</f>
        <v>2.4571428571428573</v>
      </c>
    </row>
    <row r="1171" spans="1:25" x14ac:dyDescent="0.3">
      <c r="A1171" s="13">
        <v>1229.6500000000001</v>
      </c>
      <c r="B1171" s="12">
        <v>11.1</v>
      </c>
      <c r="C1171" s="11">
        <v>1229.6500000000001</v>
      </c>
      <c r="D1171" s="12">
        <v>15.8</v>
      </c>
      <c r="E1171" s="11">
        <v>1229.6500000000001</v>
      </c>
      <c r="F1171" s="12">
        <v>19.2</v>
      </c>
      <c r="G1171" s="11">
        <v>1229.6500000000001</v>
      </c>
      <c r="H1171" s="12">
        <v>18</v>
      </c>
      <c r="I1171" s="11">
        <v>1229.6500000000001</v>
      </c>
      <c r="J1171" s="12">
        <v>22.2</v>
      </c>
      <c r="K1171" s="11">
        <v>1229.6500000000001</v>
      </c>
      <c r="L1171" s="12">
        <v>27</v>
      </c>
      <c r="M1171" s="11">
        <v>1229.6500000000001</v>
      </c>
      <c r="N1171" s="13">
        <v>11.1</v>
      </c>
      <c r="O1171" s="11">
        <v>15.8</v>
      </c>
      <c r="P1171" s="11">
        <v>19.2</v>
      </c>
      <c r="Q1171" s="11">
        <v>18</v>
      </c>
      <c r="R1171" s="11">
        <v>22.2</v>
      </c>
      <c r="S1171" s="14">
        <v>27</v>
      </c>
      <c r="T1171" s="11">
        <v>1229.6500000000001</v>
      </c>
      <c r="U1171" s="13" cm="1">
        <f t="array" ref="U1171">IF(Table8[[#This Row],[I_0]]&lt;Table24[Flitro de Ruido],1,Table8[[#This Row],[I_10]]/Table8[[#This Row],[I_0]])</f>
        <v>1.4234234234234235</v>
      </c>
      <c r="V1171" s="13" cm="1">
        <f t="array" ref="V1171">IF(Table8[[#This Row],[I_0]]&lt;Table24[Flitro de Ruido],1,Table8[[#This Row],[I_20]]/Table8[[#This Row],[I_0]])</f>
        <v>1.7297297297297298</v>
      </c>
      <c r="W1171" s="13" cm="1">
        <f t="array" ref="W1171">IF(Table8[[#This Row],[I_0]]&lt;Table24[Flitro de Ruido],1,Table8[[#This Row],[I_30]]/Table8[[#This Row],[I_0]])</f>
        <v>1.6216216216216217</v>
      </c>
      <c r="X1171" s="13" cm="1">
        <f t="array" ref="X1171">IF(Table8[[#This Row],[I_0]]&lt;Table24[Flitro de Ruido],1,Table8[[#This Row],[I_40]]/Table8[[#This Row],[I_0]])</f>
        <v>2</v>
      </c>
      <c r="Y1171" s="13" cm="1">
        <f t="array" ref="Y1171">IF(Table8[[#This Row],[I_0]]&lt;Table24[Flitro de Ruido],1,Table8[[#This Row],[I_50]]/Table8[[#This Row],[I_0]])</f>
        <v>2.4324324324324325</v>
      </c>
    </row>
    <row r="1172" spans="1:25" x14ac:dyDescent="0.3">
      <c r="A1172" s="13">
        <v>1230.6400000000001</v>
      </c>
      <c r="B1172" s="12">
        <v>11.6</v>
      </c>
      <c r="C1172" s="11">
        <v>1230.6400000000001</v>
      </c>
      <c r="D1172" s="12">
        <v>16.5</v>
      </c>
      <c r="E1172" s="11">
        <v>1230.6400000000001</v>
      </c>
      <c r="F1172" s="12">
        <v>19.899999999999999</v>
      </c>
      <c r="G1172" s="11">
        <v>1230.6400000000001</v>
      </c>
      <c r="H1172" s="12">
        <v>18.7</v>
      </c>
      <c r="I1172" s="11">
        <v>1230.6400000000001</v>
      </c>
      <c r="J1172" s="12">
        <v>23</v>
      </c>
      <c r="K1172" s="11">
        <v>1230.6400000000001</v>
      </c>
      <c r="L1172" s="12">
        <v>28</v>
      </c>
      <c r="M1172" s="11">
        <v>1230.6400000000001</v>
      </c>
      <c r="N1172" s="13">
        <v>11.6</v>
      </c>
      <c r="O1172" s="11">
        <v>16.5</v>
      </c>
      <c r="P1172" s="11">
        <v>19.899999999999999</v>
      </c>
      <c r="Q1172" s="11">
        <v>18.7</v>
      </c>
      <c r="R1172" s="11">
        <v>23</v>
      </c>
      <c r="S1172" s="14">
        <v>28</v>
      </c>
      <c r="T1172" s="11">
        <v>1230.6400000000001</v>
      </c>
      <c r="U1172" s="13" cm="1">
        <f t="array" ref="U1172">IF(Table8[[#This Row],[I_0]]&lt;Table24[Flitro de Ruido],1,Table8[[#This Row],[I_10]]/Table8[[#This Row],[I_0]])</f>
        <v>1.4224137931034484</v>
      </c>
      <c r="V1172" s="13" cm="1">
        <f t="array" ref="V1172">IF(Table8[[#This Row],[I_0]]&lt;Table24[Flitro de Ruido],1,Table8[[#This Row],[I_20]]/Table8[[#This Row],[I_0]])</f>
        <v>1.7155172413793103</v>
      </c>
      <c r="W1172" s="13" cm="1">
        <f t="array" ref="W1172">IF(Table8[[#This Row],[I_0]]&lt;Table24[Flitro de Ruido],1,Table8[[#This Row],[I_30]]/Table8[[#This Row],[I_0]])</f>
        <v>1.6120689655172413</v>
      </c>
      <c r="X1172" s="13" cm="1">
        <f t="array" ref="X1172">IF(Table8[[#This Row],[I_0]]&lt;Table24[Flitro de Ruido],1,Table8[[#This Row],[I_40]]/Table8[[#This Row],[I_0]])</f>
        <v>1.9827586206896552</v>
      </c>
      <c r="Y1172" s="13" cm="1">
        <f t="array" ref="Y1172">IF(Table8[[#This Row],[I_0]]&lt;Table24[Flitro de Ruido],1,Table8[[#This Row],[I_50]]/Table8[[#This Row],[I_0]])</f>
        <v>2.4137931034482758</v>
      </c>
    </row>
    <row r="1173" spans="1:25" x14ac:dyDescent="0.3">
      <c r="A1173" s="13">
        <v>1231.6400000000001</v>
      </c>
      <c r="B1173" s="12">
        <v>12.2</v>
      </c>
      <c r="C1173" s="11">
        <v>1231.6400000000001</v>
      </c>
      <c r="D1173" s="12">
        <v>17.2</v>
      </c>
      <c r="E1173" s="11">
        <v>1231.6400000000001</v>
      </c>
      <c r="F1173" s="12">
        <v>20.8</v>
      </c>
      <c r="G1173" s="11">
        <v>1231.6400000000001</v>
      </c>
      <c r="H1173" s="12">
        <v>19.5</v>
      </c>
      <c r="I1173" s="11">
        <v>1231.6400000000001</v>
      </c>
      <c r="J1173" s="12">
        <v>24</v>
      </c>
      <c r="K1173" s="11">
        <v>1231.6400000000001</v>
      </c>
      <c r="L1173" s="12">
        <v>29.2</v>
      </c>
      <c r="M1173" s="11">
        <v>1231.6400000000001</v>
      </c>
      <c r="N1173" s="13">
        <v>12.2</v>
      </c>
      <c r="O1173" s="11">
        <v>17.2</v>
      </c>
      <c r="P1173" s="11">
        <v>20.8</v>
      </c>
      <c r="Q1173" s="11">
        <v>19.5</v>
      </c>
      <c r="R1173" s="11">
        <v>24</v>
      </c>
      <c r="S1173" s="14">
        <v>29.2</v>
      </c>
      <c r="T1173" s="11">
        <v>1231.6400000000001</v>
      </c>
      <c r="U1173" s="13" cm="1">
        <f t="array" ref="U1173">IF(Table8[[#This Row],[I_0]]&lt;Table24[Flitro de Ruido],1,Table8[[#This Row],[I_10]]/Table8[[#This Row],[I_0]])</f>
        <v>1.4098360655737705</v>
      </c>
      <c r="V1173" s="13" cm="1">
        <f t="array" ref="V1173">IF(Table8[[#This Row],[I_0]]&lt;Table24[Flitro de Ruido],1,Table8[[#This Row],[I_20]]/Table8[[#This Row],[I_0]])</f>
        <v>1.7049180327868854</v>
      </c>
      <c r="W1173" s="13" cm="1">
        <f t="array" ref="W1173">IF(Table8[[#This Row],[I_0]]&lt;Table24[Flitro de Ruido],1,Table8[[#This Row],[I_30]]/Table8[[#This Row],[I_0]])</f>
        <v>1.598360655737705</v>
      </c>
      <c r="X1173" s="13" cm="1">
        <f t="array" ref="X1173">IF(Table8[[#This Row],[I_0]]&lt;Table24[Flitro de Ruido],1,Table8[[#This Row],[I_40]]/Table8[[#This Row],[I_0]])</f>
        <v>1.9672131147540985</v>
      </c>
      <c r="Y1173" s="13" cm="1">
        <f t="array" ref="Y1173">IF(Table8[[#This Row],[I_0]]&lt;Table24[Flitro de Ruido],1,Table8[[#This Row],[I_50]]/Table8[[#This Row],[I_0]])</f>
        <v>2.3934426229508197</v>
      </c>
    </row>
    <row r="1174" spans="1:25" x14ac:dyDescent="0.3">
      <c r="A1174" s="13">
        <v>1232.6300000000001</v>
      </c>
      <c r="B1174" s="12">
        <v>12.7</v>
      </c>
      <c r="C1174" s="11">
        <v>1232.6300000000001</v>
      </c>
      <c r="D1174" s="12">
        <v>17.8</v>
      </c>
      <c r="E1174" s="11">
        <v>1232.6300000000001</v>
      </c>
      <c r="F1174" s="12">
        <v>21.5</v>
      </c>
      <c r="G1174" s="11">
        <v>1232.6300000000001</v>
      </c>
      <c r="H1174" s="12">
        <v>20.2</v>
      </c>
      <c r="I1174" s="11">
        <v>1232.6300000000001</v>
      </c>
      <c r="J1174" s="12">
        <v>24.9</v>
      </c>
      <c r="K1174" s="11">
        <v>1232.6300000000001</v>
      </c>
      <c r="L1174" s="12">
        <v>30.3</v>
      </c>
      <c r="M1174" s="11">
        <v>1232.6300000000001</v>
      </c>
      <c r="N1174" s="13">
        <v>12.7</v>
      </c>
      <c r="O1174" s="11">
        <v>17.8</v>
      </c>
      <c r="P1174" s="11">
        <v>21.5</v>
      </c>
      <c r="Q1174" s="11">
        <v>20.2</v>
      </c>
      <c r="R1174" s="11">
        <v>24.9</v>
      </c>
      <c r="S1174" s="14">
        <v>30.3</v>
      </c>
      <c r="T1174" s="11">
        <v>1232.6300000000001</v>
      </c>
      <c r="U1174" s="13" cm="1">
        <f t="array" ref="U1174">IF(Table8[[#This Row],[I_0]]&lt;Table24[Flitro de Ruido],1,Table8[[#This Row],[I_10]]/Table8[[#This Row],[I_0]])</f>
        <v>1.4015748031496065</v>
      </c>
      <c r="V1174" s="13" cm="1">
        <f t="array" ref="V1174">IF(Table8[[#This Row],[I_0]]&lt;Table24[Flitro de Ruido],1,Table8[[#This Row],[I_20]]/Table8[[#This Row],[I_0]])</f>
        <v>1.6929133858267718</v>
      </c>
      <c r="W1174" s="13" cm="1">
        <f t="array" ref="W1174">IF(Table8[[#This Row],[I_0]]&lt;Table24[Flitro de Ruido],1,Table8[[#This Row],[I_30]]/Table8[[#This Row],[I_0]])</f>
        <v>1.5905511811023623</v>
      </c>
      <c r="X1174" s="13" cm="1">
        <f t="array" ref="X1174">IF(Table8[[#This Row],[I_0]]&lt;Table24[Flitro de Ruido],1,Table8[[#This Row],[I_40]]/Table8[[#This Row],[I_0]])</f>
        <v>1.9606299212598426</v>
      </c>
      <c r="Y1174" s="13" cm="1">
        <f t="array" ref="Y1174">IF(Table8[[#This Row],[I_0]]&lt;Table24[Flitro de Ruido],1,Table8[[#This Row],[I_50]]/Table8[[#This Row],[I_0]])</f>
        <v>2.3858267716535435</v>
      </c>
    </row>
    <row r="1175" spans="1:25" x14ac:dyDescent="0.3">
      <c r="A1175" s="13">
        <v>1233.6199999999999</v>
      </c>
      <c r="B1175" s="12">
        <v>13.2</v>
      </c>
      <c r="C1175" s="11">
        <v>1233.6199999999999</v>
      </c>
      <c r="D1175" s="12">
        <v>18.600000000000001</v>
      </c>
      <c r="E1175" s="11">
        <v>1233.6199999999999</v>
      </c>
      <c r="F1175" s="12">
        <v>22.4</v>
      </c>
      <c r="G1175" s="11">
        <v>1233.6199999999999</v>
      </c>
      <c r="H1175" s="12">
        <v>21</v>
      </c>
      <c r="I1175" s="11">
        <v>1233.6199999999999</v>
      </c>
      <c r="J1175" s="12">
        <v>25.9</v>
      </c>
      <c r="K1175" s="11">
        <v>1233.6199999999999</v>
      </c>
      <c r="L1175" s="12">
        <v>31.5</v>
      </c>
      <c r="M1175" s="11">
        <v>1233.6199999999999</v>
      </c>
      <c r="N1175" s="13">
        <v>13.2</v>
      </c>
      <c r="O1175" s="11">
        <v>18.600000000000001</v>
      </c>
      <c r="P1175" s="11">
        <v>22.4</v>
      </c>
      <c r="Q1175" s="11">
        <v>21</v>
      </c>
      <c r="R1175" s="11">
        <v>25.9</v>
      </c>
      <c r="S1175" s="14">
        <v>31.5</v>
      </c>
      <c r="T1175" s="11">
        <v>1233.6199999999999</v>
      </c>
      <c r="U1175" s="13" cm="1">
        <f t="array" ref="U1175">IF(Table8[[#This Row],[I_0]]&lt;Table24[Flitro de Ruido],1,Table8[[#This Row],[I_10]]/Table8[[#This Row],[I_0]])</f>
        <v>1.4090909090909092</v>
      </c>
      <c r="V1175" s="13" cm="1">
        <f t="array" ref="V1175">IF(Table8[[#This Row],[I_0]]&lt;Table24[Flitro de Ruido],1,Table8[[#This Row],[I_20]]/Table8[[#This Row],[I_0]])</f>
        <v>1.696969696969697</v>
      </c>
      <c r="W1175" s="13" cm="1">
        <f t="array" ref="W1175">IF(Table8[[#This Row],[I_0]]&lt;Table24[Flitro de Ruido],1,Table8[[#This Row],[I_30]]/Table8[[#This Row],[I_0]])</f>
        <v>1.5909090909090911</v>
      </c>
      <c r="X1175" s="13" cm="1">
        <f t="array" ref="X1175">IF(Table8[[#This Row],[I_0]]&lt;Table24[Flitro de Ruido],1,Table8[[#This Row],[I_40]]/Table8[[#This Row],[I_0]])</f>
        <v>1.9621212121212122</v>
      </c>
      <c r="Y1175" s="13" cm="1">
        <f t="array" ref="Y1175">IF(Table8[[#This Row],[I_0]]&lt;Table24[Flitro de Ruido],1,Table8[[#This Row],[I_50]]/Table8[[#This Row],[I_0]])</f>
        <v>2.3863636363636367</v>
      </c>
    </row>
    <row r="1176" spans="1:25" x14ac:dyDescent="0.3">
      <c r="A1176" s="13">
        <v>1234.6099999999999</v>
      </c>
      <c r="B1176" s="12">
        <v>13.7</v>
      </c>
      <c r="C1176" s="11">
        <v>1234.6099999999999</v>
      </c>
      <c r="D1176" s="12">
        <v>19.2</v>
      </c>
      <c r="E1176" s="11">
        <v>1234.6099999999999</v>
      </c>
      <c r="F1176" s="12">
        <v>23.1</v>
      </c>
      <c r="G1176" s="11">
        <v>1234.6099999999999</v>
      </c>
      <c r="H1176" s="12">
        <v>21.7</v>
      </c>
      <c r="I1176" s="11">
        <v>1234.6099999999999</v>
      </c>
      <c r="J1176" s="12">
        <v>26.8</v>
      </c>
      <c r="K1176" s="11">
        <v>1234.6099999999999</v>
      </c>
      <c r="L1176" s="12">
        <v>32.700000000000003</v>
      </c>
      <c r="M1176" s="11">
        <v>1234.6099999999999</v>
      </c>
      <c r="N1176" s="13">
        <v>13.7</v>
      </c>
      <c r="O1176" s="11">
        <v>19.2</v>
      </c>
      <c r="P1176" s="11">
        <v>23.1</v>
      </c>
      <c r="Q1176" s="11">
        <v>21.7</v>
      </c>
      <c r="R1176" s="11">
        <v>26.8</v>
      </c>
      <c r="S1176" s="14">
        <v>32.700000000000003</v>
      </c>
      <c r="T1176" s="11">
        <v>1234.6099999999999</v>
      </c>
      <c r="U1176" s="13" cm="1">
        <f t="array" ref="U1176">IF(Table8[[#This Row],[I_0]]&lt;Table24[Flitro de Ruido],1,Table8[[#This Row],[I_10]]/Table8[[#This Row],[I_0]])</f>
        <v>1.4014598540145986</v>
      </c>
      <c r="V1176" s="13" cm="1">
        <f t="array" ref="V1176">IF(Table8[[#This Row],[I_0]]&lt;Table24[Flitro de Ruido],1,Table8[[#This Row],[I_20]]/Table8[[#This Row],[I_0]])</f>
        <v>1.6861313868613141</v>
      </c>
      <c r="W1176" s="13" cm="1">
        <f t="array" ref="W1176">IF(Table8[[#This Row],[I_0]]&lt;Table24[Flitro de Ruido],1,Table8[[#This Row],[I_30]]/Table8[[#This Row],[I_0]])</f>
        <v>1.583941605839416</v>
      </c>
      <c r="X1176" s="13" cm="1">
        <f t="array" ref="X1176">IF(Table8[[#This Row],[I_0]]&lt;Table24[Flitro de Ruido],1,Table8[[#This Row],[I_40]]/Table8[[#This Row],[I_0]])</f>
        <v>1.9562043795620438</v>
      </c>
      <c r="Y1176" s="13" cm="1">
        <f t="array" ref="Y1176">IF(Table8[[#This Row],[I_0]]&lt;Table24[Flitro de Ruido],1,Table8[[#This Row],[I_50]]/Table8[[#This Row],[I_0]])</f>
        <v>2.3868613138686134</v>
      </c>
    </row>
    <row r="1177" spans="1:25" x14ac:dyDescent="0.3">
      <c r="A1177" s="13">
        <v>1235.5999999999999</v>
      </c>
      <c r="B1177" s="12">
        <v>14.3</v>
      </c>
      <c r="C1177" s="11">
        <v>1235.5999999999999</v>
      </c>
      <c r="D1177" s="12">
        <v>19.899999999999999</v>
      </c>
      <c r="E1177" s="11">
        <v>1235.5999999999999</v>
      </c>
      <c r="F1177" s="12">
        <v>24</v>
      </c>
      <c r="G1177" s="11">
        <v>1235.5999999999999</v>
      </c>
      <c r="H1177" s="12">
        <v>22.5</v>
      </c>
      <c r="I1177" s="11">
        <v>1235.5999999999999</v>
      </c>
      <c r="J1177" s="12">
        <v>27.8</v>
      </c>
      <c r="K1177" s="11">
        <v>1235.5999999999999</v>
      </c>
      <c r="L1177" s="12">
        <v>34</v>
      </c>
      <c r="M1177" s="11">
        <v>1235.5999999999999</v>
      </c>
      <c r="N1177" s="13">
        <v>14.3</v>
      </c>
      <c r="O1177" s="11">
        <v>19.899999999999999</v>
      </c>
      <c r="P1177" s="11">
        <v>24</v>
      </c>
      <c r="Q1177" s="11">
        <v>22.5</v>
      </c>
      <c r="R1177" s="11">
        <v>27.8</v>
      </c>
      <c r="S1177" s="14">
        <v>34</v>
      </c>
      <c r="T1177" s="11">
        <v>1235.5999999999999</v>
      </c>
      <c r="U1177" s="13" cm="1">
        <f t="array" ref="U1177">IF(Table8[[#This Row],[I_0]]&lt;Table24[Flitro de Ruido],1,Table8[[#This Row],[I_10]]/Table8[[#This Row],[I_0]])</f>
        <v>1.3916083916083914</v>
      </c>
      <c r="V1177" s="13" cm="1">
        <f t="array" ref="V1177">IF(Table8[[#This Row],[I_0]]&lt;Table24[Flitro de Ruido],1,Table8[[#This Row],[I_20]]/Table8[[#This Row],[I_0]])</f>
        <v>1.6783216783216783</v>
      </c>
      <c r="W1177" s="13" cm="1">
        <f t="array" ref="W1177">IF(Table8[[#This Row],[I_0]]&lt;Table24[Flitro de Ruido],1,Table8[[#This Row],[I_30]]/Table8[[#This Row],[I_0]])</f>
        <v>1.5734265734265733</v>
      </c>
      <c r="X1177" s="13" cm="1">
        <f t="array" ref="X1177">IF(Table8[[#This Row],[I_0]]&lt;Table24[Flitro de Ruido],1,Table8[[#This Row],[I_40]]/Table8[[#This Row],[I_0]])</f>
        <v>1.944055944055944</v>
      </c>
      <c r="Y1177" s="13" cm="1">
        <f t="array" ref="Y1177">IF(Table8[[#This Row],[I_0]]&lt;Table24[Flitro de Ruido],1,Table8[[#This Row],[I_50]]/Table8[[#This Row],[I_0]])</f>
        <v>2.3776223776223775</v>
      </c>
    </row>
    <row r="1178" spans="1:25" x14ac:dyDescent="0.3">
      <c r="A1178" s="13">
        <v>1236.5999999999999</v>
      </c>
      <c r="B1178" s="12">
        <v>14.7</v>
      </c>
      <c r="C1178" s="11">
        <v>1236.5999999999999</v>
      </c>
      <c r="D1178" s="12">
        <v>20.5</v>
      </c>
      <c r="E1178" s="11">
        <v>1236.5999999999999</v>
      </c>
      <c r="F1178" s="12">
        <v>24.8</v>
      </c>
      <c r="G1178" s="11">
        <v>1236.5999999999999</v>
      </c>
      <c r="H1178" s="12">
        <v>23.2</v>
      </c>
      <c r="I1178" s="11">
        <v>1236.5999999999999</v>
      </c>
      <c r="J1178" s="12">
        <v>28.7</v>
      </c>
      <c r="K1178" s="11">
        <v>1236.5999999999999</v>
      </c>
      <c r="L1178" s="12">
        <v>35.200000000000003</v>
      </c>
      <c r="M1178" s="11">
        <v>1236.5999999999999</v>
      </c>
      <c r="N1178" s="13">
        <v>14.7</v>
      </c>
      <c r="O1178" s="11">
        <v>20.5</v>
      </c>
      <c r="P1178" s="11">
        <v>24.8</v>
      </c>
      <c r="Q1178" s="11">
        <v>23.2</v>
      </c>
      <c r="R1178" s="11">
        <v>28.7</v>
      </c>
      <c r="S1178" s="14">
        <v>35.200000000000003</v>
      </c>
      <c r="T1178" s="11">
        <v>1236.5999999999999</v>
      </c>
      <c r="U1178" s="13" cm="1">
        <f t="array" ref="U1178">IF(Table8[[#This Row],[I_0]]&lt;Table24[Flitro de Ruido],1,Table8[[#This Row],[I_10]]/Table8[[#This Row],[I_0]])</f>
        <v>1.3945578231292517</v>
      </c>
      <c r="V1178" s="13" cm="1">
        <f t="array" ref="V1178">IF(Table8[[#This Row],[I_0]]&lt;Table24[Flitro de Ruido],1,Table8[[#This Row],[I_20]]/Table8[[#This Row],[I_0]])</f>
        <v>1.6870748299319729</v>
      </c>
      <c r="W1178" s="13" cm="1">
        <f t="array" ref="W1178">IF(Table8[[#This Row],[I_0]]&lt;Table24[Flitro de Ruido],1,Table8[[#This Row],[I_30]]/Table8[[#This Row],[I_0]])</f>
        <v>1.5782312925170068</v>
      </c>
      <c r="X1178" s="13" cm="1">
        <f t="array" ref="X1178">IF(Table8[[#This Row],[I_0]]&lt;Table24[Flitro de Ruido],1,Table8[[#This Row],[I_40]]/Table8[[#This Row],[I_0]])</f>
        <v>1.9523809523809523</v>
      </c>
      <c r="Y1178" s="13" cm="1">
        <f t="array" ref="Y1178">IF(Table8[[#This Row],[I_0]]&lt;Table24[Flitro de Ruido],1,Table8[[#This Row],[I_50]]/Table8[[#This Row],[I_0]])</f>
        <v>2.3945578231292521</v>
      </c>
    </row>
    <row r="1179" spans="1:25" x14ac:dyDescent="0.3">
      <c r="A1179" s="13">
        <v>1237.5899999999999</v>
      </c>
      <c r="B1179" s="12">
        <v>15.3</v>
      </c>
      <c r="C1179" s="11">
        <v>1237.5899999999999</v>
      </c>
      <c r="D1179" s="12">
        <v>21.2</v>
      </c>
      <c r="E1179" s="11">
        <v>1237.5899999999999</v>
      </c>
      <c r="F1179" s="12">
        <v>25.7</v>
      </c>
      <c r="G1179" s="11">
        <v>1237.5899999999999</v>
      </c>
      <c r="H1179" s="12">
        <v>24</v>
      </c>
      <c r="I1179" s="11">
        <v>1237.5899999999999</v>
      </c>
      <c r="J1179" s="12">
        <v>29.7</v>
      </c>
      <c r="K1179" s="11">
        <v>1237.5899999999999</v>
      </c>
      <c r="L1179" s="12">
        <v>36.5</v>
      </c>
      <c r="M1179" s="11">
        <v>1237.5899999999999</v>
      </c>
      <c r="N1179" s="13">
        <v>15.3</v>
      </c>
      <c r="O1179" s="11">
        <v>21.2</v>
      </c>
      <c r="P1179" s="11">
        <v>25.7</v>
      </c>
      <c r="Q1179" s="11">
        <v>24</v>
      </c>
      <c r="R1179" s="11">
        <v>29.7</v>
      </c>
      <c r="S1179" s="14">
        <v>36.5</v>
      </c>
      <c r="T1179" s="11">
        <v>1237.5899999999999</v>
      </c>
      <c r="U1179" s="13" cm="1">
        <f t="array" ref="U1179">IF(Table8[[#This Row],[I_0]]&lt;Table24[Flitro de Ruido],1,Table8[[#This Row],[I_10]]/Table8[[#This Row],[I_0]])</f>
        <v>1.3856209150326797</v>
      </c>
      <c r="V1179" s="13" cm="1">
        <f t="array" ref="V1179">IF(Table8[[#This Row],[I_0]]&lt;Table24[Flitro de Ruido],1,Table8[[#This Row],[I_20]]/Table8[[#This Row],[I_0]])</f>
        <v>1.6797385620915031</v>
      </c>
      <c r="W1179" s="13" cm="1">
        <f t="array" ref="W1179">IF(Table8[[#This Row],[I_0]]&lt;Table24[Flitro de Ruido],1,Table8[[#This Row],[I_30]]/Table8[[#This Row],[I_0]])</f>
        <v>1.5686274509803921</v>
      </c>
      <c r="X1179" s="13" cm="1">
        <f t="array" ref="X1179">IF(Table8[[#This Row],[I_0]]&lt;Table24[Flitro de Ruido],1,Table8[[#This Row],[I_40]]/Table8[[#This Row],[I_0]])</f>
        <v>1.9411764705882351</v>
      </c>
      <c r="Y1179" s="13" cm="1">
        <f t="array" ref="Y1179">IF(Table8[[#This Row],[I_0]]&lt;Table24[Flitro de Ruido],1,Table8[[#This Row],[I_50]]/Table8[[#This Row],[I_0]])</f>
        <v>2.3856209150326797</v>
      </c>
    </row>
    <row r="1180" spans="1:25" x14ac:dyDescent="0.3">
      <c r="A1180" s="13">
        <v>1238.58</v>
      </c>
      <c r="B1180" s="12">
        <v>15.8</v>
      </c>
      <c r="C1180" s="11">
        <v>1238.58</v>
      </c>
      <c r="D1180" s="12">
        <v>21.9</v>
      </c>
      <c r="E1180" s="11">
        <v>1238.58</v>
      </c>
      <c r="F1180" s="12">
        <v>26.4</v>
      </c>
      <c r="G1180" s="11">
        <v>1238.58</v>
      </c>
      <c r="H1180" s="12">
        <v>24.7</v>
      </c>
      <c r="I1180" s="11">
        <v>1238.58</v>
      </c>
      <c r="J1180" s="12">
        <v>30.7</v>
      </c>
      <c r="K1180" s="11">
        <v>1238.58</v>
      </c>
      <c r="L1180" s="12">
        <v>37.6</v>
      </c>
      <c r="M1180" s="11">
        <v>1238.58</v>
      </c>
      <c r="N1180" s="13">
        <v>15.8</v>
      </c>
      <c r="O1180" s="11">
        <v>21.9</v>
      </c>
      <c r="P1180" s="11">
        <v>26.4</v>
      </c>
      <c r="Q1180" s="11">
        <v>24.7</v>
      </c>
      <c r="R1180" s="11">
        <v>30.7</v>
      </c>
      <c r="S1180" s="14">
        <v>37.6</v>
      </c>
      <c r="T1180" s="11">
        <v>1238.58</v>
      </c>
      <c r="U1180" s="13" cm="1">
        <f t="array" ref="U1180">IF(Table8[[#This Row],[I_0]]&lt;Table24[Flitro de Ruido],1,Table8[[#This Row],[I_10]]/Table8[[#This Row],[I_0]])</f>
        <v>1.3860759493670884</v>
      </c>
      <c r="V1180" s="13" cm="1">
        <f t="array" ref="V1180">IF(Table8[[#This Row],[I_0]]&lt;Table24[Flitro de Ruido],1,Table8[[#This Row],[I_20]]/Table8[[#This Row],[I_0]])</f>
        <v>1.6708860759493669</v>
      </c>
      <c r="W1180" s="13" cm="1">
        <f t="array" ref="W1180">IF(Table8[[#This Row],[I_0]]&lt;Table24[Flitro de Ruido],1,Table8[[#This Row],[I_30]]/Table8[[#This Row],[I_0]])</f>
        <v>1.5632911392405062</v>
      </c>
      <c r="X1180" s="13" cm="1">
        <f t="array" ref="X1180">IF(Table8[[#This Row],[I_0]]&lt;Table24[Flitro de Ruido],1,Table8[[#This Row],[I_40]]/Table8[[#This Row],[I_0]])</f>
        <v>1.9430379746835442</v>
      </c>
      <c r="Y1180" s="13" cm="1">
        <f t="array" ref="Y1180">IF(Table8[[#This Row],[I_0]]&lt;Table24[Flitro de Ruido],1,Table8[[#This Row],[I_50]]/Table8[[#This Row],[I_0]])</f>
        <v>2.3797468354430378</v>
      </c>
    </row>
    <row r="1181" spans="1:25" x14ac:dyDescent="0.3">
      <c r="A1181" s="13">
        <v>1239.57</v>
      </c>
      <c r="B1181" s="12">
        <v>16.3</v>
      </c>
      <c r="C1181" s="11">
        <v>1239.57</v>
      </c>
      <c r="D1181" s="12">
        <v>22.6</v>
      </c>
      <c r="E1181" s="11">
        <v>1239.57</v>
      </c>
      <c r="F1181" s="12">
        <v>27.3</v>
      </c>
      <c r="G1181" s="11">
        <v>1239.57</v>
      </c>
      <c r="H1181" s="12">
        <v>25.5</v>
      </c>
      <c r="I1181" s="11">
        <v>1239.57</v>
      </c>
      <c r="J1181" s="12">
        <v>31.7</v>
      </c>
      <c r="K1181" s="11">
        <v>1239.57</v>
      </c>
      <c r="L1181" s="12">
        <v>38.9</v>
      </c>
      <c r="M1181" s="11">
        <v>1239.57</v>
      </c>
      <c r="N1181" s="13">
        <v>16.3</v>
      </c>
      <c r="O1181" s="11">
        <v>22.6</v>
      </c>
      <c r="P1181" s="11">
        <v>27.3</v>
      </c>
      <c r="Q1181" s="11">
        <v>25.5</v>
      </c>
      <c r="R1181" s="11">
        <v>31.7</v>
      </c>
      <c r="S1181" s="14">
        <v>38.9</v>
      </c>
      <c r="T1181" s="11">
        <v>1239.57</v>
      </c>
      <c r="U1181" s="13" cm="1">
        <f t="array" ref="U1181">IF(Table8[[#This Row],[I_0]]&lt;Table24[Flitro de Ruido],1,Table8[[#This Row],[I_10]]/Table8[[#This Row],[I_0]])</f>
        <v>1.3865030674846626</v>
      </c>
      <c r="V1181" s="13" cm="1">
        <f t="array" ref="V1181">IF(Table8[[#This Row],[I_0]]&lt;Table24[Flitro de Ruido],1,Table8[[#This Row],[I_20]]/Table8[[#This Row],[I_0]])</f>
        <v>1.674846625766871</v>
      </c>
      <c r="W1181" s="13" cm="1">
        <f t="array" ref="W1181">IF(Table8[[#This Row],[I_0]]&lt;Table24[Flitro de Ruido],1,Table8[[#This Row],[I_30]]/Table8[[#This Row],[I_0]])</f>
        <v>1.5644171779141103</v>
      </c>
      <c r="X1181" s="13" cm="1">
        <f t="array" ref="X1181">IF(Table8[[#This Row],[I_0]]&lt;Table24[Flitro de Ruido],1,Table8[[#This Row],[I_40]]/Table8[[#This Row],[I_0]])</f>
        <v>1.9447852760736195</v>
      </c>
      <c r="Y1181" s="13" cm="1">
        <f t="array" ref="Y1181">IF(Table8[[#This Row],[I_0]]&lt;Table24[Flitro de Ruido],1,Table8[[#This Row],[I_50]]/Table8[[#This Row],[I_0]])</f>
        <v>2.3865030674846626</v>
      </c>
    </row>
    <row r="1182" spans="1:25" x14ac:dyDescent="0.3">
      <c r="A1182" s="13">
        <v>1240.56</v>
      </c>
      <c r="B1182" s="12">
        <v>16.7</v>
      </c>
      <c r="C1182" s="11">
        <v>1240.56</v>
      </c>
      <c r="D1182" s="12">
        <v>23.2</v>
      </c>
      <c r="E1182" s="11">
        <v>1240.56</v>
      </c>
      <c r="F1182" s="12">
        <v>28.1</v>
      </c>
      <c r="G1182" s="11">
        <v>1240.56</v>
      </c>
      <c r="H1182" s="12">
        <v>26.2</v>
      </c>
      <c r="I1182" s="11">
        <v>1240.56</v>
      </c>
      <c r="J1182" s="12">
        <v>32.700000000000003</v>
      </c>
      <c r="K1182" s="11">
        <v>1240.56</v>
      </c>
      <c r="L1182" s="12">
        <v>40.1</v>
      </c>
      <c r="M1182" s="11">
        <v>1240.56</v>
      </c>
      <c r="N1182" s="13">
        <v>16.7</v>
      </c>
      <c r="O1182" s="11">
        <v>23.2</v>
      </c>
      <c r="P1182" s="11">
        <v>28.1</v>
      </c>
      <c r="Q1182" s="11">
        <v>26.2</v>
      </c>
      <c r="R1182" s="11">
        <v>32.700000000000003</v>
      </c>
      <c r="S1182" s="14">
        <v>40.1</v>
      </c>
      <c r="T1182" s="11">
        <v>1240.56</v>
      </c>
      <c r="U1182" s="13" cm="1">
        <f t="array" ref="U1182">IF(Table8[[#This Row],[I_0]]&lt;Table24[Flitro de Ruido],1,Table8[[#This Row],[I_10]]/Table8[[#This Row],[I_0]])</f>
        <v>1.3892215568862276</v>
      </c>
      <c r="V1182" s="13" cm="1">
        <f t="array" ref="V1182">IF(Table8[[#This Row],[I_0]]&lt;Table24[Flitro de Ruido],1,Table8[[#This Row],[I_20]]/Table8[[#This Row],[I_0]])</f>
        <v>1.6826347305389222</v>
      </c>
      <c r="W1182" s="13" cm="1">
        <f t="array" ref="W1182">IF(Table8[[#This Row],[I_0]]&lt;Table24[Flitro de Ruido],1,Table8[[#This Row],[I_30]]/Table8[[#This Row],[I_0]])</f>
        <v>1.5688622754491017</v>
      </c>
      <c r="X1182" s="13" cm="1">
        <f t="array" ref="X1182">IF(Table8[[#This Row],[I_0]]&lt;Table24[Flitro de Ruido],1,Table8[[#This Row],[I_40]]/Table8[[#This Row],[I_0]])</f>
        <v>1.9580838323353296</v>
      </c>
      <c r="Y1182" s="13" cm="1">
        <f t="array" ref="Y1182">IF(Table8[[#This Row],[I_0]]&lt;Table24[Flitro de Ruido],1,Table8[[#This Row],[I_50]]/Table8[[#This Row],[I_0]])</f>
        <v>2.4011976047904193</v>
      </c>
    </row>
    <row r="1183" spans="1:25" x14ac:dyDescent="0.3">
      <c r="A1183" s="13">
        <v>1241.55</v>
      </c>
      <c r="B1183" s="12">
        <v>17.2</v>
      </c>
      <c r="C1183" s="11">
        <v>1241.55</v>
      </c>
      <c r="D1183" s="12">
        <v>23.9</v>
      </c>
      <c r="E1183" s="11">
        <v>1241.55</v>
      </c>
      <c r="F1183" s="12">
        <v>29</v>
      </c>
      <c r="G1183" s="11">
        <v>1241.55</v>
      </c>
      <c r="H1183" s="12">
        <v>27</v>
      </c>
      <c r="I1183" s="11">
        <v>1241.55</v>
      </c>
      <c r="J1183" s="12">
        <v>33.700000000000003</v>
      </c>
      <c r="K1183" s="11">
        <v>1241.55</v>
      </c>
      <c r="L1183" s="12">
        <v>41.4</v>
      </c>
      <c r="M1183" s="11">
        <v>1241.55</v>
      </c>
      <c r="N1183" s="13">
        <v>17.2</v>
      </c>
      <c r="O1183" s="11">
        <v>23.9</v>
      </c>
      <c r="P1183" s="11">
        <v>29</v>
      </c>
      <c r="Q1183" s="11">
        <v>27</v>
      </c>
      <c r="R1183" s="11">
        <v>33.700000000000003</v>
      </c>
      <c r="S1183" s="14">
        <v>41.4</v>
      </c>
      <c r="T1183" s="11">
        <v>1241.55</v>
      </c>
      <c r="U1183" s="13" cm="1">
        <f t="array" ref="U1183">IF(Table8[[#This Row],[I_0]]&lt;Table24[Flitro de Ruido],1,Table8[[#This Row],[I_10]]/Table8[[#This Row],[I_0]])</f>
        <v>1.3895348837209303</v>
      </c>
      <c r="V1183" s="13" cm="1">
        <f t="array" ref="V1183">IF(Table8[[#This Row],[I_0]]&lt;Table24[Flitro de Ruido],1,Table8[[#This Row],[I_20]]/Table8[[#This Row],[I_0]])</f>
        <v>1.6860465116279071</v>
      </c>
      <c r="W1183" s="13" cm="1">
        <f t="array" ref="W1183">IF(Table8[[#This Row],[I_0]]&lt;Table24[Flitro de Ruido],1,Table8[[#This Row],[I_30]]/Table8[[#This Row],[I_0]])</f>
        <v>1.5697674418604652</v>
      </c>
      <c r="X1183" s="13" cm="1">
        <f t="array" ref="X1183">IF(Table8[[#This Row],[I_0]]&lt;Table24[Flitro de Ruido],1,Table8[[#This Row],[I_40]]/Table8[[#This Row],[I_0]])</f>
        <v>1.9593023255813955</v>
      </c>
      <c r="Y1183" s="13" cm="1">
        <f t="array" ref="Y1183">IF(Table8[[#This Row],[I_0]]&lt;Table24[Flitro de Ruido],1,Table8[[#This Row],[I_50]]/Table8[[#This Row],[I_0]])</f>
        <v>2.4069767441860463</v>
      </c>
    </row>
    <row r="1184" spans="1:25" x14ac:dyDescent="0.3">
      <c r="A1184" s="13">
        <v>1242.55</v>
      </c>
      <c r="B1184" s="12">
        <v>17.600000000000001</v>
      </c>
      <c r="C1184" s="11">
        <v>1242.55</v>
      </c>
      <c r="D1184" s="12">
        <v>24.4</v>
      </c>
      <c r="E1184" s="11">
        <v>1242.55</v>
      </c>
      <c r="F1184" s="12">
        <v>29.7</v>
      </c>
      <c r="G1184" s="11">
        <v>1242.55</v>
      </c>
      <c r="H1184" s="12">
        <v>27.7</v>
      </c>
      <c r="I1184" s="11">
        <v>1242.55</v>
      </c>
      <c r="J1184" s="12">
        <v>34.6</v>
      </c>
      <c r="K1184" s="11">
        <v>1242.55</v>
      </c>
      <c r="L1184" s="12">
        <v>42.4</v>
      </c>
      <c r="M1184" s="11">
        <v>1242.55</v>
      </c>
      <c r="N1184" s="13">
        <v>17.600000000000001</v>
      </c>
      <c r="O1184" s="11">
        <v>24.4</v>
      </c>
      <c r="P1184" s="11">
        <v>29.7</v>
      </c>
      <c r="Q1184" s="11">
        <v>27.7</v>
      </c>
      <c r="R1184" s="11">
        <v>34.6</v>
      </c>
      <c r="S1184" s="14">
        <v>42.4</v>
      </c>
      <c r="T1184" s="11">
        <v>1242.55</v>
      </c>
      <c r="U1184" s="13" cm="1">
        <f t="array" ref="U1184">IF(Table8[[#This Row],[I_0]]&lt;Table24[Flitro de Ruido],1,Table8[[#This Row],[I_10]]/Table8[[#This Row],[I_0]])</f>
        <v>1.3863636363636362</v>
      </c>
      <c r="V1184" s="13" cm="1">
        <f t="array" ref="V1184">IF(Table8[[#This Row],[I_0]]&lt;Table24[Flitro de Ruido],1,Table8[[#This Row],[I_20]]/Table8[[#This Row],[I_0]])</f>
        <v>1.6874999999999998</v>
      </c>
      <c r="W1184" s="13" cm="1">
        <f t="array" ref="W1184">IF(Table8[[#This Row],[I_0]]&lt;Table24[Flitro de Ruido],1,Table8[[#This Row],[I_30]]/Table8[[#This Row],[I_0]])</f>
        <v>1.5738636363636362</v>
      </c>
      <c r="X1184" s="13" cm="1">
        <f t="array" ref="X1184">IF(Table8[[#This Row],[I_0]]&lt;Table24[Flitro de Ruido],1,Table8[[#This Row],[I_40]]/Table8[[#This Row],[I_0]])</f>
        <v>1.9659090909090908</v>
      </c>
      <c r="Y1184" s="13" cm="1">
        <f t="array" ref="Y1184">IF(Table8[[#This Row],[I_0]]&lt;Table24[Flitro de Ruido],1,Table8[[#This Row],[I_50]]/Table8[[#This Row],[I_0]])</f>
        <v>2.4090909090909087</v>
      </c>
    </row>
    <row r="1185" spans="1:25" x14ac:dyDescent="0.3">
      <c r="A1185" s="13">
        <v>1243.54</v>
      </c>
      <c r="B1185" s="12">
        <v>18.100000000000001</v>
      </c>
      <c r="C1185" s="11">
        <v>1243.54</v>
      </c>
      <c r="D1185" s="12">
        <v>25.1</v>
      </c>
      <c r="E1185" s="11">
        <v>1243.54</v>
      </c>
      <c r="F1185" s="12">
        <v>30.6</v>
      </c>
      <c r="G1185" s="11">
        <v>1243.54</v>
      </c>
      <c r="H1185" s="12">
        <v>28.5</v>
      </c>
      <c r="I1185" s="11">
        <v>1243.54</v>
      </c>
      <c r="J1185" s="12">
        <v>35.5</v>
      </c>
      <c r="K1185" s="11">
        <v>1243.54</v>
      </c>
      <c r="L1185" s="12">
        <v>43.6</v>
      </c>
      <c r="M1185" s="11">
        <v>1243.54</v>
      </c>
      <c r="N1185" s="13">
        <v>18.100000000000001</v>
      </c>
      <c r="O1185" s="11">
        <v>25.1</v>
      </c>
      <c r="P1185" s="11">
        <v>30.6</v>
      </c>
      <c r="Q1185" s="11">
        <v>28.5</v>
      </c>
      <c r="R1185" s="11">
        <v>35.5</v>
      </c>
      <c r="S1185" s="14">
        <v>43.6</v>
      </c>
      <c r="T1185" s="11">
        <v>1243.54</v>
      </c>
      <c r="U1185" s="13" cm="1">
        <f t="array" ref="U1185">IF(Table8[[#This Row],[I_0]]&lt;Table24[Flitro de Ruido],1,Table8[[#This Row],[I_10]]/Table8[[#This Row],[I_0]])</f>
        <v>1.3867403314917126</v>
      </c>
      <c r="V1185" s="13" cm="1">
        <f t="array" ref="V1185">IF(Table8[[#This Row],[I_0]]&lt;Table24[Flitro de Ruido],1,Table8[[#This Row],[I_20]]/Table8[[#This Row],[I_0]])</f>
        <v>1.6906077348066297</v>
      </c>
      <c r="W1185" s="13" cm="1">
        <f t="array" ref="W1185">IF(Table8[[#This Row],[I_0]]&lt;Table24[Flitro de Ruido],1,Table8[[#This Row],[I_30]]/Table8[[#This Row],[I_0]])</f>
        <v>1.5745856353591159</v>
      </c>
      <c r="X1185" s="13" cm="1">
        <f t="array" ref="X1185">IF(Table8[[#This Row],[I_0]]&lt;Table24[Flitro de Ruido],1,Table8[[#This Row],[I_40]]/Table8[[#This Row],[I_0]])</f>
        <v>1.9613259668508285</v>
      </c>
      <c r="Y1185" s="13" cm="1">
        <f t="array" ref="Y1185">IF(Table8[[#This Row],[I_0]]&lt;Table24[Flitro de Ruido],1,Table8[[#This Row],[I_50]]/Table8[[#This Row],[I_0]])</f>
        <v>2.4088397790055249</v>
      </c>
    </row>
    <row r="1186" spans="1:25" x14ac:dyDescent="0.3">
      <c r="A1186" s="13">
        <v>1244.53</v>
      </c>
      <c r="B1186" s="12">
        <v>18.5</v>
      </c>
      <c r="C1186" s="11">
        <v>1244.53</v>
      </c>
      <c r="D1186" s="12">
        <v>25.6</v>
      </c>
      <c r="E1186" s="11">
        <v>1244.53</v>
      </c>
      <c r="F1186" s="12">
        <v>31.2</v>
      </c>
      <c r="G1186" s="11">
        <v>1244.53</v>
      </c>
      <c r="H1186" s="12">
        <v>29.1</v>
      </c>
      <c r="I1186" s="11">
        <v>1244.53</v>
      </c>
      <c r="J1186" s="12">
        <v>36.4</v>
      </c>
      <c r="K1186" s="11">
        <v>1244.53</v>
      </c>
      <c r="L1186" s="12">
        <v>44.6</v>
      </c>
      <c r="M1186" s="11">
        <v>1244.53</v>
      </c>
      <c r="N1186" s="13">
        <v>18.5</v>
      </c>
      <c r="O1186" s="11">
        <v>25.6</v>
      </c>
      <c r="P1186" s="11">
        <v>31.2</v>
      </c>
      <c r="Q1186" s="11">
        <v>29.1</v>
      </c>
      <c r="R1186" s="11">
        <v>36.4</v>
      </c>
      <c r="S1186" s="14">
        <v>44.6</v>
      </c>
      <c r="T1186" s="11">
        <v>1244.53</v>
      </c>
      <c r="U1186" s="13" cm="1">
        <f t="array" ref="U1186">IF(Table8[[#This Row],[I_0]]&lt;Table24[Flitro de Ruido],1,Table8[[#This Row],[I_10]]/Table8[[#This Row],[I_0]])</f>
        <v>1.3837837837837839</v>
      </c>
      <c r="V1186" s="13" cm="1">
        <f t="array" ref="V1186">IF(Table8[[#This Row],[I_0]]&lt;Table24[Flitro de Ruido],1,Table8[[#This Row],[I_20]]/Table8[[#This Row],[I_0]])</f>
        <v>1.6864864864864864</v>
      </c>
      <c r="W1186" s="13" cm="1">
        <f t="array" ref="W1186">IF(Table8[[#This Row],[I_0]]&lt;Table24[Flitro de Ruido],1,Table8[[#This Row],[I_30]]/Table8[[#This Row],[I_0]])</f>
        <v>1.5729729729729731</v>
      </c>
      <c r="X1186" s="13" cm="1">
        <f t="array" ref="X1186">IF(Table8[[#This Row],[I_0]]&lt;Table24[Flitro de Ruido],1,Table8[[#This Row],[I_40]]/Table8[[#This Row],[I_0]])</f>
        <v>1.9675675675675675</v>
      </c>
      <c r="Y1186" s="13" cm="1">
        <f t="array" ref="Y1186">IF(Table8[[#This Row],[I_0]]&lt;Table24[Flitro de Ruido],1,Table8[[#This Row],[I_50]]/Table8[[#This Row],[I_0]])</f>
        <v>2.4108108108108111</v>
      </c>
    </row>
    <row r="1187" spans="1:25" x14ac:dyDescent="0.3">
      <c r="A1187" s="13">
        <v>1245.52</v>
      </c>
      <c r="B1187" s="12">
        <v>19</v>
      </c>
      <c r="C1187" s="11">
        <v>1245.52</v>
      </c>
      <c r="D1187" s="12">
        <v>26.3</v>
      </c>
      <c r="E1187" s="11">
        <v>1245.52</v>
      </c>
      <c r="F1187" s="12">
        <v>32</v>
      </c>
      <c r="G1187" s="11">
        <v>1245.52</v>
      </c>
      <c r="H1187" s="12">
        <v>29.9</v>
      </c>
      <c r="I1187" s="11">
        <v>1245.52</v>
      </c>
      <c r="J1187" s="12">
        <v>37.4</v>
      </c>
      <c r="K1187" s="11">
        <v>1245.52</v>
      </c>
      <c r="L1187" s="12">
        <v>45.8</v>
      </c>
      <c r="M1187" s="11">
        <v>1245.52</v>
      </c>
      <c r="N1187" s="13">
        <v>19</v>
      </c>
      <c r="O1187" s="11">
        <v>26.3</v>
      </c>
      <c r="P1187" s="11">
        <v>32</v>
      </c>
      <c r="Q1187" s="11">
        <v>29.9</v>
      </c>
      <c r="R1187" s="11">
        <v>37.4</v>
      </c>
      <c r="S1187" s="14">
        <v>45.8</v>
      </c>
      <c r="T1187" s="11">
        <v>1245.52</v>
      </c>
      <c r="U1187" s="13" cm="1">
        <f t="array" ref="U1187">IF(Table8[[#This Row],[I_0]]&lt;Table24[Flitro de Ruido],1,Table8[[#This Row],[I_10]]/Table8[[#This Row],[I_0]])</f>
        <v>1.3842105263157896</v>
      </c>
      <c r="V1187" s="13" cm="1">
        <f t="array" ref="V1187">IF(Table8[[#This Row],[I_0]]&lt;Table24[Flitro de Ruido],1,Table8[[#This Row],[I_20]]/Table8[[#This Row],[I_0]])</f>
        <v>1.6842105263157894</v>
      </c>
      <c r="W1187" s="13" cm="1">
        <f t="array" ref="W1187">IF(Table8[[#This Row],[I_0]]&lt;Table24[Flitro de Ruido],1,Table8[[#This Row],[I_30]]/Table8[[#This Row],[I_0]])</f>
        <v>1.5736842105263158</v>
      </c>
      <c r="X1187" s="13" cm="1">
        <f t="array" ref="X1187">IF(Table8[[#This Row],[I_0]]&lt;Table24[Flitro de Ruido],1,Table8[[#This Row],[I_40]]/Table8[[#This Row],[I_0]])</f>
        <v>1.9684210526315788</v>
      </c>
      <c r="Y1187" s="13" cm="1">
        <f t="array" ref="Y1187">IF(Table8[[#This Row],[I_0]]&lt;Table24[Flitro de Ruido],1,Table8[[#This Row],[I_50]]/Table8[[#This Row],[I_0]])</f>
        <v>2.4105263157894736</v>
      </c>
    </row>
    <row r="1188" spans="1:25" x14ac:dyDescent="0.3">
      <c r="A1188" s="13">
        <v>1246.51</v>
      </c>
      <c r="B1188" s="12">
        <v>19.399999999999999</v>
      </c>
      <c r="C1188" s="11">
        <v>1246.51</v>
      </c>
      <c r="D1188" s="12">
        <v>26.9</v>
      </c>
      <c r="E1188" s="11">
        <v>1246.51</v>
      </c>
      <c r="F1188" s="12">
        <v>32.799999999999997</v>
      </c>
      <c r="G1188" s="11">
        <v>1246.51</v>
      </c>
      <c r="H1188" s="12">
        <v>30.6</v>
      </c>
      <c r="I1188" s="11">
        <v>1246.51</v>
      </c>
      <c r="J1188" s="12">
        <v>38.299999999999997</v>
      </c>
      <c r="K1188" s="11">
        <v>1246.51</v>
      </c>
      <c r="L1188" s="12">
        <v>46.9</v>
      </c>
      <c r="M1188" s="11">
        <v>1246.51</v>
      </c>
      <c r="N1188" s="13">
        <v>19.399999999999999</v>
      </c>
      <c r="O1188" s="11">
        <v>26.9</v>
      </c>
      <c r="P1188" s="11">
        <v>32.799999999999997</v>
      </c>
      <c r="Q1188" s="11">
        <v>30.6</v>
      </c>
      <c r="R1188" s="11">
        <v>38.299999999999997</v>
      </c>
      <c r="S1188" s="14">
        <v>46.9</v>
      </c>
      <c r="T1188" s="11">
        <v>1246.51</v>
      </c>
      <c r="U1188" s="13" cm="1">
        <f t="array" ref="U1188">IF(Table8[[#This Row],[I_0]]&lt;Table24[Flitro de Ruido],1,Table8[[#This Row],[I_10]]/Table8[[#This Row],[I_0]])</f>
        <v>1.3865979381443299</v>
      </c>
      <c r="V1188" s="13" cm="1">
        <f t="array" ref="V1188">IF(Table8[[#This Row],[I_0]]&lt;Table24[Flitro de Ruido],1,Table8[[#This Row],[I_20]]/Table8[[#This Row],[I_0]])</f>
        <v>1.6907216494845361</v>
      </c>
      <c r="W1188" s="13" cm="1">
        <f t="array" ref="W1188">IF(Table8[[#This Row],[I_0]]&lt;Table24[Flitro de Ruido],1,Table8[[#This Row],[I_30]]/Table8[[#This Row],[I_0]])</f>
        <v>1.5773195876288661</v>
      </c>
      <c r="X1188" s="13" cm="1">
        <f t="array" ref="X1188">IF(Table8[[#This Row],[I_0]]&lt;Table24[Flitro de Ruido],1,Table8[[#This Row],[I_40]]/Table8[[#This Row],[I_0]])</f>
        <v>1.9742268041237114</v>
      </c>
      <c r="Y1188" s="13" cm="1">
        <f t="array" ref="Y1188">IF(Table8[[#This Row],[I_0]]&lt;Table24[Flitro de Ruido],1,Table8[[#This Row],[I_50]]/Table8[[#This Row],[I_0]])</f>
        <v>2.4175257731958766</v>
      </c>
    </row>
    <row r="1189" spans="1:25" x14ac:dyDescent="0.3">
      <c r="A1189" s="13">
        <v>1247.5</v>
      </c>
      <c r="B1189" s="12">
        <v>20</v>
      </c>
      <c r="C1189" s="11">
        <v>1247.5</v>
      </c>
      <c r="D1189" s="12">
        <v>27.7</v>
      </c>
      <c r="E1189" s="11">
        <v>1247.5</v>
      </c>
      <c r="F1189" s="12">
        <v>33.700000000000003</v>
      </c>
      <c r="G1189" s="11">
        <v>1247.5</v>
      </c>
      <c r="H1189" s="12">
        <v>31.5</v>
      </c>
      <c r="I1189" s="11">
        <v>1247.5</v>
      </c>
      <c r="J1189" s="12">
        <v>39.4</v>
      </c>
      <c r="K1189" s="11">
        <v>1247.5</v>
      </c>
      <c r="L1189" s="12">
        <v>48.1</v>
      </c>
      <c r="M1189" s="11">
        <v>1247.5</v>
      </c>
      <c r="N1189" s="13">
        <v>20</v>
      </c>
      <c r="O1189" s="11">
        <v>27.7</v>
      </c>
      <c r="P1189" s="11">
        <v>33.700000000000003</v>
      </c>
      <c r="Q1189" s="11">
        <v>31.5</v>
      </c>
      <c r="R1189" s="11">
        <v>39.4</v>
      </c>
      <c r="S1189" s="14">
        <v>48.1</v>
      </c>
      <c r="T1189" s="11">
        <v>1247.5</v>
      </c>
      <c r="U1189" s="13" cm="1">
        <f t="array" ref="U1189">IF(Table8[[#This Row],[I_0]]&lt;Table24[Flitro de Ruido],1,Table8[[#This Row],[I_10]]/Table8[[#This Row],[I_0]])</f>
        <v>1.385</v>
      </c>
      <c r="V1189" s="13" cm="1">
        <f t="array" ref="V1189">IF(Table8[[#This Row],[I_0]]&lt;Table24[Flitro de Ruido],1,Table8[[#This Row],[I_20]]/Table8[[#This Row],[I_0]])</f>
        <v>1.6850000000000001</v>
      </c>
      <c r="W1189" s="13" cm="1">
        <f t="array" ref="W1189">IF(Table8[[#This Row],[I_0]]&lt;Table24[Flitro de Ruido],1,Table8[[#This Row],[I_30]]/Table8[[#This Row],[I_0]])</f>
        <v>1.575</v>
      </c>
      <c r="X1189" s="13" cm="1">
        <f t="array" ref="X1189">IF(Table8[[#This Row],[I_0]]&lt;Table24[Flitro de Ruido],1,Table8[[#This Row],[I_40]]/Table8[[#This Row],[I_0]])</f>
        <v>1.97</v>
      </c>
      <c r="Y1189" s="13" cm="1">
        <f t="array" ref="Y1189">IF(Table8[[#This Row],[I_0]]&lt;Table24[Flitro de Ruido],1,Table8[[#This Row],[I_50]]/Table8[[#This Row],[I_0]])</f>
        <v>2.4050000000000002</v>
      </c>
    </row>
    <row r="1190" spans="1:25" x14ac:dyDescent="0.3">
      <c r="A1190" s="13">
        <v>1248.5</v>
      </c>
      <c r="B1190" s="12">
        <v>20.5</v>
      </c>
      <c r="C1190" s="11">
        <v>1248.5</v>
      </c>
      <c r="D1190" s="12">
        <v>28.5</v>
      </c>
      <c r="E1190" s="11">
        <v>1248.5</v>
      </c>
      <c r="F1190" s="12">
        <v>34.5</v>
      </c>
      <c r="G1190" s="11">
        <v>1248.5</v>
      </c>
      <c r="H1190" s="12">
        <v>32.299999999999997</v>
      </c>
      <c r="I1190" s="11">
        <v>1248.5</v>
      </c>
      <c r="J1190" s="12">
        <v>40.4</v>
      </c>
      <c r="K1190" s="11">
        <v>1248.5</v>
      </c>
      <c r="L1190" s="12">
        <v>49.4</v>
      </c>
      <c r="M1190" s="11">
        <v>1248.5</v>
      </c>
      <c r="N1190" s="13">
        <v>20.5</v>
      </c>
      <c r="O1190" s="11">
        <v>28.5</v>
      </c>
      <c r="P1190" s="11">
        <v>34.5</v>
      </c>
      <c r="Q1190" s="11">
        <v>32.299999999999997</v>
      </c>
      <c r="R1190" s="11">
        <v>40.4</v>
      </c>
      <c r="S1190" s="14">
        <v>49.4</v>
      </c>
      <c r="T1190" s="11">
        <v>1248.5</v>
      </c>
      <c r="U1190" s="13" cm="1">
        <f t="array" ref="U1190">IF(Table8[[#This Row],[I_0]]&lt;Table24[Flitro de Ruido],1,Table8[[#This Row],[I_10]]/Table8[[#This Row],[I_0]])</f>
        <v>1.3902439024390243</v>
      </c>
      <c r="V1190" s="13" cm="1">
        <f t="array" ref="V1190">IF(Table8[[#This Row],[I_0]]&lt;Table24[Flitro de Ruido],1,Table8[[#This Row],[I_20]]/Table8[[#This Row],[I_0]])</f>
        <v>1.6829268292682926</v>
      </c>
      <c r="W1190" s="13" cm="1">
        <f t="array" ref="W1190">IF(Table8[[#This Row],[I_0]]&lt;Table24[Flitro de Ruido],1,Table8[[#This Row],[I_30]]/Table8[[#This Row],[I_0]])</f>
        <v>1.5756097560975608</v>
      </c>
      <c r="X1190" s="13" cm="1">
        <f t="array" ref="X1190">IF(Table8[[#This Row],[I_0]]&lt;Table24[Flitro de Ruido],1,Table8[[#This Row],[I_40]]/Table8[[#This Row],[I_0]])</f>
        <v>1.9707317073170731</v>
      </c>
      <c r="Y1190" s="13" cm="1">
        <f t="array" ref="Y1190">IF(Table8[[#This Row],[I_0]]&lt;Table24[Flitro de Ruido],1,Table8[[#This Row],[I_50]]/Table8[[#This Row],[I_0]])</f>
        <v>2.4097560975609755</v>
      </c>
    </row>
    <row r="1191" spans="1:25" x14ac:dyDescent="0.3">
      <c r="A1191" s="13">
        <v>1249.49</v>
      </c>
      <c r="B1191" s="12">
        <v>21.1</v>
      </c>
      <c r="C1191" s="11">
        <v>1249.49</v>
      </c>
      <c r="D1191" s="12">
        <v>29.3</v>
      </c>
      <c r="E1191" s="11">
        <v>1249.49</v>
      </c>
      <c r="F1191" s="12">
        <v>35.5</v>
      </c>
      <c r="G1191" s="11">
        <v>1249.49</v>
      </c>
      <c r="H1191" s="12">
        <v>33.299999999999997</v>
      </c>
      <c r="I1191" s="11">
        <v>1249.49</v>
      </c>
      <c r="J1191" s="12">
        <v>41.6</v>
      </c>
      <c r="K1191" s="11">
        <v>1249.49</v>
      </c>
      <c r="L1191" s="12">
        <v>50.8</v>
      </c>
      <c r="M1191" s="11">
        <v>1249.49</v>
      </c>
      <c r="N1191" s="13">
        <v>21.1</v>
      </c>
      <c r="O1191" s="11">
        <v>29.3</v>
      </c>
      <c r="P1191" s="11">
        <v>35.5</v>
      </c>
      <c r="Q1191" s="11">
        <v>33.299999999999997</v>
      </c>
      <c r="R1191" s="11">
        <v>41.6</v>
      </c>
      <c r="S1191" s="14">
        <v>50.8</v>
      </c>
      <c r="T1191" s="11">
        <v>1249.49</v>
      </c>
      <c r="U1191" s="13" cm="1">
        <f t="array" ref="U1191">IF(Table8[[#This Row],[I_0]]&lt;Table24[Flitro de Ruido],1,Table8[[#This Row],[I_10]]/Table8[[#This Row],[I_0]])</f>
        <v>1.3886255924170616</v>
      </c>
      <c r="V1191" s="13" cm="1">
        <f t="array" ref="V1191">IF(Table8[[#This Row],[I_0]]&lt;Table24[Flitro de Ruido],1,Table8[[#This Row],[I_20]]/Table8[[#This Row],[I_0]])</f>
        <v>1.6824644549763033</v>
      </c>
      <c r="W1191" s="13" cm="1">
        <f t="array" ref="W1191">IF(Table8[[#This Row],[I_0]]&lt;Table24[Flitro de Ruido],1,Table8[[#This Row],[I_30]]/Table8[[#This Row],[I_0]])</f>
        <v>1.5781990521327012</v>
      </c>
      <c r="X1191" s="13" cm="1">
        <f t="array" ref="X1191">IF(Table8[[#This Row],[I_0]]&lt;Table24[Flitro de Ruido],1,Table8[[#This Row],[I_40]]/Table8[[#This Row],[I_0]])</f>
        <v>1.971563981042654</v>
      </c>
      <c r="Y1191" s="13" cm="1">
        <f t="array" ref="Y1191">IF(Table8[[#This Row],[I_0]]&lt;Table24[Flitro de Ruido],1,Table8[[#This Row],[I_50]]/Table8[[#This Row],[I_0]])</f>
        <v>2.4075829383886251</v>
      </c>
    </row>
    <row r="1192" spans="1:25" x14ac:dyDescent="0.3">
      <c r="A1192" s="13">
        <v>1250.48</v>
      </c>
      <c r="B1192" s="12">
        <v>21.6</v>
      </c>
      <c r="C1192" s="11">
        <v>1250.48</v>
      </c>
      <c r="D1192" s="12">
        <v>30</v>
      </c>
      <c r="E1192" s="11">
        <v>1250.48</v>
      </c>
      <c r="F1192" s="12">
        <v>36.4</v>
      </c>
      <c r="G1192" s="11">
        <v>1250.48</v>
      </c>
      <c r="H1192" s="12">
        <v>34.1</v>
      </c>
      <c r="I1192" s="11">
        <v>1250.48</v>
      </c>
      <c r="J1192" s="12">
        <v>42.6</v>
      </c>
      <c r="K1192" s="11">
        <v>1250.48</v>
      </c>
      <c r="L1192" s="12">
        <v>52</v>
      </c>
      <c r="M1192" s="11">
        <v>1250.48</v>
      </c>
      <c r="N1192" s="13">
        <v>21.6</v>
      </c>
      <c r="O1192" s="11">
        <v>30</v>
      </c>
      <c r="P1192" s="11">
        <v>36.4</v>
      </c>
      <c r="Q1192" s="11">
        <v>34.1</v>
      </c>
      <c r="R1192" s="11">
        <v>42.6</v>
      </c>
      <c r="S1192" s="14">
        <v>52</v>
      </c>
      <c r="T1192" s="11">
        <v>1250.48</v>
      </c>
      <c r="U1192" s="13" cm="1">
        <f t="array" ref="U1192">IF(Table8[[#This Row],[I_0]]&lt;Table24[Flitro de Ruido],1,Table8[[#This Row],[I_10]]/Table8[[#This Row],[I_0]])</f>
        <v>1.3888888888888888</v>
      </c>
      <c r="V1192" s="13" cm="1">
        <f t="array" ref="V1192">IF(Table8[[#This Row],[I_0]]&lt;Table24[Flitro de Ruido],1,Table8[[#This Row],[I_20]]/Table8[[#This Row],[I_0]])</f>
        <v>1.6851851851851851</v>
      </c>
      <c r="W1192" s="13" cm="1">
        <f t="array" ref="W1192">IF(Table8[[#This Row],[I_0]]&lt;Table24[Flitro de Ruido],1,Table8[[#This Row],[I_30]]/Table8[[#This Row],[I_0]])</f>
        <v>1.5787037037037037</v>
      </c>
      <c r="X1192" s="13" cm="1">
        <f t="array" ref="X1192">IF(Table8[[#This Row],[I_0]]&lt;Table24[Flitro de Ruido],1,Table8[[#This Row],[I_40]]/Table8[[#This Row],[I_0]])</f>
        <v>1.9722222222222221</v>
      </c>
      <c r="Y1192" s="13" cm="1">
        <f t="array" ref="Y1192">IF(Table8[[#This Row],[I_0]]&lt;Table24[Flitro de Ruido],1,Table8[[#This Row],[I_50]]/Table8[[#This Row],[I_0]])</f>
        <v>2.4074074074074074</v>
      </c>
    </row>
    <row r="1193" spans="1:25" x14ac:dyDescent="0.3">
      <c r="A1193" s="13">
        <v>1251.47</v>
      </c>
      <c r="B1193" s="12">
        <v>22.2</v>
      </c>
      <c r="C1193" s="11">
        <v>1251.47</v>
      </c>
      <c r="D1193" s="12">
        <v>30.8</v>
      </c>
      <c r="E1193" s="11">
        <v>1251.47</v>
      </c>
      <c r="F1193" s="12">
        <v>37.299999999999997</v>
      </c>
      <c r="G1193" s="11">
        <v>1251.47</v>
      </c>
      <c r="H1193" s="12">
        <v>35</v>
      </c>
      <c r="I1193" s="11">
        <v>1251.47</v>
      </c>
      <c r="J1193" s="12">
        <v>43.7</v>
      </c>
      <c r="K1193" s="11">
        <v>1251.47</v>
      </c>
      <c r="L1193" s="12">
        <v>53.4</v>
      </c>
      <c r="M1193" s="11">
        <v>1251.47</v>
      </c>
      <c r="N1193" s="13">
        <v>22.2</v>
      </c>
      <c r="O1193" s="11">
        <v>30.8</v>
      </c>
      <c r="P1193" s="11">
        <v>37.299999999999997</v>
      </c>
      <c r="Q1193" s="11">
        <v>35</v>
      </c>
      <c r="R1193" s="11">
        <v>43.7</v>
      </c>
      <c r="S1193" s="14">
        <v>53.4</v>
      </c>
      <c r="T1193" s="11">
        <v>1251.47</v>
      </c>
      <c r="U1193" s="13" cm="1">
        <f t="array" ref="U1193">IF(Table8[[#This Row],[I_0]]&lt;Table24[Flitro de Ruido],1,Table8[[#This Row],[I_10]]/Table8[[#This Row],[I_0]])</f>
        <v>1.3873873873873874</v>
      </c>
      <c r="V1193" s="13" cm="1">
        <f t="array" ref="V1193">IF(Table8[[#This Row],[I_0]]&lt;Table24[Flitro de Ruido],1,Table8[[#This Row],[I_20]]/Table8[[#This Row],[I_0]])</f>
        <v>1.6801801801801801</v>
      </c>
      <c r="W1193" s="13" cm="1">
        <f t="array" ref="W1193">IF(Table8[[#This Row],[I_0]]&lt;Table24[Flitro de Ruido],1,Table8[[#This Row],[I_30]]/Table8[[#This Row],[I_0]])</f>
        <v>1.5765765765765767</v>
      </c>
      <c r="X1193" s="13" cm="1">
        <f t="array" ref="X1193">IF(Table8[[#This Row],[I_0]]&lt;Table24[Flitro de Ruido],1,Table8[[#This Row],[I_40]]/Table8[[#This Row],[I_0]])</f>
        <v>1.9684684684684686</v>
      </c>
      <c r="Y1193" s="13" cm="1">
        <f t="array" ref="Y1193">IF(Table8[[#This Row],[I_0]]&lt;Table24[Flitro de Ruido],1,Table8[[#This Row],[I_50]]/Table8[[#This Row],[I_0]])</f>
        <v>2.4054054054054053</v>
      </c>
    </row>
    <row r="1194" spans="1:25" x14ac:dyDescent="0.3">
      <c r="A1194" s="13">
        <v>1252.46</v>
      </c>
      <c r="B1194" s="12">
        <v>22.6</v>
      </c>
      <c r="C1194" s="11">
        <v>1252.46</v>
      </c>
      <c r="D1194" s="12">
        <v>31.5</v>
      </c>
      <c r="E1194" s="11">
        <v>1252.46</v>
      </c>
      <c r="F1194" s="12">
        <v>38.1</v>
      </c>
      <c r="G1194" s="11">
        <v>1252.46</v>
      </c>
      <c r="H1194" s="12">
        <v>35.799999999999997</v>
      </c>
      <c r="I1194" s="11">
        <v>1252.46</v>
      </c>
      <c r="J1194" s="12">
        <v>44.7</v>
      </c>
      <c r="K1194" s="11">
        <v>1252.46</v>
      </c>
      <c r="L1194" s="12">
        <v>54.6</v>
      </c>
      <c r="M1194" s="11">
        <v>1252.46</v>
      </c>
      <c r="N1194" s="13">
        <v>22.6</v>
      </c>
      <c r="O1194" s="11">
        <v>31.5</v>
      </c>
      <c r="P1194" s="11">
        <v>38.1</v>
      </c>
      <c r="Q1194" s="11">
        <v>35.799999999999997</v>
      </c>
      <c r="R1194" s="11">
        <v>44.7</v>
      </c>
      <c r="S1194" s="14">
        <v>54.6</v>
      </c>
      <c r="T1194" s="11">
        <v>1252.46</v>
      </c>
      <c r="U1194" s="13" cm="1">
        <f t="array" ref="U1194">IF(Table8[[#This Row],[I_0]]&lt;Table24[Flitro de Ruido],1,Table8[[#This Row],[I_10]]/Table8[[#This Row],[I_0]])</f>
        <v>1.3938053097345131</v>
      </c>
      <c r="V1194" s="13" cm="1">
        <f t="array" ref="V1194">IF(Table8[[#This Row],[I_0]]&lt;Table24[Flitro de Ruido],1,Table8[[#This Row],[I_20]]/Table8[[#This Row],[I_0]])</f>
        <v>1.6858407079646018</v>
      </c>
      <c r="W1194" s="13" cm="1">
        <f t="array" ref="W1194">IF(Table8[[#This Row],[I_0]]&lt;Table24[Flitro de Ruido],1,Table8[[#This Row],[I_30]]/Table8[[#This Row],[I_0]])</f>
        <v>1.5840707964601768</v>
      </c>
      <c r="X1194" s="13" cm="1">
        <f t="array" ref="X1194">IF(Table8[[#This Row],[I_0]]&lt;Table24[Flitro de Ruido],1,Table8[[#This Row],[I_40]]/Table8[[#This Row],[I_0]])</f>
        <v>1.9778761061946903</v>
      </c>
      <c r="Y1194" s="13" cm="1">
        <f t="array" ref="Y1194">IF(Table8[[#This Row],[I_0]]&lt;Table24[Flitro de Ruido],1,Table8[[#This Row],[I_50]]/Table8[[#This Row],[I_0]])</f>
        <v>2.415929203539823</v>
      </c>
    </row>
    <row r="1195" spans="1:25" x14ac:dyDescent="0.3">
      <c r="A1195" s="13">
        <v>1253.46</v>
      </c>
      <c r="B1195" s="12">
        <v>23.1</v>
      </c>
      <c r="C1195" s="11">
        <v>1253.46</v>
      </c>
      <c r="D1195" s="12">
        <v>32.200000000000003</v>
      </c>
      <c r="E1195" s="11">
        <v>1253.46</v>
      </c>
      <c r="F1195" s="12">
        <v>39</v>
      </c>
      <c r="G1195" s="11">
        <v>1253.46</v>
      </c>
      <c r="H1195" s="12">
        <v>36.6</v>
      </c>
      <c r="I1195" s="11">
        <v>1253.46</v>
      </c>
      <c r="J1195" s="12">
        <v>45.7</v>
      </c>
      <c r="K1195" s="11">
        <v>1253.46</v>
      </c>
      <c r="L1195" s="12">
        <v>55.9</v>
      </c>
      <c r="M1195" s="11">
        <v>1253.46</v>
      </c>
      <c r="N1195" s="13">
        <v>23.1</v>
      </c>
      <c r="O1195" s="11">
        <v>32.200000000000003</v>
      </c>
      <c r="P1195" s="11">
        <v>39</v>
      </c>
      <c r="Q1195" s="11">
        <v>36.6</v>
      </c>
      <c r="R1195" s="11">
        <v>45.7</v>
      </c>
      <c r="S1195" s="14">
        <v>55.9</v>
      </c>
      <c r="T1195" s="11">
        <v>1253.46</v>
      </c>
      <c r="U1195" s="13" cm="1">
        <f t="array" ref="U1195">IF(Table8[[#This Row],[I_0]]&lt;Table24[Flitro de Ruido],1,Table8[[#This Row],[I_10]]/Table8[[#This Row],[I_0]])</f>
        <v>1.393939393939394</v>
      </c>
      <c r="V1195" s="13" cm="1">
        <f t="array" ref="V1195">IF(Table8[[#This Row],[I_0]]&lt;Table24[Flitro de Ruido],1,Table8[[#This Row],[I_20]]/Table8[[#This Row],[I_0]])</f>
        <v>1.6883116883116882</v>
      </c>
      <c r="W1195" s="13" cm="1">
        <f t="array" ref="W1195">IF(Table8[[#This Row],[I_0]]&lt;Table24[Flitro de Ruido],1,Table8[[#This Row],[I_30]]/Table8[[#This Row],[I_0]])</f>
        <v>1.5844155844155843</v>
      </c>
      <c r="X1195" s="13" cm="1">
        <f t="array" ref="X1195">IF(Table8[[#This Row],[I_0]]&lt;Table24[Flitro de Ruido],1,Table8[[#This Row],[I_40]]/Table8[[#This Row],[I_0]])</f>
        <v>1.9783549783549783</v>
      </c>
      <c r="Y1195" s="13" cm="1">
        <f t="array" ref="Y1195">IF(Table8[[#This Row],[I_0]]&lt;Table24[Flitro de Ruido],1,Table8[[#This Row],[I_50]]/Table8[[#This Row],[I_0]])</f>
        <v>2.4199134199134198</v>
      </c>
    </row>
    <row r="1196" spans="1:25" x14ac:dyDescent="0.3">
      <c r="A1196" s="13">
        <v>1254.45</v>
      </c>
      <c r="B1196" s="12">
        <v>23.7</v>
      </c>
      <c r="C1196" s="11">
        <v>1254.45</v>
      </c>
      <c r="D1196" s="12">
        <v>33.1</v>
      </c>
      <c r="E1196" s="11">
        <v>1254.45</v>
      </c>
      <c r="F1196" s="12">
        <v>40</v>
      </c>
      <c r="G1196" s="11">
        <v>1254.45</v>
      </c>
      <c r="H1196" s="12">
        <v>37.5</v>
      </c>
      <c r="I1196" s="11">
        <v>1254.45</v>
      </c>
      <c r="J1196" s="12">
        <v>46.9</v>
      </c>
      <c r="K1196" s="11">
        <v>1254.45</v>
      </c>
      <c r="L1196" s="12">
        <v>57.4</v>
      </c>
      <c r="M1196" s="11">
        <v>1254.45</v>
      </c>
      <c r="N1196" s="13">
        <v>23.7</v>
      </c>
      <c r="O1196" s="11">
        <v>33.1</v>
      </c>
      <c r="P1196" s="11">
        <v>40</v>
      </c>
      <c r="Q1196" s="11">
        <v>37.5</v>
      </c>
      <c r="R1196" s="11">
        <v>46.9</v>
      </c>
      <c r="S1196" s="14">
        <v>57.4</v>
      </c>
      <c r="T1196" s="11">
        <v>1254.45</v>
      </c>
      <c r="U1196" s="13" cm="1">
        <f t="array" ref="U1196">IF(Table8[[#This Row],[I_0]]&lt;Table24[Flitro de Ruido],1,Table8[[#This Row],[I_10]]/Table8[[#This Row],[I_0]])</f>
        <v>1.3966244725738397</v>
      </c>
      <c r="V1196" s="13" cm="1">
        <f t="array" ref="V1196">IF(Table8[[#This Row],[I_0]]&lt;Table24[Flitro de Ruido],1,Table8[[#This Row],[I_20]]/Table8[[#This Row],[I_0]])</f>
        <v>1.6877637130801688</v>
      </c>
      <c r="W1196" s="13" cm="1">
        <f t="array" ref="W1196">IF(Table8[[#This Row],[I_0]]&lt;Table24[Flitro de Ruido],1,Table8[[#This Row],[I_30]]/Table8[[#This Row],[I_0]])</f>
        <v>1.5822784810126582</v>
      </c>
      <c r="X1196" s="13" cm="1">
        <f t="array" ref="X1196">IF(Table8[[#This Row],[I_0]]&lt;Table24[Flitro de Ruido],1,Table8[[#This Row],[I_40]]/Table8[[#This Row],[I_0]])</f>
        <v>1.9789029535864979</v>
      </c>
      <c r="Y1196" s="13" cm="1">
        <f t="array" ref="Y1196">IF(Table8[[#This Row],[I_0]]&lt;Table24[Flitro de Ruido],1,Table8[[#This Row],[I_50]]/Table8[[#This Row],[I_0]])</f>
        <v>2.4219409282700424</v>
      </c>
    </row>
    <row r="1197" spans="1:25" x14ac:dyDescent="0.3">
      <c r="A1197" s="13">
        <v>1255.44</v>
      </c>
      <c r="B1197" s="12">
        <v>24.2</v>
      </c>
      <c r="C1197" s="11">
        <v>1255.44</v>
      </c>
      <c r="D1197" s="12">
        <v>33.799999999999997</v>
      </c>
      <c r="E1197" s="11">
        <v>1255.44</v>
      </c>
      <c r="F1197" s="12">
        <v>40.9</v>
      </c>
      <c r="G1197" s="11">
        <v>1255.44</v>
      </c>
      <c r="H1197" s="12">
        <v>38.4</v>
      </c>
      <c r="I1197" s="11">
        <v>1255.44</v>
      </c>
      <c r="J1197" s="12">
        <v>48.1</v>
      </c>
      <c r="K1197" s="11">
        <v>1255.44</v>
      </c>
      <c r="L1197" s="12">
        <v>58.8</v>
      </c>
      <c r="M1197" s="11">
        <v>1255.44</v>
      </c>
      <c r="N1197" s="13">
        <v>24.2</v>
      </c>
      <c r="O1197" s="11">
        <v>33.799999999999997</v>
      </c>
      <c r="P1197" s="11">
        <v>40.9</v>
      </c>
      <c r="Q1197" s="11">
        <v>38.4</v>
      </c>
      <c r="R1197" s="11">
        <v>48.1</v>
      </c>
      <c r="S1197" s="14">
        <v>58.8</v>
      </c>
      <c r="T1197" s="11">
        <v>1255.44</v>
      </c>
      <c r="U1197" s="13" cm="1">
        <f t="array" ref="U1197">IF(Table8[[#This Row],[I_0]]&lt;Table24[Flitro de Ruido],1,Table8[[#This Row],[I_10]]/Table8[[#This Row],[I_0]])</f>
        <v>1.3966942148760331</v>
      </c>
      <c r="V1197" s="13" cm="1">
        <f t="array" ref="V1197">IF(Table8[[#This Row],[I_0]]&lt;Table24[Flitro de Ruido],1,Table8[[#This Row],[I_20]]/Table8[[#This Row],[I_0]])</f>
        <v>1.6900826446280992</v>
      </c>
      <c r="W1197" s="13" cm="1">
        <f t="array" ref="W1197">IF(Table8[[#This Row],[I_0]]&lt;Table24[Flitro de Ruido],1,Table8[[#This Row],[I_30]]/Table8[[#This Row],[I_0]])</f>
        <v>1.5867768595041323</v>
      </c>
      <c r="X1197" s="13" cm="1">
        <f t="array" ref="X1197">IF(Table8[[#This Row],[I_0]]&lt;Table24[Flitro de Ruido],1,Table8[[#This Row],[I_40]]/Table8[[#This Row],[I_0]])</f>
        <v>1.9876033057851241</v>
      </c>
      <c r="Y1197" s="13" cm="1">
        <f t="array" ref="Y1197">IF(Table8[[#This Row],[I_0]]&lt;Table24[Flitro de Ruido],1,Table8[[#This Row],[I_50]]/Table8[[#This Row],[I_0]])</f>
        <v>2.4297520661157024</v>
      </c>
    </row>
    <row r="1198" spans="1:25" x14ac:dyDescent="0.3">
      <c r="A1198" s="13">
        <v>1256.43</v>
      </c>
      <c r="B1198" s="12">
        <v>24.9</v>
      </c>
      <c r="C1198" s="11">
        <v>1256.43</v>
      </c>
      <c r="D1198" s="12">
        <v>34.700000000000003</v>
      </c>
      <c r="E1198" s="11">
        <v>1256.43</v>
      </c>
      <c r="F1198" s="12">
        <v>42</v>
      </c>
      <c r="G1198" s="11">
        <v>1256.43</v>
      </c>
      <c r="H1198" s="12">
        <v>39.4</v>
      </c>
      <c r="I1198" s="11">
        <v>1256.43</v>
      </c>
      <c r="J1198" s="12">
        <v>49.4</v>
      </c>
      <c r="K1198" s="11">
        <v>1256.43</v>
      </c>
      <c r="L1198" s="12">
        <v>60.5</v>
      </c>
      <c r="M1198" s="11">
        <v>1256.43</v>
      </c>
      <c r="N1198" s="13">
        <v>24.9</v>
      </c>
      <c r="O1198" s="11">
        <v>34.700000000000003</v>
      </c>
      <c r="P1198" s="11">
        <v>42</v>
      </c>
      <c r="Q1198" s="11">
        <v>39.4</v>
      </c>
      <c r="R1198" s="11">
        <v>49.4</v>
      </c>
      <c r="S1198" s="14">
        <v>60.5</v>
      </c>
      <c r="T1198" s="11">
        <v>1256.43</v>
      </c>
      <c r="U1198" s="13" cm="1">
        <f t="array" ref="U1198">IF(Table8[[#This Row],[I_0]]&lt;Table24[Flitro de Ruido],1,Table8[[#This Row],[I_10]]/Table8[[#This Row],[I_0]])</f>
        <v>1.3935742971887553</v>
      </c>
      <c r="V1198" s="13" cm="1">
        <f t="array" ref="V1198">IF(Table8[[#This Row],[I_0]]&lt;Table24[Flitro de Ruido],1,Table8[[#This Row],[I_20]]/Table8[[#This Row],[I_0]])</f>
        <v>1.6867469879518073</v>
      </c>
      <c r="W1198" s="13" cm="1">
        <f t="array" ref="W1198">IF(Table8[[#This Row],[I_0]]&lt;Table24[Flitro de Ruido],1,Table8[[#This Row],[I_30]]/Table8[[#This Row],[I_0]])</f>
        <v>1.5823293172690764</v>
      </c>
      <c r="X1198" s="13" cm="1">
        <f t="array" ref="X1198">IF(Table8[[#This Row],[I_0]]&lt;Table24[Flitro de Ruido],1,Table8[[#This Row],[I_40]]/Table8[[#This Row],[I_0]])</f>
        <v>1.9839357429718876</v>
      </c>
      <c r="Y1198" s="13" cm="1">
        <f t="array" ref="Y1198">IF(Table8[[#This Row],[I_0]]&lt;Table24[Flitro de Ruido],1,Table8[[#This Row],[I_50]]/Table8[[#This Row],[I_0]])</f>
        <v>2.429718875502008</v>
      </c>
    </row>
    <row r="1199" spans="1:25" x14ac:dyDescent="0.3">
      <c r="A1199" s="13">
        <v>1257.42</v>
      </c>
      <c r="B1199" s="12">
        <v>25.4</v>
      </c>
      <c r="C1199" s="11">
        <v>1257.42</v>
      </c>
      <c r="D1199" s="12">
        <v>35.5</v>
      </c>
      <c r="E1199" s="11">
        <v>1257.42</v>
      </c>
      <c r="F1199" s="12">
        <v>43</v>
      </c>
      <c r="G1199" s="11">
        <v>1257.42</v>
      </c>
      <c r="H1199" s="12">
        <v>40.299999999999997</v>
      </c>
      <c r="I1199" s="11">
        <v>1257.42</v>
      </c>
      <c r="J1199" s="12">
        <v>50.6</v>
      </c>
      <c r="K1199" s="11">
        <v>1257.42</v>
      </c>
      <c r="L1199" s="12">
        <v>62</v>
      </c>
      <c r="M1199" s="11">
        <v>1257.42</v>
      </c>
      <c r="N1199" s="13">
        <v>25.4</v>
      </c>
      <c r="O1199" s="11">
        <v>35.5</v>
      </c>
      <c r="P1199" s="11">
        <v>43</v>
      </c>
      <c r="Q1199" s="11">
        <v>40.299999999999997</v>
      </c>
      <c r="R1199" s="11">
        <v>50.6</v>
      </c>
      <c r="S1199" s="14">
        <v>62</v>
      </c>
      <c r="T1199" s="11">
        <v>1257.42</v>
      </c>
      <c r="U1199" s="13" cm="1">
        <f t="array" ref="U1199">IF(Table8[[#This Row],[I_0]]&lt;Table24[Flitro de Ruido],1,Table8[[#This Row],[I_10]]/Table8[[#This Row],[I_0]])</f>
        <v>1.3976377952755907</v>
      </c>
      <c r="V1199" s="13" cm="1">
        <f t="array" ref="V1199">IF(Table8[[#This Row],[I_0]]&lt;Table24[Flitro de Ruido],1,Table8[[#This Row],[I_20]]/Table8[[#This Row],[I_0]])</f>
        <v>1.6929133858267718</v>
      </c>
      <c r="W1199" s="13" cm="1">
        <f t="array" ref="W1199">IF(Table8[[#This Row],[I_0]]&lt;Table24[Flitro de Ruido],1,Table8[[#This Row],[I_30]]/Table8[[#This Row],[I_0]])</f>
        <v>1.5866141732283465</v>
      </c>
      <c r="X1199" s="13" cm="1">
        <f t="array" ref="X1199">IF(Table8[[#This Row],[I_0]]&lt;Table24[Flitro de Ruido],1,Table8[[#This Row],[I_40]]/Table8[[#This Row],[I_0]])</f>
        <v>1.9921259842519687</v>
      </c>
      <c r="Y1199" s="13" cm="1">
        <f t="array" ref="Y1199">IF(Table8[[#This Row],[I_0]]&lt;Table24[Flitro de Ruido],1,Table8[[#This Row],[I_50]]/Table8[[#This Row],[I_0]])</f>
        <v>2.4409448818897639</v>
      </c>
    </row>
    <row r="1200" spans="1:25" x14ac:dyDescent="0.3">
      <c r="A1200" s="13">
        <v>1258.4100000000001</v>
      </c>
      <c r="B1200" s="12">
        <v>26</v>
      </c>
      <c r="C1200" s="11">
        <v>1258.4100000000001</v>
      </c>
      <c r="D1200" s="12">
        <v>36.4</v>
      </c>
      <c r="E1200" s="11">
        <v>1258.4100000000001</v>
      </c>
      <c r="F1200" s="12">
        <v>44.1</v>
      </c>
      <c r="G1200" s="11">
        <v>1258.4100000000001</v>
      </c>
      <c r="H1200" s="12">
        <v>41.3</v>
      </c>
      <c r="I1200" s="11">
        <v>1258.4100000000001</v>
      </c>
      <c r="J1200" s="12">
        <v>51.8</v>
      </c>
      <c r="K1200" s="11">
        <v>1258.4100000000001</v>
      </c>
      <c r="L1200" s="12">
        <v>63.7</v>
      </c>
      <c r="M1200" s="11">
        <v>1258.4100000000001</v>
      </c>
      <c r="N1200" s="13">
        <v>26</v>
      </c>
      <c r="O1200" s="11">
        <v>36.4</v>
      </c>
      <c r="P1200" s="11">
        <v>44.1</v>
      </c>
      <c r="Q1200" s="11">
        <v>41.3</v>
      </c>
      <c r="R1200" s="11">
        <v>51.8</v>
      </c>
      <c r="S1200" s="14">
        <v>63.7</v>
      </c>
      <c r="T1200" s="11">
        <v>1258.4100000000001</v>
      </c>
      <c r="U1200" s="13" cm="1">
        <f t="array" ref="U1200">IF(Table8[[#This Row],[I_0]]&lt;Table24[Flitro de Ruido],1,Table8[[#This Row],[I_10]]/Table8[[#This Row],[I_0]])</f>
        <v>1.4</v>
      </c>
      <c r="V1200" s="13" cm="1">
        <f t="array" ref="V1200">IF(Table8[[#This Row],[I_0]]&lt;Table24[Flitro de Ruido],1,Table8[[#This Row],[I_20]]/Table8[[#This Row],[I_0]])</f>
        <v>1.6961538461538461</v>
      </c>
      <c r="W1200" s="13" cm="1">
        <f t="array" ref="W1200">IF(Table8[[#This Row],[I_0]]&lt;Table24[Flitro de Ruido],1,Table8[[#This Row],[I_30]]/Table8[[#This Row],[I_0]])</f>
        <v>1.5884615384615384</v>
      </c>
      <c r="X1200" s="13" cm="1">
        <f t="array" ref="X1200">IF(Table8[[#This Row],[I_0]]&lt;Table24[Flitro de Ruido],1,Table8[[#This Row],[I_40]]/Table8[[#This Row],[I_0]])</f>
        <v>1.9923076923076921</v>
      </c>
      <c r="Y1200" s="13" cm="1">
        <f t="array" ref="Y1200">IF(Table8[[#This Row],[I_0]]&lt;Table24[Flitro de Ruido],1,Table8[[#This Row],[I_50]]/Table8[[#This Row],[I_0]])</f>
        <v>2.4500000000000002</v>
      </c>
    </row>
    <row r="1201" spans="1:25" x14ac:dyDescent="0.3">
      <c r="A1201" s="13">
        <v>1259.4100000000001</v>
      </c>
      <c r="B1201" s="12">
        <v>26.5</v>
      </c>
      <c r="C1201" s="11">
        <v>1259.4100000000001</v>
      </c>
      <c r="D1201" s="12">
        <v>37.1</v>
      </c>
      <c r="E1201" s="11">
        <v>1259.4100000000001</v>
      </c>
      <c r="F1201" s="12">
        <v>45.1</v>
      </c>
      <c r="G1201" s="11">
        <v>1259.4100000000001</v>
      </c>
      <c r="H1201" s="12">
        <v>42.2</v>
      </c>
      <c r="I1201" s="11">
        <v>1259.4100000000001</v>
      </c>
      <c r="J1201" s="12">
        <v>52.9</v>
      </c>
      <c r="K1201" s="11">
        <v>1259.4100000000001</v>
      </c>
      <c r="L1201" s="12">
        <v>65.2</v>
      </c>
      <c r="M1201" s="11">
        <v>1259.4100000000001</v>
      </c>
      <c r="N1201" s="13">
        <v>26.5</v>
      </c>
      <c r="O1201" s="11">
        <v>37.1</v>
      </c>
      <c r="P1201" s="11">
        <v>45.1</v>
      </c>
      <c r="Q1201" s="11">
        <v>42.2</v>
      </c>
      <c r="R1201" s="11">
        <v>52.9</v>
      </c>
      <c r="S1201" s="14">
        <v>65.2</v>
      </c>
      <c r="T1201" s="11">
        <v>1259.4100000000001</v>
      </c>
      <c r="U1201" s="13" cm="1">
        <f t="array" ref="U1201">IF(Table8[[#This Row],[I_0]]&lt;Table24[Flitro de Ruido],1,Table8[[#This Row],[I_10]]/Table8[[#This Row],[I_0]])</f>
        <v>1.4000000000000001</v>
      </c>
      <c r="V1201" s="13" cm="1">
        <f t="array" ref="V1201">IF(Table8[[#This Row],[I_0]]&lt;Table24[Flitro de Ruido],1,Table8[[#This Row],[I_20]]/Table8[[#This Row],[I_0]])</f>
        <v>1.7018867924528303</v>
      </c>
      <c r="W1201" s="13" cm="1">
        <f t="array" ref="W1201">IF(Table8[[#This Row],[I_0]]&lt;Table24[Flitro de Ruido],1,Table8[[#This Row],[I_30]]/Table8[[#This Row],[I_0]])</f>
        <v>1.5924528301886793</v>
      </c>
      <c r="X1201" s="13" cm="1">
        <f t="array" ref="X1201">IF(Table8[[#This Row],[I_0]]&lt;Table24[Flitro de Ruido],1,Table8[[#This Row],[I_40]]/Table8[[#This Row],[I_0]])</f>
        <v>1.9962264150943396</v>
      </c>
      <c r="Y1201" s="13" cm="1">
        <f t="array" ref="Y1201">IF(Table8[[#This Row],[I_0]]&lt;Table24[Flitro de Ruido],1,Table8[[#This Row],[I_50]]/Table8[[#This Row],[I_0]])</f>
        <v>2.4603773584905659</v>
      </c>
    </row>
    <row r="1202" spans="1:25" x14ac:dyDescent="0.3">
      <c r="A1202" s="13">
        <v>1260.4000000000001</v>
      </c>
      <c r="B1202" s="12">
        <v>27.1</v>
      </c>
      <c r="C1202" s="11">
        <v>1260.4000000000001</v>
      </c>
      <c r="D1202" s="12">
        <v>38</v>
      </c>
      <c r="E1202" s="11">
        <v>1260.4000000000001</v>
      </c>
      <c r="F1202" s="12">
        <v>46.2</v>
      </c>
      <c r="G1202" s="11">
        <v>1260.4000000000001</v>
      </c>
      <c r="H1202" s="12">
        <v>43.1</v>
      </c>
      <c r="I1202" s="11">
        <v>1260.4000000000001</v>
      </c>
      <c r="J1202" s="12">
        <v>54.2</v>
      </c>
      <c r="K1202" s="11">
        <v>1260.4000000000001</v>
      </c>
      <c r="L1202" s="12">
        <v>66.7</v>
      </c>
      <c r="M1202" s="11">
        <v>1260.4000000000001</v>
      </c>
      <c r="N1202" s="13">
        <v>27.1</v>
      </c>
      <c r="O1202" s="11">
        <v>38</v>
      </c>
      <c r="P1202" s="11">
        <v>46.2</v>
      </c>
      <c r="Q1202" s="11">
        <v>43.1</v>
      </c>
      <c r="R1202" s="11">
        <v>54.2</v>
      </c>
      <c r="S1202" s="14">
        <v>66.7</v>
      </c>
      <c r="T1202" s="11">
        <v>1260.4000000000001</v>
      </c>
      <c r="U1202" s="13" cm="1">
        <f t="array" ref="U1202">IF(Table8[[#This Row],[I_0]]&lt;Table24[Flitro de Ruido],1,Table8[[#This Row],[I_10]]/Table8[[#This Row],[I_0]])</f>
        <v>1.4022140221402213</v>
      </c>
      <c r="V1202" s="13" cm="1">
        <f t="array" ref="V1202">IF(Table8[[#This Row],[I_0]]&lt;Table24[Flitro de Ruido],1,Table8[[#This Row],[I_20]]/Table8[[#This Row],[I_0]])</f>
        <v>1.7047970479704797</v>
      </c>
      <c r="W1202" s="13" cm="1">
        <f t="array" ref="W1202">IF(Table8[[#This Row],[I_0]]&lt;Table24[Flitro de Ruido],1,Table8[[#This Row],[I_30]]/Table8[[#This Row],[I_0]])</f>
        <v>1.5904059040590406</v>
      </c>
      <c r="X1202" s="13" cm="1">
        <f t="array" ref="X1202">IF(Table8[[#This Row],[I_0]]&lt;Table24[Flitro de Ruido],1,Table8[[#This Row],[I_40]]/Table8[[#This Row],[I_0]])</f>
        <v>2</v>
      </c>
      <c r="Y1202" s="13" cm="1">
        <f t="array" ref="Y1202">IF(Table8[[#This Row],[I_0]]&lt;Table24[Flitro de Ruido],1,Table8[[#This Row],[I_50]]/Table8[[#This Row],[I_0]])</f>
        <v>2.4612546125461257</v>
      </c>
    </row>
    <row r="1203" spans="1:25" x14ac:dyDescent="0.3">
      <c r="A1203" s="13">
        <v>1261.3900000000001</v>
      </c>
      <c r="B1203" s="12">
        <v>27.6</v>
      </c>
      <c r="C1203" s="11">
        <v>1261.3900000000001</v>
      </c>
      <c r="D1203" s="12">
        <v>38.700000000000003</v>
      </c>
      <c r="E1203" s="11">
        <v>1261.3900000000001</v>
      </c>
      <c r="F1203" s="12">
        <v>47.1</v>
      </c>
      <c r="G1203" s="11">
        <v>1261.3900000000001</v>
      </c>
      <c r="H1203" s="12">
        <v>44</v>
      </c>
      <c r="I1203" s="11">
        <v>1261.3900000000001</v>
      </c>
      <c r="J1203" s="12">
        <v>55.2</v>
      </c>
      <c r="K1203" s="11">
        <v>1261.3900000000001</v>
      </c>
      <c r="L1203" s="12">
        <v>68.099999999999994</v>
      </c>
      <c r="M1203" s="11">
        <v>1261.3900000000001</v>
      </c>
      <c r="N1203" s="13">
        <v>27.6</v>
      </c>
      <c r="O1203" s="11">
        <v>38.700000000000003</v>
      </c>
      <c r="P1203" s="11">
        <v>47.1</v>
      </c>
      <c r="Q1203" s="11">
        <v>44</v>
      </c>
      <c r="R1203" s="11">
        <v>55.2</v>
      </c>
      <c r="S1203" s="14">
        <v>68.099999999999994</v>
      </c>
      <c r="T1203" s="11">
        <v>1261.3900000000001</v>
      </c>
      <c r="U1203" s="13" cm="1">
        <f t="array" ref="U1203">IF(Table8[[#This Row],[I_0]]&lt;Table24[Flitro de Ruido],1,Table8[[#This Row],[I_10]]/Table8[[#This Row],[I_0]])</f>
        <v>1.4021739130434783</v>
      </c>
      <c r="V1203" s="13" cm="1">
        <f t="array" ref="V1203">IF(Table8[[#This Row],[I_0]]&lt;Table24[Flitro de Ruido],1,Table8[[#This Row],[I_20]]/Table8[[#This Row],[I_0]])</f>
        <v>1.7065217391304348</v>
      </c>
      <c r="W1203" s="13" cm="1">
        <f t="array" ref="W1203">IF(Table8[[#This Row],[I_0]]&lt;Table24[Flitro de Ruido],1,Table8[[#This Row],[I_30]]/Table8[[#This Row],[I_0]])</f>
        <v>1.5942028985507246</v>
      </c>
      <c r="X1203" s="13" cm="1">
        <f t="array" ref="X1203">IF(Table8[[#This Row],[I_0]]&lt;Table24[Flitro de Ruido],1,Table8[[#This Row],[I_40]]/Table8[[#This Row],[I_0]])</f>
        <v>2</v>
      </c>
      <c r="Y1203" s="13" cm="1">
        <f t="array" ref="Y1203">IF(Table8[[#This Row],[I_0]]&lt;Table24[Flitro de Ruido],1,Table8[[#This Row],[I_50]]/Table8[[#This Row],[I_0]])</f>
        <v>2.4673913043478257</v>
      </c>
    </row>
    <row r="1204" spans="1:25" x14ac:dyDescent="0.3">
      <c r="A1204" s="13">
        <v>1262.3800000000001</v>
      </c>
      <c r="B1204" s="12">
        <v>28.2</v>
      </c>
      <c r="C1204" s="11">
        <v>1262.3800000000001</v>
      </c>
      <c r="D1204" s="12">
        <v>39.5</v>
      </c>
      <c r="E1204" s="11">
        <v>1262.3800000000001</v>
      </c>
      <c r="F1204" s="12">
        <v>48.2</v>
      </c>
      <c r="G1204" s="11">
        <v>1262.3800000000001</v>
      </c>
      <c r="H1204" s="12">
        <v>44.9</v>
      </c>
      <c r="I1204" s="11">
        <v>1262.3800000000001</v>
      </c>
      <c r="J1204" s="12">
        <v>56.4</v>
      </c>
      <c r="K1204" s="11">
        <v>1262.3800000000001</v>
      </c>
      <c r="L1204" s="12">
        <v>69.5</v>
      </c>
      <c r="M1204" s="11">
        <v>1262.3800000000001</v>
      </c>
      <c r="N1204" s="13">
        <v>28.2</v>
      </c>
      <c r="O1204" s="11">
        <v>39.5</v>
      </c>
      <c r="P1204" s="11">
        <v>48.2</v>
      </c>
      <c r="Q1204" s="11">
        <v>44.9</v>
      </c>
      <c r="R1204" s="11">
        <v>56.4</v>
      </c>
      <c r="S1204" s="14">
        <v>69.5</v>
      </c>
      <c r="T1204" s="11">
        <v>1262.3800000000001</v>
      </c>
      <c r="U1204" s="13" cm="1">
        <f t="array" ref="U1204">IF(Table8[[#This Row],[I_0]]&lt;Table24[Flitro de Ruido],1,Table8[[#This Row],[I_10]]/Table8[[#This Row],[I_0]])</f>
        <v>1.4007092198581561</v>
      </c>
      <c r="V1204" s="13" cm="1">
        <f t="array" ref="V1204">IF(Table8[[#This Row],[I_0]]&lt;Table24[Flitro de Ruido],1,Table8[[#This Row],[I_20]]/Table8[[#This Row],[I_0]])</f>
        <v>1.7092198581560285</v>
      </c>
      <c r="W1204" s="13" cm="1">
        <f t="array" ref="W1204">IF(Table8[[#This Row],[I_0]]&lt;Table24[Flitro de Ruido],1,Table8[[#This Row],[I_30]]/Table8[[#This Row],[I_0]])</f>
        <v>1.5921985815602837</v>
      </c>
      <c r="X1204" s="13" cm="1">
        <f t="array" ref="X1204">IF(Table8[[#This Row],[I_0]]&lt;Table24[Flitro de Ruido],1,Table8[[#This Row],[I_40]]/Table8[[#This Row],[I_0]])</f>
        <v>2</v>
      </c>
      <c r="Y1204" s="13" cm="1">
        <f t="array" ref="Y1204">IF(Table8[[#This Row],[I_0]]&lt;Table24[Flitro de Ruido],1,Table8[[#This Row],[I_50]]/Table8[[#This Row],[I_0]])</f>
        <v>2.4645390070921986</v>
      </c>
    </row>
    <row r="1205" spans="1:25" x14ac:dyDescent="0.3">
      <c r="A1205" s="13">
        <v>1263.3699999999999</v>
      </c>
      <c r="B1205" s="12">
        <v>28.7</v>
      </c>
      <c r="C1205" s="11">
        <v>1263.3699999999999</v>
      </c>
      <c r="D1205" s="12">
        <v>40.1</v>
      </c>
      <c r="E1205" s="11">
        <v>1263.3699999999999</v>
      </c>
      <c r="F1205" s="12">
        <v>49</v>
      </c>
      <c r="G1205" s="11">
        <v>1263.3699999999999</v>
      </c>
      <c r="H1205" s="12">
        <v>45.7</v>
      </c>
      <c r="I1205" s="11">
        <v>1263.3699999999999</v>
      </c>
      <c r="J1205" s="12">
        <v>57.4</v>
      </c>
      <c r="K1205" s="11">
        <v>1263.3699999999999</v>
      </c>
      <c r="L1205" s="12">
        <v>70.8</v>
      </c>
      <c r="M1205" s="11">
        <v>1263.3699999999999</v>
      </c>
      <c r="N1205" s="13">
        <v>28.7</v>
      </c>
      <c r="O1205" s="11">
        <v>40.1</v>
      </c>
      <c r="P1205" s="11">
        <v>49</v>
      </c>
      <c r="Q1205" s="11">
        <v>45.7</v>
      </c>
      <c r="R1205" s="11">
        <v>57.4</v>
      </c>
      <c r="S1205" s="14">
        <v>70.8</v>
      </c>
      <c r="T1205" s="11">
        <v>1263.3699999999999</v>
      </c>
      <c r="U1205" s="13" cm="1">
        <f t="array" ref="U1205">IF(Table8[[#This Row],[I_0]]&lt;Table24[Flitro de Ruido],1,Table8[[#This Row],[I_10]]/Table8[[#This Row],[I_0]])</f>
        <v>1.397212543554007</v>
      </c>
      <c r="V1205" s="13" cm="1">
        <f t="array" ref="V1205">IF(Table8[[#This Row],[I_0]]&lt;Table24[Flitro de Ruido],1,Table8[[#This Row],[I_20]]/Table8[[#This Row],[I_0]])</f>
        <v>1.7073170731707317</v>
      </c>
      <c r="W1205" s="13" cm="1">
        <f t="array" ref="W1205">IF(Table8[[#This Row],[I_0]]&lt;Table24[Flitro de Ruido],1,Table8[[#This Row],[I_30]]/Table8[[#This Row],[I_0]])</f>
        <v>1.5923344947735194</v>
      </c>
      <c r="X1205" s="13" cm="1">
        <f t="array" ref="X1205">IF(Table8[[#This Row],[I_0]]&lt;Table24[Flitro de Ruido],1,Table8[[#This Row],[I_40]]/Table8[[#This Row],[I_0]])</f>
        <v>2</v>
      </c>
      <c r="Y1205" s="13" cm="1">
        <f t="array" ref="Y1205">IF(Table8[[#This Row],[I_0]]&lt;Table24[Flitro de Ruido],1,Table8[[#This Row],[I_50]]/Table8[[#This Row],[I_0]])</f>
        <v>2.4668989547038329</v>
      </c>
    </row>
    <row r="1206" spans="1:25" x14ac:dyDescent="0.3">
      <c r="A1206" s="13">
        <v>1264.3599999999999</v>
      </c>
      <c r="B1206" s="12">
        <v>29.2</v>
      </c>
      <c r="C1206" s="11">
        <v>1264.3599999999999</v>
      </c>
      <c r="D1206" s="12">
        <v>40.799999999999997</v>
      </c>
      <c r="E1206" s="11">
        <v>1264.3599999999999</v>
      </c>
      <c r="F1206" s="12">
        <v>49.9</v>
      </c>
      <c r="G1206" s="11">
        <v>1264.3599999999999</v>
      </c>
      <c r="H1206" s="12">
        <v>46.6</v>
      </c>
      <c r="I1206" s="11">
        <v>1264.3599999999999</v>
      </c>
      <c r="J1206" s="12">
        <v>58.4</v>
      </c>
      <c r="K1206" s="11">
        <v>1264.3599999999999</v>
      </c>
      <c r="L1206" s="12">
        <v>72.099999999999994</v>
      </c>
      <c r="M1206" s="11">
        <v>1264.3599999999999</v>
      </c>
      <c r="N1206" s="13">
        <v>29.2</v>
      </c>
      <c r="O1206" s="11">
        <v>40.799999999999997</v>
      </c>
      <c r="P1206" s="11">
        <v>49.9</v>
      </c>
      <c r="Q1206" s="11">
        <v>46.6</v>
      </c>
      <c r="R1206" s="11">
        <v>58.4</v>
      </c>
      <c r="S1206" s="14">
        <v>72.099999999999994</v>
      </c>
      <c r="T1206" s="11">
        <v>1264.3599999999999</v>
      </c>
      <c r="U1206" s="13" cm="1">
        <f t="array" ref="U1206">IF(Table8[[#This Row],[I_0]]&lt;Table24[Flitro de Ruido],1,Table8[[#This Row],[I_10]]/Table8[[#This Row],[I_0]])</f>
        <v>1.3972602739726028</v>
      </c>
      <c r="V1206" s="13" cm="1">
        <f t="array" ref="V1206">IF(Table8[[#This Row],[I_0]]&lt;Table24[Flitro de Ruido],1,Table8[[#This Row],[I_20]]/Table8[[#This Row],[I_0]])</f>
        <v>1.7089041095890412</v>
      </c>
      <c r="W1206" s="13" cm="1">
        <f t="array" ref="W1206">IF(Table8[[#This Row],[I_0]]&lt;Table24[Flitro de Ruido],1,Table8[[#This Row],[I_30]]/Table8[[#This Row],[I_0]])</f>
        <v>1.5958904109589043</v>
      </c>
      <c r="X1206" s="13" cm="1">
        <f t="array" ref="X1206">IF(Table8[[#This Row],[I_0]]&lt;Table24[Flitro de Ruido],1,Table8[[#This Row],[I_40]]/Table8[[#This Row],[I_0]])</f>
        <v>2</v>
      </c>
      <c r="Y1206" s="13" cm="1">
        <f t="array" ref="Y1206">IF(Table8[[#This Row],[I_0]]&lt;Table24[Flitro de Ruido],1,Table8[[#This Row],[I_50]]/Table8[[#This Row],[I_0]])</f>
        <v>2.4691780821917808</v>
      </c>
    </row>
    <row r="1207" spans="1:25" x14ac:dyDescent="0.3">
      <c r="A1207" s="13">
        <v>1265.3599999999999</v>
      </c>
      <c r="B1207" s="12">
        <v>29.6</v>
      </c>
      <c r="C1207" s="11">
        <v>1265.3599999999999</v>
      </c>
      <c r="D1207" s="12">
        <v>41.4</v>
      </c>
      <c r="E1207" s="11">
        <v>1265.3599999999999</v>
      </c>
      <c r="F1207" s="12">
        <v>50.6</v>
      </c>
      <c r="G1207" s="11">
        <v>1265.3599999999999</v>
      </c>
      <c r="H1207" s="12">
        <v>47.3</v>
      </c>
      <c r="I1207" s="11">
        <v>1265.3599999999999</v>
      </c>
      <c r="J1207" s="12">
        <v>59.4</v>
      </c>
      <c r="K1207" s="11">
        <v>1265.3599999999999</v>
      </c>
      <c r="L1207" s="12">
        <v>73.3</v>
      </c>
      <c r="M1207" s="11">
        <v>1265.3599999999999</v>
      </c>
      <c r="N1207" s="13">
        <v>29.6</v>
      </c>
      <c r="O1207" s="11">
        <v>41.4</v>
      </c>
      <c r="P1207" s="11">
        <v>50.6</v>
      </c>
      <c r="Q1207" s="11">
        <v>47.3</v>
      </c>
      <c r="R1207" s="11">
        <v>59.4</v>
      </c>
      <c r="S1207" s="14">
        <v>73.3</v>
      </c>
      <c r="T1207" s="11">
        <v>1265.3599999999999</v>
      </c>
      <c r="U1207" s="13" cm="1">
        <f t="array" ref="U1207">IF(Table8[[#This Row],[I_0]]&lt;Table24[Flitro de Ruido],1,Table8[[#This Row],[I_10]]/Table8[[#This Row],[I_0]])</f>
        <v>1.3986486486486485</v>
      </c>
      <c r="V1207" s="13" cm="1">
        <f t="array" ref="V1207">IF(Table8[[#This Row],[I_0]]&lt;Table24[Flitro de Ruido],1,Table8[[#This Row],[I_20]]/Table8[[#This Row],[I_0]])</f>
        <v>1.7094594594594594</v>
      </c>
      <c r="W1207" s="13" cm="1">
        <f t="array" ref="W1207">IF(Table8[[#This Row],[I_0]]&lt;Table24[Flitro de Ruido],1,Table8[[#This Row],[I_30]]/Table8[[#This Row],[I_0]])</f>
        <v>1.5979729729729728</v>
      </c>
      <c r="X1207" s="13" cm="1">
        <f t="array" ref="X1207">IF(Table8[[#This Row],[I_0]]&lt;Table24[Flitro de Ruido],1,Table8[[#This Row],[I_40]]/Table8[[#This Row],[I_0]])</f>
        <v>2.0067567567567566</v>
      </c>
      <c r="Y1207" s="13" cm="1">
        <f t="array" ref="Y1207">IF(Table8[[#This Row],[I_0]]&lt;Table24[Flitro de Ruido],1,Table8[[#This Row],[I_50]]/Table8[[#This Row],[I_0]])</f>
        <v>2.4763513513513513</v>
      </c>
    </row>
    <row r="1208" spans="1:25" x14ac:dyDescent="0.3">
      <c r="A1208" s="13">
        <v>1266.3499999999999</v>
      </c>
      <c r="B1208" s="12">
        <v>30.1</v>
      </c>
      <c r="C1208" s="11">
        <v>1266.3499999999999</v>
      </c>
      <c r="D1208" s="12">
        <v>42.1</v>
      </c>
      <c r="E1208" s="11">
        <v>1266.3499999999999</v>
      </c>
      <c r="F1208" s="12">
        <v>51.5</v>
      </c>
      <c r="G1208" s="11">
        <v>1266.3499999999999</v>
      </c>
      <c r="H1208" s="12">
        <v>48.1</v>
      </c>
      <c r="I1208" s="11">
        <v>1266.3499999999999</v>
      </c>
      <c r="J1208" s="12">
        <v>60.5</v>
      </c>
      <c r="K1208" s="11">
        <v>1266.3499999999999</v>
      </c>
      <c r="L1208" s="12">
        <v>74.7</v>
      </c>
      <c r="M1208" s="11">
        <v>1266.3499999999999</v>
      </c>
      <c r="N1208" s="13">
        <v>30.1</v>
      </c>
      <c r="O1208" s="11">
        <v>42.1</v>
      </c>
      <c r="P1208" s="11">
        <v>51.5</v>
      </c>
      <c r="Q1208" s="11">
        <v>48.1</v>
      </c>
      <c r="R1208" s="11">
        <v>60.5</v>
      </c>
      <c r="S1208" s="14">
        <v>74.7</v>
      </c>
      <c r="T1208" s="11">
        <v>1266.3499999999999</v>
      </c>
      <c r="U1208" s="13" cm="1">
        <f t="array" ref="U1208">IF(Table8[[#This Row],[I_0]]&lt;Table24[Flitro de Ruido],1,Table8[[#This Row],[I_10]]/Table8[[#This Row],[I_0]])</f>
        <v>1.3986710963455149</v>
      </c>
      <c r="V1208" s="13" cm="1">
        <f t="array" ref="V1208">IF(Table8[[#This Row],[I_0]]&lt;Table24[Flitro de Ruido],1,Table8[[#This Row],[I_20]]/Table8[[#This Row],[I_0]])</f>
        <v>1.7109634551495017</v>
      </c>
      <c r="W1208" s="13" cm="1">
        <f t="array" ref="W1208">IF(Table8[[#This Row],[I_0]]&lt;Table24[Flitro de Ruido],1,Table8[[#This Row],[I_30]]/Table8[[#This Row],[I_0]])</f>
        <v>1.5980066445182723</v>
      </c>
      <c r="X1208" s="13" cm="1">
        <f t="array" ref="X1208">IF(Table8[[#This Row],[I_0]]&lt;Table24[Flitro de Ruido],1,Table8[[#This Row],[I_40]]/Table8[[#This Row],[I_0]])</f>
        <v>2.0099667774086378</v>
      </c>
      <c r="Y1208" s="13" cm="1">
        <f t="array" ref="Y1208">IF(Table8[[#This Row],[I_0]]&lt;Table24[Flitro de Ruido],1,Table8[[#This Row],[I_50]]/Table8[[#This Row],[I_0]])</f>
        <v>2.4817275747508307</v>
      </c>
    </row>
    <row r="1209" spans="1:25" x14ac:dyDescent="0.3">
      <c r="A1209" s="13">
        <v>1267.3399999999999</v>
      </c>
      <c r="B1209" s="12">
        <v>30.6</v>
      </c>
      <c r="C1209" s="11">
        <v>1267.3399999999999</v>
      </c>
      <c r="D1209" s="12">
        <v>42.6</v>
      </c>
      <c r="E1209" s="11">
        <v>1267.3399999999999</v>
      </c>
      <c r="F1209" s="12">
        <v>52.2</v>
      </c>
      <c r="G1209" s="11">
        <v>1267.3399999999999</v>
      </c>
      <c r="H1209" s="12">
        <v>48.8</v>
      </c>
      <c r="I1209" s="11">
        <v>1267.3399999999999</v>
      </c>
      <c r="J1209" s="12">
        <v>61.5</v>
      </c>
      <c r="K1209" s="11">
        <v>1267.3399999999999</v>
      </c>
      <c r="L1209" s="12">
        <v>76</v>
      </c>
      <c r="M1209" s="11">
        <v>1267.3399999999999</v>
      </c>
      <c r="N1209" s="13">
        <v>30.6</v>
      </c>
      <c r="O1209" s="11">
        <v>42.6</v>
      </c>
      <c r="P1209" s="11">
        <v>52.2</v>
      </c>
      <c r="Q1209" s="11">
        <v>48.8</v>
      </c>
      <c r="R1209" s="11">
        <v>61.5</v>
      </c>
      <c r="S1209" s="14">
        <v>76</v>
      </c>
      <c r="T1209" s="11">
        <v>1267.3399999999999</v>
      </c>
      <c r="U1209" s="13" cm="1">
        <f t="array" ref="U1209">IF(Table8[[#This Row],[I_0]]&lt;Table24[Flitro de Ruido],1,Table8[[#This Row],[I_10]]/Table8[[#This Row],[I_0]])</f>
        <v>1.392156862745098</v>
      </c>
      <c r="V1209" s="13" cm="1">
        <f t="array" ref="V1209">IF(Table8[[#This Row],[I_0]]&lt;Table24[Flitro de Ruido],1,Table8[[#This Row],[I_20]]/Table8[[#This Row],[I_0]])</f>
        <v>1.7058823529411764</v>
      </c>
      <c r="W1209" s="13" cm="1">
        <f t="array" ref="W1209">IF(Table8[[#This Row],[I_0]]&lt;Table24[Flitro de Ruido],1,Table8[[#This Row],[I_30]]/Table8[[#This Row],[I_0]])</f>
        <v>1.5947712418300652</v>
      </c>
      <c r="X1209" s="13" cm="1">
        <f t="array" ref="X1209">IF(Table8[[#This Row],[I_0]]&lt;Table24[Flitro de Ruido],1,Table8[[#This Row],[I_40]]/Table8[[#This Row],[I_0]])</f>
        <v>2.0098039215686274</v>
      </c>
      <c r="Y1209" s="13" cm="1">
        <f t="array" ref="Y1209">IF(Table8[[#This Row],[I_0]]&lt;Table24[Flitro de Ruido],1,Table8[[#This Row],[I_50]]/Table8[[#This Row],[I_0]])</f>
        <v>2.4836601307189543</v>
      </c>
    </row>
    <row r="1210" spans="1:25" x14ac:dyDescent="0.3">
      <c r="A1210" s="13">
        <v>1268.33</v>
      </c>
      <c r="B1210" s="12">
        <v>31.1</v>
      </c>
      <c r="C1210" s="11">
        <v>1268.33</v>
      </c>
      <c r="D1210" s="12">
        <v>43.3</v>
      </c>
      <c r="E1210" s="11">
        <v>1268.33</v>
      </c>
      <c r="F1210" s="12">
        <v>53</v>
      </c>
      <c r="G1210" s="11">
        <v>1268.33</v>
      </c>
      <c r="H1210" s="12">
        <v>49.6</v>
      </c>
      <c r="I1210" s="11">
        <v>1268.33</v>
      </c>
      <c r="J1210" s="12">
        <v>62.6</v>
      </c>
      <c r="K1210" s="11">
        <v>1268.33</v>
      </c>
      <c r="L1210" s="12">
        <v>77.400000000000006</v>
      </c>
      <c r="M1210" s="11">
        <v>1268.33</v>
      </c>
      <c r="N1210" s="13">
        <v>31.1</v>
      </c>
      <c r="O1210" s="11">
        <v>43.3</v>
      </c>
      <c r="P1210" s="11">
        <v>53</v>
      </c>
      <c r="Q1210" s="11">
        <v>49.6</v>
      </c>
      <c r="R1210" s="11">
        <v>62.6</v>
      </c>
      <c r="S1210" s="14">
        <v>77.400000000000006</v>
      </c>
      <c r="T1210" s="11">
        <v>1268.33</v>
      </c>
      <c r="U1210" s="13" cm="1">
        <f t="array" ref="U1210">IF(Table8[[#This Row],[I_0]]&lt;Table24[Flitro de Ruido],1,Table8[[#This Row],[I_10]]/Table8[[#This Row],[I_0]])</f>
        <v>1.3922829581993568</v>
      </c>
      <c r="V1210" s="13" cm="1">
        <f t="array" ref="V1210">IF(Table8[[#This Row],[I_0]]&lt;Table24[Flitro de Ruido],1,Table8[[#This Row],[I_20]]/Table8[[#This Row],[I_0]])</f>
        <v>1.7041800643086815</v>
      </c>
      <c r="W1210" s="13" cm="1">
        <f t="array" ref="W1210">IF(Table8[[#This Row],[I_0]]&lt;Table24[Flitro de Ruido],1,Table8[[#This Row],[I_30]]/Table8[[#This Row],[I_0]])</f>
        <v>1.594855305466238</v>
      </c>
      <c r="X1210" s="13" cm="1">
        <f t="array" ref="X1210">IF(Table8[[#This Row],[I_0]]&lt;Table24[Flitro de Ruido],1,Table8[[#This Row],[I_40]]/Table8[[#This Row],[I_0]])</f>
        <v>2.012861736334405</v>
      </c>
      <c r="Y1210" s="13" cm="1">
        <f t="array" ref="Y1210">IF(Table8[[#This Row],[I_0]]&lt;Table24[Flitro de Ruido],1,Table8[[#This Row],[I_50]]/Table8[[#This Row],[I_0]])</f>
        <v>2.4887459807073955</v>
      </c>
    </row>
    <row r="1211" spans="1:25" x14ac:dyDescent="0.3">
      <c r="A1211" s="13">
        <v>1269.32</v>
      </c>
      <c r="B1211" s="12">
        <v>31.4</v>
      </c>
      <c r="C1211" s="11">
        <v>1269.32</v>
      </c>
      <c r="D1211" s="12">
        <v>43.9</v>
      </c>
      <c r="E1211" s="11">
        <v>1269.32</v>
      </c>
      <c r="F1211" s="12">
        <v>53.8</v>
      </c>
      <c r="G1211" s="11">
        <v>1269.32</v>
      </c>
      <c r="H1211" s="12">
        <v>50.3</v>
      </c>
      <c r="I1211" s="11">
        <v>1269.32</v>
      </c>
      <c r="J1211" s="12">
        <v>63.7</v>
      </c>
      <c r="K1211" s="11">
        <v>1269.32</v>
      </c>
      <c r="L1211" s="12">
        <v>78.599999999999994</v>
      </c>
      <c r="M1211" s="11">
        <v>1269.32</v>
      </c>
      <c r="N1211" s="13">
        <v>31.4</v>
      </c>
      <c r="O1211" s="11">
        <v>43.9</v>
      </c>
      <c r="P1211" s="11">
        <v>53.8</v>
      </c>
      <c r="Q1211" s="11">
        <v>50.3</v>
      </c>
      <c r="R1211" s="11">
        <v>63.7</v>
      </c>
      <c r="S1211" s="14">
        <v>78.599999999999994</v>
      </c>
      <c r="T1211" s="11">
        <v>1269.32</v>
      </c>
      <c r="U1211" s="13" cm="1">
        <f t="array" ref="U1211">IF(Table8[[#This Row],[I_0]]&lt;Table24[Flitro de Ruido],1,Table8[[#This Row],[I_10]]/Table8[[#This Row],[I_0]])</f>
        <v>1.3980891719745223</v>
      </c>
      <c r="V1211" s="13" cm="1">
        <f t="array" ref="V1211">IF(Table8[[#This Row],[I_0]]&lt;Table24[Flitro de Ruido],1,Table8[[#This Row],[I_20]]/Table8[[#This Row],[I_0]])</f>
        <v>1.713375796178344</v>
      </c>
      <c r="W1211" s="13" cm="1">
        <f t="array" ref="W1211">IF(Table8[[#This Row],[I_0]]&lt;Table24[Flitro de Ruido],1,Table8[[#This Row],[I_30]]/Table8[[#This Row],[I_0]])</f>
        <v>1.6019108280254777</v>
      </c>
      <c r="X1211" s="13" cm="1">
        <f t="array" ref="X1211">IF(Table8[[#This Row],[I_0]]&lt;Table24[Flitro de Ruido],1,Table8[[#This Row],[I_40]]/Table8[[#This Row],[I_0]])</f>
        <v>2.0286624203821657</v>
      </c>
      <c r="Y1211" s="13" cm="1">
        <f t="array" ref="Y1211">IF(Table8[[#This Row],[I_0]]&lt;Table24[Flitro de Ruido],1,Table8[[#This Row],[I_50]]/Table8[[#This Row],[I_0]])</f>
        <v>2.5031847133757963</v>
      </c>
    </row>
    <row r="1212" spans="1:25" x14ac:dyDescent="0.3">
      <c r="A1212" s="13">
        <v>1270.32</v>
      </c>
      <c r="B1212" s="12">
        <v>31.9</v>
      </c>
      <c r="C1212" s="11">
        <v>1270.32</v>
      </c>
      <c r="D1212" s="12">
        <v>44.5</v>
      </c>
      <c r="E1212" s="11">
        <v>1270.32</v>
      </c>
      <c r="F1212" s="12">
        <v>54.5</v>
      </c>
      <c r="G1212" s="11">
        <v>1270.32</v>
      </c>
      <c r="H1212" s="12">
        <v>51.1</v>
      </c>
      <c r="I1212" s="11">
        <v>1270.32</v>
      </c>
      <c r="J1212" s="12">
        <v>64.8</v>
      </c>
      <c r="K1212" s="11">
        <v>1270.32</v>
      </c>
      <c r="L1212" s="12">
        <v>79.8</v>
      </c>
      <c r="M1212" s="11">
        <v>1270.32</v>
      </c>
      <c r="N1212" s="13">
        <v>31.9</v>
      </c>
      <c r="O1212" s="11">
        <v>44.5</v>
      </c>
      <c r="P1212" s="11">
        <v>54.5</v>
      </c>
      <c r="Q1212" s="11">
        <v>51.1</v>
      </c>
      <c r="R1212" s="11">
        <v>64.8</v>
      </c>
      <c r="S1212" s="14">
        <v>79.8</v>
      </c>
      <c r="T1212" s="11">
        <v>1270.32</v>
      </c>
      <c r="U1212" s="13" cm="1">
        <f t="array" ref="U1212">IF(Table8[[#This Row],[I_0]]&lt;Table24[Flitro de Ruido],1,Table8[[#This Row],[I_10]]/Table8[[#This Row],[I_0]])</f>
        <v>1.3949843260188088</v>
      </c>
      <c r="V1212" s="13" cm="1">
        <f t="array" ref="V1212">IF(Table8[[#This Row],[I_0]]&lt;Table24[Flitro de Ruido],1,Table8[[#This Row],[I_20]]/Table8[[#This Row],[I_0]])</f>
        <v>1.7084639498432603</v>
      </c>
      <c r="W1212" s="13" cm="1">
        <f t="array" ref="W1212">IF(Table8[[#This Row],[I_0]]&lt;Table24[Flitro de Ruido],1,Table8[[#This Row],[I_30]]/Table8[[#This Row],[I_0]])</f>
        <v>1.6018808777429467</v>
      </c>
      <c r="X1212" s="13" cm="1">
        <f t="array" ref="X1212">IF(Table8[[#This Row],[I_0]]&lt;Table24[Flitro de Ruido],1,Table8[[#This Row],[I_40]]/Table8[[#This Row],[I_0]])</f>
        <v>2.0313479623824451</v>
      </c>
      <c r="Y1212" s="13" cm="1">
        <f t="array" ref="Y1212">IF(Table8[[#This Row],[I_0]]&lt;Table24[Flitro de Ruido],1,Table8[[#This Row],[I_50]]/Table8[[#This Row],[I_0]])</f>
        <v>2.5015673981191222</v>
      </c>
    </row>
    <row r="1213" spans="1:25" x14ac:dyDescent="0.3">
      <c r="A1213" s="13">
        <v>1271.31</v>
      </c>
      <c r="B1213" s="12">
        <v>32.200000000000003</v>
      </c>
      <c r="C1213" s="11">
        <v>1271.31</v>
      </c>
      <c r="D1213" s="12">
        <v>45</v>
      </c>
      <c r="E1213" s="11">
        <v>1271.31</v>
      </c>
      <c r="F1213" s="12">
        <v>55.2</v>
      </c>
      <c r="G1213" s="11">
        <v>1271.31</v>
      </c>
      <c r="H1213" s="12">
        <v>51.7</v>
      </c>
      <c r="I1213" s="11">
        <v>1271.31</v>
      </c>
      <c r="J1213" s="12">
        <v>65.7</v>
      </c>
      <c r="K1213" s="11">
        <v>1271.31</v>
      </c>
      <c r="L1213" s="12">
        <v>80.900000000000006</v>
      </c>
      <c r="M1213" s="11">
        <v>1271.31</v>
      </c>
      <c r="N1213" s="13">
        <v>32.200000000000003</v>
      </c>
      <c r="O1213" s="11">
        <v>45</v>
      </c>
      <c r="P1213" s="11">
        <v>55.2</v>
      </c>
      <c r="Q1213" s="11">
        <v>51.7</v>
      </c>
      <c r="R1213" s="11">
        <v>65.7</v>
      </c>
      <c r="S1213" s="14">
        <v>80.900000000000006</v>
      </c>
      <c r="T1213" s="11">
        <v>1271.31</v>
      </c>
      <c r="U1213" s="13" cm="1">
        <f t="array" ref="U1213">IF(Table8[[#This Row],[I_0]]&lt;Table24[Flitro de Ruido],1,Table8[[#This Row],[I_10]]/Table8[[#This Row],[I_0]])</f>
        <v>1.3975155279503104</v>
      </c>
      <c r="V1213" s="13" cm="1">
        <f t="array" ref="V1213">IF(Table8[[#This Row],[I_0]]&lt;Table24[Flitro de Ruido],1,Table8[[#This Row],[I_20]]/Table8[[#This Row],[I_0]])</f>
        <v>1.7142857142857142</v>
      </c>
      <c r="W1213" s="13" cm="1">
        <f t="array" ref="W1213">IF(Table8[[#This Row],[I_0]]&lt;Table24[Flitro de Ruido],1,Table8[[#This Row],[I_30]]/Table8[[#This Row],[I_0]])</f>
        <v>1.6055900621118011</v>
      </c>
      <c r="X1213" s="13" cm="1">
        <f t="array" ref="X1213">IF(Table8[[#This Row],[I_0]]&lt;Table24[Flitro de Ruido],1,Table8[[#This Row],[I_40]]/Table8[[#This Row],[I_0]])</f>
        <v>2.0403726708074532</v>
      </c>
      <c r="Y1213" s="13" cm="1">
        <f t="array" ref="Y1213">IF(Table8[[#This Row],[I_0]]&lt;Table24[Flitro de Ruido],1,Table8[[#This Row],[I_50]]/Table8[[#This Row],[I_0]])</f>
        <v>2.512422360248447</v>
      </c>
    </row>
    <row r="1214" spans="1:25" x14ac:dyDescent="0.3">
      <c r="A1214" s="13">
        <v>1272.3</v>
      </c>
      <c r="B1214" s="12">
        <v>32.6</v>
      </c>
      <c r="C1214" s="11">
        <v>1272.3</v>
      </c>
      <c r="D1214" s="12">
        <v>45.6</v>
      </c>
      <c r="E1214" s="11">
        <v>1272.3</v>
      </c>
      <c r="F1214" s="12">
        <v>55.8</v>
      </c>
      <c r="G1214" s="11">
        <v>1272.3</v>
      </c>
      <c r="H1214" s="12">
        <v>52.4</v>
      </c>
      <c r="I1214" s="11">
        <v>1272.3</v>
      </c>
      <c r="J1214" s="12">
        <v>66.5</v>
      </c>
      <c r="K1214" s="11">
        <v>1272.3</v>
      </c>
      <c r="L1214" s="12">
        <v>81.900000000000006</v>
      </c>
      <c r="M1214" s="11">
        <v>1272.3</v>
      </c>
      <c r="N1214" s="13">
        <v>32.6</v>
      </c>
      <c r="O1214" s="11">
        <v>45.6</v>
      </c>
      <c r="P1214" s="11">
        <v>55.8</v>
      </c>
      <c r="Q1214" s="11">
        <v>52.4</v>
      </c>
      <c r="R1214" s="11">
        <v>66.5</v>
      </c>
      <c r="S1214" s="14">
        <v>81.900000000000006</v>
      </c>
      <c r="T1214" s="11">
        <v>1272.3</v>
      </c>
      <c r="U1214" s="13" cm="1">
        <f t="array" ref="U1214">IF(Table8[[#This Row],[I_0]]&lt;Table24[Flitro de Ruido],1,Table8[[#This Row],[I_10]]/Table8[[#This Row],[I_0]])</f>
        <v>1.3987730061349692</v>
      </c>
      <c r="V1214" s="13" cm="1">
        <f t="array" ref="V1214">IF(Table8[[#This Row],[I_0]]&lt;Table24[Flitro de Ruido],1,Table8[[#This Row],[I_20]]/Table8[[#This Row],[I_0]])</f>
        <v>1.7116564417177913</v>
      </c>
      <c r="W1214" s="13" cm="1">
        <f t="array" ref="W1214">IF(Table8[[#This Row],[I_0]]&lt;Table24[Flitro de Ruido],1,Table8[[#This Row],[I_30]]/Table8[[#This Row],[I_0]])</f>
        <v>1.6073619631901839</v>
      </c>
      <c r="X1214" s="13" cm="1">
        <f t="array" ref="X1214">IF(Table8[[#This Row],[I_0]]&lt;Table24[Flitro de Ruido],1,Table8[[#This Row],[I_40]]/Table8[[#This Row],[I_0]])</f>
        <v>2.0398773006134969</v>
      </c>
      <c r="Y1214" s="13" cm="1">
        <f t="array" ref="Y1214">IF(Table8[[#This Row],[I_0]]&lt;Table24[Flitro de Ruido],1,Table8[[#This Row],[I_50]]/Table8[[#This Row],[I_0]])</f>
        <v>2.5122699386503067</v>
      </c>
    </row>
    <row r="1215" spans="1:25" x14ac:dyDescent="0.3">
      <c r="A1215" s="13">
        <v>1273.29</v>
      </c>
      <c r="B1215" s="12">
        <v>33</v>
      </c>
      <c r="C1215" s="11">
        <v>1273.29</v>
      </c>
      <c r="D1215" s="12">
        <v>46.1</v>
      </c>
      <c r="E1215" s="11">
        <v>1273.29</v>
      </c>
      <c r="F1215" s="12">
        <v>56.4</v>
      </c>
      <c r="G1215" s="11">
        <v>1273.29</v>
      </c>
      <c r="H1215" s="12">
        <v>52.9</v>
      </c>
      <c r="I1215" s="11">
        <v>1273.29</v>
      </c>
      <c r="J1215" s="12">
        <v>67.3</v>
      </c>
      <c r="K1215" s="11">
        <v>1273.29</v>
      </c>
      <c r="L1215" s="12">
        <v>82.9</v>
      </c>
      <c r="M1215" s="11">
        <v>1273.29</v>
      </c>
      <c r="N1215" s="13">
        <v>33</v>
      </c>
      <c r="O1215" s="11">
        <v>46.1</v>
      </c>
      <c r="P1215" s="11">
        <v>56.4</v>
      </c>
      <c r="Q1215" s="11">
        <v>52.9</v>
      </c>
      <c r="R1215" s="11">
        <v>67.3</v>
      </c>
      <c r="S1215" s="14">
        <v>82.9</v>
      </c>
      <c r="T1215" s="11">
        <v>1273.29</v>
      </c>
      <c r="U1215" s="13" cm="1">
        <f t="array" ref="U1215">IF(Table8[[#This Row],[I_0]]&lt;Table24[Flitro de Ruido],1,Table8[[#This Row],[I_10]]/Table8[[#This Row],[I_0]])</f>
        <v>1.396969696969697</v>
      </c>
      <c r="V1215" s="13" cm="1">
        <f t="array" ref="V1215">IF(Table8[[#This Row],[I_0]]&lt;Table24[Flitro de Ruido],1,Table8[[#This Row],[I_20]]/Table8[[#This Row],[I_0]])</f>
        <v>1.709090909090909</v>
      </c>
      <c r="W1215" s="13" cm="1">
        <f t="array" ref="W1215">IF(Table8[[#This Row],[I_0]]&lt;Table24[Flitro de Ruido],1,Table8[[#This Row],[I_30]]/Table8[[#This Row],[I_0]])</f>
        <v>1.603030303030303</v>
      </c>
      <c r="X1215" s="13" cm="1">
        <f t="array" ref="X1215">IF(Table8[[#This Row],[I_0]]&lt;Table24[Flitro de Ruido],1,Table8[[#This Row],[I_40]]/Table8[[#This Row],[I_0]])</f>
        <v>2.0393939393939391</v>
      </c>
      <c r="Y1215" s="13" cm="1">
        <f t="array" ref="Y1215">IF(Table8[[#This Row],[I_0]]&lt;Table24[Flitro de Ruido],1,Table8[[#This Row],[I_50]]/Table8[[#This Row],[I_0]])</f>
        <v>2.5121212121212122</v>
      </c>
    </row>
    <row r="1216" spans="1:25" x14ac:dyDescent="0.3">
      <c r="A1216" s="13">
        <v>1274.28</v>
      </c>
      <c r="B1216" s="12">
        <v>33.4</v>
      </c>
      <c r="C1216" s="11">
        <v>1274.28</v>
      </c>
      <c r="D1216" s="12">
        <v>46.7</v>
      </c>
      <c r="E1216" s="11">
        <v>1274.28</v>
      </c>
      <c r="F1216" s="12">
        <v>57.1</v>
      </c>
      <c r="G1216" s="11">
        <v>1274.28</v>
      </c>
      <c r="H1216" s="12">
        <v>53.5</v>
      </c>
      <c r="I1216" s="11">
        <v>1274.28</v>
      </c>
      <c r="J1216" s="12">
        <v>68.2</v>
      </c>
      <c r="K1216" s="11">
        <v>1274.28</v>
      </c>
      <c r="L1216" s="12">
        <v>84</v>
      </c>
      <c r="M1216" s="11">
        <v>1274.28</v>
      </c>
      <c r="N1216" s="13">
        <v>33.4</v>
      </c>
      <c r="O1216" s="11">
        <v>46.7</v>
      </c>
      <c r="P1216" s="11">
        <v>57.1</v>
      </c>
      <c r="Q1216" s="11">
        <v>53.5</v>
      </c>
      <c r="R1216" s="11">
        <v>68.2</v>
      </c>
      <c r="S1216" s="14">
        <v>84</v>
      </c>
      <c r="T1216" s="11">
        <v>1274.28</v>
      </c>
      <c r="U1216" s="13" cm="1">
        <f t="array" ref="U1216">IF(Table8[[#This Row],[I_0]]&lt;Table24[Flitro de Ruido],1,Table8[[#This Row],[I_10]]/Table8[[#This Row],[I_0]])</f>
        <v>1.3982035928143715</v>
      </c>
      <c r="V1216" s="13" cm="1">
        <f t="array" ref="V1216">IF(Table8[[#This Row],[I_0]]&lt;Table24[Flitro de Ruido],1,Table8[[#This Row],[I_20]]/Table8[[#This Row],[I_0]])</f>
        <v>1.7095808383233535</v>
      </c>
      <c r="W1216" s="13" cm="1">
        <f t="array" ref="W1216">IF(Table8[[#This Row],[I_0]]&lt;Table24[Flitro de Ruido],1,Table8[[#This Row],[I_30]]/Table8[[#This Row],[I_0]])</f>
        <v>1.6017964071856288</v>
      </c>
      <c r="X1216" s="13" cm="1">
        <f t="array" ref="X1216">IF(Table8[[#This Row],[I_0]]&lt;Table24[Flitro de Ruido],1,Table8[[#This Row],[I_40]]/Table8[[#This Row],[I_0]])</f>
        <v>2.0419161676646707</v>
      </c>
      <c r="Y1216" s="13" cm="1">
        <f t="array" ref="Y1216">IF(Table8[[#This Row],[I_0]]&lt;Table24[Flitro de Ruido],1,Table8[[#This Row],[I_50]]/Table8[[#This Row],[I_0]])</f>
        <v>2.5149700598802398</v>
      </c>
    </row>
    <row r="1217" spans="1:25" x14ac:dyDescent="0.3">
      <c r="A1217" s="13">
        <v>1275.27</v>
      </c>
      <c r="B1217" s="12">
        <v>33.799999999999997</v>
      </c>
      <c r="C1217" s="11">
        <v>1275.27</v>
      </c>
      <c r="D1217" s="12">
        <v>47.1</v>
      </c>
      <c r="E1217" s="11">
        <v>1275.27</v>
      </c>
      <c r="F1217" s="12">
        <v>57.8</v>
      </c>
      <c r="G1217" s="11">
        <v>1275.27</v>
      </c>
      <c r="H1217" s="12">
        <v>54.1</v>
      </c>
      <c r="I1217" s="11">
        <v>1275.27</v>
      </c>
      <c r="J1217" s="12">
        <v>69</v>
      </c>
      <c r="K1217" s="11">
        <v>1275.27</v>
      </c>
      <c r="L1217" s="12">
        <v>85</v>
      </c>
      <c r="M1217" s="11">
        <v>1275.27</v>
      </c>
      <c r="N1217" s="13">
        <v>33.799999999999997</v>
      </c>
      <c r="O1217" s="11">
        <v>47.1</v>
      </c>
      <c r="P1217" s="11">
        <v>57.8</v>
      </c>
      <c r="Q1217" s="11">
        <v>54.1</v>
      </c>
      <c r="R1217" s="11">
        <v>69</v>
      </c>
      <c r="S1217" s="14">
        <v>85</v>
      </c>
      <c r="T1217" s="11">
        <v>1275.27</v>
      </c>
      <c r="U1217" s="13" cm="1">
        <f t="array" ref="U1217">IF(Table8[[#This Row],[I_0]]&lt;Table24[Flitro de Ruido],1,Table8[[#This Row],[I_10]]/Table8[[#This Row],[I_0]])</f>
        <v>1.3934911242603552</v>
      </c>
      <c r="V1217" s="13" cm="1">
        <f t="array" ref="V1217">IF(Table8[[#This Row],[I_0]]&lt;Table24[Flitro de Ruido],1,Table8[[#This Row],[I_20]]/Table8[[#This Row],[I_0]])</f>
        <v>1.7100591715976332</v>
      </c>
      <c r="W1217" s="13" cm="1">
        <f t="array" ref="W1217">IF(Table8[[#This Row],[I_0]]&lt;Table24[Flitro de Ruido],1,Table8[[#This Row],[I_30]]/Table8[[#This Row],[I_0]])</f>
        <v>1.6005917159763314</v>
      </c>
      <c r="X1217" s="13" cm="1">
        <f t="array" ref="X1217">IF(Table8[[#This Row],[I_0]]&lt;Table24[Flitro de Ruido],1,Table8[[#This Row],[I_40]]/Table8[[#This Row],[I_0]])</f>
        <v>2.0414201183431953</v>
      </c>
      <c r="Y1217" s="13" cm="1">
        <f t="array" ref="Y1217">IF(Table8[[#This Row],[I_0]]&lt;Table24[Flitro de Ruido],1,Table8[[#This Row],[I_50]]/Table8[[#This Row],[I_0]])</f>
        <v>2.5147928994082842</v>
      </c>
    </row>
    <row r="1218" spans="1:25" x14ac:dyDescent="0.3">
      <c r="A1218" s="13">
        <v>1276.27</v>
      </c>
      <c r="B1218" s="12">
        <v>34.299999999999997</v>
      </c>
      <c r="C1218" s="11">
        <v>1276.27</v>
      </c>
      <c r="D1218" s="12">
        <v>47.8</v>
      </c>
      <c r="E1218" s="11">
        <v>1276.27</v>
      </c>
      <c r="F1218" s="12">
        <v>58.6</v>
      </c>
      <c r="G1218" s="11">
        <v>1276.27</v>
      </c>
      <c r="H1218" s="12">
        <v>54.8</v>
      </c>
      <c r="I1218" s="11">
        <v>1276.27</v>
      </c>
      <c r="J1218" s="12">
        <v>69.900000000000006</v>
      </c>
      <c r="K1218" s="11">
        <v>1276.27</v>
      </c>
      <c r="L1218" s="12">
        <v>86.2</v>
      </c>
      <c r="M1218" s="11">
        <v>1276.27</v>
      </c>
      <c r="N1218" s="13">
        <v>34.299999999999997</v>
      </c>
      <c r="O1218" s="11">
        <v>47.8</v>
      </c>
      <c r="P1218" s="11">
        <v>58.6</v>
      </c>
      <c r="Q1218" s="11">
        <v>54.8</v>
      </c>
      <c r="R1218" s="11">
        <v>69.900000000000006</v>
      </c>
      <c r="S1218" s="14">
        <v>86.2</v>
      </c>
      <c r="T1218" s="11">
        <v>1276.27</v>
      </c>
      <c r="U1218" s="13" cm="1">
        <f t="array" ref="U1218">IF(Table8[[#This Row],[I_0]]&lt;Table24[Flitro de Ruido],1,Table8[[#This Row],[I_10]]/Table8[[#This Row],[I_0]])</f>
        <v>1.3935860058309038</v>
      </c>
      <c r="V1218" s="13" cm="1">
        <f t="array" ref="V1218">IF(Table8[[#This Row],[I_0]]&lt;Table24[Flitro de Ruido],1,Table8[[#This Row],[I_20]]/Table8[[#This Row],[I_0]])</f>
        <v>1.708454810495627</v>
      </c>
      <c r="W1218" s="13" cm="1">
        <f t="array" ref="W1218">IF(Table8[[#This Row],[I_0]]&lt;Table24[Flitro de Ruido],1,Table8[[#This Row],[I_30]]/Table8[[#This Row],[I_0]])</f>
        <v>1.597667638483965</v>
      </c>
      <c r="X1218" s="13" cm="1">
        <f t="array" ref="X1218">IF(Table8[[#This Row],[I_0]]&lt;Table24[Flitro de Ruido],1,Table8[[#This Row],[I_40]]/Table8[[#This Row],[I_0]])</f>
        <v>2.0379008746355689</v>
      </c>
      <c r="Y1218" s="13" cm="1">
        <f t="array" ref="Y1218">IF(Table8[[#This Row],[I_0]]&lt;Table24[Flitro de Ruido],1,Table8[[#This Row],[I_50]]/Table8[[#This Row],[I_0]])</f>
        <v>2.5131195335276972</v>
      </c>
    </row>
    <row r="1219" spans="1:25" x14ac:dyDescent="0.3">
      <c r="A1219" s="13">
        <v>1277.26</v>
      </c>
      <c r="B1219" s="12">
        <v>34.700000000000003</v>
      </c>
      <c r="C1219" s="11">
        <v>1277.26</v>
      </c>
      <c r="D1219" s="12">
        <v>48.3</v>
      </c>
      <c r="E1219" s="11">
        <v>1277.26</v>
      </c>
      <c r="F1219" s="12">
        <v>59.3</v>
      </c>
      <c r="G1219" s="11">
        <v>1277.26</v>
      </c>
      <c r="H1219" s="12">
        <v>55.5</v>
      </c>
      <c r="I1219" s="11">
        <v>1277.26</v>
      </c>
      <c r="J1219" s="12">
        <v>70.7</v>
      </c>
      <c r="K1219" s="11">
        <v>1277.26</v>
      </c>
      <c r="L1219" s="12">
        <v>87.2</v>
      </c>
      <c r="M1219" s="11">
        <v>1277.26</v>
      </c>
      <c r="N1219" s="13">
        <v>34.700000000000003</v>
      </c>
      <c r="O1219" s="11">
        <v>48.3</v>
      </c>
      <c r="P1219" s="11">
        <v>59.3</v>
      </c>
      <c r="Q1219" s="11">
        <v>55.5</v>
      </c>
      <c r="R1219" s="11">
        <v>70.7</v>
      </c>
      <c r="S1219" s="14">
        <v>87.2</v>
      </c>
      <c r="T1219" s="11">
        <v>1277.26</v>
      </c>
      <c r="U1219" s="13" cm="1">
        <f t="array" ref="U1219">IF(Table8[[#This Row],[I_0]]&lt;Table24[Flitro de Ruido],1,Table8[[#This Row],[I_10]]/Table8[[#This Row],[I_0]])</f>
        <v>1.3919308357348701</v>
      </c>
      <c r="V1219" s="13" cm="1">
        <f t="array" ref="V1219">IF(Table8[[#This Row],[I_0]]&lt;Table24[Flitro de Ruido],1,Table8[[#This Row],[I_20]]/Table8[[#This Row],[I_0]])</f>
        <v>1.7089337175792505</v>
      </c>
      <c r="W1219" s="13" cm="1">
        <f t="array" ref="W1219">IF(Table8[[#This Row],[I_0]]&lt;Table24[Flitro de Ruido],1,Table8[[#This Row],[I_30]]/Table8[[#This Row],[I_0]])</f>
        <v>1.5994236311239192</v>
      </c>
      <c r="X1219" s="13" cm="1">
        <f t="array" ref="X1219">IF(Table8[[#This Row],[I_0]]&lt;Table24[Flitro de Ruido],1,Table8[[#This Row],[I_40]]/Table8[[#This Row],[I_0]])</f>
        <v>2.0374639769452449</v>
      </c>
      <c r="Y1219" s="13" cm="1">
        <f t="array" ref="Y1219">IF(Table8[[#This Row],[I_0]]&lt;Table24[Flitro de Ruido],1,Table8[[#This Row],[I_50]]/Table8[[#This Row],[I_0]])</f>
        <v>2.5129682997118152</v>
      </c>
    </row>
    <row r="1220" spans="1:25" x14ac:dyDescent="0.3">
      <c r="A1220" s="13">
        <v>1278.25</v>
      </c>
      <c r="B1220" s="12">
        <v>35.200000000000003</v>
      </c>
      <c r="C1220" s="11">
        <v>1278.25</v>
      </c>
      <c r="D1220" s="12">
        <v>49</v>
      </c>
      <c r="E1220" s="11">
        <v>1278.25</v>
      </c>
      <c r="F1220" s="12">
        <v>60.1</v>
      </c>
      <c r="G1220" s="11">
        <v>1278.25</v>
      </c>
      <c r="H1220" s="12">
        <v>56.2</v>
      </c>
      <c r="I1220" s="11">
        <v>1278.25</v>
      </c>
      <c r="J1220" s="12">
        <v>71.5</v>
      </c>
      <c r="K1220" s="11">
        <v>1278.25</v>
      </c>
      <c r="L1220" s="12">
        <v>88.3</v>
      </c>
      <c r="M1220" s="11">
        <v>1278.25</v>
      </c>
      <c r="N1220" s="13">
        <v>35.200000000000003</v>
      </c>
      <c r="O1220" s="11">
        <v>49</v>
      </c>
      <c r="P1220" s="11">
        <v>60.1</v>
      </c>
      <c r="Q1220" s="11">
        <v>56.2</v>
      </c>
      <c r="R1220" s="11">
        <v>71.5</v>
      </c>
      <c r="S1220" s="14">
        <v>88.3</v>
      </c>
      <c r="T1220" s="11">
        <v>1278.25</v>
      </c>
      <c r="U1220" s="13" cm="1">
        <f t="array" ref="U1220">IF(Table8[[#This Row],[I_0]]&lt;Table24[Flitro de Ruido],1,Table8[[#This Row],[I_10]]/Table8[[#This Row],[I_0]])</f>
        <v>1.3920454545454544</v>
      </c>
      <c r="V1220" s="13" cm="1">
        <f t="array" ref="V1220">IF(Table8[[#This Row],[I_0]]&lt;Table24[Flitro de Ruido],1,Table8[[#This Row],[I_20]]/Table8[[#This Row],[I_0]])</f>
        <v>1.7073863636363635</v>
      </c>
      <c r="W1220" s="13" cm="1">
        <f t="array" ref="W1220">IF(Table8[[#This Row],[I_0]]&lt;Table24[Flitro de Ruido],1,Table8[[#This Row],[I_30]]/Table8[[#This Row],[I_0]])</f>
        <v>1.5965909090909089</v>
      </c>
      <c r="X1220" s="13" cm="1">
        <f t="array" ref="X1220">IF(Table8[[#This Row],[I_0]]&lt;Table24[Flitro de Ruido],1,Table8[[#This Row],[I_40]]/Table8[[#This Row],[I_0]])</f>
        <v>2.03125</v>
      </c>
      <c r="Y1220" s="13" cm="1">
        <f t="array" ref="Y1220">IF(Table8[[#This Row],[I_0]]&lt;Table24[Flitro de Ruido],1,Table8[[#This Row],[I_50]]/Table8[[#This Row],[I_0]])</f>
        <v>2.5085227272727271</v>
      </c>
    </row>
    <row r="1221" spans="1:25" x14ac:dyDescent="0.3">
      <c r="A1221" s="13">
        <v>1279.24</v>
      </c>
      <c r="B1221" s="12">
        <v>35.5</v>
      </c>
      <c r="C1221" s="11">
        <v>1279.24</v>
      </c>
      <c r="D1221" s="12">
        <v>49.5</v>
      </c>
      <c r="E1221" s="11">
        <v>1279.24</v>
      </c>
      <c r="F1221" s="12">
        <v>60.8</v>
      </c>
      <c r="G1221" s="11">
        <v>1279.24</v>
      </c>
      <c r="H1221" s="12">
        <v>56.7</v>
      </c>
      <c r="I1221" s="11">
        <v>1279.24</v>
      </c>
      <c r="J1221" s="12">
        <v>72.2</v>
      </c>
      <c r="K1221" s="11">
        <v>1279.24</v>
      </c>
      <c r="L1221" s="12">
        <v>89.3</v>
      </c>
      <c r="M1221" s="11">
        <v>1279.24</v>
      </c>
      <c r="N1221" s="13">
        <v>35.5</v>
      </c>
      <c r="O1221" s="11">
        <v>49.5</v>
      </c>
      <c r="P1221" s="11">
        <v>60.8</v>
      </c>
      <c r="Q1221" s="11">
        <v>56.7</v>
      </c>
      <c r="R1221" s="11">
        <v>72.2</v>
      </c>
      <c r="S1221" s="14">
        <v>89.3</v>
      </c>
      <c r="T1221" s="11">
        <v>1279.24</v>
      </c>
      <c r="U1221" s="13" cm="1">
        <f t="array" ref="U1221">IF(Table8[[#This Row],[I_0]]&lt;Table24[Flitro de Ruido],1,Table8[[#This Row],[I_10]]/Table8[[#This Row],[I_0]])</f>
        <v>1.3943661971830985</v>
      </c>
      <c r="V1221" s="13" cm="1">
        <f t="array" ref="V1221">IF(Table8[[#This Row],[I_0]]&lt;Table24[Flitro de Ruido],1,Table8[[#This Row],[I_20]]/Table8[[#This Row],[I_0]])</f>
        <v>1.7126760563380281</v>
      </c>
      <c r="W1221" s="13" cm="1">
        <f t="array" ref="W1221">IF(Table8[[#This Row],[I_0]]&lt;Table24[Flitro de Ruido],1,Table8[[#This Row],[I_30]]/Table8[[#This Row],[I_0]])</f>
        <v>1.5971830985915494</v>
      </c>
      <c r="X1221" s="13" cm="1">
        <f t="array" ref="X1221">IF(Table8[[#This Row],[I_0]]&lt;Table24[Flitro de Ruido],1,Table8[[#This Row],[I_40]]/Table8[[#This Row],[I_0]])</f>
        <v>2.0338028169014084</v>
      </c>
      <c r="Y1221" s="13" cm="1">
        <f t="array" ref="Y1221">IF(Table8[[#This Row],[I_0]]&lt;Table24[Flitro de Ruido],1,Table8[[#This Row],[I_50]]/Table8[[#This Row],[I_0]])</f>
        <v>2.5154929577464786</v>
      </c>
    </row>
    <row r="1222" spans="1:25" x14ac:dyDescent="0.3">
      <c r="A1222" s="13">
        <v>1280.23</v>
      </c>
      <c r="B1222" s="12">
        <v>35.9</v>
      </c>
      <c r="C1222" s="11">
        <v>1280.23</v>
      </c>
      <c r="D1222" s="12">
        <v>50.2</v>
      </c>
      <c r="E1222" s="11">
        <v>1280.23</v>
      </c>
      <c r="F1222" s="12">
        <v>61.5</v>
      </c>
      <c r="G1222" s="11">
        <v>1280.23</v>
      </c>
      <c r="H1222" s="12">
        <v>57.4</v>
      </c>
      <c r="I1222" s="11">
        <v>1280.23</v>
      </c>
      <c r="J1222" s="12">
        <v>72.900000000000006</v>
      </c>
      <c r="K1222" s="11">
        <v>1280.23</v>
      </c>
      <c r="L1222" s="12">
        <v>90.2</v>
      </c>
      <c r="M1222" s="11">
        <v>1280.23</v>
      </c>
      <c r="N1222" s="13">
        <v>35.9</v>
      </c>
      <c r="O1222" s="11">
        <v>50.2</v>
      </c>
      <c r="P1222" s="11">
        <v>61.5</v>
      </c>
      <c r="Q1222" s="11">
        <v>57.4</v>
      </c>
      <c r="R1222" s="11">
        <v>72.900000000000006</v>
      </c>
      <c r="S1222" s="14">
        <v>90.2</v>
      </c>
      <c r="T1222" s="11">
        <v>1280.23</v>
      </c>
      <c r="U1222" s="13" cm="1">
        <f t="array" ref="U1222">IF(Table8[[#This Row],[I_0]]&lt;Table24[Flitro de Ruido],1,Table8[[#This Row],[I_10]]/Table8[[#This Row],[I_0]])</f>
        <v>1.3983286908077996</v>
      </c>
      <c r="V1222" s="13" cm="1">
        <f t="array" ref="V1222">IF(Table8[[#This Row],[I_0]]&lt;Table24[Flitro de Ruido],1,Table8[[#This Row],[I_20]]/Table8[[#This Row],[I_0]])</f>
        <v>1.7130919220055711</v>
      </c>
      <c r="W1222" s="13" cm="1">
        <f t="array" ref="W1222">IF(Table8[[#This Row],[I_0]]&lt;Table24[Flitro de Ruido],1,Table8[[#This Row],[I_30]]/Table8[[#This Row],[I_0]])</f>
        <v>1.5988857938718664</v>
      </c>
      <c r="X1222" s="13" cm="1">
        <f t="array" ref="X1222">IF(Table8[[#This Row],[I_0]]&lt;Table24[Flitro de Ruido],1,Table8[[#This Row],[I_40]]/Table8[[#This Row],[I_0]])</f>
        <v>2.0306406685236773</v>
      </c>
      <c r="Y1222" s="13" cm="1">
        <f t="array" ref="Y1222">IF(Table8[[#This Row],[I_0]]&lt;Table24[Flitro de Ruido],1,Table8[[#This Row],[I_50]]/Table8[[#This Row],[I_0]])</f>
        <v>2.5125348189415044</v>
      </c>
    </row>
    <row r="1223" spans="1:25" x14ac:dyDescent="0.3">
      <c r="A1223" s="13">
        <v>1281.22</v>
      </c>
      <c r="B1223" s="12">
        <v>36.200000000000003</v>
      </c>
      <c r="C1223" s="11">
        <v>1281.22</v>
      </c>
      <c r="D1223" s="12">
        <v>50.6</v>
      </c>
      <c r="E1223" s="11">
        <v>1281.22</v>
      </c>
      <c r="F1223" s="12">
        <v>62</v>
      </c>
      <c r="G1223" s="11">
        <v>1281.22</v>
      </c>
      <c r="H1223" s="12">
        <v>57.9</v>
      </c>
      <c r="I1223" s="11">
        <v>1281.22</v>
      </c>
      <c r="J1223" s="12">
        <v>73.400000000000006</v>
      </c>
      <c r="K1223" s="11">
        <v>1281.22</v>
      </c>
      <c r="L1223" s="12">
        <v>91</v>
      </c>
      <c r="M1223" s="11">
        <v>1281.22</v>
      </c>
      <c r="N1223" s="13">
        <v>36.200000000000003</v>
      </c>
      <c r="O1223" s="11">
        <v>50.6</v>
      </c>
      <c r="P1223" s="11">
        <v>62</v>
      </c>
      <c r="Q1223" s="11">
        <v>57.9</v>
      </c>
      <c r="R1223" s="11">
        <v>73.400000000000006</v>
      </c>
      <c r="S1223" s="14">
        <v>91</v>
      </c>
      <c r="T1223" s="11">
        <v>1281.22</v>
      </c>
      <c r="U1223" s="13" cm="1">
        <f t="array" ref="U1223">IF(Table8[[#This Row],[I_0]]&lt;Table24[Flitro de Ruido],1,Table8[[#This Row],[I_10]]/Table8[[#This Row],[I_0]])</f>
        <v>1.3977900552486187</v>
      </c>
      <c r="V1223" s="13" cm="1">
        <f t="array" ref="V1223">IF(Table8[[#This Row],[I_0]]&lt;Table24[Flitro de Ruido],1,Table8[[#This Row],[I_20]]/Table8[[#This Row],[I_0]])</f>
        <v>1.7127071823204418</v>
      </c>
      <c r="W1223" s="13" cm="1">
        <f t="array" ref="W1223">IF(Table8[[#This Row],[I_0]]&lt;Table24[Flitro de Ruido],1,Table8[[#This Row],[I_30]]/Table8[[#This Row],[I_0]])</f>
        <v>1.5994475138121544</v>
      </c>
      <c r="X1223" s="13" cm="1">
        <f t="array" ref="X1223">IF(Table8[[#This Row],[I_0]]&lt;Table24[Flitro de Ruido],1,Table8[[#This Row],[I_40]]/Table8[[#This Row],[I_0]])</f>
        <v>2.027624309392265</v>
      </c>
      <c r="Y1223" s="13" cm="1">
        <f t="array" ref="Y1223">IF(Table8[[#This Row],[I_0]]&lt;Table24[Flitro de Ruido],1,Table8[[#This Row],[I_50]]/Table8[[#This Row],[I_0]])</f>
        <v>2.5138121546961325</v>
      </c>
    </row>
    <row r="1224" spans="1:25" x14ac:dyDescent="0.3">
      <c r="A1224" s="13">
        <v>1282.22</v>
      </c>
      <c r="B1224" s="12">
        <v>36.6</v>
      </c>
      <c r="C1224" s="11">
        <v>1282.22</v>
      </c>
      <c r="D1224" s="12">
        <v>51.2</v>
      </c>
      <c r="E1224" s="11">
        <v>1282.22</v>
      </c>
      <c r="F1224" s="12">
        <v>62.6</v>
      </c>
      <c r="G1224" s="11">
        <v>1282.22</v>
      </c>
      <c r="H1224" s="12">
        <v>58.5</v>
      </c>
      <c r="I1224" s="11">
        <v>1282.22</v>
      </c>
      <c r="J1224" s="12">
        <v>74</v>
      </c>
      <c r="K1224" s="11">
        <v>1282.22</v>
      </c>
      <c r="L1224" s="12">
        <v>91.8</v>
      </c>
      <c r="M1224" s="11">
        <v>1282.22</v>
      </c>
      <c r="N1224" s="13">
        <v>36.6</v>
      </c>
      <c r="O1224" s="11">
        <v>51.2</v>
      </c>
      <c r="P1224" s="11">
        <v>62.6</v>
      </c>
      <c r="Q1224" s="11">
        <v>58.5</v>
      </c>
      <c r="R1224" s="11">
        <v>74</v>
      </c>
      <c r="S1224" s="14">
        <v>91.8</v>
      </c>
      <c r="T1224" s="11">
        <v>1282.22</v>
      </c>
      <c r="U1224" s="13" cm="1">
        <f t="array" ref="U1224">IF(Table8[[#This Row],[I_0]]&lt;Table24[Flitro de Ruido],1,Table8[[#This Row],[I_10]]/Table8[[#This Row],[I_0]])</f>
        <v>1.3989071038251366</v>
      </c>
      <c r="V1224" s="13" cm="1">
        <f t="array" ref="V1224">IF(Table8[[#This Row],[I_0]]&lt;Table24[Flitro de Ruido],1,Table8[[#This Row],[I_20]]/Table8[[#This Row],[I_0]])</f>
        <v>1.7103825136612021</v>
      </c>
      <c r="W1224" s="13" cm="1">
        <f t="array" ref="W1224">IF(Table8[[#This Row],[I_0]]&lt;Table24[Flitro de Ruido],1,Table8[[#This Row],[I_30]]/Table8[[#This Row],[I_0]])</f>
        <v>1.5983606557377048</v>
      </c>
      <c r="X1224" s="13" cm="1">
        <f t="array" ref="X1224">IF(Table8[[#This Row],[I_0]]&lt;Table24[Flitro de Ruido],1,Table8[[#This Row],[I_40]]/Table8[[#This Row],[I_0]])</f>
        <v>2.0218579234972678</v>
      </c>
      <c r="Y1224" s="13" cm="1">
        <f t="array" ref="Y1224">IF(Table8[[#This Row],[I_0]]&lt;Table24[Flitro de Ruido],1,Table8[[#This Row],[I_50]]/Table8[[#This Row],[I_0]])</f>
        <v>2.5081967213114753</v>
      </c>
    </row>
    <row r="1225" spans="1:25" x14ac:dyDescent="0.3">
      <c r="A1225" s="13">
        <v>1283.21</v>
      </c>
      <c r="B1225" s="12">
        <v>36.9</v>
      </c>
      <c r="C1225" s="11">
        <v>1283.21</v>
      </c>
      <c r="D1225" s="12">
        <v>51.5</v>
      </c>
      <c r="E1225" s="11">
        <v>1283.21</v>
      </c>
      <c r="F1225" s="12">
        <v>63.1</v>
      </c>
      <c r="G1225" s="11">
        <v>1283.21</v>
      </c>
      <c r="H1225" s="12">
        <v>58.9</v>
      </c>
      <c r="I1225" s="11">
        <v>1283.21</v>
      </c>
      <c r="J1225" s="12">
        <v>74.5</v>
      </c>
      <c r="K1225" s="11">
        <v>1283.21</v>
      </c>
      <c r="L1225" s="12">
        <v>92.4</v>
      </c>
      <c r="M1225" s="11">
        <v>1283.21</v>
      </c>
      <c r="N1225" s="13">
        <v>36.9</v>
      </c>
      <c r="O1225" s="11">
        <v>51.5</v>
      </c>
      <c r="P1225" s="11">
        <v>63.1</v>
      </c>
      <c r="Q1225" s="11">
        <v>58.9</v>
      </c>
      <c r="R1225" s="11">
        <v>74.5</v>
      </c>
      <c r="S1225" s="14">
        <v>92.4</v>
      </c>
      <c r="T1225" s="11">
        <v>1283.21</v>
      </c>
      <c r="U1225" s="13" cm="1">
        <f t="array" ref="U1225">IF(Table8[[#This Row],[I_0]]&lt;Table24[Flitro de Ruido],1,Table8[[#This Row],[I_10]]/Table8[[#This Row],[I_0]])</f>
        <v>1.3956639566395665</v>
      </c>
      <c r="V1225" s="13" cm="1">
        <f t="array" ref="V1225">IF(Table8[[#This Row],[I_0]]&lt;Table24[Flitro de Ruido],1,Table8[[#This Row],[I_20]]/Table8[[#This Row],[I_0]])</f>
        <v>1.7100271002710028</v>
      </c>
      <c r="W1225" s="13" cm="1">
        <f t="array" ref="W1225">IF(Table8[[#This Row],[I_0]]&lt;Table24[Flitro de Ruido],1,Table8[[#This Row],[I_30]]/Table8[[#This Row],[I_0]])</f>
        <v>1.5962059620596205</v>
      </c>
      <c r="X1225" s="13" cm="1">
        <f t="array" ref="X1225">IF(Table8[[#This Row],[I_0]]&lt;Table24[Flitro de Ruido],1,Table8[[#This Row],[I_40]]/Table8[[#This Row],[I_0]])</f>
        <v>2.0189701897018972</v>
      </c>
      <c r="Y1225" s="13" cm="1">
        <f t="array" ref="Y1225">IF(Table8[[#This Row],[I_0]]&lt;Table24[Flitro de Ruido],1,Table8[[#This Row],[I_50]]/Table8[[#This Row],[I_0]])</f>
        <v>2.5040650406504068</v>
      </c>
    </row>
    <row r="1226" spans="1:25" x14ac:dyDescent="0.3">
      <c r="A1226" s="13">
        <v>1284.2</v>
      </c>
      <c r="B1226" s="12">
        <v>37.200000000000003</v>
      </c>
      <c r="C1226" s="11">
        <v>1284.2</v>
      </c>
      <c r="D1226" s="12">
        <v>51.9</v>
      </c>
      <c r="E1226" s="11">
        <v>1284.2</v>
      </c>
      <c r="F1226" s="12">
        <v>63.6</v>
      </c>
      <c r="G1226" s="11">
        <v>1284.2</v>
      </c>
      <c r="H1226" s="12">
        <v>59.3</v>
      </c>
      <c r="I1226" s="11">
        <v>1284.2</v>
      </c>
      <c r="J1226" s="12">
        <v>75</v>
      </c>
      <c r="K1226" s="11">
        <v>1284.2</v>
      </c>
      <c r="L1226" s="12">
        <v>92.9</v>
      </c>
      <c r="M1226" s="11">
        <v>1284.2</v>
      </c>
      <c r="N1226" s="13">
        <v>37.200000000000003</v>
      </c>
      <c r="O1226" s="11">
        <v>51.9</v>
      </c>
      <c r="P1226" s="11">
        <v>63.6</v>
      </c>
      <c r="Q1226" s="11">
        <v>59.3</v>
      </c>
      <c r="R1226" s="11">
        <v>75</v>
      </c>
      <c r="S1226" s="14">
        <v>92.9</v>
      </c>
      <c r="T1226" s="11">
        <v>1284.2</v>
      </c>
      <c r="U1226" s="13" cm="1">
        <f t="array" ref="U1226">IF(Table8[[#This Row],[I_0]]&lt;Table24[Flitro de Ruido],1,Table8[[#This Row],[I_10]]/Table8[[#This Row],[I_0]])</f>
        <v>1.3951612903225805</v>
      </c>
      <c r="V1226" s="13" cm="1">
        <f t="array" ref="V1226">IF(Table8[[#This Row],[I_0]]&lt;Table24[Flitro de Ruido],1,Table8[[#This Row],[I_20]]/Table8[[#This Row],[I_0]])</f>
        <v>1.7096774193548385</v>
      </c>
      <c r="W1226" s="13" cm="1">
        <f t="array" ref="W1226">IF(Table8[[#This Row],[I_0]]&lt;Table24[Flitro de Ruido],1,Table8[[#This Row],[I_30]]/Table8[[#This Row],[I_0]])</f>
        <v>1.594086021505376</v>
      </c>
      <c r="X1226" s="13" cm="1">
        <f t="array" ref="X1226">IF(Table8[[#This Row],[I_0]]&lt;Table24[Flitro de Ruido],1,Table8[[#This Row],[I_40]]/Table8[[#This Row],[I_0]])</f>
        <v>2.0161290322580645</v>
      </c>
      <c r="Y1226" s="13" cm="1">
        <f t="array" ref="Y1226">IF(Table8[[#This Row],[I_0]]&lt;Table24[Flitro de Ruido],1,Table8[[#This Row],[I_50]]/Table8[[#This Row],[I_0]])</f>
        <v>2.497311827956989</v>
      </c>
    </row>
    <row r="1227" spans="1:25" x14ac:dyDescent="0.3">
      <c r="A1227" s="13">
        <v>1285.19</v>
      </c>
      <c r="B1227" s="12">
        <v>37.5</v>
      </c>
      <c r="C1227" s="11">
        <v>1285.19</v>
      </c>
      <c r="D1227" s="12">
        <v>52.2</v>
      </c>
      <c r="E1227" s="11">
        <v>1285.19</v>
      </c>
      <c r="F1227" s="12">
        <v>64</v>
      </c>
      <c r="G1227" s="11">
        <v>1285.19</v>
      </c>
      <c r="H1227" s="12">
        <v>59.7</v>
      </c>
      <c r="I1227" s="11">
        <v>1285.19</v>
      </c>
      <c r="J1227" s="12">
        <v>75.400000000000006</v>
      </c>
      <c r="K1227" s="11">
        <v>1285.19</v>
      </c>
      <c r="L1227" s="12">
        <v>93.4</v>
      </c>
      <c r="M1227" s="11">
        <v>1285.19</v>
      </c>
      <c r="N1227" s="13">
        <v>37.5</v>
      </c>
      <c r="O1227" s="11">
        <v>52.2</v>
      </c>
      <c r="P1227" s="11">
        <v>64</v>
      </c>
      <c r="Q1227" s="11">
        <v>59.7</v>
      </c>
      <c r="R1227" s="11">
        <v>75.400000000000006</v>
      </c>
      <c r="S1227" s="14">
        <v>93.4</v>
      </c>
      <c r="T1227" s="11">
        <v>1285.19</v>
      </c>
      <c r="U1227" s="13" cm="1">
        <f t="array" ref="U1227">IF(Table8[[#This Row],[I_0]]&lt;Table24[Flitro de Ruido],1,Table8[[#This Row],[I_10]]/Table8[[#This Row],[I_0]])</f>
        <v>1.3920000000000001</v>
      </c>
      <c r="V1227" s="13" cm="1">
        <f t="array" ref="V1227">IF(Table8[[#This Row],[I_0]]&lt;Table24[Flitro de Ruido],1,Table8[[#This Row],[I_20]]/Table8[[#This Row],[I_0]])</f>
        <v>1.7066666666666668</v>
      </c>
      <c r="W1227" s="13" cm="1">
        <f t="array" ref="W1227">IF(Table8[[#This Row],[I_0]]&lt;Table24[Flitro de Ruido],1,Table8[[#This Row],[I_30]]/Table8[[#This Row],[I_0]])</f>
        <v>1.5920000000000001</v>
      </c>
      <c r="X1227" s="13" cm="1">
        <f t="array" ref="X1227">IF(Table8[[#This Row],[I_0]]&lt;Table24[Flitro de Ruido],1,Table8[[#This Row],[I_40]]/Table8[[#This Row],[I_0]])</f>
        <v>2.0106666666666668</v>
      </c>
      <c r="Y1227" s="13" cm="1">
        <f t="array" ref="Y1227">IF(Table8[[#This Row],[I_0]]&lt;Table24[Flitro de Ruido],1,Table8[[#This Row],[I_50]]/Table8[[#This Row],[I_0]])</f>
        <v>2.4906666666666668</v>
      </c>
    </row>
    <row r="1228" spans="1:25" x14ac:dyDescent="0.3">
      <c r="A1228" s="13">
        <v>1286.18</v>
      </c>
      <c r="B1228" s="12">
        <v>37.9</v>
      </c>
      <c r="C1228" s="11">
        <v>1286.18</v>
      </c>
      <c r="D1228" s="12">
        <v>52.7</v>
      </c>
      <c r="E1228" s="11">
        <v>1286.18</v>
      </c>
      <c r="F1228" s="12">
        <v>64.599999999999994</v>
      </c>
      <c r="G1228" s="11">
        <v>1286.18</v>
      </c>
      <c r="H1228" s="12">
        <v>60.3</v>
      </c>
      <c r="I1228" s="11">
        <v>1286.18</v>
      </c>
      <c r="J1228" s="12">
        <v>76</v>
      </c>
      <c r="K1228" s="11">
        <v>1286.18</v>
      </c>
      <c r="L1228" s="12">
        <v>94</v>
      </c>
      <c r="M1228" s="11">
        <v>1286.18</v>
      </c>
      <c r="N1228" s="13">
        <v>37.9</v>
      </c>
      <c r="O1228" s="11">
        <v>52.7</v>
      </c>
      <c r="P1228" s="11">
        <v>64.599999999999994</v>
      </c>
      <c r="Q1228" s="11">
        <v>60.3</v>
      </c>
      <c r="R1228" s="11">
        <v>76</v>
      </c>
      <c r="S1228" s="14">
        <v>94</v>
      </c>
      <c r="T1228" s="11">
        <v>1286.18</v>
      </c>
      <c r="U1228" s="13" cm="1">
        <f t="array" ref="U1228">IF(Table8[[#This Row],[I_0]]&lt;Table24[Flitro de Ruido],1,Table8[[#This Row],[I_10]]/Table8[[#This Row],[I_0]])</f>
        <v>1.3905013192612139</v>
      </c>
      <c r="V1228" s="13" cm="1">
        <f t="array" ref="V1228">IF(Table8[[#This Row],[I_0]]&lt;Table24[Flitro de Ruido],1,Table8[[#This Row],[I_20]]/Table8[[#This Row],[I_0]])</f>
        <v>1.7044854881266489</v>
      </c>
      <c r="W1228" s="13" cm="1">
        <f t="array" ref="W1228">IF(Table8[[#This Row],[I_0]]&lt;Table24[Flitro de Ruido],1,Table8[[#This Row],[I_30]]/Table8[[#This Row],[I_0]])</f>
        <v>1.5910290237467017</v>
      </c>
      <c r="X1228" s="13" cm="1">
        <f t="array" ref="X1228">IF(Table8[[#This Row],[I_0]]&lt;Table24[Flitro de Ruido],1,Table8[[#This Row],[I_40]]/Table8[[#This Row],[I_0]])</f>
        <v>2.0052770448548816</v>
      </c>
      <c r="Y1228" s="13" cm="1">
        <f t="array" ref="Y1228">IF(Table8[[#This Row],[I_0]]&lt;Table24[Flitro de Ruido],1,Table8[[#This Row],[I_50]]/Table8[[#This Row],[I_0]])</f>
        <v>2.4802110817941951</v>
      </c>
    </row>
    <row r="1229" spans="1:25" x14ac:dyDescent="0.3">
      <c r="A1229" s="13">
        <v>1287.18</v>
      </c>
      <c r="B1229" s="12">
        <v>38.299999999999997</v>
      </c>
      <c r="C1229" s="11">
        <v>1287.18</v>
      </c>
      <c r="D1229" s="12">
        <v>53.1</v>
      </c>
      <c r="E1229" s="11">
        <v>1287.18</v>
      </c>
      <c r="F1229" s="12">
        <v>65.099999999999994</v>
      </c>
      <c r="G1229" s="11">
        <v>1287.18</v>
      </c>
      <c r="H1229" s="12">
        <v>60.7</v>
      </c>
      <c r="I1229" s="11">
        <v>1287.18</v>
      </c>
      <c r="J1229" s="12">
        <v>76.599999999999994</v>
      </c>
      <c r="K1229" s="11">
        <v>1287.18</v>
      </c>
      <c r="L1229" s="12">
        <v>94.6</v>
      </c>
      <c r="M1229" s="11">
        <v>1287.18</v>
      </c>
      <c r="N1229" s="13">
        <v>38.299999999999997</v>
      </c>
      <c r="O1229" s="11">
        <v>53.1</v>
      </c>
      <c r="P1229" s="11">
        <v>65.099999999999994</v>
      </c>
      <c r="Q1229" s="11">
        <v>60.7</v>
      </c>
      <c r="R1229" s="11">
        <v>76.599999999999994</v>
      </c>
      <c r="S1229" s="14">
        <v>94.6</v>
      </c>
      <c r="T1229" s="11">
        <v>1287.18</v>
      </c>
      <c r="U1229" s="13" cm="1">
        <f t="array" ref="U1229">IF(Table8[[#This Row],[I_0]]&lt;Table24[Flitro de Ruido],1,Table8[[#This Row],[I_10]]/Table8[[#This Row],[I_0]])</f>
        <v>1.3864229765013056</v>
      </c>
      <c r="V1229" s="13" cm="1">
        <f t="array" ref="V1229">IF(Table8[[#This Row],[I_0]]&lt;Table24[Flitro de Ruido],1,Table8[[#This Row],[I_20]]/Table8[[#This Row],[I_0]])</f>
        <v>1.6997389033942558</v>
      </c>
      <c r="W1229" s="13" cm="1">
        <f t="array" ref="W1229">IF(Table8[[#This Row],[I_0]]&lt;Table24[Flitro de Ruido],1,Table8[[#This Row],[I_30]]/Table8[[#This Row],[I_0]])</f>
        <v>1.584856396866841</v>
      </c>
      <c r="X1229" s="13" cm="1">
        <f t="array" ref="X1229">IF(Table8[[#This Row],[I_0]]&lt;Table24[Flitro de Ruido],1,Table8[[#This Row],[I_40]]/Table8[[#This Row],[I_0]])</f>
        <v>2</v>
      </c>
      <c r="Y1229" s="13" cm="1">
        <f t="array" ref="Y1229">IF(Table8[[#This Row],[I_0]]&lt;Table24[Flitro de Ruido],1,Table8[[#This Row],[I_50]]/Table8[[#This Row],[I_0]])</f>
        <v>2.4699738903394257</v>
      </c>
    </row>
    <row r="1230" spans="1:25" x14ac:dyDescent="0.3">
      <c r="A1230" s="13">
        <v>1288.17</v>
      </c>
      <c r="B1230" s="12">
        <v>38.700000000000003</v>
      </c>
      <c r="C1230" s="11">
        <v>1288.17</v>
      </c>
      <c r="D1230" s="12">
        <v>53.6</v>
      </c>
      <c r="E1230" s="11">
        <v>1288.17</v>
      </c>
      <c r="F1230" s="12">
        <v>65.7</v>
      </c>
      <c r="G1230" s="11">
        <v>1288.17</v>
      </c>
      <c r="H1230" s="12">
        <v>61.3</v>
      </c>
      <c r="I1230" s="11">
        <v>1288.17</v>
      </c>
      <c r="J1230" s="12">
        <v>77.2</v>
      </c>
      <c r="K1230" s="11">
        <v>1288.17</v>
      </c>
      <c r="L1230" s="12">
        <v>95.4</v>
      </c>
      <c r="M1230" s="11">
        <v>1288.17</v>
      </c>
      <c r="N1230" s="13">
        <v>38.700000000000003</v>
      </c>
      <c r="O1230" s="11">
        <v>53.6</v>
      </c>
      <c r="P1230" s="11">
        <v>65.7</v>
      </c>
      <c r="Q1230" s="11">
        <v>61.3</v>
      </c>
      <c r="R1230" s="11">
        <v>77.2</v>
      </c>
      <c r="S1230" s="14">
        <v>95.4</v>
      </c>
      <c r="T1230" s="11">
        <v>1288.17</v>
      </c>
      <c r="U1230" s="13" cm="1">
        <f t="array" ref="U1230">IF(Table8[[#This Row],[I_0]]&lt;Table24[Flitro de Ruido],1,Table8[[#This Row],[I_10]]/Table8[[#This Row],[I_0]])</f>
        <v>1.3850129198966408</v>
      </c>
      <c r="V1230" s="13" cm="1">
        <f t="array" ref="V1230">IF(Table8[[#This Row],[I_0]]&lt;Table24[Flitro de Ruido],1,Table8[[#This Row],[I_20]]/Table8[[#This Row],[I_0]])</f>
        <v>1.6976744186046511</v>
      </c>
      <c r="W1230" s="13" cm="1">
        <f t="array" ref="W1230">IF(Table8[[#This Row],[I_0]]&lt;Table24[Flitro de Ruido],1,Table8[[#This Row],[I_30]]/Table8[[#This Row],[I_0]])</f>
        <v>1.5839793281653745</v>
      </c>
      <c r="X1230" s="13" cm="1">
        <f t="array" ref="X1230">IF(Table8[[#This Row],[I_0]]&lt;Table24[Flitro de Ruido],1,Table8[[#This Row],[I_40]]/Table8[[#This Row],[I_0]])</f>
        <v>1.9948320413436691</v>
      </c>
      <c r="Y1230" s="13" cm="1">
        <f t="array" ref="Y1230">IF(Table8[[#This Row],[I_0]]&lt;Table24[Flitro de Ruido],1,Table8[[#This Row],[I_50]]/Table8[[#This Row],[I_0]])</f>
        <v>2.4651162790697674</v>
      </c>
    </row>
    <row r="1231" spans="1:25" x14ac:dyDescent="0.3">
      <c r="A1231" s="13">
        <v>1289.1600000000001</v>
      </c>
      <c r="B1231" s="12">
        <v>39.299999999999997</v>
      </c>
      <c r="C1231" s="11">
        <v>1289.1600000000001</v>
      </c>
      <c r="D1231" s="12">
        <v>54.4</v>
      </c>
      <c r="E1231" s="11">
        <v>1289.1600000000001</v>
      </c>
      <c r="F1231" s="12">
        <v>66.599999999999994</v>
      </c>
      <c r="G1231" s="11">
        <v>1289.1600000000001</v>
      </c>
      <c r="H1231" s="12">
        <v>62.2</v>
      </c>
      <c r="I1231" s="11">
        <v>1289.1600000000001</v>
      </c>
      <c r="J1231" s="12">
        <v>78.2</v>
      </c>
      <c r="K1231" s="11">
        <v>1289.1600000000001</v>
      </c>
      <c r="L1231" s="12">
        <v>96.4</v>
      </c>
      <c r="M1231" s="11">
        <v>1289.1600000000001</v>
      </c>
      <c r="N1231" s="13">
        <v>39.299999999999997</v>
      </c>
      <c r="O1231" s="11">
        <v>54.4</v>
      </c>
      <c r="P1231" s="11">
        <v>66.599999999999994</v>
      </c>
      <c r="Q1231" s="11">
        <v>62.2</v>
      </c>
      <c r="R1231" s="11">
        <v>78.2</v>
      </c>
      <c r="S1231" s="14">
        <v>96.4</v>
      </c>
      <c r="T1231" s="11">
        <v>1289.1600000000001</v>
      </c>
      <c r="U1231" s="13" cm="1">
        <f t="array" ref="U1231">IF(Table8[[#This Row],[I_0]]&lt;Table24[Flitro de Ruido],1,Table8[[#This Row],[I_10]]/Table8[[#This Row],[I_0]])</f>
        <v>1.3842239185750638</v>
      </c>
      <c r="V1231" s="13" cm="1">
        <f t="array" ref="V1231">IF(Table8[[#This Row],[I_0]]&lt;Table24[Flitro de Ruido],1,Table8[[#This Row],[I_20]]/Table8[[#This Row],[I_0]])</f>
        <v>1.6946564885496183</v>
      </c>
      <c r="W1231" s="13" cm="1">
        <f t="array" ref="W1231">IF(Table8[[#This Row],[I_0]]&lt;Table24[Flitro de Ruido],1,Table8[[#This Row],[I_30]]/Table8[[#This Row],[I_0]])</f>
        <v>1.582697201017812</v>
      </c>
      <c r="X1231" s="13" cm="1">
        <f t="array" ref="X1231">IF(Table8[[#This Row],[I_0]]&lt;Table24[Flitro de Ruido],1,Table8[[#This Row],[I_40]]/Table8[[#This Row],[I_0]])</f>
        <v>1.9898218829516541</v>
      </c>
      <c r="Y1231" s="13" cm="1">
        <f t="array" ref="Y1231">IF(Table8[[#This Row],[I_0]]&lt;Table24[Flitro de Ruido],1,Table8[[#This Row],[I_50]]/Table8[[#This Row],[I_0]])</f>
        <v>2.4529262086513999</v>
      </c>
    </row>
    <row r="1232" spans="1:25" x14ac:dyDescent="0.3">
      <c r="A1232" s="13">
        <v>1290.1500000000001</v>
      </c>
      <c r="B1232" s="12">
        <v>40</v>
      </c>
      <c r="C1232" s="11">
        <v>1290.1500000000001</v>
      </c>
      <c r="D1232" s="12">
        <v>55.3</v>
      </c>
      <c r="E1232" s="11">
        <v>1290.1500000000001</v>
      </c>
      <c r="F1232" s="12">
        <v>67.599999999999994</v>
      </c>
      <c r="G1232" s="11">
        <v>1290.1500000000001</v>
      </c>
      <c r="H1232" s="12">
        <v>63</v>
      </c>
      <c r="I1232" s="11">
        <v>1290.1500000000001</v>
      </c>
      <c r="J1232" s="12">
        <v>79.2</v>
      </c>
      <c r="K1232" s="11">
        <v>1290.1500000000001</v>
      </c>
      <c r="L1232" s="12">
        <v>97.6</v>
      </c>
      <c r="M1232" s="11">
        <v>1290.1500000000001</v>
      </c>
      <c r="N1232" s="13">
        <v>40</v>
      </c>
      <c r="O1232" s="11">
        <v>55.3</v>
      </c>
      <c r="P1232" s="11">
        <v>67.599999999999994</v>
      </c>
      <c r="Q1232" s="11">
        <v>63</v>
      </c>
      <c r="R1232" s="11">
        <v>79.2</v>
      </c>
      <c r="S1232" s="14">
        <v>97.6</v>
      </c>
      <c r="T1232" s="11">
        <v>1290.1500000000001</v>
      </c>
      <c r="U1232" s="13" cm="1">
        <f t="array" ref="U1232">IF(Table8[[#This Row],[I_0]]&lt;Table24[Flitro de Ruido],1,Table8[[#This Row],[I_10]]/Table8[[#This Row],[I_0]])</f>
        <v>1.3824999999999998</v>
      </c>
      <c r="V1232" s="13" cm="1">
        <f t="array" ref="V1232">IF(Table8[[#This Row],[I_0]]&lt;Table24[Flitro de Ruido],1,Table8[[#This Row],[I_20]]/Table8[[#This Row],[I_0]])</f>
        <v>1.69</v>
      </c>
      <c r="W1232" s="13" cm="1">
        <f t="array" ref="W1232">IF(Table8[[#This Row],[I_0]]&lt;Table24[Flitro de Ruido],1,Table8[[#This Row],[I_30]]/Table8[[#This Row],[I_0]])</f>
        <v>1.575</v>
      </c>
      <c r="X1232" s="13" cm="1">
        <f t="array" ref="X1232">IF(Table8[[#This Row],[I_0]]&lt;Table24[Flitro de Ruido],1,Table8[[#This Row],[I_40]]/Table8[[#This Row],[I_0]])</f>
        <v>1.98</v>
      </c>
      <c r="Y1232" s="13" cm="1">
        <f t="array" ref="Y1232">IF(Table8[[#This Row],[I_0]]&lt;Table24[Flitro de Ruido],1,Table8[[#This Row],[I_50]]/Table8[[#This Row],[I_0]])</f>
        <v>2.44</v>
      </c>
    </row>
    <row r="1233" spans="1:25" x14ac:dyDescent="0.3">
      <c r="A1233" s="13">
        <v>1291.1400000000001</v>
      </c>
      <c r="B1233" s="12">
        <v>40.700000000000003</v>
      </c>
      <c r="C1233" s="11">
        <v>1291.1400000000001</v>
      </c>
      <c r="D1233" s="12">
        <v>56.2</v>
      </c>
      <c r="E1233" s="11">
        <v>1291.1400000000001</v>
      </c>
      <c r="F1233" s="12">
        <v>68.599999999999994</v>
      </c>
      <c r="G1233" s="11">
        <v>1291.1400000000001</v>
      </c>
      <c r="H1233" s="12">
        <v>63.9</v>
      </c>
      <c r="I1233" s="11">
        <v>1291.1400000000001</v>
      </c>
      <c r="J1233" s="12">
        <v>80.3</v>
      </c>
      <c r="K1233" s="11">
        <v>1291.1400000000001</v>
      </c>
      <c r="L1233" s="12">
        <v>98.9</v>
      </c>
      <c r="M1233" s="11">
        <v>1291.1400000000001</v>
      </c>
      <c r="N1233" s="13">
        <v>40.700000000000003</v>
      </c>
      <c r="O1233" s="11">
        <v>56.2</v>
      </c>
      <c r="P1233" s="11">
        <v>68.599999999999994</v>
      </c>
      <c r="Q1233" s="11">
        <v>63.9</v>
      </c>
      <c r="R1233" s="11">
        <v>80.3</v>
      </c>
      <c r="S1233" s="14">
        <v>98.9</v>
      </c>
      <c r="T1233" s="11">
        <v>1291.1400000000001</v>
      </c>
      <c r="U1233" s="13" cm="1">
        <f t="array" ref="U1233">IF(Table8[[#This Row],[I_0]]&lt;Table24[Flitro de Ruido],1,Table8[[#This Row],[I_10]]/Table8[[#This Row],[I_0]])</f>
        <v>1.3808353808353808</v>
      </c>
      <c r="V1233" s="13" cm="1">
        <f t="array" ref="V1233">IF(Table8[[#This Row],[I_0]]&lt;Table24[Flitro de Ruido],1,Table8[[#This Row],[I_20]]/Table8[[#This Row],[I_0]])</f>
        <v>1.6855036855036853</v>
      </c>
      <c r="W1233" s="13" cm="1">
        <f t="array" ref="W1233">IF(Table8[[#This Row],[I_0]]&lt;Table24[Flitro de Ruido],1,Table8[[#This Row],[I_30]]/Table8[[#This Row],[I_0]])</f>
        <v>1.5700245700245699</v>
      </c>
      <c r="X1233" s="13" cm="1">
        <f t="array" ref="X1233">IF(Table8[[#This Row],[I_0]]&lt;Table24[Flitro de Ruido],1,Table8[[#This Row],[I_40]]/Table8[[#This Row],[I_0]])</f>
        <v>1.9729729729729728</v>
      </c>
      <c r="Y1233" s="13" cm="1">
        <f t="array" ref="Y1233">IF(Table8[[#This Row],[I_0]]&lt;Table24[Flitro de Ruido],1,Table8[[#This Row],[I_50]]/Table8[[#This Row],[I_0]])</f>
        <v>2.4299754299754301</v>
      </c>
    </row>
    <row r="1234" spans="1:25" x14ac:dyDescent="0.3">
      <c r="A1234" s="13">
        <v>1292.1300000000001</v>
      </c>
      <c r="B1234" s="12">
        <v>41.1</v>
      </c>
      <c r="C1234" s="11">
        <v>1292.1300000000001</v>
      </c>
      <c r="D1234" s="12">
        <v>56.9</v>
      </c>
      <c r="E1234" s="11">
        <v>1292.1300000000001</v>
      </c>
      <c r="F1234" s="12">
        <v>69.3</v>
      </c>
      <c r="G1234" s="11">
        <v>1292.1300000000001</v>
      </c>
      <c r="H1234" s="12">
        <v>64.599999999999994</v>
      </c>
      <c r="I1234" s="11">
        <v>1292.1300000000001</v>
      </c>
      <c r="J1234" s="12">
        <v>81</v>
      </c>
      <c r="K1234" s="11">
        <v>1292.1300000000001</v>
      </c>
      <c r="L1234" s="12">
        <v>99.8</v>
      </c>
      <c r="M1234" s="11">
        <v>1292.1300000000001</v>
      </c>
      <c r="N1234" s="13">
        <v>41.1</v>
      </c>
      <c r="O1234" s="11">
        <v>56.9</v>
      </c>
      <c r="P1234" s="11">
        <v>69.3</v>
      </c>
      <c r="Q1234" s="11">
        <v>64.599999999999994</v>
      </c>
      <c r="R1234" s="11">
        <v>81</v>
      </c>
      <c r="S1234" s="14">
        <v>99.8</v>
      </c>
      <c r="T1234" s="11">
        <v>1292.1300000000001</v>
      </c>
      <c r="U1234" s="13" cm="1">
        <f t="array" ref="U1234">IF(Table8[[#This Row],[I_0]]&lt;Table24[Flitro de Ruido],1,Table8[[#This Row],[I_10]]/Table8[[#This Row],[I_0]])</f>
        <v>1.3844282238442822</v>
      </c>
      <c r="V1234" s="13" cm="1">
        <f t="array" ref="V1234">IF(Table8[[#This Row],[I_0]]&lt;Table24[Flitro de Ruido],1,Table8[[#This Row],[I_20]]/Table8[[#This Row],[I_0]])</f>
        <v>1.6861313868613137</v>
      </c>
      <c r="W1234" s="13" cm="1">
        <f t="array" ref="W1234">IF(Table8[[#This Row],[I_0]]&lt;Table24[Flitro de Ruido],1,Table8[[#This Row],[I_30]]/Table8[[#This Row],[I_0]])</f>
        <v>1.5717761557177614</v>
      </c>
      <c r="X1234" s="13" cm="1">
        <f t="array" ref="X1234">IF(Table8[[#This Row],[I_0]]&lt;Table24[Flitro de Ruido],1,Table8[[#This Row],[I_40]]/Table8[[#This Row],[I_0]])</f>
        <v>1.9708029197080292</v>
      </c>
      <c r="Y1234" s="13" cm="1">
        <f t="array" ref="Y1234">IF(Table8[[#This Row],[I_0]]&lt;Table24[Flitro de Ruido],1,Table8[[#This Row],[I_50]]/Table8[[#This Row],[I_0]])</f>
        <v>2.4282238442822384</v>
      </c>
    </row>
    <row r="1235" spans="1:25" x14ac:dyDescent="0.3">
      <c r="A1235" s="13">
        <v>1293.1300000000001</v>
      </c>
      <c r="B1235" s="12">
        <v>41.6</v>
      </c>
      <c r="C1235" s="11">
        <v>1293.1300000000001</v>
      </c>
      <c r="D1235" s="12">
        <v>57.5</v>
      </c>
      <c r="E1235" s="11">
        <v>1293.1300000000001</v>
      </c>
      <c r="F1235" s="12">
        <v>70.099999999999994</v>
      </c>
      <c r="G1235" s="11">
        <v>1293.1300000000001</v>
      </c>
      <c r="H1235" s="12">
        <v>65.3</v>
      </c>
      <c r="I1235" s="11">
        <v>1293.1300000000001</v>
      </c>
      <c r="J1235" s="12">
        <v>81.900000000000006</v>
      </c>
      <c r="K1235" s="11">
        <v>1293.1300000000001</v>
      </c>
      <c r="L1235" s="12">
        <v>100.8</v>
      </c>
      <c r="M1235" s="11">
        <v>1293.1300000000001</v>
      </c>
      <c r="N1235" s="13">
        <v>41.6</v>
      </c>
      <c r="O1235" s="11">
        <v>57.5</v>
      </c>
      <c r="P1235" s="11">
        <v>70.099999999999994</v>
      </c>
      <c r="Q1235" s="11">
        <v>65.3</v>
      </c>
      <c r="R1235" s="11">
        <v>81.900000000000006</v>
      </c>
      <c r="S1235" s="14">
        <v>100.8</v>
      </c>
      <c r="T1235" s="11">
        <v>1293.1300000000001</v>
      </c>
      <c r="U1235" s="13" cm="1">
        <f t="array" ref="U1235">IF(Table8[[#This Row],[I_0]]&lt;Table24[Flitro de Ruido],1,Table8[[#This Row],[I_10]]/Table8[[#This Row],[I_0]])</f>
        <v>1.3822115384615383</v>
      </c>
      <c r="V1235" s="13" cm="1">
        <f t="array" ref="V1235">IF(Table8[[#This Row],[I_0]]&lt;Table24[Flitro de Ruido],1,Table8[[#This Row],[I_20]]/Table8[[#This Row],[I_0]])</f>
        <v>1.6850961538461537</v>
      </c>
      <c r="W1235" s="13" cm="1">
        <f t="array" ref="W1235">IF(Table8[[#This Row],[I_0]]&lt;Table24[Flitro de Ruido],1,Table8[[#This Row],[I_30]]/Table8[[#This Row],[I_0]])</f>
        <v>1.5697115384615383</v>
      </c>
      <c r="X1235" s="13" cm="1">
        <f t="array" ref="X1235">IF(Table8[[#This Row],[I_0]]&lt;Table24[Flitro de Ruido],1,Table8[[#This Row],[I_40]]/Table8[[#This Row],[I_0]])</f>
        <v>1.96875</v>
      </c>
      <c r="Y1235" s="13" cm="1">
        <f t="array" ref="Y1235">IF(Table8[[#This Row],[I_0]]&lt;Table24[Flitro de Ruido],1,Table8[[#This Row],[I_50]]/Table8[[#This Row],[I_0]])</f>
        <v>2.4230769230769229</v>
      </c>
    </row>
    <row r="1236" spans="1:25" x14ac:dyDescent="0.3">
      <c r="A1236" s="13">
        <v>1294.1199999999999</v>
      </c>
      <c r="B1236" s="12">
        <v>42</v>
      </c>
      <c r="C1236" s="11">
        <v>1294.1199999999999</v>
      </c>
      <c r="D1236" s="12">
        <v>58.1</v>
      </c>
      <c r="E1236" s="11">
        <v>1294.1199999999999</v>
      </c>
      <c r="F1236" s="12">
        <v>70.7</v>
      </c>
      <c r="G1236" s="11">
        <v>1294.1199999999999</v>
      </c>
      <c r="H1236" s="12">
        <v>65.900000000000006</v>
      </c>
      <c r="I1236" s="11">
        <v>1294.1199999999999</v>
      </c>
      <c r="J1236" s="12">
        <v>82.6</v>
      </c>
      <c r="K1236" s="11">
        <v>1294.1199999999999</v>
      </c>
      <c r="L1236" s="12">
        <v>101.7</v>
      </c>
      <c r="M1236" s="11">
        <v>1294.1199999999999</v>
      </c>
      <c r="N1236" s="13">
        <v>42</v>
      </c>
      <c r="O1236" s="11">
        <v>58.1</v>
      </c>
      <c r="P1236" s="11">
        <v>70.7</v>
      </c>
      <c r="Q1236" s="11">
        <v>65.900000000000006</v>
      </c>
      <c r="R1236" s="11">
        <v>82.6</v>
      </c>
      <c r="S1236" s="14">
        <v>101.7</v>
      </c>
      <c r="T1236" s="11">
        <v>1294.1199999999999</v>
      </c>
      <c r="U1236" s="13" cm="1">
        <f t="array" ref="U1236">IF(Table8[[#This Row],[I_0]]&lt;Table24[Flitro de Ruido],1,Table8[[#This Row],[I_10]]/Table8[[#This Row],[I_0]])</f>
        <v>1.3833333333333333</v>
      </c>
      <c r="V1236" s="13" cm="1">
        <f t="array" ref="V1236">IF(Table8[[#This Row],[I_0]]&lt;Table24[Flitro de Ruido],1,Table8[[#This Row],[I_20]]/Table8[[#This Row],[I_0]])</f>
        <v>1.6833333333333333</v>
      </c>
      <c r="W1236" s="13" cm="1">
        <f t="array" ref="W1236">IF(Table8[[#This Row],[I_0]]&lt;Table24[Flitro de Ruido],1,Table8[[#This Row],[I_30]]/Table8[[#This Row],[I_0]])</f>
        <v>1.5690476190476192</v>
      </c>
      <c r="X1236" s="13" cm="1">
        <f t="array" ref="X1236">IF(Table8[[#This Row],[I_0]]&lt;Table24[Flitro de Ruido],1,Table8[[#This Row],[I_40]]/Table8[[#This Row],[I_0]])</f>
        <v>1.9666666666666666</v>
      </c>
      <c r="Y1236" s="13" cm="1">
        <f t="array" ref="Y1236">IF(Table8[[#This Row],[I_0]]&lt;Table24[Flitro de Ruido],1,Table8[[#This Row],[I_50]]/Table8[[#This Row],[I_0]])</f>
        <v>2.4214285714285717</v>
      </c>
    </row>
    <row r="1237" spans="1:25" x14ac:dyDescent="0.3">
      <c r="A1237" s="13">
        <v>1295.1099999999999</v>
      </c>
      <c r="B1237" s="12">
        <v>42.4</v>
      </c>
      <c r="C1237" s="11">
        <v>1295.1099999999999</v>
      </c>
      <c r="D1237" s="12">
        <v>58.7</v>
      </c>
      <c r="E1237" s="11">
        <v>1295.1099999999999</v>
      </c>
      <c r="F1237" s="12">
        <v>71.400000000000006</v>
      </c>
      <c r="G1237" s="11">
        <v>1295.1099999999999</v>
      </c>
      <c r="H1237" s="12">
        <v>66.599999999999994</v>
      </c>
      <c r="I1237" s="11">
        <v>1295.1099999999999</v>
      </c>
      <c r="J1237" s="12">
        <v>83.4</v>
      </c>
      <c r="K1237" s="11">
        <v>1295.1099999999999</v>
      </c>
      <c r="L1237" s="12">
        <v>102.7</v>
      </c>
      <c r="M1237" s="11">
        <v>1295.1099999999999</v>
      </c>
      <c r="N1237" s="13">
        <v>42.4</v>
      </c>
      <c r="O1237" s="11">
        <v>58.7</v>
      </c>
      <c r="P1237" s="11">
        <v>71.400000000000006</v>
      </c>
      <c r="Q1237" s="11">
        <v>66.599999999999994</v>
      </c>
      <c r="R1237" s="11">
        <v>83.4</v>
      </c>
      <c r="S1237" s="14">
        <v>102.7</v>
      </c>
      <c r="T1237" s="11">
        <v>1295.1099999999999</v>
      </c>
      <c r="U1237" s="13" cm="1">
        <f t="array" ref="U1237">IF(Table8[[#This Row],[I_0]]&lt;Table24[Flitro de Ruido],1,Table8[[#This Row],[I_10]]/Table8[[#This Row],[I_0]])</f>
        <v>1.3844339622641511</v>
      </c>
      <c r="V1237" s="13" cm="1">
        <f t="array" ref="V1237">IF(Table8[[#This Row],[I_0]]&lt;Table24[Flitro de Ruido],1,Table8[[#This Row],[I_20]]/Table8[[#This Row],[I_0]])</f>
        <v>1.6839622641509435</v>
      </c>
      <c r="W1237" s="13" cm="1">
        <f t="array" ref="W1237">IF(Table8[[#This Row],[I_0]]&lt;Table24[Flitro de Ruido],1,Table8[[#This Row],[I_30]]/Table8[[#This Row],[I_0]])</f>
        <v>1.570754716981132</v>
      </c>
      <c r="X1237" s="13" cm="1">
        <f t="array" ref="X1237">IF(Table8[[#This Row],[I_0]]&lt;Table24[Flitro de Ruido],1,Table8[[#This Row],[I_40]]/Table8[[#This Row],[I_0]])</f>
        <v>1.966981132075472</v>
      </c>
      <c r="Y1237" s="13" cm="1">
        <f t="array" ref="Y1237">IF(Table8[[#This Row],[I_0]]&lt;Table24[Flitro de Ruido],1,Table8[[#This Row],[I_50]]/Table8[[#This Row],[I_0]])</f>
        <v>2.4221698113207548</v>
      </c>
    </row>
    <row r="1238" spans="1:25" x14ac:dyDescent="0.3">
      <c r="A1238" s="13">
        <v>1296.0999999999999</v>
      </c>
      <c r="B1238" s="12">
        <v>42.7</v>
      </c>
      <c r="C1238" s="11">
        <v>1296.0999999999999</v>
      </c>
      <c r="D1238" s="12">
        <v>59.2</v>
      </c>
      <c r="E1238" s="11">
        <v>1296.0999999999999</v>
      </c>
      <c r="F1238" s="12">
        <v>71.900000000000006</v>
      </c>
      <c r="G1238" s="11">
        <v>1296.0999999999999</v>
      </c>
      <c r="H1238" s="12">
        <v>67.099999999999994</v>
      </c>
      <c r="I1238" s="11">
        <v>1296.0999999999999</v>
      </c>
      <c r="J1238" s="12">
        <v>84.1</v>
      </c>
      <c r="K1238" s="11">
        <v>1296.0999999999999</v>
      </c>
      <c r="L1238" s="12">
        <v>103.5</v>
      </c>
      <c r="M1238" s="11">
        <v>1296.0999999999999</v>
      </c>
      <c r="N1238" s="13">
        <v>42.7</v>
      </c>
      <c r="O1238" s="11">
        <v>59.2</v>
      </c>
      <c r="P1238" s="11">
        <v>71.900000000000006</v>
      </c>
      <c r="Q1238" s="11">
        <v>67.099999999999994</v>
      </c>
      <c r="R1238" s="11">
        <v>84.1</v>
      </c>
      <c r="S1238" s="14">
        <v>103.5</v>
      </c>
      <c r="T1238" s="11">
        <v>1296.0999999999999</v>
      </c>
      <c r="U1238" s="13" cm="1">
        <f t="array" ref="U1238">IF(Table8[[#This Row],[I_0]]&lt;Table24[Flitro de Ruido],1,Table8[[#This Row],[I_10]]/Table8[[#This Row],[I_0]])</f>
        <v>1.3864168618266979</v>
      </c>
      <c r="V1238" s="13" cm="1">
        <f t="array" ref="V1238">IF(Table8[[#This Row],[I_0]]&lt;Table24[Flitro de Ruido],1,Table8[[#This Row],[I_20]]/Table8[[#This Row],[I_0]])</f>
        <v>1.68384074941452</v>
      </c>
      <c r="W1238" s="13" cm="1">
        <f t="array" ref="W1238">IF(Table8[[#This Row],[I_0]]&lt;Table24[Flitro de Ruido],1,Table8[[#This Row],[I_30]]/Table8[[#This Row],[I_0]])</f>
        <v>1.5714285714285712</v>
      </c>
      <c r="X1238" s="13" cm="1">
        <f t="array" ref="X1238">IF(Table8[[#This Row],[I_0]]&lt;Table24[Flitro de Ruido],1,Table8[[#This Row],[I_40]]/Table8[[#This Row],[I_0]])</f>
        <v>1.9695550351288054</v>
      </c>
      <c r="Y1238" s="13" cm="1">
        <f t="array" ref="Y1238">IF(Table8[[#This Row],[I_0]]&lt;Table24[Flitro de Ruido],1,Table8[[#This Row],[I_50]]/Table8[[#This Row],[I_0]])</f>
        <v>2.4238875878220139</v>
      </c>
    </row>
    <row r="1239" spans="1:25" x14ac:dyDescent="0.3">
      <c r="A1239" s="13">
        <v>1297.0899999999999</v>
      </c>
      <c r="B1239" s="12">
        <v>43.1</v>
      </c>
      <c r="C1239" s="11">
        <v>1297.0899999999999</v>
      </c>
      <c r="D1239" s="12">
        <v>59.7</v>
      </c>
      <c r="E1239" s="11">
        <v>1297.0899999999999</v>
      </c>
      <c r="F1239" s="12">
        <v>72.5</v>
      </c>
      <c r="G1239" s="11">
        <v>1297.0899999999999</v>
      </c>
      <c r="H1239" s="12">
        <v>67.599999999999994</v>
      </c>
      <c r="I1239" s="11">
        <v>1297.0899999999999</v>
      </c>
      <c r="J1239" s="12">
        <v>84.7</v>
      </c>
      <c r="K1239" s="11">
        <v>1297.0899999999999</v>
      </c>
      <c r="L1239" s="12">
        <v>104.2</v>
      </c>
      <c r="M1239" s="11">
        <v>1297.0899999999999</v>
      </c>
      <c r="N1239" s="13">
        <v>43.1</v>
      </c>
      <c r="O1239" s="11">
        <v>59.7</v>
      </c>
      <c r="P1239" s="11">
        <v>72.5</v>
      </c>
      <c r="Q1239" s="11">
        <v>67.599999999999994</v>
      </c>
      <c r="R1239" s="11">
        <v>84.7</v>
      </c>
      <c r="S1239" s="14">
        <v>104.2</v>
      </c>
      <c r="T1239" s="11">
        <v>1297.0899999999999</v>
      </c>
      <c r="U1239" s="13" cm="1">
        <f t="array" ref="U1239">IF(Table8[[#This Row],[I_0]]&lt;Table24[Flitro de Ruido],1,Table8[[#This Row],[I_10]]/Table8[[#This Row],[I_0]])</f>
        <v>1.3851508120649652</v>
      </c>
      <c r="V1239" s="13" cm="1">
        <f t="array" ref="V1239">IF(Table8[[#This Row],[I_0]]&lt;Table24[Flitro de Ruido],1,Table8[[#This Row],[I_20]]/Table8[[#This Row],[I_0]])</f>
        <v>1.6821345707656612</v>
      </c>
      <c r="W1239" s="13" cm="1">
        <f t="array" ref="W1239">IF(Table8[[#This Row],[I_0]]&lt;Table24[Flitro de Ruido],1,Table8[[#This Row],[I_30]]/Table8[[#This Row],[I_0]])</f>
        <v>1.5684454756380508</v>
      </c>
      <c r="X1239" s="13" cm="1">
        <f t="array" ref="X1239">IF(Table8[[#This Row],[I_0]]&lt;Table24[Flitro de Ruido],1,Table8[[#This Row],[I_40]]/Table8[[#This Row],[I_0]])</f>
        <v>1.9651972157772621</v>
      </c>
      <c r="Y1239" s="13" cm="1">
        <f t="array" ref="Y1239">IF(Table8[[#This Row],[I_0]]&lt;Table24[Flitro de Ruido],1,Table8[[#This Row],[I_50]]/Table8[[#This Row],[I_0]])</f>
        <v>2.4176334106728539</v>
      </c>
    </row>
    <row r="1240" spans="1:25" x14ac:dyDescent="0.3">
      <c r="A1240" s="13">
        <v>1298.08</v>
      </c>
      <c r="B1240" s="12">
        <v>43.3</v>
      </c>
      <c r="C1240" s="11">
        <v>1298.08</v>
      </c>
      <c r="D1240" s="12">
        <v>59.9</v>
      </c>
      <c r="E1240" s="11">
        <v>1298.08</v>
      </c>
      <c r="F1240" s="12">
        <v>72.8</v>
      </c>
      <c r="G1240" s="11">
        <v>1298.08</v>
      </c>
      <c r="H1240" s="12">
        <v>67.900000000000006</v>
      </c>
      <c r="I1240" s="11">
        <v>1298.08</v>
      </c>
      <c r="J1240" s="12">
        <v>85</v>
      </c>
      <c r="K1240" s="11">
        <v>1298.08</v>
      </c>
      <c r="L1240" s="12">
        <v>104.6</v>
      </c>
      <c r="M1240" s="11">
        <v>1298.08</v>
      </c>
      <c r="N1240" s="13">
        <v>43.3</v>
      </c>
      <c r="O1240" s="11">
        <v>59.9</v>
      </c>
      <c r="P1240" s="11">
        <v>72.8</v>
      </c>
      <c r="Q1240" s="11">
        <v>67.900000000000006</v>
      </c>
      <c r="R1240" s="11">
        <v>85</v>
      </c>
      <c r="S1240" s="14">
        <v>104.6</v>
      </c>
      <c r="T1240" s="11">
        <v>1298.08</v>
      </c>
      <c r="U1240" s="13" cm="1">
        <f t="array" ref="U1240">IF(Table8[[#This Row],[I_0]]&lt;Table24[Flitro de Ruido],1,Table8[[#This Row],[I_10]]/Table8[[#This Row],[I_0]])</f>
        <v>1.3833718244803697</v>
      </c>
      <c r="V1240" s="13" cm="1">
        <f t="array" ref="V1240">IF(Table8[[#This Row],[I_0]]&lt;Table24[Flitro de Ruido],1,Table8[[#This Row],[I_20]]/Table8[[#This Row],[I_0]])</f>
        <v>1.6812933025404158</v>
      </c>
      <c r="W1240" s="13" cm="1">
        <f t="array" ref="W1240">IF(Table8[[#This Row],[I_0]]&lt;Table24[Flitro de Ruido],1,Table8[[#This Row],[I_30]]/Table8[[#This Row],[I_0]])</f>
        <v>1.5681293302540418</v>
      </c>
      <c r="X1240" s="13" cm="1">
        <f t="array" ref="X1240">IF(Table8[[#This Row],[I_0]]&lt;Table24[Flitro de Ruido],1,Table8[[#This Row],[I_40]]/Table8[[#This Row],[I_0]])</f>
        <v>1.9630484988452657</v>
      </c>
      <c r="Y1240" s="13" cm="1">
        <f t="array" ref="Y1240">IF(Table8[[#This Row],[I_0]]&lt;Table24[Flitro de Ruido],1,Table8[[#This Row],[I_50]]/Table8[[#This Row],[I_0]])</f>
        <v>2.415704387990762</v>
      </c>
    </row>
    <row r="1241" spans="1:25" x14ac:dyDescent="0.3">
      <c r="A1241" s="13">
        <v>1299.08</v>
      </c>
      <c r="B1241" s="12">
        <v>43.5</v>
      </c>
      <c r="C1241" s="11">
        <v>1299.08</v>
      </c>
      <c r="D1241" s="12">
        <v>60.2</v>
      </c>
      <c r="E1241" s="11">
        <v>1299.08</v>
      </c>
      <c r="F1241" s="12">
        <v>73.099999999999994</v>
      </c>
      <c r="G1241" s="11">
        <v>1299.08</v>
      </c>
      <c r="H1241" s="12">
        <v>68.2</v>
      </c>
      <c r="I1241" s="11">
        <v>1299.08</v>
      </c>
      <c r="J1241" s="12">
        <v>85.3</v>
      </c>
      <c r="K1241" s="11">
        <v>1299.08</v>
      </c>
      <c r="L1241" s="12">
        <v>104.9</v>
      </c>
      <c r="M1241" s="11">
        <v>1299.08</v>
      </c>
      <c r="N1241" s="13">
        <v>43.5</v>
      </c>
      <c r="O1241" s="11">
        <v>60.2</v>
      </c>
      <c r="P1241" s="11">
        <v>73.099999999999994</v>
      </c>
      <c r="Q1241" s="11">
        <v>68.2</v>
      </c>
      <c r="R1241" s="11">
        <v>85.3</v>
      </c>
      <c r="S1241" s="14">
        <v>104.9</v>
      </c>
      <c r="T1241" s="11">
        <v>1299.08</v>
      </c>
      <c r="U1241" s="13" cm="1">
        <f t="array" ref="U1241">IF(Table8[[#This Row],[I_0]]&lt;Table24[Flitro de Ruido],1,Table8[[#This Row],[I_10]]/Table8[[#This Row],[I_0]])</f>
        <v>1.3839080459770117</v>
      </c>
      <c r="V1241" s="13" cm="1">
        <f t="array" ref="V1241">IF(Table8[[#This Row],[I_0]]&lt;Table24[Flitro de Ruido],1,Table8[[#This Row],[I_20]]/Table8[[#This Row],[I_0]])</f>
        <v>1.6804597701149424</v>
      </c>
      <c r="W1241" s="13" cm="1">
        <f t="array" ref="W1241">IF(Table8[[#This Row],[I_0]]&lt;Table24[Flitro de Ruido],1,Table8[[#This Row],[I_30]]/Table8[[#This Row],[I_0]])</f>
        <v>1.5678160919540232</v>
      </c>
      <c r="X1241" s="13" cm="1">
        <f t="array" ref="X1241">IF(Table8[[#This Row],[I_0]]&lt;Table24[Flitro de Ruido],1,Table8[[#This Row],[I_40]]/Table8[[#This Row],[I_0]])</f>
        <v>1.9609195402298849</v>
      </c>
      <c r="Y1241" s="13" cm="1">
        <f t="array" ref="Y1241">IF(Table8[[#This Row],[I_0]]&lt;Table24[Flitro de Ruido],1,Table8[[#This Row],[I_50]]/Table8[[#This Row],[I_0]])</f>
        <v>2.4114942528735632</v>
      </c>
    </row>
    <row r="1242" spans="1:25" x14ac:dyDescent="0.3">
      <c r="A1242" s="13">
        <v>1300.07</v>
      </c>
      <c r="B1242" s="12">
        <v>43.6</v>
      </c>
      <c r="C1242" s="11">
        <v>1300.07</v>
      </c>
      <c r="D1242" s="12">
        <v>60.3</v>
      </c>
      <c r="E1242" s="11">
        <v>1300.07</v>
      </c>
      <c r="F1242" s="12">
        <v>73.2</v>
      </c>
      <c r="G1242" s="11">
        <v>1300.07</v>
      </c>
      <c r="H1242" s="12">
        <v>68.3</v>
      </c>
      <c r="I1242" s="11">
        <v>1300.07</v>
      </c>
      <c r="J1242" s="12">
        <v>85.5</v>
      </c>
      <c r="K1242" s="11">
        <v>1300.07</v>
      </c>
      <c r="L1242" s="12">
        <v>105.1</v>
      </c>
      <c r="M1242" s="11">
        <v>1300.07</v>
      </c>
      <c r="N1242" s="13">
        <v>43.6</v>
      </c>
      <c r="O1242" s="11">
        <v>60.3</v>
      </c>
      <c r="P1242" s="11">
        <v>73.2</v>
      </c>
      <c r="Q1242" s="11">
        <v>68.3</v>
      </c>
      <c r="R1242" s="11">
        <v>85.5</v>
      </c>
      <c r="S1242" s="14">
        <v>105.1</v>
      </c>
      <c r="T1242" s="11">
        <v>1300.07</v>
      </c>
      <c r="U1242" s="13" cm="1">
        <f t="array" ref="U1242">IF(Table8[[#This Row],[I_0]]&lt;Table24[Flitro de Ruido],1,Table8[[#This Row],[I_10]]/Table8[[#This Row],[I_0]])</f>
        <v>1.3830275229357798</v>
      </c>
      <c r="V1242" s="13" cm="1">
        <f t="array" ref="V1242">IF(Table8[[#This Row],[I_0]]&lt;Table24[Flitro de Ruido],1,Table8[[#This Row],[I_20]]/Table8[[#This Row],[I_0]])</f>
        <v>1.6788990825688073</v>
      </c>
      <c r="W1242" s="13" cm="1">
        <f t="array" ref="W1242">IF(Table8[[#This Row],[I_0]]&lt;Table24[Flitro de Ruido],1,Table8[[#This Row],[I_30]]/Table8[[#This Row],[I_0]])</f>
        <v>1.5665137614678899</v>
      </c>
      <c r="X1242" s="13" cm="1">
        <f t="array" ref="X1242">IF(Table8[[#This Row],[I_0]]&lt;Table24[Flitro de Ruido],1,Table8[[#This Row],[I_40]]/Table8[[#This Row],[I_0]])</f>
        <v>1.9610091743119265</v>
      </c>
      <c r="Y1242" s="13" cm="1">
        <f t="array" ref="Y1242">IF(Table8[[#This Row],[I_0]]&lt;Table24[Flitro de Ruido],1,Table8[[#This Row],[I_50]]/Table8[[#This Row],[I_0]])</f>
        <v>2.4105504587155959</v>
      </c>
    </row>
    <row r="1243" spans="1:25" x14ac:dyDescent="0.3">
      <c r="A1243" s="13">
        <v>1301.06</v>
      </c>
      <c r="B1243" s="12">
        <v>43.8</v>
      </c>
      <c r="C1243" s="11">
        <v>1301.06</v>
      </c>
      <c r="D1243" s="12">
        <v>60.6</v>
      </c>
      <c r="E1243" s="11">
        <v>1301.06</v>
      </c>
      <c r="F1243" s="12">
        <v>73.5</v>
      </c>
      <c r="G1243" s="11">
        <v>1301.06</v>
      </c>
      <c r="H1243" s="12">
        <v>68.7</v>
      </c>
      <c r="I1243" s="11">
        <v>1301.06</v>
      </c>
      <c r="J1243" s="12">
        <v>85.9</v>
      </c>
      <c r="K1243" s="11">
        <v>1301.06</v>
      </c>
      <c r="L1243" s="12">
        <v>105.5</v>
      </c>
      <c r="M1243" s="11">
        <v>1301.06</v>
      </c>
      <c r="N1243" s="13">
        <v>43.8</v>
      </c>
      <c r="O1243" s="11">
        <v>60.6</v>
      </c>
      <c r="P1243" s="11">
        <v>73.5</v>
      </c>
      <c r="Q1243" s="11">
        <v>68.7</v>
      </c>
      <c r="R1243" s="11">
        <v>85.9</v>
      </c>
      <c r="S1243" s="14">
        <v>105.5</v>
      </c>
      <c r="T1243" s="11">
        <v>1301.06</v>
      </c>
      <c r="U1243" s="13" cm="1">
        <f t="array" ref="U1243">IF(Table8[[#This Row],[I_0]]&lt;Table24[Flitro de Ruido],1,Table8[[#This Row],[I_10]]/Table8[[#This Row],[I_0]])</f>
        <v>1.3835616438356166</v>
      </c>
      <c r="V1243" s="13" cm="1">
        <f t="array" ref="V1243">IF(Table8[[#This Row],[I_0]]&lt;Table24[Flitro de Ruido],1,Table8[[#This Row],[I_20]]/Table8[[#This Row],[I_0]])</f>
        <v>1.678082191780822</v>
      </c>
      <c r="W1243" s="13" cm="1">
        <f t="array" ref="W1243">IF(Table8[[#This Row],[I_0]]&lt;Table24[Flitro de Ruido],1,Table8[[#This Row],[I_30]]/Table8[[#This Row],[I_0]])</f>
        <v>1.5684931506849318</v>
      </c>
      <c r="X1243" s="13" cm="1">
        <f t="array" ref="X1243">IF(Table8[[#This Row],[I_0]]&lt;Table24[Flitro de Ruido],1,Table8[[#This Row],[I_40]]/Table8[[#This Row],[I_0]])</f>
        <v>1.9611872146118725</v>
      </c>
      <c r="Y1243" s="13" cm="1">
        <f t="array" ref="Y1243">IF(Table8[[#This Row],[I_0]]&lt;Table24[Flitro de Ruido],1,Table8[[#This Row],[I_50]]/Table8[[#This Row],[I_0]])</f>
        <v>2.4086757990867582</v>
      </c>
    </row>
    <row r="1244" spans="1:25" x14ac:dyDescent="0.3">
      <c r="A1244" s="13">
        <v>1302.05</v>
      </c>
      <c r="B1244" s="12">
        <v>43.9</v>
      </c>
      <c r="C1244" s="11">
        <v>1302.05</v>
      </c>
      <c r="D1244" s="12">
        <v>60.8</v>
      </c>
      <c r="E1244" s="11">
        <v>1302.05</v>
      </c>
      <c r="F1244" s="12">
        <v>73.900000000000006</v>
      </c>
      <c r="G1244" s="11">
        <v>1302.05</v>
      </c>
      <c r="H1244" s="12">
        <v>69</v>
      </c>
      <c r="I1244" s="11">
        <v>1302.05</v>
      </c>
      <c r="J1244" s="12">
        <v>86.4</v>
      </c>
      <c r="K1244" s="11">
        <v>1302.05</v>
      </c>
      <c r="L1244" s="12">
        <v>106.1</v>
      </c>
      <c r="M1244" s="11">
        <v>1302.05</v>
      </c>
      <c r="N1244" s="13">
        <v>43.9</v>
      </c>
      <c r="O1244" s="11">
        <v>60.8</v>
      </c>
      <c r="P1244" s="11">
        <v>73.900000000000006</v>
      </c>
      <c r="Q1244" s="11">
        <v>69</v>
      </c>
      <c r="R1244" s="11">
        <v>86.4</v>
      </c>
      <c r="S1244" s="14">
        <v>106.1</v>
      </c>
      <c r="T1244" s="11">
        <v>1302.05</v>
      </c>
      <c r="U1244" s="13" cm="1">
        <f t="array" ref="U1244">IF(Table8[[#This Row],[I_0]]&lt;Table24[Flitro de Ruido],1,Table8[[#This Row],[I_10]]/Table8[[#This Row],[I_0]])</f>
        <v>1.3849658314350797</v>
      </c>
      <c r="V1244" s="13" cm="1">
        <f t="array" ref="V1244">IF(Table8[[#This Row],[I_0]]&lt;Table24[Flitro de Ruido],1,Table8[[#This Row],[I_20]]/Table8[[#This Row],[I_0]])</f>
        <v>1.6833712984054672</v>
      </c>
      <c r="W1244" s="13" cm="1">
        <f t="array" ref="W1244">IF(Table8[[#This Row],[I_0]]&lt;Table24[Flitro de Ruido],1,Table8[[#This Row],[I_30]]/Table8[[#This Row],[I_0]])</f>
        <v>1.571753986332574</v>
      </c>
      <c r="X1244" s="13" cm="1">
        <f t="array" ref="X1244">IF(Table8[[#This Row],[I_0]]&lt;Table24[Flitro de Ruido],1,Table8[[#This Row],[I_40]]/Table8[[#This Row],[I_0]])</f>
        <v>1.9681093394077451</v>
      </c>
      <c r="Y1244" s="13" cm="1">
        <f t="array" ref="Y1244">IF(Table8[[#This Row],[I_0]]&lt;Table24[Flitro de Ruido],1,Table8[[#This Row],[I_50]]/Table8[[#This Row],[I_0]])</f>
        <v>2.416856492027335</v>
      </c>
    </row>
    <row r="1245" spans="1:25" x14ac:dyDescent="0.3">
      <c r="A1245" s="13">
        <v>1303.04</v>
      </c>
      <c r="B1245" s="12">
        <v>44.3</v>
      </c>
      <c r="C1245" s="11">
        <v>1303.04</v>
      </c>
      <c r="D1245" s="12">
        <v>61.3</v>
      </c>
      <c r="E1245" s="11">
        <v>1303.04</v>
      </c>
      <c r="F1245" s="12">
        <v>74.5</v>
      </c>
      <c r="G1245" s="11">
        <v>1303.04</v>
      </c>
      <c r="H1245" s="12">
        <v>69.5</v>
      </c>
      <c r="I1245" s="11">
        <v>1303.04</v>
      </c>
      <c r="J1245" s="12">
        <v>87</v>
      </c>
      <c r="K1245" s="11">
        <v>1303.04</v>
      </c>
      <c r="L1245" s="12">
        <v>106.9</v>
      </c>
      <c r="M1245" s="11">
        <v>1303.04</v>
      </c>
      <c r="N1245" s="13">
        <v>44.3</v>
      </c>
      <c r="O1245" s="11">
        <v>61.3</v>
      </c>
      <c r="P1245" s="11">
        <v>74.5</v>
      </c>
      <c r="Q1245" s="11">
        <v>69.5</v>
      </c>
      <c r="R1245" s="11">
        <v>87</v>
      </c>
      <c r="S1245" s="14">
        <v>106.9</v>
      </c>
      <c r="T1245" s="11">
        <v>1303.04</v>
      </c>
      <c r="U1245" s="13" cm="1">
        <f t="array" ref="U1245">IF(Table8[[#This Row],[I_0]]&lt;Table24[Flitro de Ruido],1,Table8[[#This Row],[I_10]]/Table8[[#This Row],[I_0]])</f>
        <v>1.3837471783295712</v>
      </c>
      <c r="V1245" s="13" cm="1">
        <f t="array" ref="V1245">IF(Table8[[#This Row],[I_0]]&lt;Table24[Flitro de Ruido],1,Table8[[#This Row],[I_20]]/Table8[[#This Row],[I_0]])</f>
        <v>1.6817155756207676</v>
      </c>
      <c r="W1245" s="13" cm="1">
        <f t="array" ref="W1245">IF(Table8[[#This Row],[I_0]]&lt;Table24[Flitro de Ruido],1,Table8[[#This Row],[I_30]]/Table8[[#This Row],[I_0]])</f>
        <v>1.5688487584650115</v>
      </c>
      <c r="X1245" s="13" cm="1">
        <f t="array" ref="X1245">IF(Table8[[#This Row],[I_0]]&lt;Table24[Flitro de Ruido],1,Table8[[#This Row],[I_40]]/Table8[[#This Row],[I_0]])</f>
        <v>1.9638826185101581</v>
      </c>
      <c r="Y1245" s="13" cm="1">
        <f t="array" ref="Y1245">IF(Table8[[#This Row],[I_0]]&lt;Table24[Flitro de Ruido],1,Table8[[#This Row],[I_50]]/Table8[[#This Row],[I_0]])</f>
        <v>2.413092550790068</v>
      </c>
    </row>
    <row r="1246" spans="1:25" x14ac:dyDescent="0.3">
      <c r="A1246" s="13">
        <v>1304.04</v>
      </c>
      <c r="B1246" s="12">
        <v>44.5</v>
      </c>
      <c r="C1246" s="11">
        <v>1304.04</v>
      </c>
      <c r="D1246" s="12">
        <v>61.7</v>
      </c>
      <c r="E1246" s="11">
        <v>1304.04</v>
      </c>
      <c r="F1246" s="12">
        <v>75</v>
      </c>
      <c r="G1246" s="11">
        <v>1304.04</v>
      </c>
      <c r="H1246" s="12">
        <v>69.900000000000006</v>
      </c>
      <c r="I1246" s="11">
        <v>1304.04</v>
      </c>
      <c r="J1246" s="12">
        <v>87.6</v>
      </c>
      <c r="K1246" s="11">
        <v>1304.04</v>
      </c>
      <c r="L1246" s="12">
        <v>107.6</v>
      </c>
      <c r="M1246" s="11">
        <v>1304.04</v>
      </c>
      <c r="N1246" s="13">
        <v>44.5</v>
      </c>
      <c r="O1246" s="11">
        <v>61.7</v>
      </c>
      <c r="P1246" s="11">
        <v>75</v>
      </c>
      <c r="Q1246" s="11">
        <v>69.900000000000006</v>
      </c>
      <c r="R1246" s="11">
        <v>87.6</v>
      </c>
      <c r="S1246" s="14">
        <v>107.6</v>
      </c>
      <c r="T1246" s="11">
        <v>1304.04</v>
      </c>
      <c r="U1246" s="13" cm="1">
        <f t="array" ref="U1246">IF(Table8[[#This Row],[I_0]]&lt;Table24[Flitro de Ruido],1,Table8[[#This Row],[I_10]]/Table8[[#This Row],[I_0]])</f>
        <v>1.3865168539325843</v>
      </c>
      <c r="V1246" s="13" cm="1">
        <f t="array" ref="V1246">IF(Table8[[#This Row],[I_0]]&lt;Table24[Flitro de Ruido],1,Table8[[#This Row],[I_20]]/Table8[[#This Row],[I_0]])</f>
        <v>1.6853932584269662</v>
      </c>
      <c r="W1246" s="13" cm="1">
        <f t="array" ref="W1246">IF(Table8[[#This Row],[I_0]]&lt;Table24[Flitro de Ruido],1,Table8[[#This Row],[I_30]]/Table8[[#This Row],[I_0]])</f>
        <v>1.5707865168539328</v>
      </c>
      <c r="X1246" s="13" cm="1">
        <f t="array" ref="X1246">IF(Table8[[#This Row],[I_0]]&lt;Table24[Flitro de Ruido],1,Table8[[#This Row],[I_40]]/Table8[[#This Row],[I_0]])</f>
        <v>1.9685393258426964</v>
      </c>
      <c r="Y1246" s="13" cm="1">
        <f t="array" ref="Y1246">IF(Table8[[#This Row],[I_0]]&lt;Table24[Flitro de Ruido],1,Table8[[#This Row],[I_50]]/Table8[[#This Row],[I_0]])</f>
        <v>2.4179775280898874</v>
      </c>
    </row>
    <row r="1247" spans="1:25" x14ac:dyDescent="0.3">
      <c r="A1247" s="13">
        <v>1305.03</v>
      </c>
      <c r="B1247" s="12">
        <v>44.9</v>
      </c>
      <c r="C1247" s="11">
        <v>1305.03</v>
      </c>
      <c r="D1247" s="12">
        <v>62.1</v>
      </c>
      <c r="E1247" s="11">
        <v>1305.03</v>
      </c>
      <c r="F1247" s="12">
        <v>75.599999999999994</v>
      </c>
      <c r="G1247" s="11">
        <v>1305.03</v>
      </c>
      <c r="H1247" s="12">
        <v>70.400000000000006</v>
      </c>
      <c r="I1247" s="11">
        <v>1305.03</v>
      </c>
      <c r="J1247" s="12">
        <v>88.2</v>
      </c>
      <c r="K1247" s="11">
        <v>1305.03</v>
      </c>
      <c r="L1247" s="12">
        <v>108.2</v>
      </c>
      <c r="M1247" s="11">
        <v>1305.03</v>
      </c>
      <c r="N1247" s="13">
        <v>44.9</v>
      </c>
      <c r="O1247" s="11">
        <v>62.1</v>
      </c>
      <c r="P1247" s="11">
        <v>75.599999999999994</v>
      </c>
      <c r="Q1247" s="11">
        <v>70.400000000000006</v>
      </c>
      <c r="R1247" s="11">
        <v>88.2</v>
      </c>
      <c r="S1247" s="14">
        <v>108.2</v>
      </c>
      <c r="T1247" s="11">
        <v>1305.03</v>
      </c>
      <c r="U1247" s="13" cm="1">
        <f t="array" ref="U1247">IF(Table8[[#This Row],[I_0]]&lt;Table24[Flitro de Ruido],1,Table8[[#This Row],[I_10]]/Table8[[#This Row],[I_0]])</f>
        <v>1.3830734966592428</v>
      </c>
      <c r="V1247" s="13" cm="1">
        <f t="array" ref="V1247">IF(Table8[[#This Row],[I_0]]&lt;Table24[Flitro de Ruido],1,Table8[[#This Row],[I_20]]/Table8[[#This Row],[I_0]])</f>
        <v>1.6837416481069041</v>
      </c>
      <c r="W1247" s="13" cm="1">
        <f t="array" ref="W1247">IF(Table8[[#This Row],[I_0]]&lt;Table24[Flitro de Ruido],1,Table8[[#This Row],[I_30]]/Table8[[#This Row],[I_0]])</f>
        <v>1.5679287305122496</v>
      </c>
      <c r="X1247" s="13" cm="1">
        <f t="array" ref="X1247">IF(Table8[[#This Row],[I_0]]&lt;Table24[Flitro de Ruido],1,Table8[[#This Row],[I_40]]/Table8[[#This Row],[I_0]])</f>
        <v>1.9643652561247218</v>
      </c>
      <c r="Y1247" s="13" cm="1">
        <f t="array" ref="Y1247">IF(Table8[[#This Row],[I_0]]&lt;Table24[Flitro de Ruido],1,Table8[[#This Row],[I_50]]/Table8[[#This Row],[I_0]])</f>
        <v>2.4097995545657018</v>
      </c>
    </row>
    <row r="1248" spans="1:25" x14ac:dyDescent="0.3">
      <c r="A1248" s="13">
        <v>1306.02</v>
      </c>
      <c r="B1248" s="12">
        <v>45</v>
      </c>
      <c r="C1248" s="11">
        <v>1306.02</v>
      </c>
      <c r="D1248" s="12">
        <v>62.4</v>
      </c>
      <c r="E1248" s="11">
        <v>1306.02</v>
      </c>
      <c r="F1248" s="12">
        <v>76</v>
      </c>
      <c r="G1248" s="11">
        <v>1306.02</v>
      </c>
      <c r="H1248" s="12">
        <v>70.7</v>
      </c>
      <c r="I1248" s="11">
        <v>1306.02</v>
      </c>
      <c r="J1248" s="12">
        <v>88.6</v>
      </c>
      <c r="K1248" s="11">
        <v>1306.02</v>
      </c>
      <c r="L1248" s="12">
        <v>108.7</v>
      </c>
      <c r="M1248" s="11">
        <v>1306.02</v>
      </c>
      <c r="N1248" s="13">
        <v>45</v>
      </c>
      <c r="O1248" s="11">
        <v>62.4</v>
      </c>
      <c r="P1248" s="11">
        <v>76</v>
      </c>
      <c r="Q1248" s="11">
        <v>70.7</v>
      </c>
      <c r="R1248" s="11">
        <v>88.6</v>
      </c>
      <c r="S1248" s="14">
        <v>108.7</v>
      </c>
      <c r="T1248" s="11">
        <v>1306.02</v>
      </c>
      <c r="U1248" s="13" cm="1">
        <f t="array" ref="U1248">IF(Table8[[#This Row],[I_0]]&lt;Table24[Flitro de Ruido],1,Table8[[#This Row],[I_10]]/Table8[[#This Row],[I_0]])</f>
        <v>1.3866666666666667</v>
      </c>
      <c r="V1248" s="13" cm="1">
        <f t="array" ref="V1248">IF(Table8[[#This Row],[I_0]]&lt;Table24[Flitro de Ruido],1,Table8[[#This Row],[I_20]]/Table8[[#This Row],[I_0]])</f>
        <v>1.6888888888888889</v>
      </c>
      <c r="W1248" s="13" cm="1">
        <f t="array" ref="W1248">IF(Table8[[#This Row],[I_0]]&lt;Table24[Flitro de Ruido],1,Table8[[#This Row],[I_30]]/Table8[[#This Row],[I_0]])</f>
        <v>1.5711111111111111</v>
      </c>
      <c r="X1248" s="13" cm="1">
        <f t="array" ref="X1248">IF(Table8[[#This Row],[I_0]]&lt;Table24[Flitro de Ruido],1,Table8[[#This Row],[I_40]]/Table8[[#This Row],[I_0]])</f>
        <v>1.9688888888888887</v>
      </c>
      <c r="Y1248" s="13" cm="1">
        <f t="array" ref="Y1248">IF(Table8[[#This Row],[I_0]]&lt;Table24[Flitro de Ruido],1,Table8[[#This Row],[I_50]]/Table8[[#This Row],[I_0]])</f>
        <v>2.4155555555555557</v>
      </c>
    </row>
    <row r="1249" spans="1:25" x14ac:dyDescent="0.3">
      <c r="A1249" s="13">
        <v>1307.01</v>
      </c>
      <c r="B1249" s="12">
        <v>45.3</v>
      </c>
      <c r="C1249" s="11">
        <v>1307.01</v>
      </c>
      <c r="D1249" s="12">
        <v>62.7</v>
      </c>
      <c r="E1249" s="11">
        <v>1307.01</v>
      </c>
      <c r="F1249" s="12">
        <v>76.3</v>
      </c>
      <c r="G1249" s="11">
        <v>1307.01</v>
      </c>
      <c r="H1249" s="12">
        <v>71</v>
      </c>
      <c r="I1249" s="11">
        <v>1307.01</v>
      </c>
      <c r="J1249" s="12">
        <v>89</v>
      </c>
      <c r="K1249" s="11">
        <v>1307.01</v>
      </c>
      <c r="L1249" s="12">
        <v>109.1</v>
      </c>
      <c r="M1249" s="11">
        <v>1307.01</v>
      </c>
      <c r="N1249" s="13">
        <v>45.3</v>
      </c>
      <c r="O1249" s="11">
        <v>62.7</v>
      </c>
      <c r="P1249" s="11">
        <v>76.3</v>
      </c>
      <c r="Q1249" s="11">
        <v>71</v>
      </c>
      <c r="R1249" s="11">
        <v>89</v>
      </c>
      <c r="S1249" s="14">
        <v>109.1</v>
      </c>
      <c r="T1249" s="11">
        <v>1307.01</v>
      </c>
      <c r="U1249" s="13" cm="1">
        <f t="array" ref="U1249">IF(Table8[[#This Row],[I_0]]&lt;Table24[Flitro de Ruido],1,Table8[[#This Row],[I_10]]/Table8[[#This Row],[I_0]])</f>
        <v>1.3841059602649008</v>
      </c>
      <c r="V1249" s="13" cm="1">
        <f t="array" ref="V1249">IF(Table8[[#This Row],[I_0]]&lt;Table24[Flitro de Ruido],1,Table8[[#This Row],[I_20]]/Table8[[#This Row],[I_0]])</f>
        <v>1.684326710816777</v>
      </c>
      <c r="W1249" s="13" cm="1">
        <f t="array" ref="W1249">IF(Table8[[#This Row],[I_0]]&lt;Table24[Flitro de Ruido],1,Table8[[#This Row],[I_30]]/Table8[[#This Row],[I_0]])</f>
        <v>1.5673289183222958</v>
      </c>
      <c r="X1249" s="13" cm="1">
        <f t="array" ref="X1249">IF(Table8[[#This Row],[I_0]]&lt;Table24[Flitro de Ruido],1,Table8[[#This Row],[I_40]]/Table8[[#This Row],[I_0]])</f>
        <v>1.9646799116997793</v>
      </c>
      <c r="Y1249" s="13" cm="1">
        <f t="array" ref="Y1249">IF(Table8[[#This Row],[I_0]]&lt;Table24[Flitro de Ruido],1,Table8[[#This Row],[I_50]]/Table8[[#This Row],[I_0]])</f>
        <v>2.4083885209713025</v>
      </c>
    </row>
    <row r="1250" spans="1:25" x14ac:dyDescent="0.3">
      <c r="A1250" s="13">
        <v>1308</v>
      </c>
      <c r="B1250" s="12">
        <v>45.3</v>
      </c>
      <c r="C1250" s="11">
        <v>1308</v>
      </c>
      <c r="D1250" s="12">
        <v>62.7</v>
      </c>
      <c r="E1250" s="11">
        <v>1308</v>
      </c>
      <c r="F1250" s="12">
        <v>76.3</v>
      </c>
      <c r="G1250" s="11">
        <v>1308</v>
      </c>
      <c r="H1250" s="12">
        <v>71</v>
      </c>
      <c r="I1250" s="11">
        <v>1308</v>
      </c>
      <c r="J1250" s="12">
        <v>89</v>
      </c>
      <c r="K1250" s="11">
        <v>1308</v>
      </c>
      <c r="L1250" s="12">
        <v>109.1</v>
      </c>
      <c r="M1250" s="11">
        <v>1308</v>
      </c>
      <c r="N1250" s="13">
        <v>45.3</v>
      </c>
      <c r="O1250" s="11">
        <v>62.7</v>
      </c>
      <c r="P1250" s="11">
        <v>76.3</v>
      </c>
      <c r="Q1250" s="11">
        <v>71</v>
      </c>
      <c r="R1250" s="11">
        <v>89</v>
      </c>
      <c r="S1250" s="14">
        <v>109.1</v>
      </c>
      <c r="T1250" s="11">
        <v>1308</v>
      </c>
      <c r="U1250" s="13" cm="1">
        <f t="array" ref="U1250">IF(Table8[[#This Row],[I_0]]&lt;Table24[Flitro de Ruido],1,Table8[[#This Row],[I_10]]/Table8[[#This Row],[I_0]])</f>
        <v>1.3841059602649008</v>
      </c>
      <c r="V1250" s="13" cm="1">
        <f t="array" ref="V1250">IF(Table8[[#This Row],[I_0]]&lt;Table24[Flitro de Ruido],1,Table8[[#This Row],[I_20]]/Table8[[#This Row],[I_0]])</f>
        <v>1.684326710816777</v>
      </c>
      <c r="W1250" s="13" cm="1">
        <f t="array" ref="W1250">IF(Table8[[#This Row],[I_0]]&lt;Table24[Flitro de Ruido],1,Table8[[#This Row],[I_30]]/Table8[[#This Row],[I_0]])</f>
        <v>1.5673289183222958</v>
      </c>
      <c r="X1250" s="13" cm="1">
        <f t="array" ref="X1250">IF(Table8[[#This Row],[I_0]]&lt;Table24[Flitro de Ruido],1,Table8[[#This Row],[I_40]]/Table8[[#This Row],[I_0]])</f>
        <v>1.9646799116997793</v>
      </c>
      <c r="Y1250" s="13" cm="1">
        <f t="array" ref="Y1250">IF(Table8[[#This Row],[I_0]]&lt;Table24[Flitro de Ruido],1,Table8[[#This Row],[I_50]]/Table8[[#This Row],[I_0]])</f>
        <v>2.4083885209713025</v>
      </c>
    </row>
    <row r="1251" spans="1:25" x14ac:dyDescent="0.3">
      <c r="A1251" s="13">
        <v>1308.99</v>
      </c>
      <c r="B1251" s="12">
        <v>45.3</v>
      </c>
      <c r="C1251" s="11">
        <v>1308.99</v>
      </c>
      <c r="D1251" s="12">
        <v>62.7</v>
      </c>
      <c r="E1251" s="11">
        <v>1308.99</v>
      </c>
      <c r="F1251" s="12">
        <v>76.3</v>
      </c>
      <c r="G1251" s="11">
        <v>1308.99</v>
      </c>
      <c r="H1251" s="12">
        <v>71</v>
      </c>
      <c r="I1251" s="11">
        <v>1308.99</v>
      </c>
      <c r="J1251" s="12">
        <v>88.9</v>
      </c>
      <c r="K1251" s="11">
        <v>1308.99</v>
      </c>
      <c r="L1251" s="12">
        <v>108.9</v>
      </c>
      <c r="M1251" s="11">
        <v>1308.99</v>
      </c>
      <c r="N1251" s="13">
        <v>45.3</v>
      </c>
      <c r="O1251" s="11">
        <v>62.7</v>
      </c>
      <c r="P1251" s="11">
        <v>76.3</v>
      </c>
      <c r="Q1251" s="11">
        <v>71</v>
      </c>
      <c r="R1251" s="11">
        <v>88.9</v>
      </c>
      <c r="S1251" s="14">
        <v>108.9</v>
      </c>
      <c r="T1251" s="11">
        <v>1308.99</v>
      </c>
      <c r="U1251" s="13" cm="1">
        <f t="array" ref="U1251">IF(Table8[[#This Row],[I_0]]&lt;Table24[Flitro de Ruido],1,Table8[[#This Row],[I_10]]/Table8[[#This Row],[I_0]])</f>
        <v>1.3841059602649008</v>
      </c>
      <c r="V1251" s="13" cm="1">
        <f t="array" ref="V1251">IF(Table8[[#This Row],[I_0]]&lt;Table24[Flitro de Ruido],1,Table8[[#This Row],[I_20]]/Table8[[#This Row],[I_0]])</f>
        <v>1.684326710816777</v>
      </c>
      <c r="W1251" s="13" cm="1">
        <f t="array" ref="W1251">IF(Table8[[#This Row],[I_0]]&lt;Table24[Flitro de Ruido],1,Table8[[#This Row],[I_30]]/Table8[[#This Row],[I_0]])</f>
        <v>1.5673289183222958</v>
      </c>
      <c r="X1251" s="13" cm="1">
        <f t="array" ref="X1251">IF(Table8[[#This Row],[I_0]]&lt;Table24[Flitro de Ruido],1,Table8[[#This Row],[I_40]]/Table8[[#This Row],[I_0]])</f>
        <v>1.9624724061810157</v>
      </c>
      <c r="Y1251" s="13" cm="1">
        <f t="array" ref="Y1251">IF(Table8[[#This Row],[I_0]]&lt;Table24[Flitro de Ruido],1,Table8[[#This Row],[I_50]]/Table8[[#This Row],[I_0]])</f>
        <v>2.4039735099337749</v>
      </c>
    </row>
    <row r="1252" spans="1:25" x14ac:dyDescent="0.3">
      <c r="A1252" s="13">
        <v>1309.99</v>
      </c>
      <c r="B1252" s="12">
        <v>45.2</v>
      </c>
      <c r="C1252" s="11">
        <v>1309.99</v>
      </c>
      <c r="D1252" s="12">
        <v>62.6</v>
      </c>
      <c r="E1252" s="11">
        <v>1309.99</v>
      </c>
      <c r="F1252" s="12">
        <v>76.099999999999994</v>
      </c>
      <c r="G1252" s="11">
        <v>1309.99</v>
      </c>
      <c r="H1252" s="12">
        <v>70.8</v>
      </c>
      <c r="I1252" s="11">
        <v>1309.99</v>
      </c>
      <c r="J1252" s="12">
        <v>88.7</v>
      </c>
      <c r="K1252" s="11">
        <v>1309.99</v>
      </c>
      <c r="L1252" s="12">
        <v>108.6</v>
      </c>
      <c r="M1252" s="11">
        <v>1309.99</v>
      </c>
      <c r="N1252" s="13">
        <v>45.2</v>
      </c>
      <c r="O1252" s="11">
        <v>62.6</v>
      </c>
      <c r="P1252" s="11">
        <v>76.099999999999994</v>
      </c>
      <c r="Q1252" s="11">
        <v>70.8</v>
      </c>
      <c r="R1252" s="11">
        <v>88.7</v>
      </c>
      <c r="S1252" s="14">
        <v>108.6</v>
      </c>
      <c r="T1252" s="11">
        <v>1309.99</v>
      </c>
      <c r="U1252" s="13" cm="1">
        <f t="array" ref="U1252">IF(Table8[[#This Row],[I_0]]&lt;Table24[Flitro de Ruido],1,Table8[[#This Row],[I_10]]/Table8[[#This Row],[I_0]])</f>
        <v>1.3849557522123894</v>
      </c>
      <c r="V1252" s="13" cm="1">
        <f t="array" ref="V1252">IF(Table8[[#This Row],[I_0]]&lt;Table24[Flitro de Ruido],1,Table8[[#This Row],[I_20]]/Table8[[#This Row],[I_0]])</f>
        <v>1.6836283185840706</v>
      </c>
      <c r="W1252" s="13" cm="1">
        <f t="array" ref="W1252">IF(Table8[[#This Row],[I_0]]&lt;Table24[Flitro de Ruido],1,Table8[[#This Row],[I_30]]/Table8[[#This Row],[I_0]])</f>
        <v>1.566371681415929</v>
      </c>
      <c r="X1252" s="13" cm="1">
        <f t="array" ref="X1252">IF(Table8[[#This Row],[I_0]]&lt;Table24[Flitro de Ruido],1,Table8[[#This Row],[I_40]]/Table8[[#This Row],[I_0]])</f>
        <v>1.9623893805309733</v>
      </c>
      <c r="Y1252" s="13" cm="1">
        <f t="array" ref="Y1252">IF(Table8[[#This Row],[I_0]]&lt;Table24[Flitro de Ruido],1,Table8[[#This Row],[I_50]]/Table8[[#This Row],[I_0]])</f>
        <v>2.4026548672566368</v>
      </c>
    </row>
    <row r="1253" spans="1:25" x14ac:dyDescent="0.3">
      <c r="A1253" s="13">
        <v>1310.98</v>
      </c>
      <c r="B1253" s="12">
        <v>45.3</v>
      </c>
      <c r="C1253" s="11">
        <v>1310.98</v>
      </c>
      <c r="D1253" s="12">
        <v>62.5</v>
      </c>
      <c r="E1253" s="11">
        <v>1310.98</v>
      </c>
      <c r="F1253" s="12">
        <v>75.900000000000006</v>
      </c>
      <c r="G1253" s="11">
        <v>1310.98</v>
      </c>
      <c r="H1253" s="12">
        <v>70.7</v>
      </c>
      <c r="I1253" s="11">
        <v>1310.98</v>
      </c>
      <c r="J1253" s="12">
        <v>88.5</v>
      </c>
      <c r="K1253" s="11">
        <v>1310.98</v>
      </c>
      <c r="L1253" s="12">
        <v>108.3</v>
      </c>
      <c r="M1253" s="11">
        <v>1310.98</v>
      </c>
      <c r="N1253" s="13">
        <v>45.3</v>
      </c>
      <c r="O1253" s="11">
        <v>62.5</v>
      </c>
      <c r="P1253" s="11">
        <v>75.900000000000006</v>
      </c>
      <c r="Q1253" s="11">
        <v>70.7</v>
      </c>
      <c r="R1253" s="11">
        <v>88.5</v>
      </c>
      <c r="S1253" s="14">
        <v>108.3</v>
      </c>
      <c r="T1253" s="11">
        <v>1310.98</v>
      </c>
      <c r="U1253" s="13" cm="1">
        <f t="array" ref="U1253">IF(Table8[[#This Row],[I_0]]&lt;Table24[Flitro de Ruido],1,Table8[[#This Row],[I_10]]/Table8[[#This Row],[I_0]])</f>
        <v>1.3796909492273732</v>
      </c>
      <c r="V1253" s="13" cm="1">
        <f t="array" ref="V1253">IF(Table8[[#This Row],[I_0]]&lt;Table24[Flitro de Ruido],1,Table8[[#This Row],[I_20]]/Table8[[#This Row],[I_0]])</f>
        <v>1.6754966887417222</v>
      </c>
      <c r="W1253" s="13" cm="1">
        <f t="array" ref="W1253">IF(Table8[[#This Row],[I_0]]&lt;Table24[Flitro de Ruido],1,Table8[[#This Row],[I_30]]/Table8[[#This Row],[I_0]])</f>
        <v>1.5607064017660046</v>
      </c>
      <c r="X1253" s="13" cm="1">
        <f t="array" ref="X1253">IF(Table8[[#This Row],[I_0]]&lt;Table24[Flitro de Ruido],1,Table8[[#This Row],[I_40]]/Table8[[#This Row],[I_0]])</f>
        <v>1.9536423841059605</v>
      </c>
      <c r="Y1253" s="13" cm="1">
        <f t="array" ref="Y1253">IF(Table8[[#This Row],[I_0]]&lt;Table24[Flitro de Ruido],1,Table8[[#This Row],[I_50]]/Table8[[#This Row],[I_0]])</f>
        <v>2.3907284768211921</v>
      </c>
    </row>
    <row r="1254" spans="1:25" x14ac:dyDescent="0.3">
      <c r="A1254" s="13">
        <v>1311.97</v>
      </c>
      <c r="B1254" s="12">
        <v>45.1</v>
      </c>
      <c r="C1254" s="11">
        <v>1311.97</v>
      </c>
      <c r="D1254" s="12">
        <v>62.3</v>
      </c>
      <c r="E1254" s="11">
        <v>1311.97</v>
      </c>
      <c r="F1254" s="12">
        <v>75.599999999999994</v>
      </c>
      <c r="G1254" s="11">
        <v>1311.97</v>
      </c>
      <c r="H1254" s="12">
        <v>70.400000000000006</v>
      </c>
      <c r="I1254" s="11">
        <v>1311.97</v>
      </c>
      <c r="J1254" s="12">
        <v>88.1</v>
      </c>
      <c r="K1254" s="11">
        <v>1311.97</v>
      </c>
      <c r="L1254" s="12">
        <v>107.9</v>
      </c>
      <c r="M1254" s="11">
        <v>1311.97</v>
      </c>
      <c r="N1254" s="13">
        <v>45.1</v>
      </c>
      <c r="O1254" s="11">
        <v>62.3</v>
      </c>
      <c r="P1254" s="11">
        <v>75.599999999999994</v>
      </c>
      <c r="Q1254" s="11">
        <v>70.400000000000006</v>
      </c>
      <c r="R1254" s="11">
        <v>88.1</v>
      </c>
      <c r="S1254" s="14">
        <v>107.9</v>
      </c>
      <c r="T1254" s="11">
        <v>1311.97</v>
      </c>
      <c r="U1254" s="13" cm="1">
        <f t="array" ref="U1254">IF(Table8[[#This Row],[I_0]]&lt;Table24[Flitro de Ruido],1,Table8[[#This Row],[I_10]]/Table8[[#This Row],[I_0]])</f>
        <v>1.3813747228381374</v>
      </c>
      <c r="V1254" s="13" cm="1">
        <f t="array" ref="V1254">IF(Table8[[#This Row],[I_0]]&lt;Table24[Flitro de Ruido],1,Table8[[#This Row],[I_20]]/Table8[[#This Row],[I_0]])</f>
        <v>1.6762749445676273</v>
      </c>
      <c r="W1254" s="13" cm="1">
        <f t="array" ref="W1254">IF(Table8[[#This Row],[I_0]]&lt;Table24[Flitro de Ruido],1,Table8[[#This Row],[I_30]]/Table8[[#This Row],[I_0]])</f>
        <v>1.5609756097560976</v>
      </c>
      <c r="X1254" s="13" cm="1">
        <f t="array" ref="X1254">IF(Table8[[#This Row],[I_0]]&lt;Table24[Flitro de Ruido],1,Table8[[#This Row],[I_40]]/Table8[[#This Row],[I_0]])</f>
        <v>1.9534368070953434</v>
      </c>
      <c r="Y1254" s="13" cm="1">
        <f t="array" ref="Y1254">IF(Table8[[#This Row],[I_0]]&lt;Table24[Flitro de Ruido],1,Table8[[#This Row],[I_50]]/Table8[[#This Row],[I_0]])</f>
        <v>2.3924611973392462</v>
      </c>
    </row>
    <row r="1255" spans="1:25" x14ac:dyDescent="0.3">
      <c r="A1255" s="13">
        <v>1312.96</v>
      </c>
      <c r="B1255" s="12">
        <v>45</v>
      </c>
      <c r="C1255" s="11">
        <v>1312.96</v>
      </c>
      <c r="D1255" s="12">
        <v>62.1</v>
      </c>
      <c r="E1255" s="11">
        <v>1312.96</v>
      </c>
      <c r="F1255" s="12">
        <v>75.3</v>
      </c>
      <c r="G1255" s="11">
        <v>1312.96</v>
      </c>
      <c r="H1255" s="12">
        <v>70.099999999999994</v>
      </c>
      <c r="I1255" s="11">
        <v>1312.96</v>
      </c>
      <c r="J1255" s="12">
        <v>87.6</v>
      </c>
      <c r="K1255" s="11">
        <v>1312.96</v>
      </c>
      <c r="L1255" s="12">
        <v>107.3</v>
      </c>
      <c r="M1255" s="11">
        <v>1312.96</v>
      </c>
      <c r="N1255" s="13">
        <v>45</v>
      </c>
      <c r="O1255" s="11">
        <v>62.1</v>
      </c>
      <c r="P1255" s="11">
        <v>75.3</v>
      </c>
      <c r="Q1255" s="11">
        <v>70.099999999999994</v>
      </c>
      <c r="R1255" s="11">
        <v>87.6</v>
      </c>
      <c r="S1255" s="14">
        <v>107.3</v>
      </c>
      <c r="T1255" s="11">
        <v>1312.96</v>
      </c>
      <c r="U1255" s="13" cm="1">
        <f t="array" ref="U1255">IF(Table8[[#This Row],[I_0]]&lt;Table24[Flitro de Ruido],1,Table8[[#This Row],[I_10]]/Table8[[#This Row],[I_0]])</f>
        <v>1.3800000000000001</v>
      </c>
      <c r="V1255" s="13" cm="1">
        <f t="array" ref="V1255">IF(Table8[[#This Row],[I_0]]&lt;Table24[Flitro de Ruido],1,Table8[[#This Row],[I_20]]/Table8[[#This Row],[I_0]])</f>
        <v>1.6733333333333333</v>
      </c>
      <c r="W1255" s="13" cm="1">
        <f t="array" ref="W1255">IF(Table8[[#This Row],[I_0]]&lt;Table24[Flitro de Ruido],1,Table8[[#This Row],[I_30]]/Table8[[#This Row],[I_0]])</f>
        <v>1.5577777777777777</v>
      </c>
      <c r="X1255" s="13" cm="1">
        <f t="array" ref="X1255">IF(Table8[[#This Row],[I_0]]&lt;Table24[Flitro de Ruido],1,Table8[[#This Row],[I_40]]/Table8[[#This Row],[I_0]])</f>
        <v>1.9466666666666665</v>
      </c>
      <c r="Y1255" s="13" cm="1">
        <f t="array" ref="Y1255">IF(Table8[[#This Row],[I_0]]&lt;Table24[Flitro de Ruido],1,Table8[[#This Row],[I_50]]/Table8[[#This Row],[I_0]])</f>
        <v>2.3844444444444446</v>
      </c>
    </row>
    <row r="1256" spans="1:25" x14ac:dyDescent="0.3">
      <c r="A1256" s="13">
        <v>1313.95</v>
      </c>
      <c r="B1256" s="12">
        <v>44.8</v>
      </c>
      <c r="C1256" s="11">
        <v>1313.95</v>
      </c>
      <c r="D1256" s="12">
        <v>61.8</v>
      </c>
      <c r="E1256" s="11">
        <v>1313.95</v>
      </c>
      <c r="F1256" s="12">
        <v>74.8</v>
      </c>
      <c r="G1256" s="11">
        <v>1313.95</v>
      </c>
      <c r="H1256" s="12">
        <v>69.8</v>
      </c>
      <c r="I1256" s="11">
        <v>1313.95</v>
      </c>
      <c r="J1256" s="12">
        <v>87</v>
      </c>
      <c r="K1256" s="11">
        <v>1313.95</v>
      </c>
      <c r="L1256" s="12">
        <v>106.7</v>
      </c>
      <c r="M1256" s="11">
        <v>1313.95</v>
      </c>
      <c r="N1256" s="13">
        <v>44.8</v>
      </c>
      <c r="O1256" s="11">
        <v>61.8</v>
      </c>
      <c r="P1256" s="11">
        <v>74.8</v>
      </c>
      <c r="Q1256" s="11">
        <v>69.8</v>
      </c>
      <c r="R1256" s="11">
        <v>87</v>
      </c>
      <c r="S1256" s="14">
        <v>106.7</v>
      </c>
      <c r="T1256" s="11">
        <v>1313.95</v>
      </c>
      <c r="U1256" s="13" cm="1">
        <f t="array" ref="U1256">IF(Table8[[#This Row],[I_0]]&lt;Table24[Flitro de Ruido],1,Table8[[#This Row],[I_10]]/Table8[[#This Row],[I_0]])</f>
        <v>1.3794642857142858</v>
      </c>
      <c r="V1256" s="13" cm="1">
        <f t="array" ref="V1256">IF(Table8[[#This Row],[I_0]]&lt;Table24[Flitro de Ruido],1,Table8[[#This Row],[I_20]]/Table8[[#This Row],[I_0]])</f>
        <v>1.6696428571428572</v>
      </c>
      <c r="W1256" s="13" cm="1">
        <f t="array" ref="W1256">IF(Table8[[#This Row],[I_0]]&lt;Table24[Flitro de Ruido],1,Table8[[#This Row],[I_30]]/Table8[[#This Row],[I_0]])</f>
        <v>1.5580357142857144</v>
      </c>
      <c r="X1256" s="13" cm="1">
        <f t="array" ref="X1256">IF(Table8[[#This Row],[I_0]]&lt;Table24[Flitro de Ruido],1,Table8[[#This Row],[I_40]]/Table8[[#This Row],[I_0]])</f>
        <v>1.9419642857142858</v>
      </c>
      <c r="Y1256" s="13" cm="1">
        <f t="array" ref="Y1256">IF(Table8[[#This Row],[I_0]]&lt;Table24[Flitro de Ruido],1,Table8[[#This Row],[I_50]]/Table8[[#This Row],[I_0]])</f>
        <v>2.3816964285714288</v>
      </c>
    </row>
    <row r="1257" spans="1:25" x14ac:dyDescent="0.3">
      <c r="A1257" s="13">
        <v>1314.94</v>
      </c>
      <c r="B1257" s="12">
        <v>44.7</v>
      </c>
      <c r="C1257" s="11">
        <v>1314.94</v>
      </c>
      <c r="D1257" s="12">
        <v>61.6</v>
      </c>
      <c r="E1257" s="11">
        <v>1314.94</v>
      </c>
      <c r="F1257" s="12">
        <v>74.5</v>
      </c>
      <c r="G1257" s="11">
        <v>1314.94</v>
      </c>
      <c r="H1257" s="12">
        <v>69.5</v>
      </c>
      <c r="I1257" s="11">
        <v>1314.94</v>
      </c>
      <c r="J1257" s="12">
        <v>86.5</v>
      </c>
      <c r="K1257" s="11">
        <v>1314.94</v>
      </c>
      <c r="L1257" s="12">
        <v>106.1</v>
      </c>
      <c r="M1257" s="11">
        <v>1314.94</v>
      </c>
      <c r="N1257" s="13">
        <v>44.7</v>
      </c>
      <c r="O1257" s="11">
        <v>61.6</v>
      </c>
      <c r="P1257" s="11">
        <v>74.5</v>
      </c>
      <c r="Q1257" s="11">
        <v>69.5</v>
      </c>
      <c r="R1257" s="11">
        <v>86.5</v>
      </c>
      <c r="S1257" s="14">
        <v>106.1</v>
      </c>
      <c r="T1257" s="11">
        <v>1314.94</v>
      </c>
      <c r="U1257" s="13" cm="1">
        <f t="array" ref="U1257">IF(Table8[[#This Row],[I_0]]&lt;Table24[Flitro de Ruido],1,Table8[[#This Row],[I_10]]/Table8[[#This Row],[I_0]])</f>
        <v>1.378076062639821</v>
      </c>
      <c r="V1257" s="13" cm="1">
        <f t="array" ref="V1257">IF(Table8[[#This Row],[I_0]]&lt;Table24[Flitro de Ruido],1,Table8[[#This Row],[I_20]]/Table8[[#This Row],[I_0]])</f>
        <v>1.6666666666666665</v>
      </c>
      <c r="W1257" s="13" cm="1">
        <f t="array" ref="W1257">IF(Table8[[#This Row],[I_0]]&lt;Table24[Flitro de Ruido],1,Table8[[#This Row],[I_30]]/Table8[[#This Row],[I_0]])</f>
        <v>1.5548098434004474</v>
      </c>
      <c r="X1257" s="13" cm="1">
        <f t="array" ref="X1257">IF(Table8[[#This Row],[I_0]]&lt;Table24[Flitro de Ruido],1,Table8[[#This Row],[I_40]]/Table8[[#This Row],[I_0]])</f>
        <v>1.9351230425055927</v>
      </c>
      <c r="Y1257" s="13" cm="1">
        <f t="array" ref="Y1257">IF(Table8[[#This Row],[I_0]]&lt;Table24[Flitro de Ruido],1,Table8[[#This Row],[I_50]]/Table8[[#This Row],[I_0]])</f>
        <v>2.3736017897091721</v>
      </c>
    </row>
    <row r="1258" spans="1:25" x14ac:dyDescent="0.3">
      <c r="A1258" s="13">
        <v>1315.94</v>
      </c>
      <c r="B1258" s="12">
        <v>44.5</v>
      </c>
      <c r="C1258" s="11">
        <v>1315.94</v>
      </c>
      <c r="D1258" s="12">
        <v>61.3</v>
      </c>
      <c r="E1258" s="11">
        <v>1315.94</v>
      </c>
      <c r="F1258" s="12">
        <v>74.099999999999994</v>
      </c>
      <c r="G1258" s="11">
        <v>1315.94</v>
      </c>
      <c r="H1258" s="12">
        <v>69.099999999999994</v>
      </c>
      <c r="I1258" s="11">
        <v>1315.94</v>
      </c>
      <c r="J1258" s="12">
        <v>86.1</v>
      </c>
      <c r="K1258" s="11">
        <v>1315.94</v>
      </c>
      <c r="L1258" s="12">
        <v>105.5</v>
      </c>
      <c r="M1258" s="11">
        <v>1315.94</v>
      </c>
      <c r="N1258" s="13">
        <v>44.5</v>
      </c>
      <c r="O1258" s="11">
        <v>61.3</v>
      </c>
      <c r="P1258" s="11">
        <v>74.099999999999994</v>
      </c>
      <c r="Q1258" s="11">
        <v>69.099999999999994</v>
      </c>
      <c r="R1258" s="11">
        <v>86.1</v>
      </c>
      <c r="S1258" s="14">
        <v>105.5</v>
      </c>
      <c r="T1258" s="11">
        <v>1315.94</v>
      </c>
      <c r="U1258" s="13" cm="1">
        <f t="array" ref="U1258">IF(Table8[[#This Row],[I_0]]&lt;Table24[Flitro de Ruido],1,Table8[[#This Row],[I_10]]/Table8[[#This Row],[I_0]])</f>
        <v>1.3775280898876403</v>
      </c>
      <c r="V1258" s="13" cm="1">
        <f t="array" ref="V1258">IF(Table8[[#This Row],[I_0]]&lt;Table24[Flitro de Ruido],1,Table8[[#This Row],[I_20]]/Table8[[#This Row],[I_0]])</f>
        <v>1.6651685393258426</v>
      </c>
      <c r="W1258" s="13" cm="1">
        <f t="array" ref="W1258">IF(Table8[[#This Row],[I_0]]&lt;Table24[Flitro de Ruido],1,Table8[[#This Row],[I_30]]/Table8[[#This Row],[I_0]])</f>
        <v>1.5528089887640448</v>
      </c>
      <c r="X1258" s="13" cm="1">
        <f t="array" ref="X1258">IF(Table8[[#This Row],[I_0]]&lt;Table24[Flitro de Ruido],1,Table8[[#This Row],[I_40]]/Table8[[#This Row],[I_0]])</f>
        <v>1.9348314606741572</v>
      </c>
      <c r="Y1258" s="13" cm="1">
        <f t="array" ref="Y1258">IF(Table8[[#This Row],[I_0]]&lt;Table24[Flitro de Ruido],1,Table8[[#This Row],[I_50]]/Table8[[#This Row],[I_0]])</f>
        <v>2.3707865168539324</v>
      </c>
    </row>
    <row r="1259" spans="1:25" x14ac:dyDescent="0.3">
      <c r="A1259" s="13">
        <v>1316.93</v>
      </c>
      <c r="B1259" s="12">
        <v>44.4</v>
      </c>
      <c r="C1259" s="11">
        <v>1316.93</v>
      </c>
      <c r="D1259" s="12">
        <v>61.2</v>
      </c>
      <c r="E1259" s="11">
        <v>1316.93</v>
      </c>
      <c r="F1259" s="12">
        <v>74</v>
      </c>
      <c r="G1259" s="11">
        <v>1316.93</v>
      </c>
      <c r="H1259" s="12">
        <v>69</v>
      </c>
      <c r="I1259" s="11">
        <v>1316.93</v>
      </c>
      <c r="J1259" s="12">
        <v>85.8</v>
      </c>
      <c r="K1259" s="11">
        <v>1316.93</v>
      </c>
      <c r="L1259" s="12">
        <v>105.2</v>
      </c>
      <c r="M1259" s="11">
        <v>1316.93</v>
      </c>
      <c r="N1259" s="13">
        <v>44.4</v>
      </c>
      <c r="O1259" s="11">
        <v>61.2</v>
      </c>
      <c r="P1259" s="11">
        <v>74</v>
      </c>
      <c r="Q1259" s="11">
        <v>69</v>
      </c>
      <c r="R1259" s="11">
        <v>85.8</v>
      </c>
      <c r="S1259" s="14">
        <v>105.2</v>
      </c>
      <c r="T1259" s="11">
        <v>1316.93</v>
      </c>
      <c r="U1259" s="13" cm="1">
        <f t="array" ref="U1259">IF(Table8[[#This Row],[I_0]]&lt;Table24[Flitro de Ruido],1,Table8[[#This Row],[I_10]]/Table8[[#This Row],[I_0]])</f>
        <v>1.3783783783783785</v>
      </c>
      <c r="V1259" s="13" cm="1">
        <f t="array" ref="V1259">IF(Table8[[#This Row],[I_0]]&lt;Table24[Flitro de Ruido],1,Table8[[#This Row],[I_20]]/Table8[[#This Row],[I_0]])</f>
        <v>1.6666666666666667</v>
      </c>
      <c r="W1259" s="13" cm="1">
        <f t="array" ref="W1259">IF(Table8[[#This Row],[I_0]]&lt;Table24[Flitro de Ruido],1,Table8[[#This Row],[I_30]]/Table8[[#This Row],[I_0]])</f>
        <v>1.5540540540540542</v>
      </c>
      <c r="X1259" s="13" cm="1">
        <f t="array" ref="X1259">IF(Table8[[#This Row],[I_0]]&lt;Table24[Flitro de Ruido],1,Table8[[#This Row],[I_40]]/Table8[[#This Row],[I_0]])</f>
        <v>1.9324324324324325</v>
      </c>
      <c r="Y1259" s="13" cm="1">
        <f t="array" ref="Y1259">IF(Table8[[#This Row],[I_0]]&lt;Table24[Flitro de Ruido],1,Table8[[#This Row],[I_50]]/Table8[[#This Row],[I_0]])</f>
        <v>2.3693693693693696</v>
      </c>
    </row>
    <row r="1260" spans="1:25" x14ac:dyDescent="0.3">
      <c r="A1260" s="13">
        <v>1317.92</v>
      </c>
      <c r="B1260" s="12">
        <v>44.4</v>
      </c>
      <c r="C1260" s="11">
        <v>1317.92</v>
      </c>
      <c r="D1260" s="12">
        <v>61.1</v>
      </c>
      <c r="E1260" s="11">
        <v>1317.92</v>
      </c>
      <c r="F1260" s="12">
        <v>73.900000000000006</v>
      </c>
      <c r="G1260" s="11">
        <v>1317.92</v>
      </c>
      <c r="H1260" s="12">
        <v>68.8</v>
      </c>
      <c r="I1260" s="11">
        <v>1317.92</v>
      </c>
      <c r="J1260" s="12">
        <v>85.6</v>
      </c>
      <c r="K1260" s="11">
        <v>1317.92</v>
      </c>
      <c r="L1260" s="12">
        <v>104.9</v>
      </c>
      <c r="M1260" s="11">
        <v>1317.92</v>
      </c>
      <c r="N1260" s="13">
        <v>44.4</v>
      </c>
      <c r="O1260" s="11">
        <v>61.1</v>
      </c>
      <c r="P1260" s="11">
        <v>73.900000000000006</v>
      </c>
      <c r="Q1260" s="11">
        <v>68.8</v>
      </c>
      <c r="R1260" s="11">
        <v>85.6</v>
      </c>
      <c r="S1260" s="14">
        <v>104.9</v>
      </c>
      <c r="T1260" s="11">
        <v>1317.92</v>
      </c>
      <c r="U1260" s="13" cm="1">
        <f t="array" ref="U1260">IF(Table8[[#This Row],[I_0]]&lt;Table24[Flitro de Ruido],1,Table8[[#This Row],[I_10]]/Table8[[#This Row],[I_0]])</f>
        <v>1.3761261261261262</v>
      </c>
      <c r="V1260" s="13" cm="1">
        <f t="array" ref="V1260">IF(Table8[[#This Row],[I_0]]&lt;Table24[Flitro de Ruido],1,Table8[[#This Row],[I_20]]/Table8[[#This Row],[I_0]])</f>
        <v>1.6644144144144146</v>
      </c>
      <c r="W1260" s="13" cm="1">
        <f t="array" ref="W1260">IF(Table8[[#This Row],[I_0]]&lt;Table24[Flitro de Ruido],1,Table8[[#This Row],[I_30]]/Table8[[#This Row],[I_0]])</f>
        <v>1.5495495495495495</v>
      </c>
      <c r="X1260" s="13" cm="1">
        <f t="array" ref="X1260">IF(Table8[[#This Row],[I_0]]&lt;Table24[Flitro de Ruido],1,Table8[[#This Row],[I_40]]/Table8[[#This Row],[I_0]])</f>
        <v>1.9279279279279278</v>
      </c>
      <c r="Y1260" s="13" cm="1">
        <f t="array" ref="Y1260">IF(Table8[[#This Row],[I_0]]&lt;Table24[Flitro de Ruido],1,Table8[[#This Row],[I_50]]/Table8[[#This Row],[I_0]])</f>
        <v>2.362612612612613</v>
      </c>
    </row>
    <row r="1261" spans="1:25" x14ac:dyDescent="0.3">
      <c r="A1261" s="13">
        <v>1318.91</v>
      </c>
      <c r="B1261" s="12">
        <v>44.6</v>
      </c>
      <c r="C1261" s="11">
        <v>1318.91</v>
      </c>
      <c r="D1261" s="12">
        <v>61.2</v>
      </c>
      <c r="E1261" s="11">
        <v>1318.91</v>
      </c>
      <c r="F1261" s="12">
        <v>73.900000000000006</v>
      </c>
      <c r="G1261" s="11">
        <v>1318.91</v>
      </c>
      <c r="H1261" s="12">
        <v>68.8</v>
      </c>
      <c r="I1261" s="11">
        <v>1318.91</v>
      </c>
      <c r="J1261" s="12">
        <v>85.6</v>
      </c>
      <c r="K1261" s="11">
        <v>1318.91</v>
      </c>
      <c r="L1261" s="12">
        <v>104.8</v>
      </c>
      <c r="M1261" s="11">
        <v>1318.91</v>
      </c>
      <c r="N1261" s="13">
        <v>44.6</v>
      </c>
      <c r="O1261" s="11">
        <v>61.2</v>
      </c>
      <c r="P1261" s="11">
        <v>73.900000000000006</v>
      </c>
      <c r="Q1261" s="11">
        <v>68.8</v>
      </c>
      <c r="R1261" s="11">
        <v>85.6</v>
      </c>
      <c r="S1261" s="14">
        <v>104.8</v>
      </c>
      <c r="T1261" s="11">
        <v>1318.91</v>
      </c>
      <c r="U1261" s="13" cm="1">
        <f t="array" ref="U1261">IF(Table8[[#This Row],[I_0]]&lt;Table24[Flitro de Ruido],1,Table8[[#This Row],[I_10]]/Table8[[#This Row],[I_0]])</f>
        <v>1.3721973094170403</v>
      </c>
      <c r="V1261" s="13" cm="1">
        <f t="array" ref="V1261">IF(Table8[[#This Row],[I_0]]&lt;Table24[Flitro de Ruido],1,Table8[[#This Row],[I_20]]/Table8[[#This Row],[I_0]])</f>
        <v>1.6569506726457399</v>
      </c>
      <c r="W1261" s="13" cm="1">
        <f t="array" ref="W1261">IF(Table8[[#This Row],[I_0]]&lt;Table24[Flitro de Ruido],1,Table8[[#This Row],[I_30]]/Table8[[#This Row],[I_0]])</f>
        <v>1.5426008968609863</v>
      </c>
      <c r="X1261" s="13" cm="1">
        <f t="array" ref="X1261">IF(Table8[[#This Row],[I_0]]&lt;Table24[Flitro de Ruido],1,Table8[[#This Row],[I_40]]/Table8[[#This Row],[I_0]])</f>
        <v>1.9192825112107621</v>
      </c>
      <c r="Y1261" s="13" cm="1">
        <f t="array" ref="Y1261">IF(Table8[[#This Row],[I_0]]&lt;Table24[Flitro de Ruido],1,Table8[[#This Row],[I_50]]/Table8[[#This Row],[I_0]])</f>
        <v>2.3497757847533629</v>
      </c>
    </row>
    <row r="1262" spans="1:25" x14ac:dyDescent="0.3">
      <c r="A1262" s="13">
        <v>1319.9</v>
      </c>
      <c r="B1262" s="12">
        <v>44.6</v>
      </c>
      <c r="C1262" s="11">
        <v>1319.9</v>
      </c>
      <c r="D1262" s="12">
        <v>61.2</v>
      </c>
      <c r="E1262" s="11">
        <v>1319.9</v>
      </c>
      <c r="F1262" s="12">
        <v>73.8</v>
      </c>
      <c r="G1262" s="11">
        <v>1319.9</v>
      </c>
      <c r="H1262" s="12">
        <v>68.7</v>
      </c>
      <c r="I1262" s="11">
        <v>1319.9</v>
      </c>
      <c r="J1262" s="12">
        <v>85.5</v>
      </c>
      <c r="K1262" s="11">
        <v>1319.9</v>
      </c>
      <c r="L1262" s="12">
        <v>104.7</v>
      </c>
      <c r="M1262" s="11">
        <v>1319.9</v>
      </c>
      <c r="N1262" s="13">
        <v>44.6</v>
      </c>
      <c r="O1262" s="11">
        <v>61.2</v>
      </c>
      <c r="P1262" s="11">
        <v>73.8</v>
      </c>
      <c r="Q1262" s="11">
        <v>68.7</v>
      </c>
      <c r="R1262" s="11">
        <v>85.5</v>
      </c>
      <c r="S1262" s="14">
        <v>104.7</v>
      </c>
      <c r="T1262" s="11">
        <v>1319.9</v>
      </c>
      <c r="U1262" s="13" cm="1">
        <f t="array" ref="U1262">IF(Table8[[#This Row],[I_0]]&lt;Table24[Flitro de Ruido],1,Table8[[#This Row],[I_10]]/Table8[[#This Row],[I_0]])</f>
        <v>1.3721973094170403</v>
      </c>
      <c r="V1262" s="13" cm="1">
        <f t="array" ref="V1262">IF(Table8[[#This Row],[I_0]]&lt;Table24[Flitro de Ruido],1,Table8[[#This Row],[I_20]]/Table8[[#This Row],[I_0]])</f>
        <v>1.6547085201793721</v>
      </c>
      <c r="W1262" s="13" cm="1">
        <f t="array" ref="W1262">IF(Table8[[#This Row],[I_0]]&lt;Table24[Flitro de Ruido],1,Table8[[#This Row],[I_30]]/Table8[[#This Row],[I_0]])</f>
        <v>1.540358744394619</v>
      </c>
      <c r="X1262" s="13" cm="1">
        <f t="array" ref="X1262">IF(Table8[[#This Row],[I_0]]&lt;Table24[Flitro de Ruido],1,Table8[[#This Row],[I_40]]/Table8[[#This Row],[I_0]])</f>
        <v>1.9170403587443945</v>
      </c>
      <c r="Y1262" s="13" cm="1">
        <f t="array" ref="Y1262">IF(Table8[[#This Row],[I_0]]&lt;Table24[Flitro de Ruido],1,Table8[[#This Row],[I_50]]/Table8[[#This Row],[I_0]])</f>
        <v>2.3475336322869955</v>
      </c>
    </row>
    <row r="1263" spans="1:25" x14ac:dyDescent="0.3">
      <c r="A1263" s="13">
        <v>1320.9</v>
      </c>
      <c r="B1263" s="12">
        <v>44.7</v>
      </c>
      <c r="C1263" s="11">
        <v>1320.9</v>
      </c>
      <c r="D1263" s="12">
        <v>61.2</v>
      </c>
      <c r="E1263" s="11">
        <v>1320.9</v>
      </c>
      <c r="F1263" s="12">
        <v>73.8</v>
      </c>
      <c r="G1263" s="11">
        <v>1320.9</v>
      </c>
      <c r="H1263" s="12">
        <v>68.7</v>
      </c>
      <c r="I1263" s="11">
        <v>1320.9</v>
      </c>
      <c r="J1263" s="12">
        <v>85.5</v>
      </c>
      <c r="K1263" s="11">
        <v>1320.9</v>
      </c>
      <c r="L1263" s="12">
        <v>104.6</v>
      </c>
      <c r="M1263" s="11">
        <v>1320.9</v>
      </c>
      <c r="N1263" s="13">
        <v>44.7</v>
      </c>
      <c r="O1263" s="11">
        <v>61.2</v>
      </c>
      <c r="P1263" s="11">
        <v>73.8</v>
      </c>
      <c r="Q1263" s="11">
        <v>68.7</v>
      </c>
      <c r="R1263" s="11">
        <v>85.5</v>
      </c>
      <c r="S1263" s="14">
        <v>104.6</v>
      </c>
      <c r="T1263" s="11">
        <v>1320.9</v>
      </c>
      <c r="U1263" s="13" cm="1">
        <f t="array" ref="U1263">IF(Table8[[#This Row],[I_0]]&lt;Table24[Flitro de Ruido],1,Table8[[#This Row],[I_10]]/Table8[[#This Row],[I_0]])</f>
        <v>1.3691275167785235</v>
      </c>
      <c r="V1263" s="13" cm="1">
        <f t="array" ref="V1263">IF(Table8[[#This Row],[I_0]]&lt;Table24[Flitro de Ruido],1,Table8[[#This Row],[I_20]]/Table8[[#This Row],[I_0]])</f>
        <v>1.6510067114093958</v>
      </c>
      <c r="W1263" s="13" cm="1">
        <f t="array" ref="W1263">IF(Table8[[#This Row],[I_0]]&lt;Table24[Flitro de Ruido],1,Table8[[#This Row],[I_30]]/Table8[[#This Row],[I_0]])</f>
        <v>1.5369127516778522</v>
      </c>
      <c r="X1263" s="13" cm="1">
        <f t="array" ref="X1263">IF(Table8[[#This Row],[I_0]]&lt;Table24[Flitro de Ruido],1,Table8[[#This Row],[I_40]]/Table8[[#This Row],[I_0]])</f>
        <v>1.9127516778523488</v>
      </c>
      <c r="Y1263" s="13" cm="1">
        <f t="array" ref="Y1263">IF(Table8[[#This Row],[I_0]]&lt;Table24[Flitro de Ruido],1,Table8[[#This Row],[I_50]]/Table8[[#This Row],[I_0]])</f>
        <v>2.3400447427293063</v>
      </c>
    </row>
    <row r="1264" spans="1:25" x14ac:dyDescent="0.3">
      <c r="A1264" s="13">
        <v>1321.89</v>
      </c>
      <c r="B1264" s="12">
        <v>44.7</v>
      </c>
      <c r="C1264" s="11">
        <v>1321.89</v>
      </c>
      <c r="D1264" s="12">
        <v>61.2</v>
      </c>
      <c r="E1264" s="11">
        <v>1321.89</v>
      </c>
      <c r="F1264" s="12">
        <v>73.7</v>
      </c>
      <c r="G1264" s="11">
        <v>1321.89</v>
      </c>
      <c r="H1264" s="12">
        <v>68.599999999999994</v>
      </c>
      <c r="I1264" s="11">
        <v>1321.89</v>
      </c>
      <c r="J1264" s="12">
        <v>85.5</v>
      </c>
      <c r="K1264" s="11">
        <v>1321.89</v>
      </c>
      <c r="L1264" s="12">
        <v>104.5</v>
      </c>
      <c r="M1264" s="11">
        <v>1321.89</v>
      </c>
      <c r="N1264" s="13">
        <v>44.7</v>
      </c>
      <c r="O1264" s="11">
        <v>61.2</v>
      </c>
      <c r="P1264" s="11">
        <v>73.7</v>
      </c>
      <c r="Q1264" s="11">
        <v>68.599999999999994</v>
      </c>
      <c r="R1264" s="11">
        <v>85.5</v>
      </c>
      <c r="S1264" s="14">
        <v>104.5</v>
      </c>
      <c r="T1264" s="11">
        <v>1321.89</v>
      </c>
      <c r="U1264" s="13" cm="1">
        <f t="array" ref="U1264">IF(Table8[[#This Row],[I_0]]&lt;Table24[Flitro de Ruido],1,Table8[[#This Row],[I_10]]/Table8[[#This Row],[I_0]])</f>
        <v>1.3691275167785235</v>
      </c>
      <c r="V1264" s="13" cm="1">
        <f t="array" ref="V1264">IF(Table8[[#This Row],[I_0]]&lt;Table24[Flitro de Ruido],1,Table8[[#This Row],[I_20]]/Table8[[#This Row],[I_0]])</f>
        <v>1.6487695749440716</v>
      </c>
      <c r="W1264" s="13" cm="1">
        <f t="array" ref="W1264">IF(Table8[[#This Row],[I_0]]&lt;Table24[Flitro de Ruido],1,Table8[[#This Row],[I_30]]/Table8[[#This Row],[I_0]])</f>
        <v>1.5346756152125278</v>
      </c>
      <c r="X1264" s="13" cm="1">
        <f t="array" ref="X1264">IF(Table8[[#This Row],[I_0]]&lt;Table24[Flitro de Ruido],1,Table8[[#This Row],[I_40]]/Table8[[#This Row],[I_0]])</f>
        <v>1.9127516778523488</v>
      </c>
      <c r="Y1264" s="13" cm="1">
        <f t="array" ref="Y1264">IF(Table8[[#This Row],[I_0]]&lt;Table24[Flitro de Ruido],1,Table8[[#This Row],[I_50]]/Table8[[#This Row],[I_0]])</f>
        <v>2.3378076062639819</v>
      </c>
    </row>
    <row r="1265" spans="1:25" x14ac:dyDescent="0.3">
      <c r="A1265" s="13">
        <v>1322.88</v>
      </c>
      <c r="B1265" s="12">
        <v>44.9</v>
      </c>
      <c r="C1265" s="11">
        <v>1322.88</v>
      </c>
      <c r="D1265" s="12">
        <v>61.3</v>
      </c>
      <c r="E1265" s="11">
        <v>1322.88</v>
      </c>
      <c r="F1265" s="12">
        <v>73.7</v>
      </c>
      <c r="G1265" s="11">
        <v>1322.88</v>
      </c>
      <c r="H1265" s="12">
        <v>68.599999999999994</v>
      </c>
      <c r="I1265" s="11">
        <v>1322.88</v>
      </c>
      <c r="J1265" s="12">
        <v>85.6</v>
      </c>
      <c r="K1265" s="11">
        <v>1322.88</v>
      </c>
      <c r="L1265" s="12">
        <v>104.5</v>
      </c>
      <c r="M1265" s="11">
        <v>1322.88</v>
      </c>
      <c r="N1265" s="13">
        <v>44.9</v>
      </c>
      <c r="O1265" s="11">
        <v>61.3</v>
      </c>
      <c r="P1265" s="11">
        <v>73.7</v>
      </c>
      <c r="Q1265" s="11">
        <v>68.599999999999994</v>
      </c>
      <c r="R1265" s="11">
        <v>85.6</v>
      </c>
      <c r="S1265" s="14">
        <v>104.5</v>
      </c>
      <c r="T1265" s="11">
        <v>1322.88</v>
      </c>
      <c r="U1265" s="13" cm="1">
        <f t="array" ref="U1265">IF(Table8[[#This Row],[I_0]]&lt;Table24[Flitro de Ruido],1,Table8[[#This Row],[I_10]]/Table8[[#This Row],[I_0]])</f>
        <v>1.3652561247216035</v>
      </c>
      <c r="V1265" s="13" cm="1">
        <f t="array" ref="V1265">IF(Table8[[#This Row],[I_0]]&lt;Table24[Flitro de Ruido],1,Table8[[#This Row],[I_20]]/Table8[[#This Row],[I_0]])</f>
        <v>1.6414253897550113</v>
      </c>
      <c r="W1265" s="13" cm="1">
        <f t="array" ref="W1265">IF(Table8[[#This Row],[I_0]]&lt;Table24[Flitro de Ruido],1,Table8[[#This Row],[I_30]]/Table8[[#This Row],[I_0]])</f>
        <v>1.5278396436525612</v>
      </c>
      <c r="X1265" s="13" cm="1">
        <f t="array" ref="X1265">IF(Table8[[#This Row],[I_0]]&lt;Table24[Flitro de Ruido],1,Table8[[#This Row],[I_40]]/Table8[[#This Row],[I_0]])</f>
        <v>1.9064587973273941</v>
      </c>
      <c r="Y1265" s="13" cm="1">
        <f t="array" ref="Y1265">IF(Table8[[#This Row],[I_0]]&lt;Table24[Flitro de Ruido],1,Table8[[#This Row],[I_50]]/Table8[[#This Row],[I_0]])</f>
        <v>2.3273942093541202</v>
      </c>
    </row>
    <row r="1266" spans="1:25" x14ac:dyDescent="0.3">
      <c r="A1266" s="13">
        <v>1323.87</v>
      </c>
      <c r="B1266" s="12">
        <v>44.9</v>
      </c>
      <c r="C1266" s="11">
        <v>1323.87</v>
      </c>
      <c r="D1266" s="12">
        <v>61.3</v>
      </c>
      <c r="E1266" s="11">
        <v>1323.87</v>
      </c>
      <c r="F1266" s="12">
        <v>73.7</v>
      </c>
      <c r="G1266" s="11">
        <v>1323.87</v>
      </c>
      <c r="H1266" s="12">
        <v>68.599999999999994</v>
      </c>
      <c r="I1266" s="11">
        <v>1323.87</v>
      </c>
      <c r="J1266" s="12">
        <v>85.6</v>
      </c>
      <c r="K1266" s="11">
        <v>1323.87</v>
      </c>
      <c r="L1266" s="12">
        <v>104.5</v>
      </c>
      <c r="M1266" s="11">
        <v>1323.87</v>
      </c>
      <c r="N1266" s="13">
        <v>44.9</v>
      </c>
      <c r="O1266" s="11">
        <v>61.3</v>
      </c>
      <c r="P1266" s="11">
        <v>73.7</v>
      </c>
      <c r="Q1266" s="11">
        <v>68.599999999999994</v>
      </c>
      <c r="R1266" s="11">
        <v>85.6</v>
      </c>
      <c r="S1266" s="14">
        <v>104.5</v>
      </c>
      <c r="T1266" s="11">
        <v>1323.87</v>
      </c>
      <c r="U1266" s="13" cm="1">
        <f t="array" ref="U1266">IF(Table8[[#This Row],[I_0]]&lt;Table24[Flitro de Ruido],1,Table8[[#This Row],[I_10]]/Table8[[#This Row],[I_0]])</f>
        <v>1.3652561247216035</v>
      </c>
      <c r="V1266" s="13" cm="1">
        <f t="array" ref="V1266">IF(Table8[[#This Row],[I_0]]&lt;Table24[Flitro de Ruido],1,Table8[[#This Row],[I_20]]/Table8[[#This Row],[I_0]])</f>
        <v>1.6414253897550113</v>
      </c>
      <c r="W1266" s="13" cm="1">
        <f t="array" ref="W1266">IF(Table8[[#This Row],[I_0]]&lt;Table24[Flitro de Ruido],1,Table8[[#This Row],[I_30]]/Table8[[#This Row],[I_0]])</f>
        <v>1.5278396436525612</v>
      </c>
      <c r="X1266" s="13" cm="1">
        <f t="array" ref="X1266">IF(Table8[[#This Row],[I_0]]&lt;Table24[Flitro de Ruido],1,Table8[[#This Row],[I_40]]/Table8[[#This Row],[I_0]])</f>
        <v>1.9064587973273941</v>
      </c>
      <c r="Y1266" s="13" cm="1">
        <f t="array" ref="Y1266">IF(Table8[[#This Row],[I_0]]&lt;Table24[Flitro de Ruido],1,Table8[[#This Row],[I_50]]/Table8[[#This Row],[I_0]])</f>
        <v>2.3273942093541202</v>
      </c>
    </row>
    <row r="1267" spans="1:25" x14ac:dyDescent="0.3">
      <c r="A1267" s="13">
        <v>1324.86</v>
      </c>
      <c r="B1267" s="12">
        <v>44.9</v>
      </c>
      <c r="C1267" s="11">
        <v>1324.86</v>
      </c>
      <c r="D1267" s="12">
        <v>61.3</v>
      </c>
      <c r="E1267" s="11">
        <v>1324.86</v>
      </c>
      <c r="F1267" s="12">
        <v>73.7</v>
      </c>
      <c r="G1267" s="11">
        <v>1324.86</v>
      </c>
      <c r="H1267" s="12">
        <v>68.599999999999994</v>
      </c>
      <c r="I1267" s="11">
        <v>1324.86</v>
      </c>
      <c r="J1267" s="12">
        <v>85.6</v>
      </c>
      <c r="K1267" s="11">
        <v>1324.86</v>
      </c>
      <c r="L1267" s="12">
        <v>104.5</v>
      </c>
      <c r="M1267" s="11">
        <v>1324.86</v>
      </c>
      <c r="N1267" s="13">
        <v>44.9</v>
      </c>
      <c r="O1267" s="11">
        <v>61.3</v>
      </c>
      <c r="P1267" s="11">
        <v>73.7</v>
      </c>
      <c r="Q1267" s="11">
        <v>68.599999999999994</v>
      </c>
      <c r="R1267" s="11">
        <v>85.6</v>
      </c>
      <c r="S1267" s="14">
        <v>104.5</v>
      </c>
      <c r="T1267" s="11">
        <v>1324.86</v>
      </c>
      <c r="U1267" s="13" cm="1">
        <f t="array" ref="U1267">IF(Table8[[#This Row],[I_0]]&lt;Table24[Flitro de Ruido],1,Table8[[#This Row],[I_10]]/Table8[[#This Row],[I_0]])</f>
        <v>1.3652561247216035</v>
      </c>
      <c r="V1267" s="13" cm="1">
        <f t="array" ref="V1267">IF(Table8[[#This Row],[I_0]]&lt;Table24[Flitro de Ruido],1,Table8[[#This Row],[I_20]]/Table8[[#This Row],[I_0]])</f>
        <v>1.6414253897550113</v>
      </c>
      <c r="W1267" s="13" cm="1">
        <f t="array" ref="W1267">IF(Table8[[#This Row],[I_0]]&lt;Table24[Flitro de Ruido],1,Table8[[#This Row],[I_30]]/Table8[[#This Row],[I_0]])</f>
        <v>1.5278396436525612</v>
      </c>
      <c r="X1267" s="13" cm="1">
        <f t="array" ref="X1267">IF(Table8[[#This Row],[I_0]]&lt;Table24[Flitro de Ruido],1,Table8[[#This Row],[I_40]]/Table8[[#This Row],[I_0]])</f>
        <v>1.9064587973273941</v>
      </c>
      <c r="Y1267" s="13" cm="1">
        <f t="array" ref="Y1267">IF(Table8[[#This Row],[I_0]]&lt;Table24[Flitro de Ruido],1,Table8[[#This Row],[I_50]]/Table8[[#This Row],[I_0]])</f>
        <v>2.3273942093541202</v>
      </c>
    </row>
    <row r="1268" spans="1:25" x14ac:dyDescent="0.3">
      <c r="A1268" s="13">
        <v>1325.85</v>
      </c>
      <c r="B1268" s="12">
        <v>45.1</v>
      </c>
      <c r="C1268" s="11">
        <v>1325.85</v>
      </c>
      <c r="D1268" s="12">
        <v>61.5</v>
      </c>
      <c r="E1268" s="11">
        <v>1325.85</v>
      </c>
      <c r="F1268" s="12">
        <v>73.8</v>
      </c>
      <c r="G1268" s="11">
        <v>1325.85</v>
      </c>
      <c r="H1268" s="12">
        <v>68.8</v>
      </c>
      <c r="I1268" s="11">
        <v>1325.85</v>
      </c>
      <c r="J1268" s="12">
        <v>85.8</v>
      </c>
      <c r="K1268" s="11">
        <v>1325.85</v>
      </c>
      <c r="L1268" s="12">
        <v>104.6</v>
      </c>
      <c r="M1268" s="11">
        <v>1325.85</v>
      </c>
      <c r="N1268" s="13">
        <v>45.1</v>
      </c>
      <c r="O1268" s="11">
        <v>61.5</v>
      </c>
      <c r="P1268" s="11">
        <v>73.8</v>
      </c>
      <c r="Q1268" s="11">
        <v>68.8</v>
      </c>
      <c r="R1268" s="11">
        <v>85.8</v>
      </c>
      <c r="S1268" s="14">
        <v>104.6</v>
      </c>
      <c r="T1268" s="11">
        <v>1325.85</v>
      </c>
      <c r="U1268" s="13" cm="1">
        <f t="array" ref="U1268">IF(Table8[[#This Row],[I_0]]&lt;Table24[Flitro de Ruido],1,Table8[[#This Row],[I_10]]/Table8[[#This Row],[I_0]])</f>
        <v>1.3636363636363635</v>
      </c>
      <c r="V1268" s="13" cm="1">
        <f t="array" ref="V1268">IF(Table8[[#This Row],[I_0]]&lt;Table24[Flitro de Ruido],1,Table8[[#This Row],[I_20]]/Table8[[#This Row],[I_0]])</f>
        <v>1.6363636363636362</v>
      </c>
      <c r="W1268" s="13" cm="1">
        <f t="array" ref="W1268">IF(Table8[[#This Row],[I_0]]&lt;Table24[Flitro de Ruido],1,Table8[[#This Row],[I_30]]/Table8[[#This Row],[I_0]])</f>
        <v>1.5254988913525498</v>
      </c>
      <c r="X1268" s="13" cm="1">
        <f t="array" ref="X1268">IF(Table8[[#This Row],[I_0]]&lt;Table24[Flitro de Ruido],1,Table8[[#This Row],[I_40]]/Table8[[#This Row],[I_0]])</f>
        <v>1.9024390243902438</v>
      </c>
      <c r="Y1268" s="13" cm="1">
        <f t="array" ref="Y1268">IF(Table8[[#This Row],[I_0]]&lt;Table24[Flitro de Ruido],1,Table8[[#This Row],[I_50]]/Table8[[#This Row],[I_0]])</f>
        <v>2.3192904656319286</v>
      </c>
    </row>
    <row r="1269" spans="1:25" x14ac:dyDescent="0.3">
      <c r="A1269" s="13">
        <v>1326.85</v>
      </c>
      <c r="B1269" s="12">
        <v>45.2</v>
      </c>
      <c r="C1269" s="11">
        <v>1326.85</v>
      </c>
      <c r="D1269" s="12">
        <v>61.6</v>
      </c>
      <c r="E1269" s="11">
        <v>1326.85</v>
      </c>
      <c r="F1269" s="12">
        <v>73.8</v>
      </c>
      <c r="G1269" s="11">
        <v>1326.85</v>
      </c>
      <c r="H1269" s="12">
        <v>69</v>
      </c>
      <c r="I1269" s="11">
        <v>1326.85</v>
      </c>
      <c r="J1269" s="12">
        <v>86</v>
      </c>
      <c r="K1269" s="11">
        <v>1326.85</v>
      </c>
      <c r="L1269" s="12">
        <v>104.8</v>
      </c>
      <c r="M1269" s="11">
        <v>1326.85</v>
      </c>
      <c r="N1269" s="13">
        <v>45.2</v>
      </c>
      <c r="O1269" s="11">
        <v>61.6</v>
      </c>
      <c r="P1269" s="11">
        <v>73.8</v>
      </c>
      <c r="Q1269" s="11">
        <v>69</v>
      </c>
      <c r="R1269" s="11">
        <v>86</v>
      </c>
      <c r="S1269" s="14">
        <v>104.8</v>
      </c>
      <c r="T1269" s="11">
        <v>1326.85</v>
      </c>
      <c r="U1269" s="13" cm="1">
        <f t="array" ref="U1269">IF(Table8[[#This Row],[I_0]]&lt;Table24[Flitro de Ruido],1,Table8[[#This Row],[I_10]]/Table8[[#This Row],[I_0]])</f>
        <v>1.3628318584070795</v>
      </c>
      <c r="V1269" s="13" cm="1">
        <f t="array" ref="V1269">IF(Table8[[#This Row],[I_0]]&lt;Table24[Flitro de Ruido],1,Table8[[#This Row],[I_20]]/Table8[[#This Row],[I_0]])</f>
        <v>1.6327433628318582</v>
      </c>
      <c r="W1269" s="13" cm="1">
        <f t="array" ref="W1269">IF(Table8[[#This Row],[I_0]]&lt;Table24[Flitro de Ruido],1,Table8[[#This Row],[I_30]]/Table8[[#This Row],[I_0]])</f>
        <v>1.5265486725663715</v>
      </c>
      <c r="X1269" s="13" cm="1">
        <f t="array" ref="X1269">IF(Table8[[#This Row],[I_0]]&lt;Table24[Flitro de Ruido],1,Table8[[#This Row],[I_40]]/Table8[[#This Row],[I_0]])</f>
        <v>1.902654867256637</v>
      </c>
      <c r="Y1269" s="13" cm="1">
        <f t="array" ref="Y1269">IF(Table8[[#This Row],[I_0]]&lt;Table24[Flitro de Ruido],1,Table8[[#This Row],[I_50]]/Table8[[#This Row],[I_0]])</f>
        <v>2.3185840707964598</v>
      </c>
    </row>
    <row r="1270" spans="1:25" x14ac:dyDescent="0.3">
      <c r="A1270" s="13">
        <v>1327.84</v>
      </c>
      <c r="B1270" s="12">
        <v>45.5</v>
      </c>
      <c r="C1270" s="11">
        <v>1327.84</v>
      </c>
      <c r="D1270" s="12">
        <v>61.8</v>
      </c>
      <c r="E1270" s="11">
        <v>1327.84</v>
      </c>
      <c r="F1270" s="12">
        <v>74.099999999999994</v>
      </c>
      <c r="G1270" s="11">
        <v>1327.84</v>
      </c>
      <c r="H1270" s="12">
        <v>69.3</v>
      </c>
      <c r="I1270" s="11">
        <v>1327.84</v>
      </c>
      <c r="J1270" s="12">
        <v>86.3</v>
      </c>
      <c r="K1270" s="11">
        <v>1327.84</v>
      </c>
      <c r="L1270" s="12">
        <v>105.1</v>
      </c>
      <c r="M1270" s="11">
        <v>1327.84</v>
      </c>
      <c r="N1270" s="13">
        <v>45.5</v>
      </c>
      <c r="O1270" s="11">
        <v>61.8</v>
      </c>
      <c r="P1270" s="11">
        <v>74.099999999999994</v>
      </c>
      <c r="Q1270" s="11">
        <v>69.3</v>
      </c>
      <c r="R1270" s="11">
        <v>86.3</v>
      </c>
      <c r="S1270" s="14">
        <v>105.1</v>
      </c>
      <c r="T1270" s="11">
        <v>1327.84</v>
      </c>
      <c r="U1270" s="13" cm="1">
        <f t="array" ref="U1270">IF(Table8[[#This Row],[I_0]]&lt;Table24[Flitro de Ruido],1,Table8[[#This Row],[I_10]]/Table8[[#This Row],[I_0]])</f>
        <v>1.3582417582417581</v>
      </c>
      <c r="V1270" s="13" cm="1">
        <f t="array" ref="V1270">IF(Table8[[#This Row],[I_0]]&lt;Table24[Flitro de Ruido],1,Table8[[#This Row],[I_20]]/Table8[[#This Row],[I_0]])</f>
        <v>1.6285714285714283</v>
      </c>
      <c r="W1270" s="13" cm="1">
        <f t="array" ref="W1270">IF(Table8[[#This Row],[I_0]]&lt;Table24[Flitro de Ruido],1,Table8[[#This Row],[I_30]]/Table8[[#This Row],[I_0]])</f>
        <v>1.523076923076923</v>
      </c>
      <c r="X1270" s="13" cm="1">
        <f t="array" ref="X1270">IF(Table8[[#This Row],[I_0]]&lt;Table24[Flitro de Ruido],1,Table8[[#This Row],[I_40]]/Table8[[#This Row],[I_0]])</f>
        <v>1.8967032967032966</v>
      </c>
      <c r="Y1270" s="13" cm="1">
        <f t="array" ref="Y1270">IF(Table8[[#This Row],[I_0]]&lt;Table24[Flitro de Ruido],1,Table8[[#This Row],[I_50]]/Table8[[#This Row],[I_0]])</f>
        <v>2.3098901098901097</v>
      </c>
    </row>
    <row r="1271" spans="1:25" x14ac:dyDescent="0.3">
      <c r="A1271" s="13">
        <v>1328.83</v>
      </c>
      <c r="B1271" s="12">
        <v>45.5</v>
      </c>
      <c r="C1271" s="11">
        <v>1328.83</v>
      </c>
      <c r="D1271" s="12">
        <v>61.8</v>
      </c>
      <c r="E1271" s="11">
        <v>1328.83</v>
      </c>
      <c r="F1271" s="12">
        <v>74.2</v>
      </c>
      <c r="G1271" s="11">
        <v>1328.83</v>
      </c>
      <c r="H1271" s="12">
        <v>69.400000000000006</v>
      </c>
      <c r="I1271" s="11">
        <v>1328.83</v>
      </c>
      <c r="J1271" s="12">
        <v>86.3</v>
      </c>
      <c r="K1271" s="11">
        <v>1328.83</v>
      </c>
      <c r="L1271" s="12">
        <v>105.1</v>
      </c>
      <c r="M1271" s="11">
        <v>1328.83</v>
      </c>
      <c r="N1271" s="13">
        <v>45.5</v>
      </c>
      <c r="O1271" s="11">
        <v>61.8</v>
      </c>
      <c r="P1271" s="11">
        <v>74.2</v>
      </c>
      <c r="Q1271" s="11">
        <v>69.400000000000006</v>
      </c>
      <c r="R1271" s="11">
        <v>86.3</v>
      </c>
      <c r="S1271" s="14">
        <v>105.1</v>
      </c>
      <c r="T1271" s="11">
        <v>1328.83</v>
      </c>
      <c r="U1271" s="13" cm="1">
        <f t="array" ref="U1271">IF(Table8[[#This Row],[I_0]]&lt;Table24[Flitro de Ruido],1,Table8[[#This Row],[I_10]]/Table8[[#This Row],[I_0]])</f>
        <v>1.3582417582417581</v>
      </c>
      <c r="V1271" s="13" cm="1">
        <f t="array" ref="V1271">IF(Table8[[#This Row],[I_0]]&lt;Table24[Flitro de Ruido],1,Table8[[#This Row],[I_20]]/Table8[[#This Row],[I_0]])</f>
        <v>1.6307692307692307</v>
      </c>
      <c r="W1271" s="13" cm="1">
        <f t="array" ref="W1271">IF(Table8[[#This Row],[I_0]]&lt;Table24[Flitro de Ruido],1,Table8[[#This Row],[I_30]]/Table8[[#This Row],[I_0]])</f>
        <v>1.5252747252747254</v>
      </c>
      <c r="X1271" s="13" cm="1">
        <f t="array" ref="X1271">IF(Table8[[#This Row],[I_0]]&lt;Table24[Flitro de Ruido],1,Table8[[#This Row],[I_40]]/Table8[[#This Row],[I_0]])</f>
        <v>1.8967032967032966</v>
      </c>
      <c r="Y1271" s="13" cm="1">
        <f t="array" ref="Y1271">IF(Table8[[#This Row],[I_0]]&lt;Table24[Flitro de Ruido],1,Table8[[#This Row],[I_50]]/Table8[[#This Row],[I_0]])</f>
        <v>2.3098901098901097</v>
      </c>
    </row>
    <row r="1272" spans="1:25" x14ac:dyDescent="0.3">
      <c r="A1272" s="13">
        <v>1329.82</v>
      </c>
      <c r="B1272" s="12">
        <v>45.7</v>
      </c>
      <c r="C1272" s="11">
        <v>1329.82</v>
      </c>
      <c r="D1272" s="12">
        <v>61.9</v>
      </c>
      <c r="E1272" s="11">
        <v>1329.82</v>
      </c>
      <c r="F1272" s="12">
        <v>74.3</v>
      </c>
      <c r="G1272" s="11">
        <v>1329.82</v>
      </c>
      <c r="H1272" s="12">
        <v>69.599999999999994</v>
      </c>
      <c r="I1272" s="11">
        <v>1329.82</v>
      </c>
      <c r="J1272" s="12">
        <v>86.4</v>
      </c>
      <c r="K1272" s="11">
        <v>1329.82</v>
      </c>
      <c r="L1272" s="12">
        <v>105.1</v>
      </c>
      <c r="M1272" s="11">
        <v>1329.82</v>
      </c>
      <c r="N1272" s="13">
        <v>45.7</v>
      </c>
      <c r="O1272" s="11">
        <v>61.9</v>
      </c>
      <c r="P1272" s="11">
        <v>74.3</v>
      </c>
      <c r="Q1272" s="11">
        <v>69.599999999999994</v>
      </c>
      <c r="R1272" s="11">
        <v>86.4</v>
      </c>
      <c r="S1272" s="14">
        <v>105.1</v>
      </c>
      <c r="T1272" s="11">
        <v>1329.82</v>
      </c>
      <c r="U1272" s="13" cm="1">
        <f t="array" ref="U1272">IF(Table8[[#This Row],[I_0]]&lt;Table24[Flitro de Ruido],1,Table8[[#This Row],[I_10]]/Table8[[#This Row],[I_0]])</f>
        <v>1.3544857768052516</v>
      </c>
      <c r="V1272" s="13" cm="1">
        <f t="array" ref="V1272">IF(Table8[[#This Row],[I_0]]&lt;Table24[Flitro de Ruido],1,Table8[[#This Row],[I_20]]/Table8[[#This Row],[I_0]])</f>
        <v>1.6258205689277898</v>
      </c>
      <c r="W1272" s="13" cm="1">
        <f t="array" ref="W1272">IF(Table8[[#This Row],[I_0]]&lt;Table24[Flitro de Ruido],1,Table8[[#This Row],[I_30]]/Table8[[#This Row],[I_0]])</f>
        <v>1.522975929978118</v>
      </c>
      <c r="X1272" s="13" cm="1">
        <f t="array" ref="X1272">IF(Table8[[#This Row],[I_0]]&lt;Table24[Flitro de Ruido],1,Table8[[#This Row],[I_40]]/Table8[[#This Row],[I_0]])</f>
        <v>1.8905908096280089</v>
      </c>
      <c r="Y1272" s="13" cm="1">
        <f t="array" ref="Y1272">IF(Table8[[#This Row],[I_0]]&lt;Table24[Flitro de Ruido],1,Table8[[#This Row],[I_50]]/Table8[[#This Row],[I_0]])</f>
        <v>2.2997811816192559</v>
      </c>
    </row>
    <row r="1273" spans="1:25" x14ac:dyDescent="0.3">
      <c r="A1273" s="13">
        <v>1330.81</v>
      </c>
      <c r="B1273" s="12">
        <v>45.7</v>
      </c>
      <c r="C1273" s="11">
        <v>1330.81</v>
      </c>
      <c r="D1273" s="12">
        <v>61.9</v>
      </c>
      <c r="E1273" s="11">
        <v>1330.81</v>
      </c>
      <c r="F1273" s="12">
        <v>74.3</v>
      </c>
      <c r="G1273" s="11">
        <v>1330.81</v>
      </c>
      <c r="H1273" s="12">
        <v>69.599999999999994</v>
      </c>
      <c r="I1273" s="11">
        <v>1330.81</v>
      </c>
      <c r="J1273" s="12">
        <v>86.4</v>
      </c>
      <c r="K1273" s="11">
        <v>1330.81</v>
      </c>
      <c r="L1273" s="12">
        <v>105</v>
      </c>
      <c r="M1273" s="11">
        <v>1330.81</v>
      </c>
      <c r="N1273" s="13">
        <v>45.7</v>
      </c>
      <c r="O1273" s="11">
        <v>61.9</v>
      </c>
      <c r="P1273" s="11">
        <v>74.3</v>
      </c>
      <c r="Q1273" s="11">
        <v>69.599999999999994</v>
      </c>
      <c r="R1273" s="11">
        <v>86.4</v>
      </c>
      <c r="S1273" s="14">
        <v>105</v>
      </c>
      <c r="T1273" s="11">
        <v>1330.81</v>
      </c>
      <c r="U1273" s="13" cm="1">
        <f t="array" ref="U1273">IF(Table8[[#This Row],[I_0]]&lt;Table24[Flitro de Ruido],1,Table8[[#This Row],[I_10]]/Table8[[#This Row],[I_0]])</f>
        <v>1.3544857768052516</v>
      </c>
      <c r="V1273" s="13" cm="1">
        <f t="array" ref="V1273">IF(Table8[[#This Row],[I_0]]&lt;Table24[Flitro de Ruido],1,Table8[[#This Row],[I_20]]/Table8[[#This Row],[I_0]])</f>
        <v>1.6258205689277898</v>
      </c>
      <c r="W1273" s="13" cm="1">
        <f t="array" ref="W1273">IF(Table8[[#This Row],[I_0]]&lt;Table24[Flitro de Ruido],1,Table8[[#This Row],[I_30]]/Table8[[#This Row],[I_0]])</f>
        <v>1.522975929978118</v>
      </c>
      <c r="X1273" s="13" cm="1">
        <f t="array" ref="X1273">IF(Table8[[#This Row],[I_0]]&lt;Table24[Flitro de Ruido],1,Table8[[#This Row],[I_40]]/Table8[[#This Row],[I_0]])</f>
        <v>1.8905908096280089</v>
      </c>
      <c r="Y1273" s="13" cm="1">
        <f t="array" ref="Y1273">IF(Table8[[#This Row],[I_0]]&lt;Table24[Flitro de Ruido],1,Table8[[#This Row],[I_50]]/Table8[[#This Row],[I_0]])</f>
        <v>2.2975929978118161</v>
      </c>
    </row>
    <row r="1274" spans="1:25" x14ac:dyDescent="0.3">
      <c r="A1274" s="13">
        <v>1331.8</v>
      </c>
      <c r="B1274" s="12">
        <v>45.9</v>
      </c>
      <c r="C1274" s="11">
        <v>1331.8</v>
      </c>
      <c r="D1274" s="12">
        <v>62.1</v>
      </c>
      <c r="E1274" s="11">
        <v>1331.8</v>
      </c>
      <c r="F1274" s="12">
        <v>74.5</v>
      </c>
      <c r="G1274" s="11">
        <v>1331.8</v>
      </c>
      <c r="H1274" s="12">
        <v>69.8</v>
      </c>
      <c r="I1274" s="11">
        <v>1331.8</v>
      </c>
      <c r="J1274" s="12">
        <v>86.5</v>
      </c>
      <c r="K1274" s="11">
        <v>1331.8</v>
      </c>
      <c r="L1274" s="12">
        <v>105</v>
      </c>
      <c r="M1274" s="11">
        <v>1331.8</v>
      </c>
      <c r="N1274" s="13">
        <v>45.9</v>
      </c>
      <c r="O1274" s="11">
        <v>62.1</v>
      </c>
      <c r="P1274" s="11">
        <v>74.5</v>
      </c>
      <c r="Q1274" s="11">
        <v>69.8</v>
      </c>
      <c r="R1274" s="11">
        <v>86.5</v>
      </c>
      <c r="S1274" s="14">
        <v>105</v>
      </c>
      <c r="T1274" s="11">
        <v>1331.8</v>
      </c>
      <c r="U1274" s="13" cm="1">
        <f t="array" ref="U1274">IF(Table8[[#This Row],[I_0]]&lt;Table24[Flitro de Ruido],1,Table8[[#This Row],[I_10]]/Table8[[#This Row],[I_0]])</f>
        <v>1.3529411764705883</v>
      </c>
      <c r="V1274" s="13" cm="1">
        <f t="array" ref="V1274">IF(Table8[[#This Row],[I_0]]&lt;Table24[Flitro de Ruido],1,Table8[[#This Row],[I_20]]/Table8[[#This Row],[I_0]])</f>
        <v>1.6230936819172115</v>
      </c>
      <c r="W1274" s="13" cm="1">
        <f t="array" ref="W1274">IF(Table8[[#This Row],[I_0]]&lt;Table24[Flitro de Ruido],1,Table8[[#This Row],[I_30]]/Table8[[#This Row],[I_0]])</f>
        <v>1.5206971677559913</v>
      </c>
      <c r="X1274" s="13" cm="1">
        <f t="array" ref="X1274">IF(Table8[[#This Row],[I_0]]&lt;Table24[Flitro de Ruido],1,Table8[[#This Row],[I_40]]/Table8[[#This Row],[I_0]])</f>
        <v>1.8845315904139435</v>
      </c>
      <c r="Y1274" s="13" cm="1">
        <f t="array" ref="Y1274">IF(Table8[[#This Row],[I_0]]&lt;Table24[Flitro de Ruido],1,Table8[[#This Row],[I_50]]/Table8[[#This Row],[I_0]])</f>
        <v>2.2875816993464051</v>
      </c>
    </row>
    <row r="1275" spans="1:25" x14ac:dyDescent="0.3">
      <c r="A1275" s="13">
        <v>1332.8</v>
      </c>
      <c r="B1275" s="12">
        <v>46</v>
      </c>
      <c r="C1275" s="11">
        <v>1332.8</v>
      </c>
      <c r="D1275" s="12">
        <v>62.3</v>
      </c>
      <c r="E1275" s="11">
        <v>1332.8</v>
      </c>
      <c r="F1275" s="12">
        <v>74.7</v>
      </c>
      <c r="G1275" s="11">
        <v>1332.8</v>
      </c>
      <c r="H1275" s="12">
        <v>69.900000000000006</v>
      </c>
      <c r="I1275" s="11">
        <v>1332.8</v>
      </c>
      <c r="J1275" s="12">
        <v>86.6</v>
      </c>
      <c r="K1275" s="11">
        <v>1332.8</v>
      </c>
      <c r="L1275" s="12">
        <v>104.9</v>
      </c>
      <c r="M1275" s="11">
        <v>1332.8</v>
      </c>
      <c r="N1275" s="13">
        <v>46</v>
      </c>
      <c r="O1275" s="11">
        <v>62.3</v>
      </c>
      <c r="P1275" s="11">
        <v>74.7</v>
      </c>
      <c r="Q1275" s="11">
        <v>69.900000000000006</v>
      </c>
      <c r="R1275" s="11">
        <v>86.6</v>
      </c>
      <c r="S1275" s="14">
        <v>104.9</v>
      </c>
      <c r="T1275" s="11">
        <v>1332.8</v>
      </c>
      <c r="U1275" s="13" cm="1">
        <f t="array" ref="U1275">IF(Table8[[#This Row],[I_0]]&lt;Table24[Flitro de Ruido],1,Table8[[#This Row],[I_10]]/Table8[[#This Row],[I_0]])</f>
        <v>1.3543478260869564</v>
      </c>
      <c r="V1275" s="13" cm="1">
        <f t="array" ref="V1275">IF(Table8[[#This Row],[I_0]]&lt;Table24[Flitro de Ruido],1,Table8[[#This Row],[I_20]]/Table8[[#This Row],[I_0]])</f>
        <v>1.6239130434782609</v>
      </c>
      <c r="W1275" s="13" cm="1">
        <f t="array" ref="W1275">IF(Table8[[#This Row],[I_0]]&lt;Table24[Flitro de Ruido],1,Table8[[#This Row],[I_30]]/Table8[[#This Row],[I_0]])</f>
        <v>1.5195652173913046</v>
      </c>
      <c r="X1275" s="13" cm="1">
        <f t="array" ref="X1275">IF(Table8[[#This Row],[I_0]]&lt;Table24[Flitro de Ruido],1,Table8[[#This Row],[I_40]]/Table8[[#This Row],[I_0]])</f>
        <v>1.8826086956521737</v>
      </c>
      <c r="Y1275" s="13" cm="1">
        <f t="array" ref="Y1275">IF(Table8[[#This Row],[I_0]]&lt;Table24[Flitro de Ruido],1,Table8[[#This Row],[I_50]]/Table8[[#This Row],[I_0]])</f>
        <v>2.2804347826086957</v>
      </c>
    </row>
    <row r="1276" spans="1:25" x14ac:dyDescent="0.3">
      <c r="A1276" s="13">
        <v>1333.79</v>
      </c>
      <c r="B1276" s="12">
        <v>46.4</v>
      </c>
      <c r="C1276" s="11">
        <v>1333.79</v>
      </c>
      <c r="D1276" s="12">
        <v>62.7</v>
      </c>
      <c r="E1276" s="11">
        <v>1333.79</v>
      </c>
      <c r="F1276" s="12">
        <v>75.2</v>
      </c>
      <c r="G1276" s="11">
        <v>1333.79</v>
      </c>
      <c r="H1276" s="12">
        <v>70.3</v>
      </c>
      <c r="I1276" s="11">
        <v>1333.79</v>
      </c>
      <c r="J1276" s="12">
        <v>87</v>
      </c>
      <c r="K1276" s="11">
        <v>1333.79</v>
      </c>
      <c r="L1276" s="12">
        <v>105.2</v>
      </c>
      <c r="M1276" s="11">
        <v>1333.79</v>
      </c>
      <c r="N1276" s="13">
        <v>46.4</v>
      </c>
      <c r="O1276" s="11">
        <v>62.7</v>
      </c>
      <c r="P1276" s="11">
        <v>75.2</v>
      </c>
      <c r="Q1276" s="11">
        <v>70.3</v>
      </c>
      <c r="R1276" s="11">
        <v>87</v>
      </c>
      <c r="S1276" s="14">
        <v>105.2</v>
      </c>
      <c r="T1276" s="11">
        <v>1333.79</v>
      </c>
      <c r="U1276" s="13" cm="1">
        <f t="array" ref="U1276">IF(Table8[[#This Row],[I_0]]&lt;Table24[Flitro de Ruido],1,Table8[[#This Row],[I_10]]/Table8[[#This Row],[I_0]])</f>
        <v>1.351293103448276</v>
      </c>
      <c r="V1276" s="13" cm="1">
        <f t="array" ref="V1276">IF(Table8[[#This Row],[I_0]]&lt;Table24[Flitro de Ruido],1,Table8[[#This Row],[I_20]]/Table8[[#This Row],[I_0]])</f>
        <v>1.6206896551724139</v>
      </c>
      <c r="W1276" s="13" cm="1">
        <f t="array" ref="W1276">IF(Table8[[#This Row],[I_0]]&lt;Table24[Flitro de Ruido],1,Table8[[#This Row],[I_30]]/Table8[[#This Row],[I_0]])</f>
        <v>1.5150862068965516</v>
      </c>
      <c r="X1276" s="13" cm="1">
        <f t="array" ref="X1276">IF(Table8[[#This Row],[I_0]]&lt;Table24[Flitro de Ruido],1,Table8[[#This Row],[I_40]]/Table8[[#This Row],[I_0]])</f>
        <v>1.875</v>
      </c>
      <c r="Y1276" s="13" cm="1">
        <f t="array" ref="Y1276">IF(Table8[[#This Row],[I_0]]&lt;Table24[Flitro de Ruido],1,Table8[[#This Row],[I_50]]/Table8[[#This Row],[I_0]])</f>
        <v>2.2672413793103448</v>
      </c>
    </row>
    <row r="1277" spans="1:25" x14ac:dyDescent="0.3">
      <c r="A1277" s="13">
        <v>1334.78</v>
      </c>
      <c r="B1277" s="12">
        <v>46.9</v>
      </c>
      <c r="C1277" s="11">
        <v>1334.78</v>
      </c>
      <c r="D1277" s="12">
        <v>63.2</v>
      </c>
      <c r="E1277" s="11">
        <v>1334.78</v>
      </c>
      <c r="F1277" s="12">
        <v>75.8</v>
      </c>
      <c r="G1277" s="11">
        <v>1334.78</v>
      </c>
      <c r="H1277" s="12">
        <v>70.900000000000006</v>
      </c>
      <c r="I1277" s="11">
        <v>1334.78</v>
      </c>
      <c r="J1277" s="12">
        <v>87.5</v>
      </c>
      <c r="K1277" s="11">
        <v>1334.78</v>
      </c>
      <c r="L1277" s="12">
        <v>105.7</v>
      </c>
      <c r="M1277" s="11">
        <v>1334.78</v>
      </c>
      <c r="N1277" s="13">
        <v>46.9</v>
      </c>
      <c r="O1277" s="11">
        <v>63.2</v>
      </c>
      <c r="P1277" s="11">
        <v>75.8</v>
      </c>
      <c r="Q1277" s="11">
        <v>70.900000000000006</v>
      </c>
      <c r="R1277" s="11">
        <v>87.5</v>
      </c>
      <c r="S1277" s="14">
        <v>105.7</v>
      </c>
      <c r="T1277" s="11">
        <v>1334.78</v>
      </c>
      <c r="U1277" s="13" cm="1">
        <f t="array" ref="U1277">IF(Table8[[#This Row],[I_0]]&lt;Table24[Flitro de Ruido],1,Table8[[#This Row],[I_10]]/Table8[[#This Row],[I_0]])</f>
        <v>1.3475479744136463</v>
      </c>
      <c r="V1277" s="13" cm="1">
        <f t="array" ref="V1277">IF(Table8[[#This Row],[I_0]]&lt;Table24[Flitro de Ruido],1,Table8[[#This Row],[I_20]]/Table8[[#This Row],[I_0]])</f>
        <v>1.6162046908315566</v>
      </c>
      <c r="W1277" s="13" cm="1">
        <f t="array" ref="W1277">IF(Table8[[#This Row],[I_0]]&lt;Table24[Flitro de Ruido],1,Table8[[#This Row],[I_30]]/Table8[[#This Row],[I_0]])</f>
        <v>1.5117270788912582</v>
      </c>
      <c r="X1277" s="13" cm="1">
        <f t="array" ref="X1277">IF(Table8[[#This Row],[I_0]]&lt;Table24[Flitro de Ruido],1,Table8[[#This Row],[I_40]]/Table8[[#This Row],[I_0]])</f>
        <v>1.8656716417910448</v>
      </c>
      <c r="Y1277" s="13" cm="1">
        <f t="array" ref="Y1277">IF(Table8[[#This Row],[I_0]]&lt;Table24[Flitro de Ruido],1,Table8[[#This Row],[I_50]]/Table8[[#This Row],[I_0]])</f>
        <v>2.2537313432835822</v>
      </c>
    </row>
    <row r="1278" spans="1:25" x14ac:dyDescent="0.3">
      <c r="A1278" s="13">
        <v>1335.77</v>
      </c>
      <c r="B1278" s="12">
        <v>47.7</v>
      </c>
      <c r="C1278" s="11">
        <v>1335.77</v>
      </c>
      <c r="D1278" s="12">
        <v>64.099999999999994</v>
      </c>
      <c r="E1278" s="11">
        <v>1335.77</v>
      </c>
      <c r="F1278" s="12">
        <v>76.7</v>
      </c>
      <c r="G1278" s="11">
        <v>1335.77</v>
      </c>
      <c r="H1278" s="12">
        <v>71.8</v>
      </c>
      <c r="I1278" s="11">
        <v>1335.77</v>
      </c>
      <c r="J1278" s="12">
        <v>88.4</v>
      </c>
      <c r="K1278" s="11">
        <v>1335.77</v>
      </c>
      <c r="L1278" s="12">
        <v>106.6</v>
      </c>
      <c r="M1278" s="11">
        <v>1335.77</v>
      </c>
      <c r="N1278" s="13">
        <v>47.7</v>
      </c>
      <c r="O1278" s="11">
        <v>64.099999999999994</v>
      </c>
      <c r="P1278" s="11">
        <v>76.7</v>
      </c>
      <c r="Q1278" s="11">
        <v>71.8</v>
      </c>
      <c r="R1278" s="11">
        <v>88.4</v>
      </c>
      <c r="S1278" s="14">
        <v>106.6</v>
      </c>
      <c r="T1278" s="11">
        <v>1335.77</v>
      </c>
      <c r="U1278" s="13" cm="1">
        <f t="array" ref="U1278">IF(Table8[[#This Row],[I_0]]&lt;Table24[Flitro de Ruido],1,Table8[[#This Row],[I_10]]/Table8[[#This Row],[I_0]])</f>
        <v>1.3438155136268342</v>
      </c>
      <c r="V1278" s="13" cm="1">
        <f t="array" ref="V1278">IF(Table8[[#This Row],[I_0]]&lt;Table24[Flitro de Ruido],1,Table8[[#This Row],[I_20]]/Table8[[#This Row],[I_0]])</f>
        <v>1.6079664570230607</v>
      </c>
      <c r="W1278" s="13" cm="1">
        <f t="array" ref="W1278">IF(Table8[[#This Row],[I_0]]&lt;Table24[Flitro de Ruido],1,Table8[[#This Row],[I_30]]/Table8[[#This Row],[I_0]])</f>
        <v>1.5052410901467503</v>
      </c>
      <c r="X1278" s="13" cm="1">
        <f t="array" ref="X1278">IF(Table8[[#This Row],[I_0]]&lt;Table24[Flitro de Ruido],1,Table8[[#This Row],[I_40]]/Table8[[#This Row],[I_0]])</f>
        <v>1.8532494758909854</v>
      </c>
      <c r="Y1278" s="13" cm="1">
        <f t="array" ref="Y1278">IF(Table8[[#This Row],[I_0]]&lt;Table24[Flitro de Ruido],1,Table8[[#This Row],[I_50]]/Table8[[#This Row],[I_0]])</f>
        <v>2.2348008385744231</v>
      </c>
    </row>
    <row r="1279" spans="1:25" x14ac:dyDescent="0.3">
      <c r="A1279" s="13">
        <v>1336.76</v>
      </c>
      <c r="B1279" s="12">
        <v>48.6</v>
      </c>
      <c r="C1279" s="11">
        <v>1336.76</v>
      </c>
      <c r="D1279" s="12">
        <v>65.2</v>
      </c>
      <c r="E1279" s="11">
        <v>1336.76</v>
      </c>
      <c r="F1279" s="12">
        <v>78</v>
      </c>
      <c r="G1279" s="11">
        <v>1336.76</v>
      </c>
      <c r="H1279" s="12">
        <v>72.900000000000006</v>
      </c>
      <c r="I1279" s="11">
        <v>1336.76</v>
      </c>
      <c r="J1279" s="12">
        <v>89.6</v>
      </c>
      <c r="K1279" s="11">
        <v>1336.76</v>
      </c>
      <c r="L1279" s="12">
        <v>107.9</v>
      </c>
      <c r="M1279" s="11">
        <v>1336.76</v>
      </c>
      <c r="N1279" s="13">
        <v>48.6</v>
      </c>
      <c r="O1279" s="11">
        <v>65.2</v>
      </c>
      <c r="P1279" s="11">
        <v>78</v>
      </c>
      <c r="Q1279" s="11">
        <v>72.900000000000006</v>
      </c>
      <c r="R1279" s="11">
        <v>89.6</v>
      </c>
      <c r="S1279" s="14">
        <v>107.9</v>
      </c>
      <c r="T1279" s="11">
        <v>1336.76</v>
      </c>
      <c r="U1279" s="13" cm="1">
        <f t="array" ref="U1279">IF(Table8[[#This Row],[I_0]]&lt;Table24[Flitro de Ruido],1,Table8[[#This Row],[I_10]]/Table8[[#This Row],[I_0]])</f>
        <v>1.3415637860082306</v>
      </c>
      <c r="V1279" s="13" cm="1">
        <f t="array" ref="V1279">IF(Table8[[#This Row],[I_0]]&lt;Table24[Flitro de Ruido],1,Table8[[#This Row],[I_20]]/Table8[[#This Row],[I_0]])</f>
        <v>1.6049382716049383</v>
      </c>
      <c r="W1279" s="13" cm="1">
        <f t="array" ref="W1279">IF(Table8[[#This Row],[I_0]]&lt;Table24[Flitro de Ruido],1,Table8[[#This Row],[I_30]]/Table8[[#This Row],[I_0]])</f>
        <v>1.5</v>
      </c>
      <c r="X1279" s="13" cm="1">
        <f t="array" ref="X1279">IF(Table8[[#This Row],[I_0]]&lt;Table24[Flitro de Ruido],1,Table8[[#This Row],[I_40]]/Table8[[#This Row],[I_0]])</f>
        <v>1.8436213991769546</v>
      </c>
      <c r="Y1279" s="13" cm="1">
        <f t="array" ref="Y1279">IF(Table8[[#This Row],[I_0]]&lt;Table24[Flitro de Ruido],1,Table8[[#This Row],[I_50]]/Table8[[#This Row],[I_0]])</f>
        <v>2.2201646090534979</v>
      </c>
    </row>
    <row r="1280" spans="1:25" x14ac:dyDescent="0.3">
      <c r="A1280" s="13">
        <v>1337.76</v>
      </c>
      <c r="B1280" s="12">
        <v>49.9</v>
      </c>
      <c r="C1280" s="11">
        <v>1337.76</v>
      </c>
      <c r="D1280" s="12">
        <v>66.7</v>
      </c>
      <c r="E1280" s="11">
        <v>1337.76</v>
      </c>
      <c r="F1280" s="12">
        <v>79.599999999999994</v>
      </c>
      <c r="G1280" s="11">
        <v>1337.76</v>
      </c>
      <c r="H1280" s="12">
        <v>74.5</v>
      </c>
      <c r="I1280" s="11">
        <v>1337.76</v>
      </c>
      <c r="J1280" s="12">
        <v>91.3</v>
      </c>
      <c r="K1280" s="11">
        <v>1337.76</v>
      </c>
      <c r="L1280" s="12">
        <v>109.6</v>
      </c>
      <c r="M1280" s="11">
        <v>1337.76</v>
      </c>
      <c r="N1280" s="13">
        <v>49.9</v>
      </c>
      <c r="O1280" s="11">
        <v>66.7</v>
      </c>
      <c r="P1280" s="11">
        <v>79.599999999999994</v>
      </c>
      <c r="Q1280" s="11">
        <v>74.5</v>
      </c>
      <c r="R1280" s="11">
        <v>91.3</v>
      </c>
      <c r="S1280" s="14">
        <v>109.6</v>
      </c>
      <c r="T1280" s="11">
        <v>1337.76</v>
      </c>
      <c r="U1280" s="13" cm="1">
        <f t="array" ref="U1280">IF(Table8[[#This Row],[I_0]]&lt;Table24[Flitro de Ruido],1,Table8[[#This Row],[I_10]]/Table8[[#This Row],[I_0]])</f>
        <v>1.3366733466933869</v>
      </c>
      <c r="V1280" s="13" cm="1">
        <f t="array" ref="V1280">IF(Table8[[#This Row],[I_0]]&lt;Table24[Flitro de Ruido],1,Table8[[#This Row],[I_20]]/Table8[[#This Row],[I_0]])</f>
        <v>1.5951903807615231</v>
      </c>
      <c r="W1280" s="13" cm="1">
        <f t="array" ref="W1280">IF(Table8[[#This Row],[I_0]]&lt;Table24[Flitro de Ruido],1,Table8[[#This Row],[I_30]]/Table8[[#This Row],[I_0]])</f>
        <v>1.4929859719438878</v>
      </c>
      <c r="X1280" s="13" cm="1">
        <f t="array" ref="X1280">IF(Table8[[#This Row],[I_0]]&lt;Table24[Flitro de Ruido],1,Table8[[#This Row],[I_40]]/Table8[[#This Row],[I_0]])</f>
        <v>1.8296593186372745</v>
      </c>
      <c r="Y1280" s="13" cm="1">
        <f t="array" ref="Y1280">IF(Table8[[#This Row],[I_0]]&lt;Table24[Flitro de Ruido],1,Table8[[#This Row],[I_50]]/Table8[[#This Row],[I_0]])</f>
        <v>2.1963927855711423</v>
      </c>
    </row>
    <row r="1281" spans="1:25" x14ac:dyDescent="0.3">
      <c r="A1281" s="13">
        <v>1338.75</v>
      </c>
      <c r="B1281" s="12">
        <v>52.5</v>
      </c>
      <c r="C1281" s="11">
        <v>1338.75</v>
      </c>
      <c r="D1281" s="12">
        <v>69.7</v>
      </c>
      <c r="E1281" s="11">
        <v>1338.75</v>
      </c>
      <c r="F1281" s="12">
        <v>82.9</v>
      </c>
      <c r="G1281" s="11">
        <v>1338.75</v>
      </c>
      <c r="H1281" s="12">
        <v>77.599999999999994</v>
      </c>
      <c r="I1281" s="11">
        <v>1338.75</v>
      </c>
      <c r="J1281" s="12">
        <v>94.7</v>
      </c>
      <c r="K1281" s="11">
        <v>1338.75</v>
      </c>
      <c r="L1281" s="12">
        <v>113.1</v>
      </c>
      <c r="M1281" s="11">
        <v>1338.75</v>
      </c>
      <c r="N1281" s="13">
        <v>52.5</v>
      </c>
      <c r="O1281" s="11">
        <v>69.7</v>
      </c>
      <c r="P1281" s="11">
        <v>82.9</v>
      </c>
      <c r="Q1281" s="11">
        <v>77.599999999999994</v>
      </c>
      <c r="R1281" s="11">
        <v>94.7</v>
      </c>
      <c r="S1281" s="14">
        <v>113.1</v>
      </c>
      <c r="T1281" s="11">
        <v>1338.75</v>
      </c>
      <c r="U1281" s="13" cm="1">
        <f t="array" ref="U1281">IF(Table8[[#This Row],[I_0]]&lt;Table24[Flitro de Ruido],1,Table8[[#This Row],[I_10]]/Table8[[#This Row],[I_0]])</f>
        <v>1.3276190476190477</v>
      </c>
      <c r="V1281" s="13" cm="1">
        <f t="array" ref="V1281">IF(Table8[[#This Row],[I_0]]&lt;Table24[Flitro de Ruido],1,Table8[[#This Row],[I_20]]/Table8[[#This Row],[I_0]])</f>
        <v>1.5790476190476193</v>
      </c>
      <c r="W1281" s="13" cm="1">
        <f t="array" ref="W1281">IF(Table8[[#This Row],[I_0]]&lt;Table24[Flitro de Ruido],1,Table8[[#This Row],[I_30]]/Table8[[#This Row],[I_0]])</f>
        <v>1.4780952380952379</v>
      </c>
      <c r="X1281" s="13" cm="1">
        <f t="array" ref="X1281">IF(Table8[[#This Row],[I_0]]&lt;Table24[Flitro de Ruido],1,Table8[[#This Row],[I_40]]/Table8[[#This Row],[I_0]])</f>
        <v>1.803809523809524</v>
      </c>
      <c r="Y1281" s="13" cm="1">
        <f t="array" ref="Y1281">IF(Table8[[#This Row],[I_0]]&lt;Table24[Flitro de Ruido],1,Table8[[#This Row],[I_50]]/Table8[[#This Row],[I_0]])</f>
        <v>2.1542857142857144</v>
      </c>
    </row>
    <row r="1282" spans="1:25" x14ac:dyDescent="0.3">
      <c r="A1282" s="13">
        <v>1339.74</v>
      </c>
      <c r="B1282" s="12">
        <v>53.6</v>
      </c>
      <c r="C1282" s="11">
        <v>1339.74</v>
      </c>
      <c r="D1282" s="12">
        <v>71.099999999999994</v>
      </c>
      <c r="E1282" s="11">
        <v>1339.74</v>
      </c>
      <c r="F1282" s="12">
        <v>84.4</v>
      </c>
      <c r="G1282" s="11">
        <v>1339.74</v>
      </c>
      <c r="H1282" s="12">
        <v>79.099999999999994</v>
      </c>
      <c r="I1282" s="11">
        <v>1339.74</v>
      </c>
      <c r="J1282" s="12">
        <v>96.2</v>
      </c>
      <c r="K1282" s="11">
        <v>1339.74</v>
      </c>
      <c r="L1282" s="12">
        <v>114.7</v>
      </c>
      <c r="M1282" s="11">
        <v>1339.74</v>
      </c>
      <c r="N1282" s="13">
        <v>53.6</v>
      </c>
      <c r="O1282" s="11">
        <v>71.099999999999994</v>
      </c>
      <c r="P1282" s="11">
        <v>84.4</v>
      </c>
      <c r="Q1282" s="11">
        <v>79.099999999999994</v>
      </c>
      <c r="R1282" s="11">
        <v>96.2</v>
      </c>
      <c r="S1282" s="14">
        <v>114.7</v>
      </c>
      <c r="T1282" s="11">
        <v>1339.74</v>
      </c>
      <c r="U1282" s="13" cm="1">
        <f t="array" ref="U1282">IF(Table8[[#This Row],[I_0]]&lt;Table24[Flitro de Ruido],1,Table8[[#This Row],[I_10]]/Table8[[#This Row],[I_0]])</f>
        <v>1.3264925373134326</v>
      </c>
      <c r="V1282" s="13" cm="1">
        <f t="array" ref="V1282">IF(Table8[[#This Row],[I_0]]&lt;Table24[Flitro de Ruido],1,Table8[[#This Row],[I_20]]/Table8[[#This Row],[I_0]])</f>
        <v>1.5746268656716418</v>
      </c>
      <c r="W1282" s="13" cm="1">
        <f t="array" ref="W1282">IF(Table8[[#This Row],[I_0]]&lt;Table24[Flitro de Ruido],1,Table8[[#This Row],[I_30]]/Table8[[#This Row],[I_0]])</f>
        <v>1.4757462686567162</v>
      </c>
      <c r="X1282" s="13" cm="1">
        <f t="array" ref="X1282">IF(Table8[[#This Row],[I_0]]&lt;Table24[Flitro de Ruido],1,Table8[[#This Row],[I_40]]/Table8[[#This Row],[I_0]])</f>
        <v>1.794776119402985</v>
      </c>
      <c r="Y1282" s="13" cm="1">
        <f t="array" ref="Y1282">IF(Table8[[#This Row],[I_0]]&lt;Table24[Flitro de Ruido],1,Table8[[#This Row],[I_50]]/Table8[[#This Row],[I_0]])</f>
        <v>2.1399253731343282</v>
      </c>
    </row>
  </sheetData>
  <mergeCells count="6">
    <mergeCell ref="A1:B1"/>
    <mergeCell ref="C1:D1"/>
    <mergeCell ref="E1:F1"/>
    <mergeCell ref="K1:L1"/>
    <mergeCell ref="G1:H1"/>
    <mergeCell ref="I1:J1"/>
  </mergeCells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94777-644E-4944-8E90-F6D3E04A2365}">
  <dimension ref="A1:AA1282"/>
  <sheetViews>
    <sheetView workbookViewId="0">
      <selection activeCell="Z14" sqref="Z14"/>
    </sheetView>
  </sheetViews>
  <sheetFormatPr defaultRowHeight="14.4" x14ac:dyDescent="0.3"/>
  <cols>
    <col min="1" max="1" width="7.5546875" bestFit="1" customWidth="1"/>
    <col min="2" max="2" width="5.5546875" bestFit="1" customWidth="1"/>
    <col min="3" max="3" width="7.5546875" bestFit="1" customWidth="1"/>
    <col min="4" max="4" width="5.5546875" bestFit="1" customWidth="1"/>
    <col min="5" max="5" width="7.5546875" bestFit="1" customWidth="1"/>
    <col min="6" max="6" width="5.5546875" bestFit="1" customWidth="1"/>
    <col min="7" max="7" width="7.5546875" bestFit="1" customWidth="1"/>
    <col min="8" max="8" width="5.5546875" bestFit="1" customWidth="1"/>
    <col min="9" max="9" width="7.5546875" bestFit="1" customWidth="1"/>
    <col min="10" max="10" width="5.5546875" bestFit="1" customWidth="1"/>
    <col min="11" max="11" width="7.5546875" bestFit="1" customWidth="1"/>
    <col min="12" max="12" width="6.21875" bestFit="1" customWidth="1"/>
    <col min="13" max="13" width="12.88671875" bestFit="1" customWidth="1"/>
    <col min="14" max="14" width="5.5546875" bestFit="1" customWidth="1"/>
    <col min="15" max="19" width="6.5546875" bestFit="1" customWidth="1"/>
    <col min="20" max="20" width="13.88671875" bestFit="1" customWidth="1"/>
    <col min="21" max="25" width="9" bestFit="1" customWidth="1"/>
    <col min="26" max="27" width="14.77734375" bestFit="1" customWidth="1"/>
  </cols>
  <sheetData>
    <row r="1" spans="1:27" x14ac:dyDescent="0.3">
      <c r="A1" s="23" t="s">
        <v>19</v>
      </c>
      <c r="B1" s="23"/>
      <c r="C1" s="23" t="s">
        <v>20</v>
      </c>
      <c r="D1" s="23"/>
      <c r="E1" s="23" t="s">
        <v>21</v>
      </c>
      <c r="F1" s="23"/>
      <c r="G1" s="23" t="s">
        <v>22</v>
      </c>
      <c r="H1" s="23"/>
      <c r="I1" s="23" t="s">
        <v>23</v>
      </c>
      <c r="J1" s="23"/>
      <c r="K1" s="23" t="s">
        <v>24</v>
      </c>
      <c r="L1" s="23"/>
    </row>
    <row r="2" spans="1:27" ht="15" thickBot="1" x14ac:dyDescent="0.35">
      <c r="A2" s="2" t="s">
        <v>0</v>
      </c>
      <c r="B2" s="3" t="s">
        <v>1</v>
      </c>
      <c r="C2" s="4" t="s">
        <v>25</v>
      </c>
      <c r="D2" s="3" t="s">
        <v>34</v>
      </c>
      <c r="E2" s="4" t="s">
        <v>26</v>
      </c>
      <c r="F2" s="3" t="s">
        <v>27</v>
      </c>
      <c r="G2" s="4" t="s">
        <v>28</v>
      </c>
      <c r="H2" s="3" t="s">
        <v>29</v>
      </c>
      <c r="I2" s="4" t="s">
        <v>30</v>
      </c>
      <c r="J2" s="3" t="s">
        <v>31</v>
      </c>
      <c r="K2" s="4" t="s">
        <v>32</v>
      </c>
      <c r="L2" s="2" t="s">
        <v>33</v>
      </c>
      <c r="M2" s="5" t="s">
        <v>2</v>
      </c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  <c r="S2" s="3" t="s">
        <v>8</v>
      </c>
      <c r="T2" s="4" t="s">
        <v>35</v>
      </c>
      <c r="U2" s="2" t="s">
        <v>11</v>
      </c>
      <c r="V2" s="2" t="s">
        <v>12</v>
      </c>
      <c r="W2" s="2" t="s">
        <v>13</v>
      </c>
      <c r="X2" s="2" t="s">
        <v>14</v>
      </c>
      <c r="Y2" s="2" t="s">
        <v>15</v>
      </c>
      <c r="Z2" t="s">
        <v>18</v>
      </c>
    </row>
    <row r="3" spans="1:27" x14ac:dyDescent="0.3">
      <c r="A3" s="6">
        <v>71.27</v>
      </c>
      <c r="B3" s="7">
        <v>0</v>
      </c>
      <c r="C3" s="7">
        <v>71.27</v>
      </c>
      <c r="D3" s="7">
        <v>0</v>
      </c>
      <c r="E3" s="7">
        <v>71.27</v>
      </c>
      <c r="F3" s="7">
        <v>0</v>
      </c>
      <c r="G3" s="7">
        <v>71.27</v>
      </c>
      <c r="H3" s="7">
        <v>0</v>
      </c>
      <c r="I3" s="7">
        <v>71.27</v>
      </c>
      <c r="J3" s="7">
        <v>0</v>
      </c>
      <c r="K3" s="7">
        <v>71.27</v>
      </c>
      <c r="L3" s="7">
        <v>0</v>
      </c>
      <c r="M3" s="7">
        <v>71.27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71.27</v>
      </c>
      <c r="U3" s="7">
        <f>IF(Table14[[#This Row],[I_0]] &lt; INDEX(Table28[Filtro de ruido],1), 1, Table14[[#This Row],[I_10]] / Table14[[#This Row],[I_0]])</f>
        <v>1</v>
      </c>
      <c r="V3" s="7">
        <f>IF(Table14[[#This Row],[I_0]] &lt; INDEX(Table28[Filtro de ruido],1), 1, Table14[[#This Row],[I_20]] / Table14[[#This Row],[I_0]])</f>
        <v>1</v>
      </c>
      <c r="W3" s="7">
        <f>IF(Table14[[#This Row],[I_0]] &lt; INDEX(Table28[Filtro de ruido],1), 1, Table14[[#This Row],[I_30]] / Table14[[#This Row],[I_0]])</f>
        <v>1</v>
      </c>
      <c r="X3" s="7">
        <f>IF(Table14[[#This Row],[I_0]] &lt; INDEX(Table28[Filtro de ruido],1), 1, Table14[[#This Row],[I_40]] / Table14[[#This Row],[I_0]])</f>
        <v>1</v>
      </c>
      <c r="Y3" s="8">
        <f>IF(Table14[[#This Row],[I_0]] &lt; INDEX(Table28[Filtro de ruido],1), 1, Table14[[#This Row],[I_50]] / Table14[[#This Row],[I_0]])</f>
        <v>1</v>
      </c>
      <c r="Z3" s="1">
        <v>0.1</v>
      </c>
    </row>
    <row r="4" spans="1:27" x14ac:dyDescent="0.3">
      <c r="A4" s="18">
        <v>72.260000000000005</v>
      </c>
      <c r="B4" s="1">
        <v>0</v>
      </c>
      <c r="C4" s="1">
        <v>72.260000000000005</v>
      </c>
      <c r="D4" s="1">
        <v>0</v>
      </c>
      <c r="E4" s="1">
        <v>72.260000000000005</v>
      </c>
      <c r="F4" s="1">
        <v>0</v>
      </c>
      <c r="G4" s="1">
        <v>72.260000000000005</v>
      </c>
      <c r="H4" s="1">
        <v>0</v>
      </c>
      <c r="I4" s="1">
        <v>72.260000000000005</v>
      </c>
      <c r="J4" s="1">
        <v>0</v>
      </c>
      <c r="K4" s="1">
        <v>72.260000000000005</v>
      </c>
      <c r="L4" s="1">
        <v>0</v>
      </c>
      <c r="M4" s="1">
        <v>72.260000000000005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72.260000000000005</v>
      </c>
      <c r="U4" s="1">
        <f>IF(Table14[[#This Row],[I_0]] &lt; INDEX(Table28[Filtro de ruido],1), 1, Table14[[#This Row],[I_10]] / Table14[[#This Row],[I_0]])</f>
        <v>1</v>
      </c>
      <c r="V4" s="1">
        <f>IF(Table14[[#This Row],[I_0]] &lt; INDEX(Table28[Filtro de ruido],1), 1, Table14[[#This Row],[I_20]] / Table14[[#This Row],[I_0]])</f>
        <v>1</v>
      </c>
      <c r="W4" s="1">
        <f>IF(Table14[[#This Row],[I_0]] &lt; INDEX(Table28[Filtro de ruido],1), 1, Table14[[#This Row],[I_30]] / Table14[[#This Row],[I_0]])</f>
        <v>1</v>
      </c>
      <c r="X4" s="1">
        <f>IF(Table14[[#This Row],[I_0]] &lt; INDEX(Table28[Filtro de ruido],1), 1, Table14[[#This Row],[I_40]] / Table14[[#This Row],[I_0]])</f>
        <v>1</v>
      </c>
      <c r="Y4" s="19">
        <f>IF(Table14[[#This Row],[I_0]] &lt; INDEX(Table28[Filtro de ruido],1), 1, Table14[[#This Row],[I_50]] / Table14[[#This Row],[I_0]])</f>
        <v>1</v>
      </c>
    </row>
    <row r="5" spans="1:27" x14ac:dyDescent="0.3">
      <c r="A5" s="18">
        <v>73.260000000000005</v>
      </c>
      <c r="B5" s="1">
        <v>0</v>
      </c>
      <c r="C5" s="1">
        <v>73.260000000000005</v>
      </c>
      <c r="D5" s="1">
        <v>0</v>
      </c>
      <c r="E5" s="1">
        <v>73.260000000000005</v>
      </c>
      <c r="F5" s="1">
        <v>0</v>
      </c>
      <c r="G5" s="1">
        <v>73.260000000000005</v>
      </c>
      <c r="H5" s="1">
        <v>0</v>
      </c>
      <c r="I5" s="1">
        <v>73.260000000000005</v>
      </c>
      <c r="J5" s="1">
        <v>0</v>
      </c>
      <c r="K5" s="1">
        <v>73.260000000000005</v>
      </c>
      <c r="L5" s="1">
        <v>0</v>
      </c>
      <c r="M5" s="1">
        <v>73.260000000000005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73.260000000000005</v>
      </c>
      <c r="U5" s="1">
        <f>IF(Table14[[#This Row],[I_0]] &lt; INDEX(Table28[Filtro de ruido],1), 1, Table14[[#This Row],[I_10]] / Table14[[#This Row],[I_0]])</f>
        <v>1</v>
      </c>
      <c r="V5" s="1">
        <f>IF(Table14[[#This Row],[I_0]] &lt; INDEX(Table28[Filtro de ruido],1), 1, Table14[[#This Row],[I_20]] / Table14[[#This Row],[I_0]])</f>
        <v>1</v>
      </c>
      <c r="W5" s="1">
        <f>IF(Table14[[#This Row],[I_0]] &lt; INDEX(Table28[Filtro de ruido],1), 1, Table14[[#This Row],[I_30]] / Table14[[#This Row],[I_0]])</f>
        <v>1</v>
      </c>
      <c r="X5" s="1">
        <f>IF(Table14[[#This Row],[I_0]] &lt; INDEX(Table28[Filtro de ruido],1), 1, Table14[[#This Row],[I_40]] / Table14[[#This Row],[I_0]])</f>
        <v>1</v>
      </c>
      <c r="Y5" s="19">
        <f>IF(Table14[[#This Row],[I_0]] &lt; INDEX(Table28[Filtro de ruido],1), 1, Table14[[#This Row],[I_50]] / Table14[[#This Row],[I_0]])</f>
        <v>1</v>
      </c>
      <c r="AA5" s="1"/>
    </row>
    <row r="6" spans="1:27" x14ac:dyDescent="0.3">
      <c r="A6" s="18">
        <v>74.25</v>
      </c>
      <c r="B6" s="1">
        <v>0</v>
      </c>
      <c r="C6" s="1">
        <v>74.25</v>
      </c>
      <c r="D6" s="1">
        <v>0</v>
      </c>
      <c r="E6" s="1">
        <v>74.25</v>
      </c>
      <c r="F6" s="1">
        <v>0</v>
      </c>
      <c r="G6" s="1">
        <v>74.25</v>
      </c>
      <c r="H6" s="1">
        <v>0</v>
      </c>
      <c r="I6" s="1">
        <v>74.25</v>
      </c>
      <c r="J6" s="1">
        <v>0</v>
      </c>
      <c r="K6" s="1">
        <v>74.25</v>
      </c>
      <c r="L6" s="1">
        <v>0</v>
      </c>
      <c r="M6" s="1">
        <v>74.25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74.25</v>
      </c>
      <c r="U6" s="1">
        <f>IF(Table14[[#This Row],[I_0]] &lt; INDEX(Table28[Filtro de ruido],1), 1, Table14[[#This Row],[I_10]] / Table14[[#This Row],[I_0]])</f>
        <v>1</v>
      </c>
      <c r="V6" s="1">
        <f>IF(Table14[[#This Row],[I_0]] &lt; INDEX(Table28[Filtro de ruido],1), 1, Table14[[#This Row],[I_20]] / Table14[[#This Row],[I_0]])</f>
        <v>1</v>
      </c>
      <c r="W6" s="1">
        <f>IF(Table14[[#This Row],[I_0]] &lt; INDEX(Table28[Filtro de ruido],1), 1, Table14[[#This Row],[I_30]] / Table14[[#This Row],[I_0]])</f>
        <v>1</v>
      </c>
      <c r="X6" s="1">
        <f>IF(Table14[[#This Row],[I_0]] &lt; INDEX(Table28[Filtro de ruido],1), 1, Table14[[#This Row],[I_40]] / Table14[[#This Row],[I_0]])</f>
        <v>1</v>
      </c>
      <c r="Y6" s="19">
        <f>IF(Table14[[#This Row],[I_0]] &lt; INDEX(Table28[Filtro de ruido],1), 1, Table14[[#This Row],[I_50]] / Table14[[#This Row],[I_0]])</f>
        <v>1</v>
      </c>
      <c r="AA6" s="1"/>
    </row>
    <row r="7" spans="1:27" x14ac:dyDescent="0.3">
      <c r="A7" s="18">
        <v>75.239999999999995</v>
      </c>
      <c r="B7" s="1">
        <v>0</v>
      </c>
      <c r="C7" s="1">
        <v>75.239999999999995</v>
      </c>
      <c r="D7" s="1">
        <v>0</v>
      </c>
      <c r="E7" s="1">
        <v>75.239999999999995</v>
      </c>
      <c r="F7" s="1">
        <v>0</v>
      </c>
      <c r="G7" s="1">
        <v>75.239999999999995</v>
      </c>
      <c r="H7" s="1">
        <v>0</v>
      </c>
      <c r="I7" s="1">
        <v>75.239999999999995</v>
      </c>
      <c r="J7" s="1">
        <v>0</v>
      </c>
      <c r="K7" s="1">
        <v>75.239999999999995</v>
      </c>
      <c r="L7" s="1">
        <v>0</v>
      </c>
      <c r="M7" s="1">
        <v>75.239999999999995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75.239999999999995</v>
      </c>
      <c r="U7" s="1">
        <f>IF(Table14[[#This Row],[I_0]] &lt; INDEX(Table28[Filtro de ruido],1), 1, Table14[[#This Row],[I_10]] / Table14[[#This Row],[I_0]])</f>
        <v>1</v>
      </c>
      <c r="V7" s="1">
        <f>IF(Table14[[#This Row],[I_0]] &lt; INDEX(Table28[Filtro de ruido],1), 1, Table14[[#This Row],[I_20]] / Table14[[#This Row],[I_0]])</f>
        <v>1</v>
      </c>
      <c r="W7" s="1">
        <f>IF(Table14[[#This Row],[I_0]] &lt; INDEX(Table28[Filtro de ruido],1), 1, Table14[[#This Row],[I_30]] / Table14[[#This Row],[I_0]])</f>
        <v>1</v>
      </c>
      <c r="X7" s="1">
        <f>IF(Table14[[#This Row],[I_0]] &lt; INDEX(Table28[Filtro de ruido],1), 1, Table14[[#This Row],[I_40]] / Table14[[#This Row],[I_0]])</f>
        <v>1</v>
      </c>
      <c r="Y7" s="19">
        <f>IF(Table14[[#This Row],[I_0]] &lt; INDEX(Table28[Filtro de ruido],1), 1, Table14[[#This Row],[I_50]] / Table14[[#This Row],[I_0]])</f>
        <v>1</v>
      </c>
      <c r="AA7" s="1"/>
    </row>
    <row r="8" spans="1:27" x14ac:dyDescent="0.3">
      <c r="A8" s="18">
        <v>76.23</v>
      </c>
      <c r="B8" s="1">
        <v>0</v>
      </c>
      <c r="C8" s="1">
        <v>76.23</v>
      </c>
      <c r="D8" s="1">
        <v>0</v>
      </c>
      <c r="E8" s="1">
        <v>76.23</v>
      </c>
      <c r="F8" s="1">
        <v>0</v>
      </c>
      <c r="G8" s="1">
        <v>76.23</v>
      </c>
      <c r="H8" s="1">
        <v>0</v>
      </c>
      <c r="I8" s="1">
        <v>76.23</v>
      </c>
      <c r="J8" s="1">
        <v>0</v>
      </c>
      <c r="K8" s="1">
        <v>76.23</v>
      </c>
      <c r="L8" s="1">
        <v>0</v>
      </c>
      <c r="M8" s="1">
        <v>76.23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76.23</v>
      </c>
      <c r="U8" s="1">
        <f>IF(Table14[[#This Row],[I_0]] &lt; INDEX(Table28[Filtro de ruido],1), 1, Table14[[#This Row],[I_10]] / Table14[[#This Row],[I_0]])</f>
        <v>1</v>
      </c>
      <c r="V8" s="1">
        <f>IF(Table14[[#This Row],[I_0]] &lt; INDEX(Table28[Filtro de ruido],1), 1, Table14[[#This Row],[I_20]] / Table14[[#This Row],[I_0]])</f>
        <v>1</v>
      </c>
      <c r="W8" s="1">
        <f>IF(Table14[[#This Row],[I_0]] &lt; INDEX(Table28[Filtro de ruido],1), 1, Table14[[#This Row],[I_30]] / Table14[[#This Row],[I_0]])</f>
        <v>1</v>
      </c>
      <c r="X8" s="1">
        <f>IF(Table14[[#This Row],[I_0]] &lt; INDEX(Table28[Filtro de ruido],1), 1, Table14[[#This Row],[I_40]] / Table14[[#This Row],[I_0]])</f>
        <v>1</v>
      </c>
      <c r="Y8" s="19">
        <f>IF(Table14[[#This Row],[I_0]] &lt; INDEX(Table28[Filtro de ruido],1), 1, Table14[[#This Row],[I_50]] / Table14[[#This Row],[I_0]])</f>
        <v>1</v>
      </c>
      <c r="AA8" s="1"/>
    </row>
    <row r="9" spans="1:27" x14ac:dyDescent="0.3">
      <c r="A9" s="18">
        <v>77.22</v>
      </c>
      <c r="B9" s="1">
        <v>0</v>
      </c>
      <c r="C9" s="1">
        <v>77.22</v>
      </c>
      <c r="D9" s="1">
        <v>0</v>
      </c>
      <c r="E9" s="1">
        <v>77.22</v>
      </c>
      <c r="F9" s="1">
        <v>0</v>
      </c>
      <c r="G9" s="1">
        <v>77.22</v>
      </c>
      <c r="H9" s="1">
        <v>0</v>
      </c>
      <c r="I9" s="1">
        <v>77.22</v>
      </c>
      <c r="J9" s="1">
        <v>0</v>
      </c>
      <c r="K9" s="1">
        <v>77.22</v>
      </c>
      <c r="L9" s="1">
        <v>0</v>
      </c>
      <c r="M9" s="1">
        <v>77.22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77.22</v>
      </c>
      <c r="U9" s="1">
        <f>IF(Table14[[#This Row],[I_0]] &lt; INDEX(Table28[Filtro de ruido],1), 1, Table14[[#This Row],[I_10]] / Table14[[#This Row],[I_0]])</f>
        <v>1</v>
      </c>
      <c r="V9" s="1">
        <f>IF(Table14[[#This Row],[I_0]] &lt; INDEX(Table28[Filtro de ruido],1), 1, Table14[[#This Row],[I_20]] / Table14[[#This Row],[I_0]])</f>
        <v>1</v>
      </c>
      <c r="W9" s="1">
        <f>IF(Table14[[#This Row],[I_0]] &lt; INDEX(Table28[Filtro de ruido],1), 1, Table14[[#This Row],[I_30]] / Table14[[#This Row],[I_0]])</f>
        <v>1</v>
      </c>
      <c r="X9" s="1">
        <f>IF(Table14[[#This Row],[I_0]] &lt; INDEX(Table28[Filtro de ruido],1), 1, Table14[[#This Row],[I_40]] / Table14[[#This Row],[I_0]])</f>
        <v>1</v>
      </c>
      <c r="Y9" s="19">
        <f>IF(Table14[[#This Row],[I_0]] &lt; INDEX(Table28[Filtro de ruido],1), 1, Table14[[#This Row],[I_50]] / Table14[[#This Row],[I_0]])</f>
        <v>1</v>
      </c>
      <c r="AA9" s="1"/>
    </row>
    <row r="10" spans="1:27" x14ac:dyDescent="0.3">
      <c r="A10" s="18">
        <v>78.22</v>
      </c>
      <c r="B10" s="1">
        <v>0</v>
      </c>
      <c r="C10" s="1">
        <v>78.22</v>
      </c>
      <c r="D10" s="1">
        <v>0</v>
      </c>
      <c r="E10" s="1">
        <v>78.22</v>
      </c>
      <c r="F10" s="1">
        <v>0</v>
      </c>
      <c r="G10" s="1">
        <v>78.22</v>
      </c>
      <c r="H10" s="1">
        <v>0</v>
      </c>
      <c r="I10" s="1">
        <v>78.22</v>
      </c>
      <c r="J10" s="1">
        <v>0</v>
      </c>
      <c r="K10" s="1">
        <v>78.22</v>
      </c>
      <c r="L10" s="1">
        <v>0</v>
      </c>
      <c r="M10" s="1">
        <v>78.22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78.22</v>
      </c>
      <c r="U10" s="1">
        <f>IF(Table14[[#This Row],[I_0]] &lt; INDEX(Table28[Filtro de ruido],1), 1, Table14[[#This Row],[I_10]] / Table14[[#This Row],[I_0]])</f>
        <v>1</v>
      </c>
      <c r="V10" s="1">
        <f>IF(Table14[[#This Row],[I_0]] &lt; INDEX(Table28[Filtro de ruido],1), 1, Table14[[#This Row],[I_20]] / Table14[[#This Row],[I_0]])</f>
        <v>1</v>
      </c>
      <c r="W10" s="1">
        <f>IF(Table14[[#This Row],[I_0]] &lt; INDEX(Table28[Filtro de ruido],1), 1, Table14[[#This Row],[I_30]] / Table14[[#This Row],[I_0]])</f>
        <v>1</v>
      </c>
      <c r="X10" s="1">
        <f>IF(Table14[[#This Row],[I_0]] &lt; INDEX(Table28[Filtro de ruido],1), 1, Table14[[#This Row],[I_40]] / Table14[[#This Row],[I_0]])</f>
        <v>1</v>
      </c>
      <c r="Y10" s="19">
        <f>IF(Table14[[#This Row],[I_0]] &lt; INDEX(Table28[Filtro de ruido],1), 1, Table14[[#This Row],[I_50]] / Table14[[#This Row],[I_0]])</f>
        <v>1</v>
      </c>
      <c r="AA10" s="1"/>
    </row>
    <row r="11" spans="1:27" x14ac:dyDescent="0.3">
      <c r="A11" s="18">
        <v>79.209999999999994</v>
      </c>
      <c r="B11" s="1">
        <v>0</v>
      </c>
      <c r="C11" s="1">
        <v>79.209999999999994</v>
      </c>
      <c r="D11" s="1">
        <v>0</v>
      </c>
      <c r="E11" s="1">
        <v>79.209999999999994</v>
      </c>
      <c r="F11" s="1">
        <v>0</v>
      </c>
      <c r="G11" s="1">
        <v>79.209999999999994</v>
      </c>
      <c r="H11" s="1">
        <v>0</v>
      </c>
      <c r="I11" s="1">
        <v>79.209999999999994</v>
      </c>
      <c r="J11" s="1">
        <v>0</v>
      </c>
      <c r="K11" s="1">
        <v>79.209999999999994</v>
      </c>
      <c r="L11" s="1">
        <v>0</v>
      </c>
      <c r="M11" s="1">
        <v>79.209999999999994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79.209999999999994</v>
      </c>
      <c r="U11" s="1">
        <f>IF(Table14[[#This Row],[I_0]] &lt; INDEX(Table28[Filtro de ruido],1), 1, Table14[[#This Row],[I_10]] / Table14[[#This Row],[I_0]])</f>
        <v>1</v>
      </c>
      <c r="V11" s="1">
        <f>IF(Table14[[#This Row],[I_0]] &lt; INDEX(Table28[Filtro de ruido],1), 1, Table14[[#This Row],[I_20]] / Table14[[#This Row],[I_0]])</f>
        <v>1</v>
      </c>
      <c r="W11" s="1">
        <f>IF(Table14[[#This Row],[I_0]] &lt; INDEX(Table28[Filtro de ruido],1), 1, Table14[[#This Row],[I_30]] / Table14[[#This Row],[I_0]])</f>
        <v>1</v>
      </c>
      <c r="X11" s="1">
        <f>IF(Table14[[#This Row],[I_0]] &lt; INDEX(Table28[Filtro de ruido],1), 1, Table14[[#This Row],[I_40]] / Table14[[#This Row],[I_0]])</f>
        <v>1</v>
      </c>
      <c r="Y11" s="19">
        <f>IF(Table14[[#This Row],[I_0]] &lt; INDEX(Table28[Filtro de ruido],1), 1, Table14[[#This Row],[I_50]] / Table14[[#This Row],[I_0]])</f>
        <v>1</v>
      </c>
      <c r="AA11" s="1"/>
    </row>
    <row r="12" spans="1:27" x14ac:dyDescent="0.3">
      <c r="A12" s="18">
        <v>80.2</v>
      </c>
      <c r="B12" s="1">
        <v>0</v>
      </c>
      <c r="C12" s="1">
        <v>80.2</v>
      </c>
      <c r="D12" s="1">
        <v>0</v>
      </c>
      <c r="E12" s="1">
        <v>80.2</v>
      </c>
      <c r="F12" s="1">
        <v>0</v>
      </c>
      <c r="G12" s="1">
        <v>80.2</v>
      </c>
      <c r="H12" s="1">
        <v>0</v>
      </c>
      <c r="I12" s="1">
        <v>80.2</v>
      </c>
      <c r="J12" s="1">
        <v>0</v>
      </c>
      <c r="K12" s="1">
        <v>80.2</v>
      </c>
      <c r="L12" s="1">
        <v>0</v>
      </c>
      <c r="M12" s="1">
        <v>80.2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80.2</v>
      </c>
      <c r="U12" s="1">
        <f>IF(Table14[[#This Row],[I_0]] &lt; INDEX(Table28[Filtro de ruido],1), 1, Table14[[#This Row],[I_10]] / Table14[[#This Row],[I_0]])</f>
        <v>1</v>
      </c>
      <c r="V12" s="1">
        <f>IF(Table14[[#This Row],[I_0]] &lt; INDEX(Table28[Filtro de ruido],1), 1, Table14[[#This Row],[I_20]] / Table14[[#This Row],[I_0]])</f>
        <v>1</v>
      </c>
      <c r="W12" s="1">
        <f>IF(Table14[[#This Row],[I_0]] &lt; INDEX(Table28[Filtro de ruido],1), 1, Table14[[#This Row],[I_30]] / Table14[[#This Row],[I_0]])</f>
        <v>1</v>
      </c>
      <c r="X12" s="1">
        <f>IF(Table14[[#This Row],[I_0]] &lt; INDEX(Table28[Filtro de ruido],1), 1, Table14[[#This Row],[I_40]] / Table14[[#This Row],[I_0]])</f>
        <v>1</v>
      </c>
      <c r="Y12" s="19">
        <f>IF(Table14[[#This Row],[I_0]] &lt; INDEX(Table28[Filtro de ruido],1), 1, Table14[[#This Row],[I_50]] / Table14[[#This Row],[I_0]])</f>
        <v>1</v>
      </c>
      <c r="AA12" s="1"/>
    </row>
    <row r="13" spans="1:27" x14ac:dyDescent="0.3">
      <c r="A13" s="18">
        <v>81.19</v>
      </c>
      <c r="B13" s="1">
        <v>0</v>
      </c>
      <c r="C13" s="1">
        <v>81.19</v>
      </c>
      <c r="D13" s="1">
        <v>0</v>
      </c>
      <c r="E13" s="1">
        <v>81.19</v>
      </c>
      <c r="F13" s="1">
        <v>0</v>
      </c>
      <c r="G13" s="1">
        <v>81.19</v>
      </c>
      <c r="H13" s="1">
        <v>0</v>
      </c>
      <c r="I13" s="1">
        <v>81.19</v>
      </c>
      <c r="J13" s="1">
        <v>0</v>
      </c>
      <c r="K13" s="1">
        <v>81.19</v>
      </c>
      <c r="L13" s="1">
        <v>0</v>
      </c>
      <c r="M13" s="1">
        <v>81.19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81.19</v>
      </c>
      <c r="U13" s="1">
        <f>IF(Table14[[#This Row],[I_0]] &lt; INDEX(Table28[Filtro de ruido],1), 1, Table14[[#This Row],[I_10]] / Table14[[#This Row],[I_0]])</f>
        <v>1</v>
      </c>
      <c r="V13" s="1">
        <f>IF(Table14[[#This Row],[I_0]] &lt; INDEX(Table28[Filtro de ruido],1), 1, Table14[[#This Row],[I_20]] / Table14[[#This Row],[I_0]])</f>
        <v>1</v>
      </c>
      <c r="W13" s="1">
        <f>IF(Table14[[#This Row],[I_0]] &lt; INDEX(Table28[Filtro de ruido],1), 1, Table14[[#This Row],[I_30]] / Table14[[#This Row],[I_0]])</f>
        <v>1</v>
      </c>
      <c r="X13" s="1">
        <f>IF(Table14[[#This Row],[I_0]] &lt; INDEX(Table28[Filtro de ruido],1), 1, Table14[[#This Row],[I_40]] / Table14[[#This Row],[I_0]])</f>
        <v>1</v>
      </c>
      <c r="Y13" s="19">
        <f>IF(Table14[[#This Row],[I_0]] &lt; INDEX(Table28[Filtro de ruido],1), 1, Table14[[#This Row],[I_50]] / Table14[[#This Row],[I_0]])</f>
        <v>1</v>
      </c>
      <c r="AA13" s="1"/>
    </row>
    <row r="14" spans="1:27" x14ac:dyDescent="0.3">
      <c r="A14" s="18">
        <v>82.18</v>
      </c>
      <c r="B14" s="1">
        <v>0</v>
      </c>
      <c r="C14" s="1">
        <v>82.18</v>
      </c>
      <c r="D14" s="1">
        <v>0</v>
      </c>
      <c r="E14" s="1">
        <v>82.18</v>
      </c>
      <c r="F14" s="1">
        <v>0</v>
      </c>
      <c r="G14" s="1">
        <v>82.18</v>
      </c>
      <c r="H14" s="1">
        <v>0</v>
      </c>
      <c r="I14" s="1">
        <v>82.18</v>
      </c>
      <c r="J14" s="1">
        <v>0</v>
      </c>
      <c r="K14" s="1">
        <v>82.18</v>
      </c>
      <c r="L14" s="1">
        <v>0</v>
      </c>
      <c r="M14" s="1">
        <v>82.18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82.18</v>
      </c>
      <c r="U14" s="1">
        <f>IF(Table14[[#This Row],[I_0]] &lt; INDEX(Table28[Filtro de ruido],1), 1, Table14[[#This Row],[I_10]] / Table14[[#This Row],[I_0]])</f>
        <v>1</v>
      </c>
      <c r="V14" s="1">
        <f>IF(Table14[[#This Row],[I_0]] &lt; INDEX(Table28[Filtro de ruido],1), 1, Table14[[#This Row],[I_20]] / Table14[[#This Row],[I_0]])</f>
        <v>1</v>
      </c>
      <c r="W14" s="1">
        <f>IF(Table14[[#This Row],[I_0]] &lt; INDEX(Table28[Filtro de ruido],1), 1, Table14[[#This Row],[I_30]] / Table14[[#This Row],[I_0]])</f>
        <v>1</v>
      </c>
      <c r="X14" s="1">
        <f>IF(Table14[[#This Row],[I_0]] &lt; INDEX(Table28[Filtro de ruido],1), 1, Table14[[#This Row],[I_40]] / Table14[[#This Row],[I_0]])</f>
        <v>1</v>
      </c>
      <c r="Y14" s="19">
        <f>IF(Table14[[#This Row],[I_0]] &lt; INDEX(Table28[Filtro de ruido],1), 1, Table14[[#This Row],[I_50]] / Table14[[#This Row],[I_0]])</f>
        <v>1</v>
      </c>
      <c r="AA14" s="1"/>
    </row>
    <row r="15" spans="1:27" x14ac:dyDescent="0.3">
      <c r="A15" s="18">
        <v>83.17</v>
      </c>
      <c r="B15" s="1">
        <v>0</v>
      </c>
      <c r="C15" s="1">
        <v>83.17</v>
      </c>
      <c r="D15" s="1">
        <v>0</v>
      </c>
      <c r="E15" s="1">
        <v>83.17</v>
      </c>
      <c r="F15" s="1">
        <v>0</v>
      </c>
      <c r="G15" s="1">
        <v>83.17</v>
      </c>
      <c r="H15" s="1">
        <v>0</v>
      </c>
      <c r="I15" s="1">
        <v>83.17</v>
      </c>
      <c r="J15" s="1">
        <v>0</v>
      </c>
      <c r="K15" s="1">
        <v>83.17</v>
      </c>
      <c r="L15" s="1">
        <v>0</v>
      </c>
      <c r="M15" s="1">
        <v>83.17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83.17</v>
      </c>
      <c r="U15" s="1">
        <f>IF(Table14[[#This Row],[I_0]] &lt; INDEX(Table28[Filtro de ruido],1), 1, Table14[[#This Row],[I_10]] / Table14[[#This Row],[I_0]])</f>
        <v>1</v>
      </c>
      <c r="V15" s="1">
        <f>IF(Table14[[#This Row],[I_0]] &lt; INDEX(Table28[Filtro de ruido],1), 1, Table14[[#This Row],[I_20]] / Table14[[#This Row],[I_0]])</f>
        <v>1</v>
      </c>
      <c r="W15" s="1">
        <f>IF(Table14[[#This Row],[I_0]] &lt; INDEX(Table28[Filtro de ruido],1), 1, Table14[[#This Row],[I_30]] / Table14[[#This Row],[I_0]])</f>
        <v>1</v>
      </c>
      <c r="X15" s="1">
        <f>IF(Table14[[#This Row],[I_0]] &lt; INDEX(Table28[Filtro de ruido],1), 1, Table14[[#This Row],[I_40]] / Table14[[#This Row],[I_0]])</f>
        <v>1</v>
      </c>
      <c r="Y15" s="19">
        <f>IF(Table14[[#This Row],[I_0]] &lt; INDEX(Table28[Filtro de ruido],1), 1, Table14[[#This Row],[I_50]] / Table14[[#This Row],[I_0]])</f>
        <v>1</v>
      </c>
      <c r="AA15" s="1"/>
    </row>
    <row r="16" spans="1:27" x14ac:dyDescent="0.3">
      <c r="A16" s="18">
        <v>84.17</v>
      </c>
      <c r="B16" s="1">
        <v>0</v>
      </c>
      <c r="C16" s="1">
        <v>84.17</v>
      </c>
      <c r="D16" s="1">
        <v>0</v>
      </c>
      <c r="E16" s="1">
        <v>84.17</v>
      </c>
      <c r="F16" s="1">
        <v>0</v>
      </c>
      <c r="G16" s="1">
        <v>84.17</v>
      </c>
      <c r="H16" s="1">
        <v>0</v>
      </c>
      <c r="I16" s="1">
        <v>84.17</v>
      </c>
      <c r="J16" s="1">
        <v>0</v>
      </c>
      <c r="K16" s="1">
        <v>84.17</v>
      </c>
      <c r="L16" s="1">
        <v>0</v>
      </c>
      <c r="M16" s="1">
        <v>84.17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84.17</v>
      </c>
      <c r="U16" s="1">
        <f>IF(Table14[[#This Row],[I_0]] &lt; INDEX(Table28[Filtro de ruido],1), 1, Table14[[#This Row],[I_10]] / Table14[[#This Row],[I_0]])</f>
        <v>1</v>
      </c>
      <c r="V16" s="1">
        <f>IF(Table14[[#This Row],[I_0]] &lt; INDEX(Table28[Filtro de ruido],1), 1, Table14[[#This Row],[I_20]] / Table14[[#This Row],[I_0]])</f>
        <v>1</v>
      </c>
      <c r="W16" s="1">
        <f>IF(Table14[[#This Row],[I_0]] &lt; INDEX(Table28[Filtro de ruido],1), 1, Table14[[#This Row],[I_30]] / Table14[[#This Row],[I_0]])</f>
        <v>1</v>
      </c>
      <c r="X16" s="1">
        <f>IF(Table14[[#This Row],[I_0]] &lt; INDEX(Table28[Filtro de ruido],1), 1, Table14[[#This Row],[I_40]] / Table14[[#This Row],[I_0]])</f>
        <v>1</v>
      </c>
      <c r="Y16" s="19">
        <f>IF(Table14[[#This Row],[I_0]] &lt; INDEX(Table28[Filtro de ruido],1), 1, Table14[[#This Row],[I_50]] / Table14[[#This Row],[I_0]])</f>
        <v>1</v>
      </c>
      <c r="AA16" s="1"/>
    </row>
    <row r="17" spans="1:27" x14ac:dyDescent="0.3">
      <c r="A17" s="18">
        <v>85.16</v>
      </c>
      <c r="B17" s="1">
        <v>0</v>
      </c>
      <c r="C17" s="1">
        <v>85.16</v>
      </c>
      <c r="D17" s="1">
        <v>0</v>
      </c>
      <c r="E17" s="1">
        <v>85.16</v>
      </c>
      <c r="F17" s="1">
        <v>0</v>
      </c>
      <c r="G17" s="1">
        <v>85.16</v>
      </c>
      <c r="H17" s="1">
        <v>0</v>
      </c>
      <c r="I17" s="1">
        <v>85.16</v>
      </c>
      <c r="J17" s="1">
        <v>0</v>
      </c>
      <c r="K17" s="1">
        <v>85.16</v>
      </c>
      <c r="L17" s="1">
        <v>0</v>
      </c>
      <c r="M17" s="1">
        <v>85.16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85.16</v>
      </c>
      <c r="U17" s="1">
        <f>IF(Table14[[#This Row],[I_0]] &lt; INDEX(Table28[Filtro de ruido],1), 1, Table14[[#This Row],[I_10]] / Table14[[#This Row],[I_0]])</f>
        <v>1</v>
      </c>
      <c r="V17" s="1">
        <f>IF(Table14[[#This Row],[I_0]] &lt; INDEX(Table28[Filtro de ruido],1), 1, Table14[[#This Row],[I_20]] / Table14[[#This Row],[I_0]])</f>
        <v>1</v>
      </c>
      <c r="W17" s="1">
        <f>IF(Table14[[#This Row],[I_0]] &lt; INDEX(Table28[Filtro de ruido],1), 1, Table14[[#This Row],[I_30]] / Table14[[#This Row],[I_0]])</f>
        <v>1</v>
      </c>
      <c r="X17" s="1">
        <f>IF(Table14[[#This Row],[I_0]] &lt; INDEX(Table28[Filtro de ruido],1), 1, Table14[[#This Row],[I_40]] / Table14[[#This Row],[I_0]])</f>
        <v>1</v>
      </c>
      <c r="Y17" s="19">
        <f>IF(Table14[[#This Row],[I_0]] &lt; INDEX(Table28[Filtro de ruido],1), 1, Table14[[#This Row],[I_50]] / Table14[[#This Row],[I_0]])</f>
        <v>1</v>
      </c>
      <c r="AA17" s="1"/>
    </row>
    <row r="18" spans="1:27" x14ac:dyDescent="0.3">
      <c r="A18" s="18">
        <v>86.15</v>
      </c>
      <c r="B18" s="1">
        <v>0</v>
      </c>
      <c r="C18" s="1">
        <v>86.15</v>
      </c>
      <c r="D18" s="1">
        <v>0</v>
      </c>
      <c r="E18" s="1">
        <v>86.15</v>
      </c>
      <c r="F18" s="1">
        <v>0</v>
      </c>
      <c r="G18" s="1">
        <v>86.15</v>
      </c>
      <c r="H18" s="1">
        <v>0</v>
      </c>
      <c r="I18" s="1">
        <v>86.15</v>
      </c>
      <c r="J18" s="1">
        <v>0</v>
      </c>
      <c r="K18" s="1">
        <v>86.15</v>
      </c>
      <c r="L18" s="1">
        <v>0</v>
      </c>
      <c r="M18" s="1">
        <v>86.15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86.15</v>
      </c>
      <c r="U18" s="1">
        <f>IF(Table14[[#This Row],[I_0]] &lt; INDEX(Table28[Filtro de ruido],1), 1, Table14[[#This Row],[I_10]] / Table14[[#This Row],[I_0]])</f>
        <v>1</v>
      </c>
      <c r="V18" s="1">
        <f>IF(Table14[[#This Row],[I_0]] &lt; INDEX(Table28[Filtro de ruido],1), 1, Table14[[#This Row],[I_20]] / Table14[[#This Row],[I_0]])</f>
        <v>1</v>
      </c>
      <c r="W18" s="1">
        <f>IF(Table14[[#This Row],[I_0]] &lt; INDEX(Table28[Filtro de ruido],1), 1, Table14[[#This Row],[I_30]] / Table14[[#This Row],[I_0]])</f>
        <v>1</v>
      </c>
      <c r="X18" s="1">
        <f>IF(Table14[[#This Row],[I_0]] &lt; INDEX(Table28[Filtro de ruido],1), 1, Table14[[#This Row],[I_40]] / Table14[[#This Row],[I_0]])</f>
        <v>1</v>
      </c>
      <c r="Y18" s="19">
        <f>IF(Table14[[#This Row],[I_0]] &lt; INDEX(Table28[Filtro de ruido],1), 1, Table14[[#This Row],[I_50]] / Table14[[#This Row],[I_0]])</f>
        <v>1</v>
      </c>
      <c r="AA18" s="1"/>
    </row>
    <row r="19" spans="1:27" x14ac:dyDescent="0.3">
      <c r="A19" s="18">
        <v>87.14</v>
      </c>
      <c r="B19" s="1">
        <v>0</v>
      </c>
      <c r="C19" s="1">
        <v>87.14</v>
      </c>
      <c r="D19" s="1">
        <v>0</v>
      </c>
      <c r="E19" s="1">
        <v>87.14</v>
      </c>
      <c r="F19" s="1">
        <v>0</v>
      </c>
      <c r="G19" s="1">
        <v>87.14</v>
      </c>
      <c r="H19" s="1">
        <v>0</v>
      </c>
      <c r="I19" s="1">
        <v>87.14</v>
      </c>
      <c r="J19" s="1">
        <v>0</v>
      </c>
      <c r="K19" s="1">
        <v>87.14</v>
      </c>
      <c r="L19" s="1">
        <v>0</v>
      </c>
      <c r="M19" s="1">
        <v>87.14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87.14</v>
      </c>
      <c r="U19" s="1">
        <f>IF(Table14[[#This Row],[I_0]] &lt; INDEX(Table28[Filtro de ruido],1), 1, Table14[[#This Row],[I_10]] / Table14[[#This Row],[I_0]])</f>
        <v>1</v>
      </c>
      <c r="V19" s="1">
        <f>IF(Table14[[#This Row],[I_0]] &lt; INDEX(Table28[Filtro de ruido],1), 1, Table14[[#This Row],[I_20]] / Table14[[#This Row],[I_0]])</f>
        <v>1</v>
      </c>
      <c r="W19" s="1">
        <f>IF(Table14[[#This Row],[I_0]] &lt; INDEX(Table28[Filtro de ruido],1), 1, Table14[[#This Row],[I_30]] / Table14[[#This Row],[I_0]])</f>
        <v>1</v>
      </c>
      <c r="X19" s="1">
        <f>IF(Table14[[#This Row],[I_0]] &lt; INDEX(Table28[Filtro de ruido],1), 1, Table14[[#This Row],[I_40]] / Table14[[#This Row],[I_0]])</f>
        <v>1</v>
      </c>
      <c r="Y19" s="19">
        <f>IF(Table14[[#This Row],[I_0]] &lt; INDEX(Table28[Filtro de ruido],1), 1, Table14[[#This Row],[I_50]] / Table14[[#This Row],[I_0]])</f>
        <v>1</v>
      </c>
      <c r="AA19" s="1"/>
    </row>
    <row r="20" spans="1:27" x14ac:dyDescent="0.3">
      <c r="A20" s="18">
        <v>88.13</v>
      </c>
      <c r="B20" s="1">
        <v>0</v>
      </c>
      <c r="C20" s="1">
        <v>88.13</v>
      </c>
      <c r="D20" s="1">
        <v>0</v>
      </c>
      <c r="E20" s="1">
        <v>88.13</v>
      </c>
      <c r="F20" s="1">
        <v>0</v>
      </c>
      <c r="G20" s="1">
        <v>88.13</v>
      </c>
      <c r="H20" s="1">
        <v>0</v>
      </c>
      <c r="I20" s="1">
        <v>88.13</v>
      </c>
      <c r="J20" s="1">
        <v>0</v>
      </c>
      <c r="K20" s="1">
        <v>88.13</v>
      </c>
      <c r="L20" s="1">
        <v>0</v>
      </c>
      <c r="M20" s="1">
        <v>88.13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88.13</v>
      </c>
      <c r="U20" s="1">
        <f>IF(Table14[[#This Row],[I_0]] &lt; INDEX(Table28[Filtro de ruido],1), 1, Table14[[#This Row],[I_10]] / Table14[[#This Row],[I_0]])</f>
        <v>1</v>
      </c>
      <c r="V20" s="1">
        <f>IF(Table14[[#This Row],[I_0]] &lt; INDEX(Table28[Filtro de ruido],1), 1, Table14[[#This Row],[I_20]] / Table14[[#This Row],[I_0]])</f>
        <v>1</v>
      </c>
      <c r="W20" s="1">
        <f>IF(Table14[[#This Row],[I_0]] &lt; INDEX(Table28[Filtro de ruido],1), 1, Table14[[#This Row],[I_30]] / Table14[[#This Row],[I_0]])</f>
        <v>1</v>
      </c>
      <c r="X20" s="1">
        <f>IF(Table14[[#This Row],[I_0]] &lt; INDEX(Table28[Filtro de ruido],1), 1, Table14[[#This Row],[I_40]] / Table14[[#This Row],[I_0]])</f>
        <v>1</v>
      </c>
      <c r="Y20" s="19">
        <f>IF(Table14[[#This Row],[I_0]] &lt; INDEX(Table28[Filtro de ruido],1), 1, Table14[[#This Row],[I_50]] / Table14[[#This Row],[I_0]])</f>
        <v>1</v>
      </c>
      <c r="AA20" s="1"/>
    </row>
    <row r="21" spans="1:27" x14ac:dyDescent="0.3">
      <c r="A21" s="18">
        <v>89.12</v>
      </c>
      <c r="B21" s="1">
        <v>0</v>
      </c>
      <c r="C21" s="1">
        <v>89.12</v>
      </c>
      <c r="D21" s="1">
        <v>0</v>
      </c>
      <c r="E21" s="1">
        <v>89.12</v>
      </c>
      <c r="F21" s="1">
        <v>0</v>
      </c>
      <c r="G21" s="1">
        <v>89.12</v>
      </c>
      <c r="H21" s="1">
        <v>0</v>
      </c>
      <c r="I21" s="1">
        <v>89.12</v>
      </c>
      <c r="J21" s="1">
        <v>0</v>
      </c>
      <c r="K21" s="1">
        <v>89.12</v>
      </c>
      <c r="L21" s="1">
        <v>0</v>
      </c>
      <c r="M21" s="1">
        <v>89.12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89.12</v>
      </c>
      <c r="U21" s="1">
        <f>IF(Table14[[#This Row],[I_0]] &lt; INDEX(Table28[Filtro de ruido],1), 1, Table14[[#This Row],[I_10]] / Table14[[#This Row],[I_0]])</f>
        <v>1</v>
      </c>
      <c r="V21" s="1">
        <f>IF(Table14[[#This Row],[I_0]] &lt; INDEX(Table28[Filtro de ruido],1), 1, Table14[[#This Row],[I_20]] / Table14[[#This Row],[I_0]])</f>
        <v>1</v>
      </c>
      <c r="W21" s="1">
        <f>IF(Table14[[#This Row],[I_0]] &lt; INDEX(Table28[Filtro de ruido],1), 1, Table14[[#This Row],[I_30]] / Table14[[#This Row],[I_0]])</f>
        <v>1</v>
      </c>
      <c r="X21" s="1">
        <f>IF(Table14[[#This Row],[I_0]] &lt; INDEX(Table28[Filtro de ruido],1), 1, Table14[[#This Row],[I_40]] / Table14[[#This Row],[I_0]])</f>
        <v>1</v>
      </c>
      <c r="Y21" s="19">
        <f>IF(Table14[[#This Row],[I_0]] &lt; INDEX(Table28[Filtro de ruido],1), 1, Table14[[#This Row],[I_50]] / Table14[[#This Row],[I_0]])</f>
        <v>1</v>
      </c>
      <c r="AA21" s="1"/>
    </row>
    <row r="22" spans="1:27" x14ac:dyDescent="0.3">
      <c r="A22" s="18">
        <v>90.12</v>
      </c>
      <c r="B22" s="1">
        <v>0</v>
      </c>
      <c r="C22" s="1">
        <v>90.12</v>
      </c>
      <c r="D22" s="1">
        <v>0</v>
      </c>
      <c r="E22" s="1">
        <v>90.12</v>
      </c>
      <c r="F22" s="1">
        <v>0</v>
      </c>
      <c r="G22" s="1">
        <v>90.12</v>
      </c>
      <c r="H22" s="1">
        <v>0</v>
      </c>
      <c r="I22" s="1">
        <v>90.12</v>
      </c>
      <c r="J22" s="1">
        <v>0</v>
      </c>
      <c r="K22" s="1">
        <v>90.12</v>
      </c>
      <c r="L22" s="1">
        <v>0</v>
      </c>
      <c r="M22" s="1">
        <v>90.12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90.12</v>
      </c>
      <c r="U22" s="1">
        <f>IF(Table14[[#This Row],[I_0]] &lt; INDEX(Table28[Filtro de ruido],1), 1, Table14[[#This Row],[I_10]] / Table14[[#This Row],[I_0]])</f>
        <v>1</v>
      </c>
      <c r="V22" s="1">
        <f>IF(Table14[[#This Row],[I_0]] &lt; INDEX(Table28[Filtro de ruido],1), 1, Table14[[#This Row],[I_20]] / Table14[[#This Row],[I_0]])</f>
        <v>1</v>
      </c>
      <c r="W22" s="1">
        <f>IF(Table14[[#This Row],[I_0]] &lt; INDEX(Table28[Filtro de ruido],1), 1, Table14[[#This Row],[I_30]] / Table14[[#This Row],[I_0]])</f>
        <v>1</v>
      </c>
      <c r="X22" s="1">
        <f>IF(Table14[[#This Row],[I_0]] &lt; INDEX(Table28[Filtro de ruido],1), 1, Table14[[#This Row],[I_40]] / Table14[[#This Row],[I_0]])</f>
        <v>1</v>
      </c>
      <c r="Y22" s="19">
        <f>IF(Table14[[#This Row],[I_0]] &lt; INDEX(Table28[Filtro de ruido],1), 1, Table14[[#This Row],[I_50]] / Table14[[#This Row],[I_0]])</f>
        <v>1</v>
      </c>
      <c r="AA22" s="1"/>
    </row>
    <row r="23" spans="1:27" x14ac:dyDescent="0.3">
      <c r="A23" s="18">
        <v>91.11</v>
      </c>
      <c r="B23" s="1">
        <v>0</v>
      </c>
      <c r="C23" s="1">
        <v>91.11</v>
      </c>
      <c r="D23" s="1">
        <v>0</v>
      </c>
      <c r="E23" s="1">
        <v>91.11</v>
      </c>
      <c r="F23" s="1">
        <v>0</v>
      </c>
      <c r="G23" s="1">
        <v>91.11</v>
      </c>
      <c r="H23" s="1">
        <v>0</v>
      </c>
      <c r="I23" s="1">
        <v>91.11</v>
      </c>
      <c r="J23" s="1">
        <v>0</v>
      </c>
      <c r="K23" s="1">
        <v>91.11</v>
      </c>
      <c r="L23" s="1">
        <v>0</v>
      </c>
      <c r="M23" s="1">
        <v>91.11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91.11</v>
      </c>
      <c r="U23" s="1">
        <f>IF(Table14[[#This Row],[I_0]] &lt; INDEX(Table28[Filtro de ruido],1), 1, Table14[[#This Row],[I_10]] / Table14[[#This Row],[I_0]])</f>
        <v>1</v>
      </c>
      <c r="V23" s="1">
        <f>IF(Table14[[#This Row],[I_0]] &lt; INDEX(Table28[Filtro de ruido],1), 1, Table14[[#This Row],[I_20]] / Table14[[#This Row],[I_0]])</f>
        <v>1</v>
      </c>
      <c r="W23" s="1">
        <f>IF(Table14[[#This Row],[I_0]] &lt; INDEX(Table28[Filtro de ruido],1), 1, Table14[[#This Row],[I_30]] / Table14[[#This Row],[I_0]])</f>
        <v>1</v>
      </c>
      <c r="X23" s="1">
        <f>IF(Table14[[#This Row],[I_0]] &lt; INDEX(Table28[Filtro de ruido],1), 1, Table14[[#This Row],[I_40]] / Table14[[#This Row],[I_0]])</f>
        <v>1</v>
      </c>
      <c r="Y23" s="19">
        <f>IF(Table14[[#This Row],[I_0]] &lt; INDEX(Table28[Filtro de ruido],1), 1, Table14[[#This Row],[I_50]] / Table14[[#This Row],[I_0]])</f>
        <v>1</v>
      </c>
      <c r="AA23" s="1"/>
    </row>
    <row r="24" spans="1:27" x14ac:dyDescent="0.3">
      <c r="A24" s="18">
        <v>92.1</v>
      </c>
      <c r="B24" s="1">
        <v>0</v>
      </c>
      <c r="C24" s="1">
        <v>92.1</v>
      </c>
      <c r="D24" s="1">
        <v>0</v>
      </c>
      <c r="E24" s="1">
        <v>92.1</v>
      </c>
      <c r="F24" s="1">
        <v>0</v>
      </c>
      <c r="G24" s="1">
        <v>92.1</v>
      </c>
      <c r="H24" s="1">
        <v>0</v>
      </c>
      <c r="I24" s="1">
        <v>92.1</v>
      </c>
      <c r="J24" s="1">
        <v>0</v>
      </c>
      <c r="K24" s="1">
        <v>92.1</v>
      </c>
      <c r="L24" s="1">
        <v>0</v>
      </c>
      <c r="M24" s="1">
        <v>92.1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92.1</v>
      </c>
      <c r="U24" s="1">
        <f>IF(Table14[[#This Row],[I_0]] &lt; INDEX(Table28[Filtro de ruido],1), 1, Table14[[#This Row],[I_10]] / Table14[[#This Row],[I_0]])</f>
        <v>1</v>
      </c>
      <c r="V24" s="1">
        <f>IF(Table14[[#This Row],[I_0]] &lt; INDEX(Table28[Filtro de ruido],1), 1, Table14[[#This Row],[I_20]] / Table14[[#This Row],[I_0]])</f>
        <v>1</v>
      </c>
      <c r="W24" s="1">
        <f>IF(Table14[[#This Row],[I_0]] &lt; INDEX(Table28[Filtro de ruido],1), 1, Table14[[#This Row],[I_30]] / Table14[[#This Row],[I_0]])</f>
        <v>1</v>
      </c>
      <c r="X24" s="1">
        <f>IF(Table14[[#This Row],[I_0]] &lt; INDEX(Table28[Filtro de ruido],1), 1, Table14[[#This Row],[I_40]] / Table14[[#This Row],[I_0]])</f>
        <v>1</v>
      </c>
      <c r="Y24" s="19">
        <f>IF(Table14[[#This Row],[I_0]] &lt; INDEX(Table28[Filtro de ruido],1), 1, Table14[[#This Row],[I_50]] / Table14[[#This Row],[I_0]])</f>
        <v>1</v>
      </c>
      <c r="AA24" s="1"/>
    </row>
    <row r="25" spans="1:27" x14ac:dyDescent="0.3">
      <c r="A25" s="18">
        <v>93.09</v>
      </c>
      <c r="B25" s="1">
        <v>0</v>
      </c>
      <c r="C25" s="1">
        <v>93.09</v>
      </c>
      <c r="D25" s="1">
        <v>0</v>
      </c>
      <c r="E25" s="1">
        <v>93.09</v>
      </c>
      <c r="F25" s="1">
        <v>0</v>
      </c>
      <c r="G25" s="1">
        <v>93.09</v>
      </c>
      <c r="H25" s="1">
        <v>0</v>
      </c>
      <c r="I25" s="1">
        <v>93.09</v>
      </c>
      <c r="J25" s="1">
        <v>0</v>
      </c>
      <c r="K25" s="1">
        <v>93.09</v>
      </c>
      <c r="L25" s="1">
        <v>0</v>
      </c>
      <c r="M25" s="1">
        <v>93.09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93.09</v>
      </c>
      <c r="U25" s="1">
        <f>IF(Table14[[#This Row],[I_0]] &lt; INDEX(Table28[Filtro de ruido],1), 1, Table14[[#This Row],[I_10]] / Table14[[#This Row],[I_0]])</f>
        <v>1</v>
      </c>
      <c r="V25" s="1">
        <f>IF(Table14[[#This Row],[I_0]] &lt; INDEX(Table28[Filtro de ruido],1), 1, Table14[[#This Row],[I_20]] / Table14[[#This Row],[I_0]])</f>
        <v>1</v>
      </c>
      <c r="W25" s="1">
        <f>IF(Table14[[#This Row],[I_0]] &lt; INDEX(Table28[Filtro de ruido],1), 1, Table14[[#This Row],[I_30]] / Table14[[#This Row],[I_0]])</f>
        <v>1</v>
      </c>
      <c r="X25" s="1">
        <f>IF(Table14[[#This Row],[I_0]] &lt; INDEX(Table28[Filtro de ruido],1), 1, Table14[[#This Row],[I_40]] / Table14[[#This Row],[I_0]])</f>
        <v>1</v>
      </c>
      <c r="Y25" s="19">
        <f>IF(Table14[[#This Row],[I_0]] &lt; INDEX(Table28[Filtro de ruido],1), 1, Table14[[#This Row],[I_50]] / Table14[[#This Row],[I_0]])</f>
        <v>1</v>
      </c>
      <c r="AA25" s="1"/>
    </row>
    <row r="26" spans="1:27" x14ac:dyDescent="0.3">
      <c r="A26" s="18">
        <v>94.08</v>
      </c>
      <c r="B26" s="1">
        <v>0</v>
      </c>
      <c r="C26" s="1">
        <v>94.08</v>
      </c>
      <c r="D26" s="1">
        <v>0</v>
      </c>
      <c r="E26" s="1">
        <v>94.08</v>
      </c>
      <c r="F26" s="1">
        <v>0</v>
      </c>
      <c r="G26" s="1">
        <v>94.08</v>
      </c>
      <c r="H26" s="1">
        <v>0</v>
      </c>
      <c r="I26" s="1">
        <v>94.08</v>
      </c>
      <c r="J26" s="1">
        <v>0</v>
      </c>
      <c r="K26" s="1">
        <v>94.08</v>
      </c>
      <c r="L26" s="1">
        <v>0</v>
      </c>
      <c r="M26" s="1">
        <v>94.08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94.08</v>
      </c>
      <c r="U26" s="1">
        <f>IF(Table14[[#This Row],[I_0]] &lt; INDEX(Table28[Filtro de ruido],1), 1, Table14[[#This Row],[I_10]] / Table14[[#This Row],[I_0]])</f>
        <v>1</v>
      </c>
      <c r="V26" s="1">
        <f>IF(Table14[[#This Row],[I_0]] &lt; INDEX(Table28[Filtro de ruido],1), 1, Table14[[#This Row],[I_20]] / Table14[[#This Row],[I_0]])</f>
        <v>1</v>
      </c>
      <c r="W26" s="1">
        <f>IF(Table14[[#This Row],[I_0]] &lt; INDEX(Table28[Filtro de ruido],1), 1, Table14[[#This Row],[I_30]] / Table14[[#This Row],[I_0]])</f>
        <v>1</v>
      </c>
      <c r="X26" s="1">
        <f>IF(Table14[[#This Row],[I_0]] &lt; INDEX(Table28[Filtro de ruido],1), 1, Table14[[#This Row],[I_40]] / Table14[[#This Row],[I_0]])</f>
        <v>1</v>
      </c>
      <c r="Y26" s="19">
        <f>IF(Table14[[#This Row],[I_0]] &lt; INDEX(Table28[Filtro de ruido],1), 1, Table14[[#This Row],[I_50]] / Table14[[#This Row],[I_0]])</f>
        <v>1</v>
      </c>
      <c r="AA26" s="1"/>
    </row>
    <row r="27" spans="1:27" x14ac:dyDescent="0.3">
      <c r="A27" s="18">
        <v>95.08</v>
      </c>
      <c r="B27" s="1">
        <v>0</v>
      </c>
      <c r="C27" s="1">
        <v>95.08</v>
      </c>
      <c r="D27" s="1">
        <v>0</v>
      </c>
      <c r="E27" s="1">
        <v>95.08</v>
      </c>
      <c r="F27" s="1">
        <v>0</v>
      </c>
      <c r="G27" s="1">
        <v>95.08</v>
      </c>
      <c r="H27" s="1">
        <v>0</v>
      </c>
      <c r="I27" s="1">
        <v>95.08</v>
      </c>
      <c r="J27" s="1">
        <v>0</v>
      </c>
      <c r="K27" s="1">
        <v>95.08</v>
      </c>
      <c r="L27" s="1">
        <v>0</v>
      </c>
      <c r="M27" s="1">
        <v>95.08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95.08</v>
      </c>
      <c r="U27" s="1">
        <f>IF(Table14[[#This Row],[I_0]] &lt; INDEX(Table28[Filtro de ruido],1), 1, Table14[[#This Row],[I_10]] / Table14[[#This Row],[I_0]])</f>
        <v>1</v>
      </c>
      <c r="V27" s="1">
        <f>IF(Table14[[#This Row],[I_0]] &lt; INDEX(Table28[Filtro de ruido],1), 1, Table14[[#This Row],[I_20]] / Table14[[#This Row],[I_0]])</f>
        <v>1</v>
      </c>
      <c r="W27" s="1">
        <f>IF(Table14[[#This Row],[I_0]] &lt; INDEX(Table28[Filtro de ruido],1), 1, Table14[[#This Row],[I_30]] / Table14[[#This Row],[I_0]])</f>
        <v>1</v>
      </c>
      <c r="X27" s="1">
        <f>IF(Table14[[#This Row],[I_0]] &lt; INDEX(Table28[Filtro de ruido],1), 1, Table14[[#This Row],[I_40]] / Table14[[#This Row],[I_0]])</f>
        <v>1</v>
      </c>
      <c r="Y27" s="19">
        <f>IF(Table14[[#This Row],[I_0]] &lt; INDEX(Table28[Filtro de ruido],1), 1, Table14[[#This Row],[I_50]] / Table14[[#This Row],[I_0]])</f>
        <v>1</v>
      </c>
      <c r="AA27" s="1"/>
    </row>
    <row r="28" spans="1:27" x14ac:dyDescent="0.3">
      <c r="A28" s="18">
        <v>96.07</v>
      </c>
      <c r="B28" s="1">
        <v>0</v>
      </c>
      <c r="C28" s="1">
        <v>96.07</v>
      </c>
      <c r="D28" s="1">
        <v>0</v>
      </c>
      <c r="E28" s="1">
        <v>96.07</v>
      </c>
      <c r="F28" s="1">
        <v>0</v>
      </c>
      <c r="G28" s="1">
        <v>96.07</v>
      </c>
      <c r="H28" s="1">
        <v>0</v>
      </c>
      <c r="I28" s="1">
        <v>96.07</v>
      </c>
      <c r="J28" s="1">
        <v>0</v>
      </c>
      <c r="K28" s="1">
        <v>96.07</v>
      </c>
      <c r="L28" s="1">
        <v>0</v>
      </c>
      <c r="M28" s="1">
        <v>96.07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96.07</v>
      </c>
      <c r="U28" s="1">
        <f>IF(Table14[[#This Row],[I_0]] &lt; INDEX(Table28[Filtro de ruido],1), 1, Table14[[#This Row],[I_10]] / Table14[[#This Row],[I_0]])</f>
        <v>1</v>
      </c>
      <c r="V28" s="1">
        <f>IF(Table14[[#This Row],[I_0]] &lt; INDEX(Table28[Filtro de ruido],1), 1, Table14[[#This Row],[I_20]] / Table14[[#This Row],[I_0]])</f>
        <v>1</v>
      </c>
      <c r="W28" s="1">
        <f>IF(Table14[[#This Row],[I_0]] &lt; INDEX(Table28[Filtro de ruido],1), 1, Table14[[#This Row],[I_30]] / Table14[[#This Row],[I_0]])</f>
        <v>1</v>
      </c>
      <c r="X28" s="1">
        <f>IF(Table14[[#This Row],[I_0]] &lt; INDEX(Table28[Filtro de ruido],1), 1, Table14[[#This Row],[I_40]] / Table14[[#This Row],[I_0]])</f>
        <v>1</v>
      </c>
      <c r="Y28" s="19">
        <f>IF(Table14[[#This Row],[I_0]] &lt; INDEX(Table28[Filtro de ruido],1), 1, Table14[[#This Row],[I_50]] / Table14[[#This Row],[I_0]])</f>
        <v>1</v>
      </c>
      <c r="AA28" s="1"/>
    </row>
    <row r="29" spans="1:27" x14ac:dyDescent="0.3">
      <c r="A29" s="18">
        <v>97.06</v>
      </c>
      <c r="B29" s="1">
        <v>0</v>
      </c>
      <c r="C29" s="1">
        <v>97.06</v>
      </c>
      <c r="D29" s="1">
        <v>0</v>
      </c>
      <c r="E29" s="1">
        <v>97.06</v>
      </c>
      <c r="F29" s="1">
        <v>0</v>
      </c>
      <c r="G29" s="1">
        <v>97.06</v>
      </c>
      <c r="H29" s="1">
        <v>0</v>
      </c>
      <c r="I29" s="1">
        <v>97.06</v>
      </c>
      <c r="J29" s="1">
        <v>0</v>
      </c>
      <c r="K29" s="1">
        <v>97.06</v>
      </c>
      <c r="L29" s="1">
        <v>0</v>
      </c>
      <c r="M29" s="1">
        <v>97.06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97.06</v>
      </c>
      <c r="U29" s="1">
        <f>IF(Table14[[#This Row],[I_0]] &lt; INDEX(Table28[Filtro de ruido],1), 1, Table14[[#This Row],[I_10]] / Table14[[#This Row],[I_0]])</f>
        <v>1</v>
      </c>
      <c r="V29" s="1">
        <f>IF(Table14[[#This Row],[I_0]] &lt; INDEX(Table28[Filtro de ruido],1), 1, Table14[[#This Row],[I_20]] / Table14[[#This Row],[I_0]])</f>
        <v>1</v>
      </c>
      <c r="W29" s="1">
        <f>IF(Table14[[#This Row],[I_0]] &lt; INDEX(Table28[Filtro de ruido],1), 1, Table14[[#This Row],[I_30]] / Table14[[#This Row],[I_0]])</f>
        <v>1</v>
      </c>
      <c r="X29" s="1">
        <f>IF(Table14[[#This Row],[I_0]] &lt; INDEX(Table28[Filtro de ruido],1), 1, Table14[[#This Row],[I_40]] / Table14[[#This Row],[I_0]])</f>
        <v>1</v>
      </c>
      <c r="Y29" s="19">
        <f>IF(Table14[[#This Row],[I_0]] &lt; INDEX(Table28[Filtro de ruido],1), 1, Table14[[#This Row],[I_50]] / Table14[[#This Row],[I_0]])</f>
        <v>1</v>
      </c>
      <c r="AA29" s="1"/>
    </row>
    <row r="30" spans="1:27" x14ac:dyDescent="0.3">
      <c r="A30" s="18">
        <v>98.05</v>
      </c>
      <c r="B30" s="1">
        <v>0</v>
      </c>
      <c r="C30" s="1">
        <v>98.05</v>
      </c>
      <c r="D30" s="1">
        <v>0</v>
      </c>
      <c r="E30" s="1">
        <v>98.05</v>
      </c>
      <c r="F30" s="1">
        <v>0</v>
      </c>
      <c r="G30" s="1">
        <v>98.05</v>
      </c>
      <c r="H30" s="1">
        <v>0</v>
      </c>
      <c r="I30" s="1">
        <v>98.05</v>
      </c>
      <c r="J30" s="1">
        <v>0</v>
      </c>
      <c r="K30" s="1">
        <v>98.05</v>
      </c>
      <c r="L30" s="1">
        <v>0</v>
      </c>
      <c r="M30" s="1">
        <v>98.05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98.05</v>
      </c>
      <c r="U30" s="1">
        <f>IF(Table14[[#This Row],[I_0]] &lt; INDEX(Table28[Filtro de ruido],1), 1, Table14[[#This Row],[I_10]] / Table14[[#This Row],[I_0]])</f>
        <v>1</v>
      </c>
      <c r="V30" s="1">
        <f>IF(Table14[[#This Row],[I_0]] &lt; INDEX(Table28[Filtro de ruido],1), 1, Table14[[#This Row],[I_20]] / Table14[[#This Row],[I_0]])</f>
        <v>1</v>
      </c>
      <c r="W30" s="1">
        <f>IF(Table14[[#This Row],[I_0]] &lt; INDEX(Table28[Filtro de ruido],1), 1, Table14[[#This Row],[I_30]] / Table14[[#This Row],[I_0]])</f>
        <v>1</v>
      </c>
      <c r="X30" s="1">
        <f>IF(Table14[[#This Row],[I_0]] &lt; INDEX(Table28[Filtro de ruido],1), 1, Table14[[#This Row],[I_40]] / Table14[[#This Row],[I_0]])</f>
        <v>1</v>
      </c>
      <c r="Y30" s="19">
        <f>IF(Table14[[#This Row],[I_0]] &lt; INDEX(Table28[Filtro de ruido],1), 1, Table14[[#This Row],[I_50]] / Table14[[#This Row],[I_0]])</f>
        <v>1</v>
      </c>
      <c r="AA30" s="1"/>
    </row>
    <row r="31" spans="1:27" x14ac:dyDescent="0.3">
      <c r="A31" s="18">
        <v>99.04</v>
      </c>
      <c r="B31" s="1">
        <v>0</v>
      </c>
      <c r="C31" s="1">
        <v>99.04</v>
      </c>
      <c r="D31" s="1">
        <v>0</v>
      </c>
      <c r="E31" s="1">
        <v>99.04</v>
      </c>
      <c r="F31" s="1">
        <v>0</v>
      </c>
      <c r="G31" s="1">
        <v>99.04</v>
      </c>
      <c r="H31" s="1">
        <v>0</v>
      </c>
      <c r="I31" s="1">
        <v>99.04</v>
      </c>
      <c r="J31" s="1">
        <v>0</v>
      </c>
      <c r="K31" s="1">
        <v>99.04</v>
      </c>
      <c r="L31" s="1">
        <v>0</v>
      </c>
      <c r="M31" s="1">
        <v>99.04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99.04</v>
      </c>
      <c r="U31" s="1">
        <f>IF(Table14[[#This Row],[I_0]] &lt; INDEX(Table28[Filtro de ruido],1), 1, Table14[[#This Row],[I_10]] / Table14[[#This Row],[I_0]])</f>
        <v>1</v>
      </c>
      <c r="V31" s="1">
        <f>IF(Table14[[#This Row],[I_0]] &lt; INDEX(Table28[Filtro de ruido],1), 1, Table14[[#This Row],[I_20]] / Table14[[#This Row],[I_0]])</f>
        <v>1</v>
      </c>
      <c r="W31" s="1">
        <f>IF(Table14[[#This Row],[I_0]] &lt; INDEX(Table28[Filtro de ruido],1), 1, Table14[[#This Row],[I_30]] / Table14[[#This Row],[I_0]])</f>
        <v>1</v>
      </c>
      <c r="X31" s="1">
        <f>IF(Table14[[#This Row],[I_0]] &lt; INDEX(Table28[Filtro de ruido],1), 1, Table14[[#This Row],[I_40]] / Table14[[#This Row],[I_0]])</f>
        <v>1</v>
      </c>
      <c r="Y31" s="19">
        <f>IF(Table14[[#This Row],[I_0]] &lt; INDEX(Table28[Filtro de ruido],1), 1, Table14[[#This Row],[I_50]] / Table14[[#This Row],[I_0]])</f>
        <v>1</v>
      </c>
      <c r="AA31" s="1"/>
    </row>
    <row r="32" spans="1:27" x14ac:dyDescent="0.3">
      <c r="A32" s="18">
        <v>100.03</v>
      </c>
      <c r="B32" s="1">
        <v>0</v>
      </c>
      <c r="C32" s="1">
        <v>100.03</v>
      </c>
      <c r="D32" s="1">
        <v>0</v>
      </c>
      <c r="E32" s="1">
        <v>100.03</v>
      </c>
      <c r="F32" s="1">
        <v>0</v>
      </c>
      <c r="G32" s="1">
        <v>100.03</v>
      </c>
      <c r="H32" s="1">
        <v>0</v>
      </c>
      <c r="I32" s="1">
        <v>100.03</v>
      </c>
      <c r="J32" s="1">
        <v>0</v>
      </c>
      <c r="K32" s="1">
        <v>100.03</v>
      </c>
      <c r="L32" s="1">
        <v>0</v>
      </c>
      <c r="M32" s="1">
        <v>100.03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100.03</v>
      </c>
      <c r="U32" s="1">
        <f>IF(Table14[[#This Row],[I_0]] &lt; INDEX(Table28[Filtro de ruido],1), 1, Table14[[#This Row],[I_10]] / Table14[[#This Row],[I_0]])</f>
        <v>1</v>
      </c>
      <c r="V32" s="1">
        <f>IF(Table14[[#This Row],[I_0]] &lt; INDEX(Table28[Filtro de ruido],1), 1, Table14[[#This Row],[I_20]] / Table14[[#This Row],[I_0]])</f>
        <v>1</v>
      </c>
      <c r="W32" s="1">
        <f>IF(Table14[[#This Row],[I_0]] &lt; INDEX(Table28[Filtro de ruido],1), 1, Table14[[#This Row],[I_30]] / Table14[[#This Row],[I_0]])</f>
        <v>1</v>
      </c>
      <c r="X32" s="1">
        <f>IF(Table14[[#This Row],[I_0]] &lt; INDEX(Table28[Filtro de ruido],1), 1, Table14[[#This Row],[I_40]] / Table14[[#This Row],[I_0]])</f>
        <v>1</v>
      </c>
      <c r="Y32" s="19">
        <f>IF(Table14[[#This Row],[I_0]] &lt; INDEX(Table28[Filtro de ruido],1), 1, Table14[[#This Row],[I_50]] / Table14[[#This Row],[I_0]])</f>
        <v>1</v>
      </c>
      <c r="AA32" s="1"/>
    </row>
    <row r="33" spans="1:27" x14ac:dyDescent="0.3">
      <c r="A33" s="18">
        <v>101.03</v>
      </c>
      <c r="B33" s="1">
        <v>0</v>
      </c>
      <c r="C33" s="1">
        <v>101.03</v>
      </c>
      <c r="D33" s="1">
        <v>0</v>
      </c>
      <c r="E33" s="1">
        <v>101.03</v>
      </c>
      <c r="F33" s="1">
        <v>0</v>
      </c>
      <c r="G33" s="1">
        <v>101.03</v>
      </c>
      <c r="H33" s="1">
        <v>0</v>
      </c>
      <c r="I33" s="1">
        <v>101.03</v>
      </c>
      <c r="J33" s="1">
        <v>0</v>
      </c>
      <c r="K33" s="1">
        <v>101.03</v>
      </c>
      <c r="L33" s="1">
        <v>0</v>
      </c>
      <c r="M33" s="1">
        <v>101.03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101.03</v>
      </c>
      <c r="U33" s="1">
        <f>IF(Table14[[#This Row],[I_0]] &lt; INDEX(Table28[Filtro de ruido],1), 1, Table14[[#This Row],[I_10]] / Table14[[#This Row],[I_0]])</f>
        <v>1</v>
      </c>
      <c r="V33" s="1">
        <f>IF(Table14[[#This Row],[I_0]] &lt; INDEX(Table28[Filtro de ruido],1), 1, Table14[[#This Row],[I_20]] / Table14[[#This Row],[I_0]])</f>
        <v>1</v>
      </c>
      <c r="W33" s="1">
        <f>IF(Table14[[#This Row],[I_0]] &lt; INDEX(Table28[Filtro de ruido],1), 1, Table14[[#This Row],[I_30]] / Table14[[#This Row],[I_0]])</f>
        <v>1</v>
      </c>
      <c r="X33" s="1">
        <f>IF(Table14[[#This Row],[I_0]] &lt; INDEX(Table28[Filtro de ruido],1), 1, Table14[[#This Row],[I_40]] / Table14[[#This Row],[I_0]])</f>
        <v>1</v>
      </c>
      <c r="Y33" s="19">
        <f>IF(Table14[[#This Row],[I_0]] &lt; INDEX(Table28[Filtro de ruido],1), 1, Table14[[#This Row],[I_50]] / Table14[[#This Row],[I_0]])</f>
        <v>1</v>
      </c>
      <c r="AA33" s="1"/>
    </row>
    <row r="34" spans="1:27" x14ac:dyDescent="0.3">
      <c r="A34" s="18">
        <v>102.02</v>
      </c>
      <c r="B34" s="1">
        <v>0</v>
      </c>
      <c r="C34" s="1">
        <v>102.02</v>
      </c>
      <c r="D34" s="1">
        <v>0</v>
      </c>
      <c r="E34" s="1">
        <v>102.02</v>
      </c>
      <c r="F34" s="1">
        <v>0</v>
      </c>
      <c r="G34" s="1">
        <v>102.02</v>
      </c>
      <c r="H34" s="1">
        <v>0</v>
      </c>
      <c r="I34" s="1">
        <v>102.02</v>
      </c>
      <c r="J34" s="1">
        <v>0</v>
      </c>
      <c r="K34" s="1">
        <v>102.02</v>
      </c>
      <c r="L34" s="1">
        <v>0</v>
      </c>
      <c r="M34" s="1">
        <v>102.02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102.02</v>
      </c>
      <c r="U34" s="1">
        <f>IF(Table14[[#This Row],[I_0]] &lt; INDEX(Table28[Filtro de ruido],1), 1, Table14[[#This Row],[I_10]] / Table14[[#This Row],[I_0]])</f>
        <v>1</v>
      </c>
      <c r="V34" s="1">
        <f>IF(Table14[[#This Row],[I_0]] &lt; INDEX(Table28[Filtro de ruido],1), 1, Table14[[#This Row],[I_20]] / Table14[[#This Row],[I_0]])</f>
        <v>1</v>
      </c>
      <c r="W34" s="1">
        <f>IF(Table14[[#This Row],[I_0]] &lt; INDEX(Table28[Filtro de ruido],1), 1, Table14[[#This Row],[I_30]] / Table14[[#This Row],[I_0]])</f>
        <v>1</v>
      </c>
      <c r="X34" s="1">
        <f>IF(Table14[[#This Row],[I_0]] &lt; INDEX(Table28[Filtro de ruido],1), 1, Table14[[#This Row],[I_40]] / Table14[[#This Row],[I_0]])</f>
        <v>1</v>
      </c>
      <c r="Y34" s="19">
        <f>IF(Table14[[#This Row],[I_0]] &lt; INDEX(Table28[Filtro de ruido],1), 1, Table14[[#This Row],[I_50]] / Table14[[#This Row],[I_0]])</f>
        <v>1</v>
      </c>
      <c r="AA34" s="1"/>
    </row>
    <row r="35" spans="1:27" x14ac:dyDescent="0.3">
      <c r="A35" s="18">
        <v>103.01</v>
      </c>
      <c r="B35" s="1">
        <v>0</v>
      </c>
      <c r="C35" s="1">
        <v>103.01</v>
      </c>
      <c r="D35" s="1">
        <v>0</v>
      </c>
      <c r="E35" s="1">
        <v>103.01</v>
      </c>
      <c r="F35" s="1">
        <v>0</v>
      </c>
      <c r="G35" s="1">
        <v>103.01</v>
      </c>
      <c r="H35" s="1">
        <v>0</v>
      </c>
      <c r="I35" s="1">
        <v>103.01</v>
      </c>
      <c r="J35" s="1">
        <v>0</v>
      </c>
      <c r="K35" s="1">
        <v>103.01</v>
      </c>
      <c r="L35" s="1">
        <v>0</v>
      </c>
      <c r="M35" s="1">
        <v>103.01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103.01</v>
      </c>
      <c r="U35" s="1">
        <f>IF(Table14[[#This Row],[I_0]] &lt; INDEX(Table28[Filtro de ruido],1), 1, Table14[[#This Row],[I_10]] / Table14[[#This Row],[I_0]])</f>
        <v>1</v>
      </c>
      <c r="V35" s="1">
        <f>IF(Table14[[#This Row],[I_0]] &lt; INDEX(Table28[Filtro de ruido],1), 1, Table14[[#This Row],[I_20]] / Table14[[#This Row],[I_0]])</f>
        <v>1</v>
      </c>
      <c r="W35" s="1">
        <f>IF(Table14[[#This Row],[I_0]] &lt; INDEX(Table28[Filtro de ruido],1), 1, Table14[[#This Row],[I_30]] / Table14[[#This Row],[I_0]])</f>
        <v>1</v>
      </c>
      <c r="X35" s="1">
        <f>IF(Table14[[#This Row],[I_0]] &lt; INDEX(Table28[Filtro de ruido],1), 1, Table14[[#This Row],[I_40]] / Table14[[#This Row],[I_0]])</f>
        <v>1</v>
      </c>
      <c r="Y35" s="19">
        <f>IF(Table14[[#This Row],[I_0]] &lt; INDEX(Table28[Filtro de ruido],1), 1, Table14[[#This Row],[I_50]] / Table14[[#This Row],[I_0]])</f>
        <v>1</v>
      </c>
      <c r="AA35" s="1"/>
    </row>
    <row r="36" spans="1:27" x14ac:dyDescent="0.3">
      <c r="A36" s="18">
        <v>104</v>
      </c>
      <c r="B36" s="1">
        <v>0</v>
      </c>
      <c r="C36" s="1">
        <v>104</v>
      </c>
      <c r="D36" s="1">
        <v>0</v>
      </c>
      <c r="E36" s="1">
        <v>104</v>
      </c>
      <c r="F36" s="1">
        <v>0</v>
      </c>
      <c r="G36" s="1">
        <v>104</v>
      </c>
      <c r="H36" s="1">
        <v>0</v>
      </c>
      <c r="I36" s="1">
        <v>104</v>
      </c>
      <c r="J36" s="1">
        <v>0</v>
      </c>
      <c r="K36" s="1">
        <v>104</v>
      </c>
      <c r="L36" s="1">
        <v>0</v>
      </c>
      <c r="M36" s="1">
        <v>104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104</v>
      </c>
      <c r="U36" s="1">
        <f>IF(Table14[[#This Row],[I_0]] &lt; INDEX(Table28[Filtro de ruido],1), 1, Table14[[#This Row],[I_10]] / Table14[[#This Row],[I_0]])</f>
        <v>1</v>
      </c>
      <c r="V36" s="1">
        <f>IF(Table14[[#This Row],[I_0]] &lt; INDEX(Table28[Filtro de ruido],1), 1, Table14[[#This Row],[I_20]] / Table14[[#This Row],[I_0]])</f>
        <v>1</v>
      </c>
      <c r="W36" s="1">
        <f>IF(Table14[[#This Row],[I_0]] &lt; INDEX(Table28[Filtro de ruido],1), 1, Table14[[#This Row],[I_30]] / Table14[[#This Row],[I_0]])</f>
        <v>1</v>
      </c>
      <c r="X36" s="1">
        <f>IF(Table14[[#This Row],[I_0]] &lt; INDEX(Table28[Filtro de ruido],1), 1, Table14[[#This Row],[I_40]] / Table14[[#This Row],[I_0]])</f>
        <v>1</v>
      </c>
      <c r="Y36" s="19">
        <f>IF(Table14[[#This Row],[I_0]] &lt; INDEX(Table28[Filtro de ruido],1), 1, Table14[[#This Row],[I_50]] / Table14[[#This Row],[I_0]])</f>
        <v>1</v>
      </c>
      <c r="AA36" s="1"/>
    </row>
    <row r="37" spans="1:27" x14ac:dyDescent="0.3">
      <c r="A37" s="18">
        <v>104.99</v>
      </c>
      <c r="B37" s="1">
        <v>0</v>
      </c>
      <c r="C37" s="1">
        <v>104.99</v>
      </c>
      <c r="D37" s="1">
        <v>0</v>
      </c>
      <c r="E37" s="1">
        <v>104.99</v>
      </c>
      <c r="F37" s="1">
        <v>0</v>
      </c>
      <c r="G37" s="1">
        <v>104.99</v>
      </c>
      <c r="H37" s="1">
        <v>0</v>
      </c>
      <c r="I37" s="1">
        <v>104.99</v>
      </c>
      <c r="J37" s="1">
        <v>0</v>
      </c>
      <c r="K37" s="1">
        <v>104.99</v>
      </c>
      <c r="L37" s="1">
        <v>0</v>
      </c>
      <c r="M37" s="1">
        <v>104.99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104.99</v>
      </c>
      <c r="U37" s="1">
        <f>IF(Table14[[#This Row],[I_0]] &lt; INDEX(Table28[Filtro de ruido],1), 1, Table14[[#This Row],[I_10]] / Table14[[#This Row],[I_0]])</f>
        <v>1</v>
      </c>
      <c r="V37" s="1">
        <f>IF(Table14[[#This Row],[I_0]] &lt; INDEX(Table28[Filtro de ruido],1), 1, Table14[[#This Row],[I_20]] / Table14[[#This Row],[I_0]])</f>
        <v>1</v>
      </c>
      <c r="W37" s="1">
        <f>IF(Table14[[#This Row],[I_0]] &lt; INDEX(Table28[Filtro de ruido],1), 1, Table14[[#This Row],[I_30]] / Table14[[#This Row],[I_0]])</f>
        <v>1</v>
      </c>
      <c r="X37" s="1">
        <f>IF(Table14[[#This Row],[I_0]] &lt; INDEX(Table28[Filtro de ruido],1), 1, Table14[[#This Row],[I_40]] / Table14[[#This Row],[I_0]])</f>
        <v>1</v>
      </c>
      <c r="Y37" s="19">
        <f>IF(Table14[[#This Row],[I_0]] &lt; INDEX(Table28[Filtro de ruido],1), 1, Table14[[#This Row],[I_50]] / Table14[[#This Row],[I_0]])</f>
        <v>1</v>
      </c>
      <c r="AA37" s="1"/>
    </row>
    <row r="38" spans="1:27" x14ac:dyDescent="0.3">
      <c r="A38" s="18">
        <v>105.98</v>
      </c>
      <c r="B38" s="1">
        <v>0</v>
      </c>
      <c r="C38" s="1">
        <v>105.98</v>
      </c>
      <c r="D38" s="1">
        <v>0</v>
      </c>
      <c r="E38" s="1">
        <v>105.98</v>
      </c>
      <c r="F38" s="1">
        <v>0</v>
      </c>
      <c r="G38" s="1">
        <v>105.98</v>
      </c>
      <c r="H38" s="1">
        <v>0</v>
      </c>
      <c r="I38" s="1">
        <v>105.98</v>
      </c>
      <c r="J38" s="1">
        <v>0</v>
      </c>
      <c r="K38" s="1">
        <v>105.98</v>
      </c>
      <c r="L38" s="1">
        <v>0</v>
      </c>
      <c r="M38" s="1">
        <v>105.98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105.98</v>
      </c>
      <c r="U38" s="1">
        <f>IF(Table14[[#This Row],[I_0]] &lt; INDEX(Table28[Filtro de ruido],1), 1, Table14[[#This Row],[I_10]] / Table14[[#This Row],[I_0]])</f>
        <v>1</v>
      </c>
      <c r="V38" s="1">
        <f>IF(Table14[[#This Row],[I_0]] &lt; INDEX(Table28[Filtro de ruido],1), 1, Table14[[#This Row],[I_20]] / Table14[[#This Row],[I_0]])</f>
        <v>1</v>
      </c>
      <c r="W38" s="1">
        <f>IF(Table14[[#This Row],[I_0]] &lt; INDEX(Table28[Filtro de ruido],1), 1, Table14[[#This Row],[I_30]] / Table14[[#This Row],[I_0]])</f>
        <v>1</v>
      </c>
      <c r="X38" s="1">
        <f>IF(Table14[[#This Row],[I_0]] &lt; INDEX(Table28[Filtro de ruido],1), 1, Table14[[#This Row],[I_40]] / Table14[[#This Row],[I_0]])</f>
        <v>1</v>
      </c>
      <c r="Y38" s="19">
        <f>IF(Table14[[#This Row],[I_0]] &lt; INDEX(Table28[Filtro de ruido],1), 1, Table14[[#This Row],[I_50]] / Table14[[#This Row],[I_0]])</f>
        <v>1</v>
      </c>
      <c r="AA38" s="1"/>
    </row>
    <row r="39" spans="1:27" x14ac:dyDescent="0.3">
      <c r="A39" s="18">
        <v>106.98</v>
      </c>
      <c r="B39" s="1">
        <v>0</v>
      </c>
      <c r="C39" s="1">
        <v>106.98</v>
      </c>
      <c r="D39" s="1">
        <v>0</v>
      </c>
      <c r="E39" s="1">
        <v>106.98</v>
      </c>
      <c r="F39" s="1">
        <v>0</v>
      </c>
      <c r="G39" s="1">
        <v>106.98</v>
      </c>
      <c r="H39" s="1">
        <v>0</v>
      </c>
      <c r="I39" s="1">
        <v>106.98</v>
      </c>
      <c r="J39" s="1">
        <v>0</v>
      </c>
      <c r="K39" s="1">
        <v>106.98</v>
      </c>
      <c r="L39" s="1">
        <v>0</v>
      </c>
      <c r="M39" s="1">
        <v>106.98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106.98</v>
      </c>
      <c r="U39" s="1">
        <f>IF(Table14[[#This Row],[I_0]] &lt; INDEX(Table28[Filtro de ruido],1), 1, Table14[[#This Row],[I_10]] / Table14[[#This Row],[I_0]])</f>
        <v>1</v>
      </c>
      <c r="V39" s="1">
        <f>IF(Table14[[#This Row],[I_0]] &lt; INDEX(Table28[Filtro de ruido],1), 1, Table14[[#This Row],[I_20]] / Table14[[#This Row],[I_0]])</f>
        <v>1</v>
      </c>
      <c r="W39" s="1">
        <f>IF(Table14[[#This Row],[I_0]] &lt; INDEX(Table28[Filtro de ruido],1), 1, Table14[[#This Row],[I_30]] / Table14[[#This Row],[I_0]])</f>
        <v>1</v>
      </c>
      <c r="X39" s="1">
        <f>IF(Table14[[#This Row],[I_0]] &lt; INDEX(Table28[Filtro de ruido],1), 1, Table14[[#This Row],[I_40]] / Table14[[#This Row],[I_0]])</f>
        <v>1</v>
      </c>
      <c r="Y39" s="19">
        <f>IF(Table14[[#This Row],[I_0]] &lt; INDEX(Table28[Filtro de ruido],1), 1, Table14[[#This Row],[I_50]] / Table14[[#This Row],[I_0]])</f>
        <v>1</v>
      </c>
      <c r="AA39" s="1"/>
    </row>
    <row r="40" spans="1:27" x14ac:dyDescent="0.3">
      <c r="A40" s="18">
        <v>107.97</v>
      </c>
      <c r="B40" s="1">
        <v>0</v>
      </c>
      <c r="C40" s="1">
        <v>107.97</v>
      </c>
      <c r="D40" s="1">
        <v>0</v>
      </c>
      <c r="E40" s="1">
        <v>107.97</v>
      </c>
      <c r="F40" s="1">
        <v>0</v>
      </c>
      <c r="G40" s="1">
        <v>107.97</v>
      </c>
      <c r="H40" s="1">
        <v>0</v>
      </c>
      <c r="I40" s="1">
        <v>107.97</v>
      </c>
      <c r="J40" s="1">
        <v>0</v>
      </c>
      <c r="K40" s="1">
        <v>107.97</v>
      </c>
      <c r="L40" s="1">
        <v>0</v>
      </c>
      <c r="M40" s="1">
        <v>107.97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107.97</v>
      </c>
      <c r="U40" s="1">
        <f>IF(Table14[[#This Row],[I_0]] &lt; INDEX(Table28[Filtro de ruido],1), 1, Table14[[#This Row],[I_10]] / Table14[[#This Row],[I_0]])</f>
        <v>1</v>
      </c>
      <c r="V40" s="1">
        <f>IF(Table14[[#This Row],[I_0]] &lt; INDEX(Table28[Filtro de ruido],1), 1, Table14[[#This Row],[I_20]] / Table14[[#This Row],[I_0]])</f>
        <v>1</v>
      </c>
      <c r="W40" s="1">
        <f>IF(Table14[[#This Row],[I_0]] &lt; INDEX(Table28[Filtro de ruido],1), 1, Table14[[#This Row],[I_30]] / Table14[[#This Row],[I_0]])</f>
        <v>1</v>
      </c>
      <c r="X40" s="1">
        <f>IF(Table14[[#This Row],[I_0]] &lt; INDEX(Table28[Filtro de ruido],1), 1, Table14[[#This Row],[I_40]] / Table14[[#This Row],[I_0]])</f>
        <v>1</v>
      </c>
      <c r="Y40" s="19">
        <f>IF(Table14[[#This Row],[I_0]] &lt; INDEX(Table28[Filtro de ruido],1), 1, Table14[[#This Row],[I_50]] / Table14[[#This Row],[I_0]])</f>
        <v>1</v>
      </c>
      <c r="AA40" s="1"/>
    </row>
    <row r="41" spans="1:27" x14ac:dyDescent="0.3">
      <c r="A41" s="18">
        <v>108.96</v>
      </c>
      <c r="B41" s="1">
        <v>0</v>
      </c>
      <c r="C41" s="1">
        <v>108.96</v>
      </c>
      <c r="D41" s="1">
        <v>0</v>
      </c>
      <c r="E41" s="1">
        <v>108.96</v>
      </c>
      <c r="F41" s="1">
        <v>0</v>
      </c>
      <c r="G41" s="1">
        <v>108.96</v>
      </c>
      <c r="H41" s="1">
        <v>0</v>
      </c>
      <c r="I41" s="1">
        <v>108.96</v>
      </c>
      <c r="J41" s="1">
        <v>0</v>
      </c>
      <c r="K41" s="1">
        <v>108.96</v>
      </c>
      <c r="L41" s="1">
        <v>0</v>
      </c>
      <c r="M41" s="1">
        <v>108.96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108.96</v>
      </c>
      <c r="U41" s="1">
        <f>IF(Table14[[#This Row],[I_0]] &lt; INDEX(Table28[Filtro de ruido],1), 1, Table14[[#This Row],[I_10]] / Table14[[#This Row],[I_0]])</f>
        <v>1</v>
      </c>
      <c r="V41" s="1">
        <f>IF(Table14[[#This Row],[I_0]] &lt; INDEX(Table28[Filtro de ruido],1), 1, Table14[[#This Row],[I_20]] / Table14[[#This Row],[I_0]])</f>
        <v>1</v>
      </c>
      <c r="W41" s="1">
        <f>IF(Table14[[#This Row],[I_0]] &lt; INDEX(Table28[Filtro de ruido],1), 1, Table14[[#This Row],[I_30]] / Table14[[#This Row],[I_0]])</f>
        <v>1</v>
      </c>
      <c r="X41" s="1">
        <f>IF(Table14[[#This Row],[I_0]] &lt; INDEX(Table28[Filtro de ruido],1), 1, Table14[[#This Row],[I_40]] / Table14[[#This Row],[I_0]])</f>
        <v>1</v>
      </c>
      <c r="Y41" s="19">
        <f>IF(Table14[[#This Row],[I_0]] &lt; INDEX(Table28[Filtro de ruido],1), 1, Table14[[#This Row],[I_50]] / Table14[[#This Row],[I_0]])</f>
        <v>1</v>
      </c>
      <c r="AA41" s="1"/>
    </row>
    <row r="42" spans="1:27" x14ac:dyDescent="0.3">
      <c r="A42" s="18">
        <v>109.95</v>
      </c>
      <c r="B42" s="1">
        <v>0</v>
      </c>
      <c r="C42" s="1">
        <v>109.95</v>
      </c>
      <c r="D42" s="1">
        <v>0</v>
      </c>
      <c r="E42" s="1">
        <v>109.95</v>
      </c>
      <c r="F42" s="1">
        <v>0</v>
      </c>
      <c r="G42" s="1">
        <v>109.95</v>
      </c>
      <c r="H42" s="1">
        <v>0</v>
      </c>
      <c r="I42" s="1">
        <v>109.95</v>
      </c>
      <c r="J42" s="1">
        <v>0</v>
      </c>
      <c r="K42" s="1">
        <v>109.95</v>
      </c>
      <c r="L42" s="1">
        <v>0</v>
      </c>
      <c r="M42" s="1">
        <v>109.95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109.95</v>
      </c>
      <c r="U42" s="1">
        <f>IF(Table14[[#This Row],[I_0]] &lt; INDEX(Table28[Filtro de ruido],1), 1, Table14[[#This Row],[I_10]] / Table14[[#This Row],[I_0]])</f>
        <v>1</v>
      </c>
      <c r="V42" s="1">
        <f>IF(Table14[[#This Row],[I_0]] &lt; INDEX(Table28[Filtro de ruido],1), 1, Table14[[#This Row],[I_20]] / Table14[[#This Row],[I_0]])</f>
        <v>1</v>
      </c>
      <c r="W42" s="1">
        <f>IF(Table14[[#This Row],[I_0]] &lt; INDEX(Table28[Filtro de ruido],1), 1, Table14[[#This Row],[I_30]] / Table14[[#This Row],[I_0]])</f>
        <v>1</v>
      </c>
      <c r="X42" s="1">
        <f>IF(Table14[[#This Row],[I_0]] &lt; INDEX(Table28[Filtro de ruido],1), 1, Table14[[#This Row],[I_40]] / Table14[[#This Row],[I_0]])</f>
        <v>1</v>
      </c>
      <c r="Y42" s="19">
        <f>IF(Table14[[#This Row],[I_0]] &lt; INDEX(Table28[Filtro de ruido],1), 1, Table14[[#This Row],[I_50]] / Table14[[#This Row],[I_0]])</f>
        <v>1</v>
      </c>
      <c r="AA42" s="1"/>
    </row>
    <row r="43" spans="1:27" x14ac:dyDescent="0.3">
      <c r="A43" s="18">
        <v>110.94</v>
      </c>
      <c r="B43" s="1">
        <v>0</v>
      </c>
      <c r="C43" s="1">
        <v>110.94</v>
      </c>
      <c r="D43" s="1">
        <v>0</v>
      </c>
      <c r="E43" s="1">
        <v>110.94</v>
      </c>
      <c r="F43" s="1">
        <v>0</v>
      </c>
      <c r="G43" s="1">
        <v>110.94</v>
      </c>
      <c r="H43" s="1">
        <v>0</v>
      </c>
      <c r="I43" s="1">
        <v>110.94</v>
      </c>
      <c r="J43" s="1">
        <v>0</v>
      </c>
      <c r="K43" s="1">
        <v>110.94</v>
      </c>
      <c r="L43" s="1">
        <v>0</v>
      </c>
      <c r="M43" s="1">
        <v>110.94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110.94</v>
      </c>
      <c r="U43" s="1">
        <f>IF(Table14[[#This Row],[I_0]] &lt; INDEX(Table28[Filtro de ruido],1), 1, Table14[[#This Row],[I_10]] / Table14[[#This Row],[I_0]])</f>
        <v>1</v>
      </c>
      <c r="V43" s="1">
        <f>IF(Table14[[#This Row],[I_0]] &lt; INDEX(Table28[Filtro de ruido],1), 1, Table14[[#This Row],[I_20]] / Table14[[#This Row],[I_0]])</f>
        <v>1</v>
      </c>
      <c r="W43" s="1">
        <f>IF(Table14[[#This Row],[I_0]] &lt; INDEX(Table28[Filtro de ruido],1), 1, Table14[[#This Row],[I_30]] / Table14[[#This Row],[I_0]])</f>
        <v>1</v>
      </c>
      <c r="X43" s="1">
        <f>IF(Table14[[#This Row],[I_0]] &lt; INDEX(Table28[Filtro de ruido],1), 1, Table14[[#This Row],[I_40]] / Table14[[#This Row],[I_0]])</f>
        <v>1</v>
      </c>
      <c r="Y43" s="19">
        <f>IF(Table14[[#This Row],[I_0]] &lt; INDEX(Table28[Filtro de ruido],1), 1, Table14[[#This Row],[I_50]] / Table14[[#This Row],[I_0]])</f>
        <v>1</v>
      </c>
      <c r="AA43" s="1"/>
    </row>
    <row r="44" spans="1:27" x14ac:dyDescent="0.3">
      <c r="A44" s="18">
        <v>111.94</v>
      </c>
      <c r="B44" s="1">
        <v>0</v>
      </c>
      <c r="C44" s="1">
        <v>111.94</v>
      </c>
      <c r="D44" s="1">
        <v>0</v>
      </c>
      <c r="E44" s="1">
        <v>111.94</v>
      </c>
      <c r="F44" s="1">
        <v>0</v>
      </c>
      <c r="G44" s="1">
        <v>111.94</v>
      </c>
      <c r="H44" s="1">
        <v>0</v>
      </c>
      <c r="I44" s="1">
        <v>111.94</v>
      </c>
      <c r="J44" s="1">
        <v>0</v>
      </c>
      <c r="K44" s="1">
        <v>111.94</v>
      </c>
      <c r="L44" s="1">
        <v>0</v>
      </c>
      <c r="M44" s="1">
        <v>111.94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111.94</v>
      </c>
      <c r="U44" s="1">
        <f>IF(Table14[[#This Row],[I_0]] &lt; INDEX(Table28[Filtro de ruido],1), 1, Table14[[#This Row],[I_10]] / Table14[[#This Row],[I_0]])</f>
        <v>1</v>
      </c>
      <c r="V44" s="1">
        <f>IF(Table14[[#This Row],[I_0]] &lt; INDEX(Table28[Filtro de ruido],1), 1, Table14[[#This Row],[I_20]] / Table14[[#This Row],[I_0]])</f>
        <v>1</v>
      </c>
      <c r="W44" s="1">
        <f>IF(Table14[[#This Row],[I_0]] &lt; INDEX(Table28[Filtro de ruido],1), 1, Table14[[#This Row],[I_30]] / Table14[[#This Row],[I_0]])</f>
        <v>1</v>
      </c>
      <c r="X44" s="1">
        <f>IF(Table14[[#This Row],[I_0]] &lt; INDEX(Table28[Filtro de ruido],1), 1, Table14[[#This Row],[I_40]] / Table14[[#This Row],[I_0]])</f>
        <v>1</v>
      </c>
      <c r="Y44" s="19">
        <f>IF(Table14[[#This Row],[I_0]] &lt; INDEX(Table28[Filtro de ruido],1), 1, Table14[[#This Row],[I_50]] / Table14[[#This Row],[I_0]])</f>
        <v>1</v>
      </c>
      <c r="AA44" s="1"/>
    </row>
    <row r="45" spans="1:27" x14ac:dyDescent="0.3">
      <c r="A45" s="18">
        <v>112.93</v>
      </c>
      <c r="B45" s="1">
        <v>0</v>
      </c>
      <c r="C45" s="1">
        <v>112.93</v>
      </c>
      <c r="D45" s="1">
        <v>0</v>
      </c>
      <c r="E45" s="1">
        <v>112.93</v>
      </c>
      <c r="F45" s="1">
        <v>0</v>
      </c>
      <c r="G45" s="1">
        <v>112.93</v>
      </c>
      <c r="H45" s="1">
        <v>0</v>
      </c>
      <c r="I45" s="1">
        <v>112.93</v>
      </c>
      <c r="J45" s="1">
        <v>0</v>
      </c>
      <c r="K45" s="1">
        <v>112.93</v>
      </c>
      <c r="L45" s="1">
        <v>0</v>
      </c>
      <c r="M45" s="1">
        <v>112.93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112.93</v>
      </c>
      <c r="U45" s="1">
        <f>IF(Table14[[#This Row],[I_0]] &lt; INDEX(Table28[Filtro de ruido],1), 1, Table14[[#This Row],[I_10]] / Table14[[#This Row],[I_0]])</f>
        <v>1</v>
      </c>
      <c r="V45" s="1">
        <f>IF(Table14[[#This Row],[I_0]] &lt; INDEX(Table28[Filtro de ruido],1), 1, Table14[[#This Row],[I_20]] / Table14[[#This Row],[I_0]])</f>
        <v>1</v>
      </c>
      <c r="W45" s="1">
        <f>IF(Table14[[#This Row],[I_0]] &lt; INDEX(Table28[Filtro de ruido],1), 1, Table14[[#This Row],[I_30]] / Table14[[#This Row],[I_0]])</f>
        <v>1</v>
      </c>
      <c r="X45" s="1">
        <f>IF(Table14[[#This Row],[I_0]] &lt; INDEX(Table28[Filtro de ruido],1), 1, Table14[[#This Row],[I_40]] / Table14[[#This Row],[I_0]])</f>
        <v>1</v>
      </c>
      <c r="Y45" s="19">
        <f>IF(Table14[[#This Row],[I_0]] &lt; INDEX(Table28[Filtro de ruido],1), 1, Table14[[#This Row],[I_50]] / Table14[[#This Row],[I_0]])</f>
        <v>1</v>
      </c>
      <c r="AA45" s="1"/>
    </row>
    <row r="46" spans="1:27" x14ac:dyDescent="0.3">
      <c r="A46" s="18">
        <v>113.92</v>
      </c>
      <c r="B46" s="1">
        <v>0</v>
      </c>
      <c r="C46" s="1">
        <v>113.92</v>
      </c>
      <c r="D46" s="1">
        <v>0</v>
      </c>
      <c r="E46" s="1">
        <v>113.92</v>
      </c>
      <c r="F46" s="1">
        <v>0</v>
      </c>
      <c r="G46" s="1">
        <v>113.92</v>
      </c>
      <c r="H46" s="1">
        <v>0</v>
      </c>
      <c r="I46" s="1">
        <v>113.92</v>
      </c>
      <c r="J46" s="1">
        <v>0</v>
      </c>
      <c r="K46" s="1">
        <v>113.92</v>
      </c>
      <c r="L46" s="1">
        <v>0</v>
      </c>
      <c r="M46" s="1">
        <v>113.92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113.92</v>
      </c>
      <c r="U46" s="1">
        <f>IF(Table14[[#This Row],[I_0]] &lt; INDEX(Table28[Filtro de ruido],1), 1, Table14[[#This Row],[I_10]] / Table14[[#This Row],[I_0]])</f>
        <v>1</v>
      </c>
      <c r="V46" s="1">
        <f>IF(Table14[[#This Row],[I_0]] &lt; INDEX(Table28[Filtro de ruido],1), 1, Table14[[#This Row],[I_20]] / Table14[[#This Row],[I_0]])</f>
        <v>1</v>
      </c>
      <c r="W46" s="1">
        <f>IF(Table14[[#This Row],[I_0]] &lt; INDEX(Table28[Filtro de ruido],1), 1, Table14[[#This Row],[I_30]] / Table14[[#This Row],[I_0]])</f>
        <v>1</v>
      </c>
      <c r="X46" s="1">
        <f>IF(Table14[[#This Row],[I_0]] &lt; INDEX(Table28[Filtro de ruido],1), 1, Table14[[#This Row],[I_40]] / Table14[[#This Row],[I_0]])</f>
        <v>1</v>
      </c>
      <c r="Y46" s="19">
        <f>IF(Table14[[#This Row],[I_0]] &lt; INDEX(Table28[Filtro de ruido],1), 1, Table14[[#This Row],[I_50]] / Table14[[#This Row],[I_0]])</f>
        <v>1</v>
      </c>
      <c r="AA46" s="1"/>
    </row>
    <row r="47" spans="1:27" x14ac:dyDescent="0.3">
      <c r="A47" s="18">
        <v>114.91</v>
      </c>
      <c r="B47" s="1">
        <v>0</v>
      </c>
      <c r="C47" s="1">
        <v>114.91</v>
      </c>
      <c r="D47" s="1">
        <v>0</v>
      </c>
      <c r="E47" s="1">
        <v>114.91</v>
      </c>
      <c r="F47" s="1">
        <v>0</v>
      </c>
      <c r="G47" s="1">
        <v>114.91</v>
      </c>
      <c r="H47" s="1">
        <v>0</v>
      </c>
      <c r="I47" s="1">
        <v>114.91</v>
      </c>
      <c r="J47" s="1">
        <v>0</v>
      </c>
      <c r="K47" s="1">
        <v>114.91</v>
      </c>
      <c r="L47" s="1">
        <v>0</v>
      </c>
      <c r="M47" s="1">
        <v>114.91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114.91</v>
      </c>
      <c r="U47" s="1">
        <f>IF(Table14[[#This Row],[I_0]] &lt; INDEX(Table28[Filtro de ruido],1), 1, Table14[[#This Row],[I_10]] / Table14[[#This Row],[I_0]])</f>
        <v>1</v>
      </c>
      <c r="V47" s="1">
        <f>IF(Table14[[#This Row],[I_0]] &lt; INDEX(Table28[Filtro de ruido],1), 1, Table14[[#This Row],[I_20]] / Table14[[#This Row],[I_0]])</f>
        <v>1</v>
      </c>
      <c r="W47" s="1">
        <f>IF(Table14[[#This Row],[I_0]] &lt; INDEX(Table28[Filtro de ruido],1), 1, Table14[[#This Row],[I_30]] / Table14[[#This Row],[I_0]])</f>
        <v>1</v>
      </c>
      <c r="X47" s="1">
        <f>IF(Table14[[#This Row],[I_0]] &lt; INDEX(Table28[Filtro de ruido],1), 1, Table14[[#This Row],[I_40]] / Table14[[#This Row],[I_0]])</f>
        <v>1</v>
      </c>
      <c r="Y47" s="19">
        <f>IF(Table14[[#This Row],[I_0]] &lt; INDEX(Table28[Filtro de ruido],1), 1, Table14[[#This Row],[I_50]] / Table14[[#This Row],[I_0]])</f>
        <v>1</v>
      </c>
      <c r="AA47" s="1"/>
    </row>
    <row r="48" spans="1:27" x14ac:dyDescent="0.3">
      <c r="A48" s="18">
        <v>115.9</v>
      </c>
      <c r="B48" s="1">
        <v>0</v>
      </c>
      <c r="C48" s="1">
        <v>115.9</v>
      </c>
      <c r="D48" s="1">
        <v>0</v>
      </c>
      <c r="E48" s="1">
        <v>115.9</v>
      </c>
      <c r="F48" s="1">
        <v>0</v>
      </c>
      <c r="G48" s="1">
        <v>115.9</v>
      </c>
      <c r="H48" s="1">
        <v>0</v>
      </c>
      <c r="I48" s="1">
        <v>115.9</v>
      </c>
      <c r="J48" s="1">
        <v>0</v>
      </c>
      <c r="K48" s="1">
        <v>115.9</v>
      </c>
      <c r="L48" s="1">
        <v>0</v>
      </c>
      <c r="M48" s="1">
        <v>115.9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115.9</v>
      </c>
      <c r="U48" s="1">
        <f>IF(Table14[[#This Row],[I_0]] &lt; INDEX(Table28[Filtro de ruido],1), 1, Table14[[#This Row],[I_10]] / Table14[[#This Row],[I_0]])</f>
        <v>1</v>
      </c>
      <c r="V48" s="1">
        <f>IF(Table14[[#This Row],[I_0]] &lt; INDEX(Table28[Filtro de ruido],1), 1, Table14[[#This Row],[I_20]] / Table14[[#This Row],[I_0]])</f>
        <v>1</v>
      </c>
      <c r="W48" s="1">
        <f>IF(Table14[[#This Row],[I_0]] &lt; INDEX(Table28[Filtro de ruido],1), 1, Table14[[#This Row],[I_30]] / Table14[[#This Row],[I_0]])</f>
        <v>1</v>
      </c>
      <c r="X48" s="1">
        <f>IF(Table14[[#This Row],[I_0]] &lt; INDEX(Table28[Filtro de ruido],1), 1, Table14[[#This Row],[I_40]] / Table14[[#This Row],[I_0]])</f>
        <v>1</v>
      </c>
      <c r="Y48" s="19">
        <f>IF(Table14[[#This Row],[I_0]] &lt; INDEX(Table28[Filtro de ruido],1), 1, Table14[[#This Row],[I_50]] / Table14[[#This Row],[I_0]])</f>
        <v>1</v>
      </c>
      <c r="AA48" s="1"/>
    </row>
    <row r="49" spans="1:27" x14ac:dyDescent="0.3">
      <c r="A49" s="18">
        <v>116.89</v>
      </c>
      <c r="B49" s="1">
        <v>0</v>
      </c>
      <c r="C49" s="1">
        <v>116.89</v>
      </c>
      <c r="D49" s="1">
        <v>0</v>
      </c>
      <c r="E49" s="1">
        <v>116.89</v>
      </c>
      <c r="F49" s="1">
        <v>0</v>
      </c>
      <c r="G49" s="1">
        <v>116.89</v>
      </c>
      <c r="H49" s="1">
        <v>0</v>
      </c>
      <c r="I49" s="1">
        <v>116.89</v>
      </c>
      <c r="J49" s="1">
        <v>0</v>
      </c>
      <c r="K49" s="1">
        <v>116.89</v>
      </c>
      <c r="L49" s="1">
        <v>0</v>
      </c>
      <c r="M49" s="1">
        <v>116.89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116.89</v>
      </c>
      <c r="U49" s="1">
        <f>IF(Table14[[#This Row],[I_0]] &lt; INDEX(Table28[Filtro de ruido],1), 1, Table14[[#This Row],[I_10]] / Table14[[#This Row],[I_0]])</f>
        <v>1</v>
      </c>
      <c r="V49" s="1">
        <f>IF(Table14[[#This Row],[I_0]] &lt; INDEX(Table28[Filtro de ruido],1), 1, Table14[[#This Row],[I_20]] / Table14[[#This Row],[I_0]])</f>
        <v>1</v>
      </c>
      <c r="W49" s="1">
        <f>IF(Table14[[#This Row],[I_0]] &lt; INDEX(Table28[Filtro de ruido],1), 1, Table14[[#This Row],[I_30]] / Table14[[#This Row],[I_0]])</f>
        <v>1</v>
      </c>
      <c r="X49" s="1">
        <f>IF(Table14[[#This Row],[I_0]] &lt; INDEX(Table28[Filtro de ruido],1), 1, Table14[[#This Row],[I_40]] / Table14[[#This Row],[I_0]])</f>
        <v>1</v>
      </c>
      <c r="Y49" s="19">
        <f>IF(Table14[[#This Row],[I_0]] &lt; INDEX(Table28[Filtro de ruido],1), 1, Table14[[#This Row],[I_50]] / Table14[[#This Row],[I_0]])</f>
        <v>1</v>
      </c>
      <c r="AA49" s="1"/>
    </row>
    <row r="50" spans="1:27" x14ac:dyDescent="0.3">
      <c r="A50" s="18">
        <v>117.89</v>
      </c>
      <c r="B50" s="1">
        <v>0</v>
      </c>
      <c r="C50" s="1">
        <v>117.89</v>
      </c>
      <c r="D50" s="1">
        <v>0</v>
      </c>
      <c r="E50" s="1">
        <v>117.89</v>
      </c>
      <c r="F50" s="1">
        <v>0</v>
      </c>
      <c r="G50" s="1">
        <v>117.89</v>
      </c>
      <c r="H50" s="1">
        <v>0</v>
      </c>
      <c r="I50" s="1">
        <v>117.89</v>
      </c>
      <c r="J50" s="1">
        <v>0</v>
      </c>
      <c r="K50" s="1">
        <v>117.89</v>
      </c>
      <c r="L50" s="1">
        <v>0</v>
      </c>
      <c r="M50" s="1">
        <v>117.89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117.89</v>
      </c>
      <c r="U50" s="1">
        <f>IF(Table14[[#This Row],[I_0]] &lt; INDEX(Table28[Filtro de ruido],1), 1, Table14[[#This Row],[I_10]] / Table14[[#This Row],[I_0]])</f>
        <v>1</v>
      </c>
      <c r="V50" s="1">
        <f>IF(Table14[[#This Row],[I_0]] &lt; INDEX(Table28[Filtro de ruido],1), 1, Table14[[#This Row],[I_20]] / Table14[[#This Row],[I_0]])</f>
        <v>1</v>
      </c>
      <c r="W50" s="1">
        <f>IF(Table14[[#This Row],[I_0]] &lt; INDEX(Table28[Filtro de ruido],1), 1, Table14[[#This Row],[I_30]] / Table14[[#This Row],[I_0]])</f>
        <v>1</v>
      </c>
      <c r="X50" s="1">
        <f>IF(Table14[[#This Row],[I_0]] &lt; INDEX(Table28[Filtro de ruido],1), 1, Table14[[#This Row],[I_40]] / Table14[[#This Row],[I_0]])</f>
        <v>1</v>
      </c>
      <c r="Y50" s="19">
        <f>IF(Table14[[#This Row],[I_0]] &lt; INDEX(Table28[Filtro de ruido],1), 1, Table14[[#This Row],[I_50]] / Table14[[#This Row],[I_0]])</f>
        <v>1</v>
      </c>
      <c r="AA50" s="1"/>
    </row>
    <row r="51" spans="1:27" x14ac:dyDescent="0.3">
      <c r="A51" s="18">
        <v>118.88</v>
      </c>
      <c r="B51" s="1">
        <v>0</v>
      </c>
      <c r="C51" s="1">
        <v>118.88</v>
      </c>
      <c r="D51" s="1">
        <v>0</v>
      </c>
      <c r="E51" s="1">
        <v>118.88</v>
      </c>
      <c r="F51" s="1">
        <v>0</v>
      </c>
      <c r="G51" s="1">
        <v>118.88</v>
      </c>
      <c r="H51" s="1">
        <v>0</v>
      </c>
      <c r="I51" s="1">
        <v>118.88</v>
      </c>
      <c r="J51" s="1">
        <v>0</v>
      </c>
      <c r="K51" s="1">
        <v>118.88</v>
      </c>
      <c r="L51" s="1">
        <v>0</v>
      </c>
      <c r="M51" s="1">
        <v>118.88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118.88</v>
      </c>
      <c r="U51" s="1">
        <f>IF(Table14[[#This Row],[I_0]] &lt; INDEX(Table28[Filtro de ruido],1), 1, Table14[[#This Row],[I_10]] / Table14[[#This Row],[I_0]])</f>
        <v>1</v>
      </c>
      <c r="V51" s="1">
        <f>IF(Table14[[#This Row],[I_0]] &lt; INDEX(Table28[Filtro de ruido],1), 1, Table14[[#This Row],[I_20]] / Table14[[#This Row],[I_0]])</f>
        <v>1</v>
      </c>
      <c r="W51" s="1">
        <f>IF(Table14[[#This Row],[I_0]] &lt; INDEX(Table28[Filtro de ruido],1), 1, Table14[[#This Row],[I_30]] / Table14[[#This Row],[I_0]])</f>
        <v>1</v>
      </c>
      <c r="X51" s="1">
        <f>IF(Table14[[#This Row],[I_0]] &lt; INDEX(Table28[Filtro de ruido],1), 1, Table14[[#This Row],[I_40]] / Table14[[#This Row],[I_0]])</f>
        <v>1</v>
      </c>
      <c r="Y51" s="19">
        <f>IF(Table14[[#This Row],[I_0]] &lt; INDEX(Table28[Filtro de ruido],1), 1, Table14[[#This Row],[I_50]] / Table14[[#This Row],[I_0]])</f>
        <v>1</v>
      </c>
      <c r="AA51" s="1"/>
    </row>
    <row r="52" spans="1:27" x14ac:dyDescent="0.3">
      <c r="A52" s="18">
        <v>119.87</v>
      </c>
      <c r="B52" s="1">
        <v>0</v>
      </c>
      <c r="C52" s="1">
        <v>119.87</v>
      </c>
      <c r="D52" s="1">
        <v>0</v>
      </c>
      <c r="E52" s="1">
        <v>119.87</v>
      </c>
      <c r="F52" s="1">
        <v>0</v>
      </c>
      <c r="G52" s="1">
        <v>119.87</v>
      </c>
      <c r="H52" s="1">
        <v>0</v>
      </c>
      <c r="I52" s="1">
        <v>119.87</v>
      </c>
      <c r="J52" s="1">
        <v>0</v>
      </c>
      <c r="K52" s="1">
        <v>119.87</v>
      </c>
      <c r="L52" s="1">
        <v>0</v>
      </c>
      <c r="M52" s="1">
        <v>119.87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119.87</v>
      </c>
      <c r="U52" s="1">
        <f>IF(Table14[[#This Row],[I_0]] &lt; INDEX(Table28[Filtro de ruido],1), 1, Table14[[#This Row],[I_10]] / Table14[[#This Row],[I_0]])</f>
        <v>1</v>
      </c>
      <c r="V52" s="1">
        <f>IF(Table14[[#This Row],[I_0]] &lt; INDEX(Table28[Filtro de ruido],1), 1, Table14[[#This Row],[I_20]] / Table14[[#This Row],[I_0]])</f>
        <v>1</v>
      </c>
      <c r="W52" s="1">
        <f>IF(Table14[[#This Row],[I_0]] &lt; INDEX(Table28[Filtro de ruido],1), 1, Table14[[#This Row],[I_30]] / Table14[[#This Row],[I_0]])</f>
        <v>1</v>
      </c>
      <c r="X52" s="1">
        <f>IF(Table14[[#This Row],[I_0]] &lt; INDEX(Table28[Filtro de ruido],1), 1, Table14[[#This Row],[I_40]] / Table14[[#This Row],[I_0]])</f>
        <v>1</v>
      </c>
      <c r="Y52" s="19">
        <f>IF(Table14[[#This Row],[I_0]] &lt; INDEX(Table28[Filtro de ruido],1), 1, Table14[[#This Row],[I_50]] / Table14[[#This Row],[I_0]])</f>
        <v>1</v>
      </c>
      <c r="AA52" s="1"/>
    </row>
    <row r="53" spans="1:27" x14ac:dyDescent="0.3">
      <c r="A53" s="18">
        <v>120.86</v>
      </c>
      <c r="B53" s="1">
        <v>0</v>
      </c>
      <c r="C53" s="1">
        <v>120.86</v>
      </c>
      <c r="D53" s="1">
        <v>0</v>
      </c>
      <c r="E53" s="1">
        <v>120.86</v>
      </c>
      <c r="F53" s="1">
        <v>0</v>
      </c>
      <c r="G53" s="1">
        <v>120.86</v>
      </c>
      <c r="H53" s="1">
        <v>0</v>
      </c>
      <c r="I53" s="1">
        <v>120.86</v>
      </c>
      <c r="J53" s="1">
        <v>0</v>
      </c>
      <c r="K53" s="1">
        <v>120.86</v>
      </c>
      <c r="L53" s="1">
        <v>0</v>
      </c>
      <c r="M53" s="1">
        <v>120.86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120.86</v>
      </c>
      <c r="U53" s="1">
        <f>IF(Table14[[#This Row],[I_0]] &lt; INDEX(Table28[Filtro de ruido],1), 1, Table14[[#This Row],[I_10]] / Table14[[#This Row],[I_0]])</f>
        <v>1</v>
      </c>
      <c r="V53" s="1">
        <f>IF(Table14[[#This Row],[I_0]] &lt; INDEX(Table28[Filtro de ruido],1), 1, Table14[[#This Row],[I_20]] / Table14[[#This Row],[I_0]])</f>
        <v>1</v>
      </c>
      <c r="W53" s="1">
        <f>IF(Table14[[#This Row],[I_0]] &lt; INDEX(Table28[Filtro de ruido],1), 1, Table14[[#This Row],[I_30]] / Table14[[#This Row],[I_0]])</f>
        <v>1</v>
      </c>
      <c r="X53" s="1">
        <f>IF(Table14[[#This Row],[I_0]] &lt; INDEX(Table28[Filtro de ruido],1), 1, Table14[[#This Row],[I_40]] / Table14[[#This Row],[I_0]])</f>
        <v>1</v>
      </c>
      <c r="Y53" s="19">
        <f>IF(Table14[[#This Row],[I_0]] &lt; INDEX(Table28[Filtro de ruido],1), 1, Table14[[#This Row],[I_50]] / Table14[[#This Row],[I_0]])</f>
        <v>1</v>
      </c>
      <c r="AA53" s="1"/>
    </row>
    <row r="54" spans="1:27" x14ac:dyDescent="0.3">
      <c r="A54" s="18">
        <v>121.85</v>
      </c>
      <c r="B54" s="1">
        <v>0</v>
      </c>
      <c r="C54" s="1">
        <v>121.85</v>
      </c>
      <c r="D54" s="1">
        <v>0</v>
      </c>
      <c r="E54" s="1">
        <v>121.85</v>
      </c>
      <c r="F54" s="1">
        <v>0</v>
      </c>
      <c r="G54" s="1">
        <v>121.85</v>
      </c>
      <c r="H54" s="1">
        <v>0</v>
      </c>
      <c r="I54" s="1">
        <v>121.85</v>
      </c>
      <c r="J54" s="1">
        <v>0</v>
      </c>
      <c r="K54" s="1">
        <v>121.85</v>
      </c>
      <c r="L54" s="1">
        <v>0</v>
      </c>
      <c r="M54" s="1">
        <v>121.85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121.85</v>
      </c>
      <c r="U54" s="1">
        <f>IF(Table14[[#This Row],[I_0]] &lt; INDEX(Table28[Filtro de ruido],1), 1, Table14[[#This Row],[I_10]] / Table14[[#This Row],[I_0]])</f>
        <v>1</v>
      </c>
      <c r="V54" s="1">
        <f>IF(Table14[[#This Row],[I_0]] &lt; INDEX(Table28[Filtro de ruido],1), 1, Table14[[#This Row],[I_20]] / Table14[[#This Row],[I_0]])</f>
        <v>1</v>
      </c>
      <c r="W54" s="1">
        <f>IF(Table14[[#This Row],[I_0]] &lt; INDEX(Table28[Filtro de ruido],1), 1, Table14[[#This Row],[I_30]] / Table14[[#This Row],[I_0]])</f>
        <v>1</v>
      </c>
      <c r="X54" s="1">
        <f>IF(Table14[[#This Row],[I_0]] &lt; INDEX(Table28[Filtro de ruido],1), 1, Table14[[#This Row],[I_40]] / Table14[[#This Row],[I_0]])</f>
        <v>1</v>
      </c>
      <c r="Y54" s="19">
        <f>IF(Table14[[#This Row],[I_0]] &lt; INDEX(Table28[Filtro de ruido],1), 1, Table14[[#This Row],[I_50]] / Table14[[#This Row],[I_0]])</f>
        <v>1</v>
      </c>
      <c r="AA54" s="1"/>
    </row>
    <row r="55" spans="1:27" x14ac:dyDescent="0.3">
      <c r="A55" s="18">
        <v>122.84</v>
      </c>
      <c r="B55" s="1">
        <v>0</v>
      </c>
      <c r="C55" s="1">
        <v>122.84</v>
      </c>
      <c r="D55" s="1">
        <v>0</v>
      </c>
      <c r="E55" s="1">
        <v>122.84</v>
      </c>
      <c r="F55" s="1">
        <v>0</v>
      </c>
      <c r="G55" s="1">
        <v>122.84</v>
      </c>
      <c r="H55" s="1">
        <v>0</v>
      </c>
      <c r="I55" s="1">
        <v>122.84</v>
      </c>
      <c r="J55" s="1">
        <v>0</v>
      </c>
      <c r="K55" s="1">
        <v>122.84</v>
      </c>
      <c r="L55" s="1">
        <v>0</v>
      </c>
      <c r="M55" s="1">
        <v>122.84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122.84</v>
      </c>
      <c r="U55" s="1">
        <f>IF(Table14[[#This Row],[I_0]] &lt; INDEX(Table28[Filtro de ruido],1), 1, Table14[[#This Row],[I_10]] / Table14[[#This Row],[I_0]])</f>
        <v>1</v>
      </c>
      <c r="V55" s="1">
        <f>IF(Table14[[#This Row],[I_0]] &lt; INDEX(Table28[Filtro de ruido],1), 1, Table14[[#This Row],[I_20]] / Table14[[#This Row],[I_0]])</f>
        <v>1</v>
      </c>
      <c r="W55" s="1">
        <f>IF(Table14[[#This Row],[I_0]] &lt; INDEX(Table28[Filtro de ruido],1), 1, Table14[[#This Row],[I_30]] / Table14[[#This Row],[I_0]])</f>
        <v>1</v>
      </c>
      <c r="X55" s="1">
        <f>IF(Table14[[#This Row],[I_0]] &lt; INDEX(Table28[Filtro de ruido],1), 1, Table14[[#This Row],[I_40]] / Table14[[#This Row],[I_0]])</f>
        <v>1</v>
      </c>
      <c r="Y55" s="19">
        <f>IF(Table14[[#This Row],[I_0]] &lt; INDEX(Table28[Filtro de ruido],1), 1, Table14[[#This Row],[I_50]] / Table14[[#This Row],[I_0]])</f>
        <v>1</v>
      </c>
      <c r="AA55" s="1"/>
    </row>
    <row r="56" spans="1:27" x14ac:dyDescent="0.3">
      <c r="A56" s="18">
        <v>123.84</v>
      </c>
      <c r="B56" s="1">
        <v>0</v>
      </c>
      <c r="C56" s="1">
        <v>123.84</v>
      </c>
      <c r="D56" s="1">
        <v>0</v>
      </c>
      <c r="E56" s="1">
        <v>123.84</v>
      </c>
      <c r="F56" s="1">
        <v>0</v>
      </c>
      <c r="G56" s="1">
        <v>123.84</v>
      </c>
      <c r="H56" s="1">
        <v>0</v>
      </c>
      <c r="I56" s="1">
        <v>123.84</v>
      </c>
      <c r="J56" s="1">
        <v>0</v>
      </c>
      <c r="K56" s="1">
        <v>123.84</v>
      </c>
      <c r="L56" s="1">
        <v>0</v>
      </c>
      <c r="M56" s="1">
        <v>123.84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123.84</v>
      </c>
      <c r="U56" s="1">
        <f>IF(Table14[[#This Row],[I_0]] &lt; INDEX(Table28[Filtro de ruido],1), 1, Table14[[#This Row],[I_10]] / Table14[[#This Row],[I_0]])</f>
        <v>1</v>
      </c>
      <c r="V56" s="1">
        <f>IF(Table14[[#This Row],[I_0]] &lt; INDEX(Table28[Filtro de ruido],1), 1, Table14[[#This Row],[I_20]] / Table14[[#This Row],[I_0]])</f>
        <v>1</v>
      </c>
      <c r="W56" s="1">
        <f>IF(Table14[[#This Row],[I_0]] &lt; INDEX(Table28[Filtro de ruido],1), 1, Table14[[#This Row],[I_30]] / Table14[[#This Row],[I_0]])</f>
        <v>1</v>
      </c>
      <c r="X56" s="1">
        <f>IF(Table14[[#This Row],[I_0]] &lt; INDEX(Table28[Filtro de ruido],1), 1, Table14[[#This Row],[I_40]] / Table14[[#This Row],[I_0]])</f>
        <v>1</v>
      </c>
      <c r="Y56" s="19">
        <f>IF(Table14[[#This Row],[I_0]] &lt; INDEX(Table28[Filtro de ruido],1), 1, Table14[[#This Row],[I_50]] / Table14[[#This Row],[I_0]])</f>
        <v>1</v>
      </c>
      <c r="AA56" s="1"/>
    </row>
    <row r="57" spans="1:27" x14ac:dyDescent="0.3">
      <c r="A57" s="18">
        <v>124.83</v>
      </c>
      <c r="B57" s="1">
        <v>0</v>
      </c>
      <c r="C57" s="1">
        <v>124.83</v>
      </c>
      <c r="D57" s="1">
        <v>0</v>
      </c>
      <c r="E57" s="1">
        <v>124.83</v>
      </c>
      <c r="F57" s="1">
        <v>0</v>
      </c>
      <c r="G57" s="1">
        <v>124.83</v>
      </c>
      <c r="H57" s="1">
        <v>0</v>
      </c>
      <c r="I57" s="1">
        <v>124.83</v>
      </c>
      <c r="J57" s="1">
        <v>0</v>
      </c>
      <c r="K57" s="1">
        <v>124.83</v>
      </c>
      <c r="L57" s="1">
        <v>0</v>
      </c>
      <c r="M57" s="1">
        <v>124.83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124.83</v>
      </c>
      <c r="U57" s="1">
        <f>IF(Table14[[#This Row],[I_0]] &lt; INDEX(Table28[Filtro de ruido],1), 1, Table14[[#This Row],[I_10]] / Table14[[#This Row],[I_0]])</f>
        <v>1</v>
      </c>
      <c r="V57" s="1">
        <f>IF(Table14[[#This Row],[I_0]] &lt; INDEX(Table28[Filtro de ruido],1), 1, Table14[[#This Row],[I_20]] / Table14[[#This Row],[I_0]])</f>
        <v>1</v>
      </c>
      <c r="W57" s="1">
        <f>IF(Table14[[#This Row],[I_0]] &lt; INDEX(Table28[Filtro de ruido],1), 1, Table14[[#This Row],[I_30]] / Table14[[#This Row],[I_0]])</f>
        <v>1</v>
      </c>
      <c r="X57" s="1">
        <f>IF(Table14[[#This Row],[I_0]] &lt; INDEX(Table28[Filtro de ruido],1), 1, Table14[[#This Row],[I_40]] / Table14[[#This Row],[I_0]])</f>
        <v>1</v>
      </c>
      <c r="Y57" s="19">
        <f>IF(Table14[[#This Row],[I_0]] &lt; INDEX(Table28[Filtro de ruido],1), 1, Table14[[#This Row],[I_50]] / Table14[[#This Row],[I_0]])</f>
        <v>1</v>
      </c>
      <c r="AA57" s="1"/>
    </row>
    <row r="58" spans="1:27" x14ac:dyDescent="0.3">
      <c r="A58" s="18">
        <v>125.82</v>
      </c>
      <c r="B58" s="1">
        <v>0</v>
      </c>
      <c r="C58" s="1">
        <v>125.82</v>
      </c>
      <c r="D58" s="1">
        <v>0</v>
      </c>
      <c r="E58" s="1">
        <v>125.82</v>
      </c>
      <c r="F58" s="1">
        <v>0</v>
      </c>
      <c r="G58" s="1">
        <v>125.82</v>
      </c>
      <c r="H58" s="1">
        <v>0</v>
      </c>
      <c r="I58" s="1">
        <v>125.82</v>
      </c>
      <c r="J58" s="1">
        <v>0</v>
      </c>
      <c r="K58" s="1">
        <v>125.82</v>
      </c>
      <c r="L58" s="1">
        <v>0</v>
      </c>
      <c r="M58" s="1">
        <v>125.82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125.82</v>
      </c>
      <c r="U58" s="1">
        <f>IF(Table14[[#This Row],[I_0]] &lt; INDEX(Table28[Filtro de ruido],1), 1, Table14[[#This Row],[I_10]] / Table14[[#This Row],[I_0]])</f>
        <v>1</v>
      </c>
      <c r="V58" s="1">
        <f>IF(Table14[[#This Row],[I_0]] &lt; INDEX(Table28[Filtro de ruido],1), 1, Table14[[#This Row],[I_20]] / Table14[[#This Row],[I_0]])</f>
        <v>1</v>
      </c>
      <c r="W58" s="1">
        <f>IF(Table14[[#This Row],[I_0]] &lt; INDEX(Table28[Filtro de ruido],1), 1, Table14[[#This Row],[I_30]] / Table14[[#This Row],[I_0]])</f>
        <v>1</v>
      </c>
      <c r="X58" s="1">
        <f>IF(Table14[[#This Row],[I_0]] &lt; INDEX(Table28[Filtro de ruido],1), 1, Table14[[#This Row],[I_40]] / Table14[[#This Row],[I_0]])</f>
        <v>1</v>
      </c>
      <c r="Y58" s="19">
        <f>IF(Table14[[#This Row],[I_0]] &lt; INDEX(Table28[Filtro de ruido],1), 1, Table14[[#This Row],[I_50]] / Table14[[#This Row],[I_0]])</f>
        <v>1</v>
      </c>
      <c r="AA58" s="1"/>
    </row>
    <row r="59" spans="1:27" x14ac:dyDescent="0.3">
      <c r="A59" s="18">
        <v>126.81</v>
      </c>
      <c r="B59" s="1">
        <v>0</v>
      </c>
      <c r="C59" s="1">
        <v>126.81</v>
      </c>
      <c r="D59" s="1">
        <v>0</v>
      </c>
      <c r="E59" s="1">
        <v>126.81</v>
      </c>
      <c r="F59" s="1">
        <v>0</v>
      </c>
      <c r="G59" s="1">
        <v>126.81</v>
      </c>
      <c r="H59" s="1">
        <v>0</v>
      </c>
      <c r="I59" s="1">
        <v>126.81</v>
      </c>
      <c r="J59" s="1">
        <v>0</v>
      </c>
      <c r="K59" s="1">
        <v>126.81</v>
      </c>
      <c r="L59" s="1">
        <v>0</v>
      </c>
      <c r="M59" s="1">
        <v>126.81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126.81</v>
      </c>
      <c r="U59" s="1">
        <f>IF(Table14[[#This Row],[I_0]] &lt; INDEX(Table28[Filtro de ruido],1), 1, Table14[[#This Row],[I_10]] / Table14[[#This Row],[I_0]])</f>
        <v>1</v>
      </c>
      <c r="V59" s="1">
        <f>IF(Table14[[#This Row],[I_0]] &lt; INDEX(Table28[Filtro de ruido],1), 1, Table14[[#This Row],[I_20]] / Table14[[#This Row],[I_0]])</f>
        <v>1</v>
      </c>
      <c r="W59" s="1">
        <f>IF(Table14[[#This Row],[I_0]] &lt; INDEX(Table28[Filtro de ruido],1), 1, Table14[[#This Row],[I_30]] / Table14[[#This Row],[I_0]])</f>
        <v>1</v>
      </c>
      <c r="X59" s="1">
        <f>IF(Table14[[#This Row],[I_0]] &lt; INDEX(Table28[Filtro de ruido],1), 1, Table14[[#This Row],[I_40]] / Table14[[#This Row],[I_0]])</f>
        <v>1</v>
      </c>
      <c r="Y59" s="19">
        <f>IF(Table14[[#This Row],[I_0]] &lt; INDEX(Table28[Filtro de ruido],1), 1, Table14[[#This Row],[I_50]] / Table14[[#This Row],[I_0]])</f>
        <v>1</v>
      </c>
      <c r="AA59" s="1"/>
    </row>
    <row r="60" spans="1:27" x14ac:dyDescent="0.3">
      <c r="A60" s="18">
        <v>127.8</v>
      </c>
      <c r="B60" s="1">
        <v>0</v>
      </c>
      <c r="C60" s="1">
        <v>127.8</v>
      </c>
      <c r="D60" s="1">
        <v>0</v>
      </c>
      <c r="E60" s="1">
        <v>127.8</v>
      </c>
      <c r="F60" s="1">
        <v>0.1</v>
      </c>
      <c r="G60" s="1">
        <v>127.8</v>
      </c>
      <c r="H60" s="1">
        <v>0</v>
      </c>
      <c r="I60" s="1">
        <v>127.8</v>
      </c>
      <c r="J60" s="1">
        <v>0</v>
      </c>
      <c r="K60" s="1">
        <v>127.8</v>
      </c>
      <c r="L60" s="1">
        <v>0</v>
      </c>
      <c r="M60" s="1">
        <v>127.8</v>
      </c>
      <c r="N60" s="1">
        <v>0</v>
      </c>
      <c r="O60" s="1">
        <v>0</v>
      </c>
      <c r="P60" s="1">
        <v>0.1</v>
      </c>
      <c r="Q60" s="1">
        <v>0</v>
      </c>
      <c r="R60" s="1">
        <v>0</v>
      </c>
      <c r="S60" s="1">
        <v>0</v>
      </c>
      <c r="T60" s="1">
        <v>127.8</v>
      </c>
      <c r="U60" s="1">
        <f>IF(Table14[[#This Row],[I_0]] &lt; INDEX(Table28[Filtro de ruido],1), 1, Table14[[#This Row],[I_10]] / Table14[[#This Row],[I_0]])</f>
        <v>1</v>
      </c>
      <c r="V60" s="1">
        <f>IF(Table14[[#This Row],[I_0]] &lt; INDEX(Table28[Filtro de ruido],1), 1, Table14[[#This Row],[I_20]] / Table14[[#This Row],[I_0]])</f>
        <v>1</v>
      </c>
      <c r="W60" s="1">
        <f>IF(Table14[[#This Row],[I_0]] &lt; INDEX(Table28[Filtro de ruido],1), 1, Table14[[#This Row],[I_30]] / Table14[[#This Row],[I_0]])</f>
        <v>1</v>
      </c>
      <c r="X60" s="1">
        <f>IF(Table14[[#This Row],[I_0]] &lt; INDEX(Table28[Filtro de ruido],1), 1, Table14[[#This Row],[I_40]] / Table14[[#This Row],[I_0]])</f>
        <v>1</v>
      </c>
      <c r="Y60" s="19">
        <f>IF(Table14[[#This Row],[I_0]] &lt; INDEX(Table28[Filtro de ruido],1), 1, Table14[[#This Row],[I_50]] / Table14[[#This Row],[I_0]])</f>
        <v>1</v>
      </c>
      <c r="AA60" s="1"/>
    </row>
    <row r="61" spans="1:27" x14ac:dyDescent="0.3">
      <c r="A61" s="18">
        <v>128.80000000000001</v>
      </c>
      <c r="B61" s="1">
        <v>0</v>
      </c>
      <c r="C61" s="1">
        <v>128.80000000000001</v>
      </c>
      <c r="D61" s="1">
        <v>0</v>
      </c>
      <c r="E61" s="1">
        <v>128.80000000000001</v>
      </c>
      <c r="F61" s="1">
        <v>0.1</v>
      </c>
      <c r="G61" s="1">
        <v>128.80000000000001</v>
      </c>
      <c r="H61" s="1">
        <v>0</v>
      </c>
      <c r="I61" s="1">
        <v>128.80000000000001</v>
      </c>
      <c r="J61" s="1">
        <v>0</v>
      </c>
      <c r="K61" s="1">
        <v>128.80000000000001</v>
      </c>
      <c r="L61" s="1">
        <v>0</v>
      </c>
      <c r="M61" s="1">
        <v>128.80000000000001</v>
      </c>
      <c r="N61" s="1">
        <v>0</v>
      </c>
      <c r="O61" s="1">
        <v>0</v>
      </c>
      <c r="P61" s="1">
        <v>0.1</v>
      </c>
      <c r="Q61" s="1">
        <v>0</v>
      </c>
      <c r="R61" s="1">
        <v>0</v>
      </c>
      <c r="S61" s="1">
        <v>0</v>
      </c>
      <c r="T61" s="1">
        <v>128.80000000000001</v>
      </c>
      <c r="U61" s="1">
        <f>IF(Table14[[#This Row],[I_0]] &lt; INDEX(Table28[Filtro de ruido],1), 1, Table14[[#This Row],[I_10]] / Table14[[#This Row],[I_0]])</f>
        <v>1</v>
      </c>
      <c r="V61" s="1">
        <f>IF(Table14[[#This Row],[I_0]] &lt; INDEX(Table28[Filtro de ruido],1), 1, Table14[[#This Row],[I_20]] / Table14[[#This Row],[I_0]])</f>
        <v>1</v>
      </c>
      <c r="W61" s="1">
        <f>IF(Table14[[#This Row],[I_0]] &lt; INDEX(Table28[Filtro de ruido],1), 1, Table14[[#This Row],[I_30]] / Table14[[#This Row],[I_0]])</f>
        <v>1</v>
      </c>
      <c r="X61" s="1">
        <f>IF(Table14[[#This Row],[I_0]] &lt; INDEX(Table28[Filtro de ruido],1), 1, Table14[[#This Row],[I_40]] / Table14[[#This Row],[I_0]])</f>
        <v>1</v>
      </c>
      <c r="Y61" s="19">
        <f>IF(Table14[[#This Row],[I_0]] &lt; INDEX(Table28[Filtro de ruido],1), 1, Table14[[#This Row],[I_50]] / Table14[[#This Row],[I_0]])</f>
        <v>1</v>
      </c>
      <c r="AA61" s="1"/>
    </row>
    <row r="62" spans="1:27" x14ac:dyDescent="0.3">
      <c r="A62" s="18">
        <v>129.79</v>
      </c>
      <c r="B62" s="1">
        <v>0</v>
      </c>
      <c r="C62" s="1">
        <v>129.79</v>
      </c>
      <c r="D62" s="1">
        <v>0</v>
      </c>
      <c r="E62" s="1">
        <v>129.79</v>
      </c>
      <c r="F62" s="1">
        <v>0.1</v>
      </c>
      <c r="G62" s="1">
        <v>129.79</v>
      </c>
      <c r="H62" s="1">
        <v>0</v>
      </c>
      <c r="I62" s="1">
        <v>129.79</v>
      </c>
      <c r="J62" s="1">
        <v>0</v>
      </c>
      <c r="K62" s="1">
        <v>129.79</v>
      </c>
      <c r="L62" s="1">
        <v>0</v>
      </c>
      <c r="M62" s="1">
        <v>129.79</v>
      </c>
      <c r="N62" s="1">
        <v>0</v>
      </c>
      <c r="O62" s="1">
        <v>0</v>
      </c>
      <c r="P62" s="1">
        <v>0.1</v>
      </c>
      <c r="Q62" s="1">
        <v>0</v>
      </c>
      <c r="R62" s="1">
        <v>0</v>
      </c>
      <c r="S62" s="1">
        <v>0</v>
      </c>
      <c r="T62" s="1">
        <v>129.79</v>
      </c>
      <c r="U62" s="1">
        <f>IF(Table14[[#This Row],[I_0]] &lt; INDEX(Table28[Filtro de ruido],1), 1, Table14[[#This Row],[I_10]] / Table14[[#This Row],[I_0]])</f>
        <v>1</v>
      </c>
      <c r="V62" s="1">
        <f>IF(Table14[[#This Row],[I_0]] &lt; INDEX(Table28[Filtro de ruido],1), 1, Table14[[#This Row],[I_20]] / Table14[[#This Row],[I_0]])</f>
        <v>1</v>
      </c>
      <c r="W62" s="1">
        <f>IF(Table14[[#This Row],[I_0]] &lt; INDEX(Table28[Filtro de ruido],1), 1, Table14[[#This Row],[I_30]] / Table14[[#This Row],[I_0]])</f>
        <v>1</v>
      </c>
      <c r="X62" s="1">
        <f>IF(Table14[[#This Row],[I_0]] &lt; INDEX(Table28[Filtro de ruido],1), 1, Table14[[#This Row],[I_40]] / Table14[[#This Row],[I_0]])</f>
        <v>1</v>
      </c>
      <c r="Y62" s="19">
        <f>IF(Table14[[#This Row],[I_0]] &lt; INDEX(Table28[Filtro de ruido],1), 1, Table14[[#This Row],[I_50]] / Table14[[#This Row],[I_0]])</f>
        <v>1</v>
      </c>
      <c r="AA62" s="1"/>
    </row>
    <row r="63" spans="1:27" x14ac:dyDescent="0.3">
      <c r="A63" s="18">
        <v>130.78</v>
      </c>
      <c r="B63" s="1">
        <v>0</v>
      </c>
      <c r="C63" s="1">
        <v>130.78</v>
      </c>
      <c r="D63" s="1">
        <v>0</v>
      </c>
      <c r="E63" s="1">
        <v>130.78</v>
      </c>
      <c r="F63" s="1">
        <v>0.1</v>
      </c>
      <c r="G63" s="1">
        <v>130.78</v>
      </c>
      <c r="H63" s="1">
        <v>0</v>
      </c>
      <c r="I63" s="1">
        <v>130.78</v>
      </c>
      <c r="J63" s="1">
        <v>0</v>
      </c>
      <c r="K63" s="1">
        <v>130.78</v>
      </c>
      <c r="L63" s="1">
        <v>0</v>
      </c>
      <c r="M63" s="1">
        <v>130.78</v>
      </c>
      <c r="N63" s="1">
        <v>0</v>
      </c>
      <c r="O63" s="1">
        <v>0</v>
      </c>
      <c r="P63" s="1">
        <v>0.1</v>
      </c>
      <c r="Q63" s="1">
        <v>0</v>
      </c>
      <c r="R63" s="1">
        <v>0</v>
      </c>
      <c r="S63" s="1">
        <v>0</v>
      </c>
      <c r="T63" s="1">
        <v>130.78</v>
      </c>
      <c r="U63" s="1">
        <f>IF(Table14[[#This Row],[I_0]] &lt; INDEX(Table28[Filtro de ruido],1), 1, Table14[[#This Row],[I_10]] / Table14[[#This Row],[I_0]])</f>
        <v>1</v>
      </c>
      <c r="V63" s="1">
        <f>IF(Table14[[#This Row],[I_0]] &lt; INDEX(Table28[Filtro de ruido],1), 1, Table14[[#This Row],[I_20]] / Table14[[#This Row],[I_0]])</f>
        <v>1</v>
      </c>
      <c r="W63" s="1">
        <f>IF(Table14[[#This Row],[I_0]] &lt; INDEX(Table28[Filtro de ruido],1), 1, Table14[[#This Row],[I_30]] / Table14[[#This Row],[I_0]])</f>
        <v>1</v>
      </c>
      <c r="X63" s="1">
        <f>IF(Table14[[#This Row],[I_0]] &lt; INDEX(Table28[Filtro de ruido],1), 1, Table14[[#This Row],[I_40]] / Table14[[#This Row],[I_0]])</f>
        <v>1</v>
      </c>
      <c r="Y63" s="19">
        <f>IF(Table14[[#This Row],[I_0]] &lt; INDEX(Table28[Filtro de ruido],1), 1, Table14[[#This Row],[I_50]] / Table14[[#This Row],[I_0]])</f>
        <v>1</v>
      </c>
      <c r="AA63" s="1"/>
    </row>
    <row r="64" spans="1:27" x14ac:dyDescent="0.3">
      <c r="A64" s="18">
        <v>131.77000000000001</v>
      </c>
      <c r="B64" s="1">
        <v>0</v>
      </c>
      <c r="C64" s="1">
        <v>131.77000000000001</v>
      </c>
      <c r="D64" s="1">
        <v>0</v>
      </c>
      <c r="E64" s="1">
        <v>131.77000000000001</v>
      </c>
      <c r="F64" s="1">
        <v>0</v>
      </c>
      <c r="G64" s="1">
        <v>131.77000000000001</v>
      </c>
      <c r="H64" s="1">
        <v>0</v>
      </c>
      <c r="I64" s="1">
        <v>131.77000000000001</v>
      </c>
      <c r="J64" s="1">
        <v>0</v>
      </c>
      <c r="K64" s="1">
        <v>131.77000000000001</v>
      </c>
      <c r="L64" s="1">
        <v>0</v>
      </c>
      <c r="M64" s="1">
        <v>131.77000000000001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131.77000000000001</v>
      </c>
      <c r="U64" s="1">
        <f>IF(Table14[[#This Row],[I_0]] &lt; INDEX(Table28[Filtro de ruido],1), 1, Table14[[#This Row],[I_10]] / Table14[[#This Row],[I_0]])</f>
        <v>1</v>
      </c>
      <c r="V64" s="1">
        <f>IF(Table14[[#This Row],[I_0]] &lt; INDEX(Table28[Filtro de ruido],1), 1, Table14[[#This Row],[I_20]] / Table14[[#This Row],[I_0]])</f>
        <v>1</v>
      </c>
      <c r="W64" s="1">
        <f>IF(Table14[[#This Row],[I_0]] &lt; INDEX(Table28[Filtro de ruido],1), 1, Table14[[#This Row],[I_30]] / Table14[[#This Row],[I_0]])</f>
        <v>1</v>
      </c>
      <c r="X64" s="1">
        <f>IF(Table14[[#This Row],[I_0]] &lt; INDEX(Table28[Filtro de ruido],1), 1, Table14[[#This Row],[I_40]] / Table14[[#This Row],[I_0]])</f>
        <v>1</v>
      </c>
      <c r="Y64" s="19">
        <f>IF(Table14[[#This Row],[I_0]] &lt; INDEX(Table28[Filtro de ruido],1), 1, Table14[[#This Row],[I_50]] / Table14[[#This Row],[I_0]])</f>
        <v>1</v>
      </c>
      <c r="AA64" s="1"/>
    </row>
    <row r="65" spans="1:27" x14ac:dyDescent="0.3">
      <c r="A65" s="18">
        <v>132.76</v>
      </c>
      <c r="B65" s="1">
        <v>0</v>
      </c>
      <c r="C65" s="1">
        <v>132.76</v>
      </c>
      <c r="D65" s="1">
        <v>0</v>
      </c>
      <c r="E65" s="1">
        <v>132.76</v>
      </c>
      <c r="F65" s="1">
        <v>0</v>
      </c>
      <c r="G65" s="1">
        <v>132.76</v>
      </c>
      <c r="H65" s="1">
        <v>0</v>
      </c>
      <c r="I65" s="1">
        <v>132.76</v>
      </c>
      <c r="J65" s="1">
        <v>0</v>
      </c>
      <c r="K65" s="1">
        <v>132.76</v>
      </c>
      <c r="L65" s="1">
        <v>0</v>
      </c>
      <c r="M65" s="1">
        <v>132.76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132.76</v>
      </c>
      <c r="U65" s="1">
        <f>IF(Table14[[#This Row],[I_0]] &lt; INDEX(Table28[Filtro de ruido],1), 1, Table14[[#This Row],[I_10]] / Table14[[#This Row],[I_0]])</f>
        <v>1</v>
      </c>
      <c r="V65" s="1">
        <f>IF(Table14[[#This Row],[I_0]] &lt; INDEX(Table28[Filtro de ruido],1), 1, Table14[[#This Row],[I_20]] / Table14[[#This Row],[I_0]])</f>
        <v>1</v>
      </c>
      <c r="W65" s="1">
        <f>IF(Table14[[#This Row],[I_0]] &lt; INDEX(Table28[Filtro de ruido],1), 1, Table14[[#This Row],[I_30]] / Table14[[#This Row],[I_0]])</f>
        <v>1</v>
      </c>
      <c r="X65" s="1">
        <f>IF(Table14[[#This Row],[I_0]] &lt; INDEX(Table28[Filtro de ruido],1), 1, Table14[[#This Row],[I_40]] / Table14[[#This Row],[I_0]])</f>
        <v>1</v>
      </c>
      <c r="Y65" s="19">
        <f>IF(Table14[[#This Row],[I_0]] &lt; INDEX(Table28[Filtro de ruido],1), 1, Table14[[#This Row],[I_50]] / Table14[[#This Row],[I_0]])</f>
        <v>1</v>
      </c>
      <c r="AA65" s="1"/>
    </row>
    <row r="66" spans="1:27" x14ac:dyDescent="0.3">
      <c r="A66" s="18">
        <v>133.75</v>
      </c>
      <c r="B66" s="1">
        <v>0</v>
      </c>
      <c r="C66" s="1">
        <v>133.75</v>
      </c>
      <c r="D66" s="1">
        <v>0</v>
      </c>
      <c r="E66" s="1">
        <v>133.75</v>
      </c>
      <c r="F66" s="1">
        <v>0</v>
      </c>
      <c r="G66" s="1">
        <v>133.75</v>
      </c>
      <c r="H66" s="1">
        <v>0</v>
      </c>
      <c r="I66" s="1">
        <v>133.75</v>
      </c>
      <c r="J66" s="1">
        <v>0</v>
      </c>
      <c r="K66" s="1">
        <v>133.75</v>
      </c>
      <c r="L66" s="1">
        <v>0</v>
      </c>
      <c r="M66" s="1">
        <v>133.75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133.75</v>
      </c>
      <c r="U66" s="1">
        <f>IF(Table14[[#This Row],[I_0]] &lt; INDEX(Table28[Filtro de ruido],1), 1, Table14[[#This Row],[I_10]] / Table14[[#This Row],[I_0]])</f>
        <v>1</v>
      </c>
      <c r="V66" s="1">
        <f>IF(Table14[[#This Row],[I_0]] &lt; INDEX(Table28[Filtro de ruido],1), 1, Table14[[#This Row],[I_20]] / Table14[[#This Row],[I_0]])</f>
        <v>1</v>
      </c>
      <c r="W66" s="1">
        <f>IF(Table14[[#This Row],[I_0]] &lt; INDEX(Table28[Filtro de ruido],1), 1, Table14[[#This Row],[I_30]] / Table14[[#This Row],[I_0]])</f>
        <v>1</v>
      </c>
      <c r="X66" s="1">
        <f>IF(Table14[[#This Row],[I_0]] &lt; INDEX(Table28[Filtro de ruido],1), 1, Table14[[#This Row],[I_40]] / Table14[[#This Row],[I_0]])</f>
        <v>1</v>
      </c>
      <c r="Y66" s="19">
        <f>IF(Table14[[#This Row],[I_0]] &lt; INDEX(Table28[Filtro de ruido],1), 1, Table14[[#This Row],[I_50]] / Table14[[#This Row],[I_0]])</f>
        <v>1</v>
      </c>
      <c r="AA66" s="1"/>
    </row>
    <row r="67" spans="1:27" x14ac:dyDescent="0.3">
      <c r="A67" s="18">
        <v>134.75</v>
      </c>
      <c r="B67" s="1">
        <v>0</v>
      </c>
      <c r="C67" s="1">
        <v>134.75</v>
      </c>
      <c r="D67" s="1">
        <v>0</v>
      </c>
      <c r="E67" s="1">
        <v>134.75</v>
      </c>
      <c r="F67" s="1">
        <v>0</v>
      </c>
      <c r="G67" s="1">
        <v>134.75</v>
      </c>
      <c r="H67" s="1">
        <v>0</v>
      </c>
      <c r="I67" s="1">
        <v>134.75</v>
      </c>
      <c r="J67" s="1">
        <v>0</v>
      </c>
      <c r="K67" s="1">
        <v>134.75</v>
      </c>
      <c r="L67" s="1">
        <v>0</v>
      </c>
      <c r="M67" s="1">
        <v>134.75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134.75</v>
      </c>
      <c r="U67" s="1">
        <f>IF(Table14[[#This Row],[I_0]] &lt; INDEX(Table28[Filtro de ruido],1), 1, Table14[[#This Row],[I_10]] / Table14[[#This Row],[I_0]])</f>
        <v>1</v>
      </c>
      <c r="V67" s="1">
        <f>IF(Table14[[#This Row],[I_0]] &lt; INDEX(Table28[Filtro de ruido],1), 1, Table14[[#This Row],[I_20]] / Table14[[#This Row],[I_0]])</f>
        <v>1</v>
      </c>
      <c r="W67" s="1">
        <f>IF(Table14[[#This Row],[I_0]] &lt; INDEX(Table28[Filtro de ruido],1), 1, Table14[[#This Row],[I_30]] / Table14[[#This Row],[I_0]])</f>
        <v>1</v>
      </c>
      <c r="X67" s="1">
        <f>IF(Table14[[#This Row],[I_0]] &lt; INDEX(Table28[Filtro de ruido],1), 1, Table14[[#This Row],[I_40]] / Table14[[#This Row],[I_0]])</f>
        <v>1</v>
      </c>
      <c r="Y67" s="19">
        <f>IF(Table14[[#This Row],[I_0]] &lt; INDEX(Table28[Filtro de ruido],1), 1, Table14[[#This Row],[I_50]] / Table14[[#This Row],[I_0]])</f>
        <v>1</v>
      </c>
      <c r="AA67" s="1"/>
    </row>
    <row r="68" spans="1:27" x14ac:dyDescent="0.3">
      <c r="A68" s="18">
        <v>135.74</v>
      </c>
      <c r="B68" s="1">
        <v>0</v>
      </c>
      <c r="C68" s="1">
        <v>135.74</v>
      </c>
      <c r="D68" s="1">
        <v>0</v>
      </c>
      <c r="E68" s="1">
        <v>135.74</v>
      </c>
      <c r="F68" s="1">
        <v>0</v>
      </c>
      <c r="G68" s="1">
        <v>135.74</v>
      </c>
      <c r="H68" s="1">
        <v>0</v>
      </c>
      <c r="I68" s="1">
        <v>135.74</v>
      </c>
      <c r="J68" s="1">
        <v>0</v>
      </c>
      <c r="K68" s="1">
        <v>135.74</v>
      </c>
      <c r="L68" s="1">
        <v>0</v>
      </c>
      <c r="M68" s="1">
        <v>135.74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135.74</v>
      </c>
      <c r="U68" s="1">
        <f>IF(Table14[[#This Row],[I_0]] &lt; INDEX(Table28[Filtro de ruido],1), 1, Table14[[#This Row],[I_10]] / Table14[[#This Row],[I_0]])</f>
        <v>1</v>
      </c>
      <c r="V68" s="1">
        <f>IF(Table14[[#This Row],[I_0]] &lt; INDEX(Table28[Filtro de ruido],1), 1, Table14[[#This Row],[I_20]] / Table14[[#This Row],[I_0]])</f>
        <v>1</v>
      </c>
      <c r="W68" s="1">
        <f>IF(Table14[[#This Row],[I_0]] &lt; INDEX(Table28[Filtro de ruido],1), 1, Table14[[#This Row],[I_30]] / Table14[[#This Row],[I_0]])</f>
        <v>1</v>
      </c>
      <c r="X68" s="1">
        <f>IF(Table14[[#This Row],[I_0]] &lt; INDEX(Table28[Filtro de ruido],1), 1, Table14[[#This Row],[I_40]] / Table14[[#This Row],[I_0]])</f>
        <v>1</v>
      </c>
      <c r="Y68" s="19">
        <f>IF(Table14[[#This Row],[I_0]] &lt; INDEX(Table28[Filtro de ruido],1), 1, Table14[[#This Row],[I_50]] / Table14[[#This Row],[I_0]])</f>
        <v>1</v>
      </c>
      <c r="AA68" s="1"/>
    </row>
    <row r="69" spans="1:27" x14ac:dyDescent="0.3">
      <c r="A69" s="18">
        <v>136.72999999999999</v>
      </c>
      <c r="B69" s="1">
        <v>0</v>
      </c>
      <c r="C69" s="1">
        <v>136.72999999999999</v>
      </c>
      <c r="D69" s="1">
        <v>0</v>
      </c>
      <c r="E69" s="1">
        <v>136.72999999999999</v>
      </c>
      <c r="F69" s="1">
        <v>0</v>
      </c>
      <c r="G69" s="1">
        <v>136.72999999999999</v>
      </c>
      <c r="H69" s="1">
        <v>0</v>
      </c>
      <c r="I69" s="1">
        <v>136.72999999999999</v>
      </c>
      <c r="J69" s="1">
        <v>0</v>
      </c>
      <c r="K69" s="1">
        <v>136.72999999999999</v>
      </c>
      <c r="L69" s="1">
        <v>0</v>
      </c>
      <c r="M69" s="1">
        <v>136.72999999999999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136.72999999999999</v>
      </c>
      <c r="U69" s="1">
        <f>IF(Table14[[#This Row],[I_0]] &lt; INDEX(Table28[Filtro de ruido],1), 1, Table14[[#This Row],[I_10]] / Table14[[#This Row],[I_0]])</f>
        <v>1</v>
      </c>
      <c r="V69" s="1">
        <f>IF(Table14[[#This Row],[I_0]] &lt; INDEX(Table28[Filtro de ruido],1), 1, Table14[[#This Row],[I_20]] / Table14[[#This Row],[I_0]])</f>
        <v>1</v>
      </c>
      <c r="W69" s="1">
        <f>IF(Table14[[#This Row],[I_0]] &lt; INDEX(Table28[Filtro de ruido],1), 1, Table14[[#This Row],[I_30]] / Table14[[#This Row],[I_0]])</f>
        <v>1</v>
      </c>
      <c r="X69" s="1">
        <f>IF(Table14[[#This Row],[I_0]] &lt; INDEX(Table28[Filtro de ruido],1), 1, Table14[[#This Row],[I_40]] / Table14[[#This Row],[I_0]])</f>
        <v>1</v>
      </c>
      <c r="Y69" s="19">
        <f>IF(Table14[[#This Row],[I_0]] &lt; INDEX(Table28[Filtro de ruido],1), 1, Table14[[#This Row],[I_50]] / Table14[[#This Row],[I_0]])</f>
        <v>1</v>
      </c>
      <c r="AA69" s="1"/>
    </row>
    <row r="70" spans="1:27" x14ac:dyDescent="0.3">
      <c r="A70" s="18">
        <v>137.72</v>
      </c>
      <c r="B70" s="1">
        <v>0</v>
      </c>
      <c r="C70" s="1">
        <v>137.72</v>
      </c>
      <c r="D70" s="1">
        <v>0</v>
      </c>
      <c r="E70" s="1">
        <v>137.72</v>
      </c>
      <c r="F70" s="1">
        <v>0</v>
      </c>
      <c r="G70" s="1">
        <v>137.72</v>
      </c>
      <c r="H70" s="1">
        <v>0</v>
      </c>
      <c r="I70" s="1">
        <v>137.72</v>
      </c>
      <c r="J70" s="1">
        <v>0</v>
      </c>
      <c r="K70" s="1">
        <v>137.72</v>
      </c>
      <c r="L70" s="1">
        <v>0</v>
      </c>
      <c r="M70" s="1">
        <v>137.72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137.72</v>
      </c>
      <c r="U70" s="1">
        <f>IF(Table14[[#This Row],[I_0]] &lt; INDEX(Table28[Filtro de ruido],1), 1, Table14[[#This Row],[I_10]] / Table14[[#This Row],[I_0]])</f>
        <v>1</v>
      </c>
      <c r="V70" s="1">
        <f>IF(Table14[[#This Row],[I_0]] &lt; INDEX(Table28[Filtro de ruido],1), 1, Table14[[#This Row],[I_20]] / Table14[[#This Row],[I_0]])</f>
        <v>1</v>
      </c>
      <c r="W70" s="1">
        <f>IF(Table14[[#This Row],[I_0]] &lt; INDEX(Table28[Filtro de ruido],1), 1, Table14[[#This Row],[I_30]] / Table14[[#This Row],[I_0]])</f>
        <v>1</v>
      </c>
      <c r="X70" s="1">
        <f>IF(Table14[[#This Row],[I_0]] &lt; INDEX(Table28[Filtro de ruido],1), 1, Table14[[#This Row],[I_40]] / Table14[[#This Row],[I_0]])</f>
        <v>1</v>
      </c>
      <c r="Y70" s="19">
        <f>IF(Table14[[#This Row],[I_0]] &lt; INDEX(Table28[Filtro de ruido],1), 1, Table14[[#This Row],[I_50]] / Table14[[#This Row],[I_0]])</f>
        <v>1</v>
      </c>
      <c r="AA70" s="1"/>
    </row>
    <row r="71" spans="1:27" x14ac:dyDescent="0.3">
      <c r="A71" s="18">
        <v>138.71</v>
      </c>
      <c r="B71" s="1">
        <v>0</v>
      </c>
      <c r="C71" s="1">
        <v>138.71</v>
      </c>
      <c r="D71" s="1">
        <v>0</v>
      </c>
      <c r="E71" s="1">
        <v>138.71</v>
      </c>
      <c r="F71" s="1">
        <v>0</v>
      </c>
      <c r="G71" s="1">
        <v>138.71</v>
      </c>
      <c r="H71" s="1">
        <v>0</v>
      </c>
      <c r="I71" s="1">
        <v>138.71</v>
      </c>
      <c r="J71" s="1">
        <v>0</v>
      </c>
      <c r="K71" s="1">
        <v>138.71</v>
      </c>
      <c r="L71" s="1">
        <v>0</v>
      </c>
      <c r="M71" s="1">
        <v>138.71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138.71</v>
      </c>
      <c r="U71" s="1">
        <f>IF(Table14[[#This Row],[I_0]] &lt; INDEX(Table28[Filtro de ruido],1), 1, Table14[[#This Row],[I_10]] / Table14[[#This Row],[I_0]])</f>
        <v>1</v>
      </c>
      <c r="V71" s="1">
        <f>IF(Table14[[#This Row],[I_0]] &lt; INDEX(Table28[Filtro de ruido],1), 1, Table14[[#This Row],[I_20]] / Table14[[#This Row],[I_0]])</f>
        <v>1</v>
      </c>
      <c r="W71" s="1">
        <f>IF(Table14[[#This Row],[I_0]] &lt; INDEX(Table28[Filtro de ruido],1), 1, Table14[[#This Row],[I_30]] / Table14[[#This Row],[I_0]])</f>
        <v>1</v>
      </c>
      <c r="X71" s="1">
        <f>IF(Table14[[#This Row],[I_0]] &lt; INDEX(Table28[Filtro de ruido],1), 1, Table14[[#This Row],[I_40]] / Table14[[#This Row],[I_0]])</f>
        <v>1</v>
      </c>
      <c r="Y71" s="19">
        <f>IF(Table14[[#This Row],[I_0]] &lt; INDEX(Table28[Filtro de ruido],1), 1, Table14[[#This Row],[I_50]] / Table14[[#This Row],[I_0]])</f>
        <v>1</v>
      </c>
      <c r="AA71" s="1"/>
    </row>
    <row r="72" spans="1:27" x14ac:dyDescent="0.3">
      <c r="A72" s="18">
        <v>139.69999999999999</v>
      </c>
      <c r="B72" s="1">
        <v>0</v>
      </c>
      <c r="C72" s="1">
        <v>139.69999999999999</v>
      </c>
      <c r="D72" s="1">
        <v>0</v>
      </c>
      <c r="E72" s="1">
        <v>139.69999999999999</v>
      </c>
      <c r="F72" s="1">
        <v>0</v>
      </c>
      <c r="G72" s="1">
        <v>139.69999999999999</v>
      </c>
      <c r="H72" s="1">
        <v>0</v>
      </c>
      <c r="I72" s="1">
        <v>139.69999999999999</v>
      </c>
      <c r="J72" s="1">
        <v>0</v>
      </c>
      <c r="K72" s="1">
        <v>139.69999999999999</v>
      </c>
      <c r="L72" s="1">
        <v>0</v>
      </c>
      <c r="M72" s="1">
        <v>139.69999999999999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139.69999999999999</v>
      </c>
      <c r="U72" s="1">
        <f>IF(Table14[[#This Row],[I_0]] &lt; INDEX(Table28[Filtro de ruido],1), 1, Table14[[#This Row],[I_10]] / Table14[[#This Row],[I_0]])</f>
        <v>1</v>
      </c>
      <c r="V72" s="1">
        <f>IF(Table14[[#This Row],[I_0]] &lt; INDEX(Table28[Filtro de ruido],1), 1, Table14[[#This Row],[I_20]] / Table14[[#This Row],[I_0]])</f>
        <v>1</v>
      </c>
      <c r="W72" s="1">
        <f>IF(Table14[[#This Row],[I_0]] &lt; INDEX(Table28[Filtro de ruido],1), 1, Table14[[#This Row],[I_30]] / Table14[[#This Row],[I_0]])</f>
        <v>1</v>
      </c>
      <c r="X72" s="1">
        <f>IF(Table14[[#This Row],[I_0]] &lt; INDEX(Table28[Filtro de ruido],1), 1, Table14[[#This Row],[I_40]] / Table14[[#This Row],[I_0]])</f>
        <v>1</v>
      </c>
      <c r="Y72" s="19">
        <f>IF(Table14[[#This Row],[I_0]] &lt; INDEX(Table28[Filtro de ruido],1), 1, Table14[[#This Row],[I_50]] / Table14[[#This Row],[I_0]])</f>
        <v>1</v>
      </c>
      <c r="AA72" s="1"/>
    </row>
    <row r="73" spans="1:27" x14ac:dyDescent="0.3">
      <c r="A73" s="18">
        <v>140.69999999999999</v>
      </c>
      <c r="B73" s="1">
        <v>0</v>
      </c>
      <c r="C73" s="1">
        <v>140.69999999999999</v>
      </c>
      <c r="D73" s="1">
        <v>0</v>
      </c>
      <c r="E73" s="1">
        <v>140.69999999999999</v>
      </c>
      <c r="F73" s="1">
        <v>0</v>
      </c>
      <c r="G73" s="1">
        <v>140.69999999999999</v>
      </c>
      <c r="H73" s="1">
        <v>0</v>
      </c>
      <c r="I73" s="1">
        <v>140.69999999999999</v>
      </c>
      <c r="J73" s="1">
        <v>0</v>
      </c>
      <c r="K73" s="1">
        <v>140.69999999999999</v>
      </c>
      <c r="L73" s="1">
        <v>0</v>
      </c>
      <c r="M73" s="1">
        <v>140.69999999999999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140.69999999999999</v>
      </c>
      <c r="U73" s="1">
        <f>IF(Table14[[#This Row],[I_0]] &lt; INDEX(Table28[Filtro de ruido],1), 1, Table14[[#This Row],[I_10]] / Table14[[#This Row],[I_0]])</f>
        <v>1</v>
      </c>
      <c r="V73" s="1">
        <f>IF(Table14[[#This Row],[I_0]] &lt; INDEX(Table28[Filtro de ruido],1), 1, Table14[[#This Row],[I_20]] / Table14[[#This Row],[I_0]])</f>
        <v>1</v>
      </c>
      <c r="W73" s="1">
        <f>IF(Table14[[#This Row],[I_0]] &lt; INDEX(Table28[Filtro de ruido],1), 1, Table14[[#This Row],[I_30]] / Table14[[#This Row],[I_0]])</f>
        <v>1</v>
      </c>
      <c r="X73" s="1">
        <f>IF(Table14[[#This Row],[I_0]] &lt; INDEX(Table28[Filtro de ruido],1), 1, Table14[[#This Row],[I_40]] / Table14[[#This Row],[I_0]])</f>
        <v>1</v>
      </c>
      <c r="Y73" s="19">
        <f>IF(Table14[[#This Row],[I_0]] &lt; INDEX(Table28[Filtro de ruido],1), 1, Table14[[#This Row],[I_50]] / Table14[[#This Row],[I_0]])</f>
        <v>1</v>
      </c>
      <c r="AA73" s="1"/>
    </row>
    <row r="74" spans="1:27" x14ac:dyDescent="0.3">
      <c r="A74" s="18">
        <v>141.69</v>
      </c>
      <c r="B74" s="1">
        <v>0</v>
      </c>
      <c r="C74" s="1">
        <v>141.69</v>
      </c>
      <c r="D74" s="1">
        <v>0</v>
      </c>
      <c r="E74" s="1">
        <v>141.69</v>
      </c>
      <c r="F74" s="1">
        <v>0</v>
      </c>
      <c r="G74" s="1">
        <v>141.69</v>
      </c>
      <c r="H74" s="1">
        <v>0</v>
      </c>
      <c r="I74" s="1">
        <v>141.69</v>
      </c>
      <c r="J74" s="1">
        <v>0</v>
      </c>
      <c r="K74" s="1">
        <v>141.69</v>
      </c>
      <c r="L74" s="1">
        <v>0</v>
      </c>
      <c r="M74" s="1">
        <v>141.69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141.69</v>
      </c>
      <c r="U74" s="1">
        <f>IF(Table14[[#This Row],[I_0]] &lt; INDEX(Table28[Filtro de ruido],1), 1, Table14[[#This Row],[I_10]] / Table14[[#This Row],[I_0]])</f>
        <v>1</v>
      </c>
      <c r="V74" s="1">
        <f>IF(Table14[[#This Row],[I_0]] &lt; INDEX(Table28[Filtro de ruido],1), 1, Table14[[#This Row],[I_20]] / Table14[[#This Row],[I_0]])</f>
        <v>1</v>
      </c>
      <c r="W74" s="1">
        <f>IF(Table14[[#This Row],[I_0]] &lt; INDEX(Table28[Filtro de ruido],1), 1, Table14[[#This Row],[I_30]] / Table14[[#This Row],[I_0]])</f>
        <v>1</v>
      </c>
      <c r="X74" s="1">
        <f>IF(Table14[[#This Row],[I_0]] &lt; INDEX(Table28[Filtro de ruido],1), 1, Table14[[#This Row],[I_40]] / Table14[[#This Row],[I_0]])</f>
        <v>1</v>
      </c>
      <c r="Y74" s="19">
        <f>IF(Table14[[#This Row],[I_0]] &lt; INDEX(Table28[Filtro de ruido],1), 1, Table14[[#This Row],[I_50]] / Table14[[#This Row],[I_0]])</f>
        <v>1</v>
      </c>
      <c r="AA74" s="1"/>
    </row>
    <row r="75" spans="1:27" x14ac:dyDescent="0.3">
      <c r="A75" s="18">
        <v>142.68</v>
      </c>
      <c r="B75" s="1">
        <v>0</v>
      </c>
      <c r="C75" s="1">
        <v>142.68</v>
      </c>
      <c r="D75" s="1">
        <v>0</v>
      </c>
      <c r="E75" s="1">
        <v>142.68</v>
      </c>
      <c r="F75" s="1">
        <v>0</v>
      </c>
      <c r="G75" s="1">
        <v>142.68</v>
      </c>
      <c r="H75" s="1">
        <v>0</v>
      </c>
      <c r="I75" s="1">
        <v>142.68</v>
      </c>
      <c r="J75" s="1">
        <v>0</v>
      </c>
      <c r="K75" s="1">
        <v>142.68</v>
      </c>
      <c r="L75" s="1">
        <v>0</v>
      </c>
      <c r="M75" s="1">
        <v>142.68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142.68</v>
      </c>
      <c r="U75" s="1">
        <f>IF(Table14[[#This Row],[I_0]] &lt; INDEX(Table28[Filtro de ruido],1), 1, Table14[[#This Row],[I_10]] / Table14[[#This Row],[I_0]])</f>
        <v>1</v>
      </c>
      <c r="V75" s="1">
        <f>IF(Table14[[#This Row],[I_0]] &lt; INDEX(Table28[Filtro de ruido],1), 1, Table14[[#This Row],[I_20]] / Table14[[#This Row],[I_0]])</f>
        <v>1</v>
      </c>
      <c r="W75" s="1">
        <f>IF(Table14[[#This Row],[I_0]] &lt; INDEX(Table28[Filtro de ruido],1), 1, Table14[[#This Row],[I_30]] / Table14[[#This Row],[I_0]])</f>
        <v>1</v>
      </c>
      <c r="X75" s="1">
        <f>IF(Table14[[#This Row],[I_0]] &lt; INDEX(Table28[Filtro de ruido],1), 1, Table14[[#This Row],[I_40]] / Table14[[#This Row],[I_0]])</f>
        <v>1</v>
      </c>
      <c r="Y75" s="19">
        <f>IF(Table14[[#This Row],[I_0]] &lt; INDEX(Table28[Filtro de ruido],1), 1, Table14[[#This Row],[I_50]] / Table14[[#This Row],[I_0]])</f>
        <v>1</v>
      </c>
      <c r="AA75" s="1"/>
    </row>
    <row r="76" spans="1:27" x14ac:dyDescent="0.3">
      <c r="A76" s="18">
        <v>143.66999999999999</v>
      </c>
      <c r="B76" s="1">
        <v>0</v>
      </c>
      <c r="C76" s="1">
        <v>143.66999999999999</v>
      </c>
      <c r="D76" s="1">
        <v>0</v>
      </c>
      <c r="E76" s="1">
        <v>143.66999999999999</v>
      </c>
      <c r="F76" s="1">
        <v>0</v>
      </c>
      <c r="G76" s="1">
        <v>143.66999999999999</v>
      </c>
      <c r="H76" s="1">
        <v>0</v>
      </c>
      <c r="I76" s="1">
        <v>143.66999999999999</v>
      </c>
      <c r="J76" s="1">
        <v>0</v>
      </c>
      <c r="K76" s="1">
        <v>143.66999999999999</v>
      </c>
      <c r="L76" s="1">
        <v>0</v>
      </c>
      <c r="M76" s="1">
        <v>143.66999999999999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143.66999999999999</v>
      </c>
      <c r="U76" s="1">
        <f>IF(Table14[[#This Row],[I_0]] &lt; INDEX(Table28[Filtro de ruido],1), 1, Table14[[#This Row],[I_10]] / Table14[[#This Row],[I_0]])</f>
        <v>1</v>
      </c>
      <c r="V76" s="1">
        <f>IF(Table14[[#This Row],[I_0]] &lt; INDEX(Table28[Filtro de ruido],1), 1, Table14[[#This Row],[I_20]] / Table14[[#This Row],[I_0]])</f>
        <v>1</v>
      </c>
      <c r="W76" s="1">
        <f>IF(Table14[[#This Row],[I_0]] &lt; INDEX(Table28[Filtro de ruido],1), 1, Table14[[#This Row],[I_30]] / Table14[[#This Row],[I_0]])</f>
        <v>1</v>
      </c>
      <c r="X76" s="1">
        <f>IF(Table14[[#This Row],[I_0]] &lt; INDEX(Table28[Filtro de ruido],1), 1, Table14[[#This Row],[I_40]] / Table14[[#This Row],[I_0]])</f>
        <v>1</v>
      </c>
      <c r="Y76" s="19">
        <f>IF(Table14[[#This Row],[I_0]] &lt; INDEX(Table28[Filtro de ruido],1), 1, Table14[[#This Row],[I_50]] / Table14[[#This Row],[I_0]])</f>
        <v>1</v>
      </c>
      <c r="AA76" s="1"/>
    </row>
    <row r="77" spans="1:27" x14ac:dyDescent="0.3">
      <c r="A77" s="18">
        <v>144.66</v>
      </c>
      <c r="B77" s="1">
        <v>0</v>
      </c>
      <c r="C77" s="1">
        <v>144.66</v>
      </c>
      <c r="D77" s="1">
        <v>0</v>
      </c>
      <c r="E77" s="1">
        <v>144.66</v>
      </c>
      <c r="F77" s="1">
        <v>0</v>
      </c>
      <c r="G77" s="1">
        <v>144.66</v>
      </c>
      <c r="H77" s="1">
        <v>0</v>
      </c>
      <c r="I77" s="1">
        <v>144.66</v>
      </c>
      <c r="J77" s="1">
        <v>0</v>
      </c>
      <c r="K77" s="1">
        <v>144.66</v>
      </c>
      <c r="L77" s="1">
        <v>0</v>
      </c>
      <c r="M77" s="1">
        <v>144.66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144.66</v>
      </c>
      <c r="U77" s="1">
        <f>IF(Table14[[#This Row],[I_0]] &lt; INDEX(Table28[Filtro de ruido],1), 1, Table14[[#This Row],[I_10]] / Table14[[#This Row],[I_0]])</f>
        <v>1</v>
      </c>
      <c r="V77" s="1">
        <f>IF(Table14[[#This Row],[I_0]] &lt; INDEX(Table28[Filtro de ruido],1), 1, Table14[[#This Row],[I_20]] / Table14[[#This Row],[I_0]])</f>
        <v>1</v>
      </c>
      <c r="W77" s="1">
        <f>IF(Table14[[#This Row],[I_0]] &lt; INDEX(Table28[Filtro de ruido],1), 1, Table14[[#This Row],[I_30]] / Table14[[#This Row],[I_0]])</f>
        <v>1</v>
      </c>
      <c r="X77" s="1">
        <f>IF(Table14[[#This Row],[I_0]] &lt; INDEX(Table28[Filtro de ruido],1), 1, Table14[[#This Row],[I_40]] / Table14[[#This Row],[I_0]])</f>
        <v>1</v>
      </c>
      <c r="Y77" s="19">
        <f>IF(Table14[[#This Row],[I_0]] &lt; INDEX(Table28[Filtro de ruido],1), 1, Table14[[#This Row],[I_50]] / Table14[[#This Row],[I_0]])</f>
        <v>1</v>
      </c>
      <c r="AA77" s="1"/>
    </row>
    <row r="78" spans="1:27" x14ac:dyDescent="0.3">
      <c r="A78" s="18">
        <v>145.66</v>
      </c>
      <c r="B78" s="1">
        <v>0</v>
      </c>
      <c r="C78" s="1">
        <v>145.66</v>
      </c>
      <c r="D78" s="1">
        <v>0</v>
      </c>
      <c r="E78" s="1">
        <v>145.66</v>
      </c>
      <c r="F78" s="1">
        <v>0</v>
      </c>
      <c r="G78" s="1">
        <v>145.66</v>
      </c>
      <c r="H78" s="1">
        <v>0</v>
      </c>
      <c r="I78" s="1">
        <v>145.66</v>
      </c>
      <c r="J78" s="1">
        <v>0</v>
      </c>
      <c r="K78" s="1">
        <v>145.66</v>
      </c>
      <c r="L78" s="1">
        <v>0</v>
      </c>
      <c r="M78" s="1">
        <v>145.66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145.66</v>
      </c>
      <c r="U78" s="1">
        <f>IF(Table14[[#This Row],[I_0]] &lt; INDEX(Table28[Filtro de ruido],1), 1, Table14[[#This Row],[I_10]] / Table14[[#This Row],[I_0]])</f>
        <v>1</v>
      </c>
      <c r="V78" s="1">
        <f>IF(Table14[[#This Row],[I_0]] &lt; INDEX(Table28[Filtro de ruido],1), 1, Table14[[#This Row],[I_20]] / Table14[[#This Row],[I_0]])</f>
        <v>1</v>
      </c>
      <c r="W78" s="1">
        <f>IF(Table14[[#This Row],[I_0]] &lt; INDEX(Table28[Filtro de ruido],1), 1, Table14[[#This Row],[I_30]] / Table14[[#This Row],[I_0]])</f>
        <v>1</v>
      </c>
      <c r="X78" s="1">
        <f>IF(Table14[[#This Row],[I_0]] &lt; INDEX(Table28[Filtro de ruido],1), 1, Table14[[#This Row],[I_40]] / Table14[[#This Row],[I_0]])</f>
        <v>1</v>
      </c>
      <c r="Y78" s="19">
        <f>IF(Table14[[#This Row],[I_0]] &lt; INDEX(Table28[Filtro de ruido],1), 1, Table14[[#This Row],[I_50]] / Table14[[#This Row],[I_0]])</f>
        <v>1</v>
      </c>
      <c r="AA78" s="1"/>
    </row>
    <row r="79" spans="1:27" x14ac:dyDescent="0.3">
      <c r="A79" s="18">
        <v>146.65</v>
      </c>
      <c r="B79" s="1">
        <v>0</v>
      </c>
      <c r="C79" s="1">
        <v>146.65</v>
      </c>
      <c r="D79" s="1">
        <v>0</v>
      </c>
      <c r="E79" s="1">
        <v>146.65</v>
      </c>
      <c r="F79" s="1">
        <v>0</v>
      </c>
      <c r="G79" s="1">
        <v>146.65</v>
      </c>
      <c r="H79" s="1">
        <v>0</v>
      </c>
      <c r="I79" s="1">
        <v>146.65</v>
      </c>
      <c r="J79" s="1">
        <v>0</v>
      </c>
      <c r="K79" s="1">
        <v>146.65</v>
      </c>
      <c r="L79" s="1">
        <v>0</v>
      </c>
      <c r="M79" s="1">
        <v>146.65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146.65</v>
      </c>
      <c r="U79" s="1">
        <f>IF(Table14[[#This Row],[I_0]] &lt; INDEX(Table28[Filtro de ruido],1), 1, Table14[[#This Row],[I_10]] / Table14[[#This Row],[I_0]])</f>
        <v>1</v>
      </c>
      <c r="V79" s="1">
        <f>IF(Table14[[#This Row],[I_0]] &lt; INDEX(Table28[Filtro de ruido],1), 1, Table14[[#This Row],[I_20]] / Table14[[#This Row],[I_0]])</f>
        <v>1</v>
      </c>
      <c r="W79" s="1">
        <f>IF(Table14[[#This Row],[I_0]] &lt; INDEX(Table28[Filtro de ruido],1), 1, Table14[[#This Row],[I_30]] / Table14[[#This Row],[I_0]])</f>
        <v>1</v>
      </c>
      <c r="X79" s="1">
        <f>IF(Table14[[#This Row],[I_0]] &lt; INDEX(Table28[Filtro de ruido],1), 1, Table14[[#This Row],[I_40]] / Table14[[#This Row],[I_0]])</f>
        <v>1</v>
      </c>
      <c r="Y79" s="19">
        <f>IF(Table14[[#This Row],[I_0]] &lt; INDEX(Table28[Filtro de ruido],1), 1, Table14[[#This Row],[I_50]] / Table14[[#This Row],[I_0]])</f>
        <v>1</v>
      </c>
      <c r="AA79" s="1"/>
    </row>
    <row r="80" spans="1:27" x14ac:dyDescent="0.3">
      <c r="A80" s="18">
        <v>147.63999999999999</v>
      </c>
      <c r="B80" s="1">
        <v>0</v>
      </c>
      <c r="C80" s="1">
        <v>147.63999999999999</v>
      </c>
      <c r="D80" s="1">
        <v>0</v>
      </c>
      <c r="E80" s="1">
        <v>147.63999999999999</v>
      </c>
      <c r="F80" s="1">
        <v>0</v>
      </c>
      <c r="G80" s="1">
        <v>147.63999999999999</v>
      </c>
      <c r="H80" s="1">
        <v>0</v>
      </c>
      <c r="I80" s="1">
        <v>147.63999999999999</v>
      </c>
      <c r="J80" s="1">
        <v>0</v>
      </c>
      <c r="K80" s="1">
        <v>147.63999999999999</v>
      </c>
      <c r="L80" s="1">
        <v>0</v>
      </c>
      <c r="M80" s="1">
        <v>147.63999999999999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147.63999999999999</v>
      </c>
      <c r="U80" s="1">
        <f>IF(Table14[[#This Row],[I_0]] &lt; INDEX(Table28[Filtro de ruido],1), 1, Table14[[#This Row],[I_10]] / Table14[[#This Row],[I_0]])</f>
        <v>1</v>
      </c>
      <c r="V80" s="1">
        <f>IF(Table14[[#This Row],[I_0]] &lt; INDEX(Table28[Filtro de ruido],1), 1, Table14[[#This Row],[I_20]] / Table14[[#This Row],[I_0]])</f>
        <v>1</v>
      </c>
      <c r="W80" s="1">
        <f>IF(Table14[[#This Row],[I_0]] &lt; INDEX(Table28[Filtro de ruido],1), 1, Table14[[#This Row],[I_30]] / Table14[[#This Row],[I_0]])</f>
        <v>1</v>
      </c>
      <c r="X80" s="1">
        <f>IF(Table14[[#This Row],[I_0]] &lt; INDEX(Table28[Filtro de ruido],1), 1, Table14[[#This Row],[I_40]] / Table14[[#This Row],[I_0]])</f>
        <v>1</v>
      </c>
      <c r="Y80" s="19">
        <f>IF(Table14[[#This Row],[I_0]] &lt; INDEX(Table28[Filtro de ruido],1), 1, Table14[[#This Row],[I_50]] / Table14[[#This Row],[I_0]])</f>
        <v>1</v>
      </c>
      <c r="AA80" s="1"/>
    </row>
    <row r="81" spans="1:27" x14ac:dyDescent="0.3">
      <c r="A81" s="18">
        <v>148.63</v>
      </c>
      <c r="B81" s="1">
        <v>0</v>
      </c>
      <c r="C81" s="1">
        <v>148.63</v>
      </c>
      <c r="D81" s="1">
        <v>0</v>
      </c>
      <c r="E81" s="1">
        <v>148.63</v>
      </c>
      <c r="F81" s="1">
        <v>0</v>
      </c>
      <c r="G81" s="1">
        <v>148.63</v>
      </c>
      <c r="H81" s="1">
        <v>0</v>
      </c>
      <c r="I81" s="1">
        <v>148.63</v>
      </c>
      <c r="J81" s="1">
        <v>0</v>
      </c>
      <c r="K81" s="1">
        <v>148.63</v>
      </c>
      <c r="L81" s="1">
        <v>0</v>
      </c>
      <c r="M81" s="1">
        <v>148.63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148.63</v>
      </c>
      <c r="U81" s="1">
        <f>IF(Table14[[#This Row],[I_0]] &lt; INDEX(Table28[Filtro de ruido],1), 1, Table14[[#This Row],[I_10]] / Table14[[#This Row],[I_0]])</f>
        <v>1</v>
      </c>
      <c r="V81" s="1">
        <f>IF(Table14[[#This Row],[I_0]] &lt; INDEX(Table28[Filtro de ruido],1), 1, Table14[[#This Row],[I_20]] / Table14[[#This Row],[I_0]])</f>
        <v>1</v>
      </c>
      <c r="W81" s="1">
        <f>IF(Table14[[#This Row],[I_0]] &lt; INDEX(Table28[Filtro de ruido],1), 1, Table14[[#This Row],[I_30]] / Table14[[#This Row],[I_0]])</f>
        <v>1</v>
      </c>
      <c r="X81" s="1">
        <f>IF(Table14[[#This Row],[I_0]] &lt; INDEX(Table28[Filtro de ruido],1), 1, Table14[[#This Row],[I_40]] / Table14[[#This Row],[I_0]])</f>
        <v>1</v>
      </c>
      <c r="Y81" s="19">
        <f>IF(Table14[[#This Row],[I_0]] &lt; INDEX(Table28[Filtro de ruido],1), 1, Table14[[#This Row],[I_50]] / Table14[[#This Row],[I_0]])</f>
        <v>1</v>
      </c>
      <c r="AA81" s="1"/>
    </row>
    <row r="82" spans="1:27" x14ac:dyDescent="0.3">
      <c r="A82" s="18">
        <v>149.62</v>
      </c>
      <c r="B82" s="1">
        <v>0</v>
      </c>
      <c r="C82" s="1">
        <v>149.62</v>
      </c>
      <c r="D82" s="1">
        <v>0</v>
      </c>
      <c r="E82" s="1">
        <v>149.62</v>
      </c>
      <c r="F82" s="1">
        <v>0</v>
      </c>
      <c r="G82" s="1">
        <v>149.62</v>
      </c>
      <c r="H82" s="1">
        <v>0</v>
      </c>
      <c r="I82" s="1">
        <v>149.62</v>
      </c>
      <c r="J82" s="1">
        <v>0</v>
      </c>
      <c r="K82" s="1">
        <v>149.62</v>
      </c>
      <c r="L82" s="1">
        <v>0</v>
      </c>
      <c r="M82" s="1">
        <v>149.62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149.62</v>
      </c>
      <c r="U82" s="1">
        <f>IF(Table14[[#This Row],[I_0]] &lt; INDEX(Table28[Filtro de ruido],1), 1, Table14[[#This Row],[I_10]] / Table14[[#This Row],[I_0]])</f>
        <v>1</v>
      </c>
      <c r="V82" s="1">
        <f>IF(Table14[[#This Row],[I_0]] &lt; INDEX(Table28[Filtro de ruido],1), 1, Table14[[#This Row],[I_20]] / Table14[[#This Row],[I_0]])</f>
        <v>1</v>
      </c>
      <c r="W82" s="1">
        <f>IF(Table14[[#This Row],[I_0]] &lt; INDEX(Table28[Filtro de ruido],1), 1, Table14[[#This Row],[I_30]] / Table14[[#This Row],[I_0]])</f>
        <v>1</v>
      </c>
      <c r="X82" s="1">
        <f>IF(Table14[[#This Row],[I_0]] &lt; INDEX(Table28[Filtro de ruido],1), 1, Table14[[#This Row],[I_40]] / Table14[[#This Row],[I_0]])</f>
        <v>1</v>
      </c>
      <c r="Y82" s="19">
        <f>IF(Table14[[#This Row],[I_0]] &lt; INDEX(Table28[Filtro de ruido],1), 1, Table14[[#This Row],[I_50]] / Table14[[#This Row],[I_0]])</f>
        <v>1</v>
      </c>
      <c r="AA82" s="1"/>
    </row>
    <row r="83" spans="1:27" x14ac:dyDescent="0.3">
      <c r="A83" s="18">
        <v>150.61000000000001</v>
      </c>
      <c r="B83" s="1">
        <v>0</v>
      </c>
      <c r="C83" s="1">
        <v>150.61000000000001</v>
      </c>
      <c r="D83" s="1">
        <v>0</v>
      </c>
      <c r="E83" s="1">
        <v>150.61000000000001</v>
      </c>
      <c r="F83" s="1">
        <v>0</v>
      </c>
      <c r="G83" s="1">
        <v>150.61000000000001</v>
      </c>
      <c r="H83" s="1">
        <v>0</v>
      </c>
      <c r="I83" s="1">
        <v>150.61000000000001</v>
      </c>
      <c r="J83" s="1">
        <v>0</v>
      </c>
      <c r="K83" s="1">
        <v>150.61000000000001</v>
      </c>
      <c r="L83" s="1">
        <v>0</v>
      </c>
      <c r="M83" s="1">
        <v>150.61000000000001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150.61000000000001</v>
      </c>
      <c r="U83" s="1">
        <f>IF(Table14[[#This Row],[I_0]] &lt; INDEX(Table28[Filtro de ruido],1), 1, Table14[[#This Row],[I_10]] / Table14[[#This Row],[I_0]])</f>
        <v>1</v>
      </c>
      <c r="V83" s="1">
        <f>IF(Table14[[#This Row],[I_0]] &lt; INDEX(Table28[Filtro de ruido],1), 1, Table14[[#This Row],[I_20]] / Table14[[#This Row],[I_0]])</f>
        <v>1</v>
      </c>
      <c r="W83" s="1">
        <f>IF(Table14[[#This Row],[I_0]] &lt; INDEX(Table28[Filtro de ruido],1), 1, Table14[[#This Row],[I_30]] / Table14[[#This Row],[I_0]])</f>
        <v>1</v>
      </c>
      <c r="X83" s="1">
        <f>IF(Table14[[#This Row],[I_0]] &lt; INDEX(Table28[Filtro de ruido],1), 1, Table14[[#This Row],[I_40]] / Table14[[#This Row],[I_0]])</f>
        <v>1</v>
      </c>
      <c r="Y83" s="19">
        <f>IF(Table14[[#This Row],[I_0]] &lt; INDEX(Table28[Filtro de ruido],1), 1, Table14[[#This Row],[I_50]] / Table14[[#This Row],[I_0]])</f>
        <v>1</v>
      </c>
      <c r="AA83" s="1"/>
    </row>
    <row r="84" spans="1:27" x14ac:dyDescent="0.3">
      <c r="A84" s="18">
        <v>151.61000000000001</v>
      </c>
      <c r="B84" s="1">
        <v>0</v>
      </c>
      <c r="C84" s="1">
        <v>151.61000000000001</v>
      </c>
      <c r="D84" s="1">
        <v>0</v>
      </c>
      <c r="E84" s="1">
        <v>151.61000000000001</v>
      </c>
      <c r="F84" s="1">
        <v>0</v>
      </c>
      <c r="G84" s="1">
        <v>151.61000000000001</v>
      </c>
      <c r="H84" s="1">
        <v>0</v>
      </c>
      <c r="I84" s="1">
        <v>151.61000000000001</v>
      </c>
      <c r="J84" s="1">
        <v>0</v>
      </c>
      <c r="K84" s="1">
        <v>151.61000000000001</v>
      </c>
      <c r="L84" s="1">
        <v>0</v>
      </c>
      <c r="M84" s="1">
        <v>151.61000000000001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151.61000000000001</v>
      </c>
      <c r="U84" s="1">
        <f>IF(Table14[[#This Row],[I_0]] &lt; INDEX(Table28[Filtro de ruido],1), 1, Table14[[#This Row],[I_10]] / Table14[[#This Row],[I_0]])</f>
        <v>1</v>
      </c>
      <c r="V84" s="1">
        <f>IF(Table14[[#This Row],[I_0]] &lt; INDEX(Table28[Filtro de ruido],1), 1, Table14[[#This Row],[I_20]] / Table14[[#This Row],[I_0]])</f>
        <v>1</v>
      </c>
      <c r="W84" s="1">
        <f>IF(Table14[[#This Row],[I_0]] &lt; INDEX(Table28[Filtro de ruido],1), 1, Table14[[#This Row],[I_30]] / Table14[[#This Row],[I_0]])</f>
        <v>1</v>
      </c>
      <c r="X84" s="1">
        <f>IF(Table14[[#This Row],[I_0]] &lt; INDEX(Table28[Filtro de ruido],1), 1, Table14[[#This Row],[I_40]] / Table14[[#This Row],[I_0]])</f>
        <v>1</v>
      </c>
      <c r="Y84" s="19">
        <f>IF(Table14[[#This Row],[I_0]] &lt; INDEX(Table28[Filtro de ruido],1), 1, Table14[[#This Row],[I_50]] / Table14[[#This Row],[I_0]])</f>
        <v>1</v>
      </c>
      <c r="AA84" s="1"/>
    </row>
    <row r="85" spans="1:27" x14ac:dyDescent="0.3">
      <c r="A85" s="18">
        <v>152.6</v>
      </c>
      <c r="B85" s="1">
        <v>0</v>
      </c>
      <c r="C85" s="1">
        <v>152.6</v>
      </c>
      <c r="D85" s="1">
        <v>0</v>
      </c>
      <c r="E85" s="1">
        <v>152.6</v>
      </c>
      <c r="F85" s="1">
        <v>0</v>
      </c>
      <c r="G85" s="1">
        <v>152.6</v>
      </c>
      <c r="H85" s="1">
        <v>0</v>
      </c>
      <c r="I85" s="1">
        <v>152.6</v>
      </c>
      <c r="J85" s="1">
        <v>0</v>
      </c>
      <c r="K85" s="1">
        <v>152.6</v>
      </c>
      <c r="L85" s="1">
        <v>0</v>
      </c>
      <c r="M85" s="1">
        <v>152.6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152.6</v>
      </c>
      <c r="U85" s="1">
        <f>IF(Table14[[#This Row],[I_0]] &lt; INDEX(Table28[Filtro de ruido],1), 1, Table14[[#This Row],[I_10]] / Table14[[#This Row],[I_0]])</f>
        <v>1</v>
      </c>
      <c r="V85" s="1">
        <f>IF(Table14[[#This Row],[I_0]] &lt; INDEX(Table28[Filtro de ruido],1), 1, Table14[[#This Row],[I_20]] / Table14[[#This Row],[I_0]])</f>
        <v>1</v>
      </c>
      <c r="W85" s="1">
        <f>IF(Table14[[#This Row],[I_0]] &lt; INDEX(Table28[Filtro de ruido],1), 1, Table14[[#This Row],[I_30]] / Table14[[#This Row],[I_0]])</f>
        <v>1</v>
      </c>
      <c r="X85" s="1">
        <f>IF(Table14[[#This Row],[I_0]] &lt; INDEX(Table28[Filtro de ruido],1), 1, Table14[[#This Row],[I_40]] / Table14[[#This Row],[I_0]])</f>
        <v>1</v>
      </c>
      <c r="Y85" s="19">
        <f>IF(Table14[[#This Row],[I_0]] &lt; INDEX(Table28[Filtro de ruido],1), 1, Table14[[#This Row],[I_50]] / Table14[[#This Row],[I_0]])</f>
        <v>1</v>
      </c>
      <c r="AA85" s="1"/>
    </row>
    <row r="86" spans="1:27" x14ac:dyDescent="0.3">
      <c r="A86" s="18">
        <v>153.59</v>
      </c>
      <c r="B86" s="1">
        <v>0</v>
      </c>
      <c r="C86" s="1">
        <v>153.59</v>
      </c>
      <c r="D86" s="1">
        <v>0</v>
      </c>
      <c r="E86" s="1">
        <v>153.59</v>
      </c>
      <c r="F86" s="1">
        <v>0</v>
      </c>
      <c r="G86" s="1">
        <v>153.59</v>
      </c>
      <c r="H86" s="1">
        <v>0</v>
      </c>
      <c r="I86" s="1">
        <v>153.59</v>
      </c>
      <c r="J86" s="1">
        <v>0</v>
      </c>
      <c r="K86" s="1">
        <v>153.59</v>
      </c>
      <c r="L86" s="1">
        <v>0</v>
      </c>
      <c r="M86" s="1">
        <v>153.59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153.59</v>
      </c>
      <c r="U86" s="1">
        <f>IF(Table14[[#This Row],[I_0]] &lt; INDEX(Table28[Filtro de ruido],1), 1, Table14[[#This Row],[I_10]] / Table14[[#This Row],[I_0]])</f>
        <v>1</v>
      </c>
      <c r="V86" s="1">
        <f>IF(Table14[[#This Row],[I_0]] &lt; INDEX(Table28[Filtro de ruido],1), 1, Table14[[#This Row],[I_20]] / Table14[[#This Row],[I_0]])</f>
        <v>1</v>
      </c>
      <c r="W86" s="1">
        <f>IF(Table14[[#This Row],[I_0]] &lt; INDEX(Table28[Filtro de ruido],1), 1, Table14[[#This Row],[I_30]] / Table14[[#This Row],[I_0]])</f>
        <v>1</v>
      </c>
      <c r="X86" s="1">
        <f>IF(Table14[[#This Row],[I_0]] &lt; INDEX(Table28[Filtro de ruido],1), 1, Table14[[#This Row],[I_40]] / Table14[[#This Row],[I_0]])</f>
        <v>1</v>
      </c>
      <c r="Y86" s="19">
        <f>IF(Table14[[#This Row],[I_0]] &lt; INDEX(Table28[Filtro de ruido],1), 1, Table14[[#This Row],[I_50]] / Table14[[#This Row],[I_0]])</f>
        <v>1</v>
      </c>
      <c r="AA86" s="1"/>
    </row>
    <row r="87" spans="1:27" x14ac:dyDescent="0.3">
      <c r="A87" s="18">
        <v>154.58000000000001</v>
      </c>
      <c r="B87" s="1">
        <v>0</v>
      </c>
      <c r="C87" s="1">
        <v>154.58000000000001</v>
      </c>
      <c r="D87" s="1">
        <v>0</v>
      </c>
      <c r="E87" s="1">
        <v>154.58000000000001</v>
      </c>
      <c r="F87" s="1">
        <v>0</v>
      </c>
      <c r="G87" s="1">
        <v>154.58000000000001</v>
      </c>
      <c r="H87" s="1">
        <v>0</v>
      </c>
      <c r="I87" s="1">
        <v>154.58000000000001</v>
      </c>
      <c r="J87" s="1">
        <v>0</v>
      </c>
      <c r="K87" s="1">
        <v>154.58000000000001</v>
      </c>
      <c r="L87" s="1">
        <v>0</v>
      </c>
      <c r="M87" s="1">
        <v>154.58000000000001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154.58000000000001</v>
      </c>
      <c r="U87" s="1">
        <f>IF(Table14[[#This Row],[I_0]] &lt; INDEX(Table28[Filtro de ruido],1), 1, Table14[[#This Row],[I_10]] / Table14[[#This Row],[I_0]])</f>
        <v>1</v>
      </c>
      <c r="V87" s="1">
        <f>IF(Table14[[#This Row],[I_0]] &lt; INDEX(Table28[Filtro de ruido],1), 1, Table14[[#This Row],[I_20]] / Table14[[#This Row],[I_0]])</f>
        <v>1</v>
      </c>
      <c r="W87" s="1">
        <f>IF(Table14[[#This Row],[I_0]] &lt; INDEX(Table28[Filtro de ruido],1), 1, Table14[[#This Row],[I_30]] / Table14[[#This Row],[I_0]])</f>
        <v>1</v>
      </c>
      <c r="X87" s="1">
        <f>IF(Table14[[#This Row],[I_0]] &lt; INDEX(Table28[Filtro de ruido],1), 1, Table14[[#This Row],[I_40]] / Table14[[#This Row],[I_0]])</f>
        <v>1</v>
      </c>
      <c r="Y87" s="19">
        <f>IF(Table14[[#This Row],[I_0]] &lt; INDEX(Table28[Filtro de ruido],1), 1, Table14[[#This Row],[I_50]] / Table14[[#This Row],[I_0]])</f>
        <v>1</v>
      </c>
      <c r="AA87" s="1"/>
    </row>
    <row r="88" spans="1:27" x14ac:dyDescent="0.3">
      <c r="A88" s="18">
        <v>155.57</v>
      </c>
      <c r="B88" s="1">
        <v>0</v>
      </c>
      <c r="C88" s="1">
        <v>155.57</v>
      </c>
      <c r="D88" s="1">
        <v>0</v>
      </c>
      <c r="E88" s="1">
        <v>155.57</v>
      </c>
      <c r="F88" s="1">
        <v>0</v>
      </c>
      <c r="G88" s="1">
        <v>155.57</v>
      </c>
      <c r="H88" s="1">
        <v>0</v>
      </c>
      <c r="I88" s="1">
        <v>155.57</v>
      </c>
      <c r="J88" s="1">
        <v>0</v>
      </c>
      <c r="K88" s="1">
        <v>155.57</v>
      </c>
      <c r="L88" s="1">
        <v>0</v>
      </c>
      <c r="M88" s="1">
        <v>155.57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155.57</v>
      </c>
      <c r="U88" s="1">
        <f>IF(Table14[[#This Row],[I_0]] &lt; INDEX(Table28[Filtro de ruido],1), 1, Table14[[#This Row],[I_10]] / Table14[[#This Row],[I_0]])</f>
        <v>1</v>
      </c>
      <c r="V88" s="1">
        <f>IF(Table14[[#This Row],[I_0]] &lt; INDEX(Table28[Filtro de ruido],1), 1, Table14[[#This Row],[I_20]] / Table14[[#This Row],[I_0]])</f>
        <v>1</v>
      </c>
      <c r="W88" s="1">
        <f>IF(Table14[[#This Row],[I_0]] &lt; INDEX(Table28[Filtro de ruido],1), 1, Table14[[#This Row],[I_30]] / Table14[[#This Row],[I_0]])</f>
        <v>1</v>
      </c>
      <c r="X88" s="1">
        <f>IF(Table14[[#This Row],[I_0]] &lt; INDEX(Table28[Filtro de ruido],1), 1, Table14[[#This Row],[I_40]] / Table14[[#This Row],[I_0]])</f>
        <v>1</v>
      </c>
      <c r="Y88" s="19">
        <f>IF(Table14[[#This Row],[I_0]] &lt; INDEX(Table28[Filtro de ruido],1), 1, Table14[[#This Row],[I_50]] / Table14[[#This Row],[I_0]])</f>
        <v>1</v>
      </c>
      <c r="AA88" s="1"/>
    </row>
    <row r="89" spans="1:27" x14ac:dyDescent="0.3">
      <c r="A89" s="18">
        <v>156.56</v>
      </c>
      <c r="B89" s="1">
        <v>0</v>
      </c>
      <c r="C89" s="1">
        <v>156.56</v>
      </c>
      <c r="D89" s="1">
        <v>0</v>
      </c>
      <c r="E89" s="1">
        <v>156.56</v>
      </c>
      <c r="F89" s="1">
        <v>0</v>
      </c>
      <c r="G89" s="1">
        <v>156.56</v>
      </c>
      <c r="H89" s="1">
        <v>0</v>
      </c>
      <c r="I89" s="1">
        <v>156.56</v>
      </c>
      <c r="J89" s="1">
        <v>0</v>
      </c>
      <c r="K89" s="1">
        <v>156.56</v>
      </c>
      <c r="L89" s="1">
        <v>0</v>
      </c>
      <c r="M89" s="1">
        <v>156.56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156.56</v>
      </c>
      <c r="U89" s="1">
        <f>IF(Table14[[#This Row],[I_0]] &lt; INDEX(Table28[Filtro de ruido],1), 1, Table14[[#This Row],[I_10]] / Table14[[#This Row],[I_0]])</f>
        <v>1</v>
      </c>
      <c r="V89" s="1">
        <f>IF(Table14[[#This Row],[I_0]] &lt; INDEX(Table28[Filtro de ruido],1), 1, Table14[[#This Row],[I_20]] / Table14[[#This Row],[I_0]])</f>
        <v>1</v>
      </c>
      <c r="W89" s="1">
        <f>IF(Table14[[#This Row],[I_0]] &lt; INDEX(Table28[Filtro de ruido],1), 1, Table14[[#This Row],[I_30]] / Table14[[#This Row],[I_0]])</f>
        <v>1</v>
      </c>
      <c r="X89" s="1">
        <f>IF(Table14[[#This Row],[I_0]] &lt; INDEX(Table28[Filtro de ruido],1), 1, Table14[[#This Row],[I_40]] / Table14[[#This Row],[I_0]])</f>
        <v>1</v>
      </c>
      <c r="Y89" s="19">
        <f>IF(Table14[[#This Row],[I_0]] &lt; INDEX(Table28[Filtro de ruido],1), 1, Table14[[#This Row],[I_50]] / Table14[[#This Row],[I_0]])</f>
        <v>1</v>
      </c>
      <c r="AA89" s="1"/>
    </row>
    <row r="90" spans="1:27" x14ac:dyDescent="0.3">
      <c r="A90" s="18">
        <v>157.56</v>
      </c>
      <c r="B90" s="1">
        <v>0</v>
      </c>
      <c r="C90" s="1">
        <v>157.56</v>
      </c>
      <c r="D90" s="1">
        <v>0</v>
      </c>
      <c r="E90" s="1">
        <v>157.56</v>
      </c>
      <c r="F90" s="1">
        <v>0</v>
      </c>
      <c r="G90" s="1">
        <v>157.56</v>
      </c>
      <c r="H90" s="1">
        <v>0</v>
      </c>
      <c r="I90" s="1">
        <v>157.56</v>
      </c>
      <c r="J90" s="1">
        <v>0</v>
      </c>
      <c r="K90" s="1">
        <v>157.56</v>
      </c>
      <c r="L90" s="1">
        <v>0</v>
      </c>
      <c r="M90" s="1">
        <v>157.56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157.56</v>
      </c>
      <c r="U90" s="1">
        <f>IF(Table14[[#This Row],[I_0]] &lt; INDEX(Table28[Filtro de ruido],1), 1, Table14[[#This Row],[I_10]] / Table14[[#This Row],[I_0]])</f>
        <v>1</v>
      </c>
      <c r="V90" s="1">
        <f>IF(Table14[[#This Row],[I_0]] &lt; INDEX(Table28[Filtro de ruido],1), 1, Table14[[#This Row],[I_20]] / Table14[[#This Row],[I_0]])</f>
        <v>1</v>
      </c>
      <c r="W90" s="1">
        <f>IF(Table14[[#This Row],[I_0]] &lt; INDEX(Table28[Filtro de ruido],1), 1, Table14[[#This Row],[I_30]] / Table14[[#This Row],[I_0]])</f>
        <v>1</v>
      </c>
      <c r="X90" s="1">
        <f>IF(Table14[[#This Row],[I_0]] &lt; INDEX(Table28[Filtro de ruido],1), 1, Table14[[#This Row],[I_40]] / Table14[[#This Row],[I_0]])</f>
        <v>1</v>
      </c>
      <c r="Y90" s="19">
        <f>IF(Table14[[#This Row],[I_0]] &lt; INDEX(Table28[Filtro de ruido],1), 1, Table14[[#This Row],[I_50]] / Table14[[#This Row],[I_0]])</f>
        <v>1</v>
      </c>
      <c r="AA90" s="1"/>
    </row>
    <row r="91" spans="1:27" x14ac:dyDescent="0.3">
      <c r="A91" s="18">
        <v>158.55000000000001</v>
      </c>
      <c r="B91" s="1">
        <v>0</v>
      </c>
      <c r="C91" s="1">
        <v>158.55000000000001</v>
      </c>
      <c r="D91" s="1">
        <v>0</v>
      </c>
      <c r="E91" s="1">
        <v>158.55000000000001</v>
      </c>
      <c r="F91" s="1">
        <v>0</v>
      </c>
      <c r="G91" s="1">
        <v>158.55000000000001</v>
      </c>
      <c r="H91" s="1">
        <v>0</v>
      </c>
      <c r="I91" s="1">
        <v>158.55000000000001</v>
      </c>
      <c r="J91" s="1">
        <v>0</v>
      </c>
      <c r="K91" s="1">
        <v>158.55000000000001</v>
      </c>
      <c r="L91" s="1">
        <v>0</v>
      </c>
      <c r="M91" s="1">
        <v>158.55000000000001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158.55000000000001</v>
      </c>
      <c r="U91" s="1">
        <f>IF(Table14[[#This Row],[I_0]] &lt; INDEX(Table28[Filtro de ruido],1), 1, Table14[[#This Row],[I_10]] / Table14[[#This Row],[I_0]])</f>
        <v>1</v>
      </c>
      <c r="V91" s="1">
        <f>IF(Table14[[#This Row],[I_0]] &lt; INDEX(Table28[Filtro de ruido],1), 1, Table14[[#This Row],[I_20]] / Table14[[#This Row],[I_0]])</f>
        <v>1</v>
      </c>
      <c r="W91" s="1">
        <f>IF(Table14[[#This Row],[I_0]] &lt; INDEX(Table28[Filtro de ruido],1), 1, Table14[[#This Row],[I_30]] / Table14[[#This Row],[I_0]])</f>
        <v>1</v>
      </c>
      <c r="X91" s="1">
        <f>IF(Table14[[#This Row],[I_0]] &lt; INDEX(Table28[Filtro de ruido],1), 1, Table14[[#This Row],[I_40]] / Table14[[#This Row],[I_0]])</f>
        <v>1</v>
      </c>
      <c r="Y91" s="19">
        <f>IF(Table14[[#This Row],[I_0]] &lt; INDEX(Table28[Filtro de ruido],1), 1, Table14[[#This Row],[I_50]] / Table14[[#This Row],[I_0]])</f>
        <v>1</v>
      </c>
      <c r="AA91" s="1"/>
    </row>
    <row r="92" spans="1:27" x14ac:dyDescent="0.3">
      <c r="A92" s="18">
        <v>159.54</v>
      </c>
      <c r="B92" s="1">
        <v>0</v>
      </c>
      <c r="C92" s="1">
        <v>159.54</v>
      </c>
      <c r="D92" s="1">
        <v>0</v>
      </c>
      <c r="E92" s="1">
        <v>159.54</v>
      </c>
      <c r="F92" s="1">
        <v>0</v>
      </c>
      <c r="G92" s="1">
        <v>159.54</v>
      </c>
      <c r="H92" s="1">
        <v>0</v>
      </c>
      <c r="I92" s="1">
        <v>159.54</v>
      </c>
      <c r="J92" s="1">
        <v>0</v>
      </c>
      <c r="K92" s="1">
        <v>159.54</v>
      </c>
      <c r="L92" s="1">
        <v>0</v>
      </c>
      <c r="M92" s="1">
        <v>159.54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159.54</v>
      </c>
      <c r="U92" s="1">
        <f>IF(Table14[[#This Row],[I_0]] &lt; INDEX(Table28[Filtro de ruido],1), 1, Table14[[#This Row],[I_10]] / Table14[[#This Row],[I_0]])</f>
        <v>1</v>
      </c>
      <c r="V92" s="1">
        <f>IF(Table14[[#This Row],[I_0]] &lt; INDEX(Table28[Filtro de ruido],1), 1, Table14[[#This Row],[I_20]] / Table14[[#This Row],[I_0]])</f>
        <v>1</v>
      </c>
      <c r="W92" s="1">
        <f>IF(Table14[[#This Row],[I_0]] &lt; INDEX(Table28[Filtro de ruido],1), 1, Table14[[#This Row],[I_30]] / Table14[[#This Row],[I_0]])</f>
        <v>1</v>
      </c>
      <c r="X92" s="1">
        <f>IF(Table14[[#This Row],[I_0]] &lt; INDEX(Table28[Filtro de ruido],1), 1, Table14[[#This Row],[I_40]] / Table14[[#This Row],[I_0]])</f>
        <v>1</v>
      </c>
      <c r="Y92" s="19">
        <f>IF(Table14[[#This Row],[I_0]] &lt; INDEX(Table28[Filtro de ruido],1), 1, Table14[[#This Row],[I_50]] / Table14[[#This Row],[I_0]])</f>
        <v>1</v>
      </c>
      <c r="AA92" s="1"/>
    </row>
    <row r="93" spans="1:27" x14ac:dyDescent="0.3">
      <c r="A93" s="18">
        <v>160.53</v>
      </c>
      <c r="B93" s="1">
        <v>0</v>
      </c>
      <c r="C93" s="1">
        <v>160.53</v>
      </c>
      <c r="D93" s="1">
        <v>0</v>
      </c>
      <c r="E93" s="1">
        <v>160.53</v>
      </c>
      <c r="F93" s="1">
        <v>0</v>
      </c>
      <c r="G93" s="1">
        <v>160.53</v>
      </c>
      <c r="H93" s="1">
        <v>0</v>
      </c>
      <c r="I93" s="1">
        <v>160.53</v>
      </c>
      <c r="J93" s="1">
        <v>0</v>
      </c>
      <c r="K93" s="1">
        <v>160.53</v>
      </c>
      <c r="L93" s="1">
        <v>0</v>
      </c>
      <c r="M93" s="1">
        <v>160.53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160.53</v>
      </c>
      <c r="U93" s="1">
        <f>IF(Table14[[#This Row],[I_0]] &lt; INDEX(Table28[Filtro de ruido],1), 1, Table14[[#This Row],[I_10]] / Table14[[#This Row],[I_0]])</f>
        <v>1</v>
      </c>
      <c r="V93" s="1">
        <f>IF(Table14[[#This Row],[I_0]] &lt; INDEX(Table28[Filtro de ruido],1), 1, Table14[[#This Row],[I_20]] / Table14[[#This Row],[I_0]])</f>
        <v>1</v>
      </c>
      <c r="W93" s="1">
        <f>IF(Table14[[#This Row],[I_0]] &lt; INDEX(Table28[Filtro de ruido],1), 1, Table14[[#This Row],[I_30]] / Table14[[#This Row],[I_0]])</f>
        <v>1</v>
      </c>
      <c r="X93" s="1">
        <f>IF(Table14[[#This Row],[I_0]] &lt; INDEX(Table28[Filtro de ruido],1), 1, Table14[[#This Row],[I_40]] / Table14[[#This Row],[I_0]])</f>
        <v>1</v>
      </c>
      <c r="Y93" s="19">
        <f>IF(Table14[[#This Row],[I_0]] &lt; INDEX(Table28[Filtro de ruido],1), 1, Table14[[#This Row],[I_50]] / Table14[[#This Row],[I_0]])</f>
        <v>1</v>
      </c>
      <c r="AA93" s="1"/>
    </row>
    <row r="94" spans="1:27" x14ac:dyDescent="0.3">
      <c r="A94" s="18">
        <v>161.52000000000001</v>
      </c>
      <c r="B94" s="1">
        <v>0</v>
      </c>
      <c r="C94" s="1">
        <v>161.52000000000001</v>
      </c>
      <c r="D94" s="1">
        <v>0</v>
      </c>
      <c r="E94" s="1">
        <v>161.52000000000001</v>
      </c>
      <c r="F94" s="1">
        <v>0</v>
      </c>
      <c r="G94" s="1">
        <v>161.52000000000001</v>
      </c>
      <c r="H94" s="1">
        <v>0</v>
      </c>
      <c r="I94" s="1">
        <v>161.52000000000001</v>
      </c>
      <c r="J94" s="1">
        <v>0</v>
      </c>
      <c r="K94" s="1">
        <v>161.52000000000001</v>
      </c>
      <c r="L94" s="1">
        <v>0</v>
      </c>
      <c r="M94" s="1">
        <v>161.52000000000001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161.52000000000001</v>
      </c>
      <c r="U94" s="1">
        <f>IF(Table14[[#This Row],[I_0]] &lt; INDEX(Table28[Filtro de ruido],1), 1, Table14[[#This Row],[I_10]] / Table14[[#This Row],[I_0]])</f>
        <v>1</v>
      </c>
      <c r="V94" s="1">
        <f>IF(Table14[[#This Row],[I_0]] &lt; INDEX(Table28[Filtro de ruido],1), 1, Table14[[#This Row],[I_20]] / Table14[[#This Row],[I_0]])</f>
        <v>1</v>
      </c>
      <c r="W94" s="1">
        <f>IF(Table14[[#This Row],[I_0]] &lt; INDEX(Table28[Filtro de ruido],1), 1, Table14[[#This Row],[I_30]] / Table14[[#This Row],[I_0]])</f>
        <v>1</v>
      </c>
      <c r="X94" s="1">
        <f>IF(Table14[[#This Row],[I_0]] &lt; INDEX(Table28[Filtro de ruido],1), 1, Table14[[#This Row],[I_40]] / Table14[[#This Row],[I_0]])</f>
        <v>1</v>
      </c>
      <c r="Y94" s="19">
        <f>IF(Table14[[#This Row],[I_0]] &lt; INDEX(Table28[Filtro de ruido],1), 1, Table14[[#This Row],[I_50]] / Table14[[#This Row],[I_0]])</f>
        <v>1</v>
      </c>
      <c r="AA94" s="1"/>
    </row>
    <row r="95" spans="1:27" x14ac:dyDescent="0.3">
      <c r="A95" s="18">
        <v>162.52000000000001</v>
      </c>
      <c r="B95" s="1">
        <v>0</v>
      </c>
      <c r="C95" s="1">
        <v>162.52000000000001</v>
      </c>
      <c r="D95" s="1">
        <v>0</v>
      </c>
      <c r="E95" s="1">
        <v>162.52000000000001</v>
      </c>
      <c r="F95" s="1">
        <v>0</v>
      </c>
      <c r="G95" s="1">
        <v>162.52000000000001</v>
      </c>
      <c r="H95" s="1">
        <v>0</v>
      </c>
      <c r="I95" s="1">
        <v>162.52000000000001</v>
      </c>
      <c r="J95" s="1">
        <v>0</v>
      </c>
      <c r="K95" s="1">
        <v>162.52000000000001</v>
      </c>
      <c r="L95" s="1">
        <v>0</v>
      </c>
      <c r="M95" s="1">
        <v>162.52000000000001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162.52000000000001</v>
      </c>
      <c r="U95" s="1">
        <f>IF(Table14[[#This Row],[I_0]] &lt; INDEX(Table28[Filtro de ruido],1), 1, Table14[[#This Row],[I_10]] / Table14[[#This Row],[I_0]])</f>
        <v>1</v>
      </c>
      <c r="V95" s="1">
        <f>IF(Table14[[#This Row],[I_0]] &lt; INDEX(Table28[Filtro de ruido],1), 1, Table14[[#This Row],[I_20]] / Table14[[#This Row],[I_0]])</f>
        <v>1</v>
      </c>
      <c r="W95" s="1">
        <f>IF(Table14[[#This Row],[I_0]] &lt; INDEX(Table28[Filtro de ruido],1), 1, Table14[[#This Row],[I_30]] / Table14[[#This Row],[I_0]])</f>
        <v>1</v>
      </c>
      <c r="X95" s="1">
        <f>IF(Table14[[#This Row],[I_0]] &lt; INDEX(Table28[Filtro de ruido],1), 1, Table14[[#This Row],[I_40]] / Table14[[#This Row],[I_0]])</f>
        <v>1</v>
      </c>
      <c r="Y95" s="19">
        <f>IF(Table14[[#This Row],[I_0]] &lt; INDEX(Table28[Filtro de ruido],1), 1, Table14[[#This Row],[I_50]] / Table14[[#This Row],[I_0]])</f>
        <v>1</v>
      </c>
      <c r="AA95" s="1"/>
    </row>
    <row r="96" spans="1:27" x14ac:dyDescent="0.3">
      <c r="A96" s="18">
        <v>163.51</v>
      </c>
      <c r="B96" s="1">
        <v>0</v>
      </c>
      <c r="C96" s="1">
        <v>163.51</v>
      </c>
      <c r="D96" s="1">
        <v>0</v>
      </c>
      <c r="E96" s="1">
        <v>163.51</v>
      </c>
      <c r="F96" s="1">
        <v>0</v>
      </c>
      <c r="G96" s="1">
        <v>163.51</v>
      </c>
      <c r="H96" s="1">
        <v>0</v>
      </c>
      <c r="I96" s="1">
        <v>163.51</v>
      </c>
      <c r="J96" s="1">
        <v>0</v>
      </c>
      <c r="K96" s="1">
        <v>163.51</v>
      </c>
      <c r="L96" s="1">
        <v>0</v>
      </c>
      <c r="M96" s="1">
        <v>163.51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163.51</v>
      </c>
      <c r="U96" s="1">
        <f>IF(Table14[[#This Row],[I_0]] &lt; INDEX(Table28[Filtro de ruido],1), 1, Table14[[#This Row],[I_10]] / Table14[[#This Row],[I_0]])</f>
        <v>1</v>
      </c>
      <c r="V96" s="1">
        <f>IF(Table14[[#This Row],[I_0]] &lt; INDEX(Table28[Filtro de ruido],1), 1, Table14[[#This Row],[I_20]] / Table14[[#This Row],[I_0]])</f>
        <v>1</v>
      </c>
      <c r="W96" s="1">
        <f>IF(Table14[[#This Row],[I_0]] &lt; INDEX(Table28[Filtro de ruido],1), 1, Table14[[#This Row],[I_30]] / Table14[[#This Row],[I_0]])</f>
        <v>1</v>
      </c>
      <c r="X96" s="1">
        <f>IF(Table14[[#This Row],[I_0]] &lt; INDEX(Table28[Filtro de ruido],1), 1, Table14[[#This Row],[I_40]] / Table14[[#This Row],[I_0]])</f>
        <v>1</v>
      </c>
      <c r="Y96" s="19">
        <f>IF(Table14[[#This Row],[I_0]] &lt; INDEX(Table28[Filtro de ruido],1), 1, Table14[[#This Row],[I_50]] / Table14[[#This Row],[I_0]])</f>
        <v>1</v>
      </c>
      <c r="AA96" s="1"/>
    </row>
    <row r="97" spans="1:27" x14ac:dyDescent="0.3">
      <c r="A97" s="18">
        <v>164.5</v>
      </c>
      <c r="B97" s="1">
        <v>0</v>
      </c>
      <c r="C97" s="1">
        <v>164.5</v>
      </c>
      <c r="D97" s="1">
        <v>0</v>
      </c>
      <c r="E97" s="1">
        <v>164.5</v>
      </c>
      <c r="F97" s="1">
        <v>0</v>
      </c>
      <c r="G97" s="1">
        <v>164.5</v>
      </c>
      <c r="H97" s="1">
        <v>0</v>
      </c>
      <c r="I97" s="1">
        <v>164.5</v>
      </c>
      <c r="J97" s="1">
        <v>0</v>
      </c>
      <c r="K97" s="1">
        <v>164.5</v>
      </c>
      <c r="L97" s="1">
        <v>0</v>
      </c>
      <c r="M97" s="1">
        <v>164.5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164.5</v>
      </c>
      <c r="U97" s="1">
        <f>IF(Table14[[#This Row],[I_0]] &lt; INDEX(Table28[Filtro de ruido],1), 1, Table14[[#This Row],[I_10]] / Table14[[#This Row],[I_0]])</f>
        <v>1</v>
      </c>
      <c r="V97" s="1">
        <f>IF(Table14[[#This Row],[I_0]] &lt; INDEX(Table28[Filtro de ruido],1), 1, Table14[[#This Row],[I_20]] / Table14[[#This Row],[I_0]])</f>
        <v>1</v>
      </c>
      <c r="W97" s="1">
        <f>IF(Table14[[#This Row],[I_0]] &lt; INDEX(Table28[Filtro de ruido],1), 1, Table14[[#This Row],[I_30]] / Table14[[#This Row],[I_0]])</f>
        <v>1</v>
      </c>
      <c r="X97" s="1">
        <f>IF(Table14[[#This Row],[I_0]] &lt; INDEX(Table28[Filtro de ruido],1), 1, Table14[[#This Row],[I_40]] / Table14[[#This Row],[I_0]])</f>
        <v>1</v>
      </c>
      <c r="Y97" s="19">
        <f>IF(Table14[[#This Row],[I_0]] &lt; INDEX(Table28[Filtro de ruido],1), 1, Table14[[#This Row],[I_50]] / Table14[[#This Row],[I_0]])</f>
        <v>1</v>
      </c>
      <c r="AA97" s="1"/>
    </row>
    <row r="98" spans="1:27" x14ac:dyDescent="0.3">
      <c r="A98" s="18">
        <v>165.49</v>
      </c>
      <c r="B98" s="1">
        <v>0</v>
      </c>
      <c r="C98" s="1">
        <v>165.49</v>
      </c>
      <c r="D98" s="1">
        <v>0</v>
      </c>
      <c r="E98" s="1">
        <v>165.49</v>
      </c>
      <c r="F98" s="1">
        <v>0</v>
      </c>
      <c r="G98" s="1">
        <v>165.49</v>
      </c>
      <c r="H98" s="1">
        <v>0</v>
      </c>
      <c r="I98" s="1">
        <v>165.49</v>
      </c>
      <c r="J98" s="1">
        <v>0</v>
      </c>
      <c r="K98" s="1">
        <v>165.49</v>
      </c>
      <c r="L98" s="1">
        <v>0</v>
      </c>
      <c r="M98" s="1">
        <v>165.49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165.49</v>
      </c>
      <c r="U98" s="1">
        <f>IF(Table14[[#This Row],[I_0]] &lt; INDEX(Table28[Filtro de ruido],1), 1, Table14[[#This Row],[I_10]] / Table14[[#This Row],[I_0]])</f>
        <v>1</v>
      </c>
      <c r="V98" s="1">
        <f>IF(Table14[[#This Row],[I_0]] &lt; INDEX(Table28[Filtro de ruido],1), 1, Table14[[#This Row],[I_20]] / Table14[[#This Row],[I_0]])</f>
        <v>1</v>
      </c>
      <c r="W98" s="1">
        <f>IF(Table14[[#This Row],[I_0]] &lt; INDEX(Table28[Filtro de ruido],1), 1, Table14[[#This Row],[I_30]] / Table14[[#This Row],[I_0]])</f>
        <v>1</v>
      </c>
      <c r="X98" s="1">
        <f>IF(Table14[[#This Row],[I_0]] &lt; INDEX(Table28[Filtro de ruido],1), 1, Table14[[#This Row],[I_40]] / Table14[[#This Row],[I_0]])</f>
        <v>1</v>
      </c>
      <c r="Y98" s="19">
        <f>IF(Table14[[#This Row],[I_0]] &lt; INDEX(Table28[Filtro de ruido],1), 1, Table14[[#This Row],[I_50]] / Table14[[#This Row],[I_0]])</f>
        <v>1</v>
      </c>
      <c r="AA98" s="1"/>
    </row>
    <row r="99" spans="1:27" x14ac:dyDescent="0.3">
      <c r="A99" s="18">
        <v>166.48</v>
      </c>
      <c r="B99" s="1">
        <v>0</v>
      </c>
      <c r="C99" s="1">
        <v>166.48</v>
      </c>
      <c r="D99" s="1">
        <v>0</v>
      </c>
      <c r="E99" s="1">
        <v>166.48</v>
      </c>
      <c r="F99" s="1">
        <v>0</v>
      </c>
      <c r="G99" s="1">
        <v>166.48</v>
      </c>
      <c r="H99" s="1">
        <v>0</v>
      </c>
      <c r="I99" s="1">
        <v>166.48</v>
      </c>
      <c r="J99" s="1">
        <v>0</v>
      </c>
      <c r="K99" s="1">
        <v>166.48</v>
      </c>
      <c r="L99" s="1">
        <v>0</v>
      </c>
      <c r="M99" s="1">
        <v>166.48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166.48</v>
      </c>
      <c r="U99" s="1">
        <f>IF(Table14[[#This Row],[I_0]] &lt; INDEX(Table28[Filtro de ruido],1), 1, Table14[[#This Row],[I_10]] / Table14[[#This Row],[I_0]])</f>
        <v>1</v>
      </c>
      <c r="V99" s="1">
        <f>IF(Table14[[#This Row],[I_0]] &lt; INDEX(Table28[Filtro de ruido],1), 1, Table14[[#This Row],[I_20]] / Table14[[#This Row],[I_0]])</f>
        <v>1</v>
      </c>
      <c r="W99" s="1">
        <f>IF(Table14[[#This Row],[I_0]] &lt; INDEX(Table28[Filtro de ruido],1), 1, Table14[[#This Row],[I_30]] / Table14[[#This Row],[I_0]])</f>
        <v>1</v>
      </c>
      <c r="X99" s="1">
        <f>IF(Table14[[#This Row],[I_0]] &lt; INDEX(Table28[Filtro de ruido],1), 1, Table14[[#This Row],[I_40]] / Table14[[#This Row],[I_0]])</f>
        <v>1</v>
      </c>
      <c r="Y99" s="19">
        <f>IF(Table14[[#This Row],[I_0]] &lt; INDEX(Table28[Filtro de ruido],1), 1, Table14[[#This Row],[I_50]] / Table14[[#This Row],[I_0]])</f>
        <v>1</v>
      </c>
      <c r="AA99" s="1"/>
    </row>
    <row r="100" spans="1:27" x14ac:dyDescent="0.3">
      <c r="A100" s="18">
        <v>167.47</v>
      </c>
      <c r="B100" s="1">
        <v>0</v>
      </c>
      <c r="C100" s="1">
        <v>167.47</v>
      </c>
      <c r="D100" s="1">
        <v>0</v>
      </c>
      <c r="E100" s="1">
        <v>167.47</v>
      </c>
      <c r="F100" s="1">
        <v>0</v>
      </c>
      <c r="G100" s="1">
        <v>167.47</v>
      </c>
      <c r="H100" s="1">
        <v>0</v>
      </c>
      <c r="I100" s="1">
        <v>167.47</v>
      </c>
      <c r="J100" s="1">
        <v>0</v>
      </c>
      <c r="K100" s="1">
        <v>167.47</v>
      </c>
      <c r="L100" s="1">
        <v>0</v>
      </c>
      <c r="M100" s="1">
        <v>167.47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167.47</v>
      </c>
      <c r="U100" s="1">
        <f>IF(Table14[[#This Row],[I_0]] &lt; INDEX(Table28[Filtro de ruido],1), 1, Table14[[#This Row],[I_10]] / Table14[[#This Row],[I_0]])</f>
        <v>1</v>
      </c>
      <c r="V100" s="1">
        <f>IF(Table14[[#This Row],[I_0]] &lt; INDEX(Table28[Filtro de ruido],1), 1, Table14[[#This Row],[I_20]] / Table14[[#This Row],[I_0]])</f>
        <v>1</v>
      </c>
      <c r="W100" s="1">
        <f>IF(Table14[[#This Row],[I_0]] &lt; INDEX(Table28[Filtro de ruido],1), 1, Table14[[#This Row],[I_30]] / Table14[[#This Row],[I_0]])</f>
        <v>1</v>
      </c>
      <c r="X100" s="1">
        <f>IF(Table14[[#This Row],[I_0]] &lt; INDEX(Table28[Filtro de ruido],1), 1, Table14[[#This Row],[I_40]] / Table14[[#This Row],[I_0]])</f>
        <v>1</v>
      </c>
      <c r="Y100" s="19">
        <f>IF(Table14[[#This Row],[I_0]] &lt; INDEX(Table28[Filtro de ruido],1), 1, Table14[[#This Row],[I_50]] / Table14[[#This Row],[I_0]])</f>
        <v>1</v>
      </c>
      <c r="AA100" s="1"/>
    </row>
    <row r="101" spans="1:27" x14ac:dyDescent="0.3">
      <c r="A101" s="18">
        <v>168.47</v>
      </c>
      <c r="B101" s="1">
        <v>0</v>
      </c>
      <c r="C101" s="1">
        <v>168.47</v>
      </c>
      <c r="D101" s="1">
        <v>0</v>
      </c>
      <c r="E101" s="1">
        <v>168.47</v>
      </c>
      <c r="F101" s="1">
        <v>0</v>
      </c>
      <c r="G101" s="1">
        <v>168.47</v>
      </c>
      <c r="H101" s="1">
        <v>0</v>
      </c>
      <c r="I101" s="1">
        <v>168.47</v>
      </c>
      <c r="J101" s="1">
        <v>0</v>
      </c>
      <c r="K101" s="1">
        <v>168.47</v>
      </c>
      <c r="L101" s="1">
        <v>0</v>
      </c>
      <c r="M101" s="1">
        <v>168.47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168.47</v>
      </c>
      <c r="U101" s="1">
        <f>IF(Table14[[#This Row],[I_0]] &lt; INDEX(Table28[Filtro de ruido],1), 1, Table14[[#This Row],[I_10]] / Table14[[#This Row],[I_0]])</f>
        <v>1</v>
      </c>
      <c r="V101" s="1">
        <f>IF(Table14[[#This Row],[I_0]] &lt; INDEX(Table28[Filtro de ruido],1), 1, Table14[[#This Row],[I_20]] / Table14[[#This Row],[I_0]])</f>
        <v>1</v>
      </c>
      <c r="W101" s="1">
        <f>IF(Table14[[#This Row],[I_0]] &lt; INDEX(Table28[Filtro de ruido],1), 1, Table14[[#This Row],[I_30]] / Table14[[#This Row],[I_0]])</f>
        <v>1</v>
      </c>
      <c r="X101" s="1">
        <f>IF(Table14[[#This Row],[I_0]] &lt; INDEX(Table28[Filtro de ruido],1), 1, Table14[[#This Row],[I_40]] / Table14[[#This Row],[I_0]])</f>
        <v>1</v>
      </c>
      <c r="Y101" s="19">
        <f>IF(Table14[[#This Row],[I_0]] &lt; INDEX(Table28[Filtro de ruido],1), 1, Table14[[#This Row],[I_50]] / Table14[[#This Row],[I_0]])</f>
        <v>1</v>
      </c>
      <c r="AA101" s="1"/>
    </row>
    <row r="102" spans="1:27" x14ac:dyDescent="0.3">
      <c r="A102" s="18">
        <v>169.46</v>
      </c>
      <c r="B102" s="1">
        <v>0</v>
      </c>
      <c r="C102" s="1">
        <v>169.46</v>
      </c>
      <c r="D102" s="1">
        <v>0</v>
      </c>
      <c r="E102" s="1">
        <v>169.46</v>
      </c>
      <c r="F102" s="1">
        <v>0</v>
      </c>
      <c r="G102" s="1">
        <v>169.46</v>
      </c>
      <c r="H102" s="1">
        <v>0</v>
      </c>
      <c r="I102" s="1">
        <v>169.46</v>
      </c>
      <c r="J102" s="1">
        <v>0</v>
      </c>
      <c r="K102" s="1">
        <v>169.46</v>
      </c>
      <c r="L102" s="1">
        <v>0</v>
      </c>
      <c r="M102" s="1">
        <v>169.46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169.46</v>
      </c>
      <c r="U102" s="1">
        <f>IF(Table14[[#This Row],[I_0]] &lt; INDEX(Table28[Filtro de ruido],1), 1, Table14[[#This Row],[I_10]] / Table14[[#This Row],[I_0]])</f>
        <v>1</v>
      </c>
      <c r="V102" s="1">
        <f>IF(Table14[[#This Row],[I_0]] &lt; INDEX(Table28[Filtro de ruido],1), 1, Table14[[#This Row],[I_20]] / Table14[[#This Row],[I_0]])</f>
        <v>1</v>
      </c>
      <c r="W102" s="1">
        <f>IF(Table14[[#This Row],[I_0]] &lt; INDEX(Table28[Filtro de ruido],1), 1, Table14[[#This Row],[I_30]] / Table14[[#This Row],[I_0]])</f>
        <v>1</v>
      </c>
      <c r="X102" s="1">
        <f>IF(Table14[[#This Row],[I_0]] &lt; INDEX(Table28[Filtro de ruido],1), 1, Table14[[#This Row],[I_40]] / Table14[[#This Row],[I_0]])</f>
        <v>1</v>
      </c>
      <c r="Y102" s="19">
        <f>IF(Table14[[#This Row],[I_0]] &lt; INDEX(Table28[Filtro de ruido],1), 1, Table14[[#This Row],[I_50]] / Table14[[#This Row],[I_0]])</f>
        <v>1</v>
      </c>
      <c r="AA102" s="1"/>
    </row>
    <row r="103" spans="1:27" x14ac:dyDescent="0.3">
      <c r="A103" s="18">
        <v>170.45</v>
      </c>
      <c r="B103" s="1">
        <v>0</v>
      </c>
      <c r="C103" s="1">
        <v>170.45</v>
      </c>
      <c r="D103" s="1">
        <v>0</v>
      </c>
      <c r="E103" s="1">
        <v>170.45</v>
      </c>
      <c r="F103" s="1">
        <v>0</v>
      </c>
      <c r="G103" s="1">
        <v>170.45</v>
      </c>
      <c r="H103" s="1">
        <v>0</v>
      </c>
      <c r="I103" s="1">
        <v>170.45</v>
      </c>
      <c r="J103" s="1">
        <v>0</v>
      </c>
      <c r="K103" s="1">
        <v>170.45</v>
      </c>
      <c r="L103" s="1">
        <v>0</v>
      </c>
      <c r="M103" s="1">
        <v>170.45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170.45</v>
      </c>
      <c r="U103" s="1">
        <f>IF(Table14[[#This Row],[I_0]] &lt; INDEX(Table28[Filtro de ruido],1), 1, Table14[[#This Row],[I_10]] / Table14[[#This Row],[I_0]])</f>
        <v>1</v>
      </c>
      <c r="V103" s="1">
        <f>IF(Table14[[#This Row],[I_0]] &lt; INDEX(Table28[Filtro de ruido],1), 1, Table14[[#This Row],[I_20]] / Table14[[#This Row],[I_0]])</f>
        <v>1</v>
      </c>
      <c r="W103" s="1">
        <f>IF(Table14[[#This Row],[I_0]] &lt; INDEX(Table28[Filtro de ruido],1), 1, Table14[[#This Row],[I_30]] / Table14[[#This Row],[I_0]])</f>
        <v>1</v>
      </c>
      <c r="X103" s="1">
        <f>IF(Table14[[#This Row],[I_0]] &lt; INDEX(Table28[Filtro de ruido],1), 1, Table14[[#This Row],[I_40]] / Table14[[#This Row],[I_0]])</f>
        <v>1</v>
      </c>
      <c r="Y103" s="19">
        <f>IF(Table14[[#This Row],[I_0]] &lt; INDEX(Table28[Filtro de ruido],1), 1, Table14[[#This Row],[I_50]] / Table14[[#This Row],[I_0]])</f>
        <v>1</v>
      </c>
      <c r="AA103" s="1"/>
    </row>
    <row r="104" spans="1:27" x14ac:dyDescent="0.3">
      <c r="A104" s="18">
        <v>171.44</v>
      </c>
      <c r="B104" s="1">
        <v>0</v>
      </c>
      <c r="C104" s="1">
        <v>171.44</v>
      </c>
      <c r="D104" s="1">
        <v>0</v>
      </c>
      <c r="E104" s="1">
        <v>171.44</v>
      </c>
      <c r="F104" s="1">
        <v>0</v>
      </c>
      <c r="G104" s="1">
        <v>171.44</v>
      </c>
      <c r="H104" s="1">
        <v>0</v>
      </c>
      <c r="I104" s="1">
        <v>171.44</v>
      </c>
      <c r="J104" s="1">
        <v>0</v>
      </c>
      <c r="K104" s="1">
        <v>171.44</v>
      </c>
      <c r="L104" s="1">
        <v>0</v>
      </c>
      <c r="M104" s="1">
        <v>171.44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171.44</v>
      </c>
      <c r="U104" s="1">
        <f>IF(Table14[[#This Row],[I_0]] &lt; INDEX(Table28[Filtro de ruido],1), 1, Table14[[#This Row],[I_10]] / Table14[[#This Row],[I_0]])</f>
        <v>1</v>
      </c>
      <c r="V104" s="1">
        <f>IF(Table14[[#This Row],[I_0]] &lt; INDEX(Table28[Filtro de ruido],1), 1, Table14[[#This Row],[I_20]] / Table14[[#This Row],[I_0]])</f>
        <v>1</v>
      </c>
      <c r="W104" s="1">
        <f>IF(Table14[[#This Row],[I_0]] &lt; INDEX(Table28[Filtro de ruido],1), 1, Table14[[#This Row],[I_30]] / Table14[[#This Row],[I_0]])</f>
        <v>1</v>
      </c>
      <c r="X104" s="1">
        <f>IF(Table14[[#This Row],[I_0]] &lt; INDEX(Table28[Filtro de ruido],1), 1, Table14[[#This Row],[I_40]] / Table14[[#This Row],[I_0]])</f>
        <v>1</v>
      </c>
      <c r="Y104" s="19">
        <f>IF(Table14[[#This Row],[I_0]] &lt; INDEX(Table28[Filtro de ruido],1), 1, Table14[[#This Row],[I_50]] / Table14[[#This Row],[I_0]])</f>
        <v>1</v>
      </c>
      <c r="AA104" s="1"/>
    </row>
    <row r="105" spans="1:27" x14ac:dyDescent="0.3">
      <c r="A105" s="18">
        <v>172.43</v>
      </c>
      <c r="B105" s="1">
        <v>0</v>
      </c>
      <c r="C105" s="1">
        <v>172.43</v>
      </c>
      <c r="D105" s="1">
        <v>0</v>
      </c>
      <c r="E105" s="1">
        <v>172.43</v>
      </c>
      <c r="F105" s="1">
        <v>0</v>
      </c>
      <c r="G105" s="1">
        <v>172.43</v>
      </c>
      <c r="H105" s="1">
        <v>0</v>
      </c>
      <c r="I105" s="1">
        <v>172.43</v>
      </c>
      <c r="J105" s="1">
        <v>0</v>
      </c>
      <c r="K105" s="1">
        <v>172.43</v>
      </c>
      <c r="L105" s="1">
        <v>0</v>
      </c>
      <c r="M105" s="1">
        <v>172.43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172.43</v>
      </c>
      <c r="U105" s="1">
        <f>IF(Table14[[#This Row],[I_0]] &lt; INDEX(Table28[Filtro de ruido],1), 1, Table14[[#This Row],[I_10]] / Table14[[#This Row],[I_0]])</f>
        <v>1</v>
      </c>
      <c r="V105" s="1">
        <f>IF(Table14[[#This Row],[I_0]] &lt; INDEX(Table28[Filtro de ruido],1), 1, Table14[[#This Row],[I_20]] / Table14[[#This Row],[I_0]])</f>
        <v>1</v>
      </c>
      <c r="W105" s="1">
        <f>IF(Table14[[#This Row],[I_0]] &lt; INDEX(Table28[Filtro de ruido],1), 1, Table14[[#This Row],[I_30]] / Table14[[#This Row],[I_0]])</f>
        <v>1</v>
      </c>
      <c r="X105" s="1">
        <f>IF(Table14[[#This Row],[I_0]] &lt; INDEX(Table28[Filtro de ruido],1), 1, Table14[[#This Row],[I_40]] / Table14[[#This Row],[I_0]])</f>
        <v>1</v>
      </c>
      <c r="Y105" s="19">
        <f>IF(Table14[[#This Row],[I_0]] &lt; INDEX(Table28[Filtro de ruido],1), 1, Table14[[#This Row],[I_50]] / Table14[[#This Row],[I_0]])</f>
        <v>1</v>
      </c>
      <c r="AA105" s="1"/>
    </row>
    <row r="106" spans="1:27" x14ac:dyDescent="0.3">
      <c r="A106" s="18">
        <v>173.42</v>
      </c>
      <c r="B106" s="1">
        <v>0</v>
      </c>
      <c r="C106" s="1">
        <v>173.42</v>
      </c>
      <c r="D106" s="1">
        <v>0</v>
      </c>
      <c r="E106" s="1">
        <v>173.42</v>
      </c>
      <c r="F106" s="1">
        <v>0</v>
      </c>
      <c r="G106" s="1">
        <v>173.42</v>
      </c>
      <c r="H106" s="1">
        <v>0</v>
      </c>
      <c r="I106" s="1">
        <v>173.42</v>
      </c>
      <c r="J106" s="1">
        <v>0</v>
      </c>
      <c r="K106" s="1">
        <v>173.42</v>
      </c>
      <c r="L106" s="1">
        <v>0</v>
      </c>
      <c r="M106" s="1">
        <v>173.42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173.42</v>
      </c>
      <c r="U106" s="1">
        <f>IF(Table14[[#This Row],[I_0]] &lt; INDEX(Table28[Filtro de ruido],1), 1, Table14[[#This Row],[I_10]] / Table14[[#This Row],[I_0]])</f>
        <v>1</v>
      </c>
      <c r="V106" s="1">
        <f>IF(Table14[[#This Row],[I_0]] &lt; INDEX(Table28[Filtro de ruido],1), 1, Table14[[#This Row],[I_20]] / Table14[[#This Row],[I_0]])</f>
        <v>1</v>
      </c>
      <c r="W106" s="1">
        <f>IF(Table14[[#This Row],[I_0]] &lt; INDEX(Table28[Filtro de ruido],1), 1, Table14[[#This Row],[I_30]] / Table14[[#This Row],[I_0]])</f>
        <v>1</v>
      </c>
      <c r="X106" s="1">
        <f>IF(Table14[[#This Row],[I_0]] &lt; INDEX(Table28[Filtro de ruido],1), 1, Table14[[#This Row],[I_40]] / Table14[[#This Row],[I_0]])</f>
        <v>1</v>
      </c>
      <c r="Y106" s="19">
        <f>IF(Table14[[#This Row],[I_0]] &lt; INDEX(Table28[Filtro de ruido],1), 1, Table14[[#This Row],[I_50]] / Table14[[#This Row],[I_0]])</f>
        <v>1</v>
      </c>
      <c r="AA106" s="1"/>
    </row>
    <row r="107" spans="1:27" x14ac:dyDescent="0.3">
      <c r="A107" s="18">
        <v>174.42</v>
      </c>
      <c r="B107" s="1">
        <v>0</v>
      </c>
      <c r="C107" s="1">
        <v>174.42</v>
      </c>
      <c r="D107" s="1">
        <v>0</v>
      </c>
      <c r="E107" s="1">
        <v>174.42</v>
      </c>
      <c r="F107" s="1">
        <v>0</v>
      </c>
      <c r="G107" s="1">
        <v>174.42</v>
      </c>
      <c r="H107" s="1">
        <v>0</v>
      </c>
      <c r="I107" s="1">
        <v>174.42</v>
      </c>
      <c r="J107" s="1">
        <v>0</v>
      </c>
      <c r="K107" s="1">
        <v>174.42</v>
      </c>
      <c r="L107" s="1">
        <v>0</v>
      </c>
      <c r="M107" s="1">
        <v>174.42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174.42</v>
      </c>
      <c r="U107" s="1">
        <f>IF(Table14[[#This Row],[I_0]] &lt; INDEX(Table28[Filtro de ruido],1), 1, Table14[[#This Row],[I_10]] / Table14[[#This Row],[I_0]])</f>
        <v>1</v>
      </c>
      <c r="V107" s="1">
        <f>IF(Table14[[#This Row],[I_0]] &lt; INDEX(Table28[Filtro de ruido],1), 1, Table14[[#This Row],[I_20]] / Table14[[#This Row],[I_0]])</f>
        <v>1</v>
      </c>
      <c r="W107" s="1">
        <f>IF(Table14[[#This Row],[I_0]] &lt; INDEX(Table28[Filtro de ruido],1), 1, Table14[[#This Row],[I_30]] / Table14[[#This Row],[I_0]])</f>
        <v>1</v>
      </c>
      <c r="X107" s="1">
        <f>IF(Table14[[#This Row],[I_0]] &lt; INDEX(Table28[Filtro de ruido],1), 1, Table14[[#This Row],[I_40]] / Table14[[#This Row],[I_0]])</f>
        <v>1</v>
      </c>
      <c r="Y107" s="19">
        <f>IF(Table14[[#This Row],[I_0]] &lt; INDEX(Table28[Filtro de ruido],1), 1, Table14[[#This Row],[I_50]] / Table14[[#This Row],[I_0]])</f>
        <v>1</v>
      </c>
      <c r="AA107" s="1"/>
    </row>
    <row r="108" spans="1:27" x14ac:dyDescent="0.3">
      <c r="A108" s="18">
        <v>175.41</v>
      </c>
      <c r="B108" s="1">
        <v>0</v>
      </c>
      <c r="C108" s="1">
        <v>175.41</v>
      </c>
      <c r="D108" s="1">
        <v>0</v>
      </c>
      <c r="E108" s="1">
        <v>175.41</v>
      </c>
      <c r="F108" s="1">
        <v>0</v>
      </c>
      <c r="G108" s="1">
        <v>175.41</v>
      </c>
      <c r="H108" s="1">
        <v>0</v>
      </c>
      <c r="I108" s="1">
        <v>175.41</v>
      </c>
      <c r="J108" s="1">
        <v>0</v>
      </c>
      <c r="K108" s="1">
        <v>175.41</v>
      </c>
      <c r="L108" s="1">
        <v>0</v>
      </c>
      <c r="M108" s="1">
        <v>175.41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175.41</v>
      </c>
      <c r="U108" s="1">
        <f>IF(Table14[[#This Row],[I_0]] &lt; INDEX(Table28[Filtro de ruido],1), 1, Table14[[#This Row],[I_10]] / Table14[[#This Row],[I_0]])</f>
        <v>1</v>
      </c>
      <c r="V108" s="1">
        <f>IF(Table14[[#This Row],[I_0]] &lt; INDEX(Table28[Filtro de ruido],1), 1, Table14[[#This Row],[I_20]] / Table14[[#This Row],[I_0]])</f>
        <v>1</v>
      </c>
      <c r="W108" s="1">
        <f>IF(Table14[[#This Row],[I_0]] &lt; INDEX(Table28[Filtro de ruido],1), 1, Table14[[#This Row],[I_30]] / Table14[[#This Row],[I_0]])</f>
        <v>1</v>
      </c>
      <c r="X108" s="1">
        <f>IF(Table14[[#This Row],[I_0]] &lt; INDEX(Table28[Filtro de ruido],1), 1, Table14[[#This Row],[I_40]] / Table14[[#This Row],[I_0]])</f>
        <v>1</v>
      </c>
      <c r="Y108" s="19">
        <f>IF(Table14[[#This Row],[I_0]] &lt; INDEX(Table28[Filtro de ruido],1), 1, Table14[[#This Row],[I_50]] / Table14[[#This Row],[I_0]])</f>
        <v>1</v>
      </c>
      <c r="AA108" s="1"/>
    </row>
    <row r="109" spans="1:27" x14ac:dyDescent="0.3">
      <c r="A109" s="18">
        <v>176.4</v>
      </c>
      <c r="B109" s="1">
        <v>0</v>
      </c>
      <c r="C109" s="1">
        <v>176.4</v>
      </c>
      <c r="D109" s="1">
        <v>0</v>
      </c>
      <c r="E109" s="1">
        <v>176.4</v>
      </c>
      <c r="F109" s="1">
        <v>0</v>
      </c>
      <c r="G109" s="1">
        <v>176.4</v>
      </c>
      <c r="H109" s="1">
        <v>0</v>
      </c>
      <c r="I109" s="1">
        <v>176.4</v>
      </c>
      <c r="J109" s="1">
        <v>0</v>
      </c>
      <c r="K109" s="1">
        <v>176.4</v>
      </c>
      <c r="L109" s="1">
        <v>0</v>
      </c>
      <c r="M109" s="1">
        <v>176.4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176.4</v>
      </c>
      <c r="U109" s="1">
        <f>IF(Table14[[#This Row],[I_0]] &lt; INDEX(Table28[Filtro de ruido],1), 1, Table14[[#This Row],[I_10]] / Table14[[#This Row],[I_0]])</f>
        <v>1</v>
      </c>
      <c r="V109" s="1">
        <f>IF(Table14[[#This Row],[I_0]] &lt; INDEX(Table28[Filtro de ruido],1), 1, Table14[[#This Row],[I_20]] / Table14[[#This Row],[I_0]])</f>
        <v>1</v>
      </c>
      <c r="W109" s="1">
        <f>IF(Table14[[#This Row],[I_0]] &lt; INDEX(Table28[Filtro de ruido],1), 1, Table14[[#This Row],[I_30]] / Table14[[#This Row],[I_0]])</f>
        <v>1</v>
      </c>
      <c r="X109" s="1">
        <f>IF(Table14[[#This Row],[I_0]] &lt; INDEX(Table28[Filtro de ruido],1), 1, Table14[[#This Row],[I_40]] / Table14[[#This Row],[I_0]])</f>
        <v>1</v>
      </c>
      <c r="Y109" s="19">
        <f>IF(Table14[[#This Row],[I_0]] &lt; INDEX(Table28[Filtro de ruido],1), 1, Table14[[#This Row],[I_50]] / Table14[[#This Row],[I_0]])</f>
        <v>1</v>
      </c>
      <c r="AA109" s="1"/>
    </row>
    <row r="110" spans="1:27" x14ac:dyDescent="0.3">
      <c r="A110" s="18">
        <v>177.39</v>
      </c>
      <c r="B110" s="1">
        <v>0</v>
      </c>
      <c r="C110" s="1">
        <v>177.39</v>
      </c>
      <c r="D110" s="1">
        <v>0</v>
      </c>
      <c r="E110" s="1">
        <v>177.39</v>
      </c>
      <c r="F110" s="1">
        <v>0</v>
      </c>
      <c r="G110" s="1">
        <v>177.39</v>
      </c>
      <c r="H110" s="1">
        <v>0</v>
      </c>
      <c r="I110" s="1">
        <v>177.39</v>
      </c>
      <c r="J110" s="1">
        <v>0</v>
      </c>
      <c r="K110" s="1">
        <v>177.39</v>
      </c>
      <c r="L110" s="1">
        <v>0</v>
      </c>
      <c r="M110" s="1">
        <v>177.39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177.39</v>
      </c>
      <c r="U110" s="1">
        <f>IF(Table14[[#This Row],[I_0]] &lt; INDEX(Table28[Filtro de ruido],1), 1, Table14[[#This Row],[I_10]] / Table14[[#This Row],[I_0]])</f>
        <v>1</v>
      </c>
      <c r="V110" s="1">
        <f>IF(Table14[[#This Row],[I_0]] &lt; INDEX(Table28[Filtro de ruido],1), 1, Table14[[#This Row],[I_20]] / Table14[[#This Row],[I_0]])</f>
        <v>1</v>
      </c>
      <c r="W110" s="1">
        <f>IF(Table14[[#This Row],[I_0]] &lt; INDEX(Table28[Filtro de ruido],1), 1, Table14[[#This Row],[I_30]] / Table14[[#This Row],[I_0]])</f>
        <v>1</v>
      </c>
      <c r="X110" s="1">
        <f>IF(Table14[[#This Row],[I_0]] &lt; INDEX(Table28[Filtro de ruido],1), 1, Table14[[#This Row],[I_40]] / Table14[[#This Row],[I_0]])</f>
        <v>1</v>
      </c>
      <c r="Y110" s="19">
        <f>IF(Table14[[#This Row],[I_0]] &lt; INDEX(Table28[Filtro de ruido],1), 1, Table14[[#This Row],[I_50]] / Table14[[#This Row],[I_0]])</f>
        <v>1</v>
      </c>
      <c r="AA110" s="1"/>
    </row>
    <row r="111" spans="1:27" x14ac:dyDescent="0.3">
      <c r="A111" s="18">
        <v>178.38</v>
      </c>
      <c r="B111" s="1">
        <v>0</v>
      </c>
      <c r="C111" s="1">
        <v>178.38</v>
      </c>
      <c r="D111" s="1">
        <v>0</v>
      </c>
      <c r="E111" s="1">
        <v>178.38</v>
      </c>
      <c r="F111" s="1">
        <v>0</v>
      </c>
      <c r="G111" s="1">
        <v>178.38</v>
      </c>
      <c r="H111" s="1">
        <v>0</v>
      </c>
      <c r="I111" s="1">
        <v>178.38</v>
      </c>
      <c r="J111" s="1">
        <v>0</v>
      </c>
      <c r="K111" s="1">
        <v>178.38</v>
      </c>
      <c r="L111" s="1">
        <v>0</v>
      </c>
      <c r="M111" s="1">
        <v>178.38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178.38</v>
      </c>
      <c r="U111" s="1">
        <f>IF(Table14[[#This Row],[I_0]] &lt; INDEX(Table28[Filtro de ruido],1), 1, Table14[[#This Row],[I_10]] / Table14[[#This Row],[I_0]])</f>
        <v>1</v>
      </c>
      <c r="V111" s="1">
        <f>IF(Table14[[#This Row],[I_0]] &lt; INDEX(Table28[Filtro de ruido],1), 1, Table14[[#This Row],[I_20]] / Table14[[#This Row],[I_0]])</f>
        <v>1</v>
      </c>
      <c r="W111" s="1">
        <f>IF(Table14[[#This Row],[I_0]] &lt; INDEX(Table28[Filtro de ruido],1), 1, Table14[[#This Row],[I_30]] / Table14[[#This Row],[I_0]])</f>
        <v>1</v>
      </c>
      <c r="X111" s="1">
        <f>IF(Table14[[#This Row],[I_0]] &lt; INDEX(Table28[Filtro de ruido],1), 1, Table14[[#This Row],[I_40]] / Table14[[#This Row],[I_0]])</f>
        <v>1</v>
      </c>
      <c r="Y111" s="19">
        <f>IF(Table14[[#This Row],[I_0]] &lt; INDEX(Table28[Filtro de ruido],1), 1, Table14[[#This Row],[I_50]] / Table14[[#This Row],[I_0]])</f>
        <v>1</v>
      </c>
      <c r="AA111" s="1"/>
    </row>
    <row r="112" spans="1:27" x14ac:dyDescent="0.3">
      <c r="A112" s="18">
        <v>179.38</v>
      </c>
      <c r="B112" s="1">
        <v>0</v>
      </c>
      <c r="C112" s="1">
        <v>179.38</v>
      </c>
      <c r="D112" s="1">
        <v>0</v>
      </c>
      <c r="E112" s="1">
        <v>179.38</v>
      </c>
      <c r="F112" s="1">
        <v>0</v>
      </c>
      <c r="G112" s="1">
        <v>179.38</v>
      </c>
      <c r="H112" s="1">
        <v>0</v>
      </c>
      <c r="I112" s="1">
        <v>179.38</v>
      </c>
      <c r="J112" s="1">
        <v>0</v>
      </c>
      <c r="K112" s="1">
        <v>179.38</v>
      </c>
      <c r="L112" s="1">
        <v>0</v>
      </c>
      <c r="M112" s="1">
        <v>179.38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179.38</v>
      </c>
      <c r="U112" s="1">
        <f>IF(Table14[[#This Row],[I_0]] &lt; INDEX(Table28[Filtro de ruido],1), 1, Table14[[#This Row],[I_10]] / Table14[[#This Row],[I_0]])</f>
        <v>1</v>
      </c>
      <c r="V112" s="1">
        <f>IF(Table14[[#This Row],[I_0]] &lt; INDEX(Table28[Filtro de ruido],1), 1, Table14[[#This Row],[I_20]] / Table14[[#This Row],[I_0]])</f>
        <v>1</v>
      </c>
      <c r="W112" s="1">
        <f>IF(Table14[[#This Row],[I_0]] &lt; INDEX(Table28[Filtro de ruido],1), 1, Table14[[#This Row],[I_30]] / Table14[[#This Row],[I_0]])</f>
        <v>1</v>
      </c>
      <c r="X112" s="1">
        <f>IF(Table14[[#This Row],[I_0]] &lt; INDEX(Table28[Filtro de ruido],1), 1, Table14[[#This Row],[I_40]] / Table14[[#This Row],[I_0]])</f>
        <v>1</v>
      </c>
      <c r="Y112" s="19">
        <f>IF(Table14[[#This Row],[I_0]] &lt; INDEX(Table28[Filtro de ruido],1), 1, Table14[[#This Row],[I_50]] / Table14[[#This Row],[I_0]])</f>
        <v>1</v>
      </c>
      <c r="AA112" s="1"/>
    </row>
    <row r="113" spans="1:27" x14ac:dyDescent="0.3">
      <c r="A113" s="18">
        <v>180.37</v>
      </c>
      <c r="B113" s="1">
        <v>0</v>
      </c>
      <c r="C113" s="1">
        <v>180.37</v>
      </c>
      <c r="D113" s="1">
        <v>0</v>
      </c>
      <c r="E113" s="1">
        <v>180.37</v>
      </c>
      <c r="F113" s="1">
        <v>0</v>
      </c>
      <c r="G113" s="1">
        <v>180.37</v>
      </c>
      <c r="H113" s="1">
        <v>0</v>
      </c>
      <c r="I113" s="1">
        <v>180.37</v>
      </c>
      <c r="J113" s="1">
        <v>0</v>
      </c>
      <c r="K113" s="1">
        <v>180.37</v>
      </c>
      <c r="L113" s="1">
        <v>0</v>
      </c>
      <c r="M113" s="1">
        <v>180.37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180.37</v>
      </c>
      <c r="U113" s="1">
        <f>IF(Table14[[#This Row],[I_0]] &lt; INDEX(Table28[Filtro de ruido],1), 1, Table14[[#This Row],[I_10]] / Table14[[#This Row],[I_0]])</f>
        <v>1</v>
      </c>
      <c r="V113" s="1">
        <f>IF(Table14[[#This Row],[I_0]] &lt; INDEX(Table28[Filtro de ruido],1), 1, Table14[[#This Row],[I_20]] / Table14[[#This Row],[I_0]])</f>
        <v>1</v>
      </c>
      <c r="W113" s="1">
        <f>IF(Table14[[#This Row],[I_0]] &lt; INDEX(Table28[Filtro de ruido],1), 1, Table14[[#This Row],[I_30]] / Table14[[#This Row],[I_0]])</f>
        <v>1</v>
      </c>
      <c r="X113" s="1">
        <f>IF(Table14[[#This Row],[I_0]] &lt; INDEX(Table28[Filtro de ruido],1), 1, Table14[[#This Row],[I_40]] / Table14[[#This Row],[I_0]])</f>
        <v>1</v>
      </c>
      <c r="Y113" s="19">
        <f>IF(Table14[[#This Row],[I_0]] &lt; INDEX(Table28[Filtro de ruido],1), 1, Table14[[#This Row],[I_50]] / Table14[[#This Row],[I_0]])</f>
        <v>1</v>
      </c>
      <c r="AA113" s="1"/>
    </row>
    <row r="114" spans="1:27" x14ac:dyDescent="0.3">
      <c r="A114" s="18">
        <v>181.36</v>
      </c>
      <c r="B114" s="1">
        <v>0</v>
      </c>
      <c r="C114" s="1">
        <v>181.36</v>
      </c>
      <c r="D114" s="1">
        <v>0</v>
      </c>
      <c r="E114" s="1">
        <v>181.36</v>
      </c>
      <c r="F114" s="1">
        <v>0</v>
      </c>
      <c r="G114" s="1">
        <v>181.36</v>
      </c>
      <c r="H114" s="1">
        <v>0</v>
      </c>
      <c r="I114" s="1">
        <v>181.36</v>
      </c>
      <c r="J114" s="1">
        <v>0</v>
      </c>
      <c r="K114" s="1">
        <v>181.36</v>
      </c>
      <c r="L114" s="1">
        <v>0</v>
      </c>
      <c r="M114" s="1">
        <v>181.36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181.36</v>
      </c>
      <c r="U114" s="1">
        <f>IF(Table14[[#This Row],[I_0]] &lt; INDEX(Table28[Filtro de ruido],1), 1, Table14[[#This Row],[I_10]] / Table14[[#This Row],[I_0]])</f>
        <v>1</v>
      </c>
      <c r="V114" s="1">
        <f>IF(Table14[[#This Row],[I_0]] &lt; INDEX(Table28[Filtro de ruido],1), 1, Table14[[#This Row],[I_20]] / Table14[[#This Row],[I_0]])</f>
        <v>1</v>
      </c>
      <c r="W114" s="1">
        <f>IF(Table14[[#This Row],[I_0]] &lt; INDEX(Table28[Filtro de ruido],1), 1, Table14[[#This Row],[I_30]] / Table14[[#This Row],[I_0]])</f>
        <v>1</v>
      </c>
      <c r="X114" s="1">
        <f>IF(Table14[[#This Row],[I_0]] &lt; INDEX(Table28[Filtro de ruido],1), 1, Table14[[#This Row],[I_40]] / Table14[[#This Row],[I_0]])</f>
        <v>1</v>
      </c>
      <c r="Y114" s="19">
        <f>IF(Table14[[#This Row],[I_0]] &lt; INDEX(Table28[Filtro de ruido],1), 1, Table14[[#This Row],[I_50]] / Table14[[#This Row],[I_0]])</f>
        <v>1</v>
      </c>
      <c r="AA114" s="1"/>
    </row>
    <row r="115" spans="1:27" x14ac:dyDescent="0.3">
      <c r="A115" s="18">
        <v>182.35</v>
      </c>
      <c r="B115" s="1">
        <v>0</v>
      </c>
      <c r="C115" s="1">
        <v>182.35</v>
      </c>
      <c r="D115" s="1">
        <v>0</v>
      </c>
      <c r="E115" s="1">
        <v>182.35</v>
      </c>
      <c r="F115" s="1">
        <v>0</v>
      </c>
      <c r="G115" s="1">
        <v>182.35</v>
      </c>
      <c r="H115" s="1">
        <v>0</v>
      </c>
      <c r="I115" s="1">
        <v>182.35</v>
      </c>
      <c r="J115" s="1">
        <v>0</v>
      </c>
      <c r="K115" s="1">
        <v>182.35</v>
      </c>
      <c r="L115" s="1">
        <v>0</v>
      </c>
      <c r="M115" s="1">
        <v>182.35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182.35</v>
      </c>
      <c r="U115" s="1">
        <f>IF(Table14[[#This Row],[I_0]] &lt; INDEX(Table28[Filtro de ruido],1), 1, Table14[[#This Row],[I_10]] / Table14[[#This Row],[I_0]])</f>
        <v>1</v>
      </c>
      <c r="V115" s="1">
        <f>IF(Table14[[#This Row],[I_0]] &lt; INDEX(Table28[Filtro de ruido],1), 1, Table14[[#This Row],[I_20]] / Table14[[#This Row],[I_0]])</f>
        <v>1</v>
      </c>
      <c r="W115" s="1">
        <f>IF(Table14[[#This Row],[I_0]] &lt; INDEX(Table28[Filtro de ruido],1), 1, Table14[[#This Row],[I_30]] / Table14[[#This Row],[I_0]])</f>
        <v>1</v>
      </c>
      <c r="X115" s="1">
        <f>IF(Table14[[#This Row],[I_0]] &lt; INDEX(Table28[Filtro de ruido],1), 1, Table14[[#This Row],[I_40]] / Table14[[#This Row],[I_0]])</f>
        <v>1</v>
      </c>
      <c r="Y115" s="19">
        <f>IF(Table14[[#This Row],[I_0]] &lt; INDEX(Table28[Filtro de ruido],1), 1, Table14[[#This Row],[I_50]] / Table14[[#This Row],[I_0]])</f>
        <v>1</v>
      </c>
      <c r="AA115" s="1"/>
    </row>
    <row r="116" spans="1:27" x14ac:dyDescent="0.3">
      <c r="A116" s="18">
        <v>183.34</v>
      </c>
      <c r="B116" s="1">
        <v>0</v>
      </c>
      <c r="C116" s="1">
        <v>183.34</v>
      </c>
      <c r="D116" s="1">
        <v>0</v>
      </c>
      <c r="E116" s="1">
        <v>183.34</v>
      </c>
      <c r="F116" s="1">
        <v>0</v>
      </c>
      <c r="G116" s="1">
        <v>183.34</v>
      </c>
      <c r="H116" s="1">
        <v>0</v>
      </c>
      <c r="I116" s="1">
        <v>183.34</v>
      </c>
      <c r="J116" s="1">
        <v>0</v>
      </c>
      <c r="K116" s="1">
        <v>183.34</v>
      </c>
      <c r="L116" s="1">
        <v>0</v>
      </c>
      <c r="M116" s="1">
        <v>183.34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183.34</v>
      </c>
      <c r="U116" s="1">
        <f>IF(Table14[[#This Row],[I_0]] &lt; INDEX(Table28[Filtro de ruido],1), 1, Table14[[#This Row],[I_10]] / Table14[[#This Row],[I_0]])</f>
        <v>1</v>
      </c>
      <c r="V116" s="1">
        <f>IF(Table14[[#This Row],[I_0]] &lt; INDEX(Table28[Filtro de ruido],1), 1, Table14[[#This Row],[I_20]] / Table14[[#This Row],[I_0]])</f>
        <v>1</v>
      </c>
      <c r="W116" s="1">
        <f>IF(Table14[[#This Row],[I_0]] &lt; INDEX(Table28[Filtro de ruido],1), 1, Table14[[#This Row],[I_30]] / Table14[[#This Row],[I_0]])</f>
        <v>1</v>
      </c>
      <c r="X116" s="1">
        <f>IF(Table14[[#This Row],[I_0]] &lt; INDEX(Table28[Filtro de ruido],1), 1, Table14[[#This Row],[I_40]] / Table14[[#This Row],[I_0]])</f>
        <v>1</v>
      </c>
      <c r="Y116" s="19">
        <f>IF(Table14[[#This Row],[I_0]] &lt; INDEX(Table28[Filtro de ruido],1), 1, Table14[[#This Row],[I_50]] / Table14[[#This Row],[I_0]])</f>
        <v>1</v>
      </c>
      <c r="AA116" s="1"/>
    </row>
    <row r="117" spans="1:27" x14ac:dyDescent="0.3">
      <c r="A117" s="18">
        <v>184.33</v>
      </c>
      <c r="B117" s="1">
        <v>0</v>
      </c>
      <c r="C117" s="1">
        <v>184.33</v>
      </c>
      <c r="D117" s="1">
        <v>0</v>
      </c>
      <c r="E117" s="1">
        <v>184.33</v>
      </c>
      <c r="F117" s="1">
        <v>0</v>
      </c>
      <c r="G117" s="1">
        <v>184.33</v>
      </c>
      <c r="H117" s="1">
        <v>0</v>
      </c>
      <c r="I117" s="1">
        <v>184.33</v>
      </c>
      <c r="J117" s="1">
        <v>0</v>
      </c>
      <c r="K117" s="1">
        <v>184.33</v>
      </c>
      <c r="L117" s="1">
        <v>0</v>
      </c>
      <c r="M117" s="1">
        <v>184.33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184.33</v>
      </c>
      <c r="U117" s="1">
        <f>IF(Table14[[#This Row],[I_0]] &lt; INDEX(Table28[Filtro de ruido],1), 1, Table14[[#This Row],[I_10]] / Table14[[#This Row],[I_0]])</f>
        <v>1</v>
      </c>
      <c r="V117" s="1">
        <f>IF(Table14[[#This Row],[I_0]] &lt; INDEX(Table28[Filtro de ruido],1), 1, Table14[[#This Row],[I_20]] / Table14[[#This Row],[I_0]])</f>
        <v>1</v>
      </c>
      <c r="W117" s="1">
        <f>IF(Table14[[#This Row],[I_0]] &lt; INDEX(Table28[Filtro de ruido],1), 1, Table14[[#This Row],[I_30]] / Table14[[#This Row],[I_0]])</f>
        <v>1</v>
      </c>
      <c r="X117" s="1">
        <f>IF(Table14[[#This Row],[I_0]] &lt; INDEX(Table28[Filtro de ruido],1), 1, Table14[[#This Row],[I_40]] / Table14[[#This Row],[I_0]])</f>
        <v>1</v>
      </c>
      <c r="Y117" s="19">
        <f>IF(Table14[[#This Row],[I_0]] &lt; INDEX(Table28[Filtro de ruido],1), 1, Table14[[#This Row],[I_50]] / Table14[[#This Row],[I_0]])</f>
        <v>1</v>
      </c>
      <c r="AA117" s="1"/>
    </row>
    <row r="118" spans="1:27" x14ac:dyDescent="0.3">
      <c r="A118" s="18">
        <v>185.33</v>
      </c>
      <c r="B118" s="1">
        <v>0</v>
      </c>
      <c r="C118" s="1">
        <v>185.33</v>
      </c>
      <c r="D118" s="1">
        <v>0</v>
      </c>
      <c r="E118" s="1">
        <v>185.33</v>
      </c>
      <c r="F118" s="1">
        <v>0</v>
      </c>
      <c r="G118" s="1">
        <v>185.33</v>
      </c>
      <c r="H118" s="1">
        <v>0</v>
      </c>
      <c r="I118" s="1">
        <v>185.33</v>
      </c>
      <c r="J118" s="1">
        <v>0</v>
      </c>
      <c r="K118" s="1">
        <v>185.33</v>
      </c>
      <c r="L118" s="1">
        <v>0</v>
      </c>
      <c r="M118" s="1">
        <v>185.33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185.33</v>
      </c>
      <c r="U118" s="1">
        <f>IF(Table14[[#This Row],[I_0]] &lt; INDEX(Table28[Filtro de ruido],1), 1, Table14[[#This Row],[I_10]] / Table14[[#This Row],[I_0]])</f>
        <v>1</v>
      </c>
      <c r="V118" s="1">
        <f>IF(Table14[[#This Row],[I_0]] &lt; INDEX(Table28[Filtro de ruido],1), 1, Table14[[#This Row],[I_20]] / Table14[[#This Row],[I_0]])</f>
        <v>1</v>
      </c>
      <c r="W118" s="1">
        <f>IF(Table14[[#This Row],[I_0]] &lt; INDEX(Table28[Filtro de ruido],1), 1, Table14[[#This Row],[I_30]] / Table14[[#This Row],[I_0]])</f>
        <v>1</v>
      </c>
      <c r="X118" s="1">
        <f>IF(Table14[[#This Row],[I_0]] &lt; INDEX(Table28[Filtro de ruido],1), 1, Table14[[#This Row],[I_40]] / Table14[[#This Row],[I_0]])</f>
        <v>1</v>
      </c>
      <c r="Y118" s="19">
        <f>IF(Table14[[#This Row],[I_0]] &lt; INDEX(Table28[Filtro de ruido],1), 1, Table14[[#This Row],[I_50]] / Table14[[#This Row],[I_0]])</f>
        <v>1</v>
      </c>
      <c r="AA118" s="1"/>
    </row>
    <row r="119" spans="1:27" x14ac:dyDescent="0.3">
      <c r="A119" s="18">
        <v>186.32</v>
      </c>
      <c r="B119" s="1">
        <v>0</v>
      </c>
      <c r="C119" s="1">
        <v>186.32</v>
      </c>
      <c r="D119" s="1">
        <v>0</v>
      </c>
      <c r="E119" s="1">
        <v>186.32</v>
      </c>
      <c r="F119" s="1">
        <v>0</v>
      </c>
      <c r="G119" s="1">
        <v>186.32</v>
      </c>
      <c r="H119" s="1">
        <v>0</v>
      </c>
      <c r="I119" s="1">
        <v>186.32</v>
      </c>
      <c r="J119" s="1">
        <v>0</v>
      </c>
      <c r="K119" s="1">
        <v>186.32</v>
      </c>
      <c r="L119" s="1">
        <v>0</v>
      </c>
      <c r="M119" s="1">
        <v>186.32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186.32</v>
      </c>
      <c r="U119" s="1">
        <f>IF(Table14[[#This Row],[I_0]] &lt; INDEX(Table28[Filtro de ruido],1), 1, Table14[[#This Row],[I_10]] / Table14[[#This Row],[I_0]])</f>
        <v>1</v>
      </c>
      <c r="V119" s="1">
        <f>IF(Table14[[#This Row],[I_0]] &lt; INDEX(Table28[Filtro de ruido],1), 1, Table14[[#This Row],[I_20]] / Table14[[#This Row],[I_0]])</f>
        <v>1</v>
      </c>
      <c r="W119" s="1">
        <f>IF(Table14[[#This Row],[I_0]] &lt; INDEX(Table28[Filtro de ruido],1), 1, Table14[[#This Row],[I_30]] / Table14[[#This Row],[I_0]])</f>
        <v>1</v>
      </c>
      <c r="X119" s="1">
        <f>IF(Table14[[#This Row],[I_0]] &lt; INDEX(Table28[Filtro de ruido],1), 1, Table14[[#This Row],[I_40]] / Table14[[#This Row],[I_0]])</f>
        <v>1</v>
      </c>
      <c r="Y119" s="19">
        <f>IF(Table14[[#This Row],[I_0]] &lt; INDEX(Table28[Filtro de ruido],1), 1, Table14[[#This Row],[I_50]] / Table14[[#This Row],[I_0]])</f>
        <v>1</v>
      </c>
      <c r="AA119" s="1"/>
    </row>
    <row r="120" spans="1:27" x14ac:dyDescent="0.3">
      <c r="A120" s="18">
        <v>187.31</v>
      </c>
      <c r="B120" s="1">
        <v>0</v>
      </c>
      <c r="C120" s="1">
        <v>187.31</v>
      </c>
      <c r="D120" s="1">
        <v>0</v>
      </c>
      <c r="E120" s="1">
        <v>187.31</v>
      </c>
      <c r="F120" s="1">
        <v>0</v>
      </c>
      <c r="G120" s="1">
        <v>187.31</v>
      </c>
      <c r="H120" s="1">
        <v>0</v>
      </c>
      <c r="I120" s="1">
        <v>187.31</v>
      </c>
      <c r="J120" s="1">
        <v>0</v>
      </c>
      <c r="K120" s="1">
        <v>187.31</v>
      </c>
      <c r="L120" s="1">
        <v>0</v>
      </c>
      <c r="M120" s="1">
        <v>187.31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187.31</v>
      </c>
      <c r="U120" s="1">
        <f>IF(Table14[[#This Row],[I_0]] &lt; INDEX(Table28[Filtro de ruido],1), 1, Table14[[#This Row],[I_10]] / Table14[[#This Row],[I_0]])</f>
        <v>1</v>
      </c>
      <c r="V120" s="1">
        <f>IF(Table14[[#This Row],[I_0]] &lt; INDEX(Table28[Filtro de ruido],1), 1, Table14[[#This Row],[I_20]] / Table14[[#This Row],[I_0]])</f>
        <v>1</v>
      </c>
      <c r="W120" s="1">
        <f>IF(Table14[[#This Row],[I_0]] &lt; INDEX(Table28[Filtro de ruido],1), 1, Table14[[#This Row],[I_30]] / Table14[[#This Row],[I_0]])</f>
        <v>1</v>
      </c>
      <c r="X120" s="1">
        <f>IF(Table14[[#This Row],[I_0]] &lt; INDEX(Table28[Filtro de ruido],1), 1, Table14[[#This Row],[I_40]] / Table14[[#This Row],[I_0]])</f>
        <v>1</v>
      </c>
      <c r="Y120" s="19">
        <f>IF(Table14[[#This Row],[I_0]] &lt; INDEX(Table28[Filtro de ruido],1), 1, Table14[[#This Row],[I_50]] / Table14[[#This Row],[I_0]])</f>
        <v>1</v>
      </c>
      <c r="AA120" s="1"/>
    </row>
    <row r="121" spans="1:27" x14ac:dyDescent="0.3">
      <c r="A121" s="18">
        <v>188.3</v>
      </c>
      <c r="B121" s="1">
        <v>0</v>
      </c>
      <c r="C121" s="1">
        <v>188.3</v>
      </c>
      <c r="D121" s="1">
        <v>0</v>
      </c>
      <c r="E121" s="1">
        <v>188.3</v>
      </c>
      <c r="F121" s="1">
        <v>0</v>
      </c>
      <c r="G121" s="1">
        <v>188.3</v>
      </c>
      <c r="H121" s="1">
        <v>0</v>
      </c>
      <c r="I121" s="1">
        <v>188.3</v>
      </c>
      <c r="J121" s="1">
        <v>0</v>
      </c>
      <c r="K121" s="1">
        <v>188.3</v>
      </c>
      <c r="L121" s="1">
        <v>0</v>
      </c>
      <c r="M121" s="1">
        <v>188.3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188.3</v>
      </c>
      <c r="U121" s="1">
        <f>IF(Table14[[#This Row],[I_0]] &lt; INDEX(Table28[Filtro de ruido],1), 1, Table14[[#This Row],[I_10]] / Table14[[#This Row],[I_0]])</f>
        <v>1</v>
      </c>
      <c r="V121" s="1">
        <f>IF(Table14[[#This Row],[I_0]] &lt; INDEX(Table28[Filtro de ruido],1), 1, Table14[[#This Row],[I_20]] / Table14[[#This Row],[I_0]])</f>
        <v>1</v>
      </c>
      <c r="W121" s="1">
        <f>IF(Table14[[#This Row],[I_0]] &lt; INDEX(Table28[Filtro de ruido],1), 1, Table14[[#This Row],[I_30]] / Table14[[#This Row],[I_0]])</f>
        <v>1</v>
      </c>
      <c r="X121" s="1">
        <f>IF(Table14[[#This Row],[I_0]] &lt; INDEX(Table28[Filtro de ruido],1), 1, Table14[[#This Row],[I_40]] / Table14[[#This Row],[I_0]])</f>
        <v>1</v>
      </c>
      <c r="Y121" s="19">
        <f>IF(Table14[[#This Row],[I_0]] &lt; INDEX(Table28[Filtro de ruido],1), 1, Table14[[#This Row],[I_50]] / Table14[[#This Row],[I_0]])</f>
        <v>1</v>
      </c>
      <c r="AA121" s="1"/>
    </row>
    <row r="122" spans="1:27" x14ac:dyDescent="0.3">
      <c r="A122" s="18">
        <v>189.29</v>
      </c>
      <c r="B122" s="1">
        <v>0</v>
      </c>
      <c r="C122" s="1">
        <v>189.29</v>
      </c>
      <c r="D122" s="1">
        <v>0</v>
      </c>
      <c r="E122" s="1">
        <v>189.29</v>
      </c>
      <c r="F122" s="1">
        <v>0</v>
      </c>
      <c r="G122" s="1">
        <v>189.29</v>
      </c>
      <c r="H122" s="1">
        <v>0</v>
      </c>
      <c r="I122" s="1">
        <v>189.29</v>
      </c>
      <c r="J122" s="1">
        <v>0</v>
      </c>
      <c r="K122" s="1">
        <v>189.29</v>
      </c>
      <c r="L122" s="1">
        <v>0</v>
      </c>
      <c r="M122" s="1">
        <v>189.29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189.29</v>
      </c>
      <c r="U122" s="1">
        <f>IF(Table14[[#This Row],[I_0]] &lt; INDEX(Table28[Filtro de ruido],1), 1, Table14[[#This Row],[I_10]] / Table14[[#This Row],[I_0]])</f>
        <v>1</v>
      </c>
      <c r="V122" s="1">
        <f>IF(Table14[[#This Row],[I_0]] &lt; INDEX(Table28[Filtro de ruido],1), 1, Table14[[#This Row],[I_20]] / Table14[[#This Row],[I_0]])</f>
        <v>1</v>
      </c>
      <c r="W122" s="1">
        <f>IF(Table14[[#This Row],[I_0]] &lt; INDEX(Table28[Filtro de ruido],1), 1, Table14[[#This Row],[I_30]] / Table14[[#This Row],[I_0]])</f>
        <v>1</v>
      </c>
      <c r="X122" s="1">
        <f>IF(Table14[[#This Row],[I_0]] &lt; INDEX(Table28[Filtro de ruido],1), 1, Table14[[#This Row],[I_40]] / Table14[[#This Row],[I_0]])</f>
        <v>1</v>
      </c>
      <c r="Y122" s="19">
        <f>IF(Table14[[#This Row],[I_0]] &lt; INDEX(Table28[Filtro de ruido],1), 1, Table14[[#This Row],[I_50]] / Table14[[#This Row],[I_0]])</f>
        <v>1</v>
      </c>
      <c r="AA122" s="1"/>
    </row>
    <row r="123" spans="1:27" x14ac:dyDescent="0.3">
      <c r="A123" s="18">
        <v>190.28</v>
      </c>
      <c r="B123" s="1">
        <v>0</v>
      </c>
      <c r="C123" s="1">
        <v>190.28</v>
      </c>
      <c r="D123" s="1">
        <v>0</v>
      </c>
      <c r="E123" s="1">
        <v>190.28</v>
      </c>
      <c r="F123" s="1">
        <v>0</v>
      </c>
      <c r="G123" s="1">
        <v>190.28</v>
      </c>
      <c r="H123" s="1">
        <v>0</v>
      </c>
      <c r="I123" s="1">
        <v>190.28</v>
      </c>
      <c r="J123" s="1">
        <v>0</v>
      </c>
      <c r="K123" s="1">
        <v>190.28</v>
      </c>
      <c r="L123" s="1">
        <v>0</v>
      </c>
      <c r="M123" s="1">
        <v>190.28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190.28</v>
      </c>
      <c r="U123" s="1">
        <f>IF(Table14[[#This Row],[I_0]] &lt; INDEX(Table28[Filtro de ruido],1), 1, Table14[[#This Row],[I_10]] / Table14[[#This Row],[I_0]])</f>
        <v>1</v>
      </c>
      <c r="V123" s="1">
        <f>IF(Table14[[#This Row],[I_0]] &lt; INDEX(Table28[Filtro de ruido],1), 1, Table14[[#This Row],[I_20]] / Table14[[#This Row],[I_0]])</f>
        <v>1</v>
      </c>
      <c r="W123" s="1">
        <f>IF(Table14[[#This Row],[I_0]] &lt; INDEX(Table28[Filtro de ruido],1), 1, Table14[[#This Row],[I_30]] / Table14[[#This Row],[I_0]])</f>
        <v>1</v>
      </c>
      <c r="X123" s="1">
        <f>IF(Table14[[#This Row],[I_0]] &lt; INDEX(Table28[Filtro de ruido],1), 1, Table14[[#This Row],[I_40]] / Table14[[#This Row],[I_0]])</f>
        <v>1</v>
      </c>
      <c r="Y123" s="19">
        <f>IF(Table14[[#This Row],[I_0]] &lt; INDEX(Table28[Filtro de ruido],1), 1, Table14[[#This Row],[I_50]] / Table14[[#This Row],[I_0]])</f>
        <v>1</v>
      </c>
      <c r="AA123" s="1"/>
    </row>
    <row r="124" spans="1:27" x14ac:dyDescent="0.3">
      <c r="A124" s="18">
        <v>191.28</v>
      </c>
      <c r="B124" s="1">
        <v>0</v>
      </c>
      <c r="C124" s="1">
        <v>191.28</v>
      </c>
      <c r="D124" s="1">
        <v>0</v>
      </c>
      <c r="E124" s="1">
        <v>191.28</v>
      </c>
      <c r="F124" s="1">
        <v>0</v>
      </c>
      <c r="G124" s="1">
        <v>191.28</v>
      </c>
      <c r="H124" s="1">
        <v>0</v>
      </c>
      <c r="I124" s="1">
        <v>191.28</v>
      </c>
      <c r="J124" s="1">
        <v>0</v>
      </c>
      <c r="K124" s="1">
        <v>191.28</v>
      </c>
      <c r="L124" s="1">
        <v>0</v>
      </c>
      <c r="M124" s="1">
        <v>191.28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191.28</v>
      </c>
      <c r="U124" s="1">
        <f>IF(Table14[[#This Row],[I_0]] &lt; INDEX(Table28[Filtro de ruido],1), 1, Table14[[#This Row],[I_10]] / Table14[[#This Row],[I_0]])</f>
        <v>1</v>
      </c>
      <c r="V124" s="1">
        <f>IF(Table14[[#This Row],[I_0]] &lt; INDEX(Table28[Filtro de ruido],1), 1, Table14[[#This Row],[I_20]] / Table14[[#This Row],[I_0]])</f>
        <v>1</v>
      </c>
      <c r="W124" s="1">
        <f>IF(Table14[[#This Row],[I_0]] &lt; INDEX(Table28[Filtro de ruido],1), 1, Table14[[#This Row],[I_30]] / Table14[[#This Row],[I_0]])</f>
        <v>1</v>
      </c>
      <c r="X124" s="1">
        <f>IF(Table14[[#This Row],[I_0]] &lt; INDEX(Table28[Filtro de ruido],1), 1, Table14[[#This Row],[I_40]] / Table14[[#This Row],[I_0]])</f>
        <v>1</v>
      </c>
      <c r="Y124" s="19">
        <f>IF(Table14[[#This Row],[I_0]] &lt; INDEX(Table28[Filtro de ruido],1), 1, Table14[[#This Row],[I_50]] / Table14[[#This Row],[I_0]])</f>
        <v>1</v>
      </c>
      <c r="AA124" s="1"/>
    </row>
    <row r="125" spans="1:27" x14ac:dyDescent="0.3">
      <c r="A125" s="18">
        <v>192.27</v>
      </c>
      <c r="B125" s="1">
        <v>0</v>
      </c>
      <c r="C125" s="1">
        <v>192.27</v>
      </c>
      <c r="D125" s="1">
        <v>0</v>
      </c>
      <c r="E125" s="1">
        <v>192.27</v>
      </c>
      <c r="F125" s="1">
        <v>0</v>
      </c>
      <c r="G125" s="1">
        <v>192.27</v>
      </c>
      <c r="H125" s="1">
        <v>0</v>
      </c>
      <c r="I125" s="1">
        <v>192.27</v>
      </c>
      <c r="J125" s="1">
        <v>0</v>
      </c>
      <c r="K125" s="1">
        <v>192.27</v>
      </c>
      <c r="L125" s="1">
        <v>0</v>
      </c>
      <c r="M125" s="1">
        <v>192.27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192.27</v>
      </c>
      <c r="U125" s="1">
        <f>IF(Table14[[#This Row],[I_0]] &lt; INDEX(Table28[Filtro de ruido],1), 1, Table14[[#This Row],[I_10]] / Table14[[#This Row],[I_0]])</f>
        <v>1</v>
      </c>
      <c r="V125" s="1">
        <f>IF(Table14[[#This Row],[I_0]] &lt; INDEX(Table28[Filtro de ruido],1), 1, Table14[[#This Row],[I_20]] / Table14[[#This Row],[I_0]])</f>
        <v>1</v>
      </c>
      <c r="W125" s="1">
        <f>IF(Table14[[#This Row],[I_0]] &lt; INDEX(Table28[Filtro de ruido],1), 1, Table14[[#This Row],[I_30]] / Table14[[#This Row],[I_0]])</f>
        <v>1</v>
      </c>
      <c r="X125" s="1">
        <f>IF(Table14[[#This Row],[I_0]] &lt; INDEX(Table28[Filtro de ruido],1), 1, Table14[[#This Row],[I_40]] / Table14[[#This Row],[I_0]])</f>
        <v>1</v>
      </c>
      <c r="Y125" s="19">
        <f>IF(Table14[[#This Row],[I_0]] &lt; INDEX(Table28[Filtro de ruido],1), 1, Table14[[#This Row],[I_50]] / Table14[[#This Row],[I_0]])</f>
        <v>1</v>
      </c>
      <c r="AA125" s="1"/>
    </row>
    <row r="126" spans="1:27" x14ac:dyDescent="0.3">
      <c r="A126" s="18">
        <v>193.26</v>
      </c>
      <c r="B126" s="1">
        <v>0</v>
      </c>
      <c r="C126" s="1">
        <v>193.26</v>
      </c>
      <c r="D126" s="1">
        <v>0</v>
      </c>
      <c r="E126" s="1">
        <v>193.26</v>
      </c>
      <c r="F126" s="1">
        <v>0</v>
      </c>
      <c r="G126" s="1">
        <v>193.26</v>
      </c>
      <c r="H126" s="1">
        <v>0</v>
      </c>
      <c r="I126" s="1">
        <v>193.26</v>
      </c>
      <c r="J126" s="1">
        <v>0</v>
      </c>
      <c r="K126" s="1">
        <v>193.26</v>
      </c>
      <c r="L126" s="1">
        <v>0</v>
      </c>
      <c r="M126" s="1">
        <v>193.26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193.26</v>
      </c>
      <c r="U126" s="1">
        <f>IF(Table14[[#This Row],[I_0]] &lt; INDEX(Table28[Filtro de ruido],1), 1, Table14[[#This Row],[I_10]] / Table14[[#This Row],[I_0]])</f>
        <v>1</v>
      </c>
      <c r="V126" s="1">
        <f>IF(Table14[[#This Row],[I_0]] &lt; INDEX(Table28[Filtro de ruido],1), 1, Table14[[#This Row],[I_20]] / Table14[[#This Row],[I_0]])</f>
        <v>1</v>
      </c>
      <c r="W126" s="1">
        <f>IF(Table14[[#This Row],[I_0]] &lt; INDEX(Table28[Filtro de ruido],1), 1, Table14[[#This Row],[I_30]] / Table14[[#This Row],[I_0]])</f>
        <v>1</v>
      </c>
      <c r="X126" s="1">
        <f>IF(Table14[[#This Row],[I_0]] &lt; INDEX(Table28[Filtro de ruido],1), 1, Table14[[#This Row],[I_40]] / Table14[[#This Row],[I_0]])</f>
        <v>1</v>
      </c>
      <c r="Y126" s="19">
        <f>IF(Table14[[#This Row],[I_0]] &lt; INDEX(Table28[Filtro de ruido],1), 1, Table14[[#This Row],[I_50]] / Table14[[#This Row],[I_0]])</f>
        <v>1</v>
      </c>
      <c r="AA126" s="1"/>
    </row>
    <row r="127" spans="1:27" x14ac:dyDescent="0.3">
      <c r="A127" s="18">
        <v>194.25</v>
      </c>
      <c r="B127" s="1">
        <v>0</v>
      </c>
      <c r="C127" s="1">
        <v>194.25</v>
      </c>
      <c r="D127" s="1">
        <v>0</v>
      </c>
      <c r="E127" s="1">
        <v>194.25</v>
      </c>
      <c r="F127" s="1">
        <v>0</v>
      </c>
      <c r="G127" s="1">
        <v>194.25</v>
      </c>
      <c r="H127" s="1">
        <v>0</v>
      </c>
      <c r="I127" s="1">
        <v>194.25</v>
      </c>
      <c r="J127" s="1">
        <v>0</v>
      </c>
      <c r="K127" s="1">
        <v>194.25</v>
      </c>
      <c r="L127" s="1">
        <v>0</v>
      </c>
      <c r="M127" s="1">
        <v>194.25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194.25</v>
      </c>
      <c r="U127" s="1">
        <f>IF(Table14[[#This Row],[I_0]] &lt; INDEX(Table28[Filtro de ruido],1), 1, Table14[[#This Row],[I_10]] / Table14[[#This Row],[I_0]])</f>
        <v>1</v>
      </c>
      <c r="V127" s="1">
        <f>IF(Table14[[#This Row],[I_0]] &lt; INDEX(Table28[Filtro de ruido],1), 1, Table14[[#This Row],[I_20]] / Table14[[#This Row],[I_0]])</f>
        <v>1</v>
      </c>
      <c r="W127" s="1">
        <f>IF(Table14[[#This Row],[I_0]] &lt; INDEX(Table28[Filtro de ruido],1), 1, Table14[[#This Row],[I_30]] / Table14[[#This Row],[I_0]])</f>
        <v>1</v>
      </c>
      <c r="X127" s="1">
        <f>IF(Table14[[#This Row],[I_0]] &lt; INDEX(Table28[Filtro de ruido],1), 1, Table14[[#This Row],[I_40]] / Table14[[#This Row],[I_0]])</f>
        <v>1</v>
      </c>
      <c r="Y127" s="19">
        <f>IF(Table14[[#This Row],[I_0]] &lt; INDEX(Table28[Filtro de ruido],1), 1, Table14[[#This Row],[I_50]] / Table14[[#This Row],[I_0]])</f>
        <v>1</v>
      </c>
      <c r="AA127" s="1"/>
    </row>
    <row r="128" spans="1:27" x14ac:dyDescent="0.3">
      <c r="A128" s="18">
        <v>195.24</v>
      </c>
      <c r="B128" s="1">
        <v>0</v>
      </c>
      <c r="C128" s="1">
        <v>195.24</v>
      </c>
      <c r="D128" s="1">
        <v>0</v>
      </c>
      <c r="E128" s="1">
        <v>195.24</v>
      </c>
      <c r="F128" s="1">
        <v>0</v>
      </c>
      <c r="G128" s="1">
        <v>195.24</v>
      </c>
      <c r="H128" s="1">
        <v>0</v>
      </c>
      <c r="I128" s="1">
        <v>195.24</v>
      </c>
      <c r="J128" s="1">
        <v>0</v>
      </c>
      <c r="K128" s="1">
        <v>195.24</v>
      </c>
      <c r="L128" s="1">
        <v>0</v>
      </c>
      <c r="M128" s="1">
        <v>195.24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195.24</v>
      </c>
      <c r="U128" s="1">
        <f>IF(Table14[[#This Row],[I_0]] &lt; INDEX(Table28[Filtro de ruido],1), 1, Table14[[#This Row],[I_10]] / Table14[[#This Row],[I_0]])</f>
        <v>1</v>
      </c>
      <c r="V128" s="1">
        <f>IF(Table14[[#This Row],[I_0]] &lt; INDEX(Table28[Filtro de ruido],1), 1, Table14[[#This Row],[I_20]] / Table14[[#This Row],[I_0]])</f>
        <v>1</v>
      </c>
      <c r="W128" s="1">
        <f>IF(Table14[[#This Row],[I_0]] &lt; INDEX(Table28[Filtro de ruido],1), 1, Table14[[#This Row],[I_30]] / Table14[[#This Row],[I_0]])</f>
        <v>1</v>
      </c>
      <c r="X128" s="1">
        <f>IF(Table14[[#This Row],[I_0]] &lt; INDEX(Table28[Filtro de ruido],1), 1, Table14[[#This Row],[I_40]] / Table14[[#This Row],[I_0]])</f>
        <v>1</v>
      </c>
      <c r="Y128" s="19">
        <f>IF(Table14[[#This Row],[I_0]] &lt; INDEX(Table28[Filtro de ruido],1), 1, Table14[[#This Row],[I_50]] / Table14[[#This Row],[I_0]])</f>
        <v>1</v>
      </c>
      <c r="AA128" s="1"/>
    </row>
    <row r="129" spans="1:27" x14ac:dyDescent="0.3">
      <c r="A129" s="18">
        <v>196.24</v>
      </c>
      <c r="B129" s="1">
        <v>0</v>
      </c>
      <c r="C129" s="1">
        <v>196.24</v>
      </c>
      <c r="D129" s="1">
        <v>0</v>
      </c>
      <c r="E129" s="1">
        <v>196.24</v>
      </c>
      <c r="F129" s="1">
        <v>0</v>
      </c>
      <c r="G129" s="1">
        <v>196.24</v>
      </c>
      <c r="H129" s="1">
        <v>0</v>
      </c>
      <c r="I129" s="1">
        <v>196.24</v>
      </c>
      <c r="J129" s="1">
        <v>0</v>
      </c>
      <c r="K129" s="1">
        <v>196.24</v>
      </c>
      <c r="L129" s="1">
        <v>0</v>
      </c>
      <c r="M129" s="1">
        <v>196.24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196.24</v>
      </c>
      <c r="U129" s="1">
        <f>IF(Table14[[#This Row],[I_0]] &lt; INDEX(Table28[Filtro de ruido],1), 1, Table14[[#This Row],[I_10]] / Table14[[#This Row],[I_0]])</f>
        <v>1</v>
      </c>
      <c r="V129" s="1">
        <f>IF(Table14[[#This Row],[I_0]] &lt; INDEX(Table28[Filtro de ruido],1), 1, Table14[[#This Row],[I_20]] / Table14[[#This Row],[I_0]])</f>
        <v>1</v>
      </c>
      <c r="W129" s="1">
        <f>IF(Table14[[#This Row],[I_0]] &lt; INDEX(Table28[Filtro de ruido],1), 1, Table14[[#This Row],[I_30]] / Table14[[#This Row],[I_0]])</f>
        <v>1</v>
      </c>
      <c r="X129" s="1">
        <f>IF(Table14[[#This Row],[I_0]] &lt; INDEX(Table28[Filtro de ruido],1), 1, Table14[[#This Row],[I_40]] / Table14[[#This Row],[I_0]])</f>
        <v>1</v>
      </c>
      <c r="Y129" s="19">
        <f>IF(Table14[[#This Row],[I_0]] &lt; INDEX(Table28[Filtro de ruido],1), 1, Table14[[#This Row],[I_50]] / Table14[[#This Row],[I_0]])</f>
        <v>1</v>
      </c>
      <c r="AA129" s="1"/>
    </row>
    <row r="130" spans="1:27" x14ac:dyDescent="0.3">
      <c r="A130" s="18">
        <v>197.23</v>
      </c>
      <c r="B130" s="1">
        <v>0</v>
      </c>
      <c r="C130" s="1">
        <v>197.23</v>
      </c>
      <c r="D130" s="1">
        <v>0</v>
      </c>
      <c r="E130" s="1">
        <v>197.23</v>
      </c>
      <c r="F130" s="1">
        <v>0</v>
      </c>
      <c r="G130" s="1">
        <v>197.23</v>
      </c>
      <c r="H130" s="1">
        <v>0</v>
      </c>
      <c r="I130" s="1">
        <v>197.23</v>
      </c>
      <c r="J130" s="1">
        <v>0</v>
      </c>
      <c r="K130" s="1">
        <v>197.23</v>
      </c>
      <c r="L130" s="1">
        <v>0</v>
      </c>
      <c r="M130" s="1">
        <v>197.23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197.23</v>
      </c>
      <c r="U130" s="1">
        <f>IF(Table14[[#This Row],[I_0]] &lt; INDEX(Table28[Filtro de ruido],1), 1, Table14[[#This Row],[I_10]] / Table14[[#This Row],[I_0]])</f>
        <v>1</v>
      </c>
      <c r="V130" s="1">
        <f>IF(Table14[[#This Row],[I_0]] &lt; INDEX(Table28[Filtro de ruido],1), 1, Table14[[#This Row],[I_20]] / Table14[[#This Row],[I_0]])</f>
        <v>1</v>
      </c>
      <c r="W130" s="1">
        <f>IF(Table14[[#This Row],[I_0]] &lt; INDEX(Table28[Filtro de ruido],1), 1, Table14[[#This Row],[I_30]] / Table14[[#This Row],[I_0]])</f>
        <v>1</v>
      </c>
      <c r="X130" s="1">
        <f>IF(Table14[[#This Row],[I_0]] &lt; INDEX(Table28[Filtro de ruido],1), 1, Table14[[#This Row],[I_40]] / Table14[[#This Row],[I_0]])</f>
        <v>1</v>
      </c>
      <c r="Y130" s="19">
        <f>IF(Table14[[#This Row],[I_0]] &lt; INDEX(Table28[Filtro de ruido],1), 1, Table14[[#This Row],[I_50]] / Table14[[#This Row],[I_0]])</f>
        <v>1</v>
      </c>
      <c r="AA130" s="1"/>
    </row>
    <row r="131" spans="1:27" x14ac:dyDescent="0.3">
      <c r="A131" s="18">
        <v>198.22</v>
      </c>
      <c r="B131" s="1">
        <v>0</v>
      </c>
      <c r="C131" s="1">
        <v>198.22</v>
      </c>
      <c r="D131" s="1">
        <v>0</v>
      </c>
      <c r="E131" s="1">
        <v>198.22</v>
      </c>
      <c r="F131" s="1">
        <v>0</v>
      </c>
      <c r="G131" s="1">
        <v>198.22</v>
      </c>
      <c r="H131" s="1">
        <v>0</v>
      </c>
      <c r="I131" s="1">
        <v>198.22</v>
      </c>
      <c r="J131" s="1">
        <v>0</v>
      </c>
      <c r="K131" s="1">
        <v>198.22</v>
      </c>
      <c r="L131" s="1">
        <v>0</v>
      </c>
      <c r="M131" s="1">
        <v>198.22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198.22</v>
      </c>
      <c r="U131" s="1">
        <f>IF(Table14[[#This Row],[I_0]] &lt; INDEX(Table28[Filtro de ruido],1), 1, Table14[[#This Row],[I_10]] / Table14[[#This Row],[I_0]])</f>
        <v>1</v>
      </c>
      <c r="V131" s="1">
        <f>IF(Table14[[#This Row],[I_0]] &lt; INDEX(Table28[Filtro de ruido],1), 1, Table14[[#This Row],[I_20]] / Table14[[#This Row],[I_0]])</f>
        <v>1</v>
      </c>
      <c r="W131" s="1">
        <f>IF(Table14[[#This Row],[I_0]] &lt; INDEX(Table28[Filtro de ruido],1), 1, Table14[[#This Row],[I_30]] / Table14[[#This Row],[I_0]])</f>
        <v>1</v>
      </c>
      <c r="X131" s="1">
        <f>IF(Table14[[#This Row],[I_0]] &lt; INDEX(Table28[Filtro de ruido],1), 1, Table14[[#This Row],[I_40]] / Table14[[#This Row],[I_0]])</f>
        <v>1</v>
      </c>
      <c r="Y131" s="19">
        <f>IF(Table14[[#This Row],[I_0]] &lt; INDEX(Table28[Filtro de ruido],1), 1, Table14[[#This Row],[I_50]] / Table14[[#This Row],[I_0]])</f>
        <v>1</v>
      </c>
      <c r="AA131" s="1"/>
    </row>
    <row r="132" spans="1:27" x14ac:dyDescent="0.3">
      <c r="A132" s="18">
        <v>199.21</v>
      </c>
      <c r="B132" s="1">
        <v>0</v>
      </c>
      <c r="C132" s="1">
        <v>199.21</v>
      </c>
      <c r="D132" s="1">
        <v>0</v>
      </c>
      <c r="E132" s="1">
        <v>199.21</v>
      </c>
      <c r="F132" s="1">
        <v>0</v>
      </c>
      <c r="G132" s="1">
        <v>199.21</v>
      </c>
      <c r="H132" s="1">
        <v>0</v>
      </c>
      <c r="I132" s="1">
        <v>199.21</v>
      </c>
      <c r="J132" s="1">
        <v>0</v>
      </c>
      <c r="K132" s="1">
        <v>199.21</v>
      </c>
      <c r="L132" s="1">
        <v>0</v>
      </c>
      <c r="M132" s="1">
        <v>199.21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199.21</v>
      </c>
      <c r="U132" s="1">
        <f>IF(Table14[[#This Row],[I_0]] &lt; INDEX(Table28[Filtro de ruido],1), 1, Table14[[#This Row],[I_10]] / Table14[[#This Row],[I_0]])</f>
        <v>1</v>
      </c>
      <c r="V132" s="1">
        <f>IF(Table14[[#This Row],[I_0]] &lt; INDEX(Table28[Filtro de ruido],1), 1, Table14[[#This Row],[I_20]] / Table14[[#This Row],[I_0]])</f>
        <v>1</v>
      </c>
      <c r="W132" s="1">
        <f>IF(Table14[[#This Row],[I_0]] &lt; INDEX(Table28[Filtro de ruido],1), 1, Table14[[#This Row],[I_30]] / Table14[[#This Row],[I_0]])</f>
        <v>1</v>
      </c>
      <c r="X132" s="1">
        <f>IF(Table14[[#This Row],[I_0]] &lt; INDEX(Table28[Filtro de ruido],1), 1, Table14[[#This Row],[I_40]] / Table14[[#This Row],[I_0]])</f>
        <v>1</v>
      </c>
      <c r="Y132" s="19">
        <f>IF(Table14[[#This Row],[I_0]] &lt; INDEX(Table28[Filtro de ruido],1), 1, Table14[[#This Row],[I_50]] / Table14[[#This Row],[I_0]])</f>
        <v>1</v>
      </c>
      <c r="AA132" s="1"/>
    </row>
    <row r="133" spans="1:27" x14ac:dyDescent="0.3">
      <c r="A133" s="18">
        <v>200.2</v>
      </c>
      <c r="B133" s="1">
        <v>0</v>
      </c>
      <c r="C133" s="1">
        <v>200.2</v>
      </c>
      <c r="D133" s="1">
        <v>0</v>
      </c>
      <c r="E133" s="1">
        <v>200.2</v>
      </c>
      <c r="F133" s="1">
        <v>0</v>
      </c>
      <c r="G133" s="1">
        <v>200.2</v>
      </c>
      <c r="H133" s="1">
        <v>0</v>
      </c>
      <c r="I133" s="1">
        <v>200.2</v>
      </c>
      <c r="J133" s="1">
        <v>0</v>
      </c>
      <c r="K133" s="1">
        <v>200.2</v>
      </c>
      <c r="L133" s="1">
        <v>0</v>
      </c>
      <c r="M133" s="1">
        <v>200.2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200.2</v>
      </c>
      <c r="U133" s="1">
        <f>IF(Table14[[#This Row],[I_0]] &lt; INDEX(Table28[Filtro de ruido],1), 1, Table14[[#This Row],[I_10]] / Table14[[#This Row],[I_0]])</f>
        <v>1</v>
      </c>
      <c r="V133" s="1">
        <f>IF(Table14[[#This Row],[I_0]] &lt; INDEX(Table28[Filtro de ruido],1), 1, Table14[[#This Row],[I_20]] / Table14[[#This Row],[I_0]])</f>
        <v>1</v>
      </c>
      <c r="W133" s="1">
        <f>IF(Table14[[#This Row],[I_0]] &lt; INDEX(Table28[Filtro de ruido],1), 1, Table14[[#This Row],[I_30]] / Table14[[#This Row],[I_0]])</f>
        <v>1</v>
      </c>
      <c r="X133" s="1">
        <f>IF(Table14[[#This Row],[I_0]] &lt; INDEX(Table28[Filtro de ruido],1), 1, Table14[[#This Row],[I_40]] / Table14[[#This Row],[I_0]])</f>
        <v>1</v>
      </c>
      <c r="Y133" s="19">
        <f>IF(Table14[[#This Row],[I_0]] &lt; INDEX(Table28[Filtro de ruido],1), 1, Table14[[#This Row],[I_50]] / Table14[[#This Row],[I_0]])</f>
        <v>1</v>
      </c>
      <c r="AA133" s="1"/>
    </row>
    <row r="134" spans="1:27" x14ac:dyDescent="0.3">
      <c r="A134" s="18">
        <v>201.19</v>
      </c>
      <c r="B134" s="1">
        <v>0</v>
      </c>
      <c r="C134" s="1">
        <v>201.19</v>
      </c>
      <c r="D134" s="1">
        <v>0</v>
      </c>
      <c r="E134" s="1">
        <v>201.19</v>
      </c>
      <c r="F134" s="1">
        <v>0</v>
      </c>
      <c r="G134" s="1">
        <v>201.19</v>
      </c>
      <c r="H134" s="1">
        <v>0</v>
      </c>
      <c r="I134" s="1">
        <v>201.19</v>
      </c>
      <c r="J134" s="1">
        <v>0</v>
      </c>
      <c r="K134" s="1">
        <v>201.19</v>
      </c>
      <c r="L134" s="1">
        <v>0</v>
      </c>
      <c r="M134" s="1">
        <v>201.19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201.19</v>
      </c>
      <c r="U134" s="1">
        <f>IF(Table14[[#This Row],[I_0]] &lt; INDEX(Table28[Filtro de ruido],1), 1, Table14[[#This Row],[I_10]] / Table14[[#This Row],[I_0]])</f>
        <v>1</v>
      </c>
      <c r="V134" s="1">
        <f>IF(Table14[[#This Row],[I_0]] &lt; INDEX(Table28[Filtro de ruido],1), 1, Table14[[#This Row],[I_20]] / Table14[[#This Row],[I_0]])</f>
        <v>1</v>
      </c>
      <c r="W134" s="1">
        <f>IF(Table14[[#This Row],[I_0]] &lt; INDEX(Table28[Filtro de ruido],1), 1, Table14[[#This Row],[I_30]] / Table14[[#This Row],[I_0]])</f>
        <v>1</v>
      </c>
      <c r="X134" s="1">
        <f>IF(Table14[[#This Row],[I_0]] &lt; INDEX(Table28[Filtro de ruido],1), 1, Table14[[#This Row],[I_40]] / Table14[[#This Row],[I_0]])</f>
        <v>1</v>
      </c>
      <c r="Y134" s="19">
        <f>IF(Table14[[#This Row],[I_0]] &lt; INDEX(Table28[Filtro de ruido],1), 1, Table14[[#This Row],[I_50]] / Table14[[#This Row],[I_0]])</f>
        <v>1</v>
      </c>
      <c r="AA134" s="1"/>
    </row>
    <row r="135" spans="1:27" x14ac:dyDescent="0.3">
      <c r="A135" s="18">
        <v>202.19</v>
      </c>
      <c r="B135" s="1">
        <v>0</v>
      </c>
      <c r="C135" s="1">
        <v>202.19</v>
      </c>
      <c r="D135" s="1">
        <v>0</v>
      </c>
      <c r="E135" s="1">
        <v>202.19</v>
      </c>
      <c r="F135" s="1">
        <v>0</v>
      </c>
      <c r="G135" s="1">
        <v>202.19</v>
      </c>
      <c r="H135" s="1">
        <v>0</v>
      </c>
      <c r="I135" s="1">
        <v>202.19</v>
      </c>
      <c r="J135" s="1">
        <v>0</v>
      </c>
      <c r="K135" s="1">
        <v>202.19</v>
      </c>
      <c r="L135" s="1">
        <v>0</v>
      </c>
      <c r="M135" s="1">
        <v>202.19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202.19</v>
      </c>
      <c r="U135" s="1">
        <f>IF(Table14[[#This Row],[I_0]] &lt; INDEX(Table28[Filtro de ruido],1), 1, Table14[[#This Row],[I_10]] / Table14[[#This Row],[I_0]])</f>
        <v>1</v>
      </c>
      <c r="V135" s="1">
        <f>IF(Table14[[#This Row],[I_0]] &lt; INDEX(Table28[Filtro de ruido],1), 1, Table14[[#This Row],[I_20]] / Table14[[#This Row],[I_0]])</f>
        <v>1</v>
      </c>
      <c r="W135" s="1">
        <f>IF(Table14[[#This Row],[I_0]] &lt; INDEX(Table28[Filtro de ruido],1), 1, Table14[[#This Row],[I_30]] / Table14[[#This Row],[I_0]])</f>
        <v>1</v>
      </c>
      <c r="X135" s="1">
        <f>IF(Table14[[#This Row],[I_0]] &lt; INDEX(Table28[Filtro de ruido],1), 1, Table14[[#This Row],[I_40]] / Table14[[#This Row],[I_0]])</f>
        <v>1</v>
      </c>
      <c r="Y135" s="19">
        <f>IF(Table14[[#This Row],[I_0]] &lt; INDEX(Table28[Filtro de ruido],1), 1, Table14[[#This Row],[I_50]] / Table14[[#This Row],[I_0]])</f>
        <v>1</v>
      </c>
      <c r="AA135" s="1"/>
    </row>
    <row r="136" spans="1:27" x14ac:dyDescent="0.3">
      <c r="A136" s="18">
        <v>203.18</v>
      </c>
      <c r="B136" s="1">
        <v>0</v>
      </c>
      <c r="C136" s="1">
        <v>203.18</v>
      </c>
      <c r="D136" s="1">
        <v>0</v>
      </c>
      <c r="E136" s="1">
        <v>203.18</v>
      </c>
      <c r="F136" s="1">
        <v>0</v>
      </c>
      <c r="G136" s="1">
        <v>203.18</v>
      </c>
      <c r="H136" s="1">
        <v>0</v>
      </c>
      <c r="I136" s="1">
        <v>203.18</v>
      </c>
      <c r="J136" s="1">
        <v>0</v>
      </c>
      <c r="K136" s="1">
        <v>203.18</v>
      </c>
      <c r="L136" s="1">
        <v>0</v>
      </c>
      <c r="M136" s="1">
        <v>203.18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203.18</v>
      </c>
      <c r="U136" s="1">
        <f>IF(Table14[[#This Row],[I_0]] &lt; INDEX(Table28[Filtro de ruido],1), 1, Table14[[#This Row],[I_10]] / Table14[[#This Row],[I_0]])</f>
        <v>1</v>
      </c>
      <c r="V136" s="1">
        <f>IF(Table14[[#This Row],[I_0]] &lt; INDEX(Table28[Filtro de ruido],1), 1, Table14[[#This Row],[I_20]] / Table14[[#This Row],[I_0]])</f>
        <v>1</v>
      </c>
      <c r="W136" s="1">
        <f>IF(Table14[[#This Row],[I_0]] &lt; INDEX(Table28[Filtro de ruido],1), 1, Table14[[#This Row],[I_30]] / Table14[[#This Row],[I_0]])</f>
        <v>1</v>
      </c>
      <c r="X136" s="1">
        <f>IF(Table14[[#This Row],[I_0]] &lt; INDEX(Table28[Filtro de ruido],1), 1, Table14[[#This Row],[I_40]] / Table14[[#This Row],[I_0]])</f>
        <v>1</v>
      </c>
      <c r="Y136" s="19">
        <f>IF(Table14[[#This Row],[I_0]] &lt; INDEX(Table28[Filtro de ruido],1), 1, Table14[[#This Row],[I_50]] / Table14[[#This Row],[I_0]])</f>
        <v>1</v>
      </c>
      <c r="AA136" s="1"/>
    </row>
    <row r="137" spans="1:27" x14ac:dyDescent="0.3">
      <c r="A137" s="18">
        <v>204.17</v>
      </c>
      <c r="B137" s="1">
        <v>0</v>
      </c>
      <c r="C137" s="1">
        <v>204.17</v>
      </c>
      <c r="D137" s="1">
        <v>0</v>
      </c>
      <c r="E137" s="1">
        <v>204.17</v>
      </c>
      <c r="F137" s="1">
        <v>0</v>
      </c>
      <c r="G137" s="1">
        <v>204.17</v>
      </c>
      <c r="H137" s="1">
        <v>0</v>
      </c>
      <c r="I137" s="1">
        <v>204.17</v>
      </c>
      <c r="J137" s="1">
        <v>0</v>
      </c>
      <c r="K137" s="1">
        <v>204.17</v>
      </c>
      <c r="L137" s="1">
        <v>0</v>
      </c>
      <c r="M137" s="1">
        <v>204.17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204.17</v>
      </c>
      <c r="U137" s="1">
        <f>IF(Table14[[#This Row],[I_0]] &lt; INDEX(Table28[Filtro de ruido],1), 1, Table14[[#This Row],[I_10]] / Table14[[#This Row],[I_0]])</f>
        <v>1</v>
      </c>
      <c r="V137" s="1">
        <f>IF(Table14[[#This Row],[I_0]] &lt; INDEX(Table28[Filtro de ruido],1), 1, Table14[[#This Row],[I_20]] / Table14[[#This Row],[I_0]])</f>
        <v>1</v>
      </c>
      <c r="W137" s="1">
        <f>IF(Table14[[#This Row],[I_0]] &lt; INDEX(Table28[Filtro de ruido],1), 1, Table14[[#This Row],[I_30]] / Table14[[#This Row],[I_0]])</f>
        <v>1</v>
      </c>
      <c r="X137" s="1">
        <f>IF(Table14[[#This Row],[I_0]] &lt; INDEX(Table28[Filtro de ruido],1), 1, Table14[[#This Row],[I_40]] / Table14[[#This Row],[I_0]])</f>
        <v>1</v>
      </c>
      <c r="Y137" s="19">
        <f>IF(Table14[[#This Row],[I_0]] &lt; INDEX(Table28[Filtro de ruido],1), 1, Table14[[#This Row],[I_50]] / Table14[[#This Row],[I_0]])</f>
        <v>1</v>
      </c>
      <c r="AA137" s="1"/>
    </row>
    <row r="138" spans="1:27" x14ac:dyDescent="0.3">
      <c r="A138" s="18">
        <v>205.16</v>
      </c>
      <c r="B138" s="1">
        <v>0</v>
      </c>
      <c r="C138" s="1">
        <v>205.16</v>
      </c>
      <c r="D138" s="1">
        <v>0</v>
      </c>
      <c r="E138" s="1">
        <v>205.16</v>
      </c>
      <c r="F138" s="1">
        <v>0</v>
      </c>
      <c r="G138" s="1">
        <v>205.16</v>
      </c>
      <c r="H138" s="1">
        <v>0</v>
      </c>
      <c r="I138" s="1">
        <v>205.16</v>
      </c>
      <c r="J138" s="1">
        <v>0</v>
      </c>
      <c r="K138" s="1">
        <v>205.16</v>
      </c>
      <c r="L138" s="1">
        <v>0</v>
      </c>
      <c r="M138" s="1">
        <v>205.16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205.16</v>
      </c>
      <c r="U138" s="1">
        <f>IF(Table14[[#This Row],[I_0]] &lt; INDEX(Table28[Filtro de ruido],1), 1, Table14[[#This Row],[I_10]] / Table14[[#This Row],[I_0]])</f>
        <v>1</v>
      </c>
      <c r="V138" s="1">
        <f>IF(Table14[[#This Row],[I_0]] &lt; INDEX(Table28[Filtro de ruido],1), 1, Table14[[#This Row],[I_20]] / Table14[[#This Row],[I_0]])</f>
        <v>1</v>
      </c>
      <c r="W138" s="1">
        <f>IF(Table14[[#This Row],[I_0]] &lt; INDEX(Table28[Filtro de ruido],1), 1, Table14[[#This Row],[I_30]] / Table14[[#This Row],[I_0]])</f>
        <v>1</v>
      </c>
      <c r="X138" s="1">
        <f>IF(Table14[[#This Row],[I_0]] &lt; INDEX(Table28[Filtro de ruido],1), 1, Table14[[#This Row],[I_40]] / Table14[[#This Row],[I_0]])</f>
        <v>1</v>
      </c>
      <c r="Y138" s="19">
        <f>IF(Table14[[#This Row],[I_0]] &lt; INDEX(Table28[Filtro de ruido],1), 1, Table14[[#This Row],[I_50]] / Table14[[#This Row],[I_0]])</f>
        <v>1</v>
      </c>
      <c r="AA138" s="1"/>
    </row>
    <row r="139" spans="1:27" x14ac:dyDescent="0.3">
      <c r="A139" s="18">
        <v>206.15</v>
      </c>
      <c r="B139" s="1">
        <v>0</v>
      </c>
      <c r="C139" s="1">
        <v>206.15</v>
      </c>
      <c r="D139" s="1">
        <v>0</v>
      </c>
      <c r="E139" s="1">
        <v>206.15</v>
      </c>
      <c r="F139" s="1">
        <v>0</v>
      </c>
      <c r="G139" s="1">
        <v>206.15</v>
      </c>
      <c r="H139" s="1">
        <v>0</v>
      </c>
      <c r="I139" s="1">
        <v>206.15</v>
      </c>
      <c r="J139" s="1">
        <v>0</v>
      </c>
      <c r="K139" s="1">
        <v>206.15</v>
      </c>
      <c r="L139" s="1">
        <v>0</v>
      </c>
      <c r="M139" s="1">
        <v>206.15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206.15</v>
      </c>
      <c r="U139" s="1">
        <f>IF(Table14[[#This Row],[I_0]] &lt; INDEX(Table28[Filtro de ruido],1), 1, Table14[[#This Row],[I_10]] / Table14[[#This Row],[I_0]])</f>
        <v>1</v>
      </c>
      <c r="V139" s="1">
        <f>IF(Table14[[#This Row],[I_0]] &lt; INDEX(Table28[Filtro de ruido],1), 1, Table14[[#This Row],[I_20]] / Table14[[#This Row],[I_0]])</f>
        <v>1</v>
      </c>
      <c r="W139" s="1">
        <f>IF(Table14[[#This Row],[I_0]] &lt; INDEX(Table28[Filtro de ruido],1), 1, Table14[[#This Row],[I_30]] / Table14[[#This Row],[I_0]])</f>
        <v>1</v>
      </c>
      <c r="X139" s="1">
        <f>IF(Table14[[#This Row],[I_0]] &lt; INDEX(Table28[Filtro de ruido],1), 1, Table14[[#This Row],[I_40]] / Table14[[#This Row],[I_0]])</f>
        <v>1</v>
      </c>
      <c r="Y139" s="19">
        <f>IF(Table14[[#This Row],[I_0]] &lt; INDEX(Table28[Filtro de ruido],1), 1, Table14[[#This Row],[I_50]] / Table14[[#This Row],[I_0]])</f>
        <v>1</v>
      </c>
      <c r="AA139" s="1"/>
    </row>
    <row r="140" spans="1:27" x14ac:dyDescent="0.3">
      <c r="A140" s="18">
        <v>207.14</v>
      </c>
      <c r="B140" s="1">
        <v>0</v>
      </c>
      <c r="C140" s="1">
        <v>207.14</v>
      </c>
      <c r="D140" s="1">
        <v>0</v>
      </c>
      <c r="E140" s="1">
        <v>207.14</v>
      </c>
      <c r="F140" s="1">
        <v>0</v>
      </c>
      <c r="G140" s="1">
        <v>207.14</v>
      </c>
      <c r="H140" s="1">
        <v>0</v>
      </c>
      <c r="I140" s="1">
        <v>207.14</v>
      </c>
      <c r="J140" s="1">
        <v>0</v>
      </c>
      <c r="K140" s="1">
        <v>207.14</v>
      </c>
      <c r="L140" s="1">
        <v>0</v>
      </c>
      <c r="M140" s="1">
        <v>207.14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207.14</v>
      </c>
      <c r="U140" s="1">
        <f>IF(Table14[[#This Row],[I_0]] &lt; INDEX(Table28[Filtro de ruido],1), 1, Table14[[#This Row],[I_10]] / Table14[[#This Row],[I_0]])</f>
        <v>1</v>
      </c>
      <c r="V140" s="1">
        <f>IF(Table14[[#This Row],[I_0]] &lt; INDEX(Table28[Filtro de ruido],1), 1, Table14[[#This Row],[I_20]] / Table14[[#This Row],[I_0]])</f>
        <v>1</v>
      </c>
      <c r="W140" s="1">
        <f>IF(Table14[[#This Row],[I_0]] &lt; INDEX(Table28[Filtro de ruido],1), 1, Table14[[#This Row],[I_30]] / Table14[[#This Row],[I_0]])</f>
        <v>1</v>
      </c>
      <c r="X140" s="1">
        <f>IF(Table14[[#This Row],[I_0]] &lt; INDEX(Table28[Filtro de ruido],1), 1, Table14[[#This Row],[I_40]] / Table14[[#This Row],[I_0]])</f>
        <v>1</v>
      </c>
      <c r="Y140" s="19">
        <f>IF(Table14[[#This Row],[I_0]] &lt; INDEX(Table28[Filtro de ruido],1), 1, Table14[[#This Row],[I_50]] / Table14[[#This Row],[I_0]])</f>
        <v>1</v>
      </c>
      <c r="AA140" s="1"/>
    </row>
    <row r="141" spans="1:27" x14ac:dyDescent="0.3">
      <c r="A141" s="18">
        <v>208.14</v>
      </c>
      <c r="B141" s="1">
        <v>0</v>
      </c>
      <c r="C141" s="1">
        <v>208.14</v>
      </c>
      <c r="D141" s="1">
        <v>0</v>
      </c>
      <c r="E141" s="1">
        <v>208.14</v>
      </c>
      <c r="F141" s="1">
        <v>0</v>
      </c>
      <c r="G141" s="1">
        <v>208.14</v>
      </c>
      <c r="H141" s="1">
        <v>0</v>
      </c>
      <c r="I141" s="1">
        <v>208.14</v>
      </c>
      <c r="J141" s="1">
        <v>0</v>
      </c>
      <c r="K141" s="1">
        <v>208.14</v>
      </c>
      <c r="L141" s="1">
        <v>0</v>
      </c>
      <c r="M141" s="1">
        <v>208.14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208.14</v>
      </c>
      <c r="U141" s="1">
        <f>IF(Table14[[#This Row],[I_0]] &lt; INDEX(Table28[Filtro de ruido],1), 1, Table14[[#This Row],[I_10]] / Table14[[#This Row],[I_0]])</f>
        <v>1</v>
      </c>
      <c r="V141" s="1">
        <f>IF(Table14[[#This Row],[I_0]] &lt; INDEX(Table28[Filtro de ruido],1), 1, Table14[[#This Row],[I_20]] / Table14[[#This Row],[I_0]])</f>
        <v>1</v>
      </c>
      <c r="W141" s="1">
        <f>IF(Table14[[#This Row],[I_0]] &lt; INDEX(Table28[Filtro de ruido],1), 1, Table14[[#This Row],[I_30]] / Table14[[#This Row],[I_0]])</f>
        <v>1</v>
      </c>
      <c r="X141" s="1">
        <f>IF(Table14[[#This Row],[I_0]] &lt; INDEX(Table28[Filtro de ruido],1), 1, Table14[[#This Row],[I_40]] / Table14[[#This Row],[I_0]])</f>
        <v>1</v>
      </c>
      <c r="Y141" s="19">
        <f>IF(Table14[[#This Row],[I_0]] &lt; INDEX(Table28[Filtro de ruido],1), 1, Table14[[#This Row],[I_50]] / Table14[[#This Row],[I_0]])</f>
        <v>1</v>
      </c>
      <c r="AA141" s="1"/>
    </row>
    <row r="142" spans="1:27" x14ac:dyDescent="0.3">
      <c r="A142" s="18">
        <v>209.13</v>
      </c>
      <c r="B142" s="1">
        <v>0</v>
      </c>
      <c r="C142" s="1">
        <v>209.13</v>
      </c>
      <c r="D142" s="1">
        <v>0</v>
      </c>
      <c r="E142" s="1">
        <v>209.13</v>
      </c>
      <c r="F142" s="1">
        <v>0</v>
      </c>
      <c r="G142" s="1">
        <v>209.13</v>
      </c>
      <c r="H142" s="1">
        <v>0</v>
      </c>
      <c r="I142" s="1">
        <v>209.13</v>
      </c>
      <c r="J142" s="1">
        <v>0</v>
      </c>
      <c r="K142" s="1">
        <v>209.13</v>
      </c>
      <c r="L142" s="1">
        <v>0</v>
      </c>
      <c r="M142" s="1">
        <v>209.13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209.13</v>
      </c>
      <c r="U142" s="1">
        <f>IF(Table14[[#This Row],[I_0]] &lt; INDEX(Table28[Filtro de ruido],1), 1, Table14[[#This Row],[I_10]] / Table14[[#This Row],[I_0]])</f>
        <v>1</v>
      </c>
      <c r="V142" s="1">
        <f>IF(Table14[[#This Row],[I_0]] &lt; INDEX(Table28[Filtro de ruido],1), 1, Table14[[#This Row],[I_20]] / Table14[[#This Row],[I_0]])</f>
        <v>1</v>
      </c>
      <c r="W142" s="1">
        <f>IF(Table14[[#This Row],[I_0]] &lt; INDEX(Table28[Filtro de ruido],1), 1, Table14[[#This Row],[I_30]] / Table14[[#This Row],[I_0]])</f>
        <v>1</v>
      </c>
      <c r="X142" s="1">
        <f>IF(Table14[[#This Row],[I_0]] &lt; INDEX(Table28[Filtro de ruido],1), 1, Table14[[#This Row],[I_40]] / Table14[[#This Row],[I_0]])</f>
        <v>1</v>
      </c>
      <c r="Y142" s="19">
        <f>IF(Table14[[#This Row],[I_0]] &lt; INDEX(Table28[Filtro de ruido],1), 1, Table14[[#This Row],[I_50]] / Table14[[#This Row],[I_0]])</f>
        <v>1</v>
      </c>
      <c r="AA142" s="1"/>
    </row>
    <row r="143" spans="1:27" x14ac:dyDescent="0.3">
      <c r="A143" s="18">
        <v>210.12</v>
      </c>
      <c r="B143" s="1">
        <v>0</v>
      </c>
      <c r="C143" s="1">
        <v>210.12</v>
      </c>
      <c r="D143" s="1">
        <v>0</v>
      </c>
      <c r="E143" s="1">
        <v>210.12</v>
      </c>
      <c r="F143" s="1">
        <v>0</v>
      </c>
      <c r="G143" s="1">
        <v>210.12</v>
      </c>
      <c r="H143" s="1">
        <v>0</v>
      </c>
      <c r="I143" s="1">
        <v>210.12</v>
      </c>
      <c r="J143" s="1">
        <v>0</v>
      </c>
      <c r="K143" s="1">
        <v>210.12</v>
      </c>
      <c r="L143" s="1">
        <v>0</v>
      </c>
      <c r="M143" s="1">
        <v>210.12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210.12</v>
      </c>
      <c r="U143" s="1">
        <f>IF(Table14[[#This Row],[I_0]] &lt; INDEX(Table28[Filtro de ruido],1), 1, Table14[[#This Row],[I_10]] / Table14[[#This Row],[I_0]])</f>
        <v>1</v>
      </c>
      <c r="V143" s="1">
        <f>IF(Table14[[#This Row],[I_0]] &lt; INDEX(Table28[Filtro de ruido],1), 1, Table14[[#This Row],[I_20]] / Table14[[#This Row],[I_0]])</f>
        <v>1</v>
      </c>
      <c r="W143" s="1">
        <f>IF(Table14[[#This Row],[I_0]] &lt; INDEX(Table28[Filtro de ruido],1), 1, Table14[[#This Row],[I_30]] / Table14[[#This Row],[I_0]])</f>
        <v>1</v>
      </c>
      <c r="X143" s="1">
        <f>IF(Table14[[#This Row],[I_0]] &lt; INDEX(Table28[Filtro de ruido],1), 1, Table14[[#This Row],[I_40]] / Table14[[#This Row],[I_0]])</f>
        <v>1</v>
      </c>
      <c r="Y143" s="19">
        <f>IF(Table14[[#This Row],[I_0]] &lt; INDEX(Table28[Filtro de ruido],1), 1, Table14[[#This Row],[I_50]] / Table14[[#This Row],[I_0]])</f>
        <v>1</v>
      </c>
      <c r="AA143" s="1"/>
    </row>
    <row r="144" spans="1:27" x14ac:dyDescent="0.3">
      <c r="A144" s="18">
        <v>211.11</v>
      </c>
      <c r="B144" s="1">
        <v>0</v>
      </c>
      <c r="C144" s="1">
        <v>211.11</v>
      </c>
      <c r="D144" s="1">
        <v>0</v>
      </c>
      <c r="E144" s="1">
        <v>211.11</v>
      </c>
      <c r="F144" s="1">
        <v>0</v>
      </c>
      <c r="G144" s="1">
        <v>211.11</v>
      </c>
      <c r="H144" s="1">
        <v>0</v>
      </c>
      <c r="I144" s="1">
        <v>211.11</v>
      </c>
      <c r="J144" s="1">
        <v>0</v>
      </c>
      <c r="K144" s="1">
        <v>211.11</v>
      </c>
      <c r="L144" s="1">
        <v>0</v>
      </c>
      <c r="M144" s="1">
        <v>211.11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211.11</v>
      </c>
      <c r="U144" s="1">
        <f>IF(Table14[[#This Row],[I_0]] &lt; INDEX(Table28[Filtro de ruido],1), 1, Table14[[#This Row],[I_10]] / Table14[[#This Row],[I_0]])</f>
        <v>1</v>
      </c>
      <c r="V144" s="1">
        <f>IF(Table14[[#This Row],[I_0]] &lt; INDEX(Table28[Filtro de ruido],1), 1, Table14[[#This Row],[I_20]] / Table14[[#This Row],[I_0]])</f>
        <v>1</v>
      </c>
      <c r="W144" s="1">
        <f>IF(Table14[[#This Row],[I_0]] &lt; INDEX(Table28[Filtro de ruido],1), 1, Table14[[#This Row],[I_30]] / Table14[[#This Row],[I_0]])</f>
        <v>1</v>
      </c>
      <c r="X144" s="1">
        <f>IF(Table14[[#This Row],[I_0]] &lt; INDEX(Table28[Filtro de ruido],1), 1, Table14[[#This Row],[I_40]] / Table14[[#This Row],[I_0]])</f>
        <v>1</v>
      </c>
      <c r="Y144" s="19">
        <f>IF(Table14[[#This Row],[I_0]] &lt; INDEX(Table28[Filtro de ruido],1), 1, Table14[[#This Row],[I_50]] / Table14[[#This Row],[I_0]])</f>
        <v>1</v>
      </c>
      <c r="AA144" s="1"/>
    </row>
    <row r="145" spans="1:27" x14ac:dyDescent="0.3">
      <c r="A145" s="18">
        <v>212.1</v>
      </c>
      <c r="B145" s="1">
        <v>0</v>
      </c>
      <c r="C145" s="1">
        <v>212.1</v>
      </c>
      <c r="D145" s="1">
        <v>0</v>
      </c>
      <c r="E145" s="1">
        <v>212.1</v>
      </c>
      <c r="F145" s="1">
        <v>0</v>
      </c>
      <c r="G145" s="1">
        <v>212.1</v>
      </c>
      <c r="H145" s="1">
        <v>0</v>
      </c>
      <c r="I145" s="1">
        <v>212.1</v>
      </c>
      <c r="J145" s="1">
        <v>0</v>
      </c>
      <c r="K145" s="1">
        <v>212.1</v>
      </c>
      <c r="L145" s="1">
        <v>0</v>
      </c>
      <c r="M145" s="1">
        <v>212.1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212.1</v>
      </c>
      <c r="U145" s="1">
        <f>IF(Table14[[#This Row],[I_0]] &lt; INDEX(Table28[Filtro de ruido],1), 1, Table14[[#This Row],[I_10]] / Table14[[#This Row],[I_0]])</f>
        <v>1</v>
      </c>
      <c r="V145" s="1">
        <f>IF(Table14[[#This Row],[I_0]] &lt; INDEX(Table28[Filtro de ruido],1), 1, Table14[[#This Row],[I_20]] / Table14[[#This Row],[I_0]])</f>
        <v>1</v>
      </c>
      <c r="W145" s="1">
        <f>IF(Table14[[#This Row],[I_0]] &lt; INDEX(Table28[Filtro de ruido],1), 1, Table14[[#This Row],[I_30]] / Table14[[#This Row],[I_0]])</f>
        <v>1</v>
      </c>
      <c r="X145" s="1">
        <f>IF(Table14[[#This Row],[I_0]] &lt; INDEX(Table28[Filtro de ruido],1), 1, Table14[[#This Row],[I_40]] / Table14[[#This Row],[I_0]])</f>
        <v>1</v>
      </c>
      <c r="Y145" s="19">
        <f>IF(Table14[[#This Row],[I_0]] &lt; INDEX(Table28[Filtro de ruido],1), 1, Table14[[#This Row],[I_50]] / Table14[[#This Row],[I_0]])</f>
        <v>1</v>
      </c>
      <c r="AA145" s="1"/>
    </row>
    <row r="146" spans="1:27" x14ac:dyDescent="0.3">
      <c r="A146" s="18">
        <v>213.1</v>
      </c>
      <c r="B146" s="1">
        <v>0</v>
      </c>
      <c r="C146" s="1">
        <v>213.1</v>
      </c>
      <c r="D146" s="1">
        <v>0</v>
      </c>
      <c r="E146" s="1">
        <v>213.1</v>
      </c>
      <c r="F146" s="1">
        <v>0</v>
      </c>
      <c r="G146" s="1">
        <v>213.1</v>
      </c>
      <c r="H146" s="1">
        <v>0</v>
      </c>
      <c r="I146" s="1">
        <v>213.1</v>
      </c>
      <c r="J146" s="1">
        <v>0</v>
      </c>
      <c r="K146" s="1">
        <v>213.1</v>
      </c>
      <c r="L146" s="1">
        <v>0</v>
      </c>
      <c r="M146" s="1">
        <v>213.1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213.1</v>
      </c>
      <c r="U146" s="1">
        <f>IF(Table14[[#This Row],[I_0]] &lt; INDEX(Table28[Filtro de ruido],1), 1, Table14[[#This Row],[I_10]] / Table14[[#This Row],[I_0]])</f>
        <v>1</v>
      </c>
      <c r="V146" s="1">
        <f>IF(Table14[[#This Row],[I_0]] &lt; INDEX(Table28[Filtro de ruido],1), 1, Table14[[#This Row],[I_20]] / Table14[[#This Row],[I_0]])</f>
        <v>1</v>
      </c>
      <c r="W146" s="1">
        <f>IF(Table14[[#This Row],[I_0]] &lt; INDEX(Table28[Filtro de ruido],1), 1, Table14[[#This Row],[I_30]] / Table14[[#This Row],[I_0]])</f>
        <v>1</v>
      </c>
      <c r="X146" s="1">
        <f>IF(Table14[[#This Row],[I_0]] &lt; INDEX(Table28[Filtro de ruido],1), 1, Table14[[#This Row],[I_40]] / Table14[[#This Row],[I_0]])</f>
        <v>1</v>
      </c>
      <c r="Y146" s="19">
        <f>IF(Table14[[#This Row],[I_0]] &lt; INDEX(Table28[Filtro de ruido],1), 1, Table14[[#This Row],[I_50]] / Table14[[#This Row],[I_0]])</f>
        <v>1</v>
      </c>
      <c r="AA146" s="1"/>
    </row>
    <row r="147" spans="1:27" x14ac:dyDescent="0.3">
      <c r="A147" s="18">
        <v>214.09</v>
      </c>
      <c r="B147" s="1">
        <v>0</v>
      </c>
      <c r="C147" s="1">
        <v>214.09</v>
      </c>
      <c r="D147" s="1">
        <v>0</v>
      </c>
      <c r="E147" s="1">
        <v>214.09</v>
      </c>
      <c r="F147" s="1">
        <v>0</v>
      </c>
      <c r="G147" s="1">
        <v>214.09</v>
      </c>
      <c r="H147" s="1">
        <v>0</v>
      </c>
      <c r="I147" s="1">
        <v>214.09</v>
      </c>
      <c r="J147" s="1">
        <v>0</v>
      </c>
      <c r="K147" s="1">
        <v>214.09</v>
      </c>
      <c r="L147" s="1">
        <v>0</v>
      </c>
      <c r="M147" s="1">
        <v>214.09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214.09</v>
      </c>
      <c r="U147" s="1">
        <f>IF(Table14[[#This Row],[I_0]] &lt; INDEX(Table28[Filtro de ruido],1), 1, Table14[[#This Row],[I_10]] / Table14[[#This Row],[I_0]])</f>
        <v>1</v>
      </c>
      <c r="V147" s="1">
        <f>IF(Table14[[#This Row],[I_0]] &lt; INDEX(Table28[Filtro de ruido],1), 1, Table14[[#This Row],[I_20]] / Table14[[#This Row],[I_0]])</f>
        <v>1</v>
      </c>
      <c r="W147" s="1">
        <f>IF(Table14[[#This Row],[I_0]] &lt; INDEX(Table28[Filtro de ruido],1), 1, Table14[[#This Row],[I_30]] / Table14[[#This Row],[I_0]])</f>
        <v>1</v>
      </c>
      <c r="X147" s="1">
        <f>IF(Table14[[#This Row],[I_0]] &lt; INDEX(Table28[Filtro de ruido],1), 1, Table14[[#This Row],[I_40]] / Table14[[#This Row],[I_0]])</f>
        <v>1</v>
      </c>
      <c r="Y147" s="19">
        <f>IF(Table14[[#This Row],[I_0]] &lt; INDEX(Table28[Filtro de ruido],1), 1, Table14[[#This Row],[I_50]] / Table14[[#This Row],[I_0]])</f>
        <v>1</v>
      </c>
      <c r="AA147" s="1"/>
    </row>
    <row r="148" spans="1:27" x14ac:dyDescent="0.3">
      <c r="A148" s="18">
        <v>215.08</v>
      </c>
      <c r="B148" s="1">
        <v>0</v>
      </c>
      <c r="C148" s="1">
        <v>215.08</v>
      </c>
      <c r="D148" s="1">
        <v>0</v>
      </c>
      <c r="E148" s="1">
        <v>215.08</v>
      </c>
      <c r="F148" s="1">
        <v>0</v>
      </c>
      <c r="G148" s="1">
        <v>215.08</v>
      </c>
      <c r="H148" s="1">
        <v>0</v>
      </c>
      <c r="I148" s="1">
        <v>215.08</v>
      </c>
      <c r="J148" s="1">
        <v>0</v>
      </c>
      <c r="K148" s="1">
        <v>215.08</v>
      </c>
      <c r="L148" s="1">
        <v>0</v>
      </c>
      <c r="M148" s="1">
        <v>215.08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215.08</v>
      </c>
      <c r="U148" s="1">
        <f>IF(Table14[[#This Row],[I_0]] &lt; INDEX(Table28[Filtro de ruido],1), 1, Table14[[#This Row],[I_10]] / Table14[[#This Row],[I_0]])</f>
        <v>1</v>
      </c>
      <c r="V148" s="1">
        <f>IF(Table14[[#This Row],[I_0]] &lt; INDEX(Table28[Filtro de ruido],1), 1, Table14[[#This Row],[I_20]] / Table14[[#This Row],[I_0]])</f>
        <v>1</v>
      </c>
      <c r="W148" s="1">
        <f>IF(Table14[[#This Row],[I_0]] &lt; INDEX(Table28[Filtro de ruido],1), 1, Table14[[#This Row],[I_30]] / Table14[[#This Row],[I_0]])</f>
        <v>1</v>
      </c>
      <c r="X148" s="1">
        <f>IF(Table14[[#This Row],[I_0]] &lt; INDEX(Table28[Filtro de ruido],1), 1, Table14[[#This Row],[I_40]] / Table14[[#This Row],[I_0]])</f>
        <v>1</v>
      </c>
      <c r="Y148" s="19">
        <f>IF(Table14[[#This Row],[I_0]] &lt; INDEX(Table28[Filtro de ruido],1), 1, Table14[[#This Row],[I_50]] / Table14[[#This Row],[I_0]])</f>
        <v>1</v>
      </c>
      <c r="AA148" s="1"/>
    </row>
    <row r="149" spans="1:27" x14ac:dyDescent="0.3">
      <c r="A149" s="18">
        <v>216.07</v>
      </c>
      <c r="B149" s="1">
        <v>0</v>
      </c>
      <c r="C149" s="1">
        <v>216.07</v>
      </c>
      <c r="D149" s="1">
        <v>0</v>
      </c>
      <c r="E149" s="1">
        <v>216.07</v>
      </c>
      <c r="F149" s="1">
        <v>0</v>
      </c>
      <c r="G149" s="1">
        <v>216.07</v>
      </c>
      <c r="H149" s="1">
        <v>0</v>
      </c>
      <c r="I149" s="1">
        <v>216.07</v>
      </c>
      <c r="J149" s="1">
        <v>0</v>
      </c>
      <c r="K149" s="1">
        <v>216.07</v>
      </c>
      <c r="L149" s="1">
        <v>0</v>
      </c>
      <c r="M149" s="1">
        <v>216.07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216.07</v>
      </c>
      <c r="U149" s="1">
        <f>IF(Table14[[#This Row],[I_0]] &lt; INDEX(Table28[Filtro de ruido],1), 1, Table14[[#This Row],[I_10]] / Table14[[#This Row],[I_0]])</f>
        <v>1</v>
      </c>
      <c r="V149" s="1">
        <f>IF(Table14[[#This Row],[I_0]] &lt; INDEX(Table28[Filtro de ruido],1), 1, Table14[[#This Row],[I_20]] / Table14[[#This Row],[I_0]])</f>
        <v>1</v>
      </c>
      <c r="W149" s="1">
        <f>IF(Table14[[#This Row],[I_0]] &lt; INDEX(Table28[Filtro de ruido],1), 1, Table14[[#This Row],[I_30]] / Table14[[#This Row],[I_0]])</f>
        <v>1</v>
      </c>
      <c r="X149" s="1">
        <f>IF(Table14[[#This Row],[I_0]] &lt; INDEX(Table28[Filtro de ruido],1), 1, Table14[[#This Row],[I_40]] / Table14[[#This Row],[I_0]])</f>
        <v>1</v>
      </c>
      <c r="Y149" s="19">
        <f>IF(Table14[[#This Row],[I_0]] &lt; INDEX(Table28[Filtro de ruido],1), 1, Table14[[#This Row],[I_50]] / Table14[[#This Row],[I_0]])</f>
        <v>1</v>
      </c>
      <c r="AA149" s="1"/>
    </row>
    <row r="150" spans="1:27" x14ac:dyDescent="0.3">
      <c r="A150" s="18">
        <v>217.06</v>
      </c>
      <c r="B150" s="1">
        <v>0</v>
      </c>
      <c r="C150" s="1">
        <v>217.06</v>
      </c>
      <c r="D150" s="1">
        <v>0</v>
      </c>
      <c r="E150" s="1">
        <v>217.06</v>
      </c>
      <c r="F150" s="1">
        <v>0</v>
      </c>
      <c r="G150" s="1">
        <v>217.06</v>
      </c>
      <c r="H150" s="1">
        <v>0</v>
      </c>
      <c r="I150" s="1">
        <v>217.06</v>
      </c>
      <c r="J150" s="1">
        <v>0</v>
      </c>
      <c r="K150" s="1">
        <v>217.06</v>
      </c>
      <c r="L150" s="1">
        <v>0</v>
      </c>
      <c r="M150" s="1">
        <v>217.06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217.06</v>
      </c>
      <c r="U150" s="1">
        <f>IF(Table14[[#This Row],[I_0]] &lt; INDEX(Table28[Filtro de ruido],1), 1, Table14[[#This Row],[I_10]] / Table14[[#This Row],[I_0]])</f>
        <v>1</v>
      </c>
      <c r="V150" s="1">
        <f>IF(Table14[[#This Row],[I_0]] &lt; INDEX(Table28[Filtro de ruido],1), 1, Table14[[#This Row],[I_20]] / Table14[[#This Row],[I_0]])</f>
        <v>1</v>
      </c>
      <c r="W150" s="1">
        <f>IF(Table14[[#This Row],[I_0]] &lt; INDEX(Table28[Filtro de ruido],1), 1, Table14[[#This Row],[I_30]] / Table14[[#This Row],[I_0]])</f>
        <v>1</v>
      </c>
      <c r="X150" s="1">
        <f>IF(Table14[[#This Row],[I_0]] &lt; INDEX(Table28[Filtro de ruido],1), 1, Table14[[#This Row],[I_40]] / Table14[[#This Row],[I_0]])</f>
        <v>1</v>
      </c>
      <c r="Y150" s="19">
        <f>IF(Table14[[#This Row],[I_0]] &lt; INDEX(Table28[Filtro de ruido],1), 1, Table14[[#This Row],[I_50]] / Table14[[#This Row],[I_0]])</f>
        <v>1</v>
      </c>
      <c r="AA150" s="1"/>
    </row>
    <row r="151" spans="1:27" x14ac:dyDescent="0.3">
      <c r="A151" s="18">
        <v>218.05</v>
      </c>
      <c r="B151" s="1">
        <v>0</v>
      </c>
      <c r="C151" s="1">
        <v>218.05</v>
      </c>
      <c r="D151" s="1">
        <v>0</v>
      </c>
      <c r="E151" s="1">
        <v>218.05</v>
      </c>
      <c r="F151" s="1">
        <v>0</v>
      </c>
      <c r="G151" s="1">
        <v>218.05</v>
      </c>
      <c r="H151" s="1">
        <v>0</v>
      </c>
      <c r="I151" s="1">
        <v>218.05</v>
      </c>
      <c r="J151" s="1">
        <v>0</v>
      </c>
      <c r="K151" s="1">
        <v>218.05</v>
      </c>
      <c r="L151" s="1">
        <v>0</v>
      </c>
      <c r="M151" s="1">
        <v>218.05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218.05</v>
      </c>
      <c r="U151" s="1">
        <f>IF(Table14[[#This Row],[I_0]] &lt; INDEX(Table28[Filtro de ruido],1), 1, Table14[[#This Row],[I_10]] / Table14[[#This Row],[I_0]])</f>
        <v>1</v>
      </c>
      <c r="V151" s="1">
        <f>IF(Table14[[#This Row],[I_0]] &lt; INDEX(Table28[Filtro de ruido],1), 1, Table14[[#This Row],[I_20]] / Table14[[#This Row],[I_0]])</f>
        <v>1</v>
      </c>
      <c r="W151" s="1">
        <f>IF(Table14[[#This Row],[I_0]] &lt; INDEX(Table28[Filtro de ruido],1), 1, Table14[[#This Row],[I_30]] / Table14[[#This Row],[I_0]])</f>
        <v>1</v>
      </c>
      <c r="X151" s="1">
        <f>IF(Table14[[#This Row],[I_0]] &lt; INDEX(Table28[Filtro de ruido],1), 1, Table14[[#This Row],[I_40]] / Table14[[#This Row],[I_0]])</f>
        <v>1</v>
      </c>
      <c r="Y151" s="19">
        <f>IF(Table14[[#This Row],[I_0]] &lt; INDEX(Table28[Filtro de ruido],1), 1, Table14[[#This Row],[I_50]] / Table14[[#This Row],[I_0]])</f>
        <v>1</v>
      </c>
      <c r="AA151" s="1"/>
    </row>
    <row r="152" spans="1:27" x14ac:dyDescent="0.3">
      <c r="A152" s="18">
        <v>219.05</v>
      </c>
      <c r="B152" s="1">
        <v>0</v>
      </c>
      <c r="C152" s="1">
        <v>219.05</v>
      </c>
      <c r="D152" s="1">
        <v>0</v>
      </c>
      <c r="E152" s="1">
        <v>219.05</v>
      </c>
      <c r="F152" s="1">
        <v>0</v>
      </c>
      <c r="G152" s="1">
        <v>219.05</v>
      </c>
      <c r="H152" s="1">
        <v>0</v>
      </c>
      <c r="I152" s="1">
        <v>219.05</v>
      </c>
      <c r="J152" s="1">
        <v>0</v>
      </c>
      <c r="K152" s="1">
        <v>219.05</v>
      </c>
      <c r="L152" s="1">
        <v>0</v>
      </c>
      <c r="M152" s="1">
        <v>219.05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219.05</v>
      </c>
      <c r="U152" s="1">
        <f>IF(Table14[[#This Row],[I_0]] &lt; INDEX(Table28[Filtro de ruido],1), 1, Table14[[#This Row],[I_10]] / Table14[[#This Row],[I_0]])</f>
        <v>1</v>
      </c>
      <c r="V152" s="1">
        <f>IF(Table14[[#This Row],[I_0]] &lt; INDEX(Table28[Filtro de ruido],1), 1, Table14[[#This Row],[I_20]] / Table14[[#This Row],[I_0]])</f>
        <v>1</v>
      </c>
      <c r="W152" s="1">
        <f>IF(Table14[[#This Row],[I_0]] &lt; INDEX(Table28[Filtro de ruido],1), 1, Table14[[#This Row],[I_30]] / Table14[[#This Row],[I_0]])</f>
        <v>1</v>
      </c>
      <c r="X152" s="1">
        <f>IF(Table14[[#This Row],[I_0]] &lt; INDEX(Table28[Filtro de ruido],1), 1, Table14[[#This Row],[I_40]] / Table14[[#This Row],[I_0]])</f>
        <v>1</v>
      </c>
      <c r="Y152" s="19">
        <f>IF(Table14[[#This Row],[I_0]] &lt; INDEX(Table28[Filtro de ruido],1), 1, Table14[[#This Row],[I_50]] / Table14[[#This Row],[I_0]])</f>
        <v>1</v>
      </c>
      <c r="AA152" s="1"/>
    </row>
    <row r="153" spans="1:27" x14ac:dyDescent="0.3">
      <c r="A153" s="18">
        <v>220.04</v>
      </c>
      <c r="B153" s="1">
        <v>0</v>
      </c>
      <c r="C153" s="1">
        <v>220.04</v>
      </c>
      <c r="D153" s="1">
        <v>0</v>
      </c>
      <c r="E153" s="1">
        <v>220.04</v>
      </c>
      <c r="F153" s="1">
        <v>0</v>
      </c>
      <c r="G153" s="1">
        <v>220.04</v>
      </c>
      <c r="H153" s="1">
        <v>0</v>
      </c>
      <c r="I153" s="1">
        <v>220.04</v>
      </c>
      <c r="J153" s="1">
        <v>0</v>
      </c>
      <c r="K153" s="1">
        <v>220.04</v>
      </c>
      <c r="L153" s="1">
        <v>0</v>
      </c>
      <c r="M153" s="1">
        <v>220.04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220.04</v>
      </c>
      <c r="U153" s="1">
        <f>IF(Table14[[#This Row],[I_0]] &lt; INDEX(Table28[Filtro de ruido],1), 1, Table14[[#This Row],[I_10]] / Table14[[#This Row],[I_0]])</f>
        <v>1</v>
      </c>
      <c r="V153" s="1">
        <f>IF(Table14[[#This Row],[I_0]] &lt; INDEX(Table28[Filtro de ruido],1), 1, Table14[[#This Row],[I_20]] / Table14[[#This Row],[I_0]])</f>
        <v>1</v>
      </c>
      <c r="W153" s="1">
        <f>IF(Table14[[#This Row],[I_0]] &lt; INDEX(Table28[Filtro de ruido],1), 1, Table14[[#This Row],[I_30]] / Table14[[#This Row],[I_0]])</f>
        <v>1</v>
      </c>
      <c r="X153" s="1">
        <f>IF(Table14[[#This Row],[I_0]] &lt; INDEX(Table28[Filtro de ruido],1), 1, Table14[[#This Row],[I_40]] / Table14[[#This Row],[I_0]])</f>
        <v>1</v>
      </c>
      <c r="Y153" s="19">
        <f>IF(Table14[[#This Row],[I_0]] &lt; INDEX(Table28[Filtro de ruido],1), 1, Table14[[#This Row],[I_50]] / Table14[[#This Row],[I_0]])</f>
        <v>1</v>
      </c>
      <c r="AA153" s="1"/>
    </row>
    <row r="154" spans="1:27" x14ac:dyDescent="0.3">
      <c r="A154" s="18">
        <v>221.03</v>
      </c>
      <c r="B154" s="1">
        <v>0</v>
      </c>
      <c r="C154" s="1">
        <v>221.03</v>
      </c>
      <c r="D154" s="1">
        <v>0</v>
      </c>
      <c r="E154" s="1">
        <v>221.03</v>
      </c>
      <c r="F154" s="1">
        <v>0</v>
      </c>
      <c r="G154" s="1">
        <v>221.03</v>
      </c>
      <c r="H154" s="1">
        <v>0</v>
      </c>
      <c r="I154" s="1">
        <v>221.03</v>
      </c>
      <c r="J154" s="1">
        <v>0</v>
      </c>
      <c r="K154" s="1">
        <v>221.03</v>
      </c>
      <c r="L154" s="1">
        <v>0</v>
      </c>
      <c r="M154" s="1">
        <v>221.03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221.03</v>
      </c>
      <c r="U154" s="1">
        <f>IF(Table14[[#This Row],[I_0]] &lt; INDEX(Table28[Filtro de ruido],1), 1, Table14[[#This Row],[I_10]] / Table14[[#This Row],[I_0]])</f>
        <v>1</v>
      </c>
      <c r="V154" s="1">
        <f>IF(Table14[[#This Row],[I_0]] &lt; INDEX(Table28[Filtro de ruido],1), 1, Table14[[#This Row],[I_20]] / Table14[[#This Row],[I_0]])</f>
        <v>1</v>
      </c>
      <c r="W154" s="1">
        <f>IF(Table14[[#This Row],[I_0]] &lt; INDEX(Table28[Filtro de ruido],1), 1, Table14[[#This Row],[I_30]] / Table14[[#This Row],[I_0]])</f>
        <v>1</v>
      </c>
      <c r="X154" s="1">
        <f>IF(Table14[[#This Row],[I_0]] &lt; INDEX(Table28[Filtro de ruido],1), 1, Table14[[#This Row],[I_40]] / Table14[[#This Row],[I_0]])</f>
        <v>1</v>
      </c>
      <c r="Y154" s="19">
        <f>IF(Table14[[#This Row],[I_0]] &lt; INDEX(Table28[Filtro de ruido],1), 1, Table14[[#This Row],[I_50]] / Table14[[#This Row],[I_0]])</f>
        <v>1</v>
      </c>
      <c r="AA154" s="1"/>
    </row>
    <row r="155" spans="1:27" x14ac:dyDescent="0.3">
      <c r="A155" s="18">
        <v>222.02</v>
      </c>
      <c r="B155" s="1">
        <v>0</v>
      </c>
      <c r="C155" s="1">
        <v>222.02</v>
      </c>
      <c r="D155" s="1">
        <v>0</v>
      </c>
      <c r="E155" s="1">
        <v>222.02</v>
      </c>
      <c r="F155" s="1">
        <v>0</v>
      </c>
      <c r="G155" s="1">
        <v>222.02</v>
      </c>
      <c r="H155" s="1">
        <v>0</v>
      </c>
      <c r="I155" s="1">
        <v>222.02</v>
      </c>
      <c r="J155" s="1">
        <v>0</v>
      </c>
      <c r="K155" s="1">
        <v>222.02</v>
      </c>
      <c r="L155" s="1">
        <v>0</v>
      </c>
      <c r="M155" s="1">
        <v>222.02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222.02</v>
      </c>
      <c r="U155" s="1">
        <f>IF(Table14[[#This Row],[I_0]] &lt; INDEX(Table28[Filtro de ruido],1), 1, Table14[[#This Row],[I_10]] / Table14[[#This Row],[I_0]])</f>
        <v>1</v>
      </c>
      <c r="V155" s="1">
        <f>IF(Table14[[#This Row],[I_0]] &lt; INDEX(Table28[Filtro de ruido],1), 1, Table14[[#This Row],[I_20]] / Table14[[#This Row],[I_0]])</f>
        <v>1</v>
      </c>
      <c r="W155" s="1">
        <f>IF(Table14[[#This Row],[I_0]] &lt; INDEX(Table28[Filtro de ruido],1), 1, Table14[[#This Row],[I_30]] / Table14[[#This Row],[I_0]])</f>
        <v>1</v>
      </c>
      <c r="X155" s="1">
        <f>IF(Table14[[#This Row],[I_0]] &lt; INDEX(Table28[Filtro de ruido],1), 1, Table14[[#This Row],[I_40]] / Table14[[#This Row],[I_0]])</f>
        <v>1</v>
      </c>
      <c r="Y155" s="19">
        <f>IF(Table14[[#This Row],[I_0]] &lt; INDEX(Table28[Filtro de ruido],1), 1, Table14[[#This Row],[I_50]] / Table14[[#This Row],[I_0]])</f>
        <v>1</v>
      </c>
      <c r="AA155" s="1"/>
    </row>
    <row r="156" spans="1:27" x14ac:dyDescent="0.3">
      <c r="A156" s="18">
        <v>223.01</v>
      </c>
      <c r="B156" s="1">
        <v>0</v>
      </c>
      <c r="C156" s="1">
        <v>223.01</v>
      </c>
      <c r="D156" s="1">
        <v>0</v>
      </c>
      <c r="E156" s="1">
        <v>223.01</v>
      </c>
      <c r="F156" s="1">
        <v>0</v>
      </c>
      <c r="G156" s="1">
        <v>223.01</v>
      </c>
      <c r="H156" s="1">
        <v>0</v>
      </c>
      <c r="I156" s="1">
        <v>223.01</v>
      </c>
      <c r="J156" s="1">
        <v>0</v>
      </c>
      <c r="K156" s="1">
        <v>223.01</v>
      </c>
      <c r="L156" s="1">
        <v>0</v>
      </c>
      <c r="M156" s="1">
        <v>223.01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223.01</v>
      </c>
      <c r="U156" s="1">
        <f>IF(Table14[[#This Row],[I_0]] &lt; INDEX(Table28[Filtro de ruido],1), 1, Table14[[#This Row],[I_10]] / Table14[[#This Row],[I_0]])</f>
        <v>1</v>
      </c>
      <c r="V156" s="1">
        <f>IF(Table14[[#This Row],[I_0]] &lt; INDEX(Table28[Filtro de ruido],1), 1, Table14[[#This Row],[I_20]] / Table14[[#This Row],[I_0]])</f>
        <v>1</v>
      </c>
      <c r="W156" s="1">
        <f>IF(Table14[[#This Row],[I_0]] &lt; INDEX(Table28[Filtro de ruido],1), 1, Table14[[#This Row],[I_30]] / Table14[[#This Row],[I_0]])</f>
        <v>1</v>
      </c>
      <c r="X156" s="1">
        <f>IF(Table14[[#This Row],[I_0]] &lt; INDEX(Table28[Filtro de ruido],1), 1, Table14[[#This Row],[I_40]] / Table14[[#This Row],[I_0]])</f>
        <v>1</v>
      </c>
      <c r="Y156" s="19">
        <f>IF(Table14[[#This Row],[I_0]] &lt; INDEX(Table28[Filtro de ruido],1), 1, Table14[[#This Row],[I_50]] / Table14[[#This Row],[I_0]])</f>
        <v>1</v>
      </c>
      <c r="AA156" s="1"/>
    </row>
    <row r="157" spans="1:27" x14ac:dyDescent="0.3">
      <c r="A157" s="18">
        <v>224</v>
      </c>
      <c r="B157" s="1">
        <v>0</v>
      </c>
      <c r="C157" s="1">
        <v>224</v>
      </c>
      <c r="D157" s="1">
        <v>0</v>
      </c>
      <c r="E157" s="1">
        <v>224</v>
      </c>
      <c r="F157" s="1">
        <v>0</v>
      </c>
      <c r="G157" s="1">
        <v>224</v>
      </c>
      <c r="H157" s="1">
        <v>0</v>
      </c>
      <c r="I157" s="1">
        <v>224</v>
      </c>
      <c r="J157" s="1">
        <v>0</v>
      </c>
      <c r="K157" s="1">
        <v>224</v>
      </c>
      <c r="L157" s="1">
        <v>0</v>
      </c>
      <c r="M157" s="1">
        <v>224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224</v>
      </c>
      <c r="U157" s="1">
        <f>IF(Table14[[#This Row],[I_0]] &lt; INDEX(Table28[Filtro de ruido],1), 1, Table14[[#This Row],[I_10]] / Table14[[#This Row],[I_0]])</f>
        <v>1</v>
      </c>
      <c r="V157" s="1">
        <f>IF(Table14[[#This Row],[I_0]] &lt; INDEX(Table28[Filtro de ruido],1), 1, Table14[[#This Row],[I_20]] / Table14[[#This Row],[I_0]])</f>
        <v>1</v>
      </c>
      <c r="W157" s="1">
        <f>IF(Table14[[#This Row],[I_0]] &lt; INDEX(Table28[Filtro de ruido],1), 1, Table14[[#This Row],[I_30]] / Table14[[#This Row],[I_0]])</f>
        <v>1</v>
      </c>
      <c r="X157" s="1">
        <f>IF(Table14[[#This Row],[I_0]] &lt; INDEX(Table28[Filtro de ruido],1), 1, Table14[[#This Row],[I_40]] / Table14[[#This Row],[I_0]])</f>
        <v>1</v>
      </c>
      <c r="Y157" s="19">
        <f>IF(Table14[[#This Row],[I_0]] &lt; INDEX(Table28[Filtro de ruido],1), 1, Table14[[#This Row],[I_50]] / Table14[[#This Row],[I_0]])</f>
        <v>1</v>
      </c>
      <c r="AA157" s="1"/>
    </row>
    <row r="158" spans="1:27" x14ac:dyDescent="0.3">
      <c r="A158" s="18">
        <v>225</v>
      </c>
      <c r="B158" s="1">
        <v>0</v>
      </c>
      <c r="C158" s="1">
        <v>225</v>
      </c>
      <c r="D158" s="1">
        <v>0</v>
      </c>
      <c r="E158" s="1">
        <v>225</v>
      </c>
      <c r="F158" s="1">
        <v>0</v>
      </c>
      <c r="G158" s="1">
        <v>225</v>
      </c>
      <c r="H158" s="1">
        <v>0</v>
      </c>
      <c r="I158" s="1">
        <v>225</v>
      </c>
      <c r="J158" s="1">
        <v>0</v>
      </c>
      <c r="K158" s="1">
        <v>225</v>
      </c>
      <c r="L158" s="1">
        <v>0</v>
      </c>
      <c r="M158" s="1">
        <v>225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225</v>
      </c>
      <c r="U158" s="1">
        <f>IF(Table14[[#This Row],[I_0]] &lt; INDEX(Table28[Filtro de ruido],1), 1, Table14[[#This Row],[I_10]] / Table14[[#This Row],[I_0]])</f>
        <v>1</v>
      </c>
      <c r="V158" s="1">
        <f>IF(Table14[[#This Row],[I_0]] &lt; INDEX(Table28[Filtro de ruido],1), 1, Table14[[#This Row],[I_20]] / Table14[[#This Row],[I_0]])</f>
        <v>1</v>
      </c>
      <c r="W158" s="1">
        <f>IF(Table14[[#This Row],[I_0]] &lt; INDEX(Table28[Filtro de ruido],1), 1, Table14[[#This Row],[I_30]] / Table14[[#This Row],[I_0]])</f>
        <v>1</v>
      </c>
      <c r="X158" s="1">
        <f>IF(Table14[[#This Row],[I_0]] &lt; INDEX(Table28[Filtro de ruido],1), 1, Table14[[#This Row],[I_40]] / Table14[[#This Row],[I_0]])</f>
        <v>1</v>
      </c>
      <c r="Y158" s="19">
        <f>IF(Table14[[#This Row],[I_0]] &lt; INDEX(Table28[Filtro de ruido],1), 1, Table14[[#This Row],[I_50]] / Table14[[#This Row],[I_0]])</f>
        <v>1</v>
      </c>
      <c r="AA158" s="1"/>
    </row>
    <row r="159" spans="1:27" x14ac:dyDescent="0.3">
      <c r="A159" s="18">
        <v>225.99</v>
      </c>
      <c r="B159" s="1">
        <v>0</v>
      </c>
      <c r="C159" s="1">
        <v>225.99</v>
      </c>
      <c r="D159" s="1">
        <v>0</v>
      </c>
      <c r="E159" s="1">
        <v>225.99</v>
      </c>
      <c r="F159" s="1">
        <v>0</v>
      </c>
      <c r="G159" s="1">
        <v>225.99</v>
      </c>
      <c r="H159" s="1">
        <v>0</v>
      </c>
      <c r="I159" s="1">
        <v>225.99</v>
      </c>
      <c r="J159" s="1">
        <v>0</v>
      </c>
      <c r="K159" s="1">
        <v>225.99</v>
      </c>
      <c r="L159" s="1">
        <v>0</v>
      </c>
      <c r="M159" s="1">
        <v>225.99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225.99</v>
      </c>
      <c r="U159" s="1">
        <f>IF(Table14[[#This Row],[I_0]] &lt; INDEX(Table28[Filtro de ruido],1), 1, Table14[[#This Row],[I_10]] / Table14[[#This Row],[I_0]])</f>
        <v>1</v>
      </c>
      <c r="V159" s="1">
        <f>IF(Table14[[#This Row],[I_0]] &lt; INDEX(Table28[Filtro de ruido],1), 1, Table14[[#This Row],[I_20]] / Table14[[#This Row],[I_0]])</f>
        <v>1</v>
      </c>
      <c r="W159" s="1">
        <f>IF(Table14[[#This Row],[I_0]] &lt; INDEX(Table28[Filtro de ruido],1), 1, Table14[[#This Row],[I_30]] / Table14[[#This Row],[I_0]])</f>
        <v>1</v>
      </c>
      <c r="X159" s="1">
        <f>IF(Table14[[#This Row],[I_0]] &lt; INDEX(Table28[Filtro de ruido],1), 1, Table14[[#This Row],[I_40]] / Table14[[#This Row],[I_0]])</f>
        <v>1</v>
      </c>
      <c r="Y159" s="19">
        <f>IF(Table14[[#This Row],[I_0]] &lt; INDEX(Table28[Filtro de ruido],1), 1, Table14[[#This Row],[I_50]] / Table14[[#This Row],[I_0]])</f>
        <v>1</v>
      </c>
      <c r="AA159" s="1"/>
    </row>
    <row r="160" spans="1:27" x14ac:dyDescent="0.3">
      <c r="A160" s="18">
        <v>226.98</v>
      </c>
      <c r="B160" s="1">
        <v>0</v>
      </c>
      <c r="C160" s="1">
        <v>226.98</v>
      </c>
      <c r="D160" s="1">
        <v>0</v>
      </c>
      <c r="E160" s="1">
        <v>226.98</v>
      </c>
      <c r="F160" s="1">
        <v>0</v>
      </c>
      <c r="G160" s="1">
        <v>226.98</v>
      </c>
      <c r="H160" s="1">
        <v>0</v>
      </c>
      <c r="I160" s="1">
        <v>226.98</v>
      </c>
      <c r="J160" s="1">
        <v>0</v>
      </c>
      <c r="K160" s="1">
        <v>226.98</v>
      </c>
      <c r="L160" s="1">
        <v>0</v>
      </c>
      <c r="M160" s="1">
        <v>226.98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226.98</v>
      </c>
      <c r="U160" s="1">
        <f>IF(Table14[[#This Row],[I_0]] &lt; INDEX(Table28[Filtro de ruido],1), 1, Table14[[#This Row],[I_10]] / Table14[[#This Row],[I_0]])</f>
        <v>1</v>
      </c>
      <c r="V160" s="1">
        <f>IF(Table14[[#This Row],[I_0]] &lt; INDEX(Table28[Filtro de ruido],1), 1, Table14[[#This Row],[I_20]] / Table14[[#This Row],[I_0]])</f>
        <v>1</v>
      </c>
      <c r="W160" s="1">
        <f>IF(Table14[[#This Row],[I_0]] &lt; INDEX(Table28[Filtro de ruido],1), 1, Table14[[#This Row],[I_30]] / Table14[[#This Row],[I_0]])</f>
        <v>1</v>
      </c>
      <c r="X160" s="1">
        <f>IF(Table14[[#This Row],[I_0]] &lt; INDEX(Table28[Filtro de ruido],1), 1, Table14[[#This Row],[I_40]] / Table14[[#This Row],[I_0]])</f>
        <v>1</v>
      </c>
      <c r="Y160" s="19">
        <f>IF(Table14[[#This Row],[I_0]] &lt; INDEX(Table28[Filtro de ruido],1), 1, Table14[[#This Row],[I_50]] / Table14[[#This Row],[I_0]])</f>
        <v>1</v>
      </c>
      <c r="AA160" s="1"/>
    </row>
    <row r="161" spans="1:27" x14ac:dyDescent="0.3">
      <c r="A161" s="18">
        <v>227.97</v>
      </c>
      <c r="B161" s="1">
        <v>0</v>
      </c>
      <c r="C161" s="1">
        <v>227.97</v>
      </c>
      <c r="D161" s="1">
        <v>0</v>
      </c>
      <c r="E161" s="1">
        <v>227.97</v>
      </c>
      <c r="F161" s="1">
        <v>0</v>
      </c>
      <c r="G161" s="1">
        <v>227.97</v>
      </c>
      <c r="H161" s="1">
        <v>0</v>
      </c>
      <c r="I161" s="1">
        <v>227.97</v>
      </c>
      <c r="J161" s="1">
        <v>0</v>
      </c>
      <c r="K161" s="1">
        <v>227.97</v>
      </c>
      <c r="L161" s="1">
        <v>0</v>
      </c>
      <c r="M161" s="1">
        <v>227.97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227.97</v>
      </c>
      <c r="U161" s="1">
        <f>IF(Table14[[#This Row],[I_0]] &lt; INDEX(Table28[Filtro de ruido],1), 1, Table14[[#This Row],[I_10]] / Table14[[#This Row],[I_0]])</f>
        <v>1</v>
      </c>
      <c r="V161" s="1">
        <f>IF(Table14[[#This Row],[I_0]] &lt; INDEX(Table28[Filtro de ruido],1), 1, Table14[[#This Row],[I_20]] / Table14[[#This Row],[I_0]])</f>
        <v>1</v>
      </c>
      <c r="W161" s="1">
        <f>IF(Table14[[#This Row],[I_0]] &lt; INDEX(Table28[Filtro de ruido],1), 1, Table14[[#This Row],[I_30]] / Table14[[#This Row],[I_0]])</f>
        <v>1</v>
      </c>
      <c r="X161" s="1">
        <f>IF(Table14[[#This Row],[I_0]] &lt; INDEX(Table28[Filtro de ruido],1), 1, Table14[[#This Row],[I_40]] / Table14[[#This Row],[I_0]])</f>
        <v>1</v>
      </c>
      <c r="Y161" s="19">
        <f>IF(Table14[[#This Row],[I_0]] &lt; INDEX(Table28[Filtro de ruido],1), 1, Table14[[#This Row],[I_50]] / Table14[[#This Row],[I_0]])</f>
        <v>1</v>
      </c>
      <c r="AA161" s="1"/>
    </row>
    <row r="162" spans="1:27" x14ac:dyDescent="0.3">
      <c r="A162" s="18">
        <v>228.96</v>
      </c>
      <c r="B162" s="1">
        <v>0</v>
      </c>
      <c r="C162" s="1">
        <v>228.96</v>
      </c>
      <c r="D162" s="1">
        <v>0</v>
      </c>
      <c r="E162" s="1">
        <v>228.96</v>
      </c>
      <c r="F162" s="1">
        <v>0</v>
      </c>
      <c r="G162" s="1">
        <v>228.96</v>
      </c>
      <c r="H162" s="1">
        <v>0</v>
      </c>
      <c r="I162" s="1">
        <v>228.96</v>
      </c>
      <c r="J162" s="1">
        <v>0</v>
      </c>
      <c r="K162" s="1">
        <v>228.96</v>
      </c>
      <c r="L162" s="1">
        <v>0</v>
      </c>
      <c r="M162" s="1">
        <v>228.96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228.96</v>
      </c>
      <c r="U162" s="1">
        <f>IF(Table14[[#This Row],[I_0]] &lt; INDEX(Table28[Filtro de ruido],1), 1, Table14[[#This Row],[I_10]] / Table14[[#This Row],[I_0]])</f>
        <v>1</v>
      </c>
      <c r="V162" s="1">
        <f>IF(Table14[[#This Row],[I_0]] &lt; INDEX(Table28[Filtro de ruido],1), 1, Table14[[#This Row],[I_20]] / Table14[[#This Row],[I_0]])</f>
        <v>1</v>
      </c>
      <c r="W162" s="1">
        <f>IF(Table14[[#This Row],[I_0]] &lt; INDEX(Table28[Filtro de ruido],1), 1, Table14[[#This Row],[I_30]] / Table14[[#This Row],[I_0]])</f>
        <v>1</v>
      </c>
      <c r="X162" s="1">
        <f>IF(Table14[[#This Row],[I_0]] &lt; INDEX(Table28[Filtro de ruido],1), 1, Table14[[#This Row],[I_40]] / Table14[[#This Row],[I_0]])</f>
        <v>1</v>
      </c>
      <c r="Y162" s="19">
        <f>IF(Table14[[#This Row],[I_0]] &lt; INDEX(Table28[Filtro de ruido],1), 1, Table14[[#This Row],[I_50]] / Table14[[#This Row],[I_0]])</f>
        <v>1</v>
      </c>
      <c r="AA162" s="1"/>
    </row>
    <row r="163" spans="1:27" x14ac:dyDescent="0.3">
      <c r="A163" s="18">
        <v>229.96</v>
      </c>
      <c r="B163" s="1">
        <v>0</v>
      </c>
      <c r="C163" s="1">
        <v>229.96</v>
      </c>
      <c r="D163" s="1">
        <v>0</v>
      </c>
      <c r="E163" s="1">
        <v>229.96</v>
      </c>
      <c r="F163" s="1">
        <v>0</v>
      </c>
      <c r="G163" s="1">
        <v>229.96</v>
      </c>
      <c r="H163" s="1">
        <v>0</v>
      </c>
      <c r="I163" s="1">
        <v>229.96</v>
      </c>
      <c r="J163" s="1">
        <v>0</v>
      </c>
      <c r="K163" s="1">
        <v>229.96</v>
      </c>
      <c r="L163" s="1">
        <v>0</v>
      </c>
      <c r="M163" s="1">
        <v>229.96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229.96</v>
      </c>
      <c r="U163" s="1">
        <f>IF(Table14[[#This Row],[I_0]] &lt; INDEX(Table28[Filtro de ruido],1), 1, Table14[[#This Row],[I_10]] / Table14[[#This Row],[I_0]])</f>
        <v>1</v>
      </c>
      <c r="V163" s="1">
        <f>IF(Table14[[#This Row],[I_0]] &lt; INDEX(Table28[Filtro de ruido],1), 1, Table14[[#This Row],[I_20]] / Table14[[#This Row],[I_0]])</f>
        <v>1</v>
      </c>
      <c r="W163" s="1">
        <f>IF(Table14[[#This Row],[I_0]] &lt; INDEX(Table28[Filtro de ruido],1), 1, Table14[[#This Row],[I_30]] / Table14[[#This Row],[I_0]])</f>
        <v>1</v>
      </c>
      <c r="X163" s="1">
        <f>IF(Table14[[#This Row],[I_0]] &lt; INDEX(Table28[Filtro de ruido],1), 1, Table14[[#This Row],[I_40]] / Table14[[#This Row],[I_0]])</f>
        <v>1</v>
      </c>
      <c r="Y163" s="19">
        <f>IF(Table14[[#This Row],[I_0]] &lt; INDEX(Table28[Filtro de ruido],1), 1, Table14[[#This Row],[I_50]] / Table14[[#This Row],[I_0]])</f>
        <v>1</v>
      </c>
      <c r="AA163" s="1"/>
    </row>
    <row r="164" spans="1:27" x14ac:dyDescent="0.3">
      <c r="A164" s="18">
        <v>230.95</v>
      </c>
      <c r="B164" s="1">
        <v>0</v>
      </c>
      <c r="C164" s="1">
        <v>230.95</v>
      </c>
      <c r="D164" s="1">
        <v>0</v>
      </c>
      <c r="E164" s="1">
        <v>230.95</v>
      </c>
      <c r="F164" s="1">
        <v>0</v>
      </c>
      <c r="G164" s="1">
        <v>230.95</v>
      </c>
      <c r="H164" s="1">
        <v>0</v>
      </c>
      <c r="I164" s="1">
        <v>230.95</v>
      </c>
      <c r="J164" s="1">
        <v>0</v>
      </c>
      <c r="K164" s="1">
        <v>230.95</v>
      </c>
      <c r="L164" s="1">
        <v>0</v>
      </c>
      <c r="M164" s="1">
        <v>230.95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230.95</v>
      </c>
      <c r="U164" s="1">
        <f>IF(Table14[[#This Row],[I_0]] &lt; INDEX(Table28[Filtro de ruido],1), 1, Table14[[#This Row],[I_10]] / Table14[[#This Row],[I_0]])</f>
        <v>1</v>
      </c>
      <c r="V164" s="1">
        <f>IF(Table14[[#This Row],[I_0]] &lt; INDEX(Table28[Filtro de ruido],1), 1, Table14[[#This Row],[I_20]] / Table14[[#This Row],[I_0]])</f>
        <v>1</v>
      </c>
      <c r="W164" s="1">
        <f>IF(Table14[[#This Row],[I_0]] &lt; INDEX(Table28[Filtro de ruido],1), 1, Table14[[#This Row],[I_30]] / Table14[[#This Row],[I_0]])</f>
        <v>1</v>
      </c>
      <c r="X164" s="1">
        <f>IF(Table14[[#This Row],[I_0]] &lt; INDEX(Table28[Filtro de ruido],1), 1, Table14[[#This Row],[I_40]] / Table14[[#This Row],[I_0]])</f>
        <v>1</v>
      </c>
      <c r="Y164" s="19">
        <f>IF(Table14[[#This Row],[I_0]] &lt; INDEX(Table28[Filtro de ruido],1), 1, Table14[[#This Row],[I_50]] / Table14[[#This Row],[I_0]])</f>
        <v>1</v>
      </c>
      <c r="AA164" s="1"/>
    </row>
    <row r="165" spans="1:27" x14ac:dyDescent="0.3">
      <c r="A165" s="18">
        <v>231.94</v>
      </c>
      <c r="B165" s="1">
        <v>0</v>
      </c>
      <c r="C165" s="1">
        <v>231.94</v>
      </c>
      <c r="D165" s="1">
        <v>0</v>
      </c>
      <c r="E165" s="1">
        <v>231.94</v>
      </c>
      <c r="F165" s="1">
        <v>0</v>
      </c>
      <c r="G165" s="1">
        <v>231.94</v>
      </c>
      <c r="H165" s="1">
        <v>0</v>
      </c>
      <c r="I165" s="1">
        <v>231.94</v>
      </c>
      <c r="J165" s="1">
        <v>0</v>
      </c>
      <c r="K165" s="1">
        <v>231.94</v>
      </c>
      <c r="L165" s="1">
        <v>0</v>
      </c>
      <c r="M165" s="1">
        <v>231.94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231.94</v>
      </c>
      <c r="U165" s="1">
        <f>IF(Table14[[#This Row],[I_0]] &lt; INDEX(Table28[Filtro de ruido],1), 1, Table14[[#This Row],[I_10]] / Table14[[#This Row],[I_0]])</f>
        <v>1</v>
      </c>
      <c r="V165" s="1">
        <f>IF(Table14[[#This Row],[I_0]] &lt; INDEX(Table28[Filtro de ruido],1), 1, Table14[[#This Row],[I_20]] / Table14[[#This Row],[I_0]])</f>
        <v>1</v>
      </c>
      <c r="W165" s="1">
        <f>IF(Table14[[#This Row],[I_0]] &lt; INDEX(Table28[Filtro de ruido],1), 1, Table14[[#This Row],[I_30]] / Table14[[#This Row],[I_0]])</f>
        <v>1</v>
      </c>
      <c r="X165" s="1">
        <f>IF(Table14[[#This Row],[I_0]] &lt; INDEX(Table28[Filtro de ruido],1), 1, Table14[[#This Row],[I_40]] / Table14[[#This Row],[I_0]])</f>
        <v>1</v>
      </c>
      <c r="Y165" s="19">
        <f>IF(Table14[[#This Row],[I_0]] &lt; INDEX(Table28[Filtro de ruido],1), 1, Table14[[#This Row],[I_50]] / Table14[[#This Row],[I_0]])</f>
        <v>1</v>
      </c>
      <c r="AA165" s="1"/>
    </row>
    <row r="166" spans="1:27" x14ac:dyDescent="0.3">
      <c r="A166" s="18">
        <v>232.93</v>
      </c>
      <c r="B166" s="1">
        <v>0</v>
      </c>
      <c r="C166" s="1">
        <v>232.93</v>
      </c>
      <c r="D166" s="1">
        <v>0</v>
      </c>
      <c r="E166" s="1">
        <v>232.93</v>
      </c>
      <c r="F166" s="1">
        <v>0</v>
      </c>
      <c r="G166" s="1">
        <v>232.93</v>
      </c>
      <c r="H166" s="1">
        <v>0</v>
      </c>
      <c r="I166" s="1">
        <v>232.93</v>
      </c>
      <c r="J166" s="1">
        <v>0</v>
      </c>
      <c r="K166" s="1">
        <v>232.93</v>
      </c>
      <c r="L166" s="1">
        <v>0</v>
      </c>
      <c r="M166" s="1">
        <v>232.93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232.93</v>
      </c>
      <c r="U166" s="1">
        <f>IF(Table14[[#This Row],[I_0]] &lt; INDEX(Table28[Filtro de ruido],1), 1, Table14[[#This Row],[I_10]] / Table14[[#This Row],[I_0]])</f>
        <v>1</v>
      </c>
      <c r="V166" s="1">
        <f>IF(Table14[[#This Row],[I_0]] &lt; INDEX(Table28[Filtro de ruido],1), 1, Table14[[#This Row],[I_20]] / Table14[[#This Row],[I_0]])</f>
        <v>1</v>
      </c>
      <c r="W166" s="1">
        <f>IF(Table14[[#This Row],[I_0]] &lt; INDEX(Table28[Filtro de ruido],1), 1, Table14[[#This Row],[I_30]] / Table14[[#This Row],[I_0]])</f>
        <v>1</v>
      </c>
      <c r="X166" s="1">
        <f>IF(Table14[[#This Row],[I_0]] &lt; INDEX(Table28[Filtro de ruido],1), 1, Table14[[#This Row],[I_40]] / Table14[[#This Row],[I_0]])</f>
        <v>1</v>
      </c>
      <c r="Y166" s="19">
        <f>IF(Table14[[#This Row],[I_0]] &lt; INDEX(Table28[Filtro de ruido],1), 1, Table14[[#This Row],[I_50]] / Table14[[#This Row],[I_0]])</f>
        <v>1</v>
      </c>
      <c r="AA166" s="1"/>
    </row>
    <row r="167" spans="1:27" x14ac:dyDescent="0.3">
      <c r="A167" s="18">
        <v>233.92</v>
      </c>
      <c r="B167" s="1">
        <v>0</v>
      </c>
      <c r="C167" s="1">
        <v>233.92</v>
      </c>
      <c r="D167" s="1">
        <v>0</v>
      </c>
      <c r="E167" s="1">
        <v>233.92</v>
      </c>
      <c r="F167" s="1">
        <v>0</v>
      </c>
      <c r="G167" s="1">
        <v>233.92</v>
      </c>
      <c r="H167" s="1">
        <v>0</v>
      </c>
      <c r="I167" s="1">
        <v>233.92</v>
      </c>
      <c r="J167" s="1">
        <v>0</v>
      </c>
      <c r="K167" s="1">
        <v>233.92</v>
      </c>
      <c r="L167" s="1">
        <v>0</v>
      </c>
      <c r="M167" s="1">
        <v>233.92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233.92</v>
      </c>
      <c r="U167" s="1">
        <f>IF(Table14[[#This Row],[I_0]] &lt; INDEX(Table28[Filtro de ruido],1), 1, Table14[[#This Row],[I_10]] / Table14[[#This Row],[I_0]])</f>
        <v>1</v>
      </c>
      <c r="V167" s="1">
        <f>IF(Table14[[#This Row],[I_0]] &lt; INDEX(Table28[Filtro de ruido],1), 1, Table14[[#This Row],[I_20]] / Table14[[#This Row],[I_0]])</f>
        <v>1</v>
      </c>
      <c r="W167" s="1">
        <f>IF(Table14[[#This Row],[I_0]] &lt; INDEX(Table28[Filtro de ruido],1), 1, Table14[[#This Row],[I_30]] / Table14[[#This Row],[I_0]])</f>
        <v>1</v>
      </c>
      <c r="X167" s="1">
        <f>IF(Table14[[#This Row],[I_0]] &lt; INDEX(Table28[Filtro de ruido],1), 1, Table14[[#This Row],[I_40]] / Table14[[#This Row],[I_0]])</f>
        <v>1</v>
      </c>
      <c r="Y167" s="19">
        <f>IF(Table14[[#This Row],[I_0]] &lt; INDEX(Table28[Filtro de ruido],1), 1, Table14[[#This Row],[I_50]] / Table14[[#This Row],[I_0]])</f>
        <v>1</v>
      </c>
      <c r="AA167" s="1"/>
    </row>
    <row r="168" spans="1:27" x14ac:dyDescent="0.3">
      <c r="A168" s="18">
        <v>234.91</v>
      </c>
      <c r="B168" s="1">
        <v>0</v>
      </c>
      <c r="C168" s="1">
        <v>234.91</v>
      </c>
      <c r="D168" s="1">
        <v>0</v>
      </c>
      <c r="E168" s="1">
        <v>234.91</v>
      </c>
      <c r="F168" s="1">
        <v>0</v>
      </c>
      <c r="G168" s="1">
        <v>234.91</v>
      </c>
      <c r="H168" s="1">
        <v>0</v>
      </c>
      <c r="I168" s="1">
        <v>234.91</v>
      </c>
      <c r="J168" s="1">
        <v>0</v>
      </c>
      <c r="K168" s="1">
        <v>234.91</v>
      </c>
      <c r="L168" s="1">
        <v>0</v>
      </c>
      <c r="M168" s="1">
        <v>234.91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234.91</v>
      </c>
      <c r="U168" s="1">
        <f>IF(Table14[[#This Row],[I_0]] &lt; INDEX(Table28[Filtro de ruido],1), 1, Table14[[#This Row],[I_10]] / Table14[[#This Row],[I_0]])</f>
        <v>1</v>
      </c>
      <c r="V168" s="1">
        <f>IF(Table14[[#This Row],[I_0]] &lt; INDEX(Table28[Filtro de ruido],1), 1, Table14[[#This Row],[I_20]] / Table14[[#This Row],[I_0]])</f>
        <v>1</v>
      </c>
      <c r="W168" s="1">
        <f>IF(Table14[[#This Row],[I_0]] &lt; INDEX(Table28[Filtro de ruido],1), 1, Table14[[#This Row],[I_30]] / Table14[[#This Row],[I_0]])</f>
        <v>1</v>
      </c>
      <c r="X168" s="1">
        <f>IF(Table14[[#This Row],[I_0]] &lt; INDEX(Table28[Filtro de ruido],1), 1, Table14[[#This Row],[I_40]] / Table14[[#This Row],[I_0]])</f>
        <v>1</v>
      </c>
      <c r="Y168" s="19">
        <f>IF(Table14[[#This Row],[I_0]] &lt; INDEX(Table28[Filtro de ruido],1), 1, Table14[[#This Row],[I_50]] / Table14[[#This Row],[I_0]])</f>
        <v>1</v>
      </c>
      <c r="AA168" s="1"/>
    </row>
    <row r="169" spans="1:27" x14ac:dyDescent="0.3">
      <c r="A169" s="18">
        <v>235.91</v>
      </c>
      <c r="B169" s="1">
        <v>0</v>
      </c>
      <c r="C169" s="1">
        <v>235.91</v>
      </c>
      <c r="D169" s="1">
        <v>0</v>
      </c>
      <c r="E169" s="1">
        <v>235.91</v>
      </c>
      <c r="F169" s="1">
        <v>0</v>
      </c>
      <c r="G169" s="1">
        <v>235.91</v>
      </c>
      <c r="H169" s="1">
        <v>0</v>
      </c>
      <c r="I169" s="1">
        <v>235.91</v>
      </c>
      <c r="J169" s="1">
        <v>0</v>
      </c>
      <c r="K169" s="1">
        <v>235.91</v>
      </c>
      <c r="L169" s="1">
        <v>0</v>
      </c>
      <c r="M169" s="1">
        <v>235.91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235.91</v>
      </c>
      <c r="U169" s="1">
        <f>IF(Table14[[#This Row],[I_0]] &lt; INDEX(Table28[Filtro de ruido],1), 1, Table14[[#This Row],[I_10]] / Table14[[#This Row],[I_0]])</f>
        <v>1</v>
      </c>
      <c r="V169" s="1">
        <f>IF(Table14[[#This Row],[I_0]] &lt; INDEX(Table28[Filtro de ruido],1), 1, Table14[[#This Row],[I_20]] / Table14[[#This Row],[I_0]])</f>
        <v>1</v>
      </c>
      <c r="W169" s="1">
        <f>IF(Table14[[#This Row],[I_0]] &lt; INDEX(Table28[Filtro de ruido],1), 1, Table14[[#This Row],[I_30]] / Table14[[#This Row],[I_0]])</f>
        <v>1</v>
      </c>
      <c r="X169" s="1">
        <f>IF(Table14[[#This Row],[I_0]] &lt; INDEX(Table28[Filtro de ruido],1), 1, Table14[[#This Row],[I_40]] / Table14[[#This Row],[I_0]])</f>
        <v>1</v>
      </c>
      <c r="Y169" s="19">
        <f>IF(Table14[[#This Row],[I_0]] &lt; INDEX(Table28[Filtro de ruido],1), 1, Table14[[#This Row],[I_50]] / Table14[[#This Row],[I_0]])</f>
        <v>1</v>
      </c>
      <c r="AA169" s="1"/>
    </row>
    <row r="170" spans="1:27" x14ac:dyDescent="0.3">
      <c r="A170" s="18">
        <v>236.9</v>
      </c>
      <c r="B170" s="1">
        <v>0</v>
      </c>
      <c r="C170" s="1">
        <v>236.9</v>
      </c>
      <c r="D170" s="1">
        <v>0</v>
      </c>
      <c r="E170" s="1">
        <v>236.9</v>
      </c>
      <c r="F170" s="1">
        <v>0</v>
      </c>
      <c r="G170" s="1">
        <v>236.9</v>
      </c>
      <c r="H170" s="1">
        <v>0</v>
      </c>
      <c r="I170" s="1">
        <v>236.9</v>
      </c>
      <c r="J170" s="1">
        <v>0</v>
      </c>
      <c r="K170" s="1">
        <v>236.9</v>
      </c>
      <c r="L170" s="1">
        <v>0</v>
      </c>
      <c r="M170" s="1">
        <v>236.9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236.9</v>
      </c>
      <c r="U170" s="1">
        <f>IF(Table14[[#This Row],[I_0]] &lt; INDEX(Table28[Filtro de ruido],1), 1, Table14[[#This Row],[I_10]] / Table14[[#This Row],[I_0]])</f>
        <v>1</v>
      </c>
      <c r="V170" s="1">
        <f>IF(Table14[[#This Row],[I_0]] &lt; INDEX(Table28[Filtro de ruido],1), 1, Table14[[#This Row],[I_20]] / Table14[[#This Row],[I_0]])</f>
        <v>1</v>
      </c>
      <c r="W170" s="1">
        <f>IF(Table14[[#This Row],[I_0]] &lt; INDEX(Table28[Filtro de ruido],1), 1, Table14[[#This Row],[I_30]] / Table14[[#This Row],[I_0]])</f>
        <v>1</v>
      </c>
      <c r="X170" s="1">
        <f>IF(Table14[[#This Row],[I_0]] &lt; INDEX(Table28[Filtro de ruido],1), 1, Table14[[#This Row],[I_40]] / Table14[[#This Row],[I_0]])</f>
        <v>1</v>
      </c>
      <c r="Y170" s="19">
        <f>IF(Table14[[#This Row],[I_0]] &lt; INDEX(Table28[Filtro de ruido],1), 1, Table14[[#This Row],[I_50]] / Table14[[#This Row],[I_0]])</f>
        <v>1</v>
      </c>
      <c r="AA170" s="1"/>
    </row>
    <row r="171" spans="1:27" x14ac:dyDescent="0.3">
      <c r="A171" s="18">
        <v>237.89</v>
      </c>
      <c r="B171" s="1">
        <v>0</v>
      </c>
      <c r="C171" s="1">
        <v>237.89</v>
      </c>
      <c r="D171" s="1">
        <v>0</v>
      </c>
      <c r="E171" s="1">
        <v>237.89</v>
      </c>
      <c r="F171" s="1">
        <v>0</v>
      </c>
      <c r="G171" s="1">
        <v>237.89</v>
      </c>
      <c r="H171" s="1">
        <v>0</v>
      </c>
      <c r="I171" s="1">
        <v>237.89</v>
      </c>
      <c r="J171" s="1">
        <v>0</v>
      </c>
      <c r="K171" s="1">
        <v>237.89</v>
      </c>
      <c r="L171" s="1">
        <v>0</v>
      </c>
      <c r="M171" s="1">
        <v>237.89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237.89</v>
      </c>
      <c r="U171" s="1">
        <f>IF(Table14[[#This Row],[I_0]] &lt; INDEX(Table28[Filtro de ruido],1), 1, Table14[[#This Row],[I_10]] / Table14[[#This Row],[I_0]])</f>
        <v>1</v>
      </c>
      <c r="V171" s="1">
        <f>IF(Table14[[#This Row],[I_0]] &lt; INDEX(Table28[Filtro de ruido],1), 1, Table14[[#This Row],[I_20]] / Table14[[#This Row],[I_0]])</f>
        <v>1</v>
      </c>
      <c r="W171" s="1">
        <f>IF(Table14[[#This Row],[I_0]] &lt; INDEX(Table28[Filtro de ruido],1), 1, Table14[[#This Row],[I_30]] / Table14[[#This Row],[I_0]])</f>
        <v>1</v>
      </c>
      <c r="X171" s="1">
        <f>IF(Table14[[#This Row],[I_0]] &lt; INDEX(Table28[Filtro de ruido],1), 1, Table14[[#This Row],[I_40]] / Table14[[#This Row],[I_0]])</f>
        <v>1</v>
      </c>
      <c r="Y171" s="19">
        <f>IF(Table14[[#This Row],[I_0]] &lt; INDEX(Table28[Filtro de ruido],1), 1, Table14[[#This Row],[I_50]] / Table14[[#This Row],[I_0]])</f>
        <v>1</v>
      </c>
      <c r="AA171" s="1"/>
    </row>
    <row r="172" spans="1:27" x14ac:dyDescent="0.3">
      <c r="A172" s="18">
        <v>238.88</v>
      </c>
      <c r="B172" s="1">
        <v>0</v>
      </c>
      <c r="C172" s="1">
        <v>238.88</v>
      </c>
      <c r="D172" s="1">
        <v>0</v>
      </c>
      <c r="E172" s="1">
        <v>238.88</v>
      </c>
      <c r="F172" s="1">
        <v>0</v>
      </c>
      <c r="G172" s="1">
        <v>238.88</v>
      </c>
      <c r="H172" s="1">
        <v>0</v>
      </c>
      <c r="I172" s="1">
        <v>238.88</v>
      </c>
      <c r="J172" s="1">
        <v>0</v>
      </c>
      <c r="K172" s="1">
        <v>238.88</v>
      </c>
      <c r="L172" s="1">
        <v>0</v>
      </c>
      <c r="M172" s="1">
        <v>238.88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238.88</v>
      </c>
      <c r="U172" s="1">
        <f>IF(Table14[[#This Row],[I_0]] &lt; INDEX(Table28[Filtro de ruido],1), 1, Table14[[#This Row],[I_10]] / Table14[[#This Row],[I_0]])</f>
        <v>1</v>
      </c>
      <c r="V172" s="1">
        <f>IF(Table14[[#This Row],[I_0]] &lt; INDEX(Table28[Filtro de ruido],1), 1, Table14[[#This Row],[I_20]] / Table14[[#This Row],[I_0]])</f>
        <v>1</v>
      </c>
      <c r="W172" s="1">
        <f>IF(Table14[[#This Row],[I_0]] &lt; INDEX(Table28[Filtro de ruido],1), 1, Table14[[#This Row],[I_30]] / Table14[[#This Row],[I_0]])</f>
        <v>1</v>
      </c>
      <c r="X172" s="1">
        <f>IF(Table14[[#This Row],[I_0]] &lt; INDEX(Table28[Filtro de ruido],1), 1, Table14[[#This Row],[I_40]] / Table14[[#This Row],[I_0]])</f>
        <v>1</v>
      </c>
      <c r="Y172" s="19">
        <f>IF(Table14[[#This Row],[I_0]] &lt; INDEX(Table28[Filtro de ruido],1), 1, Table14[[#This Row],[I_50]] / Table14[[#This Row],[I_0]])</f>
        <v>1</v>
      </c>
      <c r="AA172" s="1"/>
    </row>
    <row r="173" spans="1:27" x14ac:dyDescent="0.3">
      <c r="A173" s="18">
        <v>239.87</v>
      </c>
      <c r="B173" s="1">
        <v>0</v>
      </c>
      <c r="C173" s="1">
        <v>239.87</v>
      </c>
      <c r="D173" s="1">
        <v>0</v>
      </c>
      <c r="E173" s="1">
        <v>239.87</v>
      </c>
      <c r="F173" s="1">
        <v>0</v>
      </c>
      <c r="G173" s="1">
        <v>239.87</v>
      </c>
      <c r="H173" s="1">
        <v>0</v>
      </c>
      <c r="I173" s="1">
        <v>239.87</v>
      </c>
      <c r="J173" s="1">
        <v>0</v>
      </c>
      <c r="K173" s="1">
        <v>239.87</v>
      </c>
      <c r="L173" s="1">
        <v>0</v>
      </c>
      <c r="M173" s="1">
        <v>239.87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239.87</v>
      </c>
      <c r="U173" s="1">
        <f>IF(Table14[[#This Row],[I_0]] &lt; INDEX(Table28[Filtro de ruido],1), 1, Table14[[#This Row],[I_10]] / Table14[[#This Row],[I_0]])</f>
        <v>1</v>
      </c>
      <c r="V173" s="1">
        <f>IF(Table14[[#This Row],[I_0]] &lt; INDEX(Table28[Filtro de ruido],1), 1, Table14[[#This Row],[I_20]] / Table14[[#This Row],[I_0]])</f>
        <v>1</v>
      </c>
      <c r="W173" s="1">
        <f>IF(Table14[[#This Row],[I_0]] &lt; INDEX(Table28[Filtro de ruido],1), 1, Table14[[#This Row],[I_30]] / Table14[[#This Row],[I_0]])</f>
        <v>1</v>
      </c>
      <c r="X173" s="1">
        <f>IF(Table14[[#This Row],[I_0]] &lt; INDEX(Table28[Filtro de ruido],1), 1, Table14[[#This Row],[I_40]] / Table14[[#This Row],[I_0]])</f>
        <v>1</v>
      </c>
      <c r="Y173" s="19">
        <f>IF(Table14[[#This Row],[I_0]] &lt; INDEX(Table28[Filtro de ruido],1), 1, Table14[[#This Row],[I_50]] / Table14[[#This Row],[I_0]])</f>
        <v>1</v>
      </c>
      <c r="AA173" s="1"/>
    </row>
    <row r="174" spans="1:27" x14ac:dyDescent="0.3">
      <c r="A174" s="18">
        <v>240.86</v>
      </c>
      <c r="B174" s="1">
        <v>0</v>
      </c>
      <c r="C174" s="1">
        <v>240.86</v>
      </c>
      <c r="D174" s="1">
        <v>0</v>
      </c>
      <c r="E174" s="1">
        <v>240.86</v>
      </c>
      <c r="F174" s="1">
        <v>0</v>
      </c>
      <c r="G174" s="1">
        <v>240.86</v>
      </c>
      <c r="H174" s="1">
        <v>0</v>
      </c>
      <c r="I174" s="1">
        <v>240.86</v>
      </c>
      <c r="J174" s="1">
        <v>0</v>
      </c>
      <c r="K174" s="1">
        <v>240.86</v>
      </c>
      <c r="L174" s="1">
        <v>0</v>
      </c>
      <c r="M174" s="1">
        <v>240.86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240.86</v>
      </c>
      <c r="U174" s="1">
        <f>IF(Table14[[#This Row],[I_0]] &lt; INDEX(Table28[Filtro de ruido],1), 1, Table14[[#This Row],[I_10]] / Table14[[#This Row],[I_0]])</f>
        <v>1</v>
      </c>
      <c r="V174" s="1">
        <f>IF(Table14[[#This Row],[I_0]] &lt; INDEX(Table28[Filtro de ruido],1), 1, Table14[[#This Row],[I_20]] / Table14[[#This Row],[I_0]])</f>
        <v>1</v>
      </c>
      <c r="W174" s="1">
        <f>IF(Table14[[#This Row],[I_0]] &lt; INDEX(Table28[Filtro de ruido],1), 1, Table14[[#This Row],[I_30]] / Table14[[#This Row],[I_0]])</f>
        <v>1</v>
      </c>
      <c r="X174" s="1">
        <f>IF(Table14[[#This Row],[I_0]] &lt; INDEX(Table28[Filtro de ruido],1), 1, Table14[[#This Row],[I_40]] / Table14[[#This Row],[I_0]])</f>
        <v>1</v>
      </c>
      <c r="Y174" s="19">
        <f>IF(Table14[[#This Row],[I_0]] &lt; INDEX(Table28[Filtro de ruido],1), 1, Table14[[#This Row],[I_50]] / Table14[[#This Row],[I_0]])</f>
        <v>1</v>
      </c>
      <c r="AA174" s="1"/>
    </row>
    <row r="175" spans="1:27" x14ac:dyDescent="0.3">
      <c r="A175" s="18">
        <v>241.86</v>
      </c>
      <c r="B175" s="1">
        <v>0</v>
      </c>
      <c r="C175" s="1">
        <v>241.86</v>
      </c>
      <c r="D175" s="1">
        <v>0</v>
      </c>
      <c r="E175" s="1">
        <v>241.86</v>
      </c>
      <c r="F175" s="1">
        <v>0</v>
      </c>
      <c r="G175" s="1">
        <v>241.86</v>
      </c>
      <c r="H175" s="1">
        <v>0</v>
      </c>
      <c r="I175" s="1">
        <v>241.86</v>
      </c>
      <c r="J175" s="1">
        <v>0</v>
      </c>
      <c r="K175" s="1">
        <v>241.86</v>
      </c>
      <c r="L175" s="1">
        <v>0</v>
      </c>
      <c r="M175" s="1">
        <v>241.86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241.86</v>
      </c>
      <c r="U175" s="1">
        <f>IF(Table14[[#This Row],[I_0]] &lt; INDEX(Table28[Filtro de ruido],1), 1, Table14[[#This Row],[I_10]] / Table14[[#This Row],[I_0]])</f>
        <v>1</v>
      </c>
      <c r="V175" s="1">
        <f>IF(Table14[[#This Row],[I_0]] &lt; INDEX(Table28[Filtro de ruido],1), 1, Table14[[#This Row],[I_20]] / Table14[[#This Row],[I_0]])</f>
        <v>1</v>
      </c>
      <c r="W175" s="1">
        <f>IF(Table14[[#This Row],[I_0]] &lt; INDEX(Table28[Filtro de ruido],1), 1, Table14[[#This Row],[I_30]] / Table14[[#This Row],[I_0]])</f>
        <v>1</v>
      </c>
      <c r="X175" s="1">
        <f>IF(Table14[[#This Row],[I_0]] &lt; INDEX(Table28[Filtro de ruido],1), 1, Table14[[#This Row],[I_40]] / Table14[[#This Row],[I_0]])</f>
        <v>1</v>
      </c>
      <c r="Y175" s="19">
        <f>IF(Table14[[#This Row],[I_0]] &lt; INDEX(Table28[Filtro de ruido],1), 1, Table14[[#This Row],[I_50]] / Table14[[#This Row],[I_0]])</f>
        <v>1</v>
      </c>
      <c r="AA175" s="1"/>
    </row>
    <row r="176" spans="1:27" x14ac:dyDescent="0.3">
      <c r="A176" s="18">
        <v>242.85</v>
      </c>
      <c r="B176" s="1">
        <v>0</v>
      </c>
      <c r="C176" s="1">
        <v>242.85</v>
      </c>
      <c r="D176" s="1">
        <v>0</v>
      </c>
      <c r="E176" s="1">
        <v>242.85</v>
      </c>
      <c r="F176" s="1">
        <v>0</v>
      </c>
      <c r="G176" s="1">
        <v>242.85</v>
      </c>
      <c r="H176" s="1">
        <v>0</v>
      </c>
      <c r="I176" s="1">
        <v>242.85</v>
      </c>
      <c r="J176" s="1">
        <v>0</v>
      </c>
      <c r="K176" s="1">
        <v>242.85</v>
      </c>
      <c r="L176" s="1">
        <v>0</v>
      </c>
      <c r="M176" s="1">
        <v>242.85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242.85</v>
      </c>
      <c r="U176" s="1">
        <f>IF(Table14[[#This Row],[I_0]] &lt; INDEX(Table28[Filtro de ruido],1), 1, Table14[[#This Row],[I_10]] / Table14[[#This Row],[I_0]])</f>
        <v>1</v>
      </c>
      <c r="V176" s="1">
        <f>IF(Table14[[#This Row],[I_0]] &lt; INDEX(Table28[Filtro de ruido],1), 1, Table14[[#This Row],[I_20]] / Table14[[#This Row],[I_0]])</f>
        <v>1</v>
      </c>
      <c r="W176" s="1">
        <f>IF(Table14[[#This Row],[I_0]] &lt; INDEX(Table28[Filtro de ruido],1), 1, Table14[[#This Row],[I_30]] / Table14[[#This Row],[I_0]])</f>
        <v>1</v>
      </c>
      <c r="X176" s="1">
        <f>IF(Table14[[#This Row],[I_0]] &lt; INDEX(Table28[Filtro de ruido],1), 1, Table14[[#This Row],[I_40]] / Table14[[#This Row],[I_0]])</f>
        <v>1</v>
      </c>
      <c r="Y176" s="19">
        <f>IF(Table14[[#This Row],[I_0]] &lt; INDEX(Table28[Filtro de ruido],1), 1, Table14[[#This Row],[I_50]] / Table14[[#This Row],[I_0]])</f>
        <v>1</v>
      </c>
      <c r="AA176" s="1"/>
    </row>
    <row r="177" spans="1:27" x14ac:dyDescent="0.3">
      <c r="A177" s="18">
        <v>243.84</v>
      </c>
      <c r="B177" s="1">
        <v>0</v>
      </c>
      <c r="C177" s="1">
        <v>243.84</v>
      </c>
      <c r="D177" s="1">
        <v>0</v>
      </c>
      <c r="E177" s="1">
        <v>243.84</v>
      </c>
      <c r="F177" s="1">
        <v>0</v>
      </c>
      <c r="G177" s="1">
        <v>243.84</v>
      </c>
      <c r="H177" s="1">
        <v>0</v>
      </c>
      <c r="I177" s="1">
        <v>243.84</v>
      </c>
      <c r="J177" s="1">
        <v>0</v>
      </c>
      <c r="K177" s="1">
        <v>243.84</v>
      </c>
      <c r="L177" s="1">
        <v>0</v>
      </c>
      <c r="M177" s="1">
        <v>243.84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243.84</v>
      </c>
      <c r="U177" s="1">
        <f>IF(Table14[[#This Row],[I_0]] &lt; INDEX(Table28[Filtro de ruido],1), 1, Table14[[#This Row],[I_10]] / Table14[[#This Row],[I_0]])</f>
        <v>1</v>
      </c>
      <c r="V177" s="1">
        <f>IF(Table14[[#This Row],[I_0]] &lt; INDEX(Table28[Filtro de ruido],1), 1, Table14[[#This Row],[I_20]] / Table14[[#This Row],[I_0]])</f>
        <v>1</v>
      </c>
      <c r="W177" s="1">
        <f>IF(Table14[[#This Row],[I_0]] &lt; INDEX(Table28[Filtro de ruido],1), 1, Table14[[#This Row],[I_30]] / Table14[[#This Row],[I_0]])</f>
        <v>1</v>
      </c>
      <c r="X177" s="1">
        <f>IF(Table14[[#This Row],[I_0]] &lt; INDEX(Table28[Filtro de ruido],1), 1, Table14[[#This Row],[I_40]] / Table14[[#This Row],[I_0]])</f>
        <v>1</v>
      </c>
      <c r="Y177" s="19">
        <f>IF(Table14[[#This Row],[I_0]] &lt; INDEX(Table28[Filtro de ruido],1), 1, Table14[[#This Row],[I_50]] / Table14[[#This Row],[I_0]])</f>
        <v>1</v>
      </c>
      <c r="AA177" s="1"/>
    </row>
    <row r="178" spans="1:27" x14ac:dyDescent="0.3">
      <c r="A178" s="18">
        <v>244.83</v>
      </c>
      <c r="B178" s="1">
        <v>0</v>
      </c>
      <c r="C178" s="1">
        <v>244.83</v>
      </c>
      <c r="D178" s="1">
        <v>0</v>
      </c>
      <c r="E178" s="1">
        <v>244.83</v>
      </c>
      <c r="F178" s="1">
        <v>0</v>
      </c>
      <c r="G178" s="1">
        <v>244.83</v>
      </c>
      <c r="H178" s="1">
        <v>0</v>
      </c>
      <c r="I178" s="1">
        <v>244.83</v>
      </c>
      <c r="J178" s="1">
        <v>0</v>
      </c>
      <c r="K178" s="1">
        <v>244.83</v>
      </c>
      <c r="L178" s="1">
        <v>0</v>
      </c>
      <c r="M178" s="1">
        <v>244.83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244.83</v>
      </c>
      <c r="U178" s="1">
        <f>IF(Table14[[#This Row],[I_0]] &lt; INDEX(Table28[Filtro de ruido],1), 1, Table14[[#This Row],[I_10]] / Table14[[#This Row],[I_0]])</f>
        <v>1</v>
      </c>
      <c r="V178" s="1">
        <f>IF(Table14[[#This Row],[I_0]] &lt; INDEX(Table28[Filtro de ruido],1), 1, Table14[[#This Row],[I_20]] / Table14[[#This Row],[I_0]])</f>
        <v>1</v>
      </c>
      <c r="W178" s="1">
        <f>IF(Table14[[#This Row],[I_0]] &lt; INDEX(Table28[Filtro de ruido],1), 1, Table14[[#This Row],[I_30]] / Table14[[#This Row],[I_0]])</f>
        <v>1</v>
      </c>
      <c r="X178" s="1">
        <f>IF(Table14[[#This Row],[I_0]] &lt; INDEX(Table28[Filtro de ruido],1), 1, Table14[[#This Row],[I_40]] / Table14[[#This Row],[I_0]])</f>
        <v>1</v>
      </c>
      <c r="Y178" s="19">
        <f>IF(Table14[[#This Row],[I_0]] &lt; INDEX(Table28[Filtro de ruido],1), 1, Table14[[#This Row],[I_50]] / Table14[[#This Row],[I_0]])</f>
        <v>1</v>
      </c>
      <c r="AA178" s="1"/>
    </row>
    <row r="179" spans="1:27" x14ac:dyDescent="0.3">
      <c r="A179" s="18">
        <v>245.82</v>
      </c>
      <c r="B179" s="1">
        <v>0</v>
      </c>
      <c r="C179" s="1">
        <v>245.82</v>
      </c>
      <c r="D179" s="1">
        <v>0</v>
      </c>
      <c r="E179" s="1">
        <v>245.82</v>
      </c>
      <c r="F179" s="1">
        <v>0</v>
      </c>
      <c r="G179" s="1">
        <v>245.82</v>
      </c>
      <c r="H179" s="1">
        <v>0</v>
      </c>
      <c r="I179" s="1">
        <v>245.82</v>
      </c>
      <c r="J179" s="1">
        <v>0</v>
      </c>
      <c r="K179" s="1">
        <v>245.82</v>
      </c>
      <c r="L179" s="1">
        <v>0</v>
      </c>
      <c r="M179" s="1">
        <v>245.82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245.82</v>
      </c>
      <c r="U179" s="1">
        <f>IF(Table14[[#This Row],[I_0]] &lt; INDEX(Table28[Filtro de ruido],1), 1, Table14[[#This Row],[I_10]] / Table14[[#This Row],[I_0]])</f>
        <v>1</v>
      </c>
      <c r="V179" s="1">
        <f>IF(Table14[[#This Row],[I_0]] &lt; INDEX(Table28[Filtro de ruido],1), 1, Table14[[#This Row],[I_20]] / Table14[[#This Row],[I_0]])</f>
        <v>1</v>
      </c>
      <c r="W179" s="1">
        <f>IF(Table14[[#This Row],[I_0]] &lt; INDEX(Table28[Filtro de ruido],1), 1, Table14[[#This Row],[I_30]] / Table14[[#This Row],[I_0]])</f>
        <v>1</v>
      </c>
      <c r="X179" s="1">
        <f>IF(Table14[[#This Row],[I_0]] &lt; INDEX(Table28[Filtro de ruido],1), 1, Table14[[#This Row],[I_40]] / Table14[[#This Row],[I_0]])</f>
        <v>1</v>
      </c>
      <c r="Y179" s="19">
        <f>IF(Table14[[#This Row],[I_0]] &lt; INDEX(Table28[Filtro de ruido],1), 1, Table14[[#This Row],[I_50]] / Table14[[#This Row],[I_0]])</f>
        <v>1</v>
      </c>
      <c r="AA179" s="1"/>
    </row>
    <row r="180" spans="1:27" x14ac:dyDescent="0.3">
      <c r="A180" s="18">
        <v>246.82</v>
      </c>
      <c r="B180" s="1">
        <v>0</v>
      </c>
      <c r="C180" s="1">
        <v>246.82</v>
      </c>
      <c r="D180" s="1">
        <v>0</v>
      </c>
      <c r="E180" s="1">
        <v>246.82</v>
      </c>
      <c r="F180" s="1">
        <v>0</v>
      </c>
      <c r="G180" s="1">
        <v>246.82</v>
      </c>
      <c r="H180" s="1">
        <v>0</v>
      </c>
      <c r="I180" s="1">
        <v>246.82</v>
      </c>
      <c r="J180" s="1">
        <v>0</v>
      </c>
      <c r="K180" s="1">
        <v>246.82</v>
      </c>
      <c r="L180" s="1">
        <v>0</v>
      </c>
      <c r="M180" s="1">
        <v>246.82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246.82</v>
      </c>
      <c r="U180" s="1">
        <f>IF(Table14[[#This Row],[I_0]] &lt; INDEX(Table28[Filtro de ruido],1), 1, Table14[[#This Row],[I_10]] / Table14[[#This Row],[I_0]])</f>
        <v>1</v>
      </c>
      <c r="V180" s="1">
        <f>IF(Table14[[#This Row],[I_0]] &lt; INDEX(Table28[Filtro de ruido],1), 1, Table14[[#This Row],[I_20]] / Table14[[#This Row],[I_0]])</f>
        <v>1</v>
      </c>
      <c r="W180" s="1">
        <f>IF(Table14[[#This Row],[I_0]] &lt; INDEX(Table28[Filtro de ruido],1), 1, Table14[[#This Row],[I_30]] / Table14[[#This Row],[I_0]])</f>
        <v>1</v>
      </c>
      <c r="X180" s="1">
        <f>IF(Table14[[#This Row],[I_0]] &lt; INDEX(Table28[Filtro de ruido],1), 1, Table14[[#This Row],[I_40]] / Table14[[#This Row],[I_0]])</f>
        <v>1</v>
      </c>
      <c r="Y180" s="19">
        <f>IF(Table14[[#This Row],[I_0]] &lt; INDEX(Table28[Filtro de ruido],1), 1, Table14[[#This Row],[I_50]] / Table14[[#This Row],[I_0]])</f>
        <v>1</v>
      </c>
      <c r="AA180" s="1"/>
    </row>
    <row r="181" spans="1:27" x14ac:dyDescent="0.3">
      <c r="A181" s="18">
        <v>247.81</v>
      </c>
      <c r="B181" s="1">
        <v>0</v>
      </c>
      <c r="C181" s="1">
        <v>247.81</v>
      </c>
      <c r="D181" s="1">
        <v>0</v>
      </c>
      <c r="E181" s="1">
        <v>247.81</v>
      </c>
      <c r="F181" s="1">
        <v>0</v>
      </c>
      <c r="G181" s="1">
        <v>247.81</v>
      </c>
      <c r="H181" s="1">
        <v>0</v>
      </c>
      <c r="I181" s="1">
        <v>247.81</v>
      </c>
      <c r="J181" s="1">
        <v>0</v>
      </c>
      <c r="K181" s="1">
        <v>247.81</v>
      </c>
      <c r="L181" s="1">
        <v>0</v>
      </c>
      <c r="M181" s="1">
        <v>247.81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247.81</v>
      </c>
      <c r="U181" s="1">
        <f>IF(Table14[[#This Row],[I_0]] &lt; INDEX(Table28[Filtro de ruido],1), 1, Table14[[#This Row],[I_10]] / Table14[[#This Row],[I_0]])</f>
        <v>1</v>
      </c>
      <c r="V181" s="1">
        <f>IF(Table14[[#This Row],[I_0]] &lt; INDEX(Table28[Filtro de ruido],1), 1, Table14[[#This Row],[I_20]] / Table14[[#This Row],[I_0]])</f>
        <v>1</v>
      </c>
      <c r="W181" s="1">
        <f>IF(Table14[[#This Row],[I_0]] &lt; INDEX(Table28[Filtro de ruido],1), 1, Table14[[#This Row],[I_30]] / Table14[[#This Row],[I_0]])</f>
        <v>1</v>
      </c>
      <c r="X181" s="1">
        <f>IF(Table14[[#This Row],[I_0]] &lt; INDEX(Table28[Filtro de ruido],1), 1, Table14[[#This Row],[I_40]] / Table14[[#This Row],[I_0]])</f>
        <v>1</v>
      </c>
      <c r="Y181" s="19">
        <f>IF(Table14[[#This Row],[I_0]] &lt; INDEX(Table28[Filtro de ruido],1), 1, Table14[[#This Row],[I_50]] / Table14[[#This Row],[I_0]])</f>
        <v>1</v>
      </c>
      <c r="AA181" s="1"/>
    </row>
    <row r="182" spans="1:27" x14ac:dyDescent="0.3">
      <c r="A182" s="18">
        <v>248.8</v>
      </c>
      <c r="B182" s="1">
        <v>0</v>
      </c>
      <c r="C182" s="1">
        <v>248.8</v>
      </c>
      <c r="D182" s="1">
        <v>0</v>
      </c>
      <c r="E182" s="1">
        <v>248.8</v>
      </c>
      <c r="F182" s="1">
        <v>0</v>
      </c>
      <c r="G182" s="1">
        <v>248.8</v>
      </c>
      <c r="H182" s="1">
        <v>0</v>
      </c>
      <c r="I182" s="1">
        <v>248.8</v>
      </c>
      <c r="J182" s="1">
        <v>0</v>
      </c>
      <c r="K182" s="1">
        <v>248.8</v>
      </c>
      <c r="L182" s="1">
        <v>0</v>
      </c>
      <c r="M182" s="1">
        <v>248.8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248.8</v>
      </c>
      <c r="U182" s="1">
        <f>IF(Table14[[#This Row],[I_0]] &lt; INDEX(Table28[Filtro de ruido],1), 1, Table14[[#This Row],[I_10]] / Table14[[#This Row],[I_0]])</f>
        <v>1</v>
      </c>
      <c r="V182" s="1">
        <f>IF(Table14[[#This Row],[I_0]] &lt; INDEX(Table28[Filtro de ruido],1), 1, Table14[[#This Row],[I_20]] / Table14[[#This Row],[I_0]])</f>
        <v>1</v>
      </c>
      <c r="W182" s="1">
        <f>IF(Table14[[#This Row],[I_0]] &lt; INDEX(Table28[Filtro de ruido],1), 1, Table14[[#This Row],[I_30]] / Table14[[#This Row],[I_0]])</f>
        <v>1</v>
      </c>
      <c r="X182" s="1">
        <f>IF(Table14[[#This Row],[I_0]] &lt; INDEX(Table28[Filtro de ruido],1), 1, Table14[[#This Row],[I_40]] / Table14[[#This Row],[I_0]])</f>
        <v>1</v>
      </c>
      <c r="Y182" s="19">
        <f>IF(Table14[[#This Row],[I_0]] &lt; INDEX(Table28[Filtro de ruido],1), 1, Table14[[#This Row],[I_50]] / Table14[[#This Row],[I_0]])</f>
        <v>1</v>
      </c>
      <c r="AA182" s="1"/>
    </row>
    <row r="183" spans="1:27" x14ac:dyDescent="0.3">
      <c r="A183" s="18">
        <v>249.79</v>
      </c>
      <c r="B183" s="1">
        <v>0</v>
      </c>
      <c r="C183" s="1">
        <v>249.79</v>
      </c>
      <c r="D183" s="1">
        <v>0</v>
      </c>
      <c r="E183" s="1">
        <v>249.79</v>
      </c>
      <c r="F183" s="1">
        <v>0</v>
      </c>
      <c r="G183" s="1">
        <v>249.79</v>
      </c>
      <c r="H183" s="1">
        <v>0</v>
      </c>
      <c r="I183" s="1">
        <v>249.79</v>
      </c>
      <c r="J183" s="1">
        <v>0</v>
      </c>
      <c r="K183" s="1">
        <v>249.79</v>
      </c>
      <c r="L183" s="1">
        <v>0</v>
      </c>
      <c r="M183" s="1">
        <v>249.79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249.79</v>
      </c>
      <c r="U183" s="1">
        <f>IF(Table14[[#This Row],[I_0]] &lt; INDEX(Table28[Filtro de ruido],1), 1, Table14[[#This Row],[I_10]] / Table14[[#This Row],[I_0]])</f>
        <v>1</v>
      </c>
      <c r="V183" s="1">
        <f>IF(Table14[[#This Row],[I_0]] &lt; INDEX(Table28[Filtro de ruido],1), 1, Table14[[#This Row],[I_20]] / Table14[[#This Row],[I_0]])</f>
        <v>1</v>
      </c>
      <c r="W183" s="1">
        <f>IF(Table14[[#This Row],[I_0]] &lt; INDEX(Table28[Filtro de ruido],1), 1, Table14[[#This Row],[I_30]] / Table14[[#This Row],[I_0]])</f>
        <v>1</v>
      </c>
      <c r="X183" s="1">
        <f>IF(Table14[[#This Row],[I_0]] &lt; INDEX(Table28[Filtro de ruido],1), 1, Table14[[#This Row],[I_40]] / Table14[[#This Row],[I_0]])</f>
        <v>1</v>
      </c>
      <c r="Y183" s="19">
        <f>IF(Table14[[#This Row],[I_0]] &lt; INDEX(Table28[Filtro de ruido],1), 1, Table14[[#This Row],[I_50]] / Table14[[#This Row],[I_0]])</f>
        <v>1</v>
      </c>
      <c r="AA183" s="1"/>
    </row>
    <row r="184" spans="1:27" x14ac:dyDescent="0.3">
      <c r="A184" s="18">
        <v>250.78</v>
      </c>
      <c r="B184" s="1">
        <v>0</v>
      </c>
      <c r="C184" s="1">
        <v>250.78</v>
      </c>
      <c r="D184" s="1">
        <v>0</v>
      </c>
      <c r="E184" s="1">
        <v>250.78</v>
      </c>
      <c r="F184" s="1">
        <v>0</v>
      </c>
      <c r="G184" s="1">
        <v>250.78</v>
      </c>
      <c r="H184" s="1">
        <v>0</v>
      </c>
      <c r="I184" s="1">
        <v>250.78</v>
      </c>
      <c r="J184" s="1">
        <v>0</v>
      </c>
      <c r="K184" s="1">
        <v>250.78</v>
      </c>
      <c r="L184" s="1">
        <v>0</v>
      </c>
      <c r="M184" s="1">
        <v>250.78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250.78</v>
      </c>
      <c r="U184" s="1">
        <f>IF(Table14[[#This Row],[I_0]] &lt; INDEX(Table28[Filtro de ruido],1), 1, Table14[[#This Row],[I_10]] / Table14[[#This Row],[I_0]])</f>
        <v>1</v>
      </c>
      <c r="V184" s="1">
        <f>IF(Table14[[#This Row],[I_0]] &lt; INDEX(Table28[Filtro de ruido],1), 1, Table14[[#This Row],[I_20]] / Table14[[#This Row],[I_0]])</f>
        <v>1</v>
      </c>
      <c r="W184" s="1">
        <f>IF(Table14[[#This Row],[I_0]] &lt; INDEX(Table28[Filtro de ruido],1), 1, Table14[[#This Row],[I_30]] / Table14[[#This Row],[I_0]])</f>
        <v>1</v>
      </c>
      <c r="X184" s="1">
        <f>IF(Table14[[#This Row],[I_0]] &lt; INDEX(Table28[Filtro de ruido],1), 1, Table14[[#This Row],[I_40]] / Table14[[#This Row],[I_0]])</f>
        <v>1</v>
      </c>
      <c r="Y184" s="19">
        <f>IF(Table14[[#This Row],[I_0]] &lt; INDEX(Table28[Filtro de ruido],1), 1, Table14[[#This Row],[I_50]] / Table14[[#This Row],[I_0]])</f>
        <v>1</v>
      </c>
      <c r="AA184" s="1"/>
    </row>
    <row r="185" spans="1:27" x14ac:dyDescent="0.3">
      <c r="A185" s="18">
        <v>251.77</v>
      </c>
      <c r="B185" s="1">
        <v>0</v>
      </c>
      <c r="C185" s="1">
        <v>251.77</v>
      </c>
      <c r="D185" s="1">
        <v>0</v>
      </c>
      <c r="E185" s="1">
        <v>251.77</v>
      </c>
      <c r="F185" s="1">
        <v>0</v>
      </c>
      <c r="G185" s="1">
        <v>251.77</v>
      </c>
      <c r="H185" s="1">
        <v>0</v>
      </c>
      <c r="I185" s="1">
        <v>251.77</v>
      </c>
      <c r="J185" s="1">
        <v>0</v>
      </c>
      <c r="K185" s="1">
        <v>251.77</v>
      </c>
      <c r="L185" s="1">
        <v>0</v>
      </c>
      <c r="M185" s="1">
        <v>251.77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251.77</v>
      </c>
      <c r="U185" s="1">
        <f>IF(Table14[[#This Row],[I_0]] &lt; INDEX(Table28[Filtro de ruido],1), 1, Table14[[#This Row],[I_10]] / Table14[[#This Row],[I_0]])</f>
        <v>1</v>
      </c>
      <c r="V185" s="1">
        <f>IF(Table14[[#This Row],[I_0]] &lt; INDEX(Table28[Filtro de ruido],1), 1, Table14[[#This Row],[I_20]] / Table14[[#This Row],[I_0]])</f>
        <v>1</v>
      </c>
      <c r="W185" s="1">
        <f>IF(Table14[[#This Row],[I_0]] &lt; INDEX(Table28[Filtro de ruido],1), 1, Table14[[#This Row],[I_30]] / Table14[[#This Row],[I_0]])</f>
        <v>1</v>
      </c>
      <c r="X185" s="1">
        <f>IF(Table14[[#This Row],[I_0]] &lt; INDEX(Table28[Filtro de ruido],1), 1, Table14[[#This Row],[I_40]] / Table14[[#This Row],[I_0]])</f>
        <v>1</v>
      </c>
      <c r="Y185" s="19">
        <f>IF(Table14[[#This Row],[I_0]] &lt; INDEX(Table28[Filtro de ruido],1), 1, Table14[[#This Row],[I_50]] / Table14[[#This Row],[I_0]])</f>
        <v>1</v>
      </c>
      <c r="AA185" s="1"/>
    </row>
    <row r="186" spans="1:27" x14ac:dyDescent="0.3">
      <c r="A186" s="18">
        <v>252.77</v>
      </c>
      <c r="B186" s="1">
        <v>0</v>
      </c>
      <c r="C186" s="1">
        <v>252.77</v>
      </c>
      <c r="D186" s="1">
        <v>0</v>
      </c>
      <c r="E186" s="1">
        <v>252.77</v>
      </c>
      <c r="F186" s="1">
        <v>0</v>
      </c>
      <c r="G186" s="1">
        <v>252.77</v>
      </c>
      <c r="H186" s="1">
        <v>0</v>
      </c>
      <c r="I186" s="1">
        <v>252.77</v>
      </c>
      <c r="J186" s="1">
        <v>0</v>
      </c>
      <c r="K186" s="1">
        <v>252.77</v>
      </c>
      <c r="L186" s="1">
        <v>0</v>
      </c>
      <c r="M186" s="1">
        <v>252.77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252.77</v>
      </c>
      <c r="U186" s="1">
        <f>IF(Table14[[#This Row],[I_0]] &lt; INDEX(Table28[Filtro de ruido],1), 1, Table14[[#This Row],[I_10]] / Table14[[#This Row],[I_0]])</f>
        <v>1</v>
      </c>
      <c r="V186" s="1">
        <f>IF(Table14[[#This Row],[I_0]] &lt; INDEX(Table28[Filtro de ruido],1), 1, Table14[[#This Row],[I_20]] / Table14[[#This Row],[I_0]])</f>
        <v>1</v>
      </c>
      <c r="W186" s="1">
        <f>IF(Table14[[#This Row],[I_0]] &lt; INDEX(Table28[Filtro de ruido],1), 1, Table14[[#This Row],[I_30]] / Table14[[#This Row],[I_0]])</f>
        <v>1</v>
      </c>
      <c r="X186" s="1">
        <f>IF(Table14[[#This Row],[I_0]] &lt; INDEX(Table28[Filtro de ruido],1), 1, Table14[[#This Row],[I_40]] / Table14[[#This Row],[I_0]])</f>
        <v>1</v>
      </c>
      <c r="Y186" s="19">
        <f>IF(Table14[[#This Row],[I_0]] &lt; INDEX(Table28[Filtro de ruido],1), 1, Table14[[#This Row],[I_50]] / Table14[[#This Row],[I_0]])</f>
        <v>1</v>
      </c>
      <c r="AA186" s="1"/>
    </row>
    <row r="187" spans="1:27" x14ac:dyDescent="0.3">
      <c r="A187" s="18">
        <v>253.76</v>
      </c>
      <c r="B187" s="1">
        <v>0</v>
      </c>
      <c r="C187" s="1">
        <v>253.76</v>
      </c>
      <c r="D187" s="1">
        <v>0</v>
      </c>
      <c r="E187" s="1">
        <v>253.76</v>
      </c>
      <c r="F187" s="1">
        <v>0</v>
      </c>
      <c r="G187" s="1">
        <v>253.76</v>
      </c>
      <c r="H187" s="1">
        <v>0</v>
      </c>
      <c r="I187" s="1">
        <v>253.76</v>
      </c>
      <c r="J187" s="1">
        <v>0</v>
      </c>
      <c r="K187" s="1">
        <v>253.76</v>
      </c>
      <c r="L187" s="1">
        <v>0</v>
      </c>
      <c r="M187" s="1">
        <v>253.76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253.76</v>
      </c>
      <c r="U187" s="1">
        <f>IF(Table14[[#This Row],[I_0]] &lt; INDEX(Table28[Filtro de ruido],1), 1, Table14[[#This Row],[I_10]] / Table14[[#This Row],[I_0]])</f>
        <v>1</v>
      </c>
      <c r="V187" s="1">
        <f>IF(Table14[[#This Row],[I_0]] &lt; INDEX(Table28[Filtro de ruido],1), 1, Table14[[#This Row],[I_20]] / Table14[[#This Row],[I_0]])</f>
        <v>1</v>
      </c>
      <c r="W187" s="1">
        <f>IF(Table14[[#This Row],[I_0]] &lt; INDEX(Table28[Filtro de ruido],1), 1, Table14[[#This Row],[I_30]] / Table14[[#This Row],[I_0]])</f>
        <v>1</v>
      </c>
      <c r="X187" s="1">
        <f>IF(Table14[[#This Row],[I_0]] &lt; INDEX(Table28[Filtro de ruido],1), 1, Table14[[#This Row],[I_40]] / Table14[[#This Row],[I_0]])</f>
        <v>1</v>
      </c>
      <c r="Y187" s="19">
        <f>IF(Table14[[#This Row],[I_0]] &lt; INDEX(Table28[Filtro de ruido],1), 1, Table14[[#This Row],[I_50]] / Table14[[#This Row],[I_0]])</f>
        <v>1</v>
      </c>
      <c r="AA187" s="1"/>
    </row>
    <row r="188" spans="1:27" x14ac:dyDescent="0.3">
      <c r="A188" s="18">
        <v>254.75</v>
      </c>
      <c r="B188" s="1">
        <v>0</v>
      </c>
      <c r="C188" s="1">
        <v>254.75</v>
      </c>
      <c r="D188" s="1">
        <v>0</v>
      </c>
      <c r="E188" s="1">
        <v>254.75</v>
      </c>
      <c r="F188" s="1">
        <v>0</v>
      </c>
      <c r="G188" s="1">
        <v>254.75</v>
      </c>
      <c r="H188" s="1">
        <v>0</v>
      </c>
      <c r="I188" s="1">
        <v>254.75</v>
      </c>
      <c r="J188" s="1">
        <v>0</v>
      </c>
      <c r="K188" s="1">
        <v>254.75</v>
      </c>
      <c r="L188" s="1">
        <v>0</v>
      </c>
      <c r="M188" s="1">
        <v>254.75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254.75</v>
      </c>
      <c r="U188" s="1">
        <f>IF(Table14[[#This Row],[I_0]] &lt; INDEX(Table28[Filtro de ruido],1), 1, Table14[[#This Row],[I_10]] / Table14[[#This Row],[I_0]])</f>
        <v>1</v>
      </c>
      <c r="V188" s="1">
        <f>IF(Table14[[#This Row],[I_0]] &lt; INDEX(Table28[Filtro de ruido],1), 1, Table14[[#This Row],[I_20]] / Table14[[#This Row],[I_0]])</f>
        <v>1</v>
      </c>
      <c r="W188" s="1">
        <f>IF(Table14[[#This Row],[I_0]] &lt; INDEX(Table28[Filtro de ruido],1), 1, Table14[[#This Row],[I_30]] / Table14[[#This Row],[I_0]])</f>
        <v>1</v>
      </c>
      <c r="X188" s="1">
        <f>IF(Table14[[#This Row],[I_0]] &lt; INDEX(Table28[Filtro de ruido],1), 1, Table14[[#This Row],[I_40]] / Table14[[#This Row],[I_0]])</f>
        <v>1</v>
      </c>
      <c r="Y188" s="19">
        <f>IF(Table14[[#This Row],[I_0]] &lt; INDEX(Table28[Filtro de ruido],1), 1, Table14[[#This Row],[I_50]] / Table14[[#This Row],[I_0]])</f>
        <v>1</v>
      </c>
      <c r="AA188" s="1"/>
    </row>
    <row r="189" spans="1:27" x14ac:dyDescent="0.3">
      <c r="A189" s="18">
        <v>255.74</v>
      </c>
      <c r="B189" s="1">
        <v>0</v>
      </c>
      <c r="C189" s="1">
        <v>255.74</v>
      </c>
      <c r="D189" s="1">
        <v>0</v>
      </c>
      <c r="E189" s="1">
        <v>255.74</v>
      </c>
      <c r="F189" s="1">
        <v>0</v>
      </c>
      <c r="G189" s="1">
        <v>255.74</v>
      </c>
      <c r="H189" s="1">
        <v>0</v>
      </c>
      <c r="I189" s="1">
        <v>255.74</v>
      </c>
      <c r="J189" s="1">
        <v>0</v>
      </c>
      <c r="K189" s="1">
        <v>255.74</v>
      </c>
      <c r="L189" s="1">
        <v>0</v>
      </c>
      <c r="M189" s="1">
        <v>255.74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255.74</v>
      </c>
      <c r="U189" s="1">
        <f>IF(Table14[[#This Row],[I_0]] &lt; INDEX(Table28[Filtro de ruido],1), 1, Table14[[#This Row],[I_10]] / Table14[[#This Row],[I_0]])</f>
        <v>1</v>
      </c>
      <c r="V189" s="1">
        <f>IF(Table14[[#This Row],[I_0]] &lt; INDEX(Table28[Filtro de ruido],1), 1, Table14[[#This Row],[I_20]] / Table14[[#This Row],[I_0]])</f>
        <v>1</v>
      </c>
      <c r="W189" s="1">
        <f>IF(Table14[[#This Row],[I_0]] &lt; INDEX(Table28[Filtro de ruido],1), 1, Table14[[#This Row],[I_30]] / Table14[[#This Row],[I_0]])</f>
        <v>1</v>
      </c>
      <c r="X189" s="1">
        <f>IF(Table14[[#This Row],[I_0]] &lt; INDEX(Table28[Filtro de ruido],1), 1, Table14[[#This Row],[I_40]] / Table14[[#This Row],[I_0]])</f>
        <v>1</v>
      </c>
      <c r="Y189" s="19">
        <f>IF(Table14[[#This Row],[I_0]] &lt; INDEX(Table28[Filtro de ruido],1), 1, Table14[[#This Row],[I_50]] / Table14[[#This Row],[I_0]])</f>
        <v>1</v>
      </c>
      <c r="AA189" s="1"/>
    </row>
    <row r="190" spans="1:27" x14ac:dyDescent="0.3">
      <c r="A190" s="18">
        <v>256.73</v>
      </c>
      <c r="B190" s="1">
        <v>0</v>
      </c>
      <c r="C190" s="1">
        <v>256.73</v>
      </c>
      <c r="D190" s="1">
        <v>0</v>
      </c>
      <c r="E190" s="1">
        <v>256.73</v>
      </c>
      <c r="F190" s="1">
        <v>0</v>
      </c>
      <c r="G190" s="1">
        <v>256.73</v>
      </c>
      <c r="H190" s="1">
        <v>0</v>
      </c>
      <c r="I190" s="1">
        <v>256.73</v>
      </c>
      <c r="J190" s="1">
        <v>0</v>
      </c>
      <c r="K190" s="1">
        <v>256.73</v>
      </c>
      <c r="L190" s="1">
        <v>0</v>
      </c>
      <c r="M190" s="1">
        <v>256.73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256.73</v>
      </c>
      <c r="U190" s="1">
        <f>IF(Table14[[#This Row],[I_0]] &lt; INDEX(Table28[Filtro de ruido],1), 1, Table14[[#This Row],[I_10]] / Table14[[#This Row],[I_0]])</f>
        <v>1</v>
      </c>
      <c r="V190" s="1">
        <f>IF(Table14[[#This Row],[I_0]] &lt; INDEX(Table28[Filtro de ruido],1), 1, Table14[[#This Row],[I_20]] / Table14[[#This Row],[I_0]])</f>
        <v>1</v>
      </c>
      <c r="W190" s="1">
        <f>IF(Table14[[#This Row],[I_0]] &lt; INDEX(Table28[Filtro de ruido],1), 1, Table14[[#This Row],[I_30]] / Table14[[#This Row],[I_0]])</f>
        <v>1</v>
      </c>
      <c r="X190" s="1">
        <f>IF(Table14[[#This Row],[I_0]] &lt; INDEX(Table28[Filtro de ruido],1), 1, Table14[[#This Row],[I_40]] / Table14[[#This Row],[I_0]])</f>
        <v>1</v>
      </c>
      <c r="Y190" s="19">
        <f>IF(Table14[[#This Row],[I_0]] &lt; INDEX(Table28[Filtro de ruido],1), 1, Table14[[#This Row],[I_50]] / Table14[[#This Row],[I_0]])</f>
        <v>1</v>
      </c>
      <c r="AA190" s="1"/>
    </row>
    <row r="191" spans="1:27" x14ac:dyDescent="0.3">
      <c r="A191" s="18">
        <v>257.72000000000003</v>
      </c>
      <c r="B191" s="1">
        <v>0</v>
      </c>
      <c r="C191" s="1">
        <v>257.72000000000003</v>
      </c>
      <c r="D191" s="1">
        <v>0</v>
      </c>
      <c r="E191" s="1">
        <v>257.72000000000003</v>
      </c>
      <c r="F191" s="1">
        <v>0</v>
      </c>
      <c r="G191" s="1">
        <v>257.72000000000003</v>
      </c>
      <c r="H191" s="1">
        <v>0</v>
      </c>
      <c r="I191" s="1">
        <v>257.72000000000003</v>
      </c>
      <c r="J191" s="1">
        <v>0</v>
      </c>
      <c r="K191" s="1">
        <v>257.72000000000003</v>
      </c>
      <c r="L191" s="1">
        <v>0</v>
      </c>
      <c r="M191" s="1">
        <v>257.72000000000003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257.72000000000003</v>
      </c>
      <c r="U191" s="1">
        <f>IF(Table14[[#This Row],[I_0]] &lt; INDEX(Table28[Filtro de ruido],1), 1, Table14[[#This Row],[I_10]] / Table14[[#This Row],[I_0]])</f>
        <v>1</v>
      </c>
      <c r="V191" s="1">
        <f>IF(Table14[[#This Row],[I_0]] &lt; INDEX(Table28[Filtro de ruido],1), 1, Table14[[#This Row],[I_20]] / Table14[[#This Row],[I_0]])</f>
        <v>1</v>
      </c>
      <c r="W191" s="1">
        <f>IF(Table14[[#This Row],[I_0]] &lt; INDEX(Table28[Filtro de ruido],1), 1, Table14[[#This Row],[I_30]] / Table14[[#This Row],[I_0]])</f>
        <v>1</v>
      </c>
      <c r="X191" s="1">
        <f>IF(Table14[[#This Row],[I_0]] &lt; INDEX(Table28[Filtro de ruido],1), 1, Table14[[#This Row],[I_40]] / Table14[[#This Row],[I_0]])</f>
        <v>1</v>
      </c>
      <c r="Y191" s="19">
        <f>IF(Table14[[#This Row],[I_0]] &lt; INDEX(Table28[Filtro de ruido],1), 1, Table14[[#This Row],[I_50]] / Table14[[#This Row],[I_0]])</f>
        <v>1</v>
      </c>
      <c r="AA191" s="1"/>
    </row>
    <row r="192" spans="1:27" x14ac:dyDescent="0.3">
      <c r="A192" s="18">
        <v>258.72000000000003</v>
      </c>
      <c r="B192" s="1">
        <v>0</v>
      </c>
      <c r="C192" s="1">
        <v>258.72000000000003</v>
      </c>
      <c r="D192" s="1">
        <v>0</v>
      </c>
      <c r="E192" s="1">
        <v>258.72000000000003</v>
      </c>
      <c r="F192" s="1">
        <v>0</v>
      </c>
      <c r="G192" s="1">
        <v>258.72000000000003</v>
      </c>
      <c r="H192" s="1">
        <v>0</v>
      </c>
      <c r="I192" s="1">
        <v>258.72000000000003</v>
      </c>
      <c r="J192" s="1">
        <v>0</v>
      </c>
      <c r="K192" s="1">
        <v>258.72000000000003</v>
      </c>
      <c r="L192" s="1">
        <v>0</v>
      </c>
      <c r="M192" s="1">
        <v>258.72000000000003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258.72000000000003</v>
      </c>
      <c r="U192" s="1">
        <f>IF(Table14[[#This Row],[I_0]] &lt; INDEX(Table28[Filtro de ruido],1), 1, Table14[[#This Row],[I_10]] / Table14[[#This Row],[I_0]])</f>
        <v>1</v>
      </c>
      <c r="V192" s="1">
        <f>IF(Table14[[#This Row],[I_0]] &lt; INDEX(Table28[Filtro de ruido],1), 1, Table14[[#This Row],[I_20]] / Table14[[#This Row],[I_0]])</f>
        <v>1</v>
      </c>
      <c r="W192" s="1">
        <f>IF(Table14[[#This Row],[I_0]] &lt; INDEX(Table28[Filtro de ruido],1), 1, Table14[[#This Row],[I_30]] / Table14[[#This Row],[I_0]])</f>
        <v>1</v>
      </c>
      <c r="X192" s="1">
        <f>IF(Table14[[#This Row],[I_0]] &lt; INDEX(Table28[Filtro de ruido],1), 1, Table14[[#This Row],[I_40]] / Table14[[#This Row],[I_0]])</f>
        <v>1</v>
      </c>
      <c r="Y192" s="19">
        <f>IF(Table14[[#This Row],[I_0]] &lt; INDEX(Table28[Filtro de ruido],1), 1, Table14[[#This Row],[I_50]] / Table14[[#This Row],[I_0]])</f>
        <v>1</v>
      </c>
      <c r="AA192" s="1"/>
    </row>
    <row r="193" spans="1:27" x14ac:dyDescent="0.3">
      <c r="A193" s="18">
        <v>259.70999999999998</v>
      </c>
      <c r="B193" s="1">
        <v>0</v>
      </c>
      <c r="C193" s="1">
        <v>259.70999999999998</v>
      </c>
      <c r="D193" s="1">
        <v>0</v>
      </c>
      <c r="E193" s="1">
        <v>259.70999999999998</v>
      </c>
      <c r="F193" s="1">
        <v>0</v>
      </c>
      <c r="G193" s="1">
        <v>259.70999999999998</v>
      </c>
      <c r="H193" s="1">
        <v>0</v>
      </c>
      <c r="I193" s="1">
        <v>259.70999999999998</v>
      </c>
      <c r="J193" s="1">
        <v>0</v>
      </c>
      <c r="K193" s="1">
        <v>259.70999999999998</v>
      </c>
      <c r="L193" s="1">
        <v>0</v>
      </c>
      <c r="M193" s="1">
        <v>259.70999999999998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259.70999999999998</v>
      </c>
      <c r="U193" s="1">
        <f>IF(Table14[[#This Row],[I_0]] &lt; INDEX(Table28[Filtro de ruido],1), 1, Table14[[#This Row],[I_10]] / Table14[[#This Row],[I_0]])</f>
        <v>1</v>
      </c>
      <c r="V193" s="1">
        <f>IF(Table14[[#This Row],[I_0]] &lt; INDEX(Table28[Filtro de ruido],1), 1, Table14[[#This Row],[I_20]] / Table14[[#This Row],[I_0]])</f>
        <v>1</v>
      </c>
      <c r="W193" s="1">
        <f>IF(Table14[[#This Row],[I_0]] &lt; INDEX(Table28[Filtro de ruido],1), 1, Table14[[#This Row],[I_30]] / Table14[[#This Row],[I_0]])</f>
        <v>1</v>
      </c>
      <c r="X193" s="1">
        <f>IF(Table14[[#This Row],[I_0]] &lt; INDEX(Table28[Filtro de ruido],1), 1, Table14[[#This Row],[I_40]] / Table14[[#This Row],[I_0]])</f>
        <v>1</v>
      </c>
      <c r="Y193" s="19">
        <f>IF(Table14[[#This Row],[I_0]] &lt; INDEX(Table28[Filtro de ruido],1), 1, Table14[[#This Row],[I_50]] / Table14[[#This Row],[I_0]])</f>
        <v>1</v>
      </c>
      <c r="AA193" s="1"/>
    </row>
    <row r="194" spans="1:27" x14ac:dyDescent="0.3">
      <c r="A194" s="18">
        <v>260.7</v>
      </c>
      <c r="B194" s="1">
        <v>0</v>
      </c>
      <c r="C194" s="1">
        <v>260.7</v>
      </c>
      <c r="D194" s="1">
        <v>0</v>
      </c>
      <c r="E194" s="1">
        <v>260.7</v>
      </c>
      <c r="F194" s="1">
        <v>0</v>
      </c>
      <c r="G194" s="1">
        <v>260.7</v>
      </c>
      <c r="H194" s="1">
        <v>0</v>
      </c>
      <c r="I194" s="1">
        <v>260.7</v>
      </c>
      <c r="J194" s="1">
        <v>0</v>
      </c>
      <c r="K194" s="1">
        <v>260.7</v>
      </c>
      <c r="L194" s="1">
        <v>0</v>
      </c>
      <c r="M194" s="1">
        <v>260.7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260.7</v>
      </c>
      <c r="U194" s="1">
        <f>IF(Table14[[#This Row],[I_0]] &lt; INDEX(Table28[Filtro de ruido],1), 1, Table14[[#This Row],[I_10]] / Table14[[#This Row],[I_0]])</f>
        <v>1</v>
      </c>
      <c r="V194" s="1">
        <f>IF(Table14[[#This Row],[I_0]] &lt; INDEX(Table28[Filtro de ruido],1), 1, Table14[[#This Row],[I_20]] / Table14[[#This Row],[I_0]])</f>
        <v>1</v>
      </c>
      <c r="W194" s="1">
        <f>IF(Table14[[#This Row],[I_0]] &lt; INDEX(Table28[Filtro de ruido],1), 1, Table14[[#This Row],[I_30]] / Table14[[#This Row],[I_0]])</f>
        <v>1</v>
      </c>
      <c r="X194" s="1">
        <f>IF(Table14[[#This Row],[I_0]] &lt; INDEX(Table28[Filtro de ruido],1), 1, Table14[[#This Row],[I_40]] / Table14[[#This Row],[I_0]])</f>
        <v>1</v>
      </c>
      <c r="Y194" s="19">
        <f>IF(Table14[[#This Row],[I_0]] &lt; INDEX(Table28[Filtro de ruido],1), 1, Table14[[#This Row],[I_50]] / Table14[[#This Row],[I_0]])</f>
        <v>1</v>
      </c>
      <c r="AA194" s="1"/>
    </row>
    <row r="195" spans="1:27" x14ac:dyDescent="0.3">
      <c r="A195" s="18">
        <v>261.69</v>
      </c>
      <c r="B195" s="1">
        <v>0</v>
      </c>
      <c r="C195" s="1">
        <v>261.69</v>
      </c>
      <c r="D195" s="1">
        <v>0</v>
      </c>
      <c r="E195" s="1">
        <v>261.69</v>
      </c>
      <c r="F195" s="1">
        <v>0</v>
      </c>
      <c r="G195" s="1">
        <v>261.69</v>
      </c>
      <c r="H195" s="1">
        <v>0</v>
      </c>
      <c r="I195" s="1">
        <v>261.69</v>
      </c>
      <c r="J195" s="1">
        <v>0</v>
      </c>
      <c r="K195" s="1">
        <v>261.69</v>
      </c>
      <c r="L195" s="1">
        <v>0</v>
      </c>
      <c r="M195" s="1">
        <v>261.69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261.69</v>
      </c>
      <c r="U195" s="1">
        <f>IF(Table14[[#This Row],[I_0]] &lt; INDEX(Table28[Filtro de ruido],1), 1, Table14[[#This Row],[I_10]] / Table14[[#This Row],[I_0]])</f>
        <v>1</v>
      </c>
      <c r="V195" s="1">
        <f>IF(Table14[[#This Row],[I_0]] &lt; INDEX(Table28[Filtro de ruido],1), 1, Table14[[#This Row],[I_20]] / Table14[[#This Row],[I_0]])</f>
        <v>1</v>
      </c>
      <c r="W195" s="1">
        <f>IF(Table14[[#This Row],[I_0]] &lt; INDEX(Table28[Filtro de ruido],1), 1, Table14[[#This Row],[I_30]] / Table14[[#This Row],[I_0]])</f>
        <v>1</v>
      </c>
      <c r="X195" s="1">
        <f>IF(Table14[[#This Row],[I_0]] &lt; INDEX(Table28[Filtro de ruido],1), 1, Table14[[#This Row],[I_40]] / Table14[[#This Row],[I_0]])</f>
        <v>1</v>
      </c>
      <c r="Y195" s="19">
        <f>IF(Table14[[#This Row],[I_0]] &lt; INDEX(Table28[Filtro de ruido],1), 1, Table14[[#This Row],[I_50]] / Table14[[#This Row],[I_0]])</f>
        <v>1</v>
      </c>
      <c r="AA195" s="1"/>
    </row>
    <row r="196" spans="1:27" x14ac:dyDescent="0.3">
      <c r="A196" s="18">
        <v>262.68</v>
      </c>
      <c r="B196" s="1">
        <v>0</v>
      </c>
      <c r="C196" s="1">
        <v>262.68</v>
      </c>
      <c r="D196" s="1">
        <v>0</v>
      </c>
      <c r="E196" s="1">
        <v>262.68</v>
      </c>
      <c r="F196" s="1">
        <v>0</v>
      </c>
      <c r="G196" s="1">
        <v>262.68</v>
      </c>
      <c r="H196" s="1">
        <v>0</v>
      </c>
      <c r="I196" s="1">
        <v>262.68</v>
      </c>
      <c r="J196" s="1">
        <v>0</v>
      </c>
      <c r="K196" s="1">
        <v>262.68</v>
      </c>
      <c r="L196" s="1">
        <v>0</v>
      </c>
      <c r="M196" s="1">
        <v>262.68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262.68</v>
      </c>
      <c r="U196" s="1">
        <f>IF(Table14[[#This Row],[I_0]] &lt; INDEX(Table28[Filtro de ruido],1), 1, Table14[[#This Row],[I_10]] / Table14[[#This Row],[I_0]])</f>
        <v>1</v>
      </c>
      <c r="V196" s="1">
        <f>IF(Table14[[#This Row],[I_0]] &lt; INDEX(Table28[Filtro de ruido],1), 1, Table14[[#This Row],[I_20]] / Table14[[#This Row],[I_0]])</f>
        <v>1</v>
      </c>
      <c r="W196" s="1">
        <f>IF(Table14[[#This Row],[I_0]] &lt; INDEX(Table28[Filtro de ruido],1), 1, Table14[[#This Row],[I_30]] / Table14[[#This Row],[I_0]])</f>
        <v>1</v>
      </c>
      <c r="X196" s="1">
        <f>IF(Table14[[#This Row],[I_0]] &lt; INDEX(Table28[Filtro de ruido],1), 1, Table14[[#This Row],[I_40]] / Table14[[#This Row],[I_0]])</f>
        <v>1</v>
      </c>
      <c r="Y196" s="19">
        <f>IF(Table14[[#This Row],[I_0]] &lt; INDEX(Table28[Filtro de ruido],1), 1, Table14[[#This Row],[I_50]] / Table14[[#This Row],[I_0]])</f>
        <v>1</v>
      </c>
      <c r="AA196" s="1"/>
    </row>
    <row r="197" spans="1:27" x14ac:dyDescent="0.3">
      <c r="A197" s="18">
        <v>263.68</v>
      </c>
      <c r="B197" s="1">
        <v>0</v>
      </c>
      <c r="C197" s="1">
        <v>263.68</v>
      </c>
      <c r="D197" s="1">
        <v>0</v>
      </c>
      <c r="E197" s="1">
        <v>263.68</v>
      </c>
      <c r="F197" s="1">
        <v>0</v>
      </c>
      <c r="G197" s="1">
        <v>263.68</v>
      </c>
      <c r="H197" s="1">
        <v>0</v>
      </c>
      <c r="I197" s="1">
        <v>263.68</v>
      </c>
      <c r="J197" s="1">
        <v>0</v>
      </c>
      <c r="K197" s="1">
        <v>263.68</v>
      </c>
      <c r="L197" s="1">
        <v>0</v>
      </c>
      <c r="M197" s="1">
        <v>263.68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263.68</v>
      </c>
      <c r="U197" s="1">
        <f>IF(Table14[[#This Row],[I_0]] &lt; INDEX(Table28[Filtro de ruido],1), 1, Table14[[#This Row],[I_10]] / Table14[[#This Row],[I_0]])</f>
        <v>1</v>
      </c>
      <c r="V197" s="1">
        <f>IF(Table14[[#This Row],[I_0]] &lt; INDEX(Table28[Filtro de ruido],1), 1, Table14[[#This Row],[I_20]] / Table14[[#This Row],[I_0]])</f>
        <v>1</v>
      </c>
      <c r="W197" s="1">
        <f>IF(Table14[[#This Row],[I_0]] &lt; INDEX(Table28[Filtro de ruido],1), 1, Table14[[#This Row],[I_30]] / Table14[[#This Row],[I_0]])</f>
        <v>1</v>
      </c>
      <c r="X197" s="1">
        <f>IF(Table14[[#This Row],[I_0]] &lt; INDEX(Table28[Filtro de ruido],1), 1, Table14[[#This Row],[I_40]] / Table14[[#This Row],[I_0]])</f>
        <v>1</v>
      </c>
      <c r="Y197" s="19">
        <f>IF(Table14[[#This Row],[I_0]] &lt; INDEX(Table28[Filtro de ruido],1), 1, Table14[[#This Row],[I_50]] / Table14[[#This Row],[I_0]])</f>
        <v>1</v>
      </c>
      <c r="AA197" s="1"/>
    </row>
    <row r="198" spans="1:27" x14ac:dyDescent="0.3">
      <c r="A198" s="18">
        <v>264.67</v>
      </c>
      <c r="B198" s="1">
        <v>0</v>
      </c>
      <c r="C198" s="1">
        <v>264.67</v>
      </c>
      <c r="D198" s="1">
        <v>0</v>
      </c>
      <c r="E198" s="1">
        <v>264.67</v>
      </c>
      <c r="F198" s="1">
        <v>0</v>
      </c>
      <c r="G198" s="1">
        <v>264.67</v>
      </c>
      <c r="H198" s="1">
        <v>0</v>
      </c>
      <c r="I198" s="1">
        <v>264.67</v>
      </c>
      <c r="J198" s="1">
        <v>0</v>
      </c>
      <c r="K198" s="1">
        <v>264.67</v>
      </c>
      <c r="L198" s="1">
        <v>0</v>
      </c>
      <c r="M198" s="1">
        <v>264.67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264.67</v>
      </c>
      <c r="U198" s="1">
        <f>IF(Table14[[#This Row],[I_0]] &lt; INDEX(Table28[Filtro de ruido],1), 1, Table14[[#This Row],[I_10]] / Table14[[#This Row],[I_0]])</f>
        <v>1</v>
      </c>
      <c r="V198" s="1">
        <f>IF(Table14[[#This Row],[I_0]] &lt; INDEX(Table28[Filtro de ruido],1), 1, Table14[[#This Row],[I_20]] / Table14[[#This Row],[I_0]])</f>
        <v>1</v>
      </c>
      <c r="W198" s="1">
        <f>IF(Table14[[#This Row],[I_0]] &lt; INDEX(Table28[Filtro de ruido],1), 1, Table14[[#This Row],[I_30]] / Table14[[#This Row],[I_0]])</f>
        <v>1</v>
      </c>
      <c r="X198" s="1">
        <f>IF(Table14[[#This Row],[I_0]] &lt; INDEX(Table28[Filtro de ruido],1), 1, Table14[[#This Row],[I_40]] / Table14[[#This Row],[I_0]])</f>
        <v>1</v>
      </c>
      <c r="Y198" s="19">
        <f>IF(Table14[[#This Row],[I_0]] &lt; INDEX(Table28[Filtro de ruido],1), 1, Table14[[#This Row],[I_50]] / Table14[[#This Row],[I_0]])</f>
        <v>1</v>
      </c>
      <c r="AA198" s="1"/>
    </row>
    <row r="199" spans="1:27" x14ac:dyDescent="0.3">
      <c r="A199" s="18">
        <v>265.66000000000003</v>
      </c>
      <c r="B199" s="1">
        <v>0</v>
      </c>
      <c r="C199" s="1">
        <v>265.66000000000003</v>
      </c>
      <c r="D199" s="1">
        <v>0</v>
      </c>
      <c r="E199" s="1">
        <v>265.66000000000003</v>
      </c>
      <c r="F199" s="1">
        <v>0</v>
      </c>
      <c r="G199" s="1">
        <v>265.66000000000003</v>
      </c>
      <c r="H199" s="1">
        <v>0</v>
      </c>
      <c r="I199" s="1">
        <v>265.66000000000003</v>
      </c>
      <c r="J199" s="1">
        <v>0</v>
      </c>
      <c r="K199" s="1">
        <v>265.66000000000003</v>
      </c>
      <c r="L199" s="1">
        <v>0</v>
      </c>
      <c r="M199" s="1">
        <v>265.66000000000003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265.66000000000003</v>
      </c>
      <c r="U199" s="1">
        <f>IF(Table14[[#This Row],[I_0]] &lt; INDEX(Table28[Filtro de ruido],1), 1, Table14[[#This Row],[I_10]] / Table14[[#This Row],[I_0]])</f>
        <v>1</v>
      </c>
      <c r="V199" s="1">
        <f>IF(Table14[[#This Row],[I_0]] &lt; INDEX(Table28[Filtro de ruido],1), 1, Table14[[#This Row],[I_20]] / Table14[[#This Row],[I_0]])</f>
        <v>1</v>
      </c>
      <c r="W199" s="1">
        <f>IF(Table14[[#This Row],[I_0]] &lt; INDEX(Table28[Filtro de ruido],1), 1, Table14[[#This Row],[I_30]] / Table14[[#This Row],[I_0]])</f>
        <v>1</v>
      </c>
      <c r="X199" s="1">
        <f>IF(Table14[[#This Row],[I_0]] &lt; INDEX(Table28[Filtro de ruido],1), 1, Table14[[#This Row],[I_40]] / Table14[[#This Row],[I_0]])</f>
        <v>1</v>
      </c>
      <c r="Y199" s="19">
        <f>IF(Table14[[#This Row],[I_0]] &lt; INDEX(Table28[Filtro de ruido],1), 1, Table14[[#This Row],[I_50]] / Table14[[#This Row],[I_0]])</f>
        <v>1</v>
      </c>
      <c r="AA199" s="1"/>
    </row>
    <row r="200" spans="1:27" x14ac:dyDescent="0.3">
      <c r="A200" s="18">
        <v>266.64999999999998</v>
      </c>
      <c r="B200" s="1">
        <v>0</v>
      </c>
      <c r="C200" s="1">
        <v>266.64999999999998</v>
      </c>
      <c r="D200" s="1">
        <v>0</v>
      </c>
      <c r="E200" s="1">
        <v>266.64999999999998</v>
      </c>
      <c r="F200" s="1">
        <v>0</v>
      </c>
      <c r="G200" s="1">
        <v>266.64999999999998</v>
      </c>
      <c r="H200" s="1">
        <v>0</v>
      </c>
      <c r="I200" s="1">
        <v>266.64999999999998</v>
      </c>
      <c r="J200" s="1">
        <v>0</v>
      </c>
      <c r="K200" s="1">
        <v>266.64999999999998</v>
      </c>
      <c r="L200" s="1">
        <v>0</v>
      </c>
      <c r="M200" s="1">
        <v>266.64999999999998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266.64999999999998</v>
      </c>
      <c r="U200" s="1">
        <f>IF(Table14[[#This Row],[I_0]] &lt; INDEX(Table28[Filtro de ruido],1), 1, Table14[[#This Row],[I_10]] / Table14[[#This Row],[I_0]])</f>
        <v>1</v>
      </c>
      <c r="V200" s="1">
        <f>IF(Table14[[#This Row],[I_0]] &lt; INDEX(Table28[Filtro de ruido],1), 1, Table14[[#This Row],[I_20]] / Table14[[#This Row],[I_0]])</f>
        <v>1</v>
      </c>
      <c r="W200" s="1">
        <f>IF(Table14[[#This Row],[I_0]] &lt; INDEX(Table28[Filtro de ruido],1), 1, Table14[[#This Row],[I_30]] / Table14[[#This Row],[I_0]])</f>
        <v>1</v>
      </c>
      <c r="X200" s="1">
        <f>IF(Table14[[#This Row],[I_0]] &lt; INDEX(Table28[Filtro de ruido],1), 1, Table14[[#This Row],[I_40]] / Table14[[#This Row],[I_0]])</f>
        <v>1</v>
      </c>
      <c r="Y200" s="19">
        <f>IF(Table14[[#This Row],[I_0]] &lt; INDEX(Table28[Filtro de ruido],1), 1, Table14[[#This Row],[I_50]] / Table14[[#This Row],[I_0]])</f>
        <v>1</v>
      </c>
      <c r="AA200" s="1"/>
    </row>
    <row r="201" spans="1:27" x14ac:dyDescent="0.3">
      <c r="A201" s="18">
        <v>267.64</v>
      </c>
      <c r="B201" s="1">
        <v>0</v>
      </c>
      <c r="C201" s="1">
        <v>267.64</v>
      </c>
      <c r="D201" s="1">
        <v>0</v>
      </c>
      <c r="E201" s="1">
        <v>267.64</v>
      </c>
      <c r="F201" s="1">
        <v>0</v>
      </c>
      <c r="G201" s="1">
        <v>267.64</v>
      </c>
      <c r="H201" s="1">
        <v>0</v>
      </c>
      <c r="I201" s="1">
        <v>267.64</v>
      </c>
      <c r="J201" s="1">
        <v>0</v>
      </c>
      <c r="K201" s="1">
        <v>267.64</v>
      </c>
      <c r="L201" s="1">
        <v>0</v>
      </c>
      <c r="M201" s="1">
        <v>267.64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267.64</v>
      </c>
      <c r="U201" s="1">
        <f>IF(Table14[[#This Row],[I_0]] &lt; INDEX(Table28[Filtro de ruido],1), 1, Table14[[#This Row],[I_10]] / Table14[[#This Row],[I_0]])</f>
        <v>1</v>
      </c>
      <c r="V201" s="1">
        <f>IF(Table14[[#This Row],[I_0]] &lt; INDEX(Table28[Filtro de ruido],1), 1, Table14[[#This Row],[I_20]] / Table14[[#This Row],[I_0]])</f>
        <v>1</v>
      </c>
      <c r="W201" s="1">
        <f>IF(Table14[[#This Row],[I_0]] &lt; INDEX(Table28[Filtro de ruido],1), 1, Table14[[#This Row],[I_30]] / Table14[[#This Row],[I_0]])</f>
        <v>1</v>
      </c>
      <c r="X201" s="1">
        <f>IF(Table14[[#This Row],[I_0]] &lt; INDEX(Table28[Filtro de ruido],1), 1, Table14[[#This Row],[I_40]] / Table14[[#This Row],[I_0]])</f>
        <v>1</v>
      </c>
      <c r="Y201" s="19">
        <f>IF(Table14[[#This Row],[I_0]] &lt; INDEX(Table28[Filtro de ruido],1), 1, Table14[[#This Row],[I_50]] / Table14[[#This Row],[I_0]])</f>
        <v>1</v>
      </c>
      <c r="AA201" s="1"/>
    </row>
    <row r="202" spans="1:27" x14ac:dyDescent="0.3">
      <c r="A202" s="18">
        <v>268.63</v>
      </c>
      <c r="B202" s="1">
        <v>0</v>
      </c>
      <c r="C202" s="1">
        <v>268.63</v>
      </c>
      <c r="D202" s="1">
        <v>0</v>
      </c>
      <c r="E202" s="1">
        <v>268.63</v>
      </c>
      <c r="F202" s="1">
        <v>0</v>
      </c>
      <c r="G202" s="1">
        <v>268.63</v>
      </c>
      <c r="H202" s="1">
        <v>0</v>
      </c>
      <c r="I202" s="1">
        <v>268.63</v>
      </c>
      <c r="J202" s="1">
        <v>0</v>
      </c>
      <c r="K202" s="1">
        <v>268.63</v>
      </c>
      <c r="L202" s="1">
        <v>0</v>
      </c>
      <c r="M202" s="1">
        <v>268.63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268.63</v>
      </c>
      <c r="U202" s="1">
        <f>IF(Table14[[#This Row],[I_0]] &lt; INDEX(Table28[Filtro de ruido],1), 1, Table14[[#This Row],[I_10]] / Table14[[#This Row],[I_0]])</f>
        <v>1</v>
      </c>
      <c r="V202" s="1">
        <f>IF(Table14[[#This Row],[I_0]] &lt; INDEX(Table28[Filtro de ruido],1), 1, Table14[[#This Row],[I_20]] / Table14[[#This Row],[I_0]])</f>
        <v>1</v>
      </c>
      <c r="W202" s="1">
        <f>IF(Table14[[#This Row],[I_0]] &lt; INDEX(Table28[Filtro de ruido],1), 1, Table14[[#This Row],[I_30]] / Table14[[#This Row],[I_0]])</f>
        <v>1</v>
      </c>
      <c r="X202" s="1">
        <f>IF(Table14[[#This Row],[I_0]] &lt; INDEX(Table28[Filtro de ruido],1), 1, Table14[[#This Row],[I_40]] / Table14[[#This Row],[I_0]])</f>
        <v>1</v>
      </c>
      <c r="Y202" s="19">
        <f>IF(Table14[[#This Row],[I_0]] &lt; INDEX(Table28[Filtro de ruido],1), 1, Table14[[#This Row],[I_50]] / Table14[[#This Row],[I_0]])</f>
        <v>1</v>
      </c>
      <c r="AA202" s="1"/>
    </row>
    <row r="203" spans="1:27" x14ac:dyDescent="0.3">
      <c r="A203" s="18">
        <v>269.63</v>
      </c>
      <c r="B203" s="1">
        <v>0</v>
      </c>
      <c r="C203" s="1">
        <v>269.63</v>
      </c>
      <c r="D203" s="1">
        <v>0</v>
      </c>
      <c r="E203" s="1">
        <v>269.63</v>
      </c>
      <c r="F203" s="1">
        <v>0</v>
      </c>
      <c r="G203" s="1">
        <v>269.63</v>
      </c>
      <c r="H203" s="1">
        <v>0</v>
      </c>
      <c r="I203" s="1">
        <v>269.63</v>
      </c>
      <c r="J203" s="1">
        <v>0</v>
      </c>
      <c r="K203" s="1">
        <v>269.63</v>
      </c>
      <c r="L203" s="1">
        <v>0</v>
      </c>
      <c r="M203" s="1">
        <v>269.63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269.63</v>
      </c>
      <c r="U203" s="1">
        <f>IF(Table14[[#This Row],[I_0]] &lt; INDEX(Table28[Filtro de ruido],1), 1, Table14[[#This Row],[I_10]] / Table14[[#This Row],[I_0]])</f>
        <v>1</v>
      </c>
      <c r="V203" s="1">
        <f>IF(Table14[[#This Row],[I_0]] &lt; INDEX(Table28[Filtro de ruido],1), 1, Table14[[#This Row],[I_20]] / Table14[[#This Row],[I_0]])</f>
        <v>1</v>
      </c>
      <c r="W203" s="1">
        <f>IF(Table14[[#This Row],[I_0]] &lt; INDEX(Table28[Filtro de ruido],1), 1, Table14[[#This Row],[I_30]] / Table14[[#This Row],[I_0]])</f>
        <v>1</v>
      </c>
      <c r="X203" s="1">
        <f>IF(Table14[[#This Row],[I_0]] &lt; INDEX(Table28[Filtro de ruido],1), 1, Table14[[#This Row],[I_40]] / Table14[[#This Row],[I_0]])</f>
        <v>1</v>
      </c>
      <c r="Y203" s="19">
        <f>IF(Table14[[#This Row],[I_0]] &lt; INDEX(Table28[Filtro de ruido],1), 1, Table14[[#This Row],[I_50]] / Table14[[#This Row],[I_0]])</f>
        <v>1</v>
      </c>
      <c r="AA203" s="1"/>
    </row>
    <row r="204" spans="1:27" x14ac:dyDescent="0.3">
      <c r="A204" s="18">
        <v>270.62</v>
      </c>
      <c r="B204" s="1">
        <v>0</v>
      </c>
      <c r="C204" s="1">
        <v>270.62</v>
      </c>
      <c r="D204" s="1">
        <v>0</v>
      </c>
      <c r="E204" s="1">
        <v>270.62</v>
      </c>
      <c r="F204" s="1">
        <v>0</v>
      </c>
      <c r="G204" s="1">
        <v>270.62</v>
      </c>
      <c r="H204" s="1">
        <v>0</v>
      </c>
      <c r="I204" s="1">
        <v>270.62</v>
      </c>
      <c r="J204" s="1">
        <v>0</v>
      </c>
      <c r="K204" s="1">
        <v>270.62</v>
      </c>
      <c r="L204" s="1">
        <v>0</v>
      </c>
      <c r="M204" s="1">
        <v>270.62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270.62</v>
      </c>
      <c r="U204" s="1">
        <f>IF(Table14[[#This Row],[I_0]] &lt; INDEX(Table28[Filtro de ruido],1), 1, Table14[[#This Row],[I_10]] / Table14[[#This Row],[I_0]])</f>
        <v>1</v>
      </c>
      <c r="V204" s="1">
        <f>IF(Table14[[#This Row],[I_0]] &lt; INDEX(Table28[Filtro de ruido],1), 1, Table14[[#This Row],[I_20]] / Table14[[#This Row],[I_0]])</f>
        <v>1</v>
      </c>
      <c r="W204" s="1">
        <f>IF(Table14[[#This Row],[I_0]] &lt; INDEX(Table28[Filtro de ruido],1), 1, Table14[[#This Row],[I_30]] / Table14[[#This Row],[I_0]])</f>
        <v>1</v>
      </c>
      <c r="X204" s="1">
        <f>IF(Table14[[#This Row],[I_0]] &lt; INDEX(Table28[Filtro de ruido],1), 1, Table14[[#This Row],[I_40]] / Table14[[#This Row],[I_0]])</f>
        <v>1</v>
      </c>
      <c r="Y204" s="19">
        <f>IF(Table14[[#This Row],[I_0]] &lt; INDEX(Table28[Filtro de ruido],1), 1, Table14[[#This Row],[I_50]] / Table14[[#This Row],[I_0]])</f>
        <v>1</v>
      </c>
      <c r="AA204" s="1"/>
    </row>
    <row r="205" spans="1:27" x14ac:dyDescent="0.3">
      <c r="A205" s="18">
        <v>271.61</v>
      </c>
      <c r="B205" s="1">
        <v>0</v>
      </c>
      <c r="C205" s="1">
        <v>271.61</v>
      </c>
      <c r="D205" s="1">
        <v>0</v>
      </c>
      <c r="E205" s="1">
        <v>271.61</v>
      </c>
      <c r="F205" s="1">
        <v>0</v>
      </c>
      <c r="G205" s="1">
        <v>271.61</v>
      </c>
      <c r="H205" s="1">
        <v>0</v>
      </c>
      <c r="I205" s="1">
        <v>271.61</v>
      </c>
      <c r="J205" s="1">
        <v>0</v>
      </c>
      <c r="K205" s="1">
        <v>271.61</v>
      </c>
      <c r="L205" s="1">
        <v>0</v>
      </c>
      <c r="M205" s="1">
        <v>271.61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271.61</v>
      </c>
      <c r="U205" s="1">
        <f>IF(Table14[[#This Row],[I_0]] &lt; INDEX(Table28[Filtro de ruido],1), 1, Table14[[#This Row],[I_10]] / Table14[[#This Row],[I_0]])</f>
        <v>1</v>
      </c>
      <c r="V205" s="1">
        <f>IF(Table14[[#This Row],[I_0]] &lt; INDEX(Table28[Filtro de ruido],1), 1, Table14[[#This Row],[I_20]] / Table14[[#This Row],[I_0]])</f>
        <v>1</v>
      </c>
      <c r="W205" s="1">
        <f>IF(Table14[[#This Row],[I_0]] &lt; INDEX(Table28[Filtro de ruido],1), 1, Table14[[#This Row],[I_30]] / Table14[[#This Row],[I_0]])</f>
        <v>1</v>
      </c>
      <c r="X205" s="1">
        <f>IF(Table14[[#This Row],[I_0]] &lt; INDEX(Table28[Filtro de ruido],1), 1, Table14[[#This Row],[I_40]] / Table14[[#This Row],[I_0]])</f>
        <v>1</v>
      </c>
      <c r="Y205" s="19">
        <f>IF(Table14[[#This Row],[I_0]] &lt; INDEX(Table28[Filtro de ruido],1), 1, Table14[[#This Row],[I_50]] / Table14[[#This Row],[I_0]])</f>
        <v>1</v>
      </c>
      <c r="AA205" s="1"/>
    </row>
    <row r="206" spans="1:27" x14ac:dyDescent="0.3">
      <c r="A206" s="18">
        <v>272.60000000000002</v>
      </c>
      <c r="B206" s="1">
        <v>0</v>
      </c>
      <c r="C206" s="1">
        <v>272.60000000000002</v>
      </c>
      <c r="D206" s="1">
        <v>0</v>
      </c>
      <c r="E206" s="1">
        <v>272.60000000000002</v>
      </c>
      <c r="F206" s="1">
        <v>0</v>
      </c>
      <c r="G206" s="1">
        <v>272.60000000000002</v>
      </c>
      <c r="H206" s="1">
        <v>0</v>
      </c>
      <c r="I206" s="1">
        <v>272.60000000000002</v>
      </c>
      <c r="J206" s="1">
        <v>0</v>
      </c>
      <c r="K206" s="1">
        <v>272.60000000000002</v>
      </c>
      <c r="L206" s="1">
        <v>0</v>
      </c>
      <c r="M206" s="1">
        <v>272.60000000000002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272.60000000000002</v>
      </c>
      <c r="U206" s="1">
        <f>IF(Table14[[#This Row],[I_0]] &lt; INDEX(Table28[Filtro de ruido],1), 1, Table14[[#This Row],[I_10]] / Table14[[#This Row],[I_0]])</f>
        <v>1</v>
      </c>
      <c r="V206" s="1">
        <f>IF(Table14[[#This Row],[I_0]] &lt; INDEX(Table28[Filtro de ruido],1), 1, Table14[[#This Row],[I_20]] / Table14[[#This Row],[I_0]])</f>
        <v>1</v>
      </c>
      <c r="W206" s="1">
        <f>IF(Table14[[#This Row],[I_0]] &lt; INDEX(Table28[Filtro de ruido],1), 1, Table14[[#This Row],[I_30]] / Table14[[#This Row],[I_0]])</f>
        <v>1</v>
      </c>
      <c r="X206" s="1">
        <f>IF(Table14[[#This Row],[I_0]] &lt; INDEX(Table28[Filtro de ruido],1), 1, Table14[[#This Row],[I_40]] / Table14[[#This Row],[I_0]])</f>
        <v>1</v>
      </c>
      <c r="Y206" s="19">
        <f>IF(Table14[[#This Row],[I_0]] &lt; INDEX(Table28[Filtro de ruido],1), 1, Table14[[#This Row],[I_50]] / Table14[[#This Row],[I_0]])</f>
        <v>1</v>
      </c>
      <c r="AA206" s="1"/>
    </row>
    <row r="207" spans="1:27" x14ac:dyDescent="0.3">
      <c r="A207" s="18">
        <v>273.58999999999997</v>
      </c>
      <c r="B207" s="1">
        <v>0</v>
      </c>
      <c r="C207" s="1">
        <v>273.58999999999997</v>
      </c>
      <c r="D207" s="1">
        <v>0</v>
      </c>
      <c r="E207" s="1">
        <v>273.58999999999997</v>
      </c>
      <c r="F207" s="1">
        <v>0</v>
      </c>
      <c r="G207" s="1">
        <v>273.58999999999997</v>
      </c>
      <c r="H207" s="1">
        <v>0</v>
      </c>
      <c r="I207" s="1">
        <v>273.58999999999997</v>
      </c>
      <c r="J207" s="1">
        <v>0</v>
      </c>
      <c r="K207" s="1">
        <v>273.58999999999997</v>
      </c>
      <c r="L207" s="1">
        <v>0</v>
      </c>
      <c r="M207" s="1">
        <v>273.58999999999997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273.58999999999997</v>
      </c>
      <c r="U207" s="1">
        <f>IF(Table14[[#This Row],[I_0]] &lt; INDEX(Table28[Filtro de ruido],1), 1, Table14[[#This Row],[I_10]] / Table14[[#This Row],[I_0]])</f>
        <v>1</v>
      </c>
      <c r="V207" s="1">
        <f>IF(Table14[[#This Row],[I_0]] &lt; INDEX(Table28[Filtro de ruido],1), 1, Table14[[#This Row],[I_20]] / Table14[[#This Row],[I_0]])</f>
        <v>1</v>
      </c>
      <c r="W207" s="1">
        <f>IF(Table14[[#This Row],[I_0]] &lt; INDEX(Table28[Filtro de ruido],1), 1, Table14[[#This Row],[I_30]] / Table14[[#This Row],[I_0]])</f>
        <v>1</v>
      </c>
      <c r="X207" s="1">
        <f>IF(Table14[[#This Row],[I_0]] &lt; INDEX(Table28[Filtro de ruido],1), 1, Table14[[#This Row],[I_40]] / Table14[[#This Row],[I_0]])</f>
        <v>1</v>
      </c>
      <c r="Y207" s="19">
        <f>IF(Table14[[#This Row],[I_0]] &lt; INDEX(Table28[Filtro de ruido],1), 1, Table14[[#This Row],[I_50]] / Table14[[#This Row],[I_0]])</f>
        <v>1</v>
      </c>
      <c r="AA207" s="1"/>
    </row>
    <row r="208" spans="1:27" x14ac:dyDescent="0.3">
      <c r="A208" s="18">
        <v>274.58</v>
      </c>
      <c r="B208" s="1">
        <v>0</v>
      </c>
      <c r="C208" s="1">
        <v>274.58</v>
      </c>
      <c r="D208" s="1">
        <v>0</v>
      </c>
      <c r="E208" s="1">
        <v>274.58</v>
      </c>
      <c r="F208" s="1">
        <v>0</v>
      </c>
      <c r="G208" s="1">
        <v>274.58</v>
      </c>
      <c r="H208" s="1">
        <v>0</v>
      </c>
      <c r="I208" s="1">
        <v>274.58</v>
      </c>
      <c r="J208" s="1">
        <v>0</v>
      </c>
      <c r="K208" s="1">
        <v>274.58</v>
      </c>
      <c r="L208" s="1">
        <v>0</v>
      </c>
      <c r="M208" s="1">
        <v>274.58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274.58</v>
      </c>
      <c r="U208" s="1">
        <f>IF(Table14[[#This Row],[I_0]] &lt; INDEX(Table28[Filtro de ruido],1), 1, Table14[[#This Row],[I_10]] / Table14[[#This Row],[I_0]])</f>
        <v>1</v>
      </c>
      <c r="V208" s="1">
        <f>IF(Table14[[#This Row],[I_0]] &lt; INDEX(Table28[Filtro de ruido],1), 1, Table14[[#This Row],[I_20]] / Table14[[#This Row],[I_0]])</f>
        <v>1</v>
      </c>
      <c r="W208" s="1">
        <f>IF(Table14[[#This Row],[I_0]] &lt; INDEX(Table28[Filtro de ruido],1), 1, Table14[[#This Row],[I_30]] / Table14[[#This Row],[I_0]])</f>
        <v>1</v>
      </c>
      <c r="X208" s="1">
        <f>IF(Table14[[#This Row],[I_0]] &lt; INDEX(Table28[Filtro de ruido],1), 1, Table14[[#This Row],[I_40]] / Table14[[#This Row],[I_0]])</f>
        <v>1</v>
      </c>
      <c r="Y208" s="19">
        <f>IF(Table14[[#This Row],[I_0]] &lt; INDEX(Table28[Filtro de ruido],1), 1, Table14[[#This Row],[I_50]] / Table14[[#This Row],[I_0]])</f>
        <v>1</v>
      </c>
      <c r="AA208" s="1"/>
    </row>
    <row r="209" spans="1:27" x14ac:dyDescent="0.3">
      <c r="A209" s="18">
        <v>275.58</v>
      </c>
      <c r="B209" s="1">
        <v>0</v>
      </c>
      <c r="C209" s="1">
        <v>275.58</v>
      </c>
      <c r="D209" s="1">
        <v>0</v>
      </c>
      <c r="E209" s="1">
        <v>275.58</v>
      </c>
      <c r="F209" s="1">
        <v>0</v>
      </c>
      <c r="G209" s="1">
        <v>275.58</v>
      </c>
      <c r="H209" s="1">
        <v>0</v>
      </c>
      <c r="I209" s="1">
        <v>275.58</v>
      </c>
      <c r="J209" s="1">
        <v>0</v>
      </c>
      <c r="K209" s="1">
        <v>275.58</v>
      </c>
      <c r="L209" s="1">
        <v>0</v>
      </c>
      <c r="M209" s="1">
        <v>275.58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275.58</v>
      </c>
      <c r="U209" s="1">
        <f>IF(Table14[[#This Row],[I_0]] &lt; INDEX(Table28[Filtro de ruido],1), 1, Table14[[#This Row],[I_10]] / Table14[[#This Row],[I_0]])</f>
        <v>1</v>
      </c>
      <c r="V209" s="1">
        <f>IF(Table14[[#This Row],[I_0]] &lt; INDEX(Table28[Filtro de ruido],1), 1, Table14[[#This Row],[I_20]] / Table14[[#This Row],[I_0]])</f>
        <v>1</v>
      </c>
      <c r="W209" s="1">
        <f>IF(Table14[[#This Row],[I_0]] &lt; INDEX(Table28[Filtro de ruido],1), 1, Table14[[#This Row],[I_30]] / Table14[[#This Row],[I_0]])</f>
        <v>1</v>
      </c>
      <c r="X209" s="1">
        <f>IF(Table14[[#This Row],[I_0]] &lt; INDEX(Table28[Filtro de ruido],1), 1, Table14[[#This Row],[I_40]] / Table14[[#This Row],[I_0]])</f>
        <v>1</v>
      </c>
      <c r="Y209" s="19">
        <f>IF(Table14[[#This Row],[I_0]] &lt; INDEX(Table28[Filtro de ruido],1), 1, Table14[[#This Row],[I_50]] / Table14[[#This Row],[I_0]])</f>
        <v>1</v>
      </c>
      <c r="AA209" s="1"/>
    </row>
    <row r="210" spans="1:27" x14ac:dyDescent="0.3">
      <c r="A210" s="18">
        <v>276.57</v>
      </c>
      <c r="B210" s="1">
        <v>0</v>
      </c>
      <c r="C210" s="1">
        <v>276.57</v>
      </c>
      <c r="D210" s="1">
        <v>0</v>
      </c>
      <c r="E210" s="1">
        <v>276.57</v>
      </c>
      <c r="F210" s="1">
        <v>0</v>
      </c>
      <c r="G210" s="1">
        <v>276.57</v>
      </c>
      <c r="H210" s="1">
        <v>0</v>
      </c>
      <c r="I210" s="1">
        <v>276.57</v>
      </c>
      <c r="J210" s="1">
        <v>0</v>
      </c>
      <c r="K210" s="1">
        <v>276.57</v>
      </c>
      <c r="L210" s="1">
        <v>0</v>
      </c>
      <c r="M210" s="1">
        <v>276.57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276.57</v>
      </c>
      <c r="U210" s="1">
        <f>IF(Table14[[#This Row],[I_0]] &lt; INDEX(Table28[Filtro de ruido],1), 1, Table14[[#This Row],[I_10]] / Table14[[#This Row],[I_0]])</f>
        <v>1</v>
      </c>
      <c r="V210" s="1">
        <f>IF(Table14[[#This Row],[I_0]] &lt; INDEX(Table28[Filtro de ruido],1), 1, Table14[[#This Row],[I_20]] / Table14[[#This Row],[I_0]])</f>
        <v>1</v>
      </c>
      <c r="W210" s="1">
        <f>IF(Table14[[#This Row],[I_0]] &lt; INDEX(Table28[Filtro de ruido],1), 1, Table14[[#This Row],[I_30]] / Table14[[#This Row],[I_0]])</f>
        <v>1</v>
      </c>
      <c r="X210" s="1">
        <f>IF(Table14[[#This Row],[I_0]] &lt; INDEX(Table28[Filtro de ruido],1), 1, Table14[[#This Row],[I_40]] / Table14[[#This Row],[I_0]])</f>
        <v>1</v>
      </c>
      <c r="Y210" s="19">
        <f>IF(Table14[[#This Row],[I_0]] &lt; INDEX(Table28[Filtro de ruido],1), 1, Table14[[#This Row],[I_50]] / Table14[[#This Row],[I_0]])</f>
        <v>1</v>
      </c>
      <c r="AA210" s="1"/>
    </row>
    <row r="211" spans="1:27" x14ac:dyDescent="0.3">
      <c r="A211" s="18">
        <v>277.56</v>
      </c>
      <c r="B211" s="1">
        <v>0</v>
      </c>
      <c r="C211" s="1">
        <v>277.56</v>
      </c>
      <c r="D211" s="1">
        <v>0</v>
      </c>
      <c r="E211" s="1">
        <v>277.56</v>
      </c>
      <c r="F211" s="1">
        <v>0</v>
      </c>
      <c r="G211" s="1">
        <v>277.56</v>
      </c>
      <c r="H211" s="1">
        <v>0</v>
      </c>
      <c r="I211" s="1">
        <v>277.56</v>
      </c>
      <c r="J211" s="1">
        <v>0</v>
      </c>
      <c r="K211" s="1">
        <v>277.56</v>
      </c>
      <c r="L211" s="1">
        <v>0</v>
      </c>
      <c r="M211" s="1">
        <v>277.56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277.56</v>
      </c>
      <c r="U211" s="1">
        <f>IF(Table14[[#This Row],[I_0]] &lt; INDEX(Table28[Filtro de ruido],1), 1, Table14[[#This Row],[I_10]] / Table14[[#This Row],[I_0]])</f>
        <v>1</v>
      </c>
      <c r="V211" s="1">
        <f>IF(Table14[[#This Row],[I_0]] &lt; INDEX(Table28[Filtro de ruido],1), 1, Table14[[#This Row],[I_20]] / Table14[[#This Row],[I_0]])</f>
        <v>1</v>
      </c>
      <c r="W211" s="1">
        <f>IF(Table14[[#This Row],[I_0]] &lt; INDEX(Table28[Filtro de ruido],1), 1, Table14[[#This Row],[I_30]] / Table14[[#This Row],[I_0]])</f>
        <v>1</v>
      </c>
      <c r="X211" s="1">
        <f>IF(Table14[[#This Row],[I_0]] &lt; INDEX(Table28[Filtro de ruido],1), 1, Table14[[#This Row],[I_40]] / Table14[[#This Row],[I_0]])</f>
        <v>1</v>
      </c>
      <c r="Y211" s="19">
        <f>IF(Table14[[#This Row],[I_0]] &lt; INDEX(Table28[Filtro de ruido],1), 1, Table14[[#This Row],[I_50]] / Table14[[#This Row],[I_0]])</f>
        <v>1</v>
      </c>
      <c r="AA211" s="1"/>
    </row>
    <row r="212" spans="1:27" x14ac:dyDescent="0.3">
      <c r="A212" s="18">
        <v>278.55</v>
      </c>
      <c r="B212" s="1">
        <v>0</v>
      </c>
      <c r="C212" s="1">
        <v>278.55</v>
      </c>
      <c r="D212" s="1">
        <v>0</v>
      </c>
      <c r="E212" s="1">
        <v>278.55</v>
      </c>
      <c r="F212" s="1">
        <v>0</v>
      </c>
      <c r="G212" s="1">
        <v>278.55</v>
      </c>
      <c r="H212" s="1">
        <v>0</v>
      </c>
      <c r="I212" s="1">
        <v>278.55</v>
      </c>
      <c r="J212" s="1">
        <v>0</v>
      </c>
      <c r="K212" s="1">
        <v>278.55</v>
      </c>
      <c r="L212" s="1">
        <v>0</v>
      </c>
      <c r="M212" s="1">
        <v>278.55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278.55</v>
      </c>
      <c r="U212" s="1">
        <f>IF(Table14[[#This Row],[I_0]] &lt; INDEX(Table28[Filtro de ruido],1), 1, Table14[[#This Row],[I_10]] / Table14[[#This Row],[I_0]])</f>
        <v>1</v>
      </c>
      <c r="V212" s="1">
        <f>IF(Table14[[#This Row],[I_0]] &lt; INDEX(Table28[Filtro de ruido],1), 1, Table14[[#This Row],[I_20]] / Table14[[#This Row],[I_0]])</f>
        <v>1</v>
      </c>
      <c r="W212" s="1">
        <f>IF(Table14[[#This Row],[I_0]] &lt; INDEX(Table28[Filtro de ruido],1), 1, Table14[[#This Row],[I_30]] / Table14[[#This Row],[I_0]])</f>
        <v>1</v>
      </c>
      <c r="X212" s="1">
        <f>IF(Table14[[#This Row],[I_0]] &lt; INDEX(Table28[Filtro de ruido],1), 1, Table14[[#This Row],[I_40]] / Table14[[#This Row],[I_0]])</f>
        <v>1</v>
      </c>
      <c r="Y212" s="19">
        <f>IF(Table14[[#This Row],[I_0]] &lt; INDEX(Table28[Filtro de ruido],1), 1, Table14[[#This Row],[I_50]] / Table14[[#This Row],[I_0]])</f>
        <v>1</v>
      </c>
      <c r="AA212" s="1"/>
    </row>
    <row r="213" spans="1:27" x14ac:dyDescent="0.3">
      <c r="A213" s="18">
        <v>279.54000000000002</v>
      </c>
      <c r="B213" s="1">
        <v>0</v>
      </c>
      <c r="C213" s="1">
        <v>279.54000000000002</v>
      </c>
      <c r="D213" s="1">
        <v>0</v>
      </c>
      <c r="E213" s="1">
        <v>279.54000000000002</v>
      </c>
      <c r="F213" s="1">
        <v>0</v>
      </c>
      <c r="G213" s="1">
        <v>279.54000000000002</v>
      </c>
      <c r="H213" s="1">
        <v>0</v>
      </c>
      <c r="I213" s="1">
        <v>279.54000000000002</v>
      </c>
      <c r="J213" s="1">
        <v>0</v>
      </c>
      <c r="K213" s="1">
        <v>279.54000000000002</v>
      </c>
      <c r="L213" s="1">
        <v>0</v>
      </c>
      <c r="M213" s="1">
        <v>279.54000000000002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279.54000000000002</v>
      </c>
      <c r="U213" s="1">
        <f>IF(Table14[[#This Row],[I_0]] &lt; INDEX(Table28[Filtro de ruido],1), 1, Table14[[#This Row],[I_10]] / Table14[[#This Row],[I_0]])</f>
        <v>1</v>
      </c>
      <c r="V213" s="1">
        <f>IF(Table14[[#This Row],[I_0]] &lt; INDEX(Table28[Filtro de ruido],1), 1, Table14[[#This Row],[I_20]] / Table14[[#This Row],[I_0]])</f>
        <v>1</v>
      </c>
      <c r="W213" s="1">
        <f>IF(Table14[[#This Row],[I_0]] &lt; INDEX(Table28[Filtro de ruido],1), 1, Table14[[#This Row],[I_30]] / Table14[[#This Row],[I_0]])</f>
        <v>1</v>
      </c>
      <c r="X213" s="1">
        <f>IF(Table14[[#This Row],[I_0]] &lt; INDEX(Table28[Filtro de ruido],1), 1, Table14[[#This Row],[I_40]] / Table14[[#This Row],[I_0]])</f>
        <v>1</v>
      </c>
      <c r="Y213" s="19">
        <f>IF(Table14[[#This Row],[I_0]] &lt; INDEX(Table28[Filtro de ruido],1), 1, Table14[[#This Row],[I_50]] / Table14[[#This Row],[I_0]])</f>
        <v>1</v>
      </c>
      <c r="AA213" s="1"/>
    </row>
    <row r="214" spans="1:27" x14ac:dyDescent="0.3">
      <c r="A214" s="18">
        <v>280.54000000000002</v>
      </c>
      <c r="B214" s="1">
        <v>0</v>
      </c>
      <c r="C214" s="1">
        <v>280.54000000000002</v>
      </c>
      <c r="D214" s="1">
        <v>0</v>
      </c>
      <c r="E214" s="1">
        <v>280.54000000000002</v>
      </c>
      <c r="F214" s="1">
        <v>0</v>
      </c>
      <c r="G214" s="1">
        <v>280.54000000000002</v>
      </c>
      <c r="H214" s="1">
        <v>0</v>
      </c>
      <c r="I214" s="1">
        <v>280.54000000000002</v>
      </c>
      <c r="J214" s="1">
        <v>0</v>
      </c>
      <c r="K214" s="1">
        <v>280.54000000000002</v>
      </c>
      <c r="L214" s="1">
        <v>0</v>
      </c>
      <c r="M214" s="1">
        <v>280.54000000000002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280.54000000000002</v>
      </c>
      <c r="U214" s="1">
        <f>IF(Table14[[#This Row],[I_0]] &lt; INDEX(Table28[Filtro de ruido],1), 1, Table14[[#This Row],[I_10]] / Table14[[#This Row],[I_0]])</f>
        <v>1</v>
      </c>
      <c r="V214" s="1">
        <f>IF(Table14[[#This Row],[I_0]] &lt; INDEX(Table28[Filtro de ruido],1), 1, Table14[[#This Row],[I_20]] / Table14[[#This Row],[I_0]])</f>
        <v>1</v>
      </c>
      <c r="W214" s="1">
        <f>IF(Table14[[#This Row],[I_0]] &lt; INDEX(Table28[Filtro de ruido],1), 1, Table14[[#This Row],[I_30]] / Table14[[#This Row],[I_0]])</f>
        <v>1</v>
      </c>
      <c r="X214" s="1">
        <f>IF(Table14[[#This Row],[I_0]] &lt; INDEX(Table28[Filtro de ruido],1), 1, Table14[[#This Row],[I_40]] / Table14[[#This Row],[I_0]])</f>
        <v>1</v>
      </c>
      <c r="Y214" s="19">
        <f>IF(Table14[[#This Row],[I_0]] &lt; INDEX(Table28[Filtro de ruido],1), 1, Table14[[#This Row],[I_50]] / Table14[[#This Row],[I_0]])</f>
        <v>1</v>
      </c>
      <c r="AA214" s="1"/>
    </row>
    <row r="215" spans="1:27" x14ac:dyDescent="0.3">
      <c r="A215" s="18">
        <v>281.52999999999997</v>
      </c>
      <c r="B215" s="1">
        <v>0</v>
      </c>
      <c r="C215" s="1">
        <v>281.52999999999997</v>
      </c>
      <c r="D215" s="1">
        <v>0</v>
      </c>
      <c r="E215" s="1">
        <v>281.52999999999997</v>
      </c>
      <c r="F215" s="1">
        <v>0</v>
      </c>
      <c r="G215" s="1">
        <v>281.52999999999997</v>
      </c>
      <c r="H215" s="1">
        <v>0</v>
      </c>
      <c r="I215" s="1">
        <v>281.52999999999997</v>
      </c>
      <c r="J215" s="1">
        <v>0</v>
      </c>
      <c r="K215" s="1">
        <v>281.52999999999997</v>
      </c>
      <c r="L215" s="1">
        <v>0</v>
      </c>
      <c r="M215" s="1">
        <v>281.52999999999997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281.52999999999997</v>
      </c>
      <c r="U215" s="1">
        <f>IF(Table14[[#This Row],[I_0]] &lt; INDEX(Table28[Filtro de ruido],1), 1, Table14[[#This Row],[I_10]] / Table14[[#This Row],[I_0]])</f>
        <v>1</v>
      </c>
      <c r="V215" s="1">
        <f>IF(Table14[[#This Row],[I_0]] &lt; INDEX(Table28[Filtro de ruido],1), 1, Table14[[#This Row],[I_20]] / Table14[[#This Row],[I_0]])</f>
        <v>1</v>
      </c>
      <c r="W215" s="1">
        <f>IF(Table14[[#This Row],[I_0]] &lt; INDEX(Table28[Filtro de ruido],1), 1, Table14[[#This Row],[I_30]] / Table14[[#This Row],[I_0]])</f>
        <v>1</v>
      </c>
      <c r="X215" s="1">
        <f>IF(Table14[[#This Row],[I_0]] &lt; INDEX(Table28[Filtro de ruido],1), 1, Table14[[#This Row],[I_40]] / Table14[[#This Row],[I_0]])</f>
        <v>1</v>
      </c>
      <c r="Y215" s="19">
        <f>IF(Table14[[#This Row],[I_0]] &lt; INDEX(Table28[Filtro de ruido],1), 1, Table14[[#This Row],[I_50]] / Table14[[#This Row],[I_0]])</f>
        <v>1</v>
      </c>
      <c r="AA215" s="1"/>
    </row>
    <row r="216" spans="1:27" x14ac:dyDescent="0.3">
      <c r="A216" s="18">
        <v>282.52</v>
      </c>
      <c r="B216" s="1">
        <v>0</v>
      </c>
      <c r="C216" s="1">
        <v>282.52</v>
      </c>
      <c r="D216" s="1">
        <v>0</v>
      </c>
      <c r="E216" s="1">
        <v>282.52</v>
      </c>
      <c r="F216" s="1">
        <v>0</v>
      </c>
      <c r="G216" s="1">
        <v>282.52</v>
      </c>
      <c r="H216" s="1">
        <v>0</v>
      </c>
      <c r="I216" s="1">
        <v>282.52</v>
      </c>
      <c r="J216" s="1">
        <v>0</v>
      </c>
      <c r="K216" s="1">
        <v>282.52</v>
      </c>
      <c r="L216" s="1">
        <v>0</v>
      </c>
      <c r="M216" s="1">
        <v>282.52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282.52</v>
      </c>
      <c r="U216" s="1">
        <f>IF(Table14[[#This Row],[I_0]] &lt; INDEX(Table28[Filtro de ruido],1), 1, Table14[[#This Row],[I_10]] / Table14[[#This Row],[I_0]])</f>
        <v>1</v>
      </c>
      <c r="V216" s="1">
        <f>IF(Table14[[#This Row],[I_0]] &lt; INDEX(Table28[Filtro de ruido],1), 1, Table14[[#This Row],[I_20]] / Table14[[#This Row],[I_0]])</f>
        <v>1</v>
      </c>
      <c r="W216" s="1">
        <f>IF(Table14[[#This Row],[I_0]] &lt; INDEX(Table28[Filtro de ruido],1), 1, Table14[[#This Row],[I_30]] / Table14[[#This Row],[I_0]])</f>
        <v>1</v>
      </c>
      <c r="X216" s="1">
        <f>IF(Table14[[#This Row],[I_0]] &lt; INDEX(Table28[Filtro de ruido],1), 1, Table14[[#This Row],[I_40]] / Table14[[#This Row],[I_0]])</f>
        <v>1</v>
      </c>
      <c r="Y216" s="19">
        <f>IF(Table14[[#This Row],[I_0]] &lt; INDEX(Table28[Filtro de ruido],1), 1, Table14[[#This Row],[I_50]] / Table14[[#This Row],[I_0]])</f>
        <v>1</v>
      </c>
      <c r="AA216" s="1"/>
    </row>
    <row r="217" spans="1:27" x14ac:dyDescent="0.3">
      <c r="A217" s="18">
        <v>283.51</v>
      </c>
      <c r="B217" s="1">
        <v>0</v>
      </c>
      <c r="C217" s="1">
        <v>283.51</v>
      </c>
      <c r="D217" s="1">
        <v>0</v>
      </c>
      <c r="E217" s="1">
        <v>283.51</v>
      </c>
      <c r="F217" s="1">
        <v>0</v>
      </c>
      <c r="G217" s="1">
        <v>283.51</v>
      </c>
      <c r="H217" s="1">
        <v>0</v>
      </c>
      <c r="I217" s="1">
        <v>283.51</v>
      </c>
      <c r="J217" s="1">
        <v>0</v>
      </c>
      <c r="K217" s="1">
        <v>283.51</v>
      </c>
      <c r="L217" s="1">
        <v>0</v>
      </c>
      <c r="M217" s="1">
        <v>283.51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283.51</v>
      </c>
      <c r="U217" s="1">
        <f>IF(Table14[[#This Row],[I_0]] &lt; INDEX(Table28[Filtro de ruido],1), 1, Table14[[#This Row],[I_10]] / Table14[[#This Row],[I_0]])</f>
        <v>1</v>
      </c>
      <c r="V217" s="1">
        <f>IF(Table14[[#This Row],[I_0]] &lt; INDEX(Table28[Filtro de ruido],1), 1, Table14[[#This Row],[I_20]] / Table14[[#This Row],[I_0]])</f>
        <v>1</v>
      </c>
      <c r="W217" s="1">
        <f>IF(Table14[[#This Row],[I_0]] &lt; INDEX(Table28[Filtro de ruido],1), 1, Table14[[#This Row],[I_30]] / Table14[[#This Row],[I_0]])</f>
        <v>1</v>
      </c>
      <c r="X217" s="1">
        <f>IF(Table14[[#This Row],[I_0]] &lt; INDEX(Table28[Filtro de ruido],1), 1, Table14[[#This Row],[I_40]] / Table14[[#This Row],[I_0]])</f>
        <v>1</v>
      </c>
      <c r="Y217" s="19">
        <f>IF(Table14[[#This Row],[I_0]] &lt; INDEX(Table28[Filtro de ruido],1), 1, Table14[[#This Row],[I_50]] / Table14[[#This Row],[I_0]])</f>
        <v>1</v>
      </c>
      <c r="AA217" s="1"/>
    </row>
    <row r="218" spans="1:27" x14ac:dyDescent="0.3">
      <c r="A218" s="18">
        <v>284.5</v>
      </c>
      <c r="B218" s="1">
        <v>0</v>
      </c>
      <c r="C218" s="1">
        <v>284.5</v>
      </c>
      <c r="D218" s="1">
        <v>0</v>
      </c>
      <c r="E218" s="1">
        <v>284.5</v>
      </c>
      <c r="F218" s="1">
        <v>0</v>
      </c>
      <c r="G218" s="1">
        <v>284.5</v>
      </c>
      <c r="H218" s="1">
        <v>0</v>
      </c>
      <c r="I218" s="1">
        <v>284.5</v>
      </c>
      <c r="J218" s="1">
        <v>0</v>
      </c>
      <c r="K218" s="1">
        <v>284.5</v>
      </c>
      <c r="L218" s="1">
        <v>0</v>
      </c>
      <c r="M218" s="1">
        <v>284.5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284.5</v>
      </c>
      <c r="U218" s="1">
        <f>IF(Table14[[#This Row],[I_0]] &lt; INDEX(Table28[Filtro de ruido],1), 1, Table14[[#This Row],[I_10]] / Table14[[#This Row],[I_0]])</f>
        <v>1</v>
      </c>
      <c r="V218" s="1">
        <f>IF(Table14[[#This Row],[I_0]] &lt; INDEX(Table28[Filtro de ruido],1), 1, Table14[[#This Row],[I_20]] / Table14[[#This Row],[I_0]])</f>
        <v>1</v>
      </c>
      <c r="W218" s="1">
        <f>IF(Table14[[#This Row],[I_0]] &lt; INDEX(Table28[Filtro de ruido],1), 1, Table14[[#This Row],[I_30]] / Table14[[#This Row],[I_0]])</f>
        <v>1</v>
      </c>
      <c r="X218" s="1">
        <f>IF(Table14[[#This Row],[I_0]] &lt; INDEX(Table28[Filtro de ruido],1), 1, Table14[[#This Row],[I_40]] / Table14[[#This Row],[I_0]])</f>
        <v>1</v>
      </c>
      <c r="Y218" s="19">
        <f>IF(Table14[[#This Row],[I_0]] &lt; INDEX(Table28[Filtro de ruido],1), 1, Table14[[#This Row],[I_50]] / Table14[[#This Row],[I_0]])</f>
        <v>1</v>
      </c>
      <c r="AA218" s="1"/>
    </row>
    <row r="219" spans="1:27" x14ac:dyDescent="0.3">
      <c r="A219" s="18">
        <v>285.49</v>
      </c>
      <c r="B219" s="1">
        <v>0</v>
      </c>
      <c r="C219" s="1">
        <v>285.49</v>
      </c>
      <c r="D219" s="1">
        <v>0</v>
      </c>
      <c r="E219" s="1">
        <v>285.49</v>
      </c>
      <c r="F219" s="1">
        <v>0</v>
      </c>
      <c r="G219" s="1">
        <v>285.49</v>
      </c>
      <c r="H219" s="1">
        <v>0</v>
      </c>
      <c r="I219" s="1">
        <v>285.49</v>
      </c>
      <c r="J219" s="1">
        <v>0</v>
      </c>
      <c r="K219" s="1">
        <v>285.49</v>
      </c>
      <c r="L219" s="1">
        <v>0</v>
      </c>
      <c r="M219" s="1">
        <v>285.49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285.49</v>
      </c>
      <c r="U219" s="1">
        <f>IF(Table14[[#This Row],[I_0]] &lt; INDEX(Table28[Filtro de ruido],1), 1, Table14[[#This Row],[I_10]] / Table14[[#This Row],[I_0]])</f>
        <v>1</v>
      </c>
      <c r="V219" s="1">
        <f>IF(Table14[[#This Row],[I_0]] &lt; INDEX(Table28[Filtro de ruido],1), 1, Table14[[#This Row],[I_20]] / Table14[[#This Row],[I_0]])</f>
        <v>1</v>
      </c>
      <c r="W219" s="1">
        <f>IF(Table14[[#This Row],[I_0]] &lt; INDEX(Table28[Filtro de ruido],1), 1, Table14[[#This Row],[I_30]] / Table14[[#This Row],[I_0]])</f>
        <v>1</v>
      </c>
      <c r="X219" s="1">
        <f>IF(Table14[[#This Row],[I_0]] &lt; INDEX(Table28[Filtro de ruido],1), 1, Table14[[#This Row],[I_40]] / Table14[[#This Row],[I_0]])</f>
        <v>1</v>
      </c>
      <c r="Y219" s="19">
        <f>IF(Table14[[#This Row],[I_0]] &lt; INDEX(Table28[Filtro de ruido],1), 1, Table14[[#This Row],[I_50]] / Table14[[#This Row],[I_0]])</f>
        <v>1</v>
      </c>
      <c r="AA219" s="1"/>
    </row>
    <row r="220" spans="1:27" x14ac:dyDescent="0.3">
      <c r="A220" s="18">
        <v>286.49</v>
      </c>
      <c r="B220" s="1">
        <v>0</v>
      </c>
      <c r="C220" s="1">
        <v>286.49</v>
      </c>
      <c r="D220" s="1">
        <v>0</v>
      </c>
      <c r="E220" s="1">
        <v>286.49</v>
      </c>
      <c r="F220" s="1">
        <v>0</v>
      </c>
      <c r="G220" s="1">
        <v>286.49</v>
      </c>
      <c r="H220" s="1">
        <v>0</v>
      </c>
      <c r="I220" s="1">
        <v>286.49</v>
      </c>
      <c r="J220" s="1">
        <v>0</v>
      </c>
      <c r="K220" s="1">
        <v>286.49</v>
      </c>
      <c r="L220" s="1">
        <v>0</v>
      </c>
      <c r="M220" s="1">
        <v>286.49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286.49</v>
      </c>
      <c r="U220" s="1">
        <f>IF(Table14[[#This Row],[I_0]] &lt; INDEX(Table28[Filtro de ruido],1), 1, Table14[[#This Row],[I_10]] / Table14[[#This Row],[I_0]])</f>
        <v>1</v>
      </c>
      <c r="V220" s="1">
        <f>IF(Table14[[#This Row],[I_0]] &lt; INDEX(Table28[Filtro de ruido],1), 1, Table14[[#This Row],[I_20]] / Table14[[#This Row],[I_0]])</f>
        <v>1</v>
      </c>
      <c r="W220" s="1">
        <f>IF(Table14[[#This Row],[I_0]] &lt; INDEX(Table28[Filtro de ruido],1), 1, Table14[[#This Row],[I_30]] / Table14[[#This Row],[I_0]])</f>
        <v>1</v>
      </c>
      <c r="X220" s="1">
        <f>IF(Table14[[#This Row],[I_0]] &lt; INDEX(Table28[Filtro de ruido],1), 1, Table14[[#This Row],[I_40]] / Table14[[#This Row],[I_0]])</f>
        <v>1</v>
      </c>
      <c r="Y220" s="19">
        <f>IF(Table14[[#This Row],[I_0]] &lt; INDEX(Table28[Filtro de ruido],1), 1, Table14[[#This Row],[I_50]] / Table14[[#This Row],[I_0]])</f>
        <v>1</v>
      </c>
      <c r="AA220" s="1"/>
    </row>
    <row r="221" spans="1:27" x14ac:dyDescent="0.3">
      <c r="A221" s="18">
        <v>287.48</v>
      </c>
      <c r="B221" s="1">
        <v>0</v>
      </c>
      <c r="C221" s="1">
        <v>287.48</v>
      </c>
      <c r="D221" s="1">
        <v>0</v>
      </c>
      <c r="E221" s="1">
        <v>287.48</v>
      </c>
      <c r="F221" s="1">
        <v>0</v>
      </c>
      <c r="G221" s="1">
        <v>287.48</v>
      </c>
      <c r="H221" s="1">
        <v>0</v>
      </c>
      <c r="I221" s="1">
        <v>287.48</v>
      </c>
      <c r="J221" s="1">
        <v>0</v>
      </c>
      <c r="K221" s="1">
        <v>287.48</v>
      </c>
      <c r="L221" s="1">
        <v>0</v>
      </c>
      <c r="M221" s="1">
        <v>287.48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287.48</v>
      </c>
      <c r="U221" s="1">
        <f>IF(Table14[[#This Row],[I_0]] &lt; INDEX(Table28[Filtro de ruido],1), 1, Table14[[#This Row],[I_10]] / Table14[[#This Row],[I_0]])</f>
        <v>1</v>
      </c>
      <c r="V221" s="1">
        <f>IF(Table14[[#This Row],[I_0]] &lt; INDEX(Table28[Filtro de ruido],1), 1, Table14[[#This Row],[I_20]] / Table14[[#This Row],[I_0]])</f>
        <v>1</v>
      </c>
      <c r="W221" s="1">
        <f>IF(Table14[[#This Row],[I_0]] &lt; INDEX(Table28[Filtro de ruido],1), 1, Table14[[#This Row],[I_30]] / Table14[[#This Row],[I_0]])</f>
        <v>1</v>
      </c>
      <c r="X221" s="1">
        <f>IF(Table14[[#This Row],[I_0]] &lt; INDEX(Table28[Filtro de ruido],1), 1, Table14[[#This Row],[I_40]] / Table14[[#This Row],[I_0]])</f>
        <v>1</v>
      </c>
      <c r="Y221" s="19">
        <f>IF(Table14[[#This Row],[I_0]] &lt; INDEX(Table28[Filtro de ruido],1), 1, Table14[[#This Row],[I_50]] / Table14[[#This Row],[I_0]])</f>
        <v>1</v>
      </c>
      <c r="AA221" s="1"/>
    </row>
    <row r="222" spans="1:27" x14ac:dyDescent="0.3">
      <c r="A222" s="18">
        <v>288.47000000000003</v>
      </c>
      <c r="B222" s="1">
        <v>0</v>
      </c>
      <c r="C222" s="1">
        <v>288.47000000000003</v>
      </c>
      <c r="D222" s="1">
        <v>0</v>
      </c>
      <c r="E222" s="1">
        <v>288.47000000000003</v>
      </c>
      <c r="F222" s="1">
        <v>0</v>
      </c>
      <c r="G222" s="1">
        <v>288.47000000000003</v>
      </c>
      <c r="H222" s="1">
        <v>0</v>
      </c>
      <c r="I222" s="1">
        <v>288.47000000000003</v>
      </c>
      <c r="J222" s="1">
        <v>0</v>
      </c>
      <c r="K222" s="1">
        <v>288.47000000000003</v>
      </c>
      <c r="L222" s="1">
        <v>0</v>
      </c>
      <c r="M222" s="1">
        <v>288.47000000000003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288.47000000000003</v>
      </c>
      <c r="U222" s="1">
        <f>IF(Table14[[#This Row],[I_0]] &lt; INDEX(Table28[Filtro de ruido],1), 1, Table14[[#This Row],[I_10]] / Table14[[#This Row],[I_0]])</f>
        <v>1</v>
      </c>
      <c r="V222" s="1">
        <f>IF(Table14[[#This Row],[I_0]] &lt; INDEX(Table28[Filtro de ruido],1), 1, Table14[[#This Row],[I_20]] / Table14[[#This Row],[I_0]])</f>
        <v>1</v>
      </c>
      <c r="W222" s="1">
        <f>IF(Table14[[#This Row],[I_0]] &lt; INDEX(Table28[Filtro de ruido],1), 1, Table14[[#This Row],[I_30]] / Table14[[#This Row],[I_0]])</f>
        <v>1</v>
      </c>
      <c r="X222" s="1">
        <f>IF(Table14[[#This Row],[I_0]] &lt; INDEX(Table28[Filtro de ruido],1), 1, Table14[[#This Row],[I_40]] / Table14[[#This Row],[I_0]])</f>
        <v>1</v>
      </c>
      <c r="Y222" s="19">
        <f>IF(Table14[[#This Row],[I_0]] &lt; INDEX(Table28[Filtro de ruido],1), 1, Table14[[#This Row],[I_50]] / Table14[[#This Row],[I_0]])</f>
        <v>1</v>
      </c>
      <c r="AA222" s="1"/>
    </row>
    <row r="223" spans="1:27" x14ac:dyDescent="0.3">
      <c r="A223" s="18">
        <v>289.45999999999998</v>
      </c>
      <c r="B223" s="1">
        <v>0</v>
      </c>
      <c r="C223" s="1">
        <v>289.45999999999998</v>
      </c>
      <c r="D223" s="1">
        <v>0</v>
      </c>
      <c r="E223" s="1">
        <v>289.45999999999998</v>
      </c>
      <c r="F223" s="1">
        <v>0</v>
      </c>
      <c r="G223" s="1">
        <v>289.45999999999998</v>
      </c>
      <c r="H223" s="1">
        <v>0</v>
      </c>
      <c r="I223" s="1">
        <v>289.45999999999998</v>
      </c>
      <c r="J223" s="1">
        <v>0</v>
      </c>
      <c r="K223" s="1">
        <v>289.45999999999998</v>
      </c>
      <c r="L223" s="1">
        <v>0</v>
      </c>
      <c r="M223" s="1">
        <v>289.45999999999998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289.45999999999998</v>
      </c>
      <c r="U223" s="1">
        <f>IF(Table14[[#This Row],[I_0]] &lt; INDEX(Table28[Filtro de ruido],1), 1, Table14[[#This Row],[I_10]] / Table14[[#This Row],[I_0]])</f>
        <v>1</v>
      </c>
      <c r="V223" s="1">
        <f>IF(Table14[[#This Row],[I_0]] &lt; INDEX(Table28[Filtro de ruido],1), 1, Table14[[#This Row],[I_20]] / Table14[[#This Row],[I_0]])</f>
        <v>1</v>
      </c>
      <c r="W223" s="1">
        <f>IF(Table14[[#This Row],[I_0]] &lt; INDEX(Table28[Filtro de ruido],1), 1, Table14[[#This Row],[I_30]] / Table14[[#This Row],[I_0]])</f>
        <v>1</v>
      </c>
      <c r="X223" s="1">
        <f>IF(Table14[[#This Row],[I_0]] &lt; INDEX(Table28[Filtro de ruido],1), 1, Table14[[#This Row],[I_40]] / Table14[[#This Row],[I_0]])</f>
        <v>1</v>
      </c>
      <c r="Y223" s="19">
        <f>IF(Table14[[#This Row],[I_0]] &lt; INDEX(Table28[Filtro de ruido],1), 1, Table14[[#This Row],[I_50]] / Table14[[#This Row],[I_0]])</f>
        <v>1</v>
      </c>
      <c r="AA223" s="1"/>
    </row>
    <row r="224" spans="1:27" x14ac:dyDescent="0.3">
      <c r="A224" s="18">
        <v>290.45</v>
      </c>
      <c r="B224" s="1">
        <v>0</v>
      </c>
      <c r="C224" s="1">
        <v>290.45</v>
      </c>
      <c r="D224" s="1">
        <v>0</v>
      </c>
      <c r="E224" s="1">
        <v>290.45</v>
      </c>
      <c r="F224" s="1">
        <v>0</v>
      </c>
      <c r="G224" s="1">
        <v>290.45</v>
      </c>
      <c r="H224" s="1">
        <v>0</v>
      </c>
      <c r="I224" s="1">
        <v>290.45</v>
      </c>
      <c r="J224" s="1">
        <v>0</v>
      </c>
      <c r="K224" s="1">
        <v>290.45</v>
      </c>
      <c r="L224" s="1">
        <v>0</v>
      </c>
      <c r="M224" s="1">
        <v>290.45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290.45</v>
      </c>
      <c r="U224" s="1">
        <f>IF(Table14[[#This Row],[I_0]] &lt; INDEX(Table28[Filtro de ruido],1), 1, Table14[[#This Row],[I_10]] / Table14[[#This Row],[I_0]])</f>
        <v>1</v>
      </c>
      <c r="V224" s="1">
        <f>IF(Table14[[#This Row],[I_0]] &lt; INDEX(Table28[Filtro de ruido],1), 1, Table14[[#This Row],[I_20]] / Table14[[#This Row],[I_0]])</f>
        <v>1</v>
      </c>
      <c r="W224" s="1">
        <f>IF(Table14[[#This Row],[I_0]] &lt; INDEX(Table28[Filtro de ruido],1), 1, Table14[[#This Row],[I_30]] / Table14[[#This Row],[I_0]])</f>
        <v>1</v>
      </c>
      <c r="X224" s="1">
        <f>IF(Table14[[#This Row],[I_0]] &lt; INDEX(Table28[Filtro de ruido],1), 1, Table14[[#This Row],[I_40]] / Table14[[#This Row],[I_0]])</f>
        <v>1</v>
      </c>
      <c r="Y224" s="19">
        <f>IF(Table14[[#This Row],[I_0]] &lt; INDEX(Table28[Filtro de ruido],1), 1, Table14[[#This Row],[I_50]] / Table14[[#This Row],[I_0]])</f>
        <v>1</v>
      </c>
      <c r="AA224" s="1"/>
    </row>
    <row r="225" spans="1:27" x14ac:dyDescent="0.3">
      <c r="A225" s="18">
        <v>291.44</v>
      </c>
      <c r="B225" s="1">
        <v>0</v>
      </c>
      <c r="C225" s="1">
        <v>291.44</v>
      </c>
      <c r="D225" s="1">
        <v>0</v>
      </c>
      <c r="E225" s="1">
        <v>291.44</v>
      </c>
      <c r="F225" s="1">
        <v>0</v>
      </c>
      <c r="G225" s="1">
        <v>291.44</v>
      </c>
      <c r="H225" s="1">
        <v>0</v>
      </c>
      <c r="I225" s="1">
        <v>291.44</v>
      </c>
      <c r="J225" s="1">
        <v>0</v>
      </c>
      <c r="K225" s="1">
        <v>291.44</v>
      </c>
      <c r="L225" s="1">
        <v>0</v>
      </c>
      <c r="M225" s="1">
        <v>291.44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291.44</v>
      </c>
      <c r="U225" s="1">
        <f>IF(Table14[[#This Row],[I_0]] &lt; INDEX(Table28[Filtro de ruido],1), 1, Table14[[#This Row],[I_10]] / Table14[[#This Row],[I_0]])</f>
        <v>1</v>
      </c>
      <c r="V225" s="1">
        <f>IF(Table14[[#This Row],[I_0]] &lt; INDEX(Table28[Filtro de ruido],1), 1, Table14[[#This Row],[I_20]] / Table14[[#This Row],[I_0]])</f>
        <v>1</v>
      </c>
      <c r="W225" s="1">
        <f>IF(Table14[[#This Row],[I_0]] &lt; INDEX(Table28[Filtro de ruido],1), 1, Table14[[#This Row],[I_30]] / Table14[[#This Row],[I_0]])</f>
        <v>1</v>
      </c>
      <c r="X225" s="1">
        <f>IF(Table14[[#This Row],[I_0]] &lt; INDEX(Table28[Filtro de ruido],1), 1, Table14[[#This Row],[I_40]] / Table14[[#This Row],[I_0]])</f>
        <v>1</v>
      </c>
      <c r="Y225" s="19">
        <f>IF(Table14[[#This Row],[I_0]] &lt; INDEX(Table28[Filtro de ruido],1), 1, Table14[[#This Row],[I_50]] / Table14[[#This Row],[I_0]])</f>
        <v>1</v>
      </c>
      <c r="AA225" s="1"/>
    </row>
    <row r="226" spans="1:27" x14ac:dyDescent="0.3">
      <c r="A226" s="18">
        <v>292.44</v>
      </c>
      <c r="B226" s="1">
        <v>0</v>
      </c>
      <c r="C226" s="1">
        <v>292.44</v>
      </c>
      <c r="D226" s="1">
        <v>0</v>
      </c>
      <c r="E226" s="1">
        <v>292.44</v>
      </c>
      <c r="F226" s="1">
        <v>0</v>
      </c>
      <c r="G226" s="1">
        <v>292.44</v>
      </c>
      <c r="H226" s="1">
        <v>0</v>
      </c>
      <c r="I226" s="1">
        <v>292.44</v>
      </c>
      <c r="J226" s="1">
        <v>0</v>
      </c>
      <c r="K226" s="1">
        <v>292.44</v>
      </c>
      <c r="L226" s="1">
        <v>0</v>
      </c>
      <c r="M226" s="1">
        <v>292.44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292.44</v>
      </c>
      <c r="U226" s="1">
        <f>IF(Table14[[#This Row],[I_0]] &lt; INDEX(Table28[Filtro de ruido],1), 1, Table14[[#This Row],[I_10]] / Table14[[#This Row],[I_0]])</f>
        <v>1</v>
      </c>
      <c r="V226" s="1">
        <f>IF(Table14[[#This Row],[I_0]] &lt; INDEX(Table28[Filtro de ruido],1), 1, Table14[[#This Row],[I_20]] / Table14[[#This Row],[I_0]])</f>
        <v>1</v>
      </c>
      <c r="W226" s="1">
        <f>IF(Table14[[#This Row],[I_0]] &lt; INDEX(Table28[Filtro de ruido],1), 1, Table14[[#This Row],[I_30]] / Table14[[#This Row],[I_0]])</f>
        <v>1</v>
      </c>
      <c r="X226" s="1">
        <f>IF(Table14[[#This Row],[I_0]] &lt; INDEX(Table28[Filtro de ruido],1), 1, Table14[[#This Row],[I_40]] / Table14[[#This Row],[I_0]])</f>
        <v>1</v>
      </c>
      <c r="Y226" s="19">
        <f>IF(Table14[[#This Row],[I_0]] &lt; INDEX(Table28[Filtro de ruido],1), 1, Table14[[#This Row],[I_50]] / Table14[[#This Row],[I_0]])</f>
        <v>1</v>
      </c>
      <c r="AA226" s="1"/>
    </row>
    <row r="227" spans="1:27" x14ac:dyDescent="0.3">
      <c r="A227" s="18">
        <v>293.43</v>
      </c>
      <c r="B227" s="1">
        <v>0</v>
      </c>
      <c r="C227" s="1">
        <v>293.43</v>
      </c>
      <c r="D227" s="1">
        <v>0</v>
      </c>
      <c r="E227" s="1">
        <v>293.43</v>
      </c>
      <c r="F227" s="1">
        <v>0</v>
      </c>
      <c r="G227" s="1">
        <v>293.43</v>
      </c>
      <c r="H227" s="1">
        <v>0</v>
      </c>
      <c r="I227" s="1">
        <v>293.43</v>
      </c>
      <c r="J227" s="1">
        <v>0</v>
      </c>
      <c r="K227" s="1">
        <v>293.43</v>
      </c>
      <c r="L227" s="1">
        <v>0</v>
      </c>
      <c r="M227" s="1">
        <v>293.43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293.43</v>
      </c>
      <c r="U227" s="1">
        <f>IF(Table14[[#This Row],[I_0]] &lt; INDEX(Table28[Filtro de ruido],1), 1, Table14[[#This Row],[I_10]] / Table14[[#This Row],[I_0]])</f>
        <v>1</v>
      </c>
      <c r="V227" s="1">
        <f>IF(Table14[[#This Row],[I_0]] &lt; INDEX(Table28[Filtro de ruido],1), 1, Table14[[#This Row],[I_20]] / Table14[[#This Row],[I_0]])</f>
        <v>1</v>
      </c>
      <c r="W227" s="1">
        <f>IF(Table14[[#This Row],[I_0]] &lt; INDEX(Table28[Filtro de ruido],1), 1, Table14[[#This Row],[I_30]] / Table14[[#This Row],[I_0]])</f>
        <v>1</v>
      </c>
      <c r="X227" s="1">
        <f>IF(Table14[[#This Row],[I_0]] &lt; INDEX(Table28[Filtro de ruido],1), 1, Table14[[#This Row],[I_40]] / Table14[[#This Row],[I_0]])</f>
        <v>1</v>
      </c>
      <c r="Y227" s="19">
        <f>IF(Table14[[#This Row],[I_0]] &lt; INDEX(Table28[Filtro de ruido],1), 1, Table14[[#This Row],[I_50]] / Table14[[#This Row],[I_0]])</f>
        <v>1</v>
      </c>
      <c r="AA227" s="1"/>
    </row>
    <row r="228" spans="1:27" x14ac:dyDescent="0.3">
      <c r="A228" s="18">
        <v>294.42</v>
      </c>
      <c r="B228" s="1">
        <v>0</v>
      </c>
      <c r="C228" s="1">
        <v>294.42</v>
      </c>
      <c r="D228" s="1">
        <v>0</v>
      </c>
      <c r="E228" s="1">
        <v>294.42</v>
      </c>
      <c r="F228" s="1">
        <v>0</v>
      </c>
      <c r="G228" s="1">
        <v>294.42</v>
      </c>
      <c r="H228" s="1">
        <v>0</v>
      </c>
      <c r="I228" s="1">
        <v>294.42</v>
      </c>
      <c r="J228" s="1">
        <v>0</v>
      </c>
      <c r="K228" s="1">
        <v>294.42</v>
      </c>
      <c r="L228" s="1">
        <v>0</v>
      </c>
      <c r="M228" s="1">
        <v>294.42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294.42</v>
      </c>
      <c r="U228" s="1">
        <f>IF(Table14[[#This Row],[I_0]] &lt; INDEX(Table28[Filtro de ruido],1), 1, Table14[[#This Row],[I_10]] / Table14[[#This Row],[I_0]])</f>
        <v>1</v>
      </c>
      <c r="V228" s="1">
        <f>IF(Table14[[#This Row],[I_0]] &lt; INDEX(Table28[Filtro de ruido],1), 1, Table14[[#This Row],[I_20]] / Table14[[#This Row],[I_0]])</f>
        <v>1</v>
      </c>
      <c r="W228" s="1">
        <f>IF(Table14[[#This Row],[I_0]] &lt; INDEX(Table28[Filtro de ruido],1), 1, Table14[[#This Row],[I_30]] / Table14[[#This Row],[I_0]])</f>
        <v>1</v>
      </c>
      <c r="X228" s="1">
        <f>IF(Table14[[#This Row],[I_0]] &lt; INDEX(Table28[Filtro de ruido],1), 1, Table14[[#This Row],[I_40]] / Table14[[#This Row],[I_0]])</f>
        <v>1</v>
      </c>
      <c r="Y228" s="19">
        <f>IF(Table14[[#This Row],[I_0]] &lt; INDEX(Table28[Filtro de ruido],1), 1, Table14[[#This Row],[I_50]] / Table14[[#This Row],[I_0]])</f>
        <v>1</v>
      </c>
      <c r="AA228" s="1"/>
    </row>
    <row r="229" spans="1:27" x14ac:dyDescent="0.3">
      <c r="A229" s="18">
        <v>295.41000000000003</v>
      </c>
      <c r="B229" s="1">
        <v>0</v>
      </c>
      <c r="C229" s="1">
        <v>295.41000000000003</v>
      </c>
      <c r="D229" s="1">
        <v>0</v>
      </c>
      <c r="E229" s="1">
        <v>295.41000000000003</v>
      </c>
      <c r="F229" s="1">
        <v>0</v>
      </c>
      <c r="G229" s="1">
        <v>295.41000000000003</v>
      </c>
      <c r="H229" s="1">
        <v>0</v>
      </c>
      <c r="I229" s="1">
        <v>295.41000000000003</v>
      </c>
      <c r="J229" s="1">
        <v>0</v>
      </c>
      <c r="K229" s="1">
        <v>295.41000000000003</v>
      </c>
      <c r="L229" s="1">
        <v>0</v>
      </c>
      <c r="M229" s="1">
        <v>295.41000000000003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295.41000000000003</v>
      </c>
      <c r="U229" s="1">
        <f>IF(Table14[[#This Row],[I_0]] &lt; INDEX(Table28[Filtro de ruido],1), 1, Table14[[#This Row],[I_10]] / Table14[[#This Row],[I_0]])</f>
        <v>1</v>
      </c>
      <c r="V229" s="1">
        <f>IF(Table14[[#This Row],[I_0]] &lt; INDEX(Table28[Filtro de ruido],1), 1, Table14[[#This Row],[I_20]] / Table14[[#This Row],[I_0]])</f>
        <v>1</v>
      </c>
      <c r="W229" s="1">
        <f>IF(Table14[[#This Row],[I_0]] &lt; INDEX(Table28[Filtro de ruido],1), 1, Table14[[#This Row],[I_30]] / Table14[[#This Row],[I_0]])</f>
        <v>1</v>
      </c>
      <c r="X229" s="1">
        <f>IF(Table14[[#This Row],[I_0]] &lt; INDEX(Table28[Filtro de ruido],1), 1, Table14[[#This Row],[I_40]] / Table14[[#This Row],[I_0]])</f>
        <v>1</v>
      </c>
      <c r="Y229" s="19">
        <f>IF(Table14[[#This Row],[I_0]] &lt; INDEX(Table28[Filtro de ruido],1), 1, Table14[[#This Row],[I_50]] / Table14[[#This Row],[I_0]])</f>
        <v>1</v>
      </c>
      <c r="AA229" s="1"/>
    </row>
    <row r="230" spans="1:27" x14ac:dyDescent="0.3">
      <c r="A230" s="18">
        <v>296.39999999999998</v>
      </c>
      <c r="B230" s="1">
        <v>0</v>
      </c>
      <c r="C230" s="1">
        <v>296.39999999999998</v>
      </c>
      <c r="D230" s="1">
        <v>0</v>
      </c>
      <c r="E230" s="1">
        <v>296.39999999999998</v>
      </c>
      <c r="F230" s="1">
        <v>0</v>
      </c>
      <c r="G230" s="1">
        <v>296.39999999999998</v>
      </c>
      <c r="H230" s="1">
        <v>0</v>
      </c>
      <c r="I230" s="1">
        <v>296.39999999999998</v>
      </c>
      <c r="J230" s="1">
        <v>0</v>
      </c>
      <c r="K230" s="1">
        <v>296.39999999999998</v>
      </c>
      <c r="L230" s="1">
        <v>0</v>
      </c>
      <c r="M230" s="1">
        <v>296.39999999999998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296.39999999999998</v>
      </c>
      <c r="U230" s="1">
        <f>IF(Table14[[#This Row],[I_0]] &lt; INDEX(Table28[Filtro de ruido],1), 1, Table14[[#This Row],[I_10]] / Table14[[#This Row],[I_0]])</f>
        <v>1</v>
      </c>
      <c r="V230" s="1">
        <f>IF(Table14[[#This Row],[I_0]] &lt; INDEX(Table28[Filtro de ruido],1), 1, Table14[[#This Row],[I_20]] / Table14[[#This Row],[I_0]])</f>
        <v>1</v>
      </c>
      <c r="W230" s="1">
        <f>IF(Table14[[#This Row],[I_0]] &lt; INDEX(Table28[Filtro de ruido],1), 1, Table14[[#This Row],[I_30]] / Table14[[#This Row],[I_0]])</f>
        <v>1</v>
      </c>
      <c r="X230" s="1">
        <f>IF(Table14[[#This Row],[I_0]] &lt; INDEX(Table28[Filtro de ruido],1), 1, Table14[[#This Row],[I_40]] / Table14[[#This Row],[I_0]])</f>
        <v>1</v>
      </c>
      <c r="Y230" s="19">
        <f>IF(Table14[[#This Row],[I_0]] &lt; INDEX(Table28[Filtro de ruido],1), 1, Table14[[#This Row],[I_50]] / Table14[[#This Row],[I_0]])</f>
        <v>1</v>
      </c>
      <c r="AA230" s="1"/>
    </row>
    <row r="231" spans="1:27" x14ac:dyDescent="0.3">
      <c r="A231" s="18">
        <v>297.39999999999998</v>
      </c>
      <c r="B231" s="1">
        <v>0</v>
      </c>
      <c r="C231" s="1">
        <v>297.39999999999998</v>
      </c>
      <c r="D231" s="1">
        <v>0</v>
      </c>
      <c r="E231" s="1">
        <v>297.39999999999998</v>
      </c>
      <c r="F231" s="1">
        <v>0</v>
      </c>
      <c r="G231" s="1">
        <v>297.39999999999998</v>
      </c>
      <c r="H231" s="1">
        <v>0</v>
      </c>
      <c r="I231" s="1">
        <v>297.39999999999998</v>
      </c>
      <c r="J231" s="1">
        <v>0</v>
      </c>
      <c r="K231" s="1">
        <v>297.39999999999998</v>
      </c>
      <c r="L231" s="1">
        <v>0</v>
      </c>
      <c r="M231" s="1">
        <v>297.39999999999998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297.39999999999998</v>
      </c>
      <c r="U231" s="1">
        <f>IF(Table14[[#This Row],[I_0]] &lt; INDEX(Table28[Filtro de ruido],1), 1, Table14[[#This Row],[I_10]] / Table14[[#This Row],[I_0]])</f>
        <v>1</v>
      </c>
      <c r="V231" s="1">
        <f>IF(Table14[[#This Row],[I_0]] &lt; INDEX(Table28[Filtro de ruido],1), 1, Table14[[#This Row],[I_20]] / Table14[[#This Row],[I_0]])</f>
        <v>1</v>
      </c>
      <c r="W231" s="1">
        <f>IF(Table14[[#This Row],[I_0]] &lt; INDEX(Table28[Filtro de ruido],1), 1, Table14[[#This Row],[I_30]] / Table14[[#This Row],[I_0]])</f>
        <v>1</v>
      </c>
      <c r="X231" s="1">
        <f>IF(Table14[[#This Row],[I_0]] &lt; INDEX(Table28[Filtro de ruido],1), 1, Table14[[#This Row],[I_40]] / Table14[[#This Row],[I_0]])</f>
        <v>1</v>
      </c>
      <c r="Y231" s="19">
        <f>IF(Table14[[#This Row],[I_0]] &lt; INDEX(Table28[Filtro de ruido],1), 1, Table14[[#This Row],[I_50]] / Table14[[#This Row],[I_0]])</f>
        <v>1</v>
      </c>
      <c r="AA231" s="1"/>
    </row>
    <row r="232" spans="1:27" x14ac:dyDescent="0.3">
      <c r="A232" s="18">
        <v>298.39</v>
      </c>
      <c r="B232" s="1">
        <v>0</v>
      </c>
      <c r="C232" s="1">
        <v>298.39</v>
      </c>
      <c r="D232" s="1">
        <v>0</v>
      </c>
      <c r="E232" s="1">
        <v>298.39</v>
      </c>
      <c r="F232" s="1">
        <v>0</v>
      </c>
      <c r="G232" s="1">
        <v>298.39</v>
      </c>
      <c r="H232" s="1">
        <v>0</v>
      </c>
      <c r="I232" s="1">
        <v>298.39</v>
      </c>
      <c r="J232" s="1">
        <v>0</v>
      </c>
      <c r="K232" s="1">
        <v>298.39</v>
      </c>
      <c r="L232" s="1">
        <v>0</v>
      </c>
      <c r="M232" s="1">
        <v>298.39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298.39</v>
      </c>
      <c r="U232" s="1">
        <f>IF(Table14[[#This Row],[I_0]] &lt; INDEX(Table28[Filtro de ruido],1), 1, Table14[[#This Row],[I_10]] / Table14[[#This Row],[I_0]])</f>
        <v>1</v>
      </c>
      <c r="V232" s="1">
        <f>IF(Table14[[#This Row],[I_0]] &lt; INDEX(Table28[Filtro de ruido],1), 1, Table14[[#This Row],[I_20]] / Table14[[#This Row],[I_0]])</f>
        <v>1</v>
      </c>
      <c r="W232" s="1">
        <f>IF(Table14[[#This Row],[I_0]] &lt; INDEX(Table28[Filtro de ruido],1), 1, Table14[[#This Row],[I_30]] / Table14[[#This Row],[I_0]])</f>
        <v>1</v>
      </c>
      <c r="X232" s="1">
        <f>IF(Table14[[#This Row],[I_0]] &lt; INDEX(Table28[Filtro de ruido],1), 1, Table14[[#This Row],[I_40]] / Table14[[#This Row],[I_0]])</f>
        <v>1</v>
      </c>
      <c r="Y232" s="19">
        <f>IF(Table14[[#This Row],[I_0]] &lt; INDEX(Table28[Filtro de ruido],1), 1, Table14[[#This Row],[I_50]] / Table14[[#This Row],[I_0]])</f>
        <v>1</v>
      </c>
      <c r="AA232" s="1"/>
    </row>
    <row r="233" spans="1:27" x14ac:dyDescent="0.3">
      <c r="A233" s="18">
        <v>299.38</v>
      </c>
      <c r="B233" s="1">
        <v>0</v>
      </c>
      <c r="C233" s="1">
        <v>299.38</v>
      </c>
      <c r="D233" s="1">
        <v>0</v>
      </c>
      <c r="E233" s="1">
        <v>299.38</v>
      </c>
      <c r="F233" s="1">
        <v>0</v>
      </c>
      <c r="G233" s="1">
        <v>299.38</v>
      </c>
      <c r="H233" s="1">
        <v>0</v>
      </c>
      <c r="I233" s="1">
        <v>299.38</v>
      </c>
      <c r="J233" s="1">
        <v>0</v>
      </c>
      <c r="K233" s="1">
        <v>299.38</v>
      </c>
      <c r="L233" s="1">
        <v>0</v>
      </c>
      <c r="M233" s="1">
        <v>299.38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299.38</v>
      </c>
      <c r="U233" s="1">
        <f>IF(Table14[[#This Row],[I_0]] &lt; INDEX(Table28[Filtro de ruido],1), 1, Table14[[#This Row],[I_10]] / Table14[[#This Row],[I_0]])</f>
        <v>1</v>
      </c>
      <c r="V233" s="1">
        <f>IF(Table14[[#This Row],[I_0]] &lt; INDEX(Table28[Filtro de ruido],1), 1, Table14[[#This Row],[I_20]] / Table14[[#This Row],[I_0]])</f>
        <v>1</v>
      </c>
      <c r="W233" s="1">
        <f>IF(Table14[[#This Row],[I_0]] &lt; INDEX(Table28[Filtro de ruido],1), 1, Table14[[#This Row],[I_30]] / Table14[[#This Row],[I_0]])</f>
        <v>1</v>
      </c>
      <c r="X233" s="1">
        <f>IF(Table14[[#This Row],[I_0]] &lt; INDEX(Table28[Filtro de ruido],1), 1, Table14[[#This Row],[I_40]] / Table14[[#This Row],[I_0]])</f>
        <v>1</v>
      </c>
      <c r="Y233" s="19">
        <f>IF(Table14[[#This Row],[I_0]] &lt; INDEX(Table28[Filtro de ruido],1), 1, Table14[[#This Row],[I_50]] / Table14[[#This Row],[I_0]])</f>
        <v>1</v>
      </c>
      <c r="AA233" s="1"/>
    </row>
    <row r="234" spans="1:27" x14ac:dyDescent="0.3">
      <c r="A234" s="18">
        <v>300.37</v>
      </c>
      <c r="B234" s="1">
        <v>0</v>
      </c>
      <c r="C234" s="1">
        <v>300.37</v>
      </c>
      <c r="D234" s="1">
        <v>0</v>
      </c>
      <c r="E234" s="1">
        <v>300.37</v>
      </c>
      <c r="F234" s="1">
        <v>0</v>
      </c>
      <c r="G234" s="1">
        <v>300.37</v>
      </c>
      <c r="H234" s="1">
        <v>0</v>
      </c>
      <c r="I234" s="1">
        <v>300.37</v>
      </c>
      <c r="J234" s="1">
        <v>0</v>
      </c>
      <c r="K234" s="1">
        <v>300.37</v>
      </c>
      <c r="L234" s="1">
        <v>0</v>
      </c>
      <c r="M234" s="1">
        <v>300.37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300.37</v>
      </c>
      <c r="U234" s="1">
        <f>IF(Table14[[#This Row],[I_0]] &lt; INDEX(Table28[Filtro de ruido],1), 1, Table14[[#This Row],[I_10]] / Table14[[#This Row],[I_0]])</f>
        <v>1</v>
      </c>
      <c r="V234" s="1">
        <f>IF(Table14[[#This Row],[I_0]] &lt; INDEX(Table28[Filtro de ruido],1), 1, Table14[[#This Row],[I_20]] / Table14[[#This Row],[I_0]])</f>
        <v>1</v>
      </c>
      <c r="W234" s="1">
        <f>IF(Table14[[#This Row],[I_0]] &lt; INDEX(Table28[Filtro de ruido],1), 1, Table14[[#This Row],[I_30]] / Table14[[#This Row],[I_0]])</f>
        <v>1</v>
      </c>
      <c r="X234" s="1">
        <f>IF(Table14[[#This Row],[I_0]] &lt; INDEX(Table28[Filtro de ruido],1), 1, Table14[[#This Row],[I_40]] / Table14[[#This Row],[I_0]])</f>
        <v>1</v>
      </c>
      <c r="Y234" s="19">
        <f>IF(Table14[[#This Row],[I_0]] &lt; INDEX(Table28[Filtro de ruido],1), 1, Table14[[#This Row],[I_50]] / Table14[[#This Row],[I_0]])</f>
        <v>1</v>
      </c>
      <c r="AA234" s="1"/>
    </row>
    <row r="235" spans="1:27" x14ac:dyDescent="0.3">
      <c r="A235" s="18">
        <v>301.36</v>
      </c>
      <c r="B235" s="1">
        <v>0</v>
      </c>
      <c r="C235" s="1">
        <v>301.36</v>
      </c>
      <c r="D235" s="1">
        <v>0</v>
      </c>
      <c r="E235" s="1">
        <v>301.36</v>
      </c>
      <c r="F235" s="1">
        <v>0</v>
      </c>
      <c r="G235" s="1">
        <v>301.36</v>
      </c>
      <c r="H235" s="1">
        <v>0</v>
      </c>
      <c r="I235" s="1">
        <v>301.36</v>
      </c>
      <c r="J235" s="1">
        <v>0</v>
      </c>
      <c r="K235" s="1">
        <v>301.36</v>
      </c>
      <c r="L235" s="1">
        <v>0</v>
      </c>
      <c r="M235" s="1">
        <v>301.36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301.36</v>
      </c>
      <c r="U235" s="1">
        <f>IF(Table14[[#This Row],[I_0]] &lt; INDEX(Table28[Filtro de ruido],1), 1, Table14[[#This Row],[I_10]] / Table14[[#This Row],[I_0]])</f>
        <v>1</v>
      </c>
      <c r="V235" s="1">
        <f>IF(Table14[[#This Row],[I_0]] &lt; INDEX(Table28[Filtro de ruido],1), 1, Table14[[#This Row],[I_20]] / Table14[[#This Row],[I_0]])</f>
        <v>1</v>
      </c>
      <c r="W235" s="1">
        <f>IF(Table14[[#This Row],[I_0]] &lt; INDEX(Table28[Filtro de ruido],1), 1, Table14[[#This Row],[I_30]] / Table14[[#This Row],[I_0]])</f>
        <v>1</v>
      </c>
      <c r="X235" s="1">
        <f>IF(Table14[[#This Row],[I_0]] &lt; INDEX(Table28[Filtro de ruido],1), 1, Table14[[#This Row],[I_40]] / Table14[[#This Row],[I_0]])</f>
        <v>1</v>
      </c>
      <c r="Y235" s="19">
        <f>IF(Table14[[#This Row],[I_0]] &lt; INDEX(Table28[Filtro de ruido],1), 1, Table14[[#This Row],[I_50]] / Table14[[#This Row],[I_0]])</f>
        <v>1</v>
      </c>
      <c r="AA235" s="1"/>
    </row>
    <row r="236" spans="1:27" x14ac:dyDescent="0.3">
      <c r="A236" s="18">
        <v>302.35000000000002</v>
      </c>
      <c r="B236" s="1">
        <v>0</v>
      </c>
      <c r="C236" s="1">
        <v>302.35000000000002</v>
      </c>
      <c r="D236" s="1">
        <v>0</v>
      </c>
      <c r="E236" s="1">
        <v>302.35000000000002</v>
      </c>
      <c r="F236" s="1">
        <v>0</v>
      </c>
      <c r="G236" s="1">
        <v>302.35000000000002</v>
      </c>
      <c r="H236" s="1">
        <v>0</v>
      </c>
      <c r="I236" s="1">
        <v>302.35000000000002</v>
      </c>
      <c r="J236" s="1">
        <v>0</v>
      </c>
      <c r="K236" s="1">
        <v>302.35000000000002</v>
      </c>
      <c r="L236" s="1">
        <v>0</v>
      </c>
      <c r="M236" s="1">
        <v>302.35000000000002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302.35000000000002</v>
      </c>
      <c r="U236" s="1">
        <f>IF(Table14[[#This Row],[I_0]] &lt; INDEX(Table28[Filtro de ruido],1), 1, Table14[[#This Row],[I_10]] / Table14[[#This Row],[I_0]])</f>
        <v>1</v>
      </c>
      <c r="V236" s="1">
        <f>IF(Table14[[#This Row],[I_0]] &lt; INDEX(Table28[Filtro de ruido],1), 1, Table14[[#This Row],[I_20]] / Table14[[#This Row],[I_0]])</f>
        <v>1</v>
      </c>
      <c r="W236" s="1">
        <f>IF(Table14[[#This Row],[I_0]] &lt; INDEX(Table28[Filtro de ruido],1), 1, Table14[[#This Row],[I_30]] / Table14[[#This Row],[I_0]])</f>
        <v>1</v>
      </c>
      <c r="X236" s="1">
        <f>IF(Table14[[#This Row],[I_0]] &lt; INDEX(Table28[Filtro de ruido],1), 1, Table14[[#This Row],[I_40]] / Table14[[#This Row],[I_0]])</f>
        <v>1</v>
      </c>
      <c r="Y236" s="19">
        <f>IF(Table14[[#This Row],[I_0]] &lt; INDEX(Table28[Filtro de ruido],1), 1, Table14[[#This Row],[I_50]] / Table14[[#This Row],[I_0]])</f>
        <v>1</v>
      </c>
      <c r="AA236" s="1"/>
    </row>
    <row r="237" spans="1:27" x14ac:dyDescent="0.3">
      <c r="A237" s="18">
        <v>303.35000000000002</v>
      </c>
      <c r="B237" s="1">
        <v>0</v>
      </c>
      <c r="C237" s="1">
        <v>303.35000000000002</v>
      </c>
      <c r="D237" s="1">
        <v>0</v>
      </c>
      <c r="E237" s="1">
        <v>303.35000000000002</v>
      </c>
      <c r="F237" s="1">
        <v>0</v>
      </c>
      <c r="G237" s="1">
        <v>303.35000000000002</v>
      </c>
      <c r="H237" s="1">
        <v>0</v>
      </c>
      <c r="I237" s="1">
        <v>303.35000000000002</v>
      </c>
      <c r="J237" s="1">
        <v>0</v>
      </c>
      <c r="K237" s="1">
        <v>303.35000000000002</v>
      </c>
      <c r="L237" s="1">
        <v>0</v>
      </c>
      <c r="M237" s="1">
        <v>303.35000000000002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303.35000000000002</v>
      </c>
      <c r="U237" s="1">
        <f>IF(Table14[[#This Row],[I_0]] &lt; INDEX(Table28[Filtro de ruido],1), 1, Table14[[#This Row],[I_10]] / Table14[[#This Row],[I_0]])</f>
        <v>1</v>
      </c>
      <c r="V237" s="1">
        <f>IF(Table14[[#This Row],[I_0]] &lt; INDEX(Table28[Filtro de ruido],1), 1, Table14[[#This Row],[I_20]] / Table14[[#This Row],[I_0]])</f>
        <v>1</v>
      </c>
      <c r="W237" s="1">
        <f>IF(Table14[[#This Row],[I_0]] &lt; INDEX(Table28[Filtro de ruido],1), 1, Table14[[#This Row],[I_30]] / Table14[[#This Row],[I_0]])</f>
        <v>1</v>
      </c>
      <c r="X237" s="1">
        <f>IF(Table14[[#This Row],[I_0]] &lt; INDEX(Table28[Filtro de ruido],1), 1, Table14[[#This Row],[I_40]] / Table14[[#This Row],[I_0]])</f>
        <v>1</v>
      </c>
      <c r="Y237" s="19">
        <f>IF(Table14[[#This Row],[I_0]] &lt; INDEX(Table28[Filtro de ruido],1), 1, Table14[[#This Row],[I_50]] / Table14[[#This Row],[I_0]])</f>
        <v>1</v>
      </c>
      <c r="AA237" s="1"/>
    </row>
    <row r="238" spans="1:27" x14ac:dyDescent="0.3">
      <c r="A238" s="18">
        <v>304.33999999999997</v>
      </c>
      <c r="B238" s="1">
        <v>0</v>
      </c>
      <c r="C238" s="1">
        <v>304.33999999999997</v>
      </c>
      <c r="D238" s="1">
        <v>0</v>
      </c>
      <c r="E238" s="1">
        <v>304.33999999999997</v>
      </c>
      <c r="F238" s="1">
        <v>0</v>
      </c>
      <c r="G238" s="1">
        <v>304.33999999999997</v>
      </c>
      <c r="H238" s="1">
        <v>0</v>
      </c>
      <c r="I238" s="1">
        <v>304.33999999999997</v>
      </c>
      <c r="J238" s="1">
        <v>0</v>
      </c>
      <c r="K238" s="1">
        <v>304.33999999999997</v>
      </c>
      <c r="L238" s="1">
        <v>0</v>
      </c>
      <c r="M238" s="1">
        <v>304.33999999999997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304.33999999999997</v>
      </c>
      <c r="U238" s="1">
        <f>IF(Table14[[#This Row],[I_0]] &lt; INDEX(Table28[Filtro de ruido],1), 1, Table14[[#This Row],[I_10]] / Table14[[#This Row],[I_0]])</f>
        <v>1</v>
      </c>
      <c r="V238" s="1">
        <f>IF(Table14[[#This Row],[I_0]] &lt; INDEX(Table28[Filtro de ruido],1), 1, Table14[[#This Row],[I_20]] / Table14[[#This Row],[I_0]])</f>
        <v>1</v>
      </c>
      <c r="W238" s="1">
        <f>IF(Table14[[#This Row],[I_0]] &lt; INDEX(Table28[Filtro de ruido],1), 1, Table14[[#This Row],[I_30]] / Table14[[#This Row],[I_0]])</f>
        <v>1</v>
      </c>
      <c r="X238" s="1">
        <f>IF(Table14[[#This Row],[I_0]] &lt; INDEX(Table28[Filtro de ruido],1), 1, Table14[[#This Row],[I_40]] / Table14[[#This Row],[I_0]])</f>
        <v>1</v>
      </c>
      <c r="Y238" s="19">
        <f>IF(Table14[[#This Row],[I_0]] &lt; INDEX(Table28[Filtro de ruido],1), 1, Table14[[#This Row],[I_50]] / Table14[[#This Row],[I_0]])</f>
        <v>1</v>
      </c>
      <c r="AA238" s="1"/>
    </row>
    <row r="239" spans="1:27" x14ac:dyDescent="0.3">
      <c r="A239" s="18">
        <v>305.33</v>
      </c>
      <c r="B239" s="1">
        <v>0</v>
      </c>
      <c r="C239" s="1">
        <v>305.33</v>
      </c>
      <c r="D239" s="1">
        <v>0</v>
      </c>
      <c r="E239" s="1">
        <v>305.33</v>
      </c>
      <c r="F239" s="1">
        <v>0</v>
      </c>
      <c r="G239" s="1">
        <v>305.33</v>
      </c>
      <c r="H239" s="1">
        <v>0</v>
      </c>
      <c r="I239" s="1">
        <v>305.33</v>
      </c>
      <c r="J239" s="1">
        <v>0</v>
      </c>
      <c r="K239" s="1">
        <v>305.33</v>
      </c>
      <c r="L239" s="1">
        <v>0</v>
      </c>
      <c r="M239" s="1">
        <v>305.33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305.33</v>
      </c>
      <c r="U239" s="1">
        <f>IF(Table14[[#This Row],[I_0]] &lt; INDEX(Table28[Filtro de ruido],1), 1, Table14[[#This Row],[I_10]] / Table14[[#This Row],[I_0]])</f>
        <v>1</v>
      </c>
      <c r="V239" s="1">
        <f>IF(Table14[[#This Row],[I_0]] &lt; INDEX(Table28[Filtro de ruido],1), 1, Table14[[#This Row],[I_20]] / Table14[[#This Row],[I_0]])</f>
        <v>1</v>
      </c>
      <c r="W239" s="1">
        <f>IF(Table14[[#This Row],[I_0]] &lt; INDEX(Table28[Filtro de ruido],1), 1, Table14[[#This Row],[I_30]] / Table14[[#This Row],[I_0]])</f>
        <v>1</v>
      </c>
      <c r="X239" s="1">
        <f>IF(Table14[[#This Row],[I_0]] &lt; INDEX(Table28[Filtro de ruido],1), 1, Table14[[#This Row],[I_40]] / Table14[[#This Row],[I_0]])</f>
        <v>1</v>
      </c>
      <c r="Y239" s="19">
        <f>IF(Table14[[#This Row],[I_0]] &lt; INDEX(Table28[Filtro de ruido],1), 1, Table14[[#This Row],[I_50]] / Table14[[#This Row],[I_0]])</f>
        <v>1</v>
      </c>
      <c r="AA239" s="1"/>
    </row>
    <row r="240" spans="1:27" x14ac:dyDescent="0.3">
      <c r="A240" s="18">
        <v>306.32</v>
      </c>
      <c r="B240" s="1">
        <v>0</v>
      </c>
      <c r="C240" s="1">
        <v>306.32</v>
      </c>
      <c r="D240" s="1">
        <v>0</v>
      </c>
      <c r="E240" s="1">
        <v>306.32</v>
      </c>
      <c r="F240" s="1">
        <v>0</v>
      </c>
      <c r="G240" s="1">
        <v>306.32</v>
      </c>
      <c r="H240" s="1">
        <v>0</v>
      </c>
      <c r="I240" s="1">
        <v>306.32</v>
      </c>
      <c r="J240" s="1">
        <v>0</v>
      </c>
      <c r="K240" s="1">
        <v>306.32</v>
      </c>
      <c r="L240" s="1">
        <v>0</v>
      </c>
      <c r="M240" s="1">
        <v>306.32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306.32</v>
      </c>
      <c r="U240" s="1">
        <f>IF(Table14[[#This Row],[I_0]] &lt; INDEX(Table28[Filtro de ruido],1), 1, Table14[[#This Row],[I_10]] / Table14[[#This Row],[I_0]])</f>
        <v>1</v>
      </c>
      <c r="V240" s="1">
        <f>IF(Table14[[#This Row],[I_0]] &lt; INDEX(Table28[Filtro de ruido],1), 1, Table14[[#This Row],[I_20]] / Table14[[#This Row],[I_0]])</f>
        <v>1</v>
      </c>
      <c r="W240" s="1">
        <f>IF(Table14[[#This Row],[I_0]] &lt; INDEX(Table28[Filtro de ruido],1), 1, Table14[[#This Row],[I_30]] / Table14[[#This Row],[I_0]])</f>
        <v>1</v>
      </c>
      <c r="X240" s="1">
        <f>IF(Table14[[#This Row],[I_0]] &lt; INDEX(Table28[Filtro de ruido],1), 1, Table14[[#This Row],[I_40]] / Table14[[#This Row],[I_0]])</f>
        <v>1</v>
      </c>
      <c r="Y240" s="19">
        <f>IF(Table14[[#This Row],[I_0]] &lt; INDEX(Table28[Filtro de ruido],1), 1, Table14[[#This Row],[I_50]] / Table14[[#This Row],[I_0]])</f>
        <v>1</v>
      </c>
      <c r="AA240" s="1"/>
    </row>
    <row r="241" spans="1:27" x14ac:dyDescent="0.3">
      <c r="A241" s="18">
        <v>307.31</v>
      </c>
      <c r="B241" s="1">
        <v>0</v>
      </c>
      <c r="C241" s="1">
        <v>307.31</v>
      </c>
      <c r="D241" s="1">
        <v>0</v>
      </c>
      <c r="E241" s="1">
        <v>307.31</v>
      </c>
      <c r="F241" s="1">
        <v>0</v>
      </c>
      <c r="G241" s="1">
        <v>307.31</v>
      </c>
      <c r="H241" s="1">
        <v>0</v>
      </c>
      <c r="I241" s="1">
        <v>307.31</v>
      </c>
      <c r="J241" s="1">
        <v>0</v>
      </c>
      <c r="K241" s="1">
        <v>307.31</v>
      </c>
      <c r="L241" s="1">
        <v>0</v>
      </c>
      <c r="M241" s="1">
        <v>307.31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307.31</v>
      </c>
      <c r="U241" s="1">
        <f>IF(Table14[[#This Row],[I_0]] &lt; INDEX(Table28[Filtro de ruido],1), 1, Table14[[#This Row],[I_10]] / Table14[[#This Row],[I_0]])</f>
        <v>1</v>
      </c>
      <c r="V241" s="1">
        <f>IF(Table14[[#This Row],[I_0]] &lt; INDEX(Table28[Filtro de ruido],1), 1, Table14[[#This Row],[I_20]] / Table14[[#This Row],[I_0]])</f>
        <v>1</v>
      </c>
      <c r="W241" s="1">
        <f>IF(Table14[[#This Row],[I_0]] &lt; INDEX(Table28[Filtro de ruido],1), 1, Table14[[#This Row],[I_30]] / Table14[[#This Row],[I_0]])</f>
        <v>1</v>
      </c>
      <c r="X241" s="1">
        <f>IF(Table14[[#This Row],[I_0]] &lt; INDEX(Table28[Filtro de ruido],1), 1, Table14[[#This Row],[I_40]] / Table14[[#This Row],[I_0]])</f>
        <v>1</v>
      </c>
      <c r="Y241" s="19">
        <f>IF(Table14[[#This Row],[I_0]] &lt; INDEX(Table28[Filtro de ruido],1), 1, Table14[[#This Row],[I_50]] / Table14[[#This Row],[I_0]])</f>
        <v>1</v>
      </c>
      <c r="AA241" s="1"/>
    </row>
    <row r="242" spans="1:27" x14ac:dyDescent="0.3">
      <c r="A242" s="18">
        <v>308.3</v>
      </c>
      <c r="B242" s="1">
        <v>0</v>
      </c>
      <c r="C242" s="1">
        <v>308.3</v>
      </c>
      <c r="D242" s="1">
        <v>0</v>
      </c>
      <c r="E242" s="1">
        <v>308.3</v>
      </c>
      <c r="F242" s="1">
        <v>0</v>
      </c>
      <c r="G242" s="1">
        <v>308.3</v>
      </c>
      <c r="H242" s="1">
        <v>0</v>
      </c>
      <c r="I242" s="1">
        <v>308.3</v>
      </c>
      <c r="J242" s="1">
        <v>0</v>
      </c>
      <c r="K242" s="1">
        <v>308.3</v>
      </c>
      <c r="L242" s="1">
        <v>0</v>
      </c>
      <c r="M242" s="1">
        <v>308.3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308.3</v>
      </c>
      <c r="U242" s="1">
        <f>IF(Table14[[#This Row],[I_0]] &lt; INDEX(Table28[Filtro de ruido],1), 1, Table14[[#This Row],[I_10]] / Table14[[#This Row],[I_0]])</f>
        <v>1</v>
      </c>
      <c r="V242" s="1">
        <f>IF(Table14[[#This Row],[I_0]] &lt; INDEX(Table28[Filtro de ruido],1), 1, Table14[[#This Row],[I_20]] / Table14[[#This Row],[I_0]])</f>
        <v>1</v>
      </c>
      <c r="W242" s="1">
        <f>IF(Table14[[#This Row],[I_0]] &lt; INDEX(Table28[Filtro de ruido],1), 1, Table14[[#This Row],[I_30]] / Table14[[#This Row],[I_0]])</f>
        <v>1</v>
      </c>
      <c r="X242" s="1">
        <f>IF(Table14[[#This Row],[I_0]] &lt; INDEX(Table28[Filtro de ruido],1), 1, Table14[[#This Row],[I_40]] / Table14[[#This Row],[I_0]])</f>
        <v>1</v>
      </c>
      <c r="Y242" s="19">
        <f>IF(Table14[[#This Row],[I_0]] &lt; INDEX(Table28[Filtro de ruido],1), 1, Table14[[#This Row],[I_50]] / Table14[[#This Row],[I_0]])</f>
        <v>1</v>
      </c>
      <c r="AA242" s="1"/>
    </row>
    <row r="243" spans="1:27" x14ac:dyDescent="0.3">
      <c r="A243" s="18">
        <v>309.3</v>
      </c>
      <c r="B243" s="1">
        <v>0</v>
      </c>
      <c r="C243" s="1">
        <v>309.3</v>
      </c>
      <c r="D243" s="1">
        <v>0</v>
      </c>
      <c r="E243" s="1">
        <v>309.3</v>
      </c>
      <c r="F243" s="1">
        <v>0</v>
      </c>
      <c r="G243" s="1">
        <v>309.3</v>
      </c>
      <c r="H243" s="1">
        <v>0</v>
      </c>
      <c r="I243" s="1">
        <v>309.3</v>
      </c>
      <c r="J243" s="1">
        <v>0</v>
      </c>
      <c r="K243" s="1">
        <v>309.3</v>
      </c>
      <c r="L243" s="1">
        <v>0</v>
      </c>
      <c r="M243" s="1">
        <v>309.3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309.3</v>
      </c>
      <c r="U243" s="1">
        <f>IF(Table14[[#This Row],[I_0]] &lt; INDEX(Table28[Filtro de ruido],1), 1, Table14[[#This Row],[I_10]] / Table14[[#This Row],[I_0]])</f>
        <v>1</v>
      </c>
      <c r="V243" s="1">
        <f>IF(Table14[[#This Row],[I_0]] &lt; INDEX(Table28[Filtro de ruido],1), 1, Table14[[#This Row],[I_20]] / Table14[[#This Row],[I_0]])</f>
        <v>1</v>
      </c>
      <c r="W243" s="1">
        <f>IF(Table14[[#This Row],[I_0]] &lt; INDEX(Table28[Filtro de ruido],1), 1, Table14[[#This Row],[I_30]] / Table14[[#This Row],[I_0]])</f>
        <v>1</v>
      </c>
      <c r="X243" s="1">
        <f>IF(Table14[[#This Row],[I_0]] &lt; INDEX(Table28[Filtro de ruido],1), 1, Table14[[#This Row],[I_40]] / Table14[[#This Row],[I_0]])</f>
        <v>1</v>
      </c>
      <c r="Y243" s="19">
        <f>IF(Table14[[#This Row],[I_0]] &lt; INDEX(Table28[Filtro de ruido],1), 1, Table14[[#This Row],[I_50]] / Table14[[#This Row],[I_0]])</f>
        <v>1</v>
      </c>
      <c r="AA243" s="1"/>
    </row>
    <row r="244" spans="1:27" x14ac:dyDescent="0.3">
      <c r="A244" s="18">
        <v>310.29000000000002</v>
      </c>
      <c r="B244" s="1">
        <v>0</v>
      </c>
      <c r="C244" s="1">
        <v>310.29000000000002</v>
      </c>
      <c r="D244" s="1">
        <v>0</v>
      </c>
      <c r="E244" s="1">
        <v>310.29000000000002</v>
      </c>
      <c r="F244" s="1">
        <v>0</v>
      </c>
      <c r="G244" s="1">
        <v>310.29000000000002</v>
      </c>
      <c r="H244" s="1">
        <v>0</v>
      </c>
      <c r="I244" s="1">
        <v>310.29000000000002</v>
      </c>
      <c r="J244" s="1">
        <v>0</v>
      </c>
      <c r="K244" s="1">
        <v>310.29000000000002</v>
      </c>
      <c r="L244" s="1">
        <v>0</v>
      </c>
      <c r="M244" s="1">
        <v>310.29000000000002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310.29000000000002</v>
      </c>
      <c r="U244" s="1">
        <f>IF(Table14[[#This Row],[I_0]] &lt; INDEX(Table28[Filtro de ruido],1), 1, Table14[[#This Row],[I_10]] / Table14[[#This Row],[I_0]])</f>
        <v>1</v>
      </c>
      <c r="V244" s="1">
        <f>IF(Table14[[#This Row],[I_0]] &lt; INDEX(Table28[Filtro de ruido],1), 1, Table14[[#This Row],[I_20]] / Table14[[#This Row],[I_0]])</f>
        <v>1</v>
      </c>
      <c r="W244" s="1">
        <f>IF(Table14[[#This Row],[I_0]] &lt; INDEX(Table28[Filtro de ruido],1), 1, Table14[[#This Row],[I_30]] / Table14[[#This Row],[I_0]])</f>
        <v>1</v>
      </c>
      <c r="X244" s="1">
        <f>IF(Table14[[#This Row],[I_0]] &lt; INDEX(Table28[Filtro de ruido],1), 1, Table14[[#This Row],[I_40]] / Table14[[#This Row],[I_0]])</f>
        <v>1</v>
      </c>
      <c r="Y244" s="19">
        <f>IF(Table14[[#This Row],[I_0]] &lt; INDEX(Table28[Filtro de ruido],1), 1, Table14[[#This Row],[I_50]] / Table14[[#This Row],[I_0]])</f>
        <v>1</v>
      </c>
      <c r="AA244" s="1"/>
    </row>
    <row r="245" spans="1:27" x14ac:dyDescent="0.3">
      <c r="A245" s="18">
        <v>311.27999999999997</v>
      </c>
      <c r="B245" s="1">
        <v>0</v>
      </c>
      <c r="C245" s="1">
        <v>311.27999999999997</v>
      </c>
      <c r="D245" s="1">
        <v>0</v>
      </c>
      <c r="E245" s="1">
        <v>311.27999999999997</v>
      </c>
      <c r="F245" s="1">
        <v>0</v>
      </c>
      <c r="G245" s="1">
        <v>311.27999999999997</v>
      </c>
      <c r="H245" s="1">
        <v>0</v>
      </c>
      <c r="I245" s="1">
        <v>311.27999999999997</v>
      </c>
      <c r="J245" s="1">
        <v>0</v>
      </c>
      <c r="K245" s="1">
        <v>311.27999999999997</v>
      </c>
      <c r="L245" s="1">
        <v>0</v>
      </c>
      <c r="M245" s="1">
        <v>311.27999999999997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311.27999999999997</v>
      </c>
      <c r="U245" s="1">
        <f>IF(Table14[[#This Row],[I_0]] &lt; INDEX(Table28[Filtro de ruido],1), 1, Table14[[#This Row],[I_10]] / Table14[[#This Row],[I_0]])</f>
        <v>1</v>
      </c>
      <c r="V245" s="1">
        <f>IF(Table14[[#This Row],[I_0]] &lt; INDEX(Table28[Filtro de ruido],1), 1, Table14[[#This Row],[I_20]] / Table14[[#This Row],[I_0]])</f>
        <v>1</v>
      </c>
      <c r="W245" s="1">
        <f>IF(Table14[[#This Row],[I_0]] &lt; INDEX(Table28[Filtro de ruido],1), 1, Table14[[#This Row],[I_30]] / Table14[[#This Row],[I_0]])</f>
        <v>1</v>
      </c>
      <c r="X245" s="1">
        <f>IF(Table14[[#This Row],[I_0]] &lt; INDEX(Table28[Filtro de ruido],1), 1, Table14[[#This Row],[I_40]] / Table14[[#This Row],[I_0]])</f>
        <v>1</v>
      </c>
      <c r="Y245" s="19">
        <f>IF(Table14[[#This Row],[I_0]] &lt; INDEX(Table28[Filtro de ruido],1), 1, Table14[[#This Row],[I_50]] / Table14[[#This Row],[I_0]])</f>
        <v>1</v>
      </c>
      <c r="AA245" s="1"/>
    </row>
    <row r="246" spans="1:27" x14ac:dyDescent="0.3">
      <c r="A246" s="18">
        <v>312.27</v>
      </c>
      <c r="B246" s="1">
        <v>0</v>
      </c>
      <c r="C246" s="1">
        <v>312.27</v>
      </c>
      <c r="D246" s="1">
        <v>0</v>
      </c>
      <c r="E246" s="1">
        <v>312.27</v>
      </c>
      <c r="F246" s="1">
        <v>0</v>
      </c>
      <c r="G246" s="1">
        <v>312.27</v>
      </c>
      <c r="H246" s="1">
        <v>0</v>
      </c>
      <c r="I246" s="1">
        <v>312.27</v>
      </c>
      <c r="J246" s="1">
        <v>0</v>
      </c>
      <c r="K246" s="1">
        <v>312.27</v>
      </c>
      <c r="L246" s="1">
        <v>0</v>
      </c>
      <c r="M246" s="1">
        <v>312.27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312.27</v>
      </c>
      <c r="U246" s="1">
        <f>IF(Table14[[#This Row],[I_0]] &lt; INDEX(Table28[Filtro de ruido],1), 1, Table14[[#This Row],[I_10]] / Table14[[#This Row],[I_0]])</f>
        <v>1</v>
      </c>
      <c r="V246" s="1">
        <f>IF(Table14[[#This Row],[I_0]] &lt; INDEX(Table28[Filtro de ruido],1), 1, Table14[[#This Row],[I_20]] / Table14[[#This Row],[I_0]])</f>
        <v>1</v>
      </c>
      <c r="W246" s="1">
        <f>IF(Table14[[#This Row],[I_0]] &lt; INDEX(Table28[Filtro de ruido],1), 1, Table14[[#This Row],[I_30]] / Table14[[#This Row],[I_0]])</f>
        <v>1</v>
      </c>
      <c r="X246" s="1">
        <f>IF(Table14[[#This Row],[I_0]] &lt; INDEX(Table28[Filtro de ruido],1), 1, Table14[[#This Row],[I_40]] / Table14[[#This Row],[I_0]])</f>
        <v>1</v>
      </c>
      <c r="Y246" s="19">
        <f>IF(Table14[[#This Row],[I_0]] &lt; INDEX(Table28[Filtro de ruido],1), 1, Table14[[#This Row],[I_50]] / Table14[[#This Row],[I_0]])</f>
        <v>1</v>
      </c>
      <c r="AA246" s="1"/>
    </row>
    <row r="247" spans="1:27" x14ac:dyDescent="0.3">
      <c r="A247" s="18">
        <v>313.26</v>
      </c>
      <c r="B247" s="1">
        <v>0</v>
      </c>
      <c r="C247" s="1">
        <v>313.26</v>
      </c>
      <c r="D247" s="1">
        <v>0</v>
      </c>
      <c r="E247" s="1">
        <v>313.26</v>
      </c>
      <c r="F247" s="1">
        <v>0</v>
      </c>
      <c r="G247" s="1">
        <v>313.26</v>
      </c>
      <c r="H247" s="1">
        <v>0</v>
      </c>
      <c r="I247" s="1">
        <v>313.26</v>
      </c>
      <c r="J247" s="1">
        <v>0</v>
      </c>
      <c r="K247" s="1">
        <v>313.26</v>
      </c>
      <c r="L247" s="1">
        <v>0</v>
      </c>
      <c r="M247" s="1">
        <v>313.26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313.26</v>
      </c>
      <c r="U247" s="1">
        <f>IF(Table14[[#This Row],[I_0]] &lt; INDEX(Table28[Filtro de ruido],1), 1, Table14[[#This Row],[I_10]] / Table14[[#This Row],[I_0]])</f>
        <v>1</v>
      </c>
      <c r="V247" s="1">
        <f>IF(Table14[[#This Row],[I_0]] &lt; INDEX(Table28[Filtro de ruido],1), 1, Table14[[#This Row],[I_20]] / Table14[[#This Row],[I_0]])</f>
        <v>1</v>
      </c>
      <c r="W247" s="1">
        <f>IF(Table14[[#This Row],[I_0]] &lt; INDEX(Table28[Filtro de ruido],1), 1, Table14[[#This Row],[I_30]] / Table14[[#This Row],[I_0]])</f>
        <v>1</v>
      </c>
      <c r="X247" s="1">
        <f>IF(Table14[[#This Row],[I_0]] &lt; INDEX(Table28[Filtro de ruido],1), 1, Table14[[#This Row],[I_40]] / Table14[[#This Row],[I_0]])</f>
        <v>1</v>
      </c>
      <c r="Y247" s="19">
        <f>IF(Table14[[#This Row],[I_0]] &lt; INDEX(Table28[Filtro de ruido],1), 1, Table14[[#This Row],[I_50]] / Table14[[#This Row],[I_0]])</f>
        <v>1</v>
      </c>
      <c r="AA247" s="1"/>
    </row>
    <row r="248" spans="1:27" x14ac:dyDescent="0.3">
      <c r="A248" s="18">
        <v>314.26</v>
      </c>
      <c r="B248" s="1">
        <v>0</v>
      </c>
      <c r="C248" s="1">
        <v>314.26</v>
      </c>
      <c r="D248" s="1">
        <v>0</v>
      </c>
      <c r="E248" s="1">
        <v>314.26</v>
      </c>
      <c r="F248" s="1">
        <v>0</v>
      </c>
      <c r="G248" s="1">
        <v>314.26</v>
      </c>
      <c r="H248" s="1">
        <v>0</v>
      </c>
      <c r="I248" s="1">
        <v>314.26</v>
      </c>
      <c r="J248" s="1">
        <v>0</v>
      </c>
      <c r="K248" s="1">
        <v>314.26</v>
      </c>
      <c r="L248" s="1">
        <v>0</v>
      </c>
      <c r="M248" s="1">
        <v>314.26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314.26</v>
      </c>
      <c r="U248" s="1">
        <f>IF(Table14[[#This Row],[I_0]] &lt; INDEX(Table28[Filtro de ruido],1), 1, Table14[[#This Row],[I_10]] / Table14[[#This Row],[I_0]])</f>
        <v>1</v>
      </c>
      <c r="V248" s="1">
        <f>IF(Table14[[#This Row],[I_0]] &lt; INDEX(Table28[Filtro de ruido],1), 1, Table14[[#This Row],[I_20]] / Table14[[#This Row],[I_0]])</f>
        <v>1</v>
      </c>
      <c r="W248" s="1">
        <f>IF(Table14[[#This Row],[I_0]] &lt; INDEX(Table28[Filtro de ruido],1), 1, Table14[[#This Row],[I_30]] / Table14[[#This Row],[I_0]])</f>
        <v>1</v>
      </c>
      <c r="X248" s="1">
        <f>IF(Table14[[#This Row],[I_0]] &lt; INDEX(Table28[Filtro de ruido],1), 1, Table14[[#This Row],[I_40]] / Table14[[#This Row],[I_0]])</f>
        <v>1</v>
      </c>
      <c r="Y248" s="19">
        <f>IF(Table14[[#This Row],[I_0]] &lt; INDEX(Table28[Filtro de ruido],1), 1, Table14[[#This Row],[I_50]] / Table14[[#This Row],[I_0]])</f>
        <v>1</v>
      </c>
      <c r="AA248" s="1"/>
    </row>
    <row r="249" spans="1:27" x14ac:dyDescent="0.3">
      <c r="A249" s="18">
        <v>315.25</v>
      </c>
      <c r="B249" s="1">
        <v>0</v>
      </c>
      <c r="C249" s="1">
        <v>315.25</v>
      </c>
      <c r="D249" s="1">
        <v>0</v>
      </c>
      <c r="E249" s="1">
        <v>315.25</v>
      </c>
      <c r="F249" s="1">
        <v>0</v>
      </c>
      <c r="G249" s="1">
        <v>315.25</v>
      </c>
      <c r="H249" s="1">
        <v>0</v>
      </c>
      <c r="I249" s="1">
        <v>315.25</v>
      </c>
      <c r="J249" s="1">
        <v>0</v>
      </c>
      <c r="K249" s="1">
        <v>315.25</v>
      </c>
      <c r="L249" s="1">
        <v>0</v>
      </c>
      <c r="M249" s="1">
        <v>315.25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315.25</v>
      </c>
      <c r="U249" s="1">
        <f>IF(Table14[[#This Row],[I_0]] &lt; INDEX(Table28[Filtro de ruido],1), 1, Table14[[#This Row],[I_10]] / Table14[[#This Row],[I_0]])</f>
        <v>1</v>
      </c>
      <c r="V249" s="1">
        <f>IF(Table14[[#This Row],[I_0]] &lt; INDEX(Table28[Filtro de ruido],1), 1, Table14[[#This Row],[I_20]] / Table14[[#This Row],[I_0]])</f>
        <v>1</v>
      </c>
      <c r="W249" s="1">
        <f>IF(Table14[[#This Row],[I_0]] &lt; INDEX(Table28[Filtro de ruido],1), 1, Table14[[#This Row],[I_30]] / Table14[[#This Row],[I_0]])</f>
        <v>1</v>
      </c>
      <c r="X249" s="1">
        <f>IF(Table14[[#This Row],[I_0]] &lt; INDEX(Table28[Filtro de ruido],1), 1, Table14[[#This Row],[I_40]] / Table14[[#This Row],[I_0]])</f>
        <v>1</v>
      </c>
      <c r="Y249" s="19">
        <f>IF(Table14[[#This Row],[I_0]] &lt; INDEX(Table28[Filtro de ruido],1), 1, Table14[[#This Row],[I_50]] / Table14[[#This Row],[I_0]])</f>
        <v>1</v>
      </c>
      <c r="AA249" s="1"/>
    </row>
    <row r="250" spans="1:27" x14ac:dyDescent="0.3">
      <c r="A250" s="18">
        <v>316.24</v>
      </c>
      <c r="B250" s="1">
        <v>0</v>
      </c>
      <c r="C250" s="1">
        <v>316.24</v>
      </c>
      <c r="D250" s="1">
        <v>0</v>
      </c>
      <c r="E250" s="1">
        <v>316.24</v>
      </c>
      <c r="F250" s="1">
        <v>0</v>
      </c>
      <c r="G250" s="1">
        <v>316.24</v>
      </c>
      <c r="H250" s="1">
        <v>0</v>
      </c>
      <c r="I250" s="1">
        <v>316.24</v>
      </c>
      <c r="J250" s="1">
        <v>0</v>
      </c>
      <c r="K250" s="1">
        <v>316.24</v>
      </c>
      <c r="L250" s="1">
        <v>0</v>
      </c>
      <c r="M250" s="1">
        <v>316.24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316.24</v>
      </c>
      <c r="U250" s="1">
        <f>IF(Table14[[#This Row],[I_0]] &lt; INDEX(Table28[Filtro de ruido],1), 1, Table14[[#This Row],[I_10]] / Table14[[#This Row],[I_0]])</f>
        <v>1</v>
      </c>
      <c r="V250" s="1">
        <f>IF(Table14[[#This Row],[I_0]] &lt; INDEX(Table28[Filtro de ruido],1), 1, Table14[[#This Row],[I_20]] / Table14[[#This Row],[I_0]])</f>
        <v>1</v>
      </c>
      <c r="W250" s="1">
        <f>IF(Table14[[#This Row],[I_0]] &lt; INDEX(Table28[Filtro de ruido],1), 1, Table14[[#This Row],[I_30]] / Table14[[#This Row],[I_0]])</f>
        <v>1</v>
      </c>
      <c r="X250" s="1">
        <f>IF(Table14[[#This Row],[I_0]] &lt; INDEX(Table28[Filtro de ruido],1), 1, Table14[[#This Row],[I_40]] / Table14[[#This Row],[I_0]])</f>
        <v>1</v>
      </c>
      <c r="Y250" s="19">
        <f>IF(Table14[[#This Row],[I_0]] &lt; INDEX(Table28[Filtro de ruido],1), 1, Table14[[#This Row],[I_50]] / Table14[[#This Row],[I_0]])</f>
        <v>1</v>
      </c>
      <c r="AA250" s="1"/>
    </row>
    <row r="251" spans="1:27" x14ac:dyDescent="0.3">
      <c r="A251" s="18">
        <v>317.23</v>
      </c>
      <c r="B251" s="1">
        <v>0</v>
      </c>
      <c r="C251" s="1">
        <v>317.23</v>
      </c>
      <c r="D251" s="1">
        <v>0</v>
      </c>
      <c r="E251" s="1">
        <v>317.23</v>
      </c>
      <c r="F251" s="1">
        <v>0</v>
      </c>
      <c r="G251" s="1">
        <v>317.23</v>
      </c>
      <c r="H251" s="1">
        <v>0</v>
      </c>
      <c r="I251" s="1">
        <v>317.23</v>
      </c>
      <c r="J251" s="1">
        <v>0</v>
      </c>
      <c r="K251" s="1">
        <v>317.23</v>
      </c>
      <c r="L251" s="1">
        <v>0</v>
      </c>
      <c r="M251" s="1">
        <v>317.23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317.23</v>
      </c>
      <c r="U251" s="1">
        <f>IF(Table14[[#This Row],[I_0]] &lt; INDEX(Table28[Filtro de ruido],1), 1, Table14[[#This Row],[I_10]] / Table14[[#This Row],[I_0]])</f>
        <v>1</v>
      </c>
      <c r="V251" s="1">
        <f>IF(Table14[[#This Row],[I_0]] &lt; INDEX(Table28[Filtro de ruido],1), 1, Table14[[#This Row],[I_20]] / Table14[[#This Row],[I_0]])</f>
        <v>1</v>
      </c>
      <c r="W251" s="1">
        <f>IF(Table14[[#This Row],[I_0]] &lt; INDEX(Table28[Filtro de ruido],1), 1, Table14[[#This Row],[I_30]] / Table14[[#This Row],[I_0]])</f>
        <v>1</v>
      </c>
      <c r="X251" s="1">
        <f>IF(Table14[[#This Row],[I_0]] &lt; INDEX(Table28[Filtro de ruido],1), 1, Table14[[#This Row],[I_40]] / Table14[[#This Row],[I_0]])</f>
        <v>1</v>
      </c>
      <c r="Y251" s="19">
        <f>IF(Table14[[#This Row],[I_0]] &lt; INDEX(Table28[Filtro de ruido],1), 1, Table14[[#This Row],[I_50]] / Table14[[#This Row],[I_0]])</f>
        <v>1</v>
      </c>
      <c r="AA251" s="1"/>
    </row>
    <row r="252" spans="1:27" x14ac:dyDescent="0.3">
      <c r="A252" s="18">
        <v>318.22000000000003</v>
      </c>
      <c r="B252" s="1">
        <v>0</v>
      </c>
      <c r="C252" s="1">
        <v>318.22000000000003</v>
      </c>
      <c r="D252" s="1">
        <v>0</v>
      </c>
      <c r="E252" s="1">
        <v>318.22000000000003</v>
      </c>
      <c r="F252" s="1">
        <v>0</v>
      </c>
      <c r="G252" s="1">
        <v>318.22000000000003</v>
      </c>
      <c r="H252" s="1">
        <v>0</v>
      </c>
      <c r="I252" s="1">
        <v>318.22000000000003</v>
      </c>
      <c r="J252" s="1">
        <v>0</v>
      </c>
      <c r="K252" s="1">
        <v>318.22000000000003</v>
      </c>
      <c r="L252" s="1">
        <v>0</v>
      </c>
      <c r="M252" s="1">
        <v>318.22000000000003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318.22000000000003</v>
      </c>
      <c r="U252" s="1">
        <f>IF(Table14[[#This Row],[I_0]] &lt; INDEX(Table28[Filtro de ruido],1), 1, Table14[[#This Row],[I_10]] / Table14[[#This Row],[I_0]])</f>
        <v>1</v>
      </c>
      <c r="V252" s="1">
        <f>IF(Table14[[#This Row],[I_0]] &lt; INDEX(Table28[Filtro de ruido],1), 1, Table14[[#This Row],[I_20]] / Table14[[#This Row],[I_0]])</f>
        <v>1</v>
      </c>
      <c r="W252" s="1">
        <f>IF(Table14[[#This Row],[I_0]] &lt; INDEX(Table28[Filtro de ruido],1), 1, Table14[[#This Row],[I_30]] / Table14[[#This Row],[I_0]])</f>
        <v>1</v>
      </c>
      <c r="X252" s="1">
        <f>IF(Table14[[#This Row],[I_0]] &lt; INDEX(Table28[Filtro de ruido],1), 1, Table14[[#This Row],[I_40]] / Table14[[#This Row],[I_0]])</f>
        <v>1</v>
      </c>
      <c r="Y252" s="19">
        <f>IF(Table14[[#This Row],[I_0]] &lt; INDEX(Table28[Filtro de ruido],1), 1, Table14[[#This Row],[I_50]] / Table14[[#This Row],[I_0]])</f>
        <v>1</v>
      </c>
      <c r="AA252" s="1"/>
    </row>
    <row r="253" spans="1:27" x14ac:dyDescent="0.3">
      <c r="A253" s="18">
        <v>319.20999999999998</v>
      </c>
      <c r="B253" s="1">
        <v>0</v>
      </c>
      <c r="C253" s="1">
        <v>319.20999999999998</v>
      </c>
      <c r="D253" s="1">
        <v>0</v>
      </c>
      <c r="E253" s="1">
        <v>319.20999999999998</v>
      </c>
      <c r="F253" s="1">
        <v>0</v>
      </c>
      <c r="G253" s="1">
        <v>319.20999999999998</v>
      </c>
      <c r="H253" s="1">
        <v>0</v>
      </c>
      <c r="I253" s="1">
        <v>319.20999999999998</v>
      </c>
      <c r="J253" s="1">
        <v>0</v>
      </c>
      <c r="K253" s="1">
        <v>319.20999999999998</v>
      </c>
      <c r="L253" s="1">
        <v>0</v>
      </c>
      <c r="M253" s="1">
        <v>319.20999999999998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319.20999999999998</v>
      </c>
      <c r="U253" s="1">
        <f>IF(Table14[[#This Row],[I_0]] &lt; INDEX(Table28[Filtro de ruido],1), 1, Table14[[#This Row],[I_10]] / Table14[[#This Row],[I_0]])</f>
        <v>1</v>
      </c>
      <c r="V253" s="1">
        <f>IF(Table14[[#This Row],[I_0]] &lt; INDEX(Table28[Filtro de ruido],1), 1, Table14[[#This Row],[I_20]] / Table14[[#This Row],[I_0]])</f>
        <v>1</v>
      </c>
      <c r="W253" s="1">
        <f>IF(Table14[[#This Row],[I_0]] &lt; INDEX(Table28[Filtro de ruido],1), 1, Table14[[#This Row],[I_30]] / Table14[[#This Row],[I_0]])</f>
        <v>1</v>
      </c>
      <c r="X253" s="1">
        <f>IF(Table14[[#This Row],[I_0]] &lt; INDEX(Table28[Filtro de ruido],1), 1, Table14[[#This Row],[I_40]] / Table14[[#This Row],[I_0]])</f>
        <v>1</v>
      </c>
      <c r="Y253" s="19">
        <f>IF(Table14[[#This Row],[I_0]] &lt; INDEX(Table28[Filtro de ruido],1), 1, Table14[[#This Row],[I_50]] / Table14[[#This Row],[I_0]])</f>
        <v>1</v>
      </c>
      <c r="AA253" s="1"/>
    </row>
    <row r="254" spans="1:27" x14ac:dyDescent="0.3">
      <c r="A254" s="18">
        <v>320.20999999999998</v>
      </c>
      <c r="B254" s="1">
        <v>0</v>
      </c>
      <c r="C254" s="1">
        <v>320.20999999999998</v>
      </c>
      <c r="D254" s="1">
        <v>0</v>
      </c>
      <c r="E254" s="1">
        <v>320.20999999999998</v>
      </c>
      <c r="F254" s="1">
        <v>0</v>
      </c>
      <c r="G254" s="1">
        <v>320.20999999999998</v>
      </c>
      <c r="H254" s="1">
        <v>0</v>
      </c>
      <c r="I254" s="1">
        <v>320.20999999999998</v>
      </c>
      <c r="J254" s="1">
        <v>0</v>
      </c>
      <c r="K254" s="1">
        <v>320.20999999999998</v>
      </c>
      <c r="L254" s="1">
        <v>0</v>
      </c>
      <c r="M254" s="1">
        <v>320.20999999999998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320.20999999999998</v>
      </c>
      <c r="U254" s="1">
        <f>IF(Table14[[#This Row],[I_0]] &lt; INDEX(Table28[Filtro de ruido],1), 1, Table14[[#This Row],[I_10]] / Table14[[#This Row],[I_0]])</f>
        <v>1</v>
      </c>
      <c r="V254" s="1">
        <f>IF(Table14[[#This Row],[I_0]] &lt; INDEX(Table28[Filtro de ruido],1), 1, Table14[[#This Row],[I_20]] / Table14[[#This Row],[I_0]])</f>
        <v>1</v>
      </c>
      <c r="W254" s="1">
        <f>IF(Table14[[#This Row],[I_0]] &lt; INDEX(Table28[Filtro de ruido],1), 1, Table14[[#This Row],[I_30]] / Table14[[#This Row],[I_0]])</f>
        <v>1</v>
      </c>
      <c r="X254" s="1">
        <f>IF(Table14[[#This Row],[I_0]] &lt; INDEX(Table28[Filtro de ruido],1), 1, Table14[[#This Row],[I_40]] / Table14[[#This Row],[I_0]])</f>
        <v>1</v>
      </c>
      <c r="Y254" s="19">
        <f>IF(Table14[[#This Row],[I_0]] &lt; INDEX(Table28[Filtro de ruido],1), 1, Table14[[#This Row],[I_50]] / Table14[[#This Row],[I_0]])</f>
        <v>1</v>
      </c>
      <c r="AA254" s="1"/>
    </row>
    <row r="255" spans="1:27" x14ac:dyDescent="0.3">
      <c r="A255" s="18">
        <v>321.2</v>
      </c>
      <c r="B255" s="1">
        <v>0</v>
      </c>
      <c r="C255" s="1">
        <v>321.2</v>
      </c>
      <c r="D255" s="1">
        <v>0</v>
      </c>
      <c r="E255" s="1">
        <v>321.2</v>
      </c>
      <c r="F255" s="1">
        <v>0</v>
      </c>
      <c r="G255" s="1">
        <v>321.2</v>
      </c>
      <c r="H255" s="1">
        <v>0</v>
      </c>
      <c r="I255" s="1">
        <v>321.2</v>
      </c>
      <c r="J255" s="1">
        <v>0</v>
      </c>
      <c r="K255" s="1">
        <v>321.2</v>
      </c>
      <c r="L255" s="1">
        <v>0</v>
      </c>
      <c r="M255" s="1">
        <v>321.2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321.2</v>
      </c>
      <c r="U255" s="1">
        <f>IF(Table14[[#This Row],[I_0]] &lt; INDEX(Table28[Filtro de ruido],1), 1, Table14[[#This Row],[I_10]] / Table14[[#This Row],[I_0]])</f>
        <v>1</v>
      </c>
      <c r="V255" s="1">
        <f>IF(Table14[[#This Row],[I_0]] &lt; INDEX(Table28[Filtro de ruido],1), 1, Table14[[#This Row],[I_20]] / Table14[[#This Row],[I_0]])</f>
        <v>1</v>
      </c>
      <c r="W255" s="1">
        <f>IF(Table14[[#This Row],[I_0]] &lt; INDEX(Table28[Filtro de ruido],1), 1, Table14[[#This Row],[I_30]] / Table14[[#This Row],[I_0]])</f>
        <v>1</v>
      </c>
      <c r="X255" s="1">
        <f>IF(Table14[[#This Row],[I_0]] &lt; INDEX(Table28[Filtro de ruido],1), 1, Table14[[#This Row],[I_40]] / Table14[[#This Row],[I_0]])</f>
        <v>1</v>
      </c>
      <c r="Y255" s="19">
        <f>IF(Table14[[#This Row],[I_0]] &lt; INDEX(Table28[Filtro de ruido],1), 1, Table14[[#This Row],[I_50]] / Table14[[#This Row],[I_0]])</f>
        <v>1</v>
      </c>
      <c r="AA255" s="1"/>
    </row>
    <row r="256" spans="1:27" x14ac:dyDescent="0.3">
      <c r="A256" s="18">
        <v>322.19</v>
      </c>
      <c r="B256" s="1">
        <v>0</v>
      </c>
      <c r="C256" s="1">
        <v>322.19</v>
      </c>
      <c r="D256" s="1">
        <v>0</v>
      </c>
      <c r="E256" s="1">
        <v>322.19</v>
      </c>
      <c r="F256" s="1">
        <v>0</v>
      </c>
      <c r="G256" s="1">
        <v>322.19</v>
      </c>
      <c r="H256" s="1">
        <v>0</v>
      </c>
      <c r="I256" s="1">
        <v>322.19</v>
      </c>
      <c r="J256" s="1">
        <v>0</v>
      </c>
      <c r="K256" s="1">
        <v>322.19</v>
      </c>
      <c r="L256" s="1">
        <v>0</v>
      </c>
      <c r="M256" s="1">
        <v>322.19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322.19</v>
      </c>
      <c r="U256" s="1">
        <f>IF(Table14[[#This Row],[I_0]] &lt; INDEX(Table28[Filtro de ruido],1), 1, Table14[[#This Row],[I_10]] / Table14[[#This Row],[I_0]])</f>
        <v>1</v>
      </c>
      <c r="V256" s="1">
        <f>IF(Table14[[#This Row],[I_0]] &lt; INDEX(Table28[Filtro de ruido],1), 1, Table14[[#This Row],[I_20]] / Table14[[#This Row],[I_0]])</f>
        <v>1</v>
      </c>
      <c r="W256" s="1">
        <f>IF(Table14[[#This Row],[I_0]] &lt; INDEX(Table28[Filtro de ruido],1), 1, Table14[[#This Row],[I_30]] / Table14[[#This Row],[I_0]])</f>
        <v>1</v>
      </c>
      <c r="X256" s="1">
        <f>IF(Table14[[#This Row],[I_0]] &lt; INDEX(Table28[Filtro de ruido],1), 1, Table14[[#This Row],[I_40]] / Table14[[#This Row],[I_0]])</f>
        <v>1</v>
      </c>
      <c r="Y256" s="19">
        <f>IF(Table14[[#This Row],[I_0]] &lt; INDEX(Table28[Filtro de ruido],1), 1, Table14[[#This Row],[I_50]] / Table14[[#This Row],[I_0]])</f>
        <v>1</v>
      </c>
      <c r="AA256" s="1"/>
    </row>
    <row r="257" spans="1:27" x14ac:dyDescent="0.3">
      <c r="A257" s="18">
        <v>323.18</v>
      </c>
      <c r="B257" s="1">
        <v>0</v>
      </c>
      <c r="C257" s="1">
        <v>323.18</v>
      </c>
      <c r="D257" s="1">
        <v>0</v>
      </c>
      <c r="E257" s="1">
        <v>323.18</v>
      </c>
      <c r="F257" s="1">
        <v>0</v>
      </c>
      <c r="G257" s="1">
        <v>323.18</v>
      </c>
      <c r="H257" s="1">
        <v>0</v>
      </c>
      <c r="I257" s="1">
        <v>323.18</v>
      </c>
      <c r="J257" s="1">
        <v>0</v>
      </c>
      <c r="K257" s="1">
        <v>323.18</v>
      </c>
      <c r="L257" s="1">
        <v>0</v>
      </c>
      <c r="M257" s="1">
        <v>323.18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323.18</v>
      </c>
      <c r="U257" s="1">
        <f>IF(Table14[[#This Row],[I_0]] &lt; INDEX(Table28[Filtro de ruido],1), 1, Table14[[#This Row],[I_10]] / Table14[[#This Row],[I_0]])</f>
        <v>1</v>
      </c>
      <c r="V257" s="1">
        <f>IF(Table14[[#This Row],[I_0]] &lt; INDEX(Table28[Filtro de ruido],1), 1, Table14[[#This Row],[I_20]] / Table14[[#This Row],[I_0]])</f>
        <v>1</v>
      </c>
      <c r="W257" s="1">
        <f>IF(Table14[[#This Row],[I_0]] &lt; INDEX(Table28[Filtro de ruido],1), 1, Table14[[#This Row],[I_30]] / Table14[[#This Row],[I_0]])</f>
        <v>1</v>
      </c>
      <c r="X257" s="1">
        <f>IF(Table14[[#This Row],[I_0]] &lt; INDEX(Table28[Filtro de ruido],1), 1, Table14[[#This Row],[I_40]] / Table14[[#This Row],[I_0]])</f>
        <v>1</v>
      </c>
      <c r="Y257" s="19">
        <f>IF(Table14[[#This Row],[I_0]] &lt; INDEX(Table28[Filtro de ruido],1), 1, Table14[[#This Row],[I_50]] / Table14[[#This Row],[I_0]])</f>
        <v>1</v>
      </c>
      <c r="AA257" s="1"/>
    </row>
    <row r="258" spans="1:27" x14ac:dyDescent="0.3">
      <c r="A258" s="18">
        <v>324.17</v>
      </c>
      <c r="B258" s="1">
        <v>0</v>
      </c>
      <c r="C258" s="1">
        <v>324.17</v>
      </c>
      <c r="D258" s="1">
        <v>0</v>
      </c>
      <c r="E258" s="1">
        <v>324.17</v>
      </c>
      <c r="F258" s="1">
        <v>0</v>
      </c>
      <c r="G258" s="1">
        <v>324.17</v>
      </c>
      <c r="H258" s="1">
        <v>0</v>
      </c>
      <c r="I258" s="1">
        <v>324.17</v>
      </c>
      <c r="J258" s="1">
        <v>0</v>
      </c>
      <c r="K258" s="1">
        <v>324.17</v>
      </c>
      <c r="L258" s="1">
        <v>0</v>
      </c>
      <c r="M258" s="1">
        <v>324.17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324.17</v>
      </c>
      <c r="U258" s="1">
        <f>IF(Table14[[#This Row],[I_0]] &lt; INDEX(Table28[Filtro de ruido],1), 1, Table14[[#This Row],[I_10]] / Table14[[#This Row],[I_0]])</f>
        <v>1</v>
      </c>
      <c r="V258" s="1">
        <f>IF(Table14[[#This Row],[I_0]] &lt; INDEX(Table28[Filtro de ruido],1), 1, Table14[[#This Row],[I_20]] / Table14[[#This Row],[I_0]])</f>
        <v>1</v>
      </c>
      <c r="W258" s="1">
        <f>IF(Table14[[#This Row],[I_0]] &lt; INDEX(Table28[Filtro de ruido],1), 1, Table14[[#This Row],[I_30]] / Table14[[#This Row],[I_0]])</f>
        <v>1</v>
      </c>
      <c r="X258" s="1">
        <f>IF(Table14[[#This Row],[I_0]] &lt; INDEX(Table28[Filtro de ruido],1), 1, Table14[[#This Row],[I_40]] / Table14[[#This Row],[I_0]])</f>
        <v>1</v>
      </c>
      <c r="Y258" s="19">
        <f>IF(Table14[[#This Row],[I_0]] &lt; INDEX(Table28[Filtro de ruido],1), 1, Table14[[#This Row],[I_50]] / Table14[[#This Row],[I_0]])</f>
        <v>1</v>
      </c>
      <c r="AA258" s="1"/>
    </row>
    <row r="259" spans="1:27" x14ac:dyDescent="0.3">
      <c r="A259" s="18">
        <v>325.16000000000003</v>
      </c>
      <c r="B259" s="1">
        <v>0</v>
      </c>
      <c r="C259" s="1">
        <v>325.16000000000003</v>
      </c>
      <c r="D259" s="1">
        <v>0</v>
      </c>
      <c r="E259" s="1">
        <v>325.16000000000003</v>
      </c>
      <c r="F259" s="1">
        <v>0</v>
      </c>
      <c r="G259" s="1">
        <v>325.16000000000003</v>
      </c>
      <c r="H259" s="1">
        <v>0</v>
      </c>
      <c r="I259" s="1">
        <v>325.16000000000003</v>
      </c>
      <c r="J259" s="1">
        <v>0</v>
      </c>
      <c r="K259" s="1">
        <v>325.16000000000003</v>
      </c>
      <c r="L259" s="1">
        <v>0</v>
      </c>
      <c r="M259" s="1">
        <v>325.16000000000003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325.16000000000003</v>
      </c>
      <c r="U259" s="1">
        <f>IF(Table14[[#This Row],[I_0]] &lt; INDEX(Table28[Filtro de ruido],1), 1, Table14[[#This Row],[I_10]] / Table14[[#This Row],[I_0]])</f>
        <v>1</v>
      </c>
      <c r="V259" s="1">
        <f>IF(Table14[[#This Row],[I_0]] &lt; INDEX(Table28[Filtro de ruido],1), 1, Table14[[#This Row],[I_20]] / Table14[[#This Row],[I_0]])</f>
        <v>1</v>
      </c>
      <c r="W259" s="1">
        <f>IF(Table14[[#This Row],[I_0]] &lt; INDEX(Table28[Filtro de ruido],1), 1, Table14[[#This Row],[I_30]] / Table14[[#This Row],[I_0]])</f>
        <v>1</v>
      </c>
      <c r="X259" s="1">
        <f>IF(Table14[[#This Row],[I_0]] &lt; INDEX(Table28[Filtro de ruido],1), 1, Table14[[#This Row],[I_40]] / Table14[[#This Row],[I_0]])</f>
        <v>1</v>
      </c>
      <c r="Y259" s="19">
        <f>IF(Table14[[#This Row],[I_0]] &lt; INDEX(Table28[Filtro de ruido],1), 1, Table14[[#This Row],[I_50]] / Table14[[#This Row],[I_0]])</f>
        <v>1</v>
      </c>
      <c r="AA259" s="1"/>
    </row>
    <row r="260" spans="1:27" x14ac:dyDescent="0.3">
      <c r="A260" s="18">
        <v>326.16000000000003</v>
      </c>
      <c r="B260" s="1">
        <v>0</v>
      </c>
      <c r="C260" s="1">
        <v>326.16000000000003</v>
      </c>
      <c r="D260" s="1">
        <v>0</v>
      </c>
      <c r="E260" s="1">
        <v>326.16000000000003</v>
      </c>
      <c r="F260" s="1">
        <v>0</v>
      </c>
      <c r="G260" s="1">
        <v>326.16000000000003</v>
      </c>
      <c r="H260" s="1">
        <v>0</v>
      </c>
      <c r="I260" s="1">
        <v>326.16000000000003</v>
      </c>
      <c r="J260" s="1">
        <v>0</v>
      </c>
      <c r="K260" s="1">
        <v>326.16000000000003</v>
      </c>
      <c r="L260" s="1">
        <v>0</v>
      </c>
      <c r="M260" s="1">
        <v>326.16000000000003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326.16000000000003</v>
      </c>
      <c r="U260" s="1">
        <f>IF(Table14[[#This Row],[I_0]] &lt; INDEX(Table28[Filtro de ruido],1), 1, Table14[[#This Row],[I_10]] / Table14[[#This Row],[I_0]])</f>
        <v>1</v>
      </c>
      <c r="V260" s="1">
        <f>IF(Table14[[#This Row],[I_0]] &lt; INDEX(Table28[Filtro de ruido],1), 1, Table14[[#This Row],[I_20]] / Table14[[#This Row],[I_0]])</f>
        <v>1</v>
      </c>
      <c r="W260" s="1">
        <f>IF(Table14[[#This Row],[I_0]] &lt; INDEX(Table28[Filtro de ruido],1), 1, Table14[[#This Row],[I_30]] / Table14[[#This Row],[I_0]])</f>
        <v>1</v>
      </c>
      <c r="X260" s="1">
        <f>IF(Table14[[#This Row],[I_0]] &lt; INDEX(Table28[Filtro de ruido],1), 1, Table14[[#This Row],[I_40]] / Table14[[#This Row],[I_0]])</f>
        <v>1</v>
      </c>
      <c r="Y260" s="19">
        <f>IF(Table14[[#This Row],[I_0]] &lt; INDEX(Table28[Filtro de ruido],1), 1, Table14[[#This Row],[I_50]] / Table14[[#This Row],[I_0]])</f>
        <v>1</v>
      </c>
      <c r="AA260" s="1"/>
    </row>
    <row r="261" spans="1:27" x14ac:dyDescent="0.3">
      <c r="A261" s="18">
        <v>327.14999999999998</v>
      </c>
      <c r="B261" s="1">
        <v>0</v>
      </c>
      <c r="C261" s="1">
        <v>327.14999999999998</v>
      </c>
      <c r="D261" s="1">
        <v>0</v>
      </c>
      <c r="E261" s="1">
        <v>327.14999999999998</v>
      </c>
      <c r="F261" s="1">
        <v>0</v>
      </c>
      <c r="G261" s="1">
        <v>327.14999999999998</v>
      </c>
      <c r="H261" s="1">
        <v>0</v>
      </c>
      <c r="I261" s="1">
        <v>327.14999999999998</v>
      </c>
      <c r="J261" s="1">
        <v>0</v>
      </c>
      <c r="K261" s="1">
        <v>327.14999999999998</v>
      </c>
      <c r="L261" s="1">
        <v>0</v>
      </c>
      <c r="M261" s="1">
        <v>327.14999999999998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327.14999999999998</v>
      </c>
      <c r="U261" s="1">
        <f>IF(Table14[[#This Row],[I_0]] &lt; INDEX(Table28[Filtro de ruido],1), 1, Table14[[#This Row],[I_10]] / Table14[[#This Row],[I_0]])</f>
        <v>1</v>
      </c>
      <c r="V261" s="1">
        <f>IF(Table14[[#This Row],[I_0]] &lt; INDEX(Table28[Filtro de ruido],1), 1, Table14[[#This Row],[I_20]] / Table14[[#This Row],[I_0]])</f>
        <v>1</v>
      </c>
      <c r="W261" s="1">
        <f>IF(Table14[[#This Row],[I_0]] &lt; INDEX(Table28[Filtro de ruido],1), 1, Table14[[#This Row],[I_30]] / Table14[[#This Row],[I_0]])</f>
        <v>1</v>
      </c>
      <c r="X261" s="1">
        <f>IF(Table14[[#This Row],[I_0]] &lt; INDEX(Table28[Filtro de ruido],1), 1, Table14[[#This Row],[I_40]] / Table14[[#This Row],[I_0]])</f>
        <v>1</v>
      </c>
      <c r="Y261" s="19">
        <f>IF(Table14[[#This Row],[I_0]] &lt; INDEX(Table28[Filtro de ruido],1), 1, Table14[[#This Row],[I_50]] / Table14[[#This Row],[I_0]])</f>
        <v>1</v>
      </c>
      <c r="AA261" s="1"/>
    </row>
    <row r="262" spans="1:27" x14ac:dyDescent="0.3">
      <c r="A262" s="18">
        <v>328.14</v>
      </c>
      <c r="B262" s="1">
        <v>0</v>
      </c>
      <c r="C262" s="1">
        <v>328.14</v>
      </c>
      <c r="D262" s="1">
        <v>0</v>
      </c>
      <c r="E262" s="1">
        <v>328.14</v>
      </c>
      <c r="F262" s="1">
        <v>0</v>
      </c>
      <c r="G262" s="1">
        <v>328.14</v>
      </c>
      <c r="H262" s="1">
        <v>0</v>
      </c>
      <c r="I262" s="1">
        <v>328.14</v>
      </c>
      <c r="J262" s="1">
        <v>0</v>
      </c>
      <c r="K262" s="1">
        <v>328.14</v>
      </c>
      <c r="L262" s="1">
        <v>0</v>
      </c>
      <c r="M262" s="1">
        <v>328.14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328.14</v>
      </c>
      <c r="U262" s="1">
        <f>IF(Table14[[#This Row],[I_0]] &lt; INDEX(Table28[Filtro de ruido],1), 1, Table14[[#This Row],[I_10]] / Table14[[#This Row],[I_0]])</f>
        <v>1</v>
      </c>
      <c r="V262" s="1">
        <f>IF(Table14[[#This Row],[I_0]] &lt; INDEX(Table28[Filtro de ruido],1), 1, Table14[[#This Row],[I_20]] / Table14[[#This Row],[I_0]])</f>
        <v>1</v>
      </c>
      <c r="W262" s="1">
        <f>IF(Table14[[#This Row],[I_0]] &lt; INDEX(Table28[Filtro de ruido],1), 1, Table14[[#This Row],[I_30]] / Table14[[#This Row],[I_0]])</f>
        <v>1</v>
      </c>
      <c r="X262" s="1">
        <f>IF(Table14[[#This Row],[I_0]] &lt; INDEX(Table28[Filtro de ruido],1), 1, Table14[[#This Row],[I_40]] / Table14[[#This Row],[I_0]])</f>
        <v>1</v>
      </c>
      <c r="Y262" s="19">
        <f>IF(Table14[[#This Row],[I_0]] &lt; INDEX(Table28[Filtro de ruido],1), 1, Table14[[#This Row],[I_50]] / Table14[[#This Row],[I_0]])</f>
        <v>1</v>
      </c>
      <c r="AA262" s="1"/>
    </row>
    <row r="263" spans="1:27" x14ac:dyDescent="0.3">
      <c r="A263" s="18">
        <v>329.13</v>
      </c>
      <c r="B263" s="1">
        <v>0</v>
      </c>
      <c r="C263" s="1">
        <v>329.13</v>
      </c>
      <c r="D263" s="1">
        <v>0</v>
      </c>
      <c r="E263" s="1">
        <v>329.13</v>
      </c>
      <c r="F263" s="1">
        <v>0</v>
      </c>
      <c r="G263" s="1">
        <v>329.13</v>
      </c>
      <c r="H263" s="1">
        <v>0</v>
      </c>
      <c r="I263" s="1">
        <v>329.13</v>
      </c>
      <c r="J263" s="1">
        <v>0</v>
      </c>
      <c r="K263" s="1">
        <v>329.13</v>
      </c>
      <c r="L263" s="1">
        <v>0</v>
      </c>
      <c r="M263" s="1">
        <v>329.13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329.13</v>
      </c>
      <c r="U263" s="1">
        <f>IF(Table14[[#This Row],[I_0]] &lt; INDEX(Table28[Filtro de ruido],1), 1, Table14[[#This Row],[I_10]] / Table14[[#This Row],[I_0]])</f>
        <v>1</v>
      </c>
      <c r="V263" s="1">
        <f>IF(Table14[[#This Row],[I_0]] &lt; INDEX(Table28[Filtro de ruido],1), 1, Table14[[#This Row],[I_20]] / Table14[[#This Row],[I_0]])</f>
        <v>1</v>
      </c>
      <c r="W263" s="1">
        <f>IF(Table14[[#This Row],[I_0]] &lt; INDEX(Table28[Filtro de ruido],1), 1, Table14[[#This Row],[I_30]] / Table14[[#This Row],[I_0]])</f>
        <v>1</v>
      </c>
      <c r="X263" s="1">
        <f>IF(Table14[[#This Row],[I_0]] &lt; INDEX(Table28[Filtro de ruido],1), 1, Table14[[#This Row],[I_40]] / Table14[[#This Row],[I_0]])</f>
        <v>1</v>
      </c>
      <c r="Y263" s="19">
        <f>IF(Table14[[#This Row],[I_0]] &lt; INDEX(Table28[Filtro de ruido],1), 1, Table14[[#This Row],[I_50]] / Table14[[#This Row],[I_0]])</f>
        <v>1</v>
      </c>
      <c r="AA263" s="1"/>
    </row>
    <row r="264" spans="1:27" x14ac:dyDescent="0.3">
      <c r="A264" s="18">
        <v>330.12</v>
      </c>
      <c r="B264" s="1">
        <v>0</v>
      </c>
      <c r="C264" s="1">
        <v>330.12</v>
      </c>
      <c r="D264" s="1">
        <v>0</v>
      </c>
      <c r="E264" s="1">
        <v>330.12</v>
      </c>
      <c r="F264" s="1">
        <v>0</v>
      </c>
      <c r="G264" s="1">
        <v>330.12</v>
      </c>
      <c r="H264" s="1">
        <v>0</v>
      </c>
      <c r="I264" s="1">
        <v>330.12</v>
      </c>
      <c r="J264" s="1">
        <v>0</v>
      </c>
      <c r="K264" s="1">
        <v>330.12</v>
      </c>
      <c r="L264" s="1">
        <v>0</v>
      </c>
      <c r="M264" s="1">
        <v>330.12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330.12</v>
      </c>
      <c r="U264" s="1">
        <f>IF(Table14[[#This Row],[I_0]] &lt; INDEX(Table28[Filtro de ruido],1), 1, Table14[[#This Row],[I_10]] / Table14[[#This Row],[I_0]])</f>
        <v>1</v>
      </c>
      <c r="V264" s="1">
        <f>IF(Table14[[#This Row],[I_0]] &lt; INDEX(Table28[Filtro de ruido],1), 1, Table14[[#This Row],[I_20]] / Table14[[#This Row],[I_0]])</f>
        <v>1</v>
      </c>
      <c r="W264" s="1">
        <f>IF(Table14[[#This Row],[I_0]] &lt; INDEX(Table28[Filtro de ruido],1), 1, Table14[[#This Row],[I_30]] / Table14[[#This Row],[I_0]])</f>
        <v>1</v>
      </c>
      <c r="X264" s="1">
        <f>IF(Table14[[#This Row],[I_0]] &lt; INDEX(Table28[Filtro de ruido],1), 1, Table14[[#This Row],[I_40]] / Table14[[#This Row],[I_0]])</f>
        <v>1</v>
      </c>
      <c r="Y264" s="19">
        <f>IF(Table14[[#This Row],[I_0]] &lt; INDEX(Table28[Filtro de ruido],1), 1, Table14[[#This Row],[I_50]] / Table14[[#This Row],[I_0]])</f>
        <v>1</v>
      </c>
      <c r="AA264" s="1"/>
    </row>
    <row r="265" spans="1:27" x14ac:dyDescent="0.3">
      <c r="A265" s="18">
        <v>331.12</v>
      </c>
      <c r="B265" s="1">
        <v>0</v>
      </c>
      <c r="C265" s="1">
        <v>331.12</v>
      </c>
      <c r="D265" s="1">
        <v>0</v>
      </c>
      <c r="E265" s="1">
        <v>331.12</v>
      </c>
      <c r="F265" s="1">
        <v>0</v>
      </c>
      <c r="G265" s="1">
        <v>331.12</v>
      </c>
      <c r="H265" s="1">
        <v>0</v>
      </c>
      <c r="I265" s="1">
        <v>331.12</v>
      </c>
      <c r="J265" s="1">
        <v>0</v>
      </c>
      <c r="K265" s="1">
        <v>331.12</v>
      </c>
      <c r="L265" s="1">
        <v>0</v>
      </c>
      <c r="M265" s="1">
        <v>331.12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331.12</v>
      </c>
      <c r="U265" s="1">
        <f>IF(Table14[[#This Row],[I_0]] &lt; INDEX(Table28[Filtro de ruido],1), 1, Table14[[#This Row],[I_10]] / Table14[[#This Row],[I_0]])</f>
        <v>1</v>
      </c>
      <c r="V265" s="1">
        <f>IF(Table14[[#This Row],[I_0]] &lt; INDEX(Table28[Filtro de ruido],1), 1, Table14[[#This Row],[I_20]] / Table14[[#This Row],[I_0]])</f>
        <v>1</v>
      </c>
      <c r="W265" s="1">
        <f>IF(Table14[[#This Row],[I_0]] &lt; INDEX(Table28[Filtro de ruido],1), 1, Table14[[#This Row],[I_30]] / Table14[[#This Row],[I_0]])</f>
        <v>1</v>
      </c>
      <c r="X265" s="1">
        <f>IF(Table14[[#This Row],[I_0]] &lt; INDEX(Table28[Filtro de ruido],1), 1, Table14[[#This Row],[I_40]] / Table14[[#This Row],[I_0]])</f>
        <v>1</v>
      </c>
      <c r="Y265" s="19">
        <f>IF(Table14[[#This Row],[I_0]] &lt; INDEX(Table28[Filtro de ruido],1), 1, Table14[[#This Row],[I_50]] / Table14[[#This Row],[I_0]])</f>
        <v>1</v>
      </c>
      <c r="AA265" s="1"/>
    </row>
    <row r="266" spans="1:27" x14ac:dyDescent="0.3">
      <c r="A266" s="18">
        <v>332.11</v>
      </c>
      <c r="B266" s="1">
        <v>0</v>
      </c>
      <c r="C266" s="1">
        <v>332.11</v>
      </c>
      <c r="D266" s="1">
        <v>0</v>
      </c>
      <c r="E266" s="1">
        <v>332.11</v>
      </c>
      <c r="F266" s="1">
        <v>0</v>
      </c>
      <c r="G266" s="1">
        <v>332.11</v>
      </c>
      <c r="H266" s="1">
        <v>0</v>
      </c>
      <c r="I266" s="1">
        <v>332.11</v>
      </c>
      <c r="J266" s="1">
        <v>0</v>
      </c>
      <c r="K266" s="1">
        <v>332.11</v>
      </c>
      <c r="L266" s="1">
        <v>0</v>
      </c>
      <c r="M266" s="1">
        <v>332.11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332.11</v>
      </c>
      <c r="U266" s="1">
        <f>IF(Table14[[#This Row],[I_0]] &lt; INDEX(Table28[Filtro de ruido],1), 1, Table14[[#This Row],[I_10]] / Table14[[#This Row],[I_0]])</f>
        <v>1</v>
      </c>
      <c r="V266" s="1">
        <f>IF(Table14[[#This Row],[I_0]] &lt; INDEX(Table28[Filtro de ruido],1), 1, Table14[[#This Row],[I_20]] / Table14[[#This Row],[I_0]])</f>
        <v>1</v>
      </c>
      <c r="W266" s="1">
        <f>IF(Table14[[#This Row],[I_0]] &lt; INDEX(Table28[Filtro de ruido],1), 1, Table14[[#This Row],[I_30]] / Table14[[#This Row],[I_0]])</f>
        <v>1</v>
      </c>
      <c r="X266" s="1">
        <f>IF(Table14[[#This Row],[I_0]] &lt; INDEX(Table28[Filtro de ruido],1), 1, Table14[[#This Row],[I_40]] / Table14[[#This Row],[I_0]])</f>
        <v>1</v>
      </c>
      <c r="Y266" s="19">
        <f>IF(Table14[[#This Row],[I_0]] &lt; INDEX(Table28[Filtro de ruido],1), 1, Table14[[#This Row],[I_50]] / Table14[[#This Row],[I_0]])</f>
        <v>1</v>
      </c>
      <c r="AA266" s="1"/>
    </row>
    <row r="267" spans="1:27" x14ac:dyDescent="0.3">
      <c r="A267" s="18">
        <v>333.1</v>
      </c>
      <c r="B267" s="1">
        <v>0</v>
      </c>
      <c r="C267" s="1">
        <v>333.1</v>
      </c>
      <c r="D267" s="1">
        <v>0</v>
      </c>
      <c r="E267" s="1">
        <v>333.1</v>
      </c>
      <c r="F267" s="1">
        <v>0</v>
      </c>
      <c r="G267" s="1">
        <v>333.1</v>
      </c>
      <c r="H267" s="1">
        <v>0</v>
      </c>
      <c r="I267" s="1">
        <v>333.1</v>
      </c>
      <c r="J267" s="1">
        <v>0</v>
      </c>
      <c r="K267" s="1">
        <v>333.1</v>
      </c>
      <c r="L267" s="1">
        <v>0</v>
      </c>
      <c r="M267" s="1">
        <v>333.1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333.1</v>
      </c>
      <c r="U267" s="1">
        <f>IF(Table14[[#This Row],[I_0]] &lt; INDEX(Table28[Filtro de ruido],1), 1, Table14[[#This Row],[I_10]] / Table14[[#This Row],[I_0]])</f>
        <v>1</v>
      </c>
      <c r="V267" s="1">
        <f>IF(Table14[[#This Row],[I_0]] &lt; INDEX(Table28[Filtro de ruido],1), 1, Table14[[#This Row],[I_20]] / Table14[[#This Row],[I_0]])</f>
        <v>1</v>
      </c>
      <c r="W267" s="1">
        <f>IF(Table14[[#This Row],[I_0]] &lt; INDEX(Table28[Filtro de ruido],1), 1, Table14[[#This Row],[I_30]] / Table14[[#This Row],[I_0]])</f>
        <v>1</v>
      </c>
      <c r="X267" s="1">
        <f>IF(Table14[[#This Row],[I_0]] &lt; INDEX(Table28[Filtro de ruido],1), 1, Table14[[#This Row],[I_40]] / Table14[[#This Row],[I_0]])</f>
        <v>1</v>
      </c>
      <c r="Y267" s="19">
        <f>IF(Table14[[#This Row],[I_0]] &lt; INDEX(Table28[Filtro de ruido],1), 1, Table14[[#This Row],[I_50]] / Table14[[#This Row],[I_0]])</f>
        <v>1</v>
      </c>
      <c r="AA267" s="1"/>
    </row>
    <row r="268" spans="1:27" x14ac:dyDescent="0.3">
      <c r="A268" s="18">
        <v>334.09</v>
      </c>
      <c r="B268" s="1">
        <v>0</v>
      </c>
      <c r="C268" s="1">
        <v>334.09</v>
      </c>
      <c r="D268" s="1">
        <v>0</v>
      </c>
      <c r="E268" s="1">
        <v>334.09</v>
      </c>
      <c r="F268" s="1">
        <v>0</v>
      </c>
      <c r="G268" s="1">
        <v>334.09</v>
      </c>
      <c r="H268" s="1">
        <v>0</v>
      </c>
      <c r="I268" s="1">
        <v>334.09</v>
      </c>
      <c r="J268" s="1">
        <v>0</v>
      </c>
      <c r="K268" s="1">
        <v>334.09</v>
      </c>
      <c r="L268" s="1">
        <v>0</v>
      </c>
      <c r="M268" s="1">
        <v>334.09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334.09</v>
      </c>
      <c r="U268" s="1">
        <f>IF(Table14[[#This Row],[I_0]] &lt; INDEX(Table28[Filtro de ruido],1), 1, Table14[[#This Row],[I_10]] / Table14[[#This Row],[I_0]])</f>
        <v>1</v>
      </c>
      <c r="V268" s="1">
        <f>IF(Table14[[#This Row],[I_0]] &lt; INDEX(Table28[Filtro de ruido],1), 1, Table14[[#This Row],[I_20]] / Table14[[#This Row],[I_0]])</f>
        <v>1</v>
      </c>
      <c r="W268" s="1">
        <f>IF(Table14[[#This Row],[I_0]] &lt; INDEX(Table28[Filtro de ruido],1), 1, Table14[[#This Row],[I_30]] / Table14[[#This Row],[I_0]])</f>
        <v>1</v>
      </c>
      <c r="X268" s="1">
        <f>IF(Table14[[#This Row],[I_0]] &lt; INDEX(Table28[Filtro de ruido],1), 1, Table14[[#This Row],[I_40]] / Table14[[#This Row],[I_0]])</f>
        <v>1</v>
      </c>
      <c r="Y268" s="19">
        <f>IF(Table14[[#This Row],[I_0]] &lt; INDEX(Table28[Filtro de ruido],1), 1, Table14[[#This Row],[I_50]] / Table14[[#This Row],[I_0]])</f>
        <v>1</v>
      </c>
      <c r="AA268" s="1"/>
    </row>
    <row r="269" spans="1:27" x14ac:dyDescent="0.3">
      <c r="A269" s="18">
        <v>335.08</v>
      </c>
      <c r="B269" s="1">
        <v>0</v>
      </c>
      <c r="C269" s="1">
        <v>335.08</v>
      </c>
      <c r="D269" s="1">
        <v>0</v>
      </c>
      <c r="E269" s="1">
        <v>335.08</v>
      </c>
      <c r="F269" s="1">
        <v>0</v>
      </c>
      <c r="G269" s="1">
        <v>335.08</v>
      </c>
      <c r="H269" s="1">
        <v>0</v>
      </c>
      <c r="I269" s="1">
        <v>335.08</v>
      </c>
      <c r="J269" s="1">
        <v>0</v>
      </c>
      <c r="K269" s="1">
        <v>335.08</v>
      </c>
      <c r="L269" s="1">
        <v>0</v>
      </c>
      <c r="M269" s="1">
        <v>335.08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335.08</v>
      </c>
      <c r="U269" s="1">
        <f>IF(Table14[[#This Row],[I_0]] &lt; INDEX(Table28[Filtro de ruido],1), 1, Table14[[#This Row],[I_10]] / Table14[[#This Row],[I_0]])</f>
        <v>1</v>
      </c>
      <c r="V269" s="1">
        <f>IF(Table14[[#This Row],[I_0]] &lt; INDEX(Table28[Filtro de ruido],1), 1, Table14[[#This Row],[I_20]] / Table14[[#This Row],[I_0]])</f>
        <v>1</v>
      </c>
      <c r="W269" s="1">
        <f>IF(Table14[[#This Row],[I_0]] &lt; INDEX(Table28[Filtro de ruido],1), 1, Table14[[#This Row],[I_30]] / Table14[[#This Row],[I_0]])</f>
        <v>1</v>
      </c>
      <c r="X269" s="1">
        <f>IF(Table14[[#This Row],[I_0]] &lt; INDEX(Table28[Filtro de ruido],1), 1, Table14[[#This Row],[I_40]] / Table14[[#This Row],[I_0]])</f>
        <v>1</v>
      </c>
      <c r="Y269" s="19">
        <f>IF(Table14[[#This Row],[I_0]] &lt; INDEX(Table28[Filtro de ruido],1), 1, Table14[[#This Row],[I_50]] / Table14[[#This Row],[I_0]])</f>
        <v>1</v>
      </c>
      <c r="AA269" s="1"/>
    </row>
    <row r="270" spans="1:27" x14ac:dyDescent="0.3">
      <c r="A270" s="18">
        <v>336.07</v>
      </c>
      <c r="B270" s="1">
        <v>0</v>
      </c>
      <c r="C270" s="1">
        <v>336.07</v>
      </c>
      <c r="D270" s="1">
        <v>0</v>
      </c>
      <c r="E270" s="1">
        <v>336.07</v>
      </c>
      <c r="F270" s="1">
        <v>0</v>
      </c>
      <c r="G270" s="1">
        <v>336.07</v>
      </c>
      <c r="H270" s="1">
        <v>0</v>
      </c>
      <c r="I270" s="1">
        <v>336.07</v>
      </c>
      <c r="J270" s="1">
        <v>0</v>
      </c>
      <c r="K270" s="1">
        <v>336.07</v>
      </c>
      <c r="L270" s="1">
        <v>0</v>
      </c>
      <c r="M270" s="1">
        <v>336.07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336.07</v>
      </c>
      <c r="U270" s="1">
        <f>IF(Table14[[#This Row],[I_0]] &lt; INDEX(Table28[Filtro de ruido],1), 1, Table14[[#This Row],[I_10]] / Table14[[#This Row],[I_0]])</f>
        <v>1</v>
      </c>
      <c r="V270" s="1">
        <f>IF(Table14[[#This Row],[I_0]] &lt; INDEX(Table28[Filtro de ruido],1), 1, Table14[[#This Row],[I_20]] / Table14[[#This Row],[I_0]])</f>
        <v>1</v>
      </c>
      <c r="W270" s="1">
        <f>IF(Table14[[#This Row],[I_0]] &lt; INDEX(Table28[Filtro de ruido],1), 1, Table14[[#This Row],[I_30]] / Table14[[#This Row],[I_0]])</f>
        <v>1</v>
      </c>
      <c r="X270" s="1">
        <f>IF(Table14[[#This Row],[I_0]] &lt; INDEX(Table28[Filtro de ruido],1), 1, Table14[[#This Row],[I_40]] / Table14[[#This Row],[I_0]])</f>
        <v>1</v>
      </c>
      <c r="Y270" s="19">
        <f>IF(Table14[[#This Row],[I_0]] &lt; INDEX(Table28[Filtro de ruido],1), 1, Table14[[#This Row],[I_50]] / Table14[[#This Row],[I_0]])</f>
        <v>1</v>
      </c>
      <c r="AA270" s="1"/>
    </row>
    <row r="271" spans="1:27" x14ac:dyDescent="0.3">
      <c r="A271" s="18">
        <v>337.07</v>
      </c>
      <c r="B271" s="1">
        <v>0</v>
      </c>
      <c r="C271" s="1">
        <v>337.07</v>
      </c>
      <c r="D271" s="1">
        <v>0</v>
      </c>
      <c r="E271" s="1">
        <v>337.07</v>
      </c>
      <c r="F271" s="1">
        <v>0</v>
      </c>
      <c r="G271" s="1">
        <v>337.07</v>
      </c>
      <c r="H271" s="1">
        <v>0</v>
      </c>
      <c r="I271" s="1">
        <v>337.07</v>
      </c>
      <c r="J271" s="1">
        <v>0</v>
      </c>
      <c r="K271" s="1">
        <v>337.07</v>
      </c>
      <c r="L271" s="1">
        <v>0</v>
      </c>
      <c r="M271" s="1">
        <v>337.07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337.07</v>
      </c>
      <c r="U271" s="1">
        <f>IF(Table14[[#This Row],[I_0]] &lt; INDEX(Table28[Filtro de ruido],1), 1, Table14[[#This Row],[I_10]] / Table14[[#This Row],[I_0]])</f>
        <v>1</v>
      </c>
      <c r="V271" s="1">
        <f>IF(Table14[[#This Row],[I_0]] &lt; INDEX(Table28[Filtro de ruido],1), 1, Table14[[#This Row],[I_20]] / Table14[[#This Row],[I_0]])</f>
        <v>1</v>
      </c>
      <c r="W271" s="1">
        <f>IF(Table14[[#This Row],[I_0]] &lt; INDEX(Table28[Filtro de ruido],1), 1, Table14[[#This Row],[I_30]] / Table14[[#This Row],[I_0]])</f>
        <v>1</v>
      </c>
      <c r="X271" s="1">
        <f>IF(Table14[[#This Row],[I_0]] &lt; INDEX(Table28[Filtro de ruido],1), 1, Table14[[#This Row],[I_40]] / Table14[[#This Row],[I_0]])</f>
        <v>1</v>
      </c>
      <c r="Y271" s="19">
        <f>IF(Table14[[#This Row],[I_0]] &lt; INDEX(Table28[Filtro de ruido],1), 1, Table14[[#This Row],[I_50]] / Table14[[#This Row],[I_0]])</f>
        <v>1</v>
      </c>
      <c r="AA271" s="1"/>
    </row>
    <row r="272" spans="1:27" x14ac:dyDescent="0.3">
      <c r="A272" s="18">
        <v>338.06</v>
      </c>
      <c r="B272" s="1">
        <v>0</v>
      </c>
      <c r="C272" s="1">
        <v>338.06</v>
      </c>
      <c r="D272" s="1">
        <v>0</v>
      </c>
      <c r="E272" s="1">
        <v>338.06</v>
      </c>
      <c r="F272" s="1">
        <v>0</v>
      </c>
      <c r="G272" s="1">
        <v>338.06</v>
      </c>
      <c r="H272" s="1">
        <v>0</v>
      </c>
      <c r="I272" s="1">
        <v>338.06</v>
      </c>
      <c r="J272" s="1">
        <v>0</v>
      </c>
      <c r="K272" s="1">
        <v>338.06</v>
      </c>
      <c r="L272" s="1">
        <v>0</v>
      </c>
      <c r="M272" s="1">
        <v>338.06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338.06</v>
      </c>
      <c r="U272" s="1">
        <f>IF(Table14[[#This Row],[I_0]] &lt; INDEX(Table28[Filtro de ruido],1), 1, Table14[[#This Row],[I_10]] / Table14[[#This Row],[I_0]])</f>
        <v>1</v>
      </c>
      <c r="V272" s="1">
        <f>IF(Table14[[#This Row],[I_0]] &lt; INDEX(Table28[Filtro de ruido],1), 1, Table14[[#This Row],[I_20]] / Table14[[#This Row],[I_0]])</f>
        <v>1</v>
      </c>
      <c r="W272" s="1">
        <f>IF(Table14[[#This Row],[I_0]] &lt; INDEX(Table28[Filtro de ruido],1), 1, Table14[[#This Row],[I_30]] / Table14[[#This Row],[I_0]])</f>
        <v>1</v>
      </c>
      <c r="X272" s="1">
        <f>IF(Table14[[#This Row],[I_0]] &lt; INDEX(Table28[Filtro de ruido],1), 1, Table14[[#This Row],[I_40]] / Table14[[#This Row],[I_0]])</f>
        <v>1</v>
      </c>
      <c r="Y272" s="19">
        <f>IF(Table14[[#This Row],[I_0]] &lt; INDEX(Table28[Filtro de ruido],1), 1, Table14[[#This Row],[I_50]] / Table14[[#This Row],[I_0]])</f>
        <v>1</v>
      </c>
      <c r="AA272" s="1"/>
    </row>
    <row r="273" spans="1:27" x14ac:dyDescent="0.3">
      <c r="A273" s="18">
        <v>339.05</v>
      </c>
      <c r="B273" s="1">
        <v>0</v>
      </c>
      <c r="C273" s="1">
        <v>339.05</v>
      </c>
      <c r="D273" s="1">
        <v>0</v>
      </c>
      <c r="E273" s="1">
        <v>339.05</v>
      </c>
      <c r="F273" s="1">
        <v>0</v>
      </c>
      <c r="G273" s="1">
        <v>339.05</v>
      </c>
      <c r="H273" s="1">
        <v>0</v>
      </c>
      <c r="I273" s="1">
        <v>339.05</v>
      </c>
      <c r="J273" s="1">
        <v>0</v>
      </c>
      <c r="K273" s="1">
        <v>339.05</v>
      </c>
      <c r="L273" s="1">
        <v>0</v>
      </c>
      <c r="M273" s="1">
        <v>339.05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339.05</v>
      </c>
      <c r="U273" s="1">
        <f>IF(Table14[[#This Row],[I_0]] &lt; INDEX(Table28[Filtro de ruido],1), 1, Table14[[#This Row],[I_10]] / Table14[[#This Row],[I_0]])</f>
        <v>1</v>
      </c>
      <c r="V273" s="1">
        <f>IF(Table14[[#This Row],[I_0]] &lt; INDEX(Table28[Filtro de ruido],1), 1, Table14[[#This Row],[I_20]] / Table14[[#This Row],[I_0]])</f>
        <v>1</v>
      </c>
      <c r="W273" s="1">
        <f>IF(Table14[[#This Row],[I_0]] &lt; INDEX(Table28[Filtro de ruido],1), 1, Table14[[#This Row],[I_30]] / Table14[[#This Row],[I_0]])</f>
        <v>1</v>
      </c>
      <c r="X273" s="1">
        <f>IF(Table14[[#This Row],[I_0]] &lt; INDEX(Table28[Filtro de ruido],1), 1, Table14[[#This Row],[I_40]] / Table14[[#This Row],[I_0]])</f>
        <v>1</v>
      </c>
      <c r="Y273" s="19">
        <f>IF(Table14[[#This Row],[I_0]] &lt; INDEX(Table28[Filtro de ruido],1), 1, Table14[[#This Row],[I_50]] / Table14[[#This Row],[I_0]])</f>
        <v>1</v>
      </c>
      <c r="AA273" s="1"/>
    </row>
    <row r="274" spans="1:27" x14ac:dyDescent="0.3">
      <c r="A274" s="18">
        <v>340.04</v>
      </c>
      <c r="B274" s="1">
        <v>0</v>
      </c>
      <c r="C274" s="1">
        <v>340.04</v>
      </c>
      <c r="D274" s="1">
        <v>0</v>
      </c>
      <c r="E274" s="1">
        <v>340.04</v>
      </c>
      <c r="F274" s="1">
        <v>0</v>
      </c>
      <c r="G274" s="1">
        <v>340.04</v>
      </c>
      <c r="H274" s="1">
        <v>0</v>
      </c>
      <c r="I274" s="1">
        <v>340.04</v>
      </c>
      <c r="J274" s="1">
        <v>0</v>
      </c>
      <c r="K274" s="1">
        <v>340.04</v>
      </c>
      <c r="L274" s="1">
        <v>0</v>
      </c>
      <c r="M274" s="1">
        <v>340.04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340.04</v>
      </c>
      <c r="U274" s="1">
        <f>IF(Table14[[#This Row],[I_0]] &lt; INDEX(Table28[Filtro de ruido],1), 1, Table14[[#This Row],[I_10]] / Table14[[#This Row],[I_0]])</f>
        <v>1</v>
      </c>
      <c r="V274" s="1">
        <f>IF(Table14[[#This Row],[I_0]] &lt; INDEX(Table28[Filtro de ruido],1), 1, Table14[[#This Row],[I_20]] / Table14[[#This Row],[I_0]])</f>
        <v>1</v>
      </c>
      <c r="W274" s="1">
        <f>IF(Table14[[#This Row],[I_0]] &lt; INDEX(Table28[Filtro de ruido],1), 1, Table14[[#This Row],[I_30]] / Table14[[#This Row],[I_0]])</f>
        <v>1</v>
      </c>
      <c r="X274" s="1">
        <f>IF(Table14[[#This Row],[I_0]] &lt; INDEX(Table28[Filtro de ruido],1), 1, Table14[[#This Row],[I_40]] / Table14[[#This Row],[I_0]])</f>
        <v>1</v>
      </c>
      <c r="Y274" s="19">
        <f>IF(Table14[[#This Row],[I_0]] &lt; INDEX(Table28[Filtro de ruido],1), 1, Table14[[#This Row],[I_50]] / Table14[[#This Row],[I_0]])</f>
        <v>1</v>
      </c>
      <c r="AA274" s="1"/>
    </row>
    <row r="275" spans="1:27" x14ac:dyDescent="0.3">
      <c r="A275" s="18">
        <v>341.03</v>
      </c>
      <c r="B275" s="1">
        <v>0</v>
      </c>
      <c r="C275" s="1">
        <v>341.03</v>
      </c>
      <c r="D275" s="1">
        <v>0</v>
      </c>
      <c r="E275" s="1">
        <v>341.03</v>
      </c>
      <c r="F275" s="1">
        <v>0</v>
      </c>
      <c r="G275" s="1">
        <v>341.03</v>
      </c>
      <c r="H275" s="1">
        <v>0</v>
      </c>
      <c r="I275" s="1">
        <v>341.03</v>
      </c>
      <c r="J275" s="1">
        <v>0</v>
      </c>
      <c r="K275" s="1">
        <v>341.03</v>
      </c>
      <c r="L275" s="1">
        <v>0</v>
      </c>
      <c r="M275" s="1">
        <v>341.03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341.03</v>
      </c>
      <c r="U275" s="1">
        <f>IF(Table14[[#This Row],[I_0]] &lt; INDEX(Table28[Filtro de ruido],1), 1, Table14[[#This Row],[I_10]] / Table14[[#This Row],[I_0]])</f>
        <v>1</v>
      </c>
      <c r="V275" s="1">
        <f>IF(Table14[[#This Row],[I_0]] &lt; INDEX(Table28[Filtro de ruido],1), 1, Table14[[#This Row],[I_20]] / Table14[[#This Row],[I_0]])</f>
        <v>1</v>
      </c>
      <c r="W275" s="1">
        <f>IF(Table14[[#This Row],[I_0]] &lt; INDEX(Table28[Filtro de ruido],1), 1, Table14[[#This Row],[I_30]] / Table14[[#This Row],[I_0]])</f>
        <v>1</v>
      </c>
      <c r="X275" s="1">
        <f>IF(Table14[[#This Row],[I_0]] &lt; INDEX(Table28[Filtro de ruido],1), 1, Table14[[#This Row],[I_40]] / Table14[[#This Row],[I_0]])</f>
        <v>1</v>
      </c>
      <c r="Y275" s="19">
        <f>IF(Table14[[#This Row],[I_0]] &lt; INDEX(Table28[Filtro de ruido],1), 1, Table14[[#This Row],[I_50]] / Table14[[#This Row],[I_0]])</f>
        <v>1</v>
      </c>
      <c r="AA275" s="1"/>
    </row>
    <row r="276" spans="1:27" x14ac:dyDescent="0.3">
      <c r="A276" s="18">
        <v>342.02</v>
      </c>
      <c r="B276" s="1">
        <v>0</v>
      </c>
      <c r="C276" s="1">
        <v>342.02</v>
      </c>
      <c r="D276" s="1">
        <v>0</v>
      </c>
      <c r="E276" s="1">
        <v>342.02</v>
      </c>
      <c r="F276" s="1">
        <v>0</v>
      </c>
      <c r="G276" s="1">
        <v>342.02</v>
      </c>
      <c r="H276" s="1">
        <v>0</v>
      </c>
      <c r="I276" s="1">
        <v>342.02</v>
      </c>
      <c r="J276" s="1">
        <v>0</v>
      </c>
      <c r="K276" s="1">
        <v>342.02</v>
      </c>
      <c r="L276" s="1">
        <v>0</v>
      </c>
      <c r="M276" s="1">
        <v>342.02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342.02</v>
      </c>
      <c r="U276" s="1">
        <f>IF(Table14[[#This Row],[I_0]] &lt; INDEX(Table28[Filtro de ruido],1), 1, Table14[[#This Row],[I_10]] / Table14[[#This Row],[I_0]])</f>
        <v>1</v>
      </c>
      <c r="V276" s="1">
        <f>IF(Table14[[#This Row],[I_0]] &lt; INDEX(Table28[Filtro de ruido],1), 1, Table14[[#This Row],[I_20]] / Table14[[#This Row],[I_0]])</f>
        <v>1</v>
      </c>
      <c r="W276" s="1">
        <f>IF(Table14[[#This Row],[I_0]] &lt; INDEX(Table28[Filtro de ruido],1), 1, Table14[[#This Row],[I_30]] / Table14[[#This Row],[I_0]])</f>
        <v>1</v>
      </c>
      <c r="X276" s="1">
        <f>IF(Table14[[#This Row],[I_0]] &lt; INDEX(Table28[Filtro de ruido],1), 1, Table14[[#This Row],[I_40]] / Table14[[#This Row],[I_0]])</f>
        <v>1</v>
      </c>
      <c r="Y276" s="19">
        <f>IF(Table14[[#This Row],[I_0]] &lt; INDEX(Table28[Filtro de ruido],1), 1, Table14[[#This Row],[I_50]] / Table14[[#This Row],[I_0]])</f>
        <v>1</v>
      </c>
      <c r="AA276" s="1"/>
    </row>
    <row r="277" spans="1:27" x14ac:dyDescent="0.3">
      <c r="A277" s="18">
        <v>343.02</v>
      </c>
      <c r="B277" s="1">
        <v>0</v>
      </c>
      <c r="C277" s="1">
        <v>343.02</v>
      </c>
      <c r="D277" s="1">
        <v>0</v>
      </c>
      <c r="E277" s="1">
        <v>343.02</v>
      </c>
      <c r="F277" s="1">
        <v>0</v>
      </c>
      <c r="G277" s="1">
        <v>343.02</v>
      </c>
      <c r="H277" s="1">
        <v>0</v>
      </c>
      <c r="I277" s="1">
        <v>343.02</v>
      </c>
      <c r="J277" s="1">
        <v>0</v>
      </c>
      <c r="K277" s="1">
        <v>343.02</v>
      </c>
      <c r="L277" s="1">
        <v>0</v>
      </c>
      <c r="M277" s="1">
        <v>343.02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343.02</v>
      </c>
      <c r="U277" s="1">
        <f>IF(Table14[[#This Row],[I_0]] &lt; INDEX(Table28[Filtro de ruido],1), 1, Table14[[#This Row],[I_10]] / Table14[[#This Row],[I_0]])</f>
        <v>1</v>
      </c>
      <c r="V277" s="1">
        <f>IF(Table14[[#This Row],[I_0]] &lt; INDEX(Table28[Filtro de ruido],1), 1, Table14[[#This Row],[I_20]] / Table14[[#This Row],[I_0]])</f>
        <v>1</v>
      </c>
      <c r="W277" s="1">
        <f>IF(Table14[[#This Row],[I_0]] &lt; INDEX(Table28[Filtro de ruido],1), 1, Table14[[#This Row],[I_30]] / Table14[[#This Row],[I_0]])</f>
        <v>1</v>
      </c>
      <c r="X277" s="1">
        <f>IF(Table14[[#This Row],[I_0]] &lt; INDEX(Table28[Filtro de ruido],1), 1, Table14[[#This Row],[I_40]] / Table14[[#This Row],[I_0]])</f>
        <v>1</v>
      </c>
      <c r="Y277" s="19">
        <f>IF(Table14[[#This Row],[I_0]] &lt; INDEX(Table28[Filtro de ruido],1), 1, Table14[[#This Row],[I_50]] / Table14[[#This Row],[I_0]])</f>
        <v>1</v>
      </c>
      <c r="AA277" s="1"/>
    </row>
    <row r="278" spans="1:27" x14ac:dyDescent="0.3">
      <c r="A278" s="18">
        <v>344.01</v>
      </c>
      <c r="B278" s="1">
        <v>0</v>
      </c>
      <c r="C278" s="1">
        <v>344.01</v>
      </c>
      <c r="D278" s="1">
        <v>0</v>
      </c>
      <c r="E278" s="1">
        <v>344.01</v>
      </c>
      <c r="F278" s="1">
        <v>0</v>
      </c>
      <c r="G278" s="1">
        <v>344.01</v>
      </c>
      <c r="H278" s="1">
        <v>0</v>
      </c>
      <c r="I278" s="1">
        <v>344.01</v>
      </c>
      <c r="J278" s="1">
        <v>0</v>
      </c>
      <c r="K278" s="1">
        <v>344.01</v>
      </c>
      <c r="L278" s="1">
        <v>0</v>
      </c>
      <c r="M278" s="1">
        <v>344.01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344.01</v>
      </c>
      <c r="U278" s="1">
        <f>IF(Table14[[#This Row],[I_0]] &lt; INDEX(Table28[Filtro de ruido],1), 1, Table14[[#This Row],[I_10]] / Table14[[#This Row],[I_0]])</f>
        <v>1</v>
      </c>
      <c r="V278" s="1">
        <f>IF(Table14[[#This Row],[I_0]] &lt; INDEX(Table28[Filtro de ruido],1), 1, Table14[[#This Row],[I_20]] / Table14[[#This Row],[I_0]])</f>
        <v>1</v>
      </c>
      <c r="W278" s="1">
        <f>IF(Table14[[#This Row],[I_0]] &lt; INDEX(Table28[Filtro de ruido],1), 1, Table14[[#This Row],[I_30]] / Table14[[#This Row],[I_0]])</f>
        <v>1</v>
      </c>
      <c r="X278" s="1">
        <f>IF(Table14[[#This Row],[I_0]] &lt; INDEX(Table28[Filtro de ruido],1), 1, Table14[[#This Row],[I_40]] / Table14[[#This Row],[I_0]])</f>
        <v>1</v>
      </c>
      <c r="Y278" s="19">
        <f>IF(Table14[[#This Row],[I_0]] &lt; INDEX(Table28[Filtro de ruido],1), 1, Table14[[#This Row],[I_50]] / Table14[[#This Row],[I_0]])</f>
        <v>1</v>
      </c>
      <c r="AA278" s="1"/>
    </row>
    <row r="279" spans="1:27" x14ac:dyDescent="0.3">
      <c r="A279" s="18">
        <v>345</v>
      </c>
      <c r="B279" s="1">
        <v>0</v>
      </c>
      <c r="C279" s="1">
        <v>345</v>
      </c>
      <c r="D279" s="1">
        <v>0</v>
      </c>
      <c r="E279" s="1">
        <v>345</v>
      </c>
      <c r="F279" s="1">
        <v>0</v>
      </c>
      <c r="G279" s="1">
        <v>345</v>
      </c>
      <c r="H279" s="1">
        <v>0</v>
      </c>
      <c r="I279" s="1">
        <v>345</v>
      </c>
      <c r="J279" s="1">
        <v>0</v>
      </c>
      <c r="K279" s="1">
        <v>345</v>
      </c>
      <c r="L279" s="1">
        <v>0</v>
      </c>
      <c r="M279" s="1">
        <v>345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345</v>
      </c>
      <c r="U279" s="1">
        <f>IF(Table14[[#This Row],[I_0]] &lt; INDEX(Table28[Filtro de ruido],1), 1, Table14[[#This Row],[I_10]] / Table14[[#This Row],[I_0]])</f>
        <v>1</v>
      </c>
      <c r="V279" s="1">
        <f>IF(Table14[[#This Row],[I_0]] &lt; INDEX(Table28[Filtro de ruido],1), 1, Table14[[#This Row],[I_20]] / Table14[[#This Row],[I_0]])</f>
        <v>1</v>
      </c>
      <c r="W279" s="1">
        <f>IF(Table14[[#This Row],[I_0]] &lt; INDEX(Table28[Filtro de ruido],1), 1, Table14[[#This Row],[I_30]] / Table14[[#This Row],[I_0]])</f>
        <v>1</v>
      </c>
      <c r="X279" s="1">
        <f>IF(Table14[[#This Row],[I_0]] &lt; INDEX(Table28[Filtro de ruido],1), 1, Table14[[#This Row],[I_40]] / Table14[[#This Row],[I_0]])</f>
        <v>1</v>
      </c>
      <c r="Y279" s="19">
        <f>IF(Table14[[#This Row],[I_0]] &lt; INDEX(Table28[Filtro de ruido],1), 1, Table14[[#This Row],[I_50]] / Table14[[#This Row],[I_0]])</f>
        <v>1</v>
      </c>
      <c r="AA279" s="1"/>
    </row>
    <row r="280" spans="1:27" x14ac:dyDescent="0.3">
      <c r="A280" s="18">
        <v>345.99</v>
      </c>
      <c r="B280" s="1">
        <v>0</v>
      </c>
      <c r="C280" s="1">
        <v>345.99</v>
      </c>
      <c r="D280" s="1">
        <v>0</v>
      </c>
      <c r="E280" s="1">
        <v>345.99</v>
      </c>
      <c r="F280" s="1">
        <v>0</v>
      </c>
      <c r="G280" s="1">
        <v>345.99</v>
      </c>
      <c r="H280" s="1">
        <v>0</v>
      </c>
      <c r="I280" s="1">
        <v>345.99</v>
      </c>
      <c r="J280" s="1">
        <v>0</v>
      </c>
      <c r="K280" s="1">
        <v>345.99</v>
      </c>
      <c r="L280" s="1">
        <v>0</v>
      </c>
      <c r="M280" s="1">
        <v>345.99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345.99</v>
      </c>
      <c r="U280" s="1">
        <f>IF(Table14[[#This Row],[I_0]] &lt; INDEX(Table28[Filtro de ruido],1), 1, Table14[[#This Row],[I_10]] / Table14[[#This Row],[I_0]])</f>
        <v>1</v>
      </c>
      <c r="V280" s="1">
        <f>IF(Table14[[#This Row],[I_0]] &lt; INDEX(Table28[Filtro de ruido],1), 1, Table14[[#This Row],[I_20]] / Table14[[#This Row],[I_0]])</f>
        <v>1</v>
      </c>
      <c r="W280" s="1">
        <f>IF(Table14[[#This Row],[I_0]] &lt; INDEX(Table28[Filtro de ruido],1), 1, Table14[[#This Row],[I_30]] / Table14[[#This Row],[I_0]])</f>
        <v>1</v>
      </c>
      <c r="X280" s="1">
        <f>IF(Table14[[#This Row],[I_0]] &lt; INDEX(Table28[Filtro de ruido],1), 1, Table14[[#This Row],[I_40]] / Table14[[#This Row],[I_0]])</f>
        <v>1</v>
      </c>
      <c r="Y280" s="19">
        <f>IF(Table14[[#This Row],[I_0]] &lt; INDEX(Table28[Filtro de ruido],1), 1, Table14[[#This Row],[I_50]] / Table14[[#This Row],[I_0]])</f>
        <v>1</v>
      </c>
      <c r="AA280" s="1"/>
    </row>
    <row r="281" spans="1:27" x14ac:dyDescent="0.3">
      <c r="A281" s="18">
        <v>346.98</v>
      </c>
      <c r="B281" s="1">
        <v>0</v>
      </c>
      <c r="C281" s="1">
        <v>346.98</v>
      </c>
      <c r="D281" s="1">
        <v>0</v>
      </c>
      <c r="E281" s="1">
        <v>346.98</v>
      </c>
      <c r="F281" s="1">
        <v>0</v>
      </c>
      <c r="G281" s="1">
        <v>346.98</v>
      </c>
      <c r="H281" s="1">
        <v>0</v>
      </c>
      <c r="I281" s="1">
        <v>346.98</v>
      </c>
      <c r="J281" s="1">
        <v>0</v>
      </c>
      <c r="K281" s="1">
        <v>346.98</v>
      </c>
      <c r="L281" s="1">
        <v>0</v>
      </c>
      <c r="M281" s="1">
        <v>346.98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346.98</v>
      </c>
      <c r="U281" s="1">
        <f>IF(Table14[[#This Row],[I_0]] &lt; INDEX(Table28[Filtro de ruido],1), 1, Table14[[#This Row],[I_10]] / Table14[[#This Row],[I_0]])</f>
        <v>1</v>
      </c>
      <c r="V281" s="1">
        <f>IF(Table14[[#This Row],[I_0]] &lt; INDEX(Table28[Filtro de ruido],1), 1, Table14[[#This Row],[I_20]] / Table14[[#This Row],[I_0]])</f>
        <v>1</v>
      </c>
      <c r="W281" s="1">
        <f>IF(Table14[[#This Row],[I_0]] &lt; INDEX(Table28[Filtro de ruido],1), 1, Table14[[#This Row],[I_30]] / Table14[[#This Row],[I_0]])</f>
        <v>1</v>
      </c>
      <c r="X281" s="1">
        <f>IF(Table14[[#This Row],[I_0]] &lt; INDEX(Table28[Filtro de ruido],1), 1, Table14[[#This Row],[I_40]] / Table14[[#This Row],[I_0]])</f>
        <v>1</v>
      </c>
      <c r="Y281" s="19">
        <f>IF(Table14[[#This Row],[I_0]] &lt; INDEX(Table28[Filtro de ruido],1), 1, Table14[[#This Row],[I_50]] / Table14[[#This Row],[I_0]])</f>
        <v>1</v>
      </c>
      <c r="AA281" s="1"/>
    </row>
    <row r="282" spans="1:27" x14ac:dyDescent="0.3">
      <c r="A282" s="18">
        <v>347.98</v>
      </c>
      <c r="B282" s="1">
        <v>0</v>
      </c>
      <c r="C282" s="1">
        <v>347.98</v>
      </c>
      <c r="D282" s="1">
        <v>0</v>
      </c>
      <c r="E282" s="1">
        <v>347.98</v>
      </c>
      <c r="F282" s="1">
        <v>0</v>
      </c>
      <c r="G282" s="1">
        <v>347.98</v>
      </c>
      <c r="H282" s="1">
        <v>0</v>
      </c>
      <c r="I282" s="1">
        <v>347.98</v>
      </c>
      <c r="J282" s="1">
        <v>0</v>
      </c>
      <c r="K282" s="1">
        <v>347.98</v>
      </c>
      <c r="L282" s="1">
        <v>0</v>
      </c>
      <c r="M282" s="1">
        <v>347.98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347.98</v>
      </c>
      <c r="U282" s="1">
        <f>IF(Table14[[#This Row],[I_0]] &lt; INDEX(Table28[Filtro de ruido],1), 1, Table14[[#This Row],[I_10]] / Table14[[#This Row],[I_0]])</f>
        <v>1</v>
      </c>
      <c r="V282" s="1">
        <f>IF(Table14[[#This Row],[I_0]] &lt; INDEX(Table28[Filtro de ruido],1), 1, Table14[[#This Row],[I_20]] / Table14[[#This Row],[I_0]])</f>
        <v>1</v>
      </c>
      <c r="W282" s="1">
        <f>IF(Table14[[#This Row],[I_0]] &lt; INDEX(Table28[Filtro de ruido],1), 1, Table14[[#This Row],[I_30]] / Table14[[#This Row],[I_0]])</f>
        <v>1</v>
      </c>
      <c r="X282" s="1">
        <f>IF(Table14[[#This Row],[I_0]] &lt; INDEX(Table28[Filtro de ruido],1), 1, Table14[[#This Row],[I_40]] / Table14[[#This Row],[I_0]])</f>
        <v>1</v>
      </c>
      <c r="Y282" s="19">
        <f>IF(Table14[[#This Row],[I_0]] &lt; INDEX(Table28[Filtro de ruido],1), 1, Table14[[#This Row],[I_50]] / Table14[[#This Row],[I_0]])</f>
        <v>1</v>
      </c>
      <c r="AA282" s="1"/>
    </row>
    <row r="283" spans="1:27" x14ac:dyDescent="0.3">
      <c r="A283" s="18">
        <v>348.97</v>
      </c>
      <c r="B283" s="1">
        <v>0</v>
      </c>
      <c r="C283" s="1">
        <v>348.97</v>
      </c>
      <c r="D283" s="1">
        <v>0</v>
      </c>
      <c r="E283" s="1">
        <v>348.97</v>
      </c>
      <c r="F283" s="1">
        <v>0</v>
      </c>
      <c r="G283" s="1">
        <v>348.97</v>
      </c>
      <c r="H283" s="1">
        <v>0</v>
      </c>
      <c r="I283" s="1">
        <v>348.97</v>
      </c>
      <c r="J283" s="1">
        <v>0</v>
      </c>
      <c r="K283" s="1">
        <v>348.97</v>
      </c>
      <c r="L283" s="1">
        <v>0</v>
      </c>
      <c r="M283" s="1">
        <v>348.97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348.97</v>
      </c>
      <c r="U283" s="1">
        <f>IF(Table14[[#This Row],[I_0]] &lt; INDEX(Table28[Filtro de ruido],1), 1, Table14[[#This Row],[I_10]] / Table14[[#This Row],[I_0]])</f>
        <v>1</v>
      </c>
      <c r="V283" s="1">
        <f>IF(Table14[[#This Row],[I_0]] &lt; INDEX(Table28[Filtro de ruido],1), 1, Table14[[#This Row],[I_20]] / Table14[[#This Row],[I_0]])</f>
        <v>1</v>
      </c>
      <c r="W283" s="1">
        <f>IF(Table14[[#This Row],[I_0]] &lt; INDEX(Table28[Filtro de ruido],1), 1, Table14[[#This Row],[I_30]] / Table14[[#This Row],[I_0]])</f>
        <v>1</v>
      </c>
      <c r="X283" s="1">
        <f>IF(Table14[[#This Row],[I_0]] &lt; INDEX(Table28[Filtro de ruido],1), 1, Table14[[#This Row],[I_40]] / Table14[[#This Row],[I_0]])</f>
        <v>1</v>
      </c>
      <c r="Y283" s="19">
        <f>IF(Table14[[#This Row],[I_0]] &lt; INDEX(Table28[Filtro de ruido],1), 1, Table14[[#This Row],[I_50]] / Table14[[#This Row],[I_0]])</f>
        <v>1</v>
      </c>
      <c r="AA283" s="1"/>
    </row>
    <row r="284" spans="1:27" x14ac:dyDescent="0.3">
      <c r="A284" s="18">
        <v>349.96</v>
      </c>
      <c r="B284" s="1">
        <v>0</v>
      </c>
      <c r="C284" s="1">
        <v>349.96</v>
      </c>
      <c r="D284" s="1">
        <v>0</v>
      </c>
      <c r="E284" s="1">
        <v>349.96</v>
      </c>
      <c r="F284" s="1">
        <v>0</v>
      </c>
      <c r="G284" s="1">
        <v>349.96</v>
      </c>
      <c r="H284" s="1">
        <v>0</v>
      </c>
      <c r="I284" s="1">
        <v>349.96</v>
      </c>
      <c r="J284" s="1">
        <v>0</v>
      </c>
      <c r="K284" s="1">
        <v>349.96</v>
      </c>
      <c r="L284" s="1">
        <v>0</v>
      </c>
      <c r="M284" s="1">
        <v>349.96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349.96</v>
      </c>
      <c r="U284" s="1">
        <f>IF(Table14[[#This Row],[I_0]] &lt; INDEX(Table28[Filtro de ruido],1), 1, Table14[[#This Row],[I_10]] / Table14[[#This Row],[I_0]])</f>
        <v>1</v>
      </c>
      <c r="V284" s="1">
        <f>IF(Table14[[#This Row],[I_0]] &lt; INDEX(Table28[Filtro de ruido],1), 1, Table14[[#This Row],[I_20]] / Table14[[#This Row],[I_0]])</f>
        <v>1</v>
      </c>
      <c r="W284" s="1">
        <f>IF(Table14[[#This Row],[I_0]] &lt; INDEX(Table28[Filtro de ruido],1), 1, Table14[[#This Row],[I_30]] / Table14[[#This Row],[I_0]])</f>
        <v>1</v>
      </c>
      <c r="X284" s="1">
        <f>IF(Table14[[#This Row],[I_0]] &lt; INDEX(Table28[Filtro de ruido],1), 1, Table14[[#This Row],[I_40]] / Table14[[#This Row],[I_0]])</f>
        <v>1</v>
      </c>
      <c r="Y284" s="19">
        <f>IF(Table14[[#This Row],[I_0]] &lt; INDEX(Table28[Filtro de ruido],1), 1, Table14[[#This Row],[I_50]] / Table14[[#This Row],[I_0]])</f>
        <v>1</v>
      </c>
      <c r="AA284" s="1"/>
    </row>
    <row r="285" spans="1:27" x14ac:dyDescent="0.3">
      <c r="A285" s="18">
        <v>350.95</v>
      </c>
      <c r="B285" s="1">
        <v>0</v>
      </c>
      <c r="C285" s="1">
        <v>350.95</v>
      </c>
      <c r="D285" s="1">
        <v>0</v>
      </c>
      <c r="E285" s="1">
        <v>350.95</v>
      </c>
      <c r="F285" s="1">
        <v>0</v>
      </c>
      <c r="G285" s="1">
        <v>350.95</v>
      </c>
      <c r="H285" s="1">
        <v>0</v>
      </c>
      <c r="I285" s="1">
        <v>350.95</v>
      </c>
      <c r="J285" s="1">
        <v>0</v>
      </c>
      <c r="K285" s="1">
        <v>350.95</v>
      </c>
      <c r="L285" s="1">
        <v>0</v>
      </c>
      <c r="M285" s="1">
        <v>350.95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350.95</v>
      </c>
      <c r="U285" s="1">
        <f>IF(Table14[[#This Row],[I_0]] &lt; INDEX(Table28[Filtro de ruido],1), 1, Table14[[#This Row],[I_10]] / Table14[[#This Row],[I_0]])</f>
        <v>1</v>
      </c>
      <c r="V285" s="1">
        <f>IF(Table14[[#This Row],[I_0]] &lt; INDEX(Table28[Filtro de ruido],1), 1, Table14[[#This Row],[I_20]] / Table14[[#This Row],[I_0]])</f>
        <v>1</v>
      </c>
      <c r="W285" s="1">
        <f>IF(Table14[[#This Row],[I_0]] &lt; INDEX(Table28[Filtro de ruido],1), 1, Table14[[#This Row],[I_30]] / Table14[[#This Row],[I_0]])</f>
        <v>1</v>
      </c>
      <c r="X285" s="1">
        <f>IF(Table14[[#This Row],[I_0]] &lt; INDEX(Table28[Filtro de ruido],1), 1, Table14[[#This Row],[I_40]] / Table14[[#This Row],[I_0]])</f>
        <v>1</v>
      </c>
      <c r="Y285" s="19">
        <f>IF(Table14[[#This Row],[I_0]] &lt; INDEX(Table28[Filtro de ruido],1), 1, Table14[[#This Row],[I_50]] / Table14[[#This Row],[I_0]])</f>
        <v>1</v>
      </c>
      <c r="AA285" s="1"/>
    </row>
    <row r="286" spans="1:27" x14ac:dyDescent="0.3">
      <c r="A286" s="18">
        <v>351.94</v>
      </c>
      <c r="B286" s="1">
        <v>0</v>
      </c>
      <c r="C286" s="1">
        <v>351.94</v>
      </c>
      <c r="D286" s="1">
        <v>0</v>
      </c>
      <c r="E286" s="1">
        <v>351.94</v>
      </c>
      <c r="F286" s="1">
        <v>0</v>
      </c>
      <c r="G286" s="1">
        <v>351.94</v>
      </c>
      <c r="H286" s="1">
        <v>0</v>
      </c>
      <c r="I286" s="1">
        <v>351.94</v>
      </c>
      <c r="J286" s="1">
        <v>0</v>
      </c>
      <c r="K286" s="1">
        <v>351.94</v>
      </c>
      <c r="L286" s="1">
        <v>0</v>
      </c>
      <c r="M286" s="1">
        <v>351.94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351.94</v>
      </c>
      <c r="U286" s="1">
        <f>IF(Table14[[#This Row],[I_0]] &lt; INDEX(Table28[Filtro de ruido],1), 1, Table14[[#This Row],[I_10]] / Table14[[#This Row],[I_0]])</f>
        <v>1</v>
      </c>
      <c r="V286" s="1">
        <f>IF(Table14[[#This Row],[I_0]] &lt; INDEX(Table28[Filtro de ruido],1), 1, Table14[[#This Row],[I_20]] / Table14[[#This Row],[I_0]])</f>
        <v>1</v>
      </c>
      <c r="W286" s="1">
        <f>IF(Table14[[#This Row],[I_0]] &lt; INDEX(Table28[Filtro de ruido],1), 1, Table14[[#This Row],[I_30]] / Table14[[#This Row],[I_0]])</f>
        <v>1</v>
      </c>
      <c r="X286" s="1">
        <f>IF(Table14[[#This Row],[I_0]] &lt; INDEX(Table28[Filtro de ruido],1), 1, Table14[[#This Row],[I_40]] / Table14[[#This Row],[I_0]])</f>
        <v>1</v>
      </c>
      <c r="Y286" s="19">
        <f>IF(Table14[[#This Row],[I_0]] &lt; INDEX(Table28[Filtro de ruido],1), 1, Table14[[#This Row],[I_50]] / Table14[[#This Row],[I_0]])</f>
        <v>1</v>
      </c>
      <c r="AA286" s="1"/>
    </row>
    <row r="287" spans="1:27" x14ac:dyDescent="0.3">
      <c r="A287" s="18">
        <v>352.93</v>
      </c>
      <c r="B287" s="1">
        <v>0</v>
      </c>
      <c r="C287" s="1">
        <v>352.93</v>
      </c>
      <c r="D287" s="1">
        <v>0</v>
      </c>
      <c r="E287" s="1">
        <v>352.93</v>
      </c>
      <c r="F287" s="1">
        <v>0</v>
      </c>
      <c r="G287" s="1">
        <v>352.93</v>
      </c>
      <c r="H287" s="1">
        <v>0</v>
      </c>
      <c r="I287" s="1">
        <v>352.93</v>
      </c>
      <c r="J287" s="1">
        <v>0</v>
      </c>
      <c r="K287" s="1">
        <v>352.93</v>
      </c>
      <c r="L287" s="1">
        <v>0</v>
      </c>
      <c r="M287" s="1">
        <v>352.93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352.93</v>
      </c>
      <c r="U287" s="1">
        <f>IF(Table14[[#This Row],[I_0]] &lt; INDEX(Table28[Filtro de ruido],1), 1, Table14[[#This Row],[I_10]] / Table14[[#This Row],[I_0]])</f>
        <v>1</v>
      </c>
      <c r="V287" s="1">
        <f>IF(Table14[[#This Row],[I_0]] &lt; INDEX(Table28[Filtro de ruido],1), 1, Table14[[#This Row],[I_20]] / Table14[[#This Row],[I_0]])</f>
        <v>1</v>
      </c>
      <c r="W287" s="1">
        <f>IF(Table14[[#This Row],[I_0]] &lt; INDEX(Table28[Filtro de ruido],1), 1, Table14[[#This Row],[I_30]] / Table14[[#This Row],[I_0]])</f>
        <v>1</v>
      </c>
      <c r="X287" s="1">
        <f>IF(Table14[[#This Row],[I_0]] &lt; INDEX(Table28[Filtro de ruido],1), 1, Table14[[#This Row],[I_40]] / Table14[[#This Row],[I_0]])</f>
        <v>1</v>
      </c>
      <c r="Y287" s="19">
        <f>IF(Table14[[#This Row],[I_0]] &lt; INDEX(Table28[Filtro de ruido],1), 1, Table14[[#This Row],[I_50]] / Table14[[#This Row],[I_0]])</f>
        <v>1</v>
      </c>
      <c r="AA287" s="1"/>
    </row>
    <row r="288" spans="1:27" x14ac:dyDescent="0.3">
      <c r="A288" s="18">
        <v>353.93</v>
      </c>
      <c r="B288" s="1">
        <v>0</v>
      </c>
      <c r="C288" s="1">
        <v>353.93</v>
      </c>
      <c r="D288" s="1">
        <v>0</v>
      </c>
      <c r="E288" s="1">
        <v>353.93</v>
      </c>
      <c r="F288" s="1">
        <v>0</v>
      </c>
      <c r="G288" s="1">
        <v>353.93</v>
      </c>
      <c r="H288" s="1">
        <v>0</v>
      </c>
      <c r="I288" s="1">
        <v>353.93</v>
      </c>
      <c r="J288" s="1">
        <v>0</v>
      </c>
      <c r="K288" s="1">
        <v>353.93</v>
      </c>
      <c r="L288" s="1">
        <v>0</v>
      </c>
      <c r="M288" s="1">
        <v>353.93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353.93</v>
      </c>
      <c r="U288" s="1">
        <f>IF(Table14[[#This Row],[I_0]] &lt; INDEX(Table28[Filtro de ruido],1), 1, Table14[[#This Row],[I_10]] / Table14[[#This Row],[I_0]])</f>
        <v>1</v>
      </c>
      <c r="V288" s="1">
        <f>IF(Table14[[#This Row],[I_0]] &lt; INDEX(Table28[Filtro de ruido],1), 1, Table14[[#This Row],[I_20]] / Table14[[#This Row],[I_0]])</f>
        <v>1</v>
      </c>
      <c r="W288" s="1">
        <f>IF(Table14[[#This Row],[I_0]] &lt; INDEX(Table28[Filtro de ruido],1), 1, Table14[[#This Row],[I_30]] / Table14[[#This Row],[I_0]])</f>
        <v>1</v>
      </c>
      <c r="X288" s="1">
        <f>IF(Table14[[#This Row],[I_0]] &lt; INDEX(Table28[Filtro de ruido],1), 1, Table14[[#This Row],[I_40]] / Table14[[#This Row],[I_0]])</f>
        <v>1</v>
      </c>
      <c r="Y288" s="19">
        <f>IF(Table14[[#This Row],[I_0]] &lt; INDEX(Table28[Filtro de ruido],1), 1, Table14[[#This Row],[I_50]] / Table14[[#This Row],[I_0]])</f>
        <v>1</v>
      </c>
      <c r="AA288" s="1"/>
    </row>
    <row r="289" spans="1:27" x14ac:dyDescent="0.3">
      <c r="A289" s="18">
        <v>354.92</v>
      </c>
      <c r="B289" s="1">
        <v>0</v>
      </c>
      <c r="C289" s="1">
        <v>354.92</v>
      </c>
      <c r="D289" s="1">
        <v>0</v>
      </c>
      <c r="E289" s="1">
        <v>354.92</v>
      </c>
      <c r="F289" s="1">
        <v>0</v>
      </c>
      <c r="G289" s="1">
        <v>354.92</v>
      </c>
      <c r="H289" s="1">
        <v>0</v>
      </c>
      <c r="I289" s="1">
        <v>354.92</v>
      </c>
      <c r="J289" s="1">
        <v>0</v>
      </c>
      <c r="K289" s="1">
        <v>354.92</v>
      </c>
      <c r="L289" s="1">
        <v>0</v>
      </c>
      <c r="M289" s="1">
        <v>354.92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354.92</v>
      </c>
      <c r="U289" s="1">
        <f>IF(Table14[[#This Row],[I_0]] &lt; INDEX(Table28[Filtro de ruido],1), 1, Table14[[#This Row],[I_10]] / Table14[[#This Row],[I_0]])</f>
        <v>1</v>
      </c>
      <c r="V289" s="1">
        <f>IF(Table14[[#This Row],[I_0]] &lt; INDEX(Table28[Filtro de ruido],1), 1, Table14[[#This Row],[I_20]] / Table14[[#This Row],[I_0]])</f>
        <v>1</v>
      </c>
      <c r="W289" s="1">
        <f>IF(Table14[[#This Row],[I_0]] &lt; INDEX(Table28[Filtro de ruido],1), 1, Table14[[#This Row],[I_30]] / Table14[[#This Row],[I_0]])</f>
        <v>1</v>
      </c>
      <c r="X289" s="1">
        <f>IF(Table14[[#This Row],[I_0]] &lt; INDEX(Table28[Filtro de ruido],1), 1, Table14[[#This Row],[I_40]] / Table14[[#This Row],[I_0]])</f>
        <v>1</v>
      </c>
      <c r="Y289" s="19">
        <f>IF(Table14[[#This Row],[I_0]] &lt; INDEX(Table28[Filtro de ruido],1), 1, Table14[[#This Row],[I_50]] / Table14[[#This Row],[I_0]])</f>
        <v>1</v>
      </c>
      <c r="AA289" s="1"/>
    </row>
    <row r="290" spans="1:27" x14ac:dyDescent="0.3">
      <c r="A290" s="18">
        <v>355.91</v>
      </c>
      <c r="B290" s="1">
        <v>0</v>
      </c>
      <c r="C290" s="1">
        <v>355.91</v>
      </c>
      <c r="D290" s="1">
        <v>0</v>
      </c>
      <c r="E290" s="1">
        <v>355.91</v>
      </c>
      <c r="F290" s="1">
        <v>0</v>
      </c>
      <c r="G290" s="1">
        <v>355.91</v>
      </c>
      <c r="H290" s="1">
        <v>0</v>
      </c>
      <c r="I290" s="1">
        <v>355.91</v>
      </c>
      <c r="J290" s="1">
        <v>0</v>
      </c>
      <c r="K290" s="1">
        <v>355.91</v>
      </c>
      <c r="L290" s="1">
        <v>0</v>
      </c>
      <c r="M290" s="1">
        <v>355.91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355.91</v>
      </c>
      <c r="U290" s="1">
        <f>IF(Table14[[#This Row],[I_0]] &lt; INDEX(Table28[Filtro de ruido],1), 1, Table14[[#This Row],[I_10]] / Table14[[#This Row],[I_0]])</f>
        <v>1</v>
      </c>
      <c r="V290" s="1">
        <f>IF(Table14[[#This Row],[I_0]] &lt; INDEX(Table28[Filtro de ruido],1), 1, Table14[[#This Row],[I_20]] / Table14[[#This Row],[I_0]])</f>
        <v>1</v>
      </c>
      <c r="W290" s="1">
        <f>IF(Table14[[#This Row],[I_0]] &lt; INDEX(Table28[Filtro de ruido],1), 1, Table14[[#This Row],[I_30]] / Table14[[#This Row],[I_0]])</f>
        <v>1</v>
      </c>
      <c r="X290" s="1">
        <f>IF(Table14[[#This Row],[I_0]] &lt; INDEX(Table28[Filtro de ruido],1), 1, Table14[[#This Row],[I_40]] / Table14[[#This Row],[I_0]])</f>
        <v>1</v>
      </c>
      <c r="Y290" s="19">
        <f>IF(Table14[[#This Row],[I_0]] &lt; INDEX(Table28[Filtro de ruido],1), 1, Table14[[#This Row],[I_50]] / Table14[[#This Row],[I_0]])</f>
        <v>1</v>
      </c>
      <c r="AA290" s="1"/>
    </row>
    <row r="291" spans="1:27" x14ac:dyDescent="0.3">
      <c r="A291" s="18">
        <v>356.9</v>
      </c>
      <c r="B291" s="1">
        <v>0</v>
      </c>
      <c r="C291" s="1">
        <v>356.9</v>
      </c>
      <c r="D291" s="1">
        <v>0</v>
      </c>
      <c r="E291" s="1">
        <v>356.9</v>
      </c>
      <c r="F291" s="1">
        <v>0</v>
      </c>
      <c r="G291" s="1">
        <v>356.9</v>
      </c>
      <c r="H291" s="1">
        <v>0</v>
      </c>
      <c r="I291" s="1">
        <v>356.9</v>
      </c>
      <c r="J291" s="1">
        <v>0</v>
      </c>
      <c r="K291" s="1">
        <v>356.9</v>
      </c>
      <c r="L291" s="1">
        <v>0</v>
      </c>
      <c r="M291" s="1">
        <v>356.9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356.9</v>
      </c>
      <c r="U291" s="1">
        <f>IF(Table14[[#This Row],[I_0]] &lt; INDEX(Table28[Filtro de ruido],1), 1, Table14[[#This Row],[I_10]] / Table14[[#This Row],[I_0]])</f>
        <v>1</v>
      </c>
      <c r="V291" s="1">
        <f>IF(Table14[[#This Row],[I_0]] &lt; INDEX(Table28[Filtro de ruido],1), 1, Table14[[#This Row],[I_20]] / Table14[[#This Row],[I_0]])</f>
        <v>1</v>
      </c>
      <c r="W291" s="1">
        <f>IF(Table14[[#This Row],[I_0]] &lt; INDEX(Table28[Filtro de ruido],1), 1, Table14[[#This Row],[I_30]] / Table14[[#This Row],[I_0]])</f>
        <v>1</v>
      </c>
      <c r="X291" s="1">
        <f>IF(Table14[[#This Row],[I_0]] &lt; INDEX(Table28[Filtro de ruido],1), 1, Table14[[#This Row],[I_40]] / Table14[[#This Row],[I_0]])</f>
        <v>1</v>
      </c>
      <c r="Y291" s="19">
        <f>IF(Table14[[#This Row],[I_0]] &lt; INDEX(Table28[Filtro de ruido],1), 1, Table14[[#This Row],[I_50]] / Table14[[#This Row],[I_0]])</f>
        <v>1</v>
      </c>
      <c r="AA291" s="1"/>
    </row>
    <row r="292" spans="1:27" x14ac:dyDescent="0.3">
      <c r="A292" s="18">
        <v>357.89</v>
      </c>
      <c r="B292" s="1">
        <v>0</v>
      </c>
      <c r="C292" s="1">
        <v>357.89</v>
      </c>
      <c r="D292" s="1">
        <v>0</v>
      </c>
      <c r="E292" s="1">
        <v>357.89</v>
      </c>
      <c r="F292" s="1">
        <v>0</v>
      </c>
      <c r="G292" s="1">
        <v>357.89</v>
      </c>
      <c r="H292" s="1">
        <v>0</v>
      </c>
      <c r="I292" s="1">
        <v>357.89</v>
      </c>
      <c r="J292" s="1">
        <v>0</v>
      </c>
      <c r="K292" s="1">
        <v>357.89</v>
      </c>
      <c r="L292" s="1">
        <v>0</v>
      </c>
      <c r="M292" s="1">
        <v>357.89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357.89</v>
      </c>
      <c r="U292" s="1">
        <f>IF(Table14[[#This Row],[I_0]] &lt; INDEX(Table28[Filtro de ruido],1), 1, Table14[[#This Row],[I_10]] / Table14[[#This Row],[I_0]])</f>
        <v>1</v>
      </c>
      <c r="V292" s="1">
        <f>IF(Table14[[#This Row],[I_0]] &lt; INDEX(Table28[Filtro de ruido],1), 1, Table14[[#This Row],[I_20]] / Table14[[#This Row],[I_0]])</f>
        <v>1</v>
      </c>
      <c r="W292" s="1">
        <f>IF(Table14[[#This Row],[I_0]] &lt; INDEX(Table28[Filtro de ruido],1), 1, Table14[[#This Row],[I_30]] / Table14[[#This Row],[I_0]])</f>
        <v>1</v>
      </c>
      <c r="X292" s="1">
        <f>IF(Table14[[#This Row],[I_0]] &lt; INDEX(Table28[Filtro de ruido],1), 1, Table14[[#This Row],[I_40]] / Table14[[#This Row],[I_0]])</f>
        <v>1</v>
      </c>
      <c r="Y292" s="19">
        <f>IF(Table14[[#This Row],[I_0]] &lt; INDEX(Table28[Filtro de ruido],1), 1, Table14[[#This Row],[I_50]] / Table14[[#This Row],[I_0]])</f>
        <v>1</v>
      </c>
      <c r="AA292" s="1"/>
    </row>
    <row r="293" spans="1:27" x14ac:dyDescent="0.3">
      <c r="A293" s="18">
        <v>358.88</v>
      </c>
      <c r="B293" s="1">
        <v>0</v>
      </c>
      <c r="C293" s="1">
        <v>358.88</v>
      </c>
      <c r="D293" s="1">
        <v>0</v>
      </c>
      <c r="E293" s="1">
        <v>358.88</v>
      </c>
      <c r="F293" s="1">
        <v>0</v>
      </c>
      <c r="G293" s="1">
        <v>358.88</v>
      </c>
      <c r="H293" s="1">
        <v>0</v>
      </c>
      <c r="I293" s="1">
        <v>358.88</v>
      </c>
      <c r="J293" s="1">
        <v>0</v>
      </c>
      <c r="K293" s="1">
        <v>358.88</v>
      </c>
      <c r="L293" s="1">
        <v>0</v>
      </c>
      <c r="M293" s="1">
        <v>358.88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358.88</v>
      </c>
      <c r="U293" s="1">
        <f>IF(Table14[[#This Row],[I_0]] &lt; INDEX(Table28[Filtro de ruido],1), 1, Table14[[#This Row],[I_10]] / Table14[[#This Row],[I_0]])</f>
        <v>1</v>
      </c>
      <c r="V293" s="1">
        <f>IF(Table14[[#This Row],[I_0]] &lt; INDEX(Table28[Filtro de ruido],1), 1, Table14[[#This Row],[I_20]] / Table14[[#This Row],[I_0]])</f>
        <v>1</v>
      </c>
      <c r="W293" s="1">
        <f>IF(Table14[[#This Row],[I_0]] &lt; INDEX(Table28[Filtro de ruido],1), 1, Table14[[#This Row],[I_30]] / Table14[[#This Row],[I_0]])</f>
        <v>1</v>
      </c>
      <c r="X293" s="1">
        <f>IF(Table14[[#This Row],[I_0]] &lt; INDEX(Table28[Filtro de ruido],1), 1, Table14[[#This Row],[I_40]] / Table14[[#This Row],[I_0]])</f>
        <v>1</v>
      </c>
      <c r="Y293" s="19">
        <f>IF(Table14[[#This Row],[I_0]] &lt; INDEX(Table28[Filtro de ruido],1), 1, Table14[[#This Row],[I_50]] / Table14[[#This Row],[I_0]])</f>
        <v>1</v>
      </c>
      <c r="AA293" s="1"/>
    </row>
    <row r="294" spans="1:27" x14ac:dyDescent="0.3">
      <c r="A294" s="18">
        <v>359.88</v>
      </c>
      <c r="B294" s="1">
        <v>0</v>
      </c>
      <c r="C294" s="1">
        <v>359.88</v>
      </c>
      <c r="D294" s="1">
        <v>0</v>
      </c>
      <c r="E294" s="1">
        <v>359.88</v>
      </c>
      <c r="F294" s="1">
        <v>0</v>
      </c>
      <c r="G294" s="1">
        <v>359.88</v>
      </c>
      <c r="H294" s="1">
        <v>0</v>
      </c>
      <c r="I294" s="1">
        <v>359.88</v>
      </c>
      <c r="J294" s="1">
        <v>0</v>
      </c>
      <c r="K294" s="1">
        <v>359.88</v>
      </c>
      <c r="L294" s="1">
        <v>0</v>
      </c>
      <c r="M294" s="1">
        <v>359.88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359.88</v>
      </c>
      <c r="U294" s="1">
        <f>IF(Table14[[#This Row],[I_0]] &lt; INDEX(Table28[Filtro de ruido],1), 1, Table14[[#This Row],[I_10]] / Table14[[#This Row],[I_0]])</f>
        <v>1</v>
      </c>
      <c r="V294" s="1">
        <f>IF(Table14[[#This Row],[I_0]] &lt; INDEX(Table28[Filtro de ruido],1), 1, Table14[[#This Row],[I_20]] / Table14[[#This Row],[I_0]])</f>
        <v>1</v>
      </c>
      <c r="W294" s="1">
        <f>IF(Table14[[#This Row],[I_0]] &lt; INDEX(Table28[Filtro de ruido],1), 1, Table14[[#This Row],[I_30]] / Table14[[#This Row],[I_0]])</f>
        <v>1</v>
      </c>
      <c r="X294" s="1">
        <f>IF(Table14[[#This Row],[I_0]] &lt; INDEX(Table28[Filtro de ruido],1), 1, Table14[[#This Row],[I_40]] / Table14[[#This Row],[I_0]])</f>
        <v>1</v>
      </c>
      <c r="Y294" s="19">
        <f>IF(Table14[[#This Row],[I_0]] &lt; INDEX(Table28[Filtro de ruido],1), 1, Table14[[#This Row],[I_50]] / Table14[[#This Row],[I_0]])</f>
        <v>1</v>
      </c>
      <c r="AA294" s="1"/>
    </row>
    <row r="295" spans="1:27" x14ac:dyDescent="0.3">
      <c r="A295" s="18">
        <v>360.87</v>
      </c>
      <c r="B295" s="1">
        <v>0</v>
      </c>
      <c r="C295" s="1">
        <v>360.87</v>
      </c>
      <c r="D295" s="1">
        <v>0</v>
      </c>
      <c r="E295" s="1">
        <v>360.87</v>
      </c>
      <c r="F295" s="1">
        <v>0</v>
      </c>
      <c r="G295" s="1">
        <v>360.87</v>
      </c>
      <c r="H295" s="1">
        <v>0</v>
      </c>
      <c r="I295" s="1">
        <v>360.87</v>
      </c>
      <c r="J295" s="1">
        <v>0</v>
      </c>
      <c r="K295" s="1">
        <v>360.87</v>
      </c>
      <c r="L295" s="1">
        <v>0</v>
      </c>
      <c r="M295" s="1">
        <v>360.87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360.87</v>
      </c>
      <c r="U295" s="1">
        <f>IF(Table14[[#This Row],[I_0]] &lt; INDEX(Table28[Filtro de ruido],1), 1, Table14[[#This Row],[I_10]] / Table14[[#This Row],[I_0]])</f>
        <v>1</v>
      </c>
      <c r="V295" s="1">
        <f>IF(Table14[[#This Row],[I_0]] &lt; INDEX(Table28[Filtro de ruido],1), 1, Table14[[#This Row],[I_20]] / Table14[[#This Row],[I_0]])</f>
        <v>1</v>
      </c>
      <c r="W295" s="1">
        <f>IF(Table14[[#This Row],[I_0]] &lt; INDEX(Table28[Filtro de ruido],1), 1, Table14[[#This Row],[I_30]] / Table14[[#This Row],[I_0]])</f>
        <v>1</v>
      </c>
      <c r="X295" s="1">
        <f>IF(Table14[[#This Row],[I_0]] &lt; INDEX(Table28[Filtro de ruido],1), 1, Table14[[#This Row],[I_40]] / Table14[[#This Row],[I_0]])</f>
        <v>1</v>
      </c>
      <c r="Y295" s="19">
        <f>IF(Table14[[#This Row],[I_0]] &lt; INDEX(Table28[Filtro de ruido],1), 1, Table14[[#This Row],[I_50]] / Table14[[#This Row],[I_0]])</f>
        <v>1</v>
      </c>
      <c r="AA295" s="1"/>
    </row>
    <row r="296" spans="1:27" x14ac:dyDescent="0.3">
      <c r="A296" s="18">
        <v>361.86</v>
      </c>
      <c r="B296" s="1">
        <v>0</v>
      </c>
      <c r="C296" s="1">
        <v>361.86</v>
      </c>
      <c r="D296" s="1">
        <v>0</v>
      </c>
      <c r="E296" s="1">
        <v>361.86</v>
      </c>
      <c r="F296" s="1">
        <v>0</v>
      </c>
      <c r="G296" s="1">
        <v>361.86</v>
      </c>
      <c r="H296" s="1">
        <v>0</v>
      </c>
      <c r="I296" s="1">
        <v>361.86</v>
      </c>
      <c r="J296" s="1">
        <v>0</v>
      </c>
      <c r="K296" s="1">
        <v>361.86</v>
      </c>
      <c r="L296" s="1">
        <v>0</v>
      </c>
      <c r="M296" s="1">
        <v>361.86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361.86</v>
      </c>
      <c r="U296" s="1">
        <f>IF(Table14[[#This Row],[I_0]] &lt; INDEX(Table28[Filtro de ruido],1), 1, Table14[[#This Row],[I_10]] / Table14[[#This Row],[I_0]])</f>
        <v>1</v>
      </c>
      <c r="V296" s="1">
        <f>IF(Table14[[#This Row],[I_0]] &lt; INDEX(Table28[Filtro de ruido],1), 1, Table14[[#This Row],[I_20]] / Table14[[#This Row],[I_0]])</f>
        <v>1</v>
      </c>
      <c r="W296" s="1">
        <f>IF(Table14[[#This Row],[I_0]] &lt; INDEX(Table28[Filtro de ruido],1), 1, Table14[[#This Row],[I_30]] / Table14[[#This Row],[I_0]])</f>
        <v>1</v>
      </c>
      <c r="X296" s="1">
        <f>IF(Table14[[#This Row],[I_0]] &lt; INDEX(Table28[Filtro de ruido],1), 1, Table14[[#This Row],[I_40]] / Table14[[#This Row],[I_0]])</f>
        <v>1</v>
      </c>
      <c r="Y296" s="19">
        <f>IF(Table14[[#This Row],[I_0]] &lt; INDEX(Table28[Filtro de ruido],1), 1, Table14[[#This Row],[I_50]] / Table14[[#This Row],[I_0]])</f>
        <v>1</v>
      </c>
      <c r="AA296" s="1"/>
    </row>
    <row r="297" spans="1:27" x14ac:dyDescent="0.3">
      <c r="A297" s="18">
        <v>362.85</v>
      </c>
      <c r="B297" s="1">
        <v>0</v>
      </c>
      <c r="C297" s="1">
        <v>362.85</v>
      </c>
      <c r="D297" s="1">
        <v>0</v>
      </c>
      <c r="E297" s="1">
        <v>362.85</v>
      </c>
      <c r="F297" s="1">
        <v>0</v>
      </c>
      <c r="G297" s="1">
        <v>362.85</v>
      </c>
      <c r="H297" s="1">
        <v>0</v>
      </c>
      <c r="I297" s="1">
        <v>362.85</v>
      </c>
      <c r="J297" s="1">
        <v>0</v>
      </c>
      <c r="K297" s="1">
        <v>362.85</v>
      </c>
      <c r="L297" s="1">
        <v>0</v>
      </c>
      <c r="M297" s="1">
        <v>362.85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362.85</v>
      </c>
      <c r="U297" s="1">
        <f>IF(Table14[[#This Row],[I_0]] &lt; INDEX(Table28[Filtro de ruido],1), 1, Table14[[#This Row],[I_10]] / Table14[[#This Row],[I_0]])</f>
        <v>1</v>
      </c>
      <c r="V297" s="1">
        <f>IF(Table14[[#This Row],[I_0]] &lt; INDEX(Table28[Filtro de ruido],1), 1, Table14[[#This Row],[I_20]] / Table14[[#This Row],[I_0]])</f>
        <v>1</v>
      </c>
      <c r="W297" s="1">
        <f>IF(Table14[[#This Row],[I_0]] &lt; INDEX(Table28[Filtro de ruido],1), 1, Table14[[#This Row],[I_30]] / Table14[[#This Row],[I_0]])</f>
        <v>1</v>
      </c>
      <c r="X297" s="1">
        <f>IF(Table14[[#This Row],[I_0]] &lt; INDEX(Table28[Filtro de ruido],1), 1, Table14[[#This Row],[I_40]] / Table14[[#This Row],[I_0]])</f>
        <v>1</v>
      </c>
      <c r="Y297" s="19">
        <f>IF(Table14[[#This Row],[I_0]] &lt; INDEX(Table28[Filtro de ruido],1), 1, Table14[[#This Row],[I_50]] / Table14[[#This Row],[I_0]])</f>
        <v>1</v>
      </c>
      <c r="AA297" s="1"/>
    </row>
    <row r="298" spans="1:27" x14ac:dyDescent="0.3">
      <c r="A298" s="18">
        <v>363.84</v>
      </c>
      <c r="B298" s="1">
        <v>0</v>
      </c>
      <c r="C298" s="1">
        <v>363.84</v>
      </c>
      <c r="D298" s="1">
        <v>0</v>
      </c>
      <c r="E298" s="1">
        <v>363.84</v>
      </c>
      <c r="F298" s="1">
        <v>0</v>
      </c>
      <c r="G298" s="1">
        <v>363.84</v>
      </c>
      <c r="H298" s="1">
        <v>0</v>
      </c>
      <c r="I298" s="1">
        <v>363.84</v>
      </c>
      <c r="J298" s="1">
        <v>0</v>
      </c>
      <c r="K298" s="1">
        <v>363.84</v>
      </c>
      <c r="L298" s="1">
        <v>0</v>
      </c>
      <c r="M298" s="1">
        <v>363.84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363.84</v>
      </c>
      <c r="U298" s="1">
        <f>IF(Table14[[#This Row],[I_0]] &lt; INDEX(Table28[Filtro de ruido],1), 1, Table14[[#This Row],[I_10]] / Table14[[#This Row],[I_0]])</f>
        <v>1</v>
      </c>
      <c r="V298" s="1">
        <f>IF(Table14[[#This Row],[I_0]] &lt; INDEX(Table28[Filtro de ruido],1), 1, Table14[[#This Row],[I_20]] / Table14[[#This Row],[I_0]])</f>
        <v>1</v>
      </c>
      <c r="W298" s="1">
        <f>IF(Table14[[#This Row],[I_0]] &lt; INDEX(Table28[Filtro de ruido],1), 1, Table14[[#This Row],[I_30]] / Table14[[#This Row],[I_0]])</f>
        <v>1</v>
      </c>
      <c r="X298" s="1">
        <f>IF(Table14[[#This Row],[I_0]] &lt; INDEX(Table28[Filtro de ruido],1), 1, Table14[[#This Row],[I_40]] / Table14[[#This Row],[I_0]])</f>
        <v>1</v>
      </c>
      <c r="Y298" s="19">
        <f>IF(Table14[[#This Row],[I_0]] &lt; INDEX(Table28[Filtro de ruido],1), 1, Table14[[#This Row],[I_50]] / Table14[[#This Row],[I_0]])</f>
        <v>1</v>
      </c>
      <c r="AA298" s="1"/>
    </row>
    <row r="299" spans="1:27" x14ac:dyDescent="0.3">
      <c r="A299" s="18">
        <v>364.84</v>
      </c>
      <c r="B299" s="1">
        <v>0</v>
      </c>
      <c r="C299" s="1">
        <v>364.84</v>
      </c>
      <c r="D299" s="1">
        <v>0</v>
      </c>
      <c r="E299" s="1">
        <v>364.84</v>
      </c>
      <c r="F299" s="1">
        <v>0</v>
      </c>
      <c r="G299" s="1">
        <v>364.84</v>
      </c>
      <c r="H299" s="1">
        <v>0</v>
      </c>
      <c r="I299" s="1">
        <v>364.84</v>
      </c>
      <c r="J299" s="1">
        <v>0</v>
      </c>
      <c r="K299" s="1">
        <v>364.84</v>
      </c>
      <c r="L299" s="1">
        <v>0</v>
      </c>
      <c r="M299" s="1">
        <v>364.84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364.84</v>
      </c>
      <c r="U299" s="1">
        <f>IF(Table14[[#This Row],[I_0]] &lt; INDEX(Table28[Filtro de ruido],1), 1, Table14[[#This Row],[I_10]] / Table14[[#This Row],[I_0]])</f>
        <v>1</v>
      </c>
      <c r="V299" s="1">
        <f>IF(Table14[[#This Row],[I_0]] &lt; INDEX(Table28[Filtro de ruido],1), 1, Table14[[#This Row],[I_20]] / Table14[[#This Row],[I_0]])</f>
        <v>1</v>
      </c>
      <c r="W299" s="1">
        <f>IF(Table14[[#This Row],[I_0]] &lt; INDEX(Table28[Filtro de ruido],1), 1, Table14[[#This Row],[I_30]] / Table14[[#This Row],[I_0]])</f>
        <v>1</v>
      </c>
      <c r="X299" s="1">
        <f>IF(Table14[[#This Row],[I_0]] &lt; INDEX(Table28[Filtro de ruido],1), 1, Table14[[#This Row],[I_40]] / Table14[[#This Row],[I_0]])</f>
        <v>1</v>
      </c>
      <c r="Y299" s="19">
        <f>IF(Table14[[#This Row],[I_0]] &lt; INDEX(Table28[Filtro de ruido],1), 1, Table14[[#This Row],[I_50]] / Table14[[#This Row],[I_0]])</f>
        <v>1</v>
      </c>
      <c r="AA299" s="1"/>
    </row>
    <row r="300" spans="1:27" x14ac:dyDescent="0.3">
      <c r="A300" s="18">
        <v>365.83</v>
      </c>
      <c r="B300" s="1">
        <v>0</v>
      </c>
      <c r="C300" s="1">
        <v>365.83</v>
      </c>
      <c r="D300" s="1">
        <v>0</v>
      </c>
      <c r="E300" s="1">
        <v>365.83</v>
      </c>
      <c r="F300" s="1">
        <v>0</v>
      </c>
      <c r="G300" s="1">
        <v>365.83</v>
      </c>
      <c r="H300" s="1">
        <v>0</v>
      </c>
      <c r="I300" s="1">
        <v>365.83</v>
      </c>
      <c r="J300" s="1">
        <v>0</v>
      </c>
      <c r="K300" s="1">
        <v>365.83</v>
      </c>
      <c r="L300" s="1">
        <v>0</v>
      </c>
      <c r="M300" s="1">
        <v>365.83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365.83</v>
      </c>
      <c r="U300" s="1">
        <f>IF(Table14[[#This Row],[I_0]] &lt; INDEX(Table28[Filtro de ruido],1), 1, Table14[[#This Row],[I_10]] / Table14[[#This Row],[I_0]])</f>
        <v>1</v>
      </c>
      <c r="V300" s="1">
        <f>IF(Table14[[#This Row],[I_0]] &lt; INDEX(Table28[Filtro de ruido],1), 1, Table14[[#This Row],[I_20]] / Table14[[#This Row],[I_0]])</f>
        <v>1</v>
      </c>
      <c r="W300" s="1">
        <f>IF(Table14[[#This Row],[I_0]] &lt; INDEX(Table28[Filtro de ruido],1), 1, Table14[[#This Row],[I_30]] / Table14[[#This Row],[I_0]])</f>
        <v>1</v>
      </c>
      <c r="X300" s="1">
        <f>IF(Table14[[#This Row],[I_0]] &lt; INDEX(Table28[Filtro de ruido],1), 1, Table14[[#This Row],[I_40]] / Table14[[#This Row],[I_0]])</f>
        <v>1</v>
      </c>
      <c r="Y300" s="19">
        <f>IF(Table14[[#This Row],[I_0]] &lt; INDEX(Table28[Filtro de ruido],1), 1, Table14[[#This Row],[I_50]] / Table14[[#This Row],[I_0]])</f>
        <v>1</v>
      </c>
      <c r="AA300" s="1"/>
    </row>
    <row r="301" spans="1:27" x14ac:dyDescent="0.3">
      <c r="A301" s="18">
        <v>366.82</v>
      </c>
      <c r="B301" s="1">
        <v>0</v>
      </c>
      <c r="C301" s="1">
        <v>366.82</v>
      </c>
      <c r="D301" s="1">
        <v>0</v>
      </c>
      <c r="E301" s="1">
        <v>366.82</v>
      </c>
      <c r="F301" s="1">
        <v>0</v>
      </c>
      <c r="G301" s="1">
        <v>366.82</v>
      </c>
      <c r="H301" s="1">
        <v>0</v>
      </c>
      <c r="I301" s="1">
        <v>366.82</v>
      </c>
      <c r="J301" s="1">
        <v>0</v>
      </c>
      <c r="K301" s="1">
        <v>366.82</v>
      </c>
      <c r="L301" s="1">
        <v>0</v>
      </c>
      <c r="M301" s="1">
        <v>366.82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366.82</v>
      </c>
      <c r="U301" s="1">
        <f>IF(Table14[[#This Row],[I_0]] &lt; INDEX(Table28[Filtro de ruido],1), 1, Table14[[#This Row],[I_10]] / Table14[[#This Row],[I_0]])</f>
        <v>1</v>
      </c>
      <c r="V301" s="1">
        <f>IF(Table14[[#This Row],[I_0]] &lt; INDEX(Table28[Filtro de ruido],1), 1, Table14[[#This Row],[I_20]] / Table14[[#This Row],[I_0]])</f>
        <v>1</v>
      </c>
      <c r="W301" s="1">
        <f>IF(Table14[[#This Row],[I_0]] &lt; INDEX(Table28[Filtro de ruido],1), 1, Table14[[#This Row],[I_30]] / Table14[[#This Row],[I_0]])</f>
        <v>1</v>
      </c>
      <c r="X301" s="1">
        <f>IF(Table14[[#This Row],[I_0]] &lt; INDEX(Table28[Filtro de ruido],1), 1, Table14[[#This Row],[I_40]] / Table14[[#This Row],[I_0]])</f>
        <v>1</v>
      </c>
      <c r="Y301" s="19">
        <f>IF(Table14[[#This Row],[I_0]] &lt; INDEX(Table28[Filtro de ruido],1), 1, Table14[[#This Row],[I_50]] / Table14[[#This Row],[I_0]])</f>
        <v>1</v>
      </c>
      <c r="AA301" s="1"/>
    </row>
    <row r="302" spans="1:27" x14ac:dyDescent="0.3">
      <c r="A302" s="18">
        <v>367.81</v>
      </c>
      <c r="B302" s="1">
        <v>0</v>
      </c>
      <c r="C302" s="1">
        <v>367.81</v>
      </c>
      <c r="D302" s="1">
        <v>0</v>
      </c>
      <c r="E302" s="1">
        <v>367.81</v>
      </c>
      <c r="F302" s="1">
        <v>0</v>
      </c>
      <c r="G302" s="1">
        <v>367.81</v>
      </c>
      <c r="H302" s="1">
        <v>0</v>
      </c>
      <c r="I302" s="1">
        <v>367.81</v>
      </c>
      <c r="J302" s="1">
        <v>0</v>
      </c>
      <c r="K302" s="1">
        <v>367.81</v>
      </c>
      <c r="L302" s="1">
        <v>0</v>
      </c>
      <c r="M302" s="1">
        <v>367.81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367.81</v>
      </c>
      <c r="U302" s="1">
        <f>IF(Table14[[#This Row],[I_0]] &lt; INDEX(Table28[Filtro de ruido],1), 1, Table14[[#This Row],[I_10]] / Table14[[#This Row],[I_0]])</f>
        <v>1</v>
      </c>
      <c r="V302" s="1">
        <f>IF(Table14[[#This Row],[I_0]] &lt; INDEX(Table28[Filtro de ruido],1), 1, Table14[[#This Row],[I_20]] / Table14[[#This Row],[I_0]])</f>
        <v>1</v>
      </c>
      <c r="W302" s="1">
        <f>IF(Table14[[#This Row],[I_0]] &lt; INDEX(Table28[Filtro de ruido],1), 1, Table14[[#This Row],[I_30]] / Table14[[#This Row],[I_0]])</f>
        <v>1</v>
      </c>
      <c r="X302" s="1">
        <f>IF(Table14[[#This Row],[I_0]] &lt; INDEX(Table28[Filtro de ruido],1), 1, Table14[[#This Row],[I_40]] / Table14[[#This Row],[I_0]])</f>
        <v>1</v>
      </c>
      <c r="Y302" s="19">
        <f>IF(Table14[[#This Row],[I_0]] &lt; INDEX(Table28[Filtro de ruido],1), 1, Table14[[#This Row],[I_50]] / Table14[[#This Row],[I_0]])</f>
        <v>1</v>
      </c>
      <c r="AA302" s="1"/>
    </row>
    <row r="303" spans="1:27" x14ac:dyDescent="0.3">
      <c r="A303" s="18">
        <v>368.8</v>
      </c>
      <c r="B303" s="1">
        <v>0</v>
      </c>
      <c r="C303" s="1">
        <v>368.8</v>
      </c>
      <c r="D303" s="1">
        <v>0</v>
      </c>
      <c r="E303" s="1">
        <v>368.8</v>
      </c>
      <c r="F303" s="1">
        <v>0</v>
      </c>
      <c r="G303" s="1">
        <v>368.8</v>
      </c>
      <c r="H303" s="1">
        <v>0</v>
      </c>
      <c r="I303" s="1">
        <v>368.8</v>
      </c>
      <c r="J303" s="1">
        <v>0</v>
      </c>
      <c r="K303" s="1">
        <v>368.8</v>
      </c>
      <c r="L303" s="1">
        <v>0</v>
      </c>
      <c r="M303" s="1">
        <v>368.8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368.8</v>
      </c>
      <c r="U303" s="1">
        <f>IF(Table14[[#This Row],[I_0]] &lt; INDEX(Table28[Filtro de ruido],1), 1, Table14[[#This Row],[I_10]] / Table14[[#This Row],[I_0]])</f>
        <v>1</v>
      </c>
      <c r="V303" s="1">
        <f>IF(Table14[[#This Row],[I_0]] &lt; INDEX(Table28[Filtro de ruido],1), 1, Table14[[#This Row],[I_20]] / Table14[[#This Row],[I_0]])</f>
        <v>1</v>
      </c>
      <c r="W303" s="1">
        <f>IF(Table14[[#This Row],[I_0]] &lt; INDEX(Table28[Filtro de ruido],1), 1, Table14[[#This Row],[I_30]] / Table14[[#This Row],[I_0]])</f>
        <v>1</v>
      </c>
      <c r="X303" s="1">
        <f>IF(Table14[[#This Row],[I_0]] &lt; INDEX(Table28[Filtro de ruido],1), 1, Table14[[#This Row],[I_40]] / Table14[[#This Row],[I_0]])</f>
        <v>1</v>
      </c>
      <c r="Y303" s="19">
        <f>IF(Table14[[#This Row],[I_0]] &lt; INDEX(Table28[Filtro de ruido],1), 1, Table14[[#This Row],[I_50]] / Table14[[#This Row],[I_0]])</f>
        <v>1</v>
      </c>
      <c r="AA303" s="1"/>
    </row>
    <row r="304" spans="1:27" x14ac:dyDescent="0.3">
      <c r="A304" s="18">
        <v>369.79</v>
      </c>
      <c r="B304" s="1">
        <v>0</v>
      </c>
      <c r="C304" s="1">
        <v>369.79</v>
      </c>
      <c r="D304" s="1">
        <v>0</v>
      </c>
      <c r="E304" s="1">
        <v>369.79</v>
      </c>
      <c r="F304" s="1">
        <v>0</v>
      </c>
      <c r="G304" s="1">
        <v>369.79</v>
      </c>
      <c r="H304" s="1">
        <v>0</v>
      </c>
      <c r="I304" s="1">
        <v>369.79</v>
      </c>
      <c r="J304" s="1">
        <v>0</v>
      </c>
      <c r="K304" s="1">
        <v>369.79</v>
      </c>
      <c r="L304" s="1">
        <v>0</v>
      </c>
      <c r="M304" s="1">
        <v>369.79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369.79</v>
      </c>
      <c r="U304" s="1">
        <f>IF(Table14[[#This Row],[I_0]] &lt; INDEX(Table28[Filtro de ruido],1), 1, Table14[[#This Row],[I_10]] / Table14[[#This Row],[I_0]])</f>
        <v>1</v>
      </c>
      <c r="V304" s="1">
        <f>IF(Table14[[#This Row],[I_0]] &lt; INDEX(Table28[Filtro de ruido],1), 1, Table14[[#This Row],[I_20]] / Table14[[#This Row],[I_0]])</f>
        <v>1</v>
      </c>
      <c r="W304" s="1">
        <f>IF(Table14[[#This Row],[I_0]] &lt; INDEX(Table28[Filtro de ruido],1), 1, Table14[[#This Row],[I_30]] / Table14[[#This Row],[I_0]])</f>
        <v>1</v>
      </c>
      <c r="X304" s="1">
        <f>IF(Table14[[#This Row],[I_0]] &lt; INDEX(Table28[Filtro de ruido],1), 1, Table14[[#This Row],[I_40]] / Table14[[#This Row],[I_0]])</f>
        <v>1</v>
      </c>
      <c r="Y304" s="19">
        <f>IF(Table14[[#This Row],[I_0]] &lt; INDEX(Table28[Filtro de ruido],1), 1, Table14[[#This Row],[I_50]] / Table14[[#This Row],[I_0]])</f>
        <v>1</v>
      </c>
      <c r="AA304" s="1"/>
    </row>
    <row r="305" spans="1:27" x14ac:dyDescent="0.3">
      <c r="A305" s="18">
        <v>370.79</v>
      </c>
      <c r="B305" s="1">
        <v>0</v>
      </c>
      <c r="C305" s="1">
        <v>370.79</v>
      </c>
      <c r="D305" s="1">
        <v>0</v>
      </c>
      <c r="E305" s="1">
        <v>370.79</v>
      </c>
      <c r="F305" s="1">
        <v>0</v>
      </c>
      <c r="G305" s="1">
        <v>370.79</v>
      </c>
      <c r="H305" s="1">
        <v>0</v>
      </c>
      <c r="I305" s="1">
        <v>370.79</v>
      </c>
      <c r="J305" s="1">
        <v>0</v>
      </c>
      <c r="K305" s="1">
        <v>370.79</v>
      </c>
      <c r="L305" s="1">
        <v>0</v>
      </c>
      <c r="M305" s="1">
        <v>370.79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370.79</v>
      </c>
      <c r="U305" s="1">
        <f>IF(Table14[[#This Row],[I_0]] &lt; INDEX(Table28[Filtro de ruido],1), 1, Table14[[#This Row],[I_10]] / Table14[[#This Row],[I_0]])</f>
        <v>1</v>
      </c>
      <c r="V305" s="1">
        <f>IF(Table14[[#This Row],[I_0]] &lt; INDEX(Table28[Filtro de ruido],1), 1, Table14[[#This Row],[I_20]] / Table14[[#This Row],[I_0]])</f>
        <v>1</v>
      </c>
      <c r="W305" s="1">
        <f>IF(Table14[[#This Row],[I_0]] &lt; INDEX(Table28[Filtro de ruido],1), 1, Table14[[#This Row],[I_30]] / Table14[[#This Row],[I_0]])</f>
        <v>1</v>
      </c>
      <c r="X305" s="1">
        <f>IF(Table14[[#This Row],[I_0]] &lt; INDEX(Table28[Filtro de ruido],1), 1, Table14[[#This Row],[I_40]] / Table14[[#This Row],[I_0]])</f>
        <v>1</v>
      </c>
      <c r="Y305" s="19">
        <f>IF(Table14[[#This Row],[I_0]] &lt; INDEX(Table28[Filtro de ruido],1), 1, Table14[[#This Row],[I_50]] / Table14[[#This Row],[I_0]])</f>
        <v>1</v>
      </c>
      <c r="AA305" s="1"/>
    </row>
    <row r="306" spans="1:27" x14ac:dyDescent="0.3">
      <c r="A306" s="18">
        <v>371.78</v>
      </c>
      <c r="B306" s="1">
        <v>0</v>
      </c>
      <c r="C306" s="1">
        <v>371.78</v>
      </c>
      <c r="D306" s="1">
        <v>0</v>
      </c>
      <c r="E306" s="1">
        <v>371.78</v>
      </c>
      <c r="F306" s="1">
        <v>0</v>
      </c>
      <c r="G306" s="1">
        <v>371.78</v>
      </c>
      <c r="H306" s="1">
        <v>0</v>
      </c>
      <c r="I306" s="1">
        <v>371.78</v>
      </c>
      <c r="J306" s="1">
        <v>0</v>
      </c>
      <c r="K306" s="1">
        <v>371.78</v>
      </c>
      <c r="L306" s="1">
        <v>0</v>
      </c>
      <c r="M306" s="1">
        <v>371.78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371.78</v>
      </c>
      <c r="U306" s="1">
        <f>IF(Table14[[#This Row],[I_0]] &lt; INDEX(Table28[Filtro de ruido],1), 1, Table14[[#This Row],[I_10]] / Table14[[#This Row],[I_0]])</f>
        <v>1</v>
      </c>
      <c r="V306" s="1">
        <f>IF(Table14[[#This Row],[I_0]] &lt; INDEX(Table28[Filtro de ruido],1), 1, Table14[[#This Row],[I_20]] / Table14[[#This Row],[I_0]])</f>
        <v>1</v>
      </c>
      <c r="W306" s="1">
        <f>IF(Table14[[#This Row],[I_0]] &lt; INDEX(Table28[Filtro de ruido],1), 1, Table14[[#This Row],[I_30]] / Table14[[#This Row],[I_0]])</f>
        <v>1</v>
      </c>
      <c r="X306" s="1">
        <f>IF(Table14[[#This Row],[I_0]] &lt; INDEX(Table28[Filtro de ruido],1), 1, Table14[[#This Row],[I_40]] / Table14[[#This Row],[I_0]])</f>
        <v>1</v>
      </c>
      <c r="Y306" s="19">
        <f>IF(Table14[[#This Row],[I_0]] &lt; INDEX(Table28[Filtro de ruido],1), 1, Table14[[#This Row],[I_50]] / Table14[[#This Row],[I_0]])</f>
        <v>1</v>
      </c>
      <c r="AA306" s="1"/>
    </row>
    <row r="307" spans="1:27" x14ac:dyDescent="0.3">
      <c r="A307" s="18">
        <v>372.77</v>
      </c>
      <c r="B307" s="1">
        <v>0</v>
      </c>
      <c r="C307" s="1">
        <v>372.77</v>
      </c>
      <c r="D307" s="1">
        <v>0</v>
      </c>
      <c r="E307" s="1">
        <v>372.77</v>
      </c>
      <c r="F307" s="1">
        <v>0</v>
      </c>
      <c r="G307" s="1">
        <v>372.77</v>
      </c>
      <c r="H307" s="1">
        <v>0</v>
      </c>
      <c r="I307" s="1">
        <v>372.77</v>
      </c>
      <c r="J307" s="1">
        <v>0</v>
      </c>
      <c r="K307" s="1">
        <v>372.77</v>
      </c>
      <c r="L307" s="1">
        <v>0</v>
      </c>
      <c r="M307" s="1">
        <v>372.77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372.77</v>
      </c>
      <c r="U307" s="1">
        <f>IF(Table14[[#This Row],[I_0]] &lt; INDEX(Table28[Filtro de ruido],1), 1, Table14[[#This Row],[I_10]] / Table14[[#This Row],[I_0]])</f>
        <v>1</v>
      </c>
      <c r="V307" s="1">
        <f>IF(Table14[[#This Row],[I_0]] &lt; INDEX(Table28[Filtro de ruido],1), 1, Table14[[#This Row],[I_20]] / Table14[[#This Row],[I_0]])</f>
        <v>1</v>
      </c>
      <c r="W307" s="1">
        <f>IF(Table14[[#This Row],[I_0]] &lt; INDEX(Table28[Filtro de ruido],1), 1, Table14[[#This Row],[I_30]] / Table14[[#This Row],[I_0]])</f>
        <v>1</v>
      </c>
      <c r="X307" s="1">
        <f>IF(Table14[[#This Row],[I_0]] &lt; INDEX(Table28[Filtro de ruido],1), 1, Table14[[#This Row],[I_40]] / Table14[[#This Row],[I_0]])</f>
        <v>1</v>
      </c>
      <c r="Y307" s="19">
        <f>IF(Table14[[#This Row],[I_0]] &lt; INDEX(Table28[Filtro de ruido],1), 1, Table14[[#This Row],[I_50]] / Table14[[#This Row],[I_0]])</f>
        <v>1</v>
      </c>
      <c r="AA307" s="1"/>
    </row>
    <row r="308" spans="1:27" x14ac:dyDescent="0.3">
      <c r="A308" s="18">
        <v>373.76</v>
      </c>
      <c r="B308" s="1">
        <v>0</v>
      </c>
      <c r="C308" s="1">
        <v>373.76</v>
      </c>
      <c r="D308" s="1">
        <v>0</v>
      </c>
      <c r="E308" s="1">
        <v>373.76</v>
      </c>
      <c r="F308" s="1">
        <v>0</v>
      </c>
      <c r="G308" s="1">
        <v>373.76</v>
      </c>
      <c r="H308" s="1">
        <v>0</v>
      </c>
      <c r="I308" s="1">
        <v>373.76</v>
      </c>
      <c r="J308" s="1">
        <v>0</v>
      </c>
      <c r="K308" s="1">
        <v>373.76</v>
      </c>
      <c r="L308" s="1">
        <v>0</v>
      </c>
      <c r="M308" s="1">
        <v>373.76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373.76</v>
      </c>
      <c r="U308" s="1">
        <f>IF(Table14[[#This Row],[I_0]] &lt; INDEX(Table28[Filtro de ruido],1), 1, Table14[[#This Row],[I_10]] / Table14[[#This Row],[I_0]])</f>
        <v>1</v>
      </c>
      <c r="V308" s="1">
        <f>IF(Table14[[#This Row],[I_0]] &lt; INDEX(Table28[Filtro de ruido],1), 1, Table14[[#This Row],[I_20]] / Table14[[#This Row],[I_0]])</f>
        <v>1</v>
      </c>
      <c r="W308" s="1">
        <f>IF(Table14[[#This Row],[I_0]] &lt; INDEX(Table28[Filtro de ruido],1), 1, Table14[[#This Row],[I_30]] / Table14[[#This Row],[I_0]])</f>
        <v>1</v>
      </c>
      <c r="X308" s="1">
        <f>IF(Table14[[#This Row],[I_0]] &lt; INDEX(Table28[Filtro de ruido],1), 1, Table14[[#This Row],[I_40]] / Table14[[#This Row],[I_0]])</f>
        <v>1</v>
      </c>
      <c r="Y308" s="19">
        <f>IF(Table14[[#This Row],[I_0]] &lt; INDEX(Table28[Filtro de ruido],1), 1, Table14[[#This Row],[I_50]] / Table14[[#This Row],[I_0]])</f>
        <v>1</v>
      </c>
      <c r="AA308" s="1"/>
    </row>
    <row r="309" spans="1:27" x14ac:dyDescent="0.3">
      <c r="A309" s="18">
        <v>374.75</v>
      </c>
      <c r="B309" s="1">
        <v>0</v>
      </c>
      <c r="C309" s="1">
        <v>374.75</v>
      </c>
      <c r="D309" s="1">
        <v>0</v>
      </c>
      <c r="E309" s="1">
        <v>374.75</v>
      </c>
      <c r="F309" s="1">
        <v>0</v>
      </c>
      <c r="G309" s="1">
        <v>374.75</v>
      </c>
      <c r="H309" s="1">
        <v>0</v>
      </c>
      <c r="I309" s="1">
        <v>374.75</v>
      </c>
      <c r="J309" s="1">
        <v>0</v>
      </c>
      <c r="K309" s="1">
        <v>374.75</v>
      </c>
      <c r="L309" s="1">
        <v>0</v>
      </c>
      <c r="M309" s="1">
        <v>374.75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374.75</v>
      </c>
      <c r="U309" s="1">
        <f>IF(Table14[[#This Row],[I_0]] &lt; INDEX(Table28[Filtro de ruido],1), 1, Table14[[#This Row],[I_10]] / Table14[[#This Row],[I_0]])</f>
        <v>1</v>
      </c>
      <c r="V309" s="1">
        <f>IF(Table14[[#This Row],[I_0]] &lt; INDEX(Table28[Filtro de ruido],1), 1, Table14[[#This Row],[I_20]] / Table14[[#This Row],[I_0]])</f>
        <v>1</v>
      </c>
      <c r="W309" s="1">
        <f>IF(Table14[[#This Row],[I_0]] &lt; INDEX(Table28[Filtro de ruido],1), 1, Table14[[#This Row],[I_30]] / Table14[[#This Row],[I_0]])</f>
        <v>1</v>
      </c>
      <c r="X309" s="1">
        <f>IF(Table14[[#This Row],[I_0]] &lt; INDEX(Table28[Filtro de ruido],1), 1, Table14[[#This Row],[I_40]] / Table14[[#This Row],[I_0]])</f>
        <v>1</v>
      </c>
      <c r="Y309" s="19">
        <f>IF(Table14[[#This Row],[I_0]] &lt; INDEX(Table28[Filtro de ruido],1), 1, Table14[[#This Row],[I_50]] / Table14[[#This Row],[I_0]])</f>
        <v>1</v>
      </c>
      <c r="AA309" s="1"/>
    </row>
    <row r="310" spans="1:27" x14ac:dyDescent="0.3">
      <c r="A310" s="18">
        <v>375.74</v>
      </c>
      <c r="B310" s="1">
        <v>0</v>
      </c>
      <c r="C310" s="1">
        <v>375.74</v>
      </c>
      <c r="D310" s="1">
        <v>0</v>
      </c>
      <c r="E310" s="1">
        <v>375.74</v>
      </c>
      <c r="F310" s="1">
        <v>0</v>
      </c>
      <c r="G310" s="1">
        <v>375.74</v>
      </c>
      <c r="H310" s="1">
        <v>0</v>
      </c>
      <c r="I310" s="1">
        <v>375.74</v>
      </c>
      <c r="J310" s="1">
        <v>0</v>
      </c>
      <c r="K310" s="1">
        <v>375.74</v>
      </c>
      <c r="L310" s="1">
        <v>0</v>
      </c>
      <c r="M310" s="1">
        <v>375.74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375.74</v>
      </c>
      <c r="U310" s="1">
        <f>IF(Table14[[#This Row],[I_0]] &lt; INDEX(Table28[Filtro de ruido],1), 1, Table14[[#This Row],[I_10]] / Table14[[#This Row],[I_0]])</f>
        <v>1</v>
      </c>
      <c r="V310" s="1">
        <f>IF(Table14[[#This Row],[I_0]] &lt; INDEX(Table28[Filtro de ruido],1), 1, Table14[[#This Row],[I_20]] / Table14[[#This Row],[I_0]])</f>
        <v>1</v>
      </c>
      <c r="W310" s="1">
        <f>IF(Table14[[#This Row],[I_0]] &lt; INDEX(Table28[Filtro de ruido],1), 1, Table14[[#This Row],[I_30]] / Table14[[#This Row],[I_0]])</f>
        <v>1</v>
      </c>
      <c r="X310" s="1">
        <f>IF(Table14[[#This Row],[I_0]] &lt; INDEX(Table28[Filtro de ruido],1), 1, Table14[[#This Row],[I_40]] / Table14[[#This Row],[I_0]])</f>
        <v>1</v>
      </c>
      <c r="Y310" s="19">
        <f>IF(Table14[[#This Row],[I_0]] &lt; INDEX(Table28[Filtro de ruido],1), 1, Table14[[#This Row],[I_50]] / Table14[[#This Row],[I_0]])</f>
        <v>1</v>
      </c>
      <c r="AA310" s="1"/>
    </row>
    <row r="311" spans="1:27" x14ac:dyDescent="0.3">
      <c r="A311" s="18">
        <v>376.74</v>
      </c>
      <c r="B311" s="1">
        <v>0</v>
      </c>
      <c r="C311" s="1">
        <v>376.74</v>
      </c>
      <c r="D311" s="1">
        <v>0</v>
      </c>
      <c r="E311" s="1">
        <v>376.74</v>
      </c>
      <c r="F311" s="1">
        <v>0</v>
      </c>
      <c r="G311" s="1">
        <v>376.74</v>
      </c>
      <c r="H311" s="1">
        <v>0</v>
      </c>
      <c r="I311" s="1">
        <v>376.74</v>
      </c>
      <c r="J311" s="1">
        <v>0</v>
      </c>
      <c r="K311" s="1">
        <v>376.74</v>
      </c>
      <c r="L311" s="1">
        <v>0</v>
      </c>
      <c r="M311" s="1">
        <v>376.74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376.74</v>
      </c>
      <c r="U311" s="1">
        <f>IF(Table14[[#This Row],[I_0]] &lt; INDEX(Table28[Filtro de ruido],1), 1, Table14[[#This Row],[I_10]] / Table14[[#This Row],[I_0]])</f>
        <v>1</v>
      </c>
      <c r="V311" s="1">
        <f>IF(Table14[[#This Row],[I_0]] &lt; INDEX(Table28[Filtro de ruido],1), 1, Table14[[#This Row],[I_20]] / Table14[[#This Row],[I_0]])</f>
        <v>1</v>
      </c>
      <c r="W311" s="1">
        <f>IF(Table14[[#This Row],[I_0]] &lt; INDEX(Table28[Filtro de ruido],1), 1, Table14[[#This Row],[I_30]] / Table14[[#This Row],[I_0]])</f>
        <v>1</v>
      </c>
      <c r="X311" s="1">
        <f>IF(Table14[[#This Row],[I_0]] &lt; INDEX(Table28[Filtro de ruido],1), 1, Table14[[#This Row],[I_40]] / Table14[[#This Row],[I_0]])</f>
        <v>1</v>
      </c>
      <c r="Y311" s="19">
        <f>IF(Table14[[#This Row],[I_0]] &lt; INDEX(Table28[Filtro de ruido],1), 1, Table14[[#This Row],[I_50]] / Table14[[#This Row],[I_0]])</f>
        <v>1</v>
      </c>
      <c r="AA311" s="1"/>
    </row>
    <row r="312" spans="1:27" x14ac:dyDescent="0.3">
      <c r="A312" s="18">
        <v>377.73</v>
      </c>
      <c r="B312" s="1">
        <v>0</v>
      </c>
      <c r="C312" s="1">
        <v>377.73</v>
      </c>
      <c r="D312" s="1">
        <v>0</v>
      </c>
      <c r="E312" s="1">
        <v>377.73</v>
      </c>
      <c r="F312" s="1">
        <v>0</v>
      </c>
      <c r="G312" s="1">
        <v>377.73</v>
      </c>
      <c r="H312" s="1">
        <v>0</v>
      </c>
      <c r="I312" s="1">
        <v>377.73</v>
      </c>
      <c r="J312" s="1">
        <v>0</v>
      </c>
      <c r="K312" s="1">
        <v>377.73</v>
      </c>
      <c r="L312" s="1">
        <v>0</v>
      </c>
      <c r="M312" s="1">
        <v>377.73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377.73</v>
      </c>
      <c r="U312" s="1">
        <f>IF(Table14[[#This Row],[I_0]] &lt; INDEX(Table28[Filtro de ruido],1), 1, Table14[[#This Row],[I_10]] / Table14[[#This Row],[I_0]])</f>
        <v>1</v>
      </c>
      <c r="V312" s="1">
        <f>IF(Table14[[#This Row],[I_0]] &lt; INDEX(Table28[Filtro de ruido],1), 1, Table14[[#This Row],[I_20]] / Table14[[#This Row],[I_0]])</f>
        <v>1</v>
      </c>
      <c r="W312" s="1">
        <f>IF(Table14[[#This Row],[I_0]] &lt; INDEX(Table28[Filtro de ruido],1), 1, Table14[[#This Row],[I_30]] / Table14[[#This Row],[I_0]])</f>
        <v>1</v>
      </c>
      <c r="X312" s="1">
        <f>IF(Table14[[#This Row],[I_0]] &lt; INDEX(Table28[Filtro de ruido],1), 1, Table14[[#This Row],[I_40]] / Table14[[#This Row],[I_0]])</f>
        <v>1</v>
      </c>
      <c r="Y312" s="19">
        <f>IF(Table14[[#This Row],[I_0]] &lt; INDEX(Table28[Filtro de ruido],1), 1, Table14[[#This Row],[I_50]] / Table14[[#This Row],[I_0]])</f>
        <v>1</v>
      </c>
      <c r="AA312" s="1"/>
    </row>
    <row r="313" spans="1:27" x14ac:dyDescent="0.3">
      <c r="A313" s="18">
        <v>378.72</v>
      </c>
      <c r="B313" s="1">
        <v>0</v>
      </c>
      <c r="C313" s="1">
        <v>378.72</v>
      </c>
      <c r="D313" s="1">
        <v>0</v>
      </c>
      <c r="E313" s="1">
        <v>378.72</v>
      </c>
      <c r="F313" s="1">
        <v>0</v>
      </c>
      <c r="G313" s="1">
        <v>378.72</v>
      </c>
      <c r="H313" s="1">
        <v>0</v>
      </c>
      <c r="I313" s="1">
        <v>378.72</v>
      </c>
      <c r="J313" s="1">
        <v>0</v>
      </c>
      <c r="K313" s="1">
        <v>378.72</v>
      </c>
      <c r="L313" s="1">
        <v>0</v>
      </c>
      <c r="M313" s="1">
        <v>378.72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378.72</v>
      </c>
      <c r="U313" s="1">
        <f>IF(Table14[[#This Row],[I_0]] &lt; INDEX(Table28[Filtro de ruido],1), 1, Table14[[#This Row],[I_10]] / Table14[[#This Row],[I_0]])</f>
        <v>1</v>
      </c>
      <c r="V313" s="1">
        <f>IF(Table14[[#This Row],[I_0]] &lt; INDEX(Table28[Filtro de ruido],1), 1, Table14[[#This Row],[I_20]] / Table14[[#This Row],[I_0]])</f>
        <v>1</v>
      </c>
      <c r="W313" s="1">
        <f>IF(Table14[[#This Row],[I_0]] &lt; INDEX(Table28[Filtro de ruido],1), 1, Table14[[#This Row],[I_30]] / Table14[[#This Row],[I_0]])</f>
        <v>1</v>
      </c>
      <c r="X313" s="1">
        <f>IF(Table14[[#This Row],[I_0]] &lt; INDEX(Table28[Filtro de ruido],1), 1, Table14[[#This Row],[I_40]] / Table14[[#This Row],[I_0]])</f>
        <v>1</v>
      </c>
      <c r="Y313" s="19">
        <f>IF(Table14[[#This Row],[I_0]] &lt; INDEX(Table28[Filtro de ruido],1), 1, Table14[[#This Row],[I_50]] / Table14[[#This Row],[I_0]])</f>
        <v>1</v>
      </c>
      <c r="AA313" s="1"/>
    </row>
    <row r="314" spans="1:27" x14ac:dyDescent="0.3">
      <c r="A314" s="18">
        <v>379.71</v>
      </c>
      <c r="B314" s="1">
        <v>0</v>
      </c>
      <c r="C314" s="1">
        <v>379.71</v>
      </c>
      <c r="D314" s="1">
        <v>0</v>
      </c>
      <c r="E314" s="1">
        <v>379.71</v>
      </c>
      <c r="F314" s="1">
        <v>0</v>
      </c>
      <c r="G314" s="1">
        <v>379.71</v>
      </c>
      <c r="H314" s="1">
        <v>0</v>
      </c>
      <c r="I314" s="1">
        <v>379.71</v>
      </c>
      <c r="J314" s="1">
        <v>0</v>
      </c>
      <c r="K314" s="1">
        <v>379.71</v>
      </c>
      <c r="L314" s="1">
        <v>0</v>
      </c>
      <c r="M314" s="1">
        <v>379.71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379.71</v>
      </c>
      <c r="U314" s="1">
        <f>IF(Table14[[#This Row],[I_0]] &lt; INDEX(Table28[Filtro de ruido],1), 1, Table14[[#This Row],[I_10]] / Table14[[#This Row],[I_0]])</f>
        <v>1</v>
      </c>
      <c r="V314" s="1">
        <f>IF(Table14[[#This Row],[I_0]] &lt; INDEX(Table28[Filtro de ruido],1), 1, Table14[[#This Row],[I_20]] / Table14[[#This Row],[I_0]])</f>
        <v>1</v>
      </c>
      <c r="W314" s="1">
        <f>IF(Table14[[#This Row],[I_0]] &lt; INDEX(Table28[Filtro de ruido],1), 1, Table14[[#This Row],[I_30]] / Table14[[#This Row],[I_0]])</f>
        <v>1</v>
      </c>
      <c r="X314" s="1">
        <f>IF(Table14[[#This Row],[I_0]] &lt; INDEX(Table28[Filtro de ruido],1), 1, Table14[[#This Row],[I_40]] / Table14[[#This Row],[I_0]])</f>
        <v>1</v>
      </c>
      <c r="Y314" s="19">
        <f>IF(Table14[[#This Row],[I_0]] &lt; INDEX(Table28[Filtro de ruido],1), 1, Table14[[#This Row],[I_50]] / Table14[[#This Row],[I_0]])</f>
        <v>1</v>
      </c>
      <c r="AA314" s="1"/>
    </row>
    <row r="315" spans="1:27" x14ac:dyDescent="0.3">
      <c r="A315" s="18">
        <v>380.7</v>
      </c>
      <c r="B315" s="1">
        <v>0</v>
      </c>
      <c r="C315" s="1">
        <v>380.7</v>
      </c>
      <c r="D315" s="1">
        <v>0</v>
      </c>
      <c r="E315" s="1">
        <v>380.7</v>
      </c>
      <c r="F315" s="1">
        <v>0</v>
      </c>
      <c r="G315" s="1">
        <v>380.7</v>
      </c>
      <c r="H315" s="1">
        <v>0</v>
      </c>
      <c r="I315" s="1">
        <v>380.7</v>
      </c>
      <c r="J315" s="1">
        <v>0</v>
      </c>
      <c r="K315" s="1">
        <v>380.7</v>
      </c>
      <c r="L315" s="1">
        <v>0</v>
      </c>
      <c r="M315" s="1">
        <v>380.7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380.7</v>
      </c>
      <c r="U315" s="1">
        <f>IF(Table14[[#This Row],[I_0]] &lt; INDEX(Table28[Filtro de ruido],1), 1, Table14[[#This Row],[I_10]] / Table14[[#This Row],[I_0]])</f>
        <v>1</v>
      </c>
      <c r="V315" s="1">
        <f>IF(Table14[[#This Row],[I_0]] &lt; INDEX(Table28[Filtro de ruido],1), 1, Table14[[#This Row],[I_20]] / Table14[[#This Row],[I_0]])</f>
        <v>1</v>
      </c>
      <c r="W315" s="1">
        <f>IF(Table14[[#This Row],[I_0]] &lt; INDEX(Table28[Filtro de ruido],1), 1, Table14[[#This Row],[I_30]] / Table14[[#This Row],[I_0]])</f>
        <v>1</v>
      </c>
      <c r="X315" s="1">
        <f>IF(Table14[[#This Row],[I_0]] &lt; INDEX(Table28[Filtro de ruido],1), 1, Table14[[#This Row],[I_40]] / Table14[[#This Row],[I_0]])</f>
        <v>1</v>
      </c>
      <c r="Y315" s="19">
        <f>IF(Table14[[#This Row],[I_0]] &lt; INDEX(Table28[Filtro de ruido],1), 1, Table14[[#This Row],[I_50]] / Table14[[#This Row],[I_0]])</f>
        <v>1</v>
      </c>
      <c r="AA315" s="1"/>
    </row>
    <row r="316" spans="1:27" x14ac:dyDescent="0.3">
      <c r="A316" s="18">
        <v>381.7</v>
      </c>
      <c r="B316" s="1">
        <v>0</v>
      </c>
      <c r="C316" s="1">
        <v>381.7</v>
      </c>
      <c r="D316" s="1">
        <v>0</v>
      </c>
      <c r="E316" s="1">
        <v>381.7</v>
      </c>
      <c r="F316" s="1">
        <v>0</v>
      </c>
      <c r="G316" s="1">
        <v>381.7</v>
      </c>
      <c r="H316" s="1">
        <v>0</v>
      </c>
      <c r="I316" s="1">
        <v>381.7</v>
      </c>
      <c r="J316" s="1">
        <v>0</v>
      </c>
      <c r="K316" s="1">
        <v>381.7</v>
      </c>
      <c r="L316" s="1">
        <v>0</v>
      </c>
      <c r="M316" s="1">
        <v>381.7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381.7</v>
      </c>
      <c r="U316" s="1">
        <f>IF(Table14[[#This Row],[I_0]] &lt; INDEX(Table28[Filtro de ruido],1), 1, Table14[[#This Row],[I_10]] / Table14[[#This Row],[I_0]])</f>
        <v>1</v>
      </c>
      <c r="V316" s="1">
        <f>IF(Table14[[#This Row],[I_0]] &lt; INDEX(Table28[Filtro de ruido],1), 1, Table14[[#This Row],[I_20]] / Table14[[#This Row],[I_0]])</f>
        <v>1</v>
      </c>
      <c r="W316" s="1">
        <f>IF(Table14[[#This Row],[I_0]] &lt; INDEX(Table28[Filtro de ruido],1), 1, Table14[[#This Row],[I_30]] / Table14[[#This Row],[I_0]])</f>
        <v>1</v>
      </c>
      <c r="X316" s="1">
        <f>IF(Table14[[#This Row],[I_0]] &lt; INDEX(Table28[Filtro de ruido],1), 1, Table14[[#This Row],[I_40]] / Table14[[#This Row],[I_0]])</f>
        <v>1</v>
      </c>
      <c r="Y316" s="19">
        <f>IF(Table14[[#This Row],[I_0]] &lt; INDEX(Table28[Filtro de ruido],1), 1, Table14[[#This Row],[I_50]] / Table14[[#This Row],[I_0]])</f>
        <v>1</v>
      </c>
      <c r="AA316" s="1"/>
    </row>
    <row r="317" spans="1:27" x14ac:dyDescent="0.3">
      <c r="A317" s="18">
        <v>382.69</v>
      </c>
      <c r="B317" s="1">
        <v>0</v>
      </c>
      <c r="C317" s="1">
        <v>382.69</v>
      </c>
      <c r="D317" s="1">
        <v>0</v>
      </c>
      <c r="E317" s="1">
        <v>382.69</v>
      </c>
      <c r="F317" s="1">
        <v>0</v>
      </c>
      <c r="G317" s="1">
        <v>382.69</v>
      </c>
      <c r="H317" s="1">
        <v>0</v>
      </c>
      <c r="I317" s="1">
        <v>382.69</v>
      </c>
      <c r="J317" s="1">
        <v>0</v>
      </c>
      <c r="K317" s="1">
        <v>382.69</v>
      </c>
      <c r="L317" s="1">
        <v>0</v>
      </c>
      <c r="M317" s="1">
        <v>382.69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382.69</v>
      </c>
      <c r="U317" s="1">
        <f>IF(Table14[[#This Row],[I_0]] &lt; INDEX(Table28[Filtro de ruido],1), 1, Table14[[#This Row],[I_10]] / Table14[[#This Row],[I_0]])</f>
        <v>1</v>
      </c>
      <c r="V317" s="1">
        <f>IF(Table14[[#This Row],[I_0]] &lt; INDEX(Table28[Filtro de ruido],1), 1, Table14[[#This Row],[I_20]] / Table14[[#This Row],[I_0]])</f>
        <v>1</v>
      </c>
      <c r="W317" s="1">
        <f>IF(Table14[[#This Row],[I_0]] &lt; INDEX(Table28[Filtro de ruido],1), 1, Table14[[#This Row],[I_30]] / Table14[[#This Row],[I_0]])</f>
        <v>1</v>
      </c>
      <c r="X317" s="1">
        <f>IF(Table14[[#This Row],[I_0]] &lt; INDEX(Table28[Filtro de ruido],1), 1, Table14[[#This Row],[I_40]] / Table14[[#This Row],[I_0]])</f>
        <v>1</v>
      </c>
      <c r="Y317" s="19">
        <f>IF(Table14[[#This Row],[I_0]] &lt; INDEX(Table28[Filtro de ruido],1), 1, Table14[[#This Row],[I_50]] / Table14[[#This Row],[I_0]])</f>
        <v>1</v>
      </c>
      <c r="AA317" s="1"/>
    </row>
    <row r="318" spans="1:27" x14ac:dyDescent="0.3">
      <c r="A318" s="18">
        <v>383.68</v>
      </c>
      <c r="B318" s="1">
        <v>0</v>
      </c>
      <c r="C318" s="1">
        <v>383.68</v>
      </c>
      <c r="D318" s="1">
        <v>0</v>
      </c>
      <c r="E318" s="1">
        <v>383.68</v>
      </c>
      <c r="F318" s="1">
        <v>0</v>
      </c>
      <c r="G318" s="1">
        <v>383.68</v>
      </c>
      <c r="H318" s="1">
        <v>0</v>
      </c>
      <c r="I318" s="1">
        <v>383.68</v>
      </c>
      <c r="J318" s="1">
        <v>0</v>
      </c>
      <c r="K318" s="1">
        <v>383.68</v>
      </c>
      <c r="L318" s="1">
        <v>0</v>
      </c>
      <c r="M318" s="1">
        <v>383.68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383.68</v>
      </c>
      <c r="U318" s="1">
        <f>IF(Table14[[#This Row],[I_0]] &lt; INDEX(Table28[Filtro de ruido],1), 1, Table14[[#This Row],[I_10]] / Table14[[#This Row],[I_0]])</f>
        <v>1</v>
      </c>
      <c r="V318" s="1">
        <f>IF(Table14[[#This Row],[I_0]] &lt; INDEX(Table28[Filtro de ruido],1), 1, Table14[[#This Row],[I_20]] / Table14[[#This Row],[I_0]])</f>
        <v>1</v>
      </c>
      <c r="W318" s="1">
        <f>IF(Table14[[#This Row],[I_0]] &lt; INDEX(Table28[Filtro de ruido],1), 1, Table14[[#This Row],[I_30]] / Table14[[#This Row],[I_0]])</f>
        <v>1</v>
      </c>
      <c r="X318" s="1">
        <f>IF(Table14[[#This Row],[I_0]] &lt; INDEX(Table28[Filtro de ruido],1), 1, Table14[[#This Row],[I_40]] / Table14[[#This Row],[I_0]])</f>
        <v>1</v>
      </c>
      <c r="Y318" s="19">
        <f>IF(Table14[[#This Row],[I_0]] &lt; INDEX(Table28[Filtro de ruido],1), 1, Table14[[#This Row],[I_50]] / Table14[[#This Row],[I_0]])</f>
        <v>1</v>
      </c>
      <c r="AA318" s="1"/>
    </row>
    <row r="319" spans="1:27" x14ac:dyDescent="0.3">
      <c r="A319" s="18">
        <v>384.67</v>
      </c>
      <c r="B319" s="1">
        <v>0</v>
      </c>
      <c r="C319" s="1">
        <v>384.67</v>
      </c>
      <c r="D319" s="1">
        <v>0</v>
      </c>
      <c r="E319" s="1">
        <v>384.67</v>
      </c>
      <c r="F319" s="1">
        <v>0</v>
      </c>
      <c r="G319" s="1">
        <v>384.67</v>
      </c>
      <c r="H319" s="1">
        <v>0</v>
      </c>
      <c r="I319" s="1">
        <v>384.67</v>
      </c>
      <c r="J319" s="1">
        <v>0</v>
      </c>
      <c r="K319" s="1">
        <v>384.67</v>
      </c>
      <c r="L319" s="1">
        <v>0</v>
      </c>
      <c r="M319" s="1">
        <v>384.67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384.67</v>
      </c>
      <c r="U319" s="1">
        <f>IF(Table14[[#This Row],[I_0]] &lt; INDEX(Table28[Filtro de ruido],1), 1, Table14[[#This Row],[I_10]] / Table14[[#This Row],[I_0]])</f>
        <v>1</v>
      </c>
      <c r="V319" s="1">
        <f>IF(Table14[[#This Row],[I_0]] &lt; INDEX(Table28[Filtro de ruido],1), 1, Table14[[#This Row],[I_20]] / Table14[[#This Row],[I_0]])</f>
        <v>1</v>
      </c>
      <c r="W319" s="1">
        <f>IF(Table14[[#This Row],[I_0]] &lt; INDEX(Table28[Filtro de ruido],1), 1, Table14[[#This Row],[I_30]] / Table14[[#This Row],[I_0]])</f>
        <v>1</v>
      </c>
      <c r="X319" s="1">
        <f>IF(Table14[[#This Row],[I_0]] &lt; INDEX(Table28[Filtro de ruido],1), 1, Table14[[#This Row],[I_40]] / Table14[[#This Row],[I_0]])</f>
        <v>1</v>
      </c>
      <c r="Y319" s="19">
        <f>IF(Table14[[#This Row],[I_0]] &lt; INDEX(Table28[Filtro de ruido],1), 1, Table14[[#This Row],[I_50]] / Table14[[#This Row],[I_0]])</f>
        <v>1</v>
      </c>
      <c r="AA319" s="1"/>
    </row>
    <row r="320" spans="1:27" x14ac:dyDescent="0.3">
      <c r="A320" s="18">
        <v>385.66</v>
      </c>
      <c r="B320" s="1">
        <v>0</v>
      </c>
      <c r="C320" s="1">
        <v>385.66</v>
      </c>
      <c r="D320" s="1">
        <v>0</v>
      </c>
      <c r="E320" s="1">
        <v>385.66</v>
      </c>
      <c r="F320" s="1">
        <v>0</v>
      </c>
      <c r="G320" s="1">
        <v>385.66</v>
      </c>
      <c r="H320" s="1">
        <v>0</v>
      </c>
      <c r="I320" s="1">
        <v>385.66</v>
      </c>
      <c r="J320" s="1">
        <v>0</v>
      </c>
      <c r="K320" s="1">
        <v>385.66</v>
      </c>
      <c r="L320" s="1">
        <v>0</v>
      </c>
      <c r="M320" s="1">
        <v>385.66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385.66</v>
      </c>
      <c r="U320" s="1">
        <f>IF(Table14[[#This Row],[I_0]] &lt; INDEX(Table28[Filtro de ruido],1), 1, Table14[[#This Row],[I_10]] / Table14[[#This Row],[I_0]])</f>
        <v>1</v>
      </c>
      <c r="V320" s="1">
        <f>IF(Table14[[#This Row],[I_0]] &lt; INDEX(Table28[Filtro de ruido],1), 1, Table14[[#This Row],[I_20]] / Table14[[#This Row],[I_0]])</f>
        <v>1</v>
      </c>
      <c r="W320" s="1">
        <f>IF(Table14[[#This Row],[I_0]] &lt; INDEX(Table28[Filtro de ruido],1), 1, Table14[[#This Row],[I_30]] / Table14[[#This Row],[I_0]])</f>
        <v>1</v>
      </c>
      <c r="X320" s="1">
        <f>IF(Table14[[#This Row],[I_0]] &lt; INDEX(Table28[Filtro de ruido],1), 1, Table14[[#This Row],[I_40]] / Table14[[#This Row],[I_0]])</f>
        <v>1</v>
      </c>
      <c r="Y320" s="19">
        <f>IF(Table14[[#This Row],[I_0]] &lt; INDEX(Table28[Filtro de ruido],1), 1, Table14[[#This Row],[I_50]] / Table14[[#This Row],[I_0]])</f>
        <v>1</v>
      </c>
      <c r="AA320" s="1"/>
    </row>
    <row r="321" spans="1:27" x14ac:dyDescent="0.3">
      <c r="A321" s="18">
        <v>386.65</v>
      </c>
      <c r="B321" s="1">
        <v>0</v>
      </c>
      <c r="C321" s="1">
        <v>386.65</v>
      </c>
      <c r="D321" s="1">
        <v>0</v>
      </c>
      <c r="E321" s="1">
        <v>386.65</v>
      </c>
      <c r="F321" s="1">
        <v>0</v>
      </c>
      <c r="G321" s="1">
        <v>386.65</v>
      </c>
      <c r="H321" s="1">
        <v>0</v>
      </c>
      <c r="I321" s="1">
        <v>386.65</v>
      </c>
      <c r="J321" s="1">
        <v>0</v>
      </c>
      <c r="K321" s="1">
        <v>386.65</v>
      </c>
      <c r="L321" s="1">
        <v>0</v>
      </c>
      <c r="M321" s="1">
        <v>386.65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386.65</v>
      </c>
      <c r="U321" s="1">
        <f>IF(Table14[[#This Row],[I_0]] &lt; INDEX(Table28[Filtro de ruido],1), 1, Table14[[#This Row],[I_10]] / Table14[[#This Row],[I_0]])</f>
        <v>1</v>
      </c>
      <c r="V321" s="1">
        <f>IF(Table14[[#This Row],[I_0]] &lt; INDEX(Table28[Filtro de ruido],1), 1, Table14[[#This Row],[I_20]] / Table14[[#This Row],[I_0]])</f>
        <v>1</v>
      </c>
      <c r="W321" s="1">
        <f>IF(Table14[[#This Row],[I_0]] &lt; INDEX(Table28[Filtro de ruido],1), 1, Table14[[#This Row],[I_30]] / Table14[[#This Row],[I_0]])</f>
        <v>1</v>
      </c>
      <c r="X321" s="1">
        <f>IF(Table14[[#This Row],[I_0]] &lt; INDEX(Table28[Filtro de ruido],1), 1, Table14[[#This Row],[I_40]] / Table14[[#This Row],[I_0]])</f>
        <v>1</v>
      </c>
      <c r="Y321" s="19">
        <f>IF(Table14[[#This Row],[I_0]] &lt; INDEX(Table28[Filtro de ruido],1), 1, Table14[[#This Row],[I_50]] / Table14[[#This Row],[I_0]])</f>
        <v>1</v>
      </c>
      <c r="AA321" s="1"/>
    </row>
    <row r="322" spans="1:27" x14ac:dyDescent="0.3">
      <c r="A322" s="18">
        <v>387.65</v>
      </c>
      <c r="B322" s="1">
        <v>0</v>
      </c>
      <c r="C322" s="1">
        <v>387.65</v>
      </c>
      <c r="D322" s="1">
        <v>0</v>
      </c>
      <c r="E322" s="1">
        <v>387.65</v>
      </c>
      <c r="F322" s="1">
        <v>0</v>
      </c>
      <c r="G322" s="1">
        <v>387.65</v>
      </c>
      <c r="H322" s="1">
        <v>0</v>
      </c>
      <c r="I322" s="1">
        <v>387.65</v>
      </c>
      <c r="J322" s="1">
        <v>0</v>
      </c>
      <c r="K322" s="1">
        <v>387.65</v>
      </c>
      <c r="L322" s="1">
        <v>0</v>
      </c>
      <c r="M322" s="1">
        <v>387.65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387.65</v>
      </c>
      <c r="U322" s="1">
        <f>IF(Table14[[#This Row],[I_0]] &lt; INDEX(Table28[Filtro de ruido],1), 1, Table14[[#This Row],[I_10]] / Table14[[#This Row],[I_0]])</f>
        <v>1</v>
      </c>
      <c r="V322" s="1">
        <f>IF(Table14[[#This Row],[I_0]] &lt; INDEX(Table28[Filtro de ruido],1), 1, Table14[[#This Row],[I_20]] / Table14[[#This Row],[I_0]])</f>
        <v>1</v>
      </c>
      <c r="W322" s="1">
        <f>IF(Table14[[#This Row],[I_0]] &lt; INDEX(Table28[Filtro de ruido],1), 1, Table14[[#This Row],[I_30]] / Table14[[#This Row],[I_0]])</f>
        <v>1</v>
      </c>
      <c r="X322" s="1">
        <f>IF(Table14[[#This Row],[I_0]] &lt; INDEX(Table28[Filtro de ruido],1), 1, Table14[[#This Row],[I_40]] / Table14[[#This Row],[I_0]])</f>
        <v>1</v>
      </c>
      <c r="Y322" s="19">
        <f>IF(Table14[[#This Row],[I_0]] &lt; INDEX(Table28[Filtro de ruido],1), 1, Table14[[#This Row],[I_50]] / Table14[[#This Row],[I_0]])</f>
        <v>1</v>
      </c>
      <c r="AA322" s="1"/>
    </row>
    <row r="323" spans="1:27" x14ac:dyDescent="0.3">
      <c r="A323" s="18">
        <v>388.64</v>
      </c>
      <c r="B323" s="1">
        <v>0</v>
      </c>
      <c r="C323" s="1">
        <v>388.64</v>
      </c>
      <c r="D323" s="1">
        <v>0</v>
      </c>
      <c r="E323" s="1">
        <v>388.64</v>
      </c>
      <c r="F323" s="1">
        <v>0</v>
      </c>
      <c r="G323" s="1">
        <v>388.64</v>
      </c>
      <c r="H323" s="1">
        <v>0</v>
      </c>
      <c r="I323" s="1">
        <v>388.64</v>
      </c>
      <c r="J323" s="1">
        <v>0</v>
      </c>
      <c r="K323" s="1">
        <v>388.64</v>
      </c>
      <c r="L323" s="1">
        <v>0</v>
      </c>
      <c r="M323" s="1">
        <v>388.64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388.64</v>
      </c>
      <c r="U323" s="1">
        <f>IF(Table14[[#This Row],[I_0]] &lt; INDEX(Table28[Filtro de ruido],1), 1, Table14[[#This Row],[I_10]] / Table14[[#This Row],[I_0]])</f>
        <v>1</v>
      </c>
      <c r="V323" s="1">
        <f>IF(Table14[[#This Row],[I_0]] &lt; INDEX(Table28[Filtro de ruido],1), 1, Table14[[#This Row],[I_20]] / Table14[[#This Row],[I_0]])</f>
        <v>1</v>
      </c>
      <c r="W323" s="1">
        <f>IF(Table14[[#This Row],[I_0]] &lt; INDEX(Table28[Filtro de ruido],1), 1, Table14[[#This Row],[I_30]] / Table14[[#This Row],[I_0]])</f>
        <v>1</v>
      </c>
      <c r="X323" s="1">
        <f>IF(Table14[[#This Row],[I_0]] &lt; INDEX(Table28[Filtro de ruido],1), 1, Table14[[#This Row],[I_40]] / Table14[[#This Row],[I_0]])</f>
        <v>1</v>
      </c>
      <c r="Y323" s="19">
        <f>IF(Table14[[#This Row],[I_0]] &lt; INDEX(Table28[Filtro de ruido],1), 1, Table14[[#This Row],[I_50]] / Table14[[#This Row],[I_0]])</f>
        <v>1</v>
      </c>
      <c r="AA323" s="1"/>
    </row>
    <row r="324" spans="1:27" x14ac:dyDescent="0.3">
      <c r="A324" s="18">
        <v>389.63</v>
      </c>
      <c r="B324" s="1">
        <v>0</v>
      </c>
      <c r="C324" s="1">
        <v>389.63</v>
      </c>
      <c r="D324" s="1">
        <v>0</v>
      </c>
      <c r="E324" s="1">
        <v>389.63</v>
      </c>
      <c r="F324" s="1">
        <v>0</v>
      </c>
      <c r="G324" s="1">
        <v>389.63</v>
      </c>
      <c r="H324" s="1">
        <v>0</v>
      </c>
      <c r="I324" s="1">
        <v>389.63</v>
      </c>
      <c r="J324" s="1">
        <v>0</v>
      </c>
      <c r="K324" s="1">
        <v>389.63</v>
      </c>
      <c r="L324" s="1">
        <v>0</v>
      </c>
      <c r="M324" s="1">
        <v>389.63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389.63</v>
      </c>
      <c r="U324" s="1">
        <f>IF(Table14[[#This Row],[I_0]] &lt; INDEX(Table28[Filtro de ruido],1), 1, Table14[[#This Row],[I_10]] / Table14[[#This Row],[I_0]])</f>
        <v>1</v>
      </c>
      <c r="V324" s="1">
        <f>IF(Table14[[#This Row],[I_0]] &lt; INDEX(Table28[Filtro de ruido],1), 1, Table14[[#This Row],[I_20]] / Table14[[#This Row],[I_0]])</f>
        <v>1</v>
      </c>
      <c r="W324" s="1">
        <f>IF(Table14[[#This Row],[I_0]] &lt; INDEX(Table28[Filtro de ruido],1), 1, Table14[[#This Row],[I_30]] / Table14[[#This Row],[I_0]])</f>
        <v>1</v>
      </c>
      <c r="X324" s="1">
        <f>IF(Table14[[#This Row],[I_0]] &lt; INDEX(Table28[Filtro de ruido],1), 1, Table14[[#This Row],[I_40]] / Table14[[#This Row],[I_0]])</f>
        <v>1</v>
      </c>
      <c r="Y324" s="19">
        <f>IF(Table14[[#This Row],[I_0]] &lt; INDEX(Table28[Filtro de ruido],1), 1, Table14[[#This Row],[I_50]] / Table14[[#This Row],[I_0]])</f>
        <v>1</v>
      </c>
      <c r="AA324" s="1"/>
    </row>
    <row r="325" spans="1:27" x14ac:dyDescent="0.3">
      <c r="A325" s="18">
        <v>390.62</v>
      </c>
      <c r="B325" s="1">
        <v>0</v>
      </c>
      <c r="C325" s="1">
        <v>390.62</v>
      </c>
      <c r="D325" s="1">
        <v>0</v>
      </c>
      <c r="E325" s="1">
        <v>390.62</v>
      </c>
      <c r="F325" s="1">
        <v>0</v>
      </c>
      <c r="G325" s="1">
        <v>390.62</v>
      </c>
      <c r="H325" s="1">
        <v>0</v>
      </c>
      <c r="I325" s="1">
        <v>390.62</v>
      </c>
      <c r="J325" s="1">
        <v>0</v>
      </c>
      <c r="K325" s="1">
        <v>390.62</v>
      </c>
      <c r="L325" s="1">
        <v>0</v>
      </c>
      <c r="M325" s="1">
        <v>390.62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390.62</v>
      </c>
      <c r="U325" s="1">
        <f>IF(Table14[[#This Row],[I_0]] &lt; INDEX(Table28[Filtro de ruido],1), 1, Table14[[#This Row],[I_10]] / Table14[[#This Row],[I_0]])</f>
        <v>1</v>
      </c>
      <c r="V325" s="1">
        <f>IF(Table14[[#This Row],[I_0]] &lt; INDEX(Table28[Filtro de ruido],1), 1, Table14[[#This Row],[I_20]] / Table14[[#This Row],[I_0]])</f>
        <v>1</v>
      </c>
      <c r="W325" s="1">
        <f>IF(Table14[[#This Row],[I_0]] &lt; INDEX(Table28[Filtro de ruido],1), 1, Table14[[#This Row],[I_30]] / Table14[[#This Row],[I_0]])</f>
        <v>1</v>
      </c>
      <c r="X325" s="1">
        <f>IF(Table14[[#This Row],[I_0]] &lt; INDEX(Table28[Filtro de ruido],1), 1, Table14[[#This Row],[I_40]] / Table14[[#This Row],[I_0]])</f>
        <v>1</v>
      </c>
      <c r="Y325" s="19">
        <f>IF(Table14[[#This Row],[I_0]] &lt; INDEX(Table28[Filtro de ruido],1), 1, Table14[[#This Row],[I_50]] / Table14[[#This Row],[I_0]])</f>
        <v>1</v>
      </c>
      <c r="AA325" s="1"/>
    </row>
    <row r="326" spans="1:27" x14ac:dyDescent="0.3">
      <c r="A326" s="18">
        <v>391.61</v>
      </c>
      <c r="B326" s="1">
        <v>0</v>
      </c>
      <c r="C326" s="1">
        <v>391.61</v>
      </c>
      <c r="D326" s="1">
        <v>0</v>
      </c>
      <c r="E326" s="1">
        <v>391.61</v>
      </c>
      <c r="F326" s="1">
        <v>0</v>
      </c>
      <c r="G326" s="1">
        <v>391.61</v>
      </c>
      <c r="H326" s="1">
        <v>0</v>
      </c>
      <c r="I326" s="1">
        <v>391.61</v>
      </c>
      <c r="J326" s="1">
        <v>0</v>
      </c>
      <c r="K326" s="1">
        <v>391.61</v>
      </c>
      <c r="L326" s="1">
        <v>0</v>
      </c>
      <c r="M326" s="1">
        <v>391.61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391.61</v>
      </c>
      <c r="U326" s="1">
        <f>IF(Table14[[#This Row],[I_0]] &lt; INDEX(Table28[Filtro de ruido],1), 1, Table14[[#This Row],[I_10]] / Table14[[#This Row],[I_0]])</f>
        <v>1</v>
      </c>
      <c r="V326" s="1">
        <f>IF(Table14[[#This Row],[I_0]] &lt; INDEX(Table28[Filtro de ruido],1), 1, Table14[[#This Row],[I_20]] / Table14[[#This Row],[I_0]])</f>
        <v>1</v>
      </c>
      <c r="W326" s="1">
        <f>IF(Table14[[#This Row],[I_0]] &lt; INDEX(Table28[Filtro de ruido],1), 1, Table14[[#This Row],[I_30]] / Table14[[#This Row],[I_0]])</f>
        <v>1</v>
      </c>
      <c r="X326" s="1">
        <f>IF(Table14[[#This Row],[I_0]] &lt; INDEX(Table28[Filtro de ruido],1), 1, Table14[[#This Row],[I_40]] / Table14[[#This Row],[I_0]])</f>
        <v>1</v>
      </c>
      <c r="Y326" s="19">
        <f>IF(Table14[[#This Row],[I_0]] &lt; INDEX(Table28[Filtro de ruido],1), 1, Table14[[#This Row],[I_50]] / Table14[[#This Row],[I_0]])</f>
        <v>1</v>
      </c>
      <c r="AA326" s="1"/>
    </row>
    <row r="327" spans="1:27" x14ac:dyDescent="0.3">
      <c r="A327" s="18">
        <v>392.6</v>
      </c>
      <c r="B327" s="1">
        <v>0</v>
      </c>
      <c r="C327" s="1">
        <v>392.6</v>
      </c>
      <c r="D327" s="1">
        <v>0</v>
      </c>
      <c r="E327" s="1">
        <v>392.6</v>
      </c>
      <c r="F327" s="1">
        <v>0</v>
      </c>
      <c r="G327" s="1">
        <v>392.6</v>
      </c>
      <c r="H327" s="1">
        <v>0</v>
      </c>
      <c r="I327" s="1">
        <v>392.6</v>
      </c>
      <c r="J327" s="1">
        <v>0</v>
      </c>
      <c r="K327" s="1">
        <v>392.6</v>
      </c>
      <c r="L327" s="1">
        <v>0</v>
      </c>
      <c r="M327" s="1">
        <v>392.6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392.6</v>
      </c>
      <c r="U327" s="1">
        <f>IF(Table14[[#This Row],[I_0]] &lt; INDEX(Table28[Filtro de ruido],1), 1, Table14[[#This Row],[I_10]] / Table14[[#This Row],[I_0]])</f>
        <v>1</v>
      </c>
      <c r="V327" s="1">
        <f>IF(Table14[[#This Row],[I_0]] &lt; INDEX(Table28[Filtro de ruido],1), 1, Table14[[#This Row],[I_20]] / Table14[[#This Row],[I_0]])</f>
        <v>1</v>
      </c>
      <c r="W327" s="1">
        <f>IF(Table14[[#This Row],[I_0]] &lt; INDEX(Table28[Filtro de ruido],1), 1, Table14[[#This Row],[I_30]] / Table14[[#This Row],[I_0]])</f>
        <v>1</v>
      </c>
      <c r="X327" s="1">
        <f>IF(Table14[[#This Row],[I_0]] &lt; INDEX(Table28[Filtro de ruido],1), 1, Table14[[#This Row],[I_40]] / Table14[[#This Row],[I_0]])</f>
        <v>1</v>
      </c>
      <c r="Y327" s="19">
        <f>IF(Table14[[#This Row],[I_0]] &lt; INDEX(Table28[Filtro de ruido],1), 1, Table14[[#This Row],[I_50]] / Table14[[#This Row],[I_0]])</f>
        <v>1</v>
      </c>
      <c r="AA327" s="1"/>
    </row>
    <row r="328" spans="1:27" x14ac:dyDescent="0.3">
      <c r="A328" s="18">
        <v>393.6</v>
      </c>
      <c r="B328" s="1">
        <v>0</v>
      </c>
      <c r="C328" s="1">
        <v>393.6</v>
      </c>
      <c r="D328" s="1">
        <v>0</v>
      </c>
      <c r="E328" s="1">
        <v>393.6</v>
      </c>
      <c r="F328" s="1">
        <v>0</v>
      </c>
      <c r="G328" s="1">
        <v>393.6</v>
      </c>
      <c r="H328" s="1">
        <v>0</v>
      </c>
      <c r="I328" s="1">
        <v>393.6</v>
      </c>
      <c r="J328" s="1">
        <v>0</v>
      </c>
      <c r="K328" s="1">
        <v>393.6</v>
      </c>
      <c r="L328" s="1">
        <v>0</v>
      </c>
      <c r="M328" s="1">
        <v>393.6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393.6</v>
      </c>
      <c r="U328" s="1">
        <f>IF(Table14[[#This Row],[I_0]] &lt; INDEX(Table28[Filtro de ruido],1), 1, Table14[[#This Row],[I_10]] / Table14[[#This Row],[I_0]])</f>
        <v>1</v>
      </c>
      <c r="V328" s="1">
        <f>IF(Table14[[#This Row],[I_0]] &lt; INDEX(Table28[Filtro de ruido],1), 1, Table14[[#This Row],[I_20]] / Table14[[#This Row],[I_0]])</f>
        <v>1</v>
      </c>
      <c r="W328" s="1">
        <f>IF(Table14[[#This Row],[I_0]] &lt; INDEX(Table28[Filtro de ruido],1), 1, Table14[[#This Row],[I_30]] / Table14[[#This Row],[I_0]])</f>
        <v>1</v>
      </c>
      <c r="X328" s="1">
        <f>IF(Table14[[#This Row],[I_0]] &lt; INDEX(Table28[Filtro de ruido],1), 1, Table14[[#This Row],[I_40]] / Table14[[#This Row],[I_0]])</f>
        <v>1</v>
      </c>
      <c r="Y328" s="19">
        <f>IF(Table14[[#This Row],[I_0]] &lt; INDEX(Table28[Filtro de ruido],1), 1, Table14[[#This Row],[I_50]] / Table14[[#This Row],[I_0]])</f>
        <v>1</v>
      </c>
      <c r="AA328" s="1"/>
    </row>
    <row r="329" spans="1:27" x14ac:dyDescent="0.3">
      <c r="A329" s="18">
        <v>394.59</v>
      </c>
      <c r="B329" s="1">
        <v>0</v>
      </c>
      <c r="C329" s="1">
        <v>394.59</v>
      </c>
      <c r="D329" s="1">
        <v>0</v>
      </c>
      <c r="E329" s="1">
        <v>394.59</v>
      </c>
      <c r="F329" s="1">
        <v>0</v>
      </c>
      <c r="G329" s="1">
        <v>394.59</v>
      </c>
      <c r="H329" s="1">
        <v>0</v>
      </c>
      <c r="I329" s="1">
        <v>394.59</v>
      </c>
      <c r="J329" s="1">
        <v>0</v>
      </c>
      <c r="K329" s="1">
        <v>394.59</v>
      </c>
      <c r="L329" s="1">
        <v>0</v>
      </c>
      <c r="M329" s="1">
        <v>394.59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394.59</v>
      </c>
      <c r="U329" s="1">
        <f>IF(Table14[[#This Row],[I_0]] &lt; INDEX(Table28[Filtro de ruido],1), 1, Table14[[#This Row],[I_10]] / Table14[[#This Row],[I_0]])</f>
        <v>1</v>
      </c>
      <c r="V329" s="1">
        <f>IF(Table14[[#This Row],[I_0]] &lt; INDEX(Table28[Filtro de ruido],1), 1, Table14[[#This Row],[I_20]] / Table14[[#This Row],[I_0]])</f>
        <v>1</v>
      </c>
      <c r="W329" s="1">
        <f>IF(Table14[[#This Row],[I_0]] &lt; INDEX(Table28[Filtro de ruido],1), 1, Table14[[#This Row],[I_30]] / Table14[[#This Row],[I_0]])</f>
        <v>1</v>
      </c>
      <c r="X329" s="1">
        <f>IF(Table14[[#This Row],[I_0]] &lt; INDEX(Table28[Filtro de ruido],1), 1, Table14[[#This Row],[I_40]] / Table14[[#This Row],[I_0]])</f>
        <v>1</v>
      </c>
      <c r="Y329" s="19">
        <f>IF(Table14[[#This Row],[I_0]] &lt; INDEX(Table28[Filtro de ruido],1), 1, Table14[[#This Row],[I_50]] / Table14[[#This Row],[I_0]])</f>
        <v>1</v>
      </c>
      <c r="AA329" s="1"/>
    </row>
    <row r="330" spans="1:27" x14ac:dyDescent="0.3">
      <c r="A330" s="18">
        <v>395.58</v>
      </c>
      <c r="B330" s="1">
        <v>0</v>
      </c>
      <c r="C330" s="1">
        <v>395.58</v>
      </c>
      <c r="D330" s="1">
        <v>0</v>
      </c>
      <c r="E330" s="1">
        <v>395.58</v>
      </c>
      <c r="F330" s="1">
        <v>0</v>
      </c>
      <c r="G330" s="1">
        <v>395.58</v>
      </c>
      <c r="H330" s="1">
        <v>0</v>
      </c>
      <c r="I330" s="1">
        <v>395.58</v>
      </c>
      <c r="J330" s="1">
        <v>0</v>
      </c>
      <c r="K330" s="1">
        <v>395.58</v>
      </c>
      <c r="L330" s="1">
        <v>0</v>
      </c>
      <c r="M330" s="1">
        <v>395.58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395.58</v>
      </c>
      <c r="U330" s="1">
        <f>IF(Table14[[#This Row],[I_0]] &lt; INDEX(Table28[Filtro de ruido],1), 1, Table14[[#This Row],[I_10]] / Table14[[#This Row],[I_0]])</f>
        <v>1</v>
      </c>
      <c r="V330" s="1">
        <f>IF(Table14[[#This Row],[I_0]] &lt; INDEX(Table28[Filtro de ruido],1), 1, Table14[[#This Row],[I_20]] / Table14[[#This Row],[I_0]])</f>
        <v>1</v>
      </c>
      <c r="W330" s="1">
        <f>IF(Table14[[#This Row],[I_0]] &lt; INDEX(Table28[Filtro de ruido],1), 1, Table14[[#This Row],[I_30]] / Table14[[#This Row],[I_0]])</f>
        <v>1</v>
      </c>
      <c r="X330" s="1">
        <f>IF(Table14[[#This Row],[I_0]] &lt; INDEX(Table28[Filtro de ruido],1), 1, Table14[[#This Row],[I_40]] / Table14[[#This Row],[I_0]])</f>
        <v>1</v>
      </c>
      <c r="Y330" s="19">
        <f>IF(Table14[[#This Row],[I_0]] &lt; INDEX(Table28[Filtro de ruido],1), 1, Table14[[#This Row],[I_50]] / Table14[[#This Row],[I_0]])</f>
        <v>1</v>
      </c>
      <c r="AA330" s="1"/>
    </row>
    <row r="331" spans="1:27" x14ac:dyDescent="0.3">
      <c r="A331" s="18">
        <v>396.57</v>
      </c>
      <c r="B331" s="1">
        <v>0</v>
      </c>
      <c r="C331" s="1">
        <v>396.57</v>
      </c>
      <c r="D331" s="1">
        <v>0</v>
      </c>
      <c r="E331" s="1">
        <v>396.57</v>
      </c>
      <c r="F331" s="1">
        <v>0</v>
      </c>
      <c r="G331" s="1">
        <v>396.57</v>
      </c>
      <c r="H331" s="1">
        <v>0</v>
      </c>
      <c r="I331" s="1">
        <v>396.57</v>
      </c>
      <c r="J331" s="1">
        <v>0</v>
      </c>
      <c r="K331" s="1">
        <v>396.57</v>
      </c>
      <c r="L331" s="1">
        <v>0</v>
      </c>
      <c r="M331" s="1">
        <v>396.57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396.57</v>
      </c>
      <c r="U331" s="1">
        <f>IF(Table14[[#This Row],[I_0]] &lt; INDEX(Table28[Filtro de ruido],1), 1, Table14[[#This Row],[I_10]] / Table14[[#This Row],[I_0]])</f>
        <v>1</v>
      </c>
      <c r="V331" s="1">
        <f>IF(Table14[[#This Row],[I_0]] &lt; INDEX(Table28[Filtro de ruido],1), 1, Table14[[#This Row],[I_20]] / Table14[[#This Row],[I_0]])</f>
        <v>1</v>
      </c>
      <c r="W331" s="1">
        <f>IF(Table14[[#This Row],[I_0]] &lt; INDEX(Table28[Filtro de ruido],1), 1, Table14[[#This Row],[I_30]] / Table14[[#This Row],[I_0]])</f>
        <v>1</v>
      </c>
      <c r="X331" s="1">
        <f>IF(Table14[[#This Row],[I_0]] &lt; INDEX(Table28[Filtro de ruido],1), 1, Table14[[#This Row],[I_40]] / Table14[[#This Row],[I_0]])</f>
        <v>1</v>
      </c>
      <c r="Y331" s="19">
        <f>IF(Table14[[#This Row],[I_0]] &lt; INDEX(Table28[Filtro de ruido],1), 1, Table14[[#This Row],[I_50]] / Table14[[#This Row],[I_0]])</f>
        <v>1</v>
      </c>
      <c r="AA331" s="1"/>
    </row>
    <row r="332" spans="1:27" x14ac:dyDescent="0.3">
      <c r="A332" s="18">
        <v>397.56</v>
      </c>
      <c r="B332" s="1">
        <v>0</v>
      </c>
      <c r="C332" s="1">
        <v>397.56</v>
      </c>
      <c r="D332" s="1">
        <v>0</v>
      </c>
      <c r="E332" s="1">
        <v>397.56</v>
      </c>
      <c r="F332" s="1">
        <v>0</v>
      </c>
      <c r="G332" s="1">
        <v>397.56</v>
      </c>
      <c r="H332" s="1">
        <v>0</v>
      </c>
      <c r="I332" s="1">
        <v>397.56</v>
      </c>
      <c r="J332" s="1">
        <v>0</v>
      </c>
      <c r="K332" s="1">
        <v>397.56</v>
      </c>
      <c r="L332" s="1">
        <v>0</v>
      </c>
      <c r="M332" s="1">
        <v>397.56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397.56</v>
      </c>
      <c r="U332" s="1">
        <f>IF(Table14[[#This Row],[I_0]] &lt; INDEX(Table28[Filtro de ruido],1), 1, Table14[[#This Row],[I_10]] / Table14[[#This Row],[I_0]])</f>
        <v>1</v>
      </c>
      <c r="V332" s="1">
        <f>IF(Table14[[#This Row],[I_0]] &lt; INDEX(Table28[Filtro de ruido],1), 1, Table14[[#This Row],[I_20]] / Table14[[#This Row],[I_0]])</f>
        <v>1</v>
      </c>
      <c r="W332" s="1">
        <f>IF(Table14[[#This Row],[I_0]] &lt; INDEX(Table28[Filtro de ruido],1), 1, Table14[[#This Row],[I_30]] / Table14[[#This Row],[I_0]])</f>
        <v>1</v>
      </c>
      <c r="X332" s="1">
        <f>IF(Table14[[#This Row],[I_0]] &lt; INDEX(Table28[Filtro de ruido],1), 1, Table14[[#This Row],[I_40]] / Table14[[#This Row],[I_0]])</f>
        <v>1</v>
      </c>
      <c r="Y332" s="19">
        <f>IF(Table14[[#This Row],[I_0]] &lt; INDEX(Table28[Filtro de ruido],1), 1, Table14[[#This Row],[I_50]] / Table14[[#This Row],[I_0]])</f>
        <v>1</v>
      </c>
      <c r="AA332" s="1"/>
    </row>
    <row r="333" spans="1:27" x14ac:dyDescent="0.3">
      <c r="A333" s="18">
        <v>398.55</v>
      </c>
      <c r="B333" s="1">
        <v>0</v>
      </c>
      <c r="C333" s="1">
        <v>398.55</v>
      </c>
      <c r="D333" s="1">
        <v>0</v>
      </c>
      <c r="E333" s="1">
        <v>398.55</v>
      </c>
      <c r="F333" s="1">
        <v>0</v>
      </c>
      <c r="G333" s="1">
        <v>398.55</v>
      </c>
      <c r="H333" s="1">
        <v>0</v>
      </c>
      <c r="I333" s="1">
        <v>398.55</v>
      </c>
      <c r="J333" s="1">
        <v>0</v>
      </c>
      <c r="K333" s="1">
        <v>398.55</v>
      </c>
      <c r="L333" s="1">
        <v>0</v>
      </c>
      <c r="M333" s="1">
        <v>398.55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398.55</v>
      </c>
      <c r="U333" s="1">
        <f>IF(Table14[[#This Row],[I_0]] &lt; INDEX(Table28[Filtro de ruido],1), 1, Table14[[#This Row],[I_10]] / Table14[[#This Row],[I_0]])</f>
        <v>1</v>
      </c>
      <c r="V333" s="1">
        <f>IF(Table14[[#This Row],[I_0]] &lt; INDEX(Table28[Filtro de ruido],1), 1, Table14[[#This Row],[I_20]] / Table14[[#This Row],[I_0]])</f>
        <v>1</v>
      </c>
      <c r="W333" s="1">
        <f>IF(Table14[[#This Row],[I_0]] &lt; INDEX(Table28[Filtro de ruido],1), 1, Table14[[#This Row],[I_30]] / Table14[[#This Row],[I_0]])</f>
        <v>1</v>
      </c>
      <c r="X333" s="1">
        <f>IF(Table14[[#This Row],[I_0]] &lt; INDEX(Table28[Filtro de ruido],1), 1, Table14[[#This Row],[I_40]] / Table14[[#This Row],[I_0]])</f>
        <v>1</v>
      </c>
      <c r="Y333" s="19">
        <f>IF(Table14[[#This Row],[I_0]] &lt; INDEX(Table28[Filtro de ruido],1), 1, Table14[[#This Row],[I_50]] / Table14[[#This Row],[I_0]])</f>
        <v>1</v>
      </c>
      <c r="AA333" s="1"/>
    </row>
    <row r="334" spans="1:27" x14ac:dyDescent="0.3">
      <c r="A334" s="18">
        <v>399.55</v>
      </c>
      <c r="B334" s="1">
        <v>0</v>
      </c>
      <c r="C334" s="1">
        <v>399.55</v>
      </c>
      <c r="D334" s="1">
        <v>0</v>
      </c>
      <c r="E334" s="1">
        <v>399.55</v>
      </c>
      <c r="F334" s="1">
        <v>0</v>
      </c>
      <c r="G334" s="1">
        <v>399.55</v>
      </c>
      <c r="H334" s="1">
        <v>0</v>
      </c>
      <c r="I334" s="1">
        <v>399.55</v>
      </c>
      <c r="J334" s="1">
        <v>0</v>
      </c>
      <c r="K334" s="1">
        <v>399.55</v>
      </c>
      <c r="L334" s="1">
        <v>0</v>
      </c>
      <c r="M334" s="1">
        <v>399.55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399.55</v>
      </c>
      <c r="U334" s="1">
        <f>IF(Table14[[#This Row],[I_0]] &lt; INDEX(Table28[Filtro de ruido],1), 1, Table14[[#This Row],[I_10]] / Table14[[#This Row],[I_0]])</f>
        <v>1</v>
      </c>
      <c r="V334" s="1">
        <f>IF(Table14[[#This Row],[I_0]] &lt; INDEX(Table28[Filtro de ruido],1), 1, Table14[[#This Row],[I_20]] / Table14[[#This Row],[I_0]])</f>
        <v>1</v>
      </c>
      <c r="W334" s="1">
        <f>IF(Table14[[#This Row],[I_0]] &lt; INDEX(Table28[Filtro de ruido],1), 1, Table14[[#This Row],[I_30]] / Table14[[#This Row],[I_0]])</f>
        <v>1</v>
      </c>
      <c r="X334" s="1">
        <f>IF(Table14[[#This Row],[I_0]] &lt; INDEX(Table28[Filtro de ruido],1), 1, Table14[[#This Row],[I_40]] / Table14[[#This Row],[I_0]])</f>
        <v>1</v>
      </c>
      <c r="Y334" s="19">
        <f>IF(Table14[[#This Row],[I_0]] &lt; INDEX(Table28[Filtro de ruido],1), 1, Table14[[#This Row],[I_50]] / Table14[[#This Row],[I_0]])</f>
        <v>1</v>
      </c>
      <c r="AA334" s="1"/>
    </row>
    <row r="335" spans="1:27" x14ac:dyDescent="0.3">
      <c r="A335" s="18">
        <v>400.54</v>
      </c>
      <c r="B335" s="1">
        <v>0</v>
      </c>
      <c r="C335" s="1">
        <v>400.54</v>
      </c>
      <c r="D335" s="1">
        <v>0</v>
      </c>
      <c r="E335" s="1">
        <v>400.54</v>
      </c>
      <c r="F335" s="1">
        <v>0</v>
      </c>
      <c r="G335" s="1">
        <v>400.54</v>
      </c>
      <c r="H335" s="1">
        <v>0</v>
      </c>
      <c r="I335" s="1">
        <v>400.54</v>
      </c>
      <c r="J335" s="1">
        <v>0</v>
      </c>
      <c r="K335" s="1">
        <v>400.54</v>
      </c>
      <c r="L335" s="1">
        <v>0</v>
      </c>
      <c r="M335" s="1">
        <v>400.54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400.54</v>
      </c>
      <c r="U335" s="1">
        <f>IF(Table14[[#This Row],[I_0]] &lt; INDEX(Table28[Filtro de ruido],1), 1, Table14[[#This Row],[I_10]] / Table14[[#This Row],[I_0]])</f>
        <v>1</v>
      </c>
      <c r="V335" s="1">
        <f>IF(Table14[[#This Row],[I_0]] &lt; INDEX(Table28[Filtro de ruido],1), 1, Table14[[#This Row],[I_20]] / Table14[[#This Row],[I_0]])</f>
        <v>1</v>
      </c>
      <c r="W335" s="1">
        <f>IF(Table14[[#This Row],[I_0]] &lt; INDEX(Table28[Filtro de ruido],1), 1, Table14[[#This Row],[I_30]] / Table14[[#This Row],[I_0]])</f>
        <v>1</v>
      </c>
      <c r="X335" s="1">
        <f>IF(Table14[[#This Row],[I_0]] &lt; INDEX(Table28[Filtro de ruido],1), 1, Table14[[#This Row],[I_40]] / Table14[[#This Row],[I_0]])</f>
        <v>1</v>
      </c>
      <c r="Y335" s="19">
        <f>IF(Table14[[#This Row],[I_0]] &lt; INDEX(Table28[Filtro de ruido],1), 1, Table14[[#This Row],[I_50]] / Table14[[#This Row],[I_0]])</f>
        <v>1</v>
      </c>
      <c r="AA335" s="1"/>
    </row>
    <row r="336" spans="1:27" x14ac:dyDescent="0.3">
      <c r="A336" s="18">
        <v>401.53</v>
      </c>
      <c r="B336" s="1">
        <v>0</v>
      </c>
      <c r="C336" s="1">
        <v>401.53</v>
      </c>
      <c r="D336" s="1">
        <v>0</v>
      </c>
      <c r="E336" s="1">
        <v>401.53</v>
      </c>
      <c r="F336" s="1">
        <v>0</v>
      </c>
      <c r="G336" s="1">
        <v>401.53</v>
      </c>
      <c r="H336" s="1">
        <v>0</v>
      </c>
      <c r="I336" s="1">
        <v>401.53</v>
      </c>
      <c r="J336" s="1">
        <v>0</v>
      </c>
      <c r="K336" s="1">
        <v>401.53</v>
      </c>
      <c r="L336" s="1">
        <v>0</v>
      </c>
      <c r="M336" s="1">
        <v>401.53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401.53</v>
      </c>
      <c r="U336" s="1">
        <f>IF(Table14[[#This Row],[I_0]] &lt; INDEX(Table28[Filtro de ruido],1), 1, Table14[[#This Row],[I_10]] / Table14[[#This Row],[I_0]])</f>
        <v>1</v>
      </c>
      <c r="V336" s="1">
        <f>IF(Table14[[#This Row],[I_0]] &lt; INDEX(Table28[Filtro de ruido],1), 1, Table14[[#This Row],[I_20]] / Table14[[#This Row],[I_0]])</f>
        <v>1</v>
      </c>
      <c r="W336" s="1">
        <f>IF(Table14[[#This Row],[I_0]] &lt; INDEX(Table28[Filtro de ruido],1), 1, Table14[[#This Row],[I_30]] / Table14[[#This Row],[I_0]])</f>
        <v>1</v>
      </c>
      <c r="X336" s="1">
        <f>IF(Table14[[#This Row],[I_0]] &lt; INDEX(Table28[Filtro de ruido],1), 1, Table14[[#This Row],[I_40]] / Table14[[#This Row],[I_0]])</f>
        <v>1</v>
      </c>
      <c r="Y336" s="19">
        <f>IF(Table14[[#This Row],[I_0]] &lt; INDEX(Table28[Filtro de ruido],1), 1, Table14[[#This Row],[I_50]] / Table14[[#This Row],[I_0]])</f>
        <v>1</v>
      </c>
      <c r="AA336" s="1"/>
    </row>
    <row r="337" spans="1:27" x14ac:dyDescent="0.3">
      <c r="A337" s="18">
        <v>402.52</v>
      </c>
      <c r="B337" s="1">
        <v>0</v>
      </c>
      <c r="C337" s="1">
        <v>402.52</v>
      </c>
      <c r="D337" s="1">
        <v>0</v>
      </c>
      <c r="E337" s="1">
        <v>402.52</v>
      </c>
      <c r="F337" s="1">
        <v>0</v>
      </c>
      <c r="G337" s="1">
        <v>402.52</v>
      </c>
      <c r="H337" s="1">
        <v>0</v>
      </c>
      <c r="I337" s="1">
        <v>402.52</v>
      </c>
      <c r="J337" s="1">
        <v>0</v>
      </c>
      <c r="K337" s="1">
        <v>402.52</v>
      </c>
      <c r="L337" s="1">
        <v>0</v>
      </c>
      <c r="M337" s="1">
        <v>402.52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402.52</v>
      </c>
      <c r="U337" s="1">
        <f>IF(Table14[[#This Row],[I_0]] &lt; INDEX(Table28[Filtro de ruido],1), 1, Table14[[#This Row],[I_10]] / Table14[[#This Row],[I_0]])</f>
        <v>1</v>
      </c>
      <c r="V337" s="1">
        <f>IF(Table14[[#This Row],[I_0]] &lt; INDEX(Table28[Filtro de ruido],1), 1, Table14[[#This Row],[I_20]] / Table14[[#This Row],[I_0]])</f>
        <v>1</v>
      </c>
      <c r="W337" s="1">
        <f>IF(Table14[[#This Row],[I_0]] &lt; INDEX(Table28[Filtro de ruido],1), 1, Table14[[#This Row],[I_30]] / Table14[[#This Row],[I_0]])</f>
        <v>1</v>
      </c>
      <c r="X337" s="1">
        <f>IF(Table14[[#This Row],[I_0]] &lt; INDEX(Table28[Filtro de ruido],1), 1, Table14[[#This Row],[I_40]] / Table14[[#This Row],[I_0]])</f>
        <v>1</v>
      </c>
      <c r="Y337" s="19">
        <f>IF(Table14[[#This Row],[I_0]] &lt; INDEX(Table28[Filtro de ruido],1), 1, Table14[[#This Row],[I_50]] / Table14[[#This Row],[I_0]])</f>
        <v>1</v>
      </c>
      <c r="AA337" s="1"/>
    </row>
    <row r="338" spans="1:27" x14ac:dyDescent="0.3">
      <c r="A338" s="18">
        <v>403.51</v>
      </c>
      <c r="B338" s="1">
        <v>0</v>
      </c>
      <c r="C338" s="1">
        <v>403.51</v>
      </c>
      <c r="D338" s="1">
        <v>0</v>
      </c>
      <c r="E338" s="1">
        <v>403.51</v>
      </c>
      <c r="F338" s="1">
        <v>0</v>
      </c>
      <c r="G338" s="1">
        <v>403.51</v>
      </c>
      <c r="H338" s="1">
        <v>0</v>
      </c>
      <c r="I338" s="1">
        <v>403.51</v>
      </c>
      <c r="J338" s="1">
        <v>0</v>
      </c>
      <c r="K338" s="1">
        <v>403.51</v>
      </c>
      <c r="L338" s="1">
        <v>0</v>
      </c>
      <c r="M338" s="1">
        <v>403.51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403.51</v>
      </c>
      <c r="U338" s="1">
        <f>IF(Table14[[#This Row],[I_0]] &lt; INDEX(Table28[Filtro de ruido],1), 1, Table14[[#This Row],[I_10]] / Table14[[#This Row],[I_0]])</f>
        <v>1</v>
      </c>
      <c r="V338" s="1">
        <f>IF(Table14[[#This Row],[I_0]] &lt; INDEX(Table28[Filtro de ruido],1), 1, Table14[[#This Row],[I_20]] / Table14[[#This Row],[I_0]])</f>
        <v>1</v>
      </c>
      <c r="W338" s="1">
        <f>IF(Table14[[#This Row],[I_0]] &lt; INDEX(Table28[Filtro de ruido],1), 1, Table14[[#This Row],[I_30]] / Table14[[#This Row],[I_0]])</f>
        <v>1</v>
      </c>
      <c r="X338" s="1">
        <f>IF(Table14[[#This Row],[I_0]] &lt; INDEX(Table28[Filtro de ruido],1), 1, Table14[[#This Row],[I_40]] / Table14[[#This Row],[I_0]])</f>
        <v>1</v>
      </c>
      <c r="Y338" s="19">
        <f>IF(Table14[[#This Row],[I_0]] &lt; INDEX(Table28[Filtro de ruido],1), 1, Table14[[#This Row],[I_50]] / Table14[[#This Row],[I_0]])</f>
        <v>1</v>
      </c>
      <c r="AA338" s="1"/>
    </row>
    <row r="339" spans="1:27" x14ac:dyDescent="0.3">
      <c r="A339" s="18">
        <v>404.51</v>
      </c>
      <c r="B339" s="1">
        <v>0</v>
      </c>
      <c r="C339" s="1">
        <v>404.51</v>
      </c>
      <c r="D339" s="1">
        <v>0</v>
      </c>
      <c r="E339" s="1">
        <v>404.51</v>
      </c>
      <c r="F339" s="1">
        <v>0</v>
      </c>
      <c r="G339" s="1">
        <v>404.51</v>
      </c>
      <c r="H339" s="1">
        <v>0</v>
      </c>
      <c r="I339" s="1">
        <v>404.51</v>
      </c>
      <c r="J339" s="1">
        <v>0</v>
      </c>
      <c r="K339" s="1">
        <v>404.51</v>
      </c>
      <c r="L339" s="1">
        <v>0</v>
      </c>
      <c r="M339" s="1">
        <v>404.51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404.51</v>
      </c>
      <c r="U339" s="1">
        <f>IF(Table14[[#This Row],[I_0]] &lt; INDEX(Table28[Filtro de ruido],1), 1, Table14[[#This Row],[I_10]] / Table14[[#This Row],[I_0]])</f>
        <v>1</v>
      </c>
      <c r="V339" s="1">
        <f>IF(Table14[[#This Row],[I_0]] &lt; INDEX(Table28[Filtro de ruido],1), 1, Table14[[#This Row],[I_20]] / Table14[[#This Row],[I_0]])</f>
        <v>1</v>
      </c>
      <c r="W339" s="1">
        <f>IF(Table14[[#This Row],[I_0]] &lt; INDEX(Table28[Filtro de ruido],1), 1, Table14[[#This Row],[I_30]] / Table14[[#This Row],[I_0]])</f>
        <v>1</v>
      </c>
      <c r="X339" s="1">
        <f>IF(Table14[[#This Row],[I_0]] &lt; INDEX(Table28[Filtro de ruido],1), 1, Table14[[#This Row],[I_40]] / Table14[[#This Row],[I_0]])</f>
        <v>1</v>
      </c>
      <c r="Y339" s="19">
        <f>IF(Table14[[#This Row],[I_0]] &lt; INDEX(Table28[Filtro de ruido],1), 1, Table14[[#This Row],[I_50]] / Table14[[#This Row],[I_0]])</f>
        <v>1</v>
      </c>
      <c r="AA339" s="1"/>
    </row>
    <row r="340" spans="1:27" x14ac:dyDescent="0.3">
      <c r="A340" s="18">
        <v>405.5</v>
      </c>
      <c r="B340" s="1">
        <v>0</v>
      </c>
      <c r="C340" s="1">
        <v>405.5</v>
      </c>
      <c r="D340" s="1">
        <v>0</v>
      </c>
      <c r="E340" s="1">
        <v>405.5</v>
      </c>
      <c r="F340" s="1">
        <v>0</v>
      </c>
      <c r="G340" s="1">
        <v>405.5</v>
      </c>
      <c r="H340" s="1">
        <v>0</v>
      </c>
      <c r="I340" s="1">
        <v>405.5</v>
      </c>
      <c r="J340" s="1">
        <v>0</v>
      </c>
      <c r="K340" s="1">
        <v>405.5</v>
      </c>
      <c r="L340" s="1">
        <v>0</v>
      </c>
      <c r="M340" s="1">
        <v>405.5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405.5</v>
      </c>
      <c r="U340" s="1">
        <f>IF(Table14[[#This Row],[I_0]] &lt; INDEX(Table28[Filtro de ruido],1), 1, Table14[[#This Row],[I_10]] / Table14[[#This Row],[I_0]])</f>
        <v>1</v>
      </c>
      <c r="V340" s="1">
        <f>IF(Table14[[#This Row],[I_0]] &lt; INDEX(Table28[Filtro de ruido],1), 1, Table14[[#This Row],[I_20]] / Table14[[#This Row],[I_0]])</f>
        <v>1</v>
      </c>
      <c r="W340" s="1">
        <f>IF(Table14[[#This Row],[I_0]] &lt; INDEX(Table28[Filtro de ruido],1), 1, Table14[[#This Row],[I_30]] / Table14[[#This Row],[I_0]])</f>
        <v>1</v>
      </c>
      <c r="X340" s="1">
        <f>IF(Table14[[#This Row],[I_0]] &lt; INDEX(Table28[Filtro de ruido],1), 1, Table14[[#This Row],[I_40]] / Table14[[#This Row],[I_0]])</f>
        <v>1</v>
      </c>
      <c r="Y340" s="19">
        <f>IF(Table14[[#This Row],[I_0]] &lt; INDEX(Table28[Filtro de ruido],1), 1, Table14[[#This Row],[I_50]] / Table14[[#This Row],[I_0]])</f>
        <v>1</v>
      </c>
      <c r="AA340" s="1"/>
    </row>
    <row r="341" spans="1:27" x14ac:dyDescent="0.3">
      <c r="A341" s="18">
        <v>406.49</v>
      </c>
      <c r="B341" s="1">
        <v>0</v>
      </c>
      <c r="C341" s="1">
        <v>406.49</v>
      </c>
      <c r="D341" s="1">
        <v>0</v>
      </c>
      <c r="E341" s="1">
        <v>406.49</v>
      </c>
      <c r="F341" s="1">
        <v>0</v>
      </c>
      <c r="G341" s="1">
        <v>406.49</v>
      </c>
      <c r="H341" s="1">
        <v>0</v>
      </c>
      <c r="I341" s="1">
        <v>406.49</v>
      </c>
      <c r="J341" s="1">
        <v>0</v>
      </c>
      <c r="K341" s="1">
        <v>406.49</v>
      </c>
      <c r="L341" s="1">
        <v>0</v>
      </c>
      <c r="M341" s="1">
        <v>406.49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406.49</v>
      </c>
      <c r="U341" s="1">
        <f>IF(Table14[[#This Row],[I_0]] &lt; INDEX(Table28[Filtro de ruido],1), 1, Table14[[#This Row],[I_10]] / Table14[[#This Row],[I_0]])</f>
        <v>1</v>
      </c>
      <c r="V341" s="1">
        <f>IF(Table14[[#This Row],[I_0]] &lt; INDEX(Table28[Filtro de ruido],1), 1, Table14[[#This Row],[I_20]] / Table14[[#This Row],[I_0]])</f>
        <v>1</v>
      </c>
      <c r="W341" s="1">
        <f>IF(Table14[[#This Row],[I_0]] &lt; INDEX(Table28[Filtro de ruido],1), 1, Table14[[#This Row],[I_30]] / Table14[[#This Row],[I_0]])</f>
        <v>1</v>
      </c>
      <c r="X341" s="1">
        <f>IF(Table14[[#This Row],[I_0]] &lt; INDEX(Table28[Filtro de ruido],1), 1, Table14[[#This Row],[I_40]] / Table14[[#This Row],[I_0]])</f>
        <v>1</v>
      </c>
      <c r="Y341" s="19">
        <f>IF(Table14[[#This Row],[I_0]] &lt; INDEX(Table28[Filtro de ruido],1), 1, Table14[[#This Row],[I_50]] / Table14[[#This Row],[I_0]])</f>
        <v>1</v>
      </c>
      <c r="AA341" s="1"/>
    </row>
    <row r="342" spans="1:27" x14ac:dyDescent="0.3">
      <c r="A342" s="18">
        <v>407.48</v>
      </c>
      <c r="B342" s="1">
        <v>0</v>
      </c>
      <c r="C342" s="1">
        <v>407.48</v>
      </c>
      <c r="D342" s="1">
        <v>0</v>
      </c>
      <c r="E342" s="1">
        <v>407.48</v>
      </c>
      <c r="F342" s="1">
        <v>0</v>
      </c>
      <c r="G342" s="1">
        <v>407.48</v>
      </c>
      <c r="H342" s="1">
        <v>0</v>
      </c>
      <c r="I342" s="1">
        <v>407.48</v>
      </c>
      <c r="J342" s="1">
        <v>0</v>
      </c>
      <c r="K342" s="1">
        <v>407.48</v>
      </c>
      <c r="L342" s="1">
        <v>0</v>
      </c>
      <c r="M342" s="1">
        <v>407.48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407.48</v>
      </c>
      <c r="U342" s="1">
        <f>IF(Table14[[#This Row],[I_0]] &lt; INDEX(Table28[Filtro de ruido],1), 1, Table14[[#This Row],[I_10]] / Table14[[#This Row],[I_0]])</f>
        <v>1</v>
      </c>
      <c r="V342" s="1">
        <f>IF(Table14[[#This Row],[I_0]] &lt; INDEX(Table28[Filtro de ruido],1), 1, Table14[[#This Row],[I_20]] / Table14[[#This Row],[I_0]])</f>
        <v>1</v>
      </c>
      <c r="W342" s="1">
        <f>IF(Table14[[#This Row],[I_0]] &lt; INDEX(Table28[Filtro de ruido],1), 1, Table14[[#This Row],[I_30]] / Table14[[#This Row],[I_0]])</f>
        <v>1</v>
      </c>
      <c r="X342" s="1">
        <f>IF(Table14[[#This Row],[I_0]] &lt; INDEX(Table28[Filtro de ruido],1), 1, Table14[[#This Row],[I_40]] / Table14[[#This Row],[I_0]])</f>
        <v>1</v>
      </c>
      <c r="Y342" s="19">
        <f>IF(Table14[[#This Row],[I_0]] &lt; INDEX(Table28[Filtro de ruido],1), 1, Table14[[#This Row],[I_50]] / Table14[[#This Row],[I_0]])</f>
        <v>1</v>
      </c>
      <c r="AA342" s="1"/>
    </row>
    <row r="343" spans="1:27" x14ac:dyDescent="0.3">
      <c r="A343" s="18">
        <v>408.47</v>
      </c>
      <c r="B343" s="1">
        <v>0</v>
      </c>
      <c r="C343" s="1">
        <v>408.47</v>
      </c>
      <c r="D343" s="1">
        <v>0</v>
      </c>
      <c r="E343" s="1">
        <v>408.47</v>
      </c>
      <c r="F343" s="1">
        <v>0</v>
      </c>
      <c r="G343" s="1">
        <v>408.47</v>
      </c>
      <c r="H343" s="1">
        <v>0</v>
      </c>
      <c r="I343" s="1">
        <v>408.47</v>
      </c>
      <c r="J343" s="1">
        <v>0</v>
      </c>
      <c r="K343" s="1">
        <v>408.47</v>
      </c>
      <c r="L343" s="1">
        <v>0</v>
      </c>
      <c r="M343" s="1">
        <v>408.47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408.47</v>
      </c>
      <c r="U343" s="1">
        <f>IF(Table14[[#This Row],[I_0]] &lt; INDEX(Table28[Filtro de ruido],1), 1, Table14[[#This Row],[I_10]] / Table14[[#This Row],[I_0]])</f>
        <v>1</v>
      </c>
      <c r="V343" s="1">
        <f>IF(Table14[[#This Row],[I_0]] &lt; INDEX(Table28[Filtro de ruido],1), 1, Table14[[#This Row],[I_20]] / Table14[[#This Row],[I_0]])</f>
        <v>1</v>
      </c>
      <c r="W343" s="1">
        <f>IF(Table14[[#This Row],[I_0]] &lt; INDEX(Table28[Filtro de ruido],1), 1, Table14[[#This Row],[I_30]] / Table14[[#This Row],[I_0]])</f>
        <v>1</v>
      </c>
      <c r="X343" s="1">
        <f>IF(Table14[[#This Row],[I_0]] &lt; INDEX(Table28[Filtro de ruido],1), 1, Table14[[#This Row],[I_40]] / Table14[[#This Row],[I_0]])</f>
        <v>1</v>
      </c>
      <c r="Y343" s="19">
        <f>IF(Table14[[#This Row],[I_0]] &lt; INDEX(Table28[Filtro de ruido],1), 1, Table14[[#This Row],[I_50]] / Table14[[#This Row],[I_0]])</f>
        <v>1</v>
      </c>
      <c r="AA343" s="1"/>
    </row>
    <row r="344" spans="1:27" x14ac:dyDescent="0.3">
      <c r="A344" s="18">
        <v>409.46</v>
      </c>
      <c r="B344" s="1">
        <v>0.1</v>
      </c>
      <c r="C344" s="1">
        <v>409.46</v>
      </c>
      <c r="D344" s="1">
        <v>0.1</v>
      </c>
      <c r="E344" s="1">
        <v>409.46</v>
      </c>
      <c r="F344" s="1">
        <v>0.1</v>
      </c>
      <c r="G344" s="1">
        <v>409.46</v>
      </c>
      <c r="H344" s="1">
        <v>0.1</v>
      </c>
      <c r="I344" s="1">
        <v>409.46</v>
      </c>
      <c r="J344" s="1">
        <v>0.1</v>
      </c>
      <c r="K344" s="1">
        <v>409.46</v>
      </c>
      <c r="L344" s="1">
        <v>0.1</v>
      </c>
      <c r="M344" s="1">
        <v>409.46</v>
      </c>
      <c r="N344" s="1">
        <v>0.1</v>
      </c>
      <c r="O344" s="1">
        <v>0.1</v>
      </c>
      <c r="P344" s="1">
        <v>0.1</v>
      </c>
      <c r="Q344" s="1">
        <v>0.1</v>
      </c>
      <c r="R344" s="1">
        <v>0.1</v>
      </c>
      <c r="S344" s="1">
        <v>0.1</v>
      </c>
      <c r="T344" s="1">
        <v>409.46</v>
      </c>
      <c r="U344" s="1">
        <f>IF(Table14[[#This Row],[I_0]] &lt; INDEX(Table28[Filtro de ruido],1), 1, Table14[[#This Row],[I_10]] / Table14[[#This Row],[I_0]])</f>
        <v>1</v>
      </c>
      <c r="V344" s="1">
        <f>IF(Table14[[#This Row],[I_0]] &lt; INDEX(Table28[Filtro de ruido],1), 1, Table14[[#This Row],[I_20]] / Table14[[#This Row],[I_0]])</f>
        <v>1</v>
      </c>
      <c r="W344" s="1">
        <f>IF(Table14[[#This Row],[I_0]] &lt; INDEX(Table28[Filtro de ruido],1), 1, Table14[[#This Row],[I_30]] / Table14[[#This Row],[I_0]])</f>
        <v>1</v>
      </c>
      <c r="X344" s="1">
        <f>IF(Table14[[#This Row],[I_0]] &lt; INDEX(Table28[Filtro de ruido],1), 1, Table14[[#This Row],[I_40]] / Table14[[#This Row],[I_0]])</f>
        <v>1</v>
      </c>
      <c r="Y344" s="19">
        <f>IF(Table14[[#This Row],[I_0]] &lt; INDEX(Table28[Filtro de ruido],1), 1, Table14[[#This Row],[I_50]] / Table14[[#This Row],[I_0]])</f>
        <v>1</v>
      </c>
      <c r="AA344" s="1"/>
    </row>
    <row r="345" spans="1:27" x14ac:dyDescent="0.3">
      <c r="A345" s="18">
        <v>410.46</v>
      </c>
      <c r="B345" s="1">
        <v>0.1</v>
      </c>
      <c r="C345" s="1">
        <v>410.46</v>
      </c>
      <c r="D345" s="1">
        <v>0.1</v>
      </c>
      <c r="E345" s="1">
        <v>410.46</v>
      </c>
      <c r="F345" s="1">
        <v>0.1</v>
      </c>
      <c r="G345" s="1">
        <v>410.46</v>
      </c>
      <c r="H345" s="1">
        <v>0.1</v>
      </c>
      <c r="I345" s="1">
        <v>410.46</v>
      </c>
      <c r="J345" s="1">
        <v>0.1</v>
      </c>
      <c r="K345" s="1">
        <v>410.46</v>
      </c>
      <c r="L345" s="1">
        <v>0.1</v>
      </c>
      <c r="M345" s="1">
        <v>410.46</v>
      </c>
      <c r="N345" s="1">
        <v>0.1</v>
      </c>
      <c r="O345" s="1">
        <v>0.1</v>
      </c>
      <c r="P345" s="1">
        <v>0.1</v>
      </c>
      <c r="Q345" s="1">
        <v>0.1</v>
      </c>
      <c r="R345" s="1">
        <v>0.1</v>
      </c>
      <c r="S345" s="1">
        <v>0.1</v>
      </c>
      <c r="T345" s="1">
        <v>410.46</v>
      </c>
      <c r="U345" s="1">
        <f>IF(Table14[[#This Row],[I_0]] &lt; INDEX(Table28[Filtro de ruido],1), 1, Table14[[#This Row],[I_10]] / Table14[[#This Row],[I_0]])</f>
        <v>1</v>
      </c>
      <c r="V345" s="1">
        <f>IF(Table14[[#This Row],[I_0]] &lt; INDEX(Table28[Filtro de ruido],1), 1, Table14[[#This Row],[I_20]] / Table14[[#This Row],[I_0]])</f>
        <v>1</v>
      </c>
      <c r="W345" s="1">
        <f>IF(Table14[[#This Row],[I_0]] &lt; INDEX(Table28[Filtro de ruido],1), 1, Table14[[#This Row],[I_30]] / Table14[[#This Row],[I_0]])</f>
        <v>1</v>
      </c>
      <c r="X345" s="1">
        <f>IF(Table14[[#This Row],[I_0]] &lt; INDEX(Table28[Filtro de ruido],1), 1, Table14[[#This Row],[I_40]] / Table14[[#This Row],[I_0]])</f>
        <v>1</v>
      </c>
      <c r="Y345" s="19">
        <f>IF(Table14[[#This Row],[I_0]] &lt; INDEX(Table28[Filtro de ruido],1), 1, Table14[[#This Row],[I_50]] / Table14[[#This Row],[I_0]])</f>
        <v>1</v>
      </c>
      <c r="AA345" s="1"/>
    </row>
    <row r="346" spans="1:27" x14ac:dyDescent="0.3">
      <c r="A346" s="18">
        <v>411.45</v>
      </c>
      <c r="B346" s="1">
        <v>0.1</v>
      </c>
      <c r="C346" s="1">
        <v>411.45</v>
      </c>
      <c r="D346" s="1">
        <v>0.1</v>
      </c>
      <c r="E346" s="1">
        <v>411.45</v>
      </c>
      <c r="F346" s="1">
        <v>0.1</v>
      </c>
      <c r="G346" s="1">
        <v>411.45</v>
      </c>
      <c r="H346" s="1">
        <v>0.1</v>
      </c>
      <c r="I346" s="1">
        <v>411.45</v>
      </c>
      <c r="J346" s="1">
        <v>0.1</v>
      </c>
      <c r="K346" s="1">
        <v>411.45</v>
      </c>
      <c r="L346" s="1">
        <v>0.1</v>
      </c>
      <c r="M346" s="1">
        <v>411.45</v>
      </c>
      <c r="N346" s="1">
        <v>0.1</v>
      </c>
      <c r="O346" s="1">
        <v>0.1</v>
      </c>
      <c r="P346" s="1">
        <v>0.1</v>
      </c>
      <c r="Q346" s="1">
        <v>0.1</v>
      </c>
      <c r="R346" s="1">
        <v>0.1</v>
      </c>
      <c r="S346" s="1">
        <v>0.1</v>
      </c>
      <c r="T346" s="1">
        <v>411.45</v>
      </c>
      <c r="U346" s="1">
        <f>IF(Table14[[#This Row],[I_0]] &lt; INDEX(Table28[Filtro de ruido],1), 1, Table14[[#This Row],[I_10]] / Table14[[#This Row],[I_0]])</f>
        <v>1</v>
      </c>
      <c r="V346" s="1">
        <f>IF(Table14[[#This Row],[I_0]] &lt; INDEX(Table28[Filtro de ruido],1), 1, Table14[[#This Row],[I_20]] / Table14[[#This Row],[I_0]])</f>
        <v>1</v>
      </c>
      <c r="W346" s="1">
        <f>IF(Table14[[#This Row],[I_0]] &lt; INDEX(Table28[Filtro de ruido],1), 1, Table14[[#This Row],[I_30]] / Table14[[#This Row],[I_0]])</f>
        <v>1</v>
      </c>
      <c r="X346" s="1">
        <f>IF(Table14[[#This Row],[I_0]] &lt; INDEX(Table28[Filtro de ruido],1), 1, Table14[[#This Row],[I_40]] / Table14[[#This Row],[I_0]])</f>
        <v>1</v>
      </c>
      <c r="Y346" s="19">
        <f>IF(Table14[[#This Row],[I_0]] &lt; INDEX(Table28[Filtro de ruido],1), 1, Table14[[#This Row],[I_50]] / Table14[[#This Row],[I_0]])</f>
        <v>1</v>
      </c>
      <c r="AA346" s="1"/>
    </row>
    <row r="347" spans="1:27" x14ac:dyDescent="0.3">
      <c r="A347" s="18">
        <v>412.44</v>
      </c>
      <c r="B347" s="1">
        <v>0.1</v>
      </c>
      <c r="C347" s="1">
        <v>412.44</v>
      </c>
      <c r="D347" s="1">
        <v>0.1</v>
      </c>
      <c r="E347" s="1">
        <v>412.44</v>
      </c>
      <c r="F347" s="1">
        <v>0.1</v>
      </c>
      <c r="G347" s="1">
        <v>412.44</v>
      </c>
      <c r="H347" s="1">
        <v>0.1</v>
      </c>
      <c r="I347" s="1">
        <v>412.44</v>
      </c>
      <c r="J347" s="1">
        <v>0.1</v>
      </c>
      <c r="K347" s="1">
        <v>412.44</v>
      </c>
      <c r="L347" s="1">
        <v>0.1</v>
      </c>
      <c r="M347" s="1">
        <v>412.44</v>
      </c>
      <c r="N347" s="1">
        <v>0.1</v>
      </c>
      <c r="O347" s="1">
        <v>0.1</v>
      </c>
      <c r="P347" s="1">
        <v>0.1</v>
      </c>
      <c r="Q347" s="1">
        <v>0.1</v>
      </c>
      <c r="R347" s="1">
        <v>0.1</v>
      </c>
      <c r="S347" s="1">
        <v>0.1</v>
      </c>
      <c r="T347" s="1">
        <v>412.44</v>
      </c>
      <c r="U347" s="1">
        <f>IF(Table14[[#This Row],[I_0]] &lt; INDEX(Table28[Filtro de ruido],1), 1, Table14[[#This Row],[I_10]] / Table14[[#This Row],[I_0]])</f>
        <v>1</v>
      </c>
      <c r="V347" s="1">
        <f>IF(Table14[[#This Row],[I_0]] &lt; INDEX(Table28[Filtro de ruido],1), 1, Table14[[#This Row],[I_20]] / Table14[[#This Row],[I_0]])</f>
        <v>1</v>
      </c>
      <c r="W347" s="1">
        <f>IF(Table14[[#This Row],[I_0]] &lt; INDEX(Table28[Filtro de ruido],1), 1, Table14[[#This Row],[I_30]] / Table14[[#This Row],[I_0]])</f>
        <v>1</v>
      </c>
      <c r="X347" s="1">
        <f>IF(Table14[[#This Row],[I_0]] &lt; INDEX(Table28[Filtro de ruido],1), 1, Table14[[#This Row],[I_40]] / Table14[[#This Row],[I_0]])</f>
        <v>1</v>
      </c>
      <c r="Y347" s="19">
        <f>IF(Table14[[#This Row],[I_0]] &lt; INDEX(Table28[Filtro de ruido],1), 1, Table14[[#This Row],[I_50]] / Table14[[#This Row],[I_0]])</f>
        <v>1</v>
      </c>
      <c r="AA347" s="1"/>
    </row>
    <row r="348" spans="1:27" x14ac:dyDescent="0.3">
      <c r="A348" s="18">
        <v>413.43</v>
      </c>
      <c r="B348" s="1">
        <v>0.1</v>
      </c>
      <c r="C348" s="1">
        <v>413.43</v>
      </c>
      <c r="D348" s="1">
        <v>0.1</v>
      </c>
      <c r="E348" s="1">
        <v>413.43</v>
      </c>
      <c r="F348" s="1">
        <v>0.1</v>
      </c>
      <c r="G348" s="1">
        <v>413.43</v>
      </c>
      <c r="H348" s="1">
        <v>0.1</v>
      </c>
      <c r="I348" s="1">
        <v>413.43</v>
      </c>
      <c r="J348" s="1">
        <v>0.1</v>
      </c>
      <c r="K348" s="1">
        <v>413.43</v>
      </c>
      <c r="L348" s="1">
        <v>0.1</v>
      </c>
      <c r="M348" s="1">
        <v>413.43</v>
      </c>
      <c r="N348" s="1">
        <v>0.1</v>
      </c>
      <c r="O348" s="1">
        <v>0.1</v>
      </c>
      <c r="P348" s="1">
        <v>0.1</v>
      </c>
      <c r="Q348" s="1">
        <v>0.1</v>
      </c>
      <c r="R348" s="1">
        <v>0.1</v>
      </c>
      <c r="S348" s="1">
        <v>0.1</v>
      </c>
      <c r="T348" s="1">
        <v>413.43</v>
      </c>
      <c r="U348" s="1">
        <f>IF(Table14[[#This Row],[I_0]] &lt; INDEX(Table28[Filtro de ruido],1), 1, Table14[[#This Row],[I_10]] / Table14[[#This Row],[I_0]])</f>
        <v>1</v>
      </c>
      <c r="V348" s="1">
        <f>IF(Table14[[#This Row],[I_0]] &lt; INDEX(Table28[Filtro de ruido],1), 1, Table14[[#This Row],[I_20]] / Table14[[#This Row],[I_0]])</f>
        <v>1</v>
      </c>
      <c r="W348" s="1">
        <f>IF(Table14[[#This Row],[I_0]] &lt; INDEX(Table28[Filtro de ruido],1), 1, Table14[[#This Row],[I_30]] / Table14[[#This Row],[I_0]])</f>
        <v>1</v>
      </c>
      <c r="X348" s="1">
        <f>IF(Table14[[#This Row],[I_0]] &lt; INDEX(Table28[Filtro de ruido],1), 1, Table14[[#This Row],[I_40]] / Table14[[#This Row],[I_0]])</f>
        <v>1</v>
      </c>
      <c r="Y348" s="19">
        <f>IF(Table14[[#This Row],[I_0]] &lt; INDEX(Table28[Filtro de ruido],1), 1, Table14[[#This Row],[I_50]] / Table14[[#This Row],[I_0]])</f>
        <v>1</v>
      </c>
      <c r="AA348" s="1"/>
    </row>
    <row r="349" spans="1:27" x14ac:dyDescent="0.3">
      <c r="A349" s="18">
        <v>414.42</v>
      </c>
      <c r="B349" s="1">
        <v>0.1</v>
      </c>
      <c r="C349" s="1">
        <v>414.42</v>
      </c>
      <c r="D349" s="1">
        <v>0.2</v>
      </c>
      <c r="E349" s="1">
        <v>414.42</v>
      </c>
      <c r="F349" s="1">
        <v>0.2</v>
      </c>
      <c r="G349" s="1">
        <v>414.42</v>
      </c>
      <c r="H349" s="1">
        <v>0.2</v>
      </c>
      <c r="I349" s="1">
        <v>414.42</v>
      </c>
      <c r="J349" s="1">
        <v>0.2</v>
      </c>
      <c r="K349" s="1">
        <v>414.42</v>
      </c>
      <c r="L349" s="1">
        <v>0.2</v>
      </c>
      <c r="M349" s="1">
        <v>414.42</v>
      </c>
      <c r="N349" s="1">
        <v>0.1</v>
      </c>
      <c r="O349" s="1">
        <v>0.2</v>
      </c>
      <c r="P349" s="1">
        <v>0.2</v>
      </c>
      <c r="Q349" s="1">
        <v>0.2</v>
      </c>
      <c r="R349" s="1">
        <v>0.2</v>
      </c>
      <c r="S349" s="1">
        <v>0.2</v>
      </c>
      <c r="T349" s="1">
        <v>414.42</v>
      </c>
      <c r="U349" s="1">
        <f>IF(Table14[[#This Row],[I_0]] &lt; INDEX(Table28[Filtro de ruido],1), 1, Table14[[#This Row],[I_10]] / Table14[[#This Row],[I_0]])</f>
        <v>2</v>
      </c>
      <c r="V349" s="1">
        <f>IF(Table14[[#This Row],[I_0]] &lt; INDEX(Table28[Filtro de ruido],1), 1, Table14[[#This Row],[I_20]] / Table14[[#This Row],[I_0]])</f>
        <v>2</v>
      </c>
      <c r="W349" s="1">
        <f>IF(Table14[[#This Row],[I_0]] &lt; INDEX(Table28[Filtro de ruido],1), 1, Table14[[#This Row],[I_30]] / Table14[[#This Row],[I_0]])</f>
        <v>2</v>
      </c>
      <c r="X349" s="1">
        <f>IF(Table14[[#This Row],[I_0]] &lt; INDEX(Table28[Filtro de ruido],1), 1, Table14[[#This Row],[I_40]] / Table14[[#This Row],[I_0]])</f>
        <v>2</v>
      </c>
      <c r="Y349" s="19">
        <f>IF(Table14[[#This Row],[I_0]] &lt; INDEX(Table28[Filtro de ruido],1), 1, Table14[[#This Row],[I_50]] / Table14[[#This Row],[I_0]])</f>
        <v>2</v>
      </c>
      <c r="AA349" s="1"/>
    </row>
    <row r="350" spans="1:27" x14ac:dyDescent="0.3">
      <c r="A350" s="18">
        <v>415.41</v>
      </c>
      <c r="B350" s="1">
        <v>0.2</v>
      </c>
      <c r="C350" s="1">
        <v>415.41</v>
      </c>
      <c r="D350" s="1">
        <v>0.2</v>
      </c>
      <c r="E350" s="1">
        <v>415.41</v>
      </c>
      <c r="F350" s="1">
        <v>0.2</v>
      </c>
      <c r="G350" s="1">
        <v>415.41</v>
      </c>
      <c r="H350" s="1">
        <v>0.2</v>
      </c>
      <c r="I350" s="1">
        <v>415.41</v>
      </c>
      <c r="J350" s="1">
        <v>0.2</v>
      </c>
      <c r="K350" s="1">
        <v>415.41</v>
      </c>
      <c r="L350" s="1">
        <v>0.2</v>
      </c>
      <c r="M350" s="1">
        <v>415.41</v>
      </c>
      <c r="N350" s="1">
        <v>0.2</v>
      </c>
      <c r="O350" s="1">
        <v>0.2</v>
      </c>
      <c r="P350" s="1">
        <v>0.2</v>
      </c>
      <c r="Q350" s="1">
        <v>0.2</v>
      </c>
      <c r="R350" s="1">
        <v>0.2</v>
      </c>
      <c r="S350" s="1">
        <v>0.2</v>
      </c>
      <c r="T350" s="1">
        <v>415.41</v>
      </c>
      <c r="U350" s="1">
        <f>IF(Table14[[#This Row],[I_0]] &lt; INDEX(Table28[Filtro de ruido],1), 1, Table14[[#This Row],[I_10]] / Table14[[#This Row],[I_0]])</f>
        <v>1</v>
      </c>
      <c r="V350" s="1">
        <f>IF(Table14[[#This Row],[I_0]] &lt; INDEX(Table28[Filtro de ruido],1), 1, Table14[[#This Row],[I_20]] / Table14[[#This Row],[I_0]])</f>
        <v>1</v>
      </c>
      <c r="W350" s="1">
        <f>IF(Table14[[#This Row],[I_0]] &lt; INDEX(Table28[Filtro de ruido],1), 1, Table14[[#This Row],[I_30]] / Table14[[#This Row],[I_0]])</f>
        <v>1</v>
      </c>
      <c r="X350" s="1">
        <f>IF(Table14[[#This Row],[I_0]] &lt; INDEX(Table28[Filtro de ruido],1), 1, Table14[[#This Row],[I_40]] / Table14[[#This Row],[I_0]])</f>
        <v>1</v>
      </c>
      <c r="Y350" s="19">
        <f>IF(Table14[[#This Row],[I_0]] &lt; INDEX(Table28[Filtro de ruido],1), 1, Table14[[#This Row],[I_50]] / Table14[[#This Row],[I_0]])</f>
        <v>1</v>
      </c>
      <c r="AA350" s="1"/>
    </row>
    <row r="351" spans="1:27" x14ac:dyDescent="0.3">
      <c r="A351" s="18">
        <v>416.41</v>
      </c>
      <c r="B351" s="1">
        <v>0.2</v>
      </c>
      <c r="C351" s="1">
        <v>416.41</v>
      </c>
      <c r="D351" s="1">
        <v>0.2</v>
      </c>
      <c r="E351" s="1">
        <v>416.41</v>
      </c>
      <c r="F351" s="1">
        <v>0.2</v>
      </c>
      <c r="G351" s="1">
        <v>416.41</v>
      </c>
      <c r="H351" s="1">
        <v>0.3</v>
      </c>
      <c r="I351" s="1">
        <v>416.41</v>
      </c>
      <c r="J351" s="1">
        <v>0.3</v>
      </c>
      <c r="K351" s="1">
        <v>416.41</v>
      </c>
      <c r="L351" s="1">
        <v>0.3</v>
      </c>
      <c r="M351" s="1">
        <v>416.41</v>
      </c>
      <c r="N351" s="1">
        <v>0.2</v>
      </c>
      <c r="O351" s="1">
        <v>0.2</v>
      </c>
      <c r="P351" s="1">
        <v>0.2</v>
      </c>
      <c r="Q351" s="1">
        <v>0.3</v>
      </c>
      <c r="R351" s="1">
        <v>0.3</v>
      </c>
      <c r="S351" s="1">
        <v>0.3</v>
      </c>
      <c r="T351" s="1">
        <v>416.41</v>
      </c>
      <c r="U351" s="1">
        <f>IF(Table14[[#This Row],[I_0]] &lt; INDEX(Table28[Filtro de ruido],1), 1, Table14[[#This Row],[I_10]] / Table14[[#This Row],[I_0]])</f>
        <v>1</v>
      </c>
      <c r="V351" s="1">
        <f>IF(Table14[[#This Row],[I_0]] &lt; INDEX(Table28[Filtro de ruido],1), 1, Table14[[#This Row],[I_20]] / Table14[[#This Row],[I_0]])</f>
        <v>1</v>
      </c>
      <c r="W351" s="1">
        <f>IF(Table14[[#This Row],[I_0]] &lt; INDEX(Table28[Filtro de ruido],1), 1, Table14[[#This Row],[I_30]] / Table14[[#This Row],[I_0]])</f>
        <v>1.4999999999999998</v>
      </c>
      <c r="X351" s="1">
        <f>IF(Table14[[#This Row],[I_0]] &lt; INDEX(Table28[Filtro de ruido],1), 1, Table14[[#This Row],[I_40]] / Table14[[#This Row],[I_0]])</f>
        <v>1.4999999999999998</v>
      </c>
      <c r="Y351" s="19">
        <f>IF(Table14[[#This Row],[I_0]] &lt; INDEX(Table28[Filtro de ruido],1), 1, Table14[[#This Row],[I_50]] / Table14[[#This Row],[I_0]])</f>
        <v>1.4999999999999998</v>
      </c>
      <c r="AA351" s="1"/>
    </row>
    <row r="352" spans="1:27" x14ac:dyDescent="0.3">
      <c r="A352" s="18">
        <v>417.4</v>
      </c>
      <c r="B352" s="1">
        <v>0.3</v>
      </c>
      <c r="C352" s="1">
        <v>417.4</v>
      </c>
      <c r="D352" s="1">
        <v>0.3</v>
      </c>
      <c r="E352" s="1">
        <v>417.4</v>
      </c>
      <c r="F352" s="1">
        <v>0.3</v>
      </c>
      <c r="G352" s="1">
        <v>417.4</v>
      </c>
      <c r="H352" s="1">
        <v>0.3</v>
      </c>
      <c r="I352" s="1">
        <v>417.4</v>
      </c>
      <c r="J352" s="1">
        <v>0.3</v>
      </c>
      <c r="K352" s="1">
        <v>417.4</v>
      </c>
      <c r="L352" s="1">
        <v>0.3</v>
      </c>
      <c r="M352" s="1">
        <v>417.4</v>
      </c>
      <c r="N352" s="1">
        <v>0.3</v>
      </c>
      <c r="O352" s="1">
        <v>0.3</v>
      </c>
      <c r="P352" s="1">
        <v>0.3</v>
      </c>
      <c r="Q352" s="1">
        <v>0.3</v>
      </c>
      <c r="R352" s="1">
        <v>0.3</v>
      </c>
      <c r="S352" s="1">
        <v>0.3</v>
      </c>
      <c r="T352" s="1">
        <v>417.4</v>
      </c>
      <c r="U352" s="1">
        <f>IF(Table14[[#This Row],[I_0]] &lt; INDEX(Table28[Filtro de ruido],1), 1, Table14[[#This Row],[I_10]] / Table14[[#This Row],[I_0]])</f>
        <v>1</v>
      </c>
      <c r="V352" s="1">
        <f>IF(Table14[[#This Row],[I_0]] &lt; INDEX(Table28[Filtro de ruido],1), 1, Table14[[#This Row],[I_20]] / Table14[[#This Row],[I_0]])</f>
        <v>1</v>
      </c>
      <c r="W352" s="1">
        <f>IF(Table14[[#This Row],[I_0]] &lt; INDEX(Table28[Filtro de ruido],1), 1, Table14[[#This Row],[I_30]] / Table14[[#This Row],[I_0]])</f>
        <v>1</v>
      </c>
      <c r="X352" s="1">
        <f>IF(Table14[[#This Row],[I_0]] &lt; INDEX(Table28[Filtro de ruido],1), 1, Table14[[#This Row],[I_40]] / Table14[[#This Row],[I_0]])</f>
        <v>1</v>
      </c>
      <c r="Y352" s="19">
        <f>IF(Table14[[#This Row],[I_0]] &lt; INDEX(Table28[Filtro de ruido],1), 1, Table14[[#This Row],[I_50]] / Table14[[#This Row],[I_0]])</f>
        <v>1</v>
      </c>
      <c r="AA352" s="1"/>
    </row>
    <row r="353" spans="1:27" x14ac:dyDescent="0.3">
      <c r="A353" s="18">
        <v>418.39</v>
      </c>
      <c r="B353" s="1">
        <v>0.3</v>
      </c>
      <c r="C353" s="1">
        <v>418.39</v>
      </c>
      <c r="D353" s="1">
        <v>0.4</v>
      </c>
      <c r="E353" s="1">
        <v>418.39</v>
      </c>
      <c r="F353" s="1">
        <v>0.4</v>
      </c>
      <c r="G353" s="1">
        <v>418.39</v>
      </c>
      <c r="H353" s="1">
        <v>0.4</v>
      </c>
      <c r="I353" s="1">
        <v>418.39</v>
      </c>
      <c r="J353" s="1">
        <v>0.4</v>
      </c>
      <c r="K353" s="1">
        <v>418.39</v>
      </c>
      <c r="L353" s="1">
        <v>0.4</v>
      </c>
      <c r="M353" s="1">
        <v>418.39</v>
      </c>
      <c r="N353" s="1">
        <v>0.3</v>
      </c>
      <c r="O353" s="1">
        <v>0.4</v>
      </c>
      <c r="P353" s="1">
        <v>0.4</v>
      </c>
      <c r="Q353" s="1">
        <v>0.4</v>
      </c>
      <c r="R353" s="1">
        <v>0.4</v>
      </c>
      <c r="S353" s="1">
        <v>0.4</v>
      </c>
      <c r="T353" s="1">
        <v>418.39</v>
      </c>
      <c r="U353" s="1">
        <f>IF(Table14[[#This Row],[I_0]] &lt; INDEX(Table28[Filtro de ruido],1), 1, Table14[[#This Row],[I_10]] / Table14[[#This Row],[I_0]])</f>
        <v>1.3333333333333335</v>
      </c>
      <c r="V353" s="1">
        <f>IF(Table14[[#This Row],[I_0]] &lt; INDEX(Table28[Filtro de ruido],1), 1, Table14[[#This Row],[I_20]] / Table14[[#This Row],[I_0]])</f>
        <v>1.3333333333333335</v>
      </c>
      <c r="W353" s="1">
        <f>IF(Table14[[#This Row],[I_0]] &lt; INDEX(Table28[Filtro de ruido],1), 1, Table14[[#This Row],[I_30]] / Table14[[#This Row],[I_0]])</f>
        <v>1.3333333333333335</v>
      </c>
      <c r="X353" s="1">
        <f>IF(Table14[[#This Row],[I_0]] &lt; INDEX(Table28[Filtro de ruido],1), 1, Table14[[#This Row],[I_40]] / Table14[[#This Row],[I_0]])</f>
        <v>1.3333333333333335</v>
      </c>
      <c r="Y353" s="19">
        <f>IF(Table14[[#This Row],[I_0]] &lt; INDEX(Table28[Filtro de ruido],1), 1, Table14[[#This Row],[I_50]] / Table14[[#This Row],[I_0]])</f>
        <v>1.3333333333333335</v>
      </c>
      <c r="AA353" s="1"/>
    </row>
    <row r="354" spans="1:27" x14ac:dyDescent="0.3">
      <c r="A354" s="18">
        <v>419.38</v>
      </c>
      <c r="B354" s="1">
        <v>0.4</v>
      </c>
      <c r="C354" s="1">
        <v>419.38</v>
      </c>
      <c r="D354" s="1">
        <v>0.4</v>
      </c>
      <c r="E354" s="1">
        <v>419.38</v>
      </c>
      <c r="F354" s="1">
        <v>0.5</v>
      </c>
      <c r="G354" s="1">
        <v>419.38</v>
      </c>
      <c r="H354" s="1">
        <v>0.5</v>
      </c>
      <c r="I354" s="1">
        <v>419.38</v>
      </c>
      <c r="J354" s="1">
        <v>0.5</v>
      </c>
      <c r="K354" s="1">
        <v>419.38</v>
      </c>
      <c r="L354" s="1">
        <v>0.5</v>
      </c>
      <c r="M354" s="1">
        <v>419.38</v>
      </c>
      <c r="N354" s="1">
        <v>0.4</v>
      </c>
      <c r="O354" s="1">
        <v>0.4</v>
      </c>
      <c r="P354" s="1">
        <v>0.5</v>
      </c>
      <c r="Q354" s="1">
        <v>0.5</v>
      </c>
      <c r="R354" s="1">
        <v>0.5</v>
      </c>
      <c r="S354" s="1">
        <v>0.5</v>
      </c>
      <c r="T354" s="1">
        <v>419.38</v>
      </c>
      <c r="U354" s="1">
        <f>IF(Table14[[#This Row],[I_0]] &lt; INDEX(Table28[Filtro de ruido],1), 1, Table14[[#This Row],[I_10]] / Table14[[#This Row],[I_0]])</f>
        <v>1</v>
      </c>
      <c r="V354" s="1">
        <f>IF(Table14[[#This Row],[I_0]] &lt; INDEX(Table28[Filtro de ruido],1), 1, Table14[[#This Row],[I_20]] / Table14[[#This Row],[I_0]])</f>
        <v>1.25</v>
      </c>
      <c r="W354" s="1">
        <f>IF(Table14[[#This Row],[I_0]] &lt; INDEX(Table28[Filtro de ruido],1), 1, Table14[[#This Row],[I_30]] / Table14[[#This Row],[I_0]])</f>
        <v>1.25</v>
      </c>
      <c r="X354" s="1">
        <f>IF(Table14[[#This Row],[I_0]] &lt; INDEX(Table28[Filtro de ruido],1), 1, Table14[[#This Row],[I_40]] / Table14[[#This Row],[I_0]])</f>
        <v>1.25</v>
      </c>
      <c r="Y354" s="19">
        <f>IF(Table14[[#This Row],[I_0]] &lt; INDEX(Table28[Filtro de ruido],1), 1, Table14[[#This Row],[I_50]] / Table14[[#This Row],[I_0]])</f>
        <v>1.25</v>
      </c>
      <c r="AA354" s="1"/>
    </row>
    <row r="355" spans="1:27" x14ac:dyDescent="0.3">
      <c r="A355" s="18">
        <v>420.37</v>
      </c>
      <c r="B355" s="1">
        <v>0.5</v>
      </c>
      <c r="C355" s="1">
        <v>420.37</v>
      </c>
      <c r="D355" s="1">
        <v>0.5</v>
      </c>
      <c r="E355" s="1">
        <v>420.37</v>
      </c>
      <c r="F355" s="1">
        <v>0.6</v>
      </c>
      <c r="G355" s="1">
        <v>420.37</v>
      </c>
      <c r="H355" s="1">
        <v>0.6</v>
      </c>
      <c r="I355" s="1">
        <v>420.37</v>
      </c>
      <c r="J355" s="1">
        <v>0.6</v>
      </c>
      <c r="K355" s="1">
        <v>420.37</v>
      </c>
      <c r="L355" s="1">
        <v>0.6</v>
      </c>
      <c r="M355" s="1">
        <v>420.37</v>
      </c>
      <c r="N355" s="1">
        <v>0.5</v>
      </c>
      <c r="O355" s="1">
        <v>0.5</v>
      </c>
      <c r="P355" s="1">
        <v>0.6</v>
      </c>
      <c r="Q355" s="1">
        <v>0.6</v>
      </c>
      <c r="R355" s="1">
        <v>0.6</v>
      </c>
      <c r="S355" s="1">
        <v>0.6</v>
      </c>
      <c r="T355" s="1">
        <v>420.37</v>
      </c>
      <c r="U355" s="1">
        <f>IF(Table14[[#This Row],[I_0]] &lt; INDEX(Table28[Filtro de ruido],1), 1, Table14[[#This Row],[I_10]] / Table14[[#This Row],[I_0]])</f>
        <v>1</v>
      </c>
      <c r="V355" s="1">
        <f>IF(Table14[[#This Row],[I_0]] &lt; INDEX(Table28[Filtro de ruido],1), 1, Table14[[#This Row],[I_20]] / Table14[[#This Row],[I_0]])</f>
        <v>1.2</v>
      </c>
      <c r="W355" s="1">
        <f>IF(Table14[[#This Row],[I_0]] &lt; INDEX(Table28[Filtro de ruido],1), 1, Table14[[#This Row],[I_30]] / Table14[[#This Row],[I_0]])</f>
        <v>1.2</v>
      </c>
      <c r="X355" s="1">
        <f>IF(Table14[[#This Row],[I_0]] &lt; INDEX(Table28[Filtro de ruido],1), 1, Table14[[#This Row],[I_40]] / Table14[[#This Row],[I_0]])</f>
        <v>1.2</v>
      </c>
      <c r="Y355" s="19">
        <f>IF(Table14[[#This Row],[I_0]] &lt; INDEX(Table28[Filtro de ruido],1), 1, Table14[[#This Row],[I_50]] / Table14[[#This Row],[I_0]])</f>
        <v>1.2</v>
      </c>
      <c r="AA355" s="1"/>
    </row>
    <row r="356" spans="1:27" x14ac:dyDescent="0.3">
      <c r="A356" s="18">
        <v>421.37</v>
      </c>
      <c r="B356" s="1">
        <v>0.6</v>
      </c>
      <c r="C356" s="1">
        <v>421.37</v>
      </c>
      <c r="D356" s="1">
        <v>0.7</v>
      </c>
      <c r="E356" s="1">
        <v>421.37</v>
      </c>
      <c r="F356" s="1">
        <v>0.7</v>
      </c>
      <c r="G356" s="1">
        <v>421.37</v>
      </c>
      <c r="H356" s="1">
        <v>0.7</v>
      </c>
      <c r="I356" s="1">
        <v>421.37</v>
      </c>
      <c r="J356" s="1">
        <v>0.7</v>
      </c>
      <c r="K356" s="1">
        <v>421.37</v>
      </c>
      <c r="L356" s="1">
        <v>0.7</v>
      </c>
      <c r="M356" s="1">
        <v>421.37</v>
      </c>
      <c r="N356" s="1">
        <v>0.6</v>
      </c>
      <c r="O356" s="1">
        <v>0.7</v>
      </c>
      <c r="P356" s="1">
        <v>0.7</v>
      </c>
      <c r="Q356" s="1">
        <v>0.7</v>
      </c>
      <c r="R356" s="1">
        <v>0.7</v>
      </c>
      <c r="S356" s="1">
        <v>0.7</v>
      </c>
      <c r="T356" s="1">
        <v>421.37</v>
      </c>
      <c r="U356" s="1">
        <f>IF(Table14[[#This Row],[I_0]] &lt; INDEX(Table28[Filtro de ruido],1), 1, Table14[[#This Row],[I_10]] / Table14[[#This Row],[I_0]])</f>
        <v>1.1666666666666667</v>
      </c>
      <c r="V356" s="1">
        <f>IF(Table14[[#This Row],[I_0]] &lt; INDEX(Table28[Filtro de ruido],1), 1, Table14[[#This Row],[I_20]] / Table14[[#This Row],[I_0]])</f>
        <v>1.1666666666666667</v>
      </c>
      <c r="W356" s="1">
        <f>IF(Table14[[#This Row],[I_0]] &lt; INDEX(Table28[Filtro de ruido],1), 1, Table14[[#This Row],[I_30]] / Table14[[#This Row],[I_0]])</f>
        <v>1.1666666666666667</v>
      </c>
      <c r="X356" s="1">
        <f>IF(Table14[[#This Row],[I_0]] &lt; INDEX(Table28[Filtro de ruido],1), 1, Table14[[#This Row],[I_40]] / Table14[[#This Row],[I_0]])</f>
        <v>1.1666666666666667</v>
      </c>
      <c r="Y356" s="19">
        <f>IF(Table14[[#This Row],[I_0]] &lt; INDEX(Table28[Filtro de ruido],1), 1, Table14[[#This Row],[I_50]] / Table14[[#This Row],[I_0]])</f>
        <v>1.1666666666666667</v>
      </c>
      <c r="AA356" s="1"/>
    </row>
    <row r="357" spans="1:27" x14ac:dyDescent="0.3">
      <c r="A357" s="18">
        <v>422.36</v>
      </c>
      <c r="B357" s="1">
        <v>0.8</v>
      </c>
      <c r="C357" s="1">
        <v>422.36</v>
      </c>
      <c r="D357" s="1">
        <v>0.8</v>
      </c>
      <c r="E357" s="1">
        <v>422.36</v>
      </c>
      <c r="F357" s="1">
        <v>0.9</v>
      </c>
      <c r="G357" s="1">
        <v>422.36</v>
      </c>
      <c r="H357" s="1">
        <v>0.9</v>
      </c>
      <c r="I357" s="1">
        <v>422.36</v>
      </c>
      <c r="J357" s="1">
        <v>0.9</v>
      </c>
      <c r="K357" s="1">
        <v>422.36</v>
      </c>
      <c r="L357" s="1">
        <v>0.9</v>
      </c>
      <c r="M357" s="1">
        <v>422.36</v>
      </c>
      <c r="N357" s="1">
        <v>0.8</v>
      </c>
      <c r="O357" s="1">
        <v>0.8</v>
      </c>
      <c r="P357" s="1">
        <v>0.9</v>
      </c>
      <c r="Q357" s="1">
        <v>0.9</v>
      </c>
      <c r="R357" s="1">
        <v>0.9</v>
      </c>
      <c r="S357" s="1">
        <v>0.9</v>
      </c>
      <c r="T357" s="1">
        <v>422.36</v>
      </c>
      <c r="U357" s="1">
        <f>IF(Table14[[#This Row],[I_0]] &lt; INDEX(Table28[Filtro de ruido],1), 1, Table14[[#This Row],[I_10]] / Table14[[#This Row],[I_0]])</f>
        <v>1</v>
      </c>
      <c r="V357" s="1">
        <f>IF(Table14[[#This Row],[I_0]] &lt; INDEX(Table28[Filtro de ruido],1), 1, Table14[[#This Row],[I_20]] / Table14[[#This Row],[I_0]])</f>
        <v>1.125</v>
      </c>
      <c r="W357" s="1">
        <f>IF(Table14[[#This Row],[I_0]] &lt; INDEX(Table28[Filtro de ruido],1), 1, Table14[[#This Row],[I_30]] / Table14[[#This Row],[I_0]])</f>
        <v>1.125</v>
      </c>
      <c r="X357" s="1">
        <f>IF(Table14[[#This Row],[I_0]] &lt; INDEX(Table28[Filtro de ruido],1), 1, Table14[[#This Row],[I_40]] / Table14[[#This Row],[I_0]])</f>
        <v>1.125</v>
      </c>
      <c r="Y357" s="19">
        <f>IF(Table14[[#This Row],[I_0]] &lt; INDEX(Table28[Filtro de ruido],1), 1, Table14[[#This Row],[I_50]] / Table14[[#This Row],[I_0]])</f>
        <v>1.125</v>
      </c>
      <c r="AA357" s="1"/>
    </row>
    <row r="358" spans="1:27" x14ac:dyDescent="0.3">
      <c r="A358" s="18">
        <v>423.35</v>
      </c>
      <c r="B358" s="1">
        <v>0.9</v>
      </c>
      <c r="C358" s="1">
        <v>423.35</v>
      </c>
      <c r="D358" s="1">
        <v>1</v>
      </c>
      <c r="E358" s="1">
        <v>423.35</v>
      </c>
      <c r="F358" s="1">
        <v>1.1000000000000001</v>
      </c>
      <c r="G358" s="1">
        <v>423.35</v>
      </c>
      <c r="H358" s="1">
        <v>1.1000000000000001</v>
      </c>
      <c r="I358" s="1">
        <v>423.35</v>
      </c>
      <c r="J358" s="1">
        <v>1.1000000000000001</v>
      </c>
      <c r="K358" s="1">
        <v>423.35</v>
      </c>
      <c r="L358" s="1">
        <v>1.1000000000000001</v>
      </c>
      <c r="M358" s="1">
        <v>423.35</v>
      </c>
      <c r="N358" s="1">
        <v>0.9</v>
      </c>
      <c r="O358" s="1">
        <v>1</v>
      </c>
      <c r="P358" s="1">
        <v>1.1000000000000001</v>
      </c>
      <c r="Q358" s="1">
        <v>1.1000000000000001</v>
      </c>
      <c r="R358" s="1">
        <v>1.1000000000000001</v>
      </c>
      <c r="S358" s="1">
        <v>1.1000000000000001</v>
      </c>
      <c r="T358" s="1">
        <v>423.35</v>
      </c>
      <c r="U358" s="1">
        <f>IF(Table14[[#This Row],[I_0]] &lt; INDEX(Table28[Filtro de ruido],1), 1, Table14[[#This Row],[I_10]] / Table14[[#This Row],[I_0]])</f>
        <v>1.1111111111111112</v>
      </c>
      <c r="V358" s="1">
        <f>IF(Table14[[#This Row],[I_0]] &lt; INDEX(Table28[Filtro de ruido],1), 1, Table14[[#This Row],[I_20]] / Table14[[#This Row],[I_0]])</f>
        <v>1.2222222222222223</v>
      </c>
      <c r="W358" s="1">
        <f>IF(Table14[[#This Row],[I_0]] &lt; INDEX(Table28[Filtro de ruido],1), 1, Table14[[#This Row],[I_30]] / Table14[[#This Row],[I_0]])</f>
        <v>1.2222222222222223</v>
      </c>
      <c r="X358" s="1">
        <f>IF(Table14[[#This Row],[I_0]] &lt; INDEX(Table28[Filtro de ruido],1), 1, Table14[[#This Row],[I_40]] / Table14[[#This Row],[I_0]])</f>
        <v>1.2222222222222223</v>
      </c>
      <c r="Y358" s="19">
        <f>IF(Table14[[#This Row],[I_0]] &lt; INDEX(Table28[Filtro de ruido],1), 1, Table14[[#This Row],[I_50]] / Table14[[#This Row],[I_0]])</f>
        <v>1.2222222222222223</v>
      </c>
      <c r="AA358" s="1"/>
    </row>
    <row r="359" spans="1:27" x14ac:dyDescent="0.3">
      <c r="A359" s="18">
        <v>424.34</v>
      </c>
      <c r="B359" s="1">
        <v>1.2</v>
      </c>
      <c r="C359" s="1">
        <v>424.34</v>
      </c>
      <c r="D359" s="1">
        <v>1.3</v>
      </c>
      <c r="E359" s="1">
        <v>424.34</v>
      </c>
      <c r="F359" s="1">
        <v>1.3</v>
      </c>
      <c r="G359" s="1">
        <v>424.34</v>
      </c>
      <c r="H359" s="1">
        <v>1.4</v>
      </c>
      <c r="I359" s="1">
        <v>424.34</v>
      </c>
      <c r="J359" s="1">
        <v>1.4</v>
      </c>
      <c r="K359" s="1">
        <v>424.34</v>
      </c>
      <c r="L359" s="1">
        <v>1.4</v>
      </c>
      <c r="M359" s="1">
        <v>424.34</v>
      </c>
      <c r="N359" s="1">
        <v>1.2</v>
      </c>
      <c r="O359" s="1">
        <v>1.3</v>
      </c>
      <c r="P359" s="1">
        <v>1.3</v>
      </c>
      <c r="Q359" s="1">
        <v>1.4</v>
      </c>
      <c r="R359" s="1">
        <v>1.4</v>
      </c>
      <c r="S359" s="1">
        <v>1.4</v>
      </c>
      <c r="T359" s="1">
        <v>424.34</v>
      </c>
      <c r="U359" s="1">
        <f>IF(Table14[[#This Row],[I_0]] &lt; INDEX(Table28[Filtro de ruido],1), 1, Table14[[#This Row],[I_10]] / Table14[[#This Row],[I_0]])</f>
        <v>1.0833333333333335</v>
      </c>
      <c r="V359" s="1">
        <f>IF(Table14[[#This Row],[I_0]] &lt; INDEX(Table28[Filtro de ruido],1), 1, Table14[[#This Row],[I_20]] / Table14[[#This Row],[I_0]])</f>
        <v>1.0833333333333335</v>
      </c>
      <c r="W359" s="1">
        <f>IF(Table14[[#This Row],[I_0]] &lt; INDEX(Table28[Filtro de ruido],1), 1, Table14[[#This Row],[I_30]] / Table14[[#This Row],[I_0]])</f>
        <v>1.1666666666666667</v>
      </c>
      <c r="X359" s="1">
        <f>IF(Table14[[#This Row],[I_0]] &lt; INDEX(Table28[Filtro de ruido],1), 1, Table14[[#This Row],[I_40]] / Table14[[#This Row],[I_0]])</f>
        <v>1.1666666666666667</v>
      </c>
      <c r="Y359" s="19">
        <f>IF(Table14[[#This Row],[I_0]] &lt; INDEX(Table28[Filtro de ruido],1), 1, Table14[[#This Row],[I_50]] / Table14[[#This Row],[I_0]])</f>
        <v>1.1666666666666667</v>
      </c>
      <c r="AA359" s="1"/>
    </row>
    <row r="360" spans="1:27" x14ac:dyDescent="0.3">
      <c r="A360" s="18">
        <v>425.33</v>
      </c>
      <c r="B360" s="1">
        <v>1.4</v>
      </c>
      <c r="C360" s="1">
        <v>425.33</v>
      </c>
      <c r="D360" s="1">
        <v>1.5</v>
      </c>
      <c r="E360" s="1">
        <v>425.33</v>
      </c>
      <c r="F360" s="1">
        <v>1.6</v>
      </c>
      <c r="G360" s="1">
        <v>425.33</v>
      </c>
      <c r="H360" s="1">
        <v>1.7</v>
      </c>
      <c r="I360" s="1">
        <v>425.33</v>
      </c>
      <c r="J360" s="1">
        <v>1.7</v>
      </c>
      <c r="K360" s="1">
        <v>425.33</v>
      </c>
      <c r="L360" s="1">
        <v>1.7</v>
      </c>
      <c r="M360" s="1">
        <v>425.33</v>
      </c>
      <c r="N360" s="1">
        <v>1.4</v>
      </c>
      <c r="O360" s="1">
        <v>1.5</v>
      </c>
      <c r="P360" s="1">
        <v>1.6</v>
      </c>
      <c r="Q360" s="1">
        <v>1.7</v>
      </c>
      <c r="R360" s="1">
        <v>1.7</v>
      </c>
      <c r="S360" s="1">
        <v>1.7</v>
      </c>
      <c r="T360" s="1">
        <v>425.33</v>
      </c>
      <c r="U360" s="1">
        <f>IF(Table14[[#This Row],[I_0]] &lt; INDEX(Table28[Filtro de ruido],1), 1, Table14[[#This Row],[I_10]] / Table14[[#This Row],[I_0]])</f>
        <v>1.0714285714285714</v>
      </c>
      <c r="V360" s="1">
        <f>IF(Table14[[#This Row],[I_0]] &lt; INDEX(Table28[Filtro de ruido],1), 1, Table14[[#This Row],[I_20]] / Table14[[#This Row],[I_0]])</f>
        <v>1.142857142857143</v>
      </c>
      <c r="W360" s="1">
        <f>IF(Table14[[#This Row],[I_0]] &lt; INDEX(Table28[Filtro de ruido],1), 1, Table14[[#This Row],[I_30]] / Table14[[#This Row],[I_0]])</f>
        <v>1.2142857142857144</v>
      </c>
      <c r="X360" s="1">
        <f>IF(Table14[[#This Row],[I_0]] &lt; INDEX(Table28[Filtro de ruido],1), 1, Table14[[#This Row],[I_40]] / Table14[[#This Row],[I_0]])</f>
        <v>1.2142857142857144</v>
      </c>
      <c r="Y360" s="19">
        <f>IF(Table14[[#This Row],[I_0]] &lt; INDEX(Table28[Filtro de ruido],1), 1, Table14[[#This Row],[I_50]] / Table14[[#This Row],[I_0]])</f>
        <v>1.2142857142857144</v>
      </c>
      <c r="AA360" s="1"/>
    </row>
    <row r="361" spans="1:27" x14ac:dyDescent="0.3">
      <c r="A361" s="18">
        <v>426.32</v>
      </c>
      <c r="B361" s="1">
        <v>1.8</v>
      </c>
      <c r="C361" s="1">
        <v>426.32</v>
      </c>
      <c r="D361" s="1">
        <v>1.9</v>
      </c>
      <c r="E361" s="1">
        <v>426.32</v>
      </c>
      <c r="F361" s="1">
        <v>2</v>
      </c>
      <c r="G361" s="1">
        <v>426.32</v>
      </c>
      <c r="H361" s="1">
        <v>2.1</v>
      </c>
      <c r="I361" s="1">
        <v>426.32</v>
      </c>
      <c r="J361" s="1">
        <v>2.1</v>
      </c>
      <c r="K361" s="1">
        <v>426.32</v>
      </c>
      <c r="L361" s="1">
        <v>2.1</v>
      </c>
      <c r="M361" s="1">
        <v>426.32</v>
      </c>
      <c r="N361" s="1">
        <v>1.8</v>
      </c>
      <c r="O361" s="1">
        <v>1.9</v>
      </c>
      <c r="P361" s="1">
        <v>2</v>
      </c>
      <c r="Q361" s="1">
        <v>2.1</v>
      </c>
      <c r="R361" s="1">
        <v>2.1</v>
      </c>
      <c r="S361" s="1">
        <v>2.1</v>
      </c>
      <c r="T361" s="1">
        <v>426.32</v>
      </c>
      <c r="U361" s="1">
        <f>IF(Table14[[#This Row],[I_0]] &lt; INDEX(Table28[Filtro de ruido],1), 1, Table14[[#This Row],[I_10]] / Table14[[#This Row],[I_0]])</f>
        <v>1.0555555555555556</v>
      </c>
      <c r="V361" s="1">
        <f>IF(Table14[[#This Row],[I_0]] &lt; INDEX(Table28[Filtro de ruido],1), 1, Table14[[#This Row],[I_20]] / Table14[[#This Row],[I_0]])</f>
        <v>1.1111111111111112</v>
      </c>
      <c r="W361" s="1">
        <f>IF(Table14[[#This Row],[I_0]] &lt; INDEX(Table28[Filtro de ruido],1), 1, Table14[[#This Row],[I_30]] / Table14[[#This Row],[I_0]])</f>
        <v>1.1666666666666667</v>
      </c>
      <c r="X361" s="1">
        <f>IF(Table14[[#This Row],[I_0]] &lt; INDEX(Table28[Filtro de ruido],1), 1, Table14[[#This Row],[I_40]] / Table14[[#This Row],[I_0]])</f>
        <v>1.1666666666666667</v>
      </c>
      <c r="Y361" s="19">
        <f>IF(Table14[[#This Row],[I_0]] &lt; INDEX(Table28[Filtro de ruido],1), 1, Table14[[#This Row],[I_50]] / Table14[[#This Row],[I_0]])</f>
        <v>1.1666666666666667</v>
      </c>
      <c r="AA361" s="1"/>
    </row>
    <row r="362" spans="1:27" x14ac:dyDescent="0.3">
      <c r="A362" s="18">
        <v>427.32</v>
      </c>
      <c r="B362" s="1">
        <v>2.2000000000000002</v>
      </c>
      <c r="C362" s="1">
        <v>427.32</v>
      </c>
      <c r="D362" s="1">
        <v>2.2999999999999998</v>
      </c>
      <c r="E362" s="1">
        <v>427.32</v>
      </c>
      <c r="F362" s="1">
        <v>2.4</v>
      </c>
      <c r="G362" s="1">
        <v>427.32</v>
      </c>
      <c r="H362" s="1">
        <v>2.6</v>
      </c>
      <c r="I362" s="1">
        <v>427.32</v>
      </c>
      <c r="J362" s="1">
        <v>2.6</v>
      </c>
      <c r="K362" s="1">
        <v>427.32</v>
      </c>
      <c r="L362" s="1">
        <v>2.6</v>
      </c>
      <c r="M362" s="1">
        <v>427.32</v>
      </c>
      <c r="N362" s="1">
        <v>2.2000000000000002</v>
      </c>
      <c r="O362" s="1">
        <v>2.2999999999999998</v>
      </c>
      <c r="P362" s="1">
        <v>2.4</v>
      </c>
      <c r="Q362" s="1">
        <v>2.6</v>
      </c>
      <c r="R362" s="1">
        <v>2.6</v>
      </c>
      <c r="S362" s="1">
        <v>2.6</v>
      </c>
      <c r="T362" s="1">
        <v>427.32</v>
      </c>
      <c r="U362" s="1">
        <f>IF(Table14[[#This Row],[I_0]] &lt; INDEX(Table28[Filtro de ruido],1), 1, Table14[[#This Row],[I_10]] / Table14[[#This Row],[I_0]])</f>
        <v>1.0454545454545452</v>
      </c>
      <c r="V362" s="1">
        <f>IF(Table14[[#This Row],[I_0]] &lt; INDEX(Table28[Filtro de ruido],1), 1, Table14[[#This Row],[I_20]] / Table14[[#This Row],[I_0]])</f>
        <v>1.0909090909090908</v>
      </c>
      <c r="W362" s="1">
        <f>IF(Table14[[#This Row],[I_0]] &lt; INDEX(Table28[Filtro de ruido],1), 1, Table14[[#This Row],[I_30]] / Table14[[#This Row],[I_0]])</f>
        <v>1.1818181818181817</v>
      </c>
      <c r="X362" s="1">
        <f>IF(Table14[[#This Row],[I_0]] &lt; INDEX(Table28[Filtro de ruido],1), 1, Table14[[#This Row],[I_40]] / Table14[[#This Row],[I_0]])</f>
        <v>1.1818181818181817</v>
      </c>
      <c r="Y362" s="19">
        <f>IF(Table14[[#This Row],[I_0]] &lt; INDEX(Table28[Filtro de ruido],1), 1, Table14[[#This Row],[I_50]] / Table14[[#This Row],[I_0]])</f>
        <v>1.1818181818181817</v>
      </c>
      <c r="AA362" s="1"/>
    </row>
    <row r="363" spans="1:27" x14ac:dyDescent="0.3">
      <c r="A363" s="18">
        <v>428.31</v>
      </c>
      <c r="B363" s="1">
        <v>2.7</v>
      </c>
      <c r="C363" s="1">
        <v>428.31</v>
      </c>
      <c r="D363" s="1">
        <v>2.9</v>
      </c>
      <c r="E363" s="1">
        <v>428.31</v>
      </c>
      <c r="F363" s="1">
        <v>3</v>
      </c>
      <c r="G363" s="1">
        <v>428.31</v>
      </c>
      <c r="H363" s="1">
        <v>3.2</v>
      </c>
      <c r="I363" s="1">
        <v>428.31</v>
      </c>
      <c r="J363" s="1">
        <v>3.2</v>
      </c>
      <c r="K363" s="1">
        <v>428.31</v>
      </c>
      <c r="L363" s="1">
        <v>3.2</v>
      </c>
      <c r="M363" s="1">
        <v>428.31</v>
      </c>
      <c r="N363" s="1">
        <v>2.7</v>
      </c>
      <c r="O363" s="1">
        <v>2.9</v>
      </c>
      <c r="P363" s="1">
        <v>3</v>
      </c>
      <c r="Q363" s="1">
        <v>3.2</v>
      </c>
      <c r="R363" s="1">
        <v>3.2</v>
      </c>
      <c r="S363" s="1">
        <v>3.2</v>
      </c>
      <c r="T363" s="1">
        <v>428.31</v>
      </c>
      <c r="U363" s="1">
        <f>IF(Table14[[#This Row],[I_0]] &lt; INDEX(Table28[Filtro de ruido],1), 1, Table14[[#This Row],[I_10]] / Table14[[#This Row],[I_0]])</f>
        <v>1.074074074074074</v>
      </c>
      <c r="V363" s="1">
        <f>IF(Table14[[#This Row],[I_0]] &lt; INDEX(Table28[Filtro de ruido],1), 1, Table14[[#This Row],[I_20]] / Table14[[#This Row],[I_0]])</f>
        <v>1.1111111111111109</v>
      </c>
      <c r="W363" s="1">
        <f>IF(Table14[[#This Row],[I_0]] &lt; INDEX(Table28[Filtro de ruido],1), 1, Table14[[#This Row],[I_30]] / Table14[[#This Row],[I_0]])</f>
        <v>1.1851851851851851</v>
      </c>
      <c r="X363" s="1">
        <f>IF(Table14[[#This Row],[I_0]] &lt; INDEX(Table28[Filtro de ruido],1), 1, Table14[[#This Row],[I_40]] / Table14[[#This Row],[I_0]])</f>
        <v>1.1851851851851851</v>
      </c>
      <c r="Y363" s="19">
        <f>IF(Table14[[#This Row],[I_0]] &lt; INDEX(Table28[Filtro de ruido],1), 1, Table14[[#This Row],[I_50]] / Table14[[#This Row],[I_0]])</f>
        <v>1.1851851851851851</v>
      </c>
      <c r="AA363" s="1"/>
    </row>
    <row r="364" spans="1:27" x14ac:dyDescent="0.3">
      <c r="A364" s="18">
        <v>429.3</v>
      </c>
      <c r="B364" s="1">
        <v>3.3</v>
      </c>
      <c r="C364" s="1">
        <v>429.3</v>
      </c>
      <c r="D364" s="1">
        <v>3.5</v>
      </c>
      <c r="E364" s="1">
        <v>429.3</v>
      </c>
      <c r="F364" s="1">
        <v>3.7</v>
      </c>
      <c r="G364" s="1">
        <v>429.3</v>
      </c>
      <c r="H364" s="1">
        <v>3.9</v>
      </c>
      <c r="I364" s="1">
        <v>429.3</v>
      </c>
      <c r="J364" s="1">
        <v>3.9</v>
      </c>
      <c r="K364" s="1">
        <v>429.3</v>
      </c>
      <c r="L364" s="1">
        <v>3.9</v>
      </c>
      <c r="M364" s="1">
        <v>429.3</v>
      </c>
      <c r="N364" s="1">
        <v>3.3</v>
      </c>
      <c r="O364" s="1">
        <v>3.5</v>
      </c>
      <c r="P364" s="1">
        <v>3.7</v>
      </c>
      <c r="Q364" s="1">
        <v>3.9</v>
      </c>
      <c r="R364" s="1">
        <v>3.9</v>
      </c>
      <c r="S364" s="1">
        <v>3.9</v>
      </c>
      <c r="T364" s="1">
        <v>429.3</v>
      </c>
      <c r="U364" s="1">
        <f>IF(Table14[[#This Row],[I_0]] &lt; INDEX(Table28[Filtro de ruido],1), 1, Table14[[#This Row],[I_10]] / Table14[[#This Row],[I_0]])</f>
        <v>1.0606060606060606</v>
      </c>
      <c r="V364" s="1">
        <f>IF(Table14[[#This Row],[I_0]] &lt; INDEX(Table28[Filtro de ruido],1), 1, Table14[[#This Row],[I_20]] / Table14[[#This Row],[I_0]])</f>
        <v>1.1212121212121213</v>
      </c>
      <c r="W364" s="1">
        <f>IF(Table14[[#This Row],[I_0]] &lt; INDEX(Table28[Filtro de ruido],1), 1, Table14[[#This Row],[I_30]] / Table14[[#This Row],[I_0]])</f>
        <v>1.1818181818181819</v>
      </c>
      <c r="X364" s="1">
        <f>IF(Table14[[#This Row],[I_0]] &lt; INDEX(Table28[Filtro de ruido],1), 1, Table14[[#This Row],[I_40]] / Table14[[#This Row],[I_0]])</f>
        <v>1.1818181818181819</v>
      </c>
      <c r="Y364" s="19">
        <f>IF(Table14[[#This Row],[I_0]] &lt; INDEX(Table28[Filtro de ruido],1), 1, Table14[[#This Row],[I_50]] / Table14[[#This Row],[I_0]])</f>
        <v>1.1818181818181819</v>
      </c>
      <c r="AA364" s="1"/>
    </row>
    <row r="365" spans="1:27" x14ac:dyDescent="0.3">
      <c r="A365" s="18">
        <v>430.29</v>
      </c>
      <c r="B365" s="1">
        <v>4.0999999999999996</v>
      </c>
      <c r="C365" s="1">
        <v>430.29</v>
      </c>
      <c r="D365" s="1">
        <v>4.4000000000000004</v>
      </c>
      <c r="E365" s="1">
        <v>430.29</v>
      </c>
      <c r="F365" s="1">
        <v>4.5999999999999996</v>
      </c>
      <c r="G365" s="1">
        <v>430.29</v>
      </c>
      <c r="H365" s="1">
        <v>4.9000000000000004</v>
      </c>
      <c r="I365" s="1">
        <v>430.29</v>
      </c>
      <c r="J365" s="1">
        <v>4.8</v>
      </c>
      <c r="K365" s="1">
        <v>430.29</v>
      </c>
      <c r="L365" s="1">
        <v>4.8</v>
      </c>
      <c r="M365" s="1">
        <v>430.29</v>
      </c>
      <c r="N365" s="1">
        <v>4.0999999999999996</v>
      </c>
      <c r="O365" s="1">
        <v>4.4000000000000004</v>
      </c>
      <c r="P365" s="1">
        <v>4.5999999999999996</v>
      </c>
      <c r="Q365" s="1">
        <v>4.9000000000000004</v>
      </c>
      <c r="R365" s="1">
        <v>4.8</v>
      </c>
      <c r="S365" s="1">
        <v>4.8</v>
      </c>
      <c r="T365" s="1">
        <v>430.29</v>
      </c>
      <c r="U365" s="1">
        <f>IF(Table14[[#This Row],[I_0]] &lt; INDEX(Table28[Filtro de ruido],1), 1, Table14[[#This Row],[I_10]] / Table14[[#This Row],[I_0]])</f>
        <v>1.0731707317073174</v>
      </c>
      <c r="V365" s="1">
        <f>IF(Table14[[#This Row],[I_0]] &lt; INDEX(Table28[Filtro de ruido],1), 1, Table14[[#This Row],[I_20]] / Table14[[#This Row],[I_0]])</f>
        <v>1.1219512195121952</v>
      </c>
      <c r="W365" s="1">
        <f>IF(Table14[[#This Row],[I_0]] &lt; INDEX(Table28[Filtro de ruido],1), 1, Table14[[#This Row],[I_30]] / Table14[[#This Row],[I_0]])</f>
        <v>1.1951219512195124</v>
      </c>
      <c r="X365" s="1">
        <f>IF(Table14[[#This Row],[I_0]] &lt; INDEX(Table28[Filtro de ruido],1), 1, Table14[[#This Row],[I_40]] / Table14[[#This Row],[I_0]])</f>
        <v>1.1707317073170733</v>
      </c>
      <c r="Y365" s="19">
        <f>IF(Table14[[#This Row],[I_0]] &lt; INDEX(Table28[Filtro de ruido],1), 1, Table14[[#This Row],[I_50]] / Table14[[#This Row],[I_0]])</f>
        <v>1.1707317073170733</v>
      </c>
      <c r="AA365" s="1"/>
    </row>
    <row r="366" spans="1:27" x14ac:dyDescent="0.3">
      <c r="A366" s="18">
        <v>431.28</v>
      </c>
      <c r="B366" s="1">
        <v>5</v>
      </c>
      <c r="C366" s="1">
        <v>431.28</v>
      </c>
      <c r="D366" s="1">
        <v>5.4</v>
      </c>
      <c r="E366" s="1">
        <v>431.28</v>
      </c>
      <c r="F366" s="1">
        <v>5.6</v>
      </c>
      <c r="G366" s="1">
        <v>431.28</v>
      </c>
      <c r="H366" s="1">
        <v>5.9</v>
      </c>
      <c r="I366" s="1">
        <v>431.28</v>
      </c>
      <c r="J366" s="1">
        <v>5.9</v>
      </c>
      <c r="K366" s="1">
        <v>431.28</v>
      </c>
      <c r="L366" s="1">
        <v>5.9</v>
      </c>
      <c r="M366" s="1">
        <v>431.28</v>
      </c>
      <c r="N366" s="1">
        <v>5</v>
      </c>
      <c r="O366" s="1">
        <v>5.4</v>
      </c>
      <c r="P366" s="1">
        <v>5.6</v>
      </c>
      <c r="Q366" s="1">
        <v>5.9</v>
      </c>
      <c r="R366" s="1">
        <v>5.9</v>
      </c>
      <c r="S366" s="1">
        <v>5.9</v>
      </c>
      <c r="T366" s="1">
        <v>431.28</v>
      </c>
      <c r="U366" s="1">
        <f>IF(Table14[[#This Row],[I_0]] &lt; INDEX(Table28[Filtro de ruido],1), 1, Table14[[#This Row],[I_10]] / Table14[[#This Row],[I_0]])</f>
        <v>1.08</v>
      </c>
      <c r="V366" s="1">
        <f>IF(Table14[[#This Row],[I_0]] &lt; INDEX(Table28[Filtro de ruido],1), 1, Table14[[#This Row],[I_20]] / Table14[[#This Row],[I_0]])</f>
        <v>1.1199999999999999</v>
      </c>
      <c r="W366" s="1">
        <f>IF(Table14[[#This Row],[I_0]] &lt; INDEX(Table28[Filtro de ruido],1), 1, Table14[[#This Row],[I_30]] / Table14[[#This Row],[I_0]])</f>
        <v>1.1800000000000002</v>
      </c>
      <c r="X366" s="1">
        <f>IF(Table14[[#This Row],[I_0]] &lt; INDEX(Table28[Filtro de ruido],1), 1, Table14[[#This Row],[I_40]] / Table14[[#This Row],[I_0]])</f>
        <v>1.1800000000000002</v>
      </c>
      <c r="Y366" s="19">
        <f>IF(Table14[[#This Row],[I_0]] &lt; INDEX(Table28[Filtro de ruido],1), 1, Table14[[#This Row],[I_50]] / Table14[[#This Row],[I_0]])</f>
        <v>1.1800000000000002</v>
      </c>
      <c r="AA366" s="1"/>
    </row>
    <row r="367" spans="1:27" x14ac:dyDescent="0.3">
      <c r="A367" s="18">
        <v>432.27</v>
      </c>
      <c r="B367" s="1">
        <v>6.2</v>
      </c>
      <c r="C367" s="1">
        <v>432.27</v>
      </c>
      <c r="D367" s="1">
        <v>6.6</v>
      </c>
      <c r="E367" s="1">
        <v>432.27</v>
      </c>
      <c r="F367" s="1">
        <v>6.9</v>
      </c>
      <c r="G367" s="1">
        <v>432.27</v>
      </c>
      <c r="H367" s="1">
        <v>7.3</v>
      </c>
      <c r="I367" s="1">
        <v>432.27</v>
      </c>
      <c r="J367" s="1">
        <v>7.3</v>
      </c>
      <c r="K367" s="1">
        <v>432.27</v>
      </c>
      <c r="L367" s="1">
        <v>7.3</v>
      </c>
      <c r="M367" s="1">
        <v>432.27</v>
      </c>
      <c r="N367" s="1">
        <v>6.2</v>
      </c>
      <c r="O367" s="1">
        <v>6.6</v>
      </c>
      <c r="P367" s="1">
        <v>6.9</v>
      </c>
      <c r="Q367" s="1">
        <v>7.3</v>
      </c>
      <c r="R367" s="1">
        <v>7.3</v>
      </c>
      <c r="S367" s="1">
        <v>7.3</v>
      </c>
      <c r="T367" s="1">
        <v>432.27</v>
      </c>
      <c r="U367" s="1">
        <f>IF(Table14[[#This Row],[I_0]] &lt; INDEX(Table28[Filtro de ruido],1), 1, Table14[[#This Row],[I_10]] / Table14[[#This Row],[I_0]])</f>
        <v>1.064516129032258</v>
      </c>
      <c r="V367" s="1">
        <f>IF(Table14[[#This Row],[I_0]] &lt; INDEX(Table28[Filtro de ruido],1), 1, Table14[[#This Row],[I_20]] / Table14[[#This Row],[I_0]])</f>
        <v>1.1129032258064517</v>
      </c>
      <c r="W367" s="1">
        <f>IF(Table14[[#This Row],[I_0]] &lt; INDEX(Table28[Filtro de ruido],1), 1, Table14[[#This Row],[I_30]] / Table14[[#This Row],[I_0]])</f>
        <v>1.1774193548387095</v>
      </c>
      <c r="X367" s="1">
        <f>IF(Table14[[#This Row],[I_0]] &lt; INDEX(Table28[Filtro de ruido],1), 1, Table14[[#This Row],[I_40]] / Table14[[#This Row],[I_0]])</f>
        <v>1.1774193548387095</v>
      </c>
      <c r="Y367" s="19">
        <f>IF(Table14[[#This Row],[I_0]] &lt; INDEX(Table28[Filtro de ruido],1), 1, Table14[[#This Row],[I_50]] / Table14[[#This Row],[I_0]])</f>
        <v>1.1774193548387095</v>
      </c>
      <c r="AA367" s="1"/>
    </row>
    <row r="368" spans="1:27" x14ac:dyDescent="0.3">
      <c r="A368" s="18">
        <v>433.27</v>
      </c>
      <c r="B368" s="1">
        <v>7.7</v>
      </c>
      <c r="C368" s="1">
        <v>433.27</v>
      </c>
      <c r="D368" s="1">
        <v>8.3000000000000007</v>
      </c>
      <c r="E368" s="1">
        <v>433.27</v>
      </c>
      <c r="F368" s="1">
        <v>8.6999999999999993</v>
      </c>
      <c r="G368" s="1">
        <v>433.27</v>
      </c>
      <c r="H368" s="1">
        <v>9.1999999999999993</v>
      </c>
      <c r="I368" s="1">
        <v>433.27</v>
      </c>
      <c r="J368" s="1">
        <v>9.1</v>
      </c>
      <c r="K368" s="1">
        <v>433.27</v>
      </c>
      <c r="L368" s="1">
        <v>9.1</v>
      </c>
      <c r="M368" s="1">
        <v>433.27</v>
      </c>
      <c r="N368" s="1">
        <v>7.7</v>
      </c>
      <c r="O368" s="1">
        <v>8.3000000000000007</v>
      </c>
      <c r="P368" s="1">
        <v>8.6999999999999993</v>
      </c>
      <c r="Q368" s="1">
        <v>9.1999999999999993</v>
      </c>
      <c r="R368" s="1">
        <v>9.1</v>
      </c>
      <c r="S368" s="1">
        <v>9.1</v>
      </c>
      <c r="T368" s="1">
        <v>433.27</v>
      </c>
      <c r="U368" s="1">
        <f>IF(Table14[[#This Row],[I_0]] &lt; INDEX(Table28[Filtro de ruido],1), 1, Table14[[#This Row],[I_10]] / Table14[[#This Row],[I_0]])</f>
        <v>1.0779220779220779</v>
      </c>
      <c r="V368" s="1">
        <f>IF(Table14[[#This Row],[I_0]] &lt; INDEX(Table28[Filtro de ruido],1), 1, Table14[[#This Row],[I_20]] / Table14[[#This Row],[I_0]])</f>
        <v>1.1298701298701297</v>
      </c>
      <c r="W368" s="1">
        <f>IF(Table14[[#This Row],[I_0]] &lt; INDEX(Table28[Filtro de ruido],1), 1, Table14[[#This Row],[I_30]] / Table14[[#This Row],[I_0]])</f>
        <v>1.1948051948051948</v>
      </c>
      <c r="X368" s="1">
        <f>IF(Table14[[#This Row],[I_0]] &lt; INDEX(Table28[Filtro de ruido],1), 1, Table14[[#This Row],[I_40]] / Table14[[#This Row],[I_0]])</f>
        <v>1.1818181818181817</v>
      </c>
      <c r="Y368" s="19">
        <f>IF(Table14[[#This Row],[I_0]] &lt; INDEX(Table28[Filtro de ruido],1), 1, Table14[[#This Row],[I_50]] / Table14[[#This Row],[I_0]])</f>
        <v>1.1818181818181817</v>
      </c>
      <c r="AA368" s="1"/>
    </row>
    <row r="369" spans="1:27" x14ac:dyDescent="0.3">
      <c r="A369" s="18">
        <v>434.26</v>
      </c>
      <c r="B369" s="1">
        <v>9.1</v>
      </c>
      <c r="C369" s="1">
        <v>434.26</v>
      </c>
      <c r="D369" s="1">
        <v>9.6999999999999993</v>
      </c>
      <c r="E369" s="1">
        <v>434.26</v>
      </c>
      <c r="F369" s="1">
        <v>10.199999999999999</v>
      </c>
      <c r="G369" s="1">
        <v>434.26</v>
      </c>
      <c r="H369" s="1">
        <v>10.7</v>
      </c>
      <c r="I369" s="1">
        <v>434.26</v>
      </c>
      <c r="J369" s="1">
        <v>10.7</v>
      </c>
      <c r="K369" s="1">
        <v>434.26</v>
      </c>
      <c r="L369" s="1">
        <v>10.7</v>
      </c>
      <c r="M369" s="1">
        <v>434.26</v>
      </c>
      <c r="N369" s="1">
        <v>9.1</v>
      </c>
      <c r="O369" s="1">
        <v>9.6999999999999993</v>
      </c>
      <c r="P369" s="1">
        <v>10.199999999999999</v>
      </c>
      <c r="Q369" s="1">
        <v>10.7</v>
      </c>
      <c r="R369" s="1">
        <v>10.7</v>
      </c>
      <c r="S369" s="1">
        <v>10.7</v>
      </c>
      <c r="T369" s="1">
        <v>434.26</v>
      </c>
      <c r="U369" s="1">
        <f>IF(Table14[[#This Row],[I_0]] &lt; INDEX(Table28[Filtro de ruido],1), 1, Table14[[#This Row],[I_10]] / Table14[[#This Row],[I_0]])</f>
        <v>1.0659340659340659</v>
      </c>
      <c r="V369" s="1">
        <f>IF(Table14[[#This Row],[I_0]] &lt; INDEX(Table28[Filtro de ruido],1), 1, Table14[[#This Row],[I_20]] / Table14[[#This Row],[I_0]])</f>
        <v>1.1208791208791209</v>
      </c>
      <c r="W369" s="1">
        <f>IF(Table14[[#This Row],[I_0]] &lt; INDEX(Table28[Filtro de ruido],1), 1, Table14[[#This Row],[I_30]] / Table14[[#This Row],[I_0]])</f>
        <v>1.1758241758241759</v>
      </c>
      <c r="X369" s="1">
        <f>IF(Table14[[#This Row],[I_0]] &lt; INDEX(Table28[Filtro de ruido],1), 1, Table14[[#This Row],[I_40]] / Table14[[#This Row],[I_0]])</f>
        <v>1.1758241758241759</v>
      </c>
      <c r="Y369" s="19">
        <f>IF(Table14[[#This Row],[I_0]] &lt; INDEX(Table28[Filtro de ruido],1), 1, Table14[[#This Row],[I_50]] / Table14[[#This Row],[I_0]])</f>
        <v>1.1758241758241759</v>
      </c>
      <c r="AA369" s="1"/>
    </row>
    <row r="370" spans="1:27" x14ac:dyDescent="0.3">
      <c r="A370" s="18">
        <v>435.25</v>
      </c>
      <c r="B370" s="1">
        <v>10.9</v>
      </c>
      <c r="C370" s="1">
        <v>435.25</v>
      </c>
      <c r="D370" s="1">
        <v>11.7</v>
      </c>
      <c r="E370" s="1">
        <v>435.25</v>
      </c>
      <c r="F370" s="1">
        <v>12.2</v>
      </c>
      <c r="G370" s="1">
        <v>435.25</v>
      </c>
      <c r="H370" s="1">
        <v>12.8</v>
      </c>
      <c r="I370" s="1">
        <v>435.25</v>
      </c>
      <c r="J370" s="1">
        <v>12.8</v>
      </c>
      <c r="K370" s="1">
        <v>435.25</v>
      </c>
      <c r="L370" s="1">
        <v>12.8</v>
      </c>
      <c r="M370" s="1">
        <v>435.25</v>
      </c>
      <c r="N370" s="1">
        <v>10.9</v>
      </c>
      <c r="O370" s="1">
        <v>11.7</v>
      </c>
      <c r="P370" s="1">
        <v>12.2</v>
      </c>
      <c r="Q370" s="1">
        <v>12.8</v>
      </c>
      <c r="R370" s="1">
        <v>12.8</v>
      </c>
      <c r="S370" s="1">
        <v>12.8</v>
      </c>
      <c r="T370" s="1">
        <v>435.25</v>
      </c>
      <c r="U370" s="1">
        <f>IF(Table14[[#This Row],[I_0]] &lt; INDEX(Table28[Filtro de ruido],1), 1, Table14[[#This Row],[I_10]] / Table14[[#This Row],[I_0]])</f>
        <v>1.073394495412844</v>
      </c>
      <c r="V370" s="1">
        <f>IF(Table14[[#This Row],[I_0]] &lt; INDEX(Table28[Filtro de ruido],1), 1, Table14[[#This Row],[I_20]] / Table14[[#This Row],[I_0]])</f>
        <v>1.1192660550458715</v>
      </c>
      <c r="W370" s="1">
        <f>IF(Table14[[#This Row],[I_0]] &lt; INDEX(Table28[Filtro de ruido],1), 1, Table14[[#This Row],[I_30]] / Table14[[#This Row],[I_0]])</f>
        <v>1.1743119266055047</v>
      </c>
      <c r="X370" s="1">
        <f>IF(Table14[[#This Row],[I_0]] &lt; INDEX(Table28[Filtro de ruido],1), 1, Table14[[#This Row],[I_40]] / Table14[[#This Row],[I_0]])</f>
        <v>1.1743119266055047</v>
      </c>
      <c r="Y370" s="19">
        <f>IF(Table14[[#This Row],[I_0]] &lt; INDEX(Table28[Filtro de ruido],1), 1, Table14[[#This Row],[I_50]] / Table14[[#This Row],[I_0]])</f>
        <v>1.1743119266055047</v>
      </c>
      <c r="AA370" s="1"/>
    </row>
    <row r="371" spans="1:27" x14ac:dyDescent="0.3">
      <c r="A371" s="18">
        <v>436.24</v>
      </c>
      <c r="B371" s="1">
        <v>12.5</v>
      </c>
      <c r="C371" s="1">
        <v>436.24</v>
      </c>
      <c r="D371" s="1">
        <v>13.3</v>
      </c>
      <c r="E371" s="1">
        <v>436.24</v>
      </c>
      <c r="F371" s="1">
        <v>13.9</v>
      </c>
      <c r="G371" s="1">
        <v>436.24</v>
      </c>
      <c r="H371" s="1">
        <v>14.6</v>
      </c>
      <c r="I371" s="1">
        <v>436.24</v>
      </c>
      <c r="J371" s="1">
        <v>14.6</v>
      </c>
      <c r="K371" s="1">
        <v>436.24</v>
      </c>
      <c r="L371" s="1">
        <v>14.6</v>
      </c>
      <c r="M371" s="1">
        <v>436.24</v>
      </c>
      <c r="N371" s="1">
        <v>12.5</v>
      </c>
      <c r="O371" s="1">
        <v>13.3</v>
      </c>
      <c r="P371" s="1">
        <v>13.9</v>
      </c>
      <c r="Q371" s="1">
        <v>14.6</v>
      </c>
      <c r="R371" s="1">
        <v>14.6</v>
      </c>
      <c r="S371" s="1">
        <v>14.6</v>
      </c>
      <c r="T371" s="1">
        <v>436.24</v>
      </c>
      <c r="U371" s="1">
        <f>IF(Table14[[#This Row],[I_0]] &lt; INDEX(Table28[Filtro de ruido],1), 1, Table14[[#This Row],[I_10]] / Table14[[#This Row],[I_0]])</f>
        <v>1.0640000000000001</v>
      </c>
      <c r="V371" s="1">
        <f>IF(Table14[[#This Row],[I_0]] &lt; INDEX(Table28[Filtro de ruido],1), 1, Table14[[#This Row],[I_20]] / Table14[[#This Row],[I_0]])</f>
        <v>1.1120000000000001</v>
      </c>
      <c r="W371" s="1">
        <f>IF(Table14[[#This Row],[I_0]] &lt; INDEX(Table28[Filtro de ruido],1), 1, Table14[[#This Row],[I_30]] / Table14[[#This Row],[I_0]])</f>
        <v>1.1679999999999999</v>
      </c>
      <c r="X371" s="1">
        <f>IF(Table14[[#This Row],[I_0]] &lt; INDEX(Table28[Filtro de ruido],1), 1, Table14[[#This Row],[I_40]] / Table14[[#This Row],[I_0]])</f>
        <v>1.1679999999999999</v>
      </c>
      <c r="Y371" s="19">
        <f>IF(Table14[[#This Row],[I_0]] &lt; INDEX(Table28[Filtro de ruido],1), 1, Table14[[#This Row],[I_50]] / Table14[[#This Row],[I_0]])</f>
        <v>1.1679999999999999</v>
      </c>
      <c r="AA371" s="1"/>
    </row>
    <row r="372" spans="1:27" x14ac:dyDescent="0.3">
      <c r="A372" s="18">
        <v>437.23</v>
      </c>
      <c r="B372" s="1">
        <v>14.7</v>
      </c>
      <c r="C372" s="1">
        <v>437.23</v>
      </c>
      <c r="D372" s="1">
        <v>15.7</v>
      </c>
      <c r="E372" s="1">
        <v>437.23</v>
      </c>
      <c r="F372" s="1">
        <v>16.3</v>
      </c>
      <c r="G372" s="1">
        <v>437.23</v>
      </c>
      <c r="H372" s="1">
        <v>17.100000000000001</v>
      </c>
      <c r="I372" s="1">
        <v>437.23</v>
      </c>
      <c r="J372" s="1">
        <v>17.2</v>
      </c>
      <c r="K372" s="1">
        <v>437.23</v>
      </c>
      <c r="L372" s="1">
        <v>17.100000000000001</v>
      </c>
      <c r="M372" s="1">
        <v>437.23</v>
      </c>
      <c r="N372" s="1">
        <v>14.7</v>
      </c>
      <c r="O372" s="1">
        <v>15.7</v>
      </c>
      <c r="P372" s="1">
        <v>16.3</v>
      </c>
      <c r="Q372" s="1">
        <v>17.100000000000001</v>
      </c>
      <c r="R372" s="1">
        <v>17.2</v>
      </c>
      <c r="S372" s="1">
        <v>17.100000000000001</v>
      </c>
      <c r="T372" s="1">
        <v>437.23</v>
      </c>
      <c r="U372" s="1">
        <f>IF(Table14[[#This Row],[I_0]] &lt; INDEX(Table28[Filtro de ruido],1), 1, Table14[[#This Row],[I_10]] / Table14[[#This Row],[I_0]])</f>
        <v>1.0680272108843538</v>
      </c>
      <c r="V372" s="1">
        <f>IF(Table14[[#This Row],[I_0]] &lt; INDEX(Table28[Filtro de ruido],1), 1, Table14[[#This Row],[I_20]] / Table14[[#This Row],[I_0]])</f>
        <v>1.1088435374149661</v>
      </c>
      <c r="W372" s="1">
        <f>IF(Table14[[#This Row],[I_0]] &lt; INDEX(Table28[Filtro de ruido],1), 1, Table14[[#This Row],[I_30]] / Table14[[#This Row],[I_0]])</f>
        <v>1.1632653061224492</v>
      </c>
      <c r="X372" s="1">
        <f>IF(Table14[[#This Row],[I_0]] &lt; INDEX(Table28[Filtro de ruido],1), 1, Table14[[#This Row],[I_40]] / Table14[[#This Row],[I_0]])</f>
        <v>1.1700680272108843</v>
      </c>
      <c r="Y372" s="19">
        <f>IF(Table14[[#This Row],[I_0]] &lt; INDEX(Table28[Filtro de ruido],1), 1, Table14[[#This Row],[I_50]] / Table14[[#This Row],[I_0]])</f>
        <v>1.1632653061224492</v>
      </c>
      <c r="AA372" s="1"/>
    </row>
    <row r="373" spans="1:27" x14ac:dyDescent="0.3">
      <c r="A373" s="18">
        <v>438.23</v>
      </c>
      <c r="B373" s="1">
        <v>16.2</v>
      </c>
      <c r="C373" s="1">
        <v>438.23</v>
      </c>
      <c r="D373" s="1">
        <v>17.2</v>
      </c>
      <c r="E373" s="1">
        <v>438.23</v>
      </c>
      <c r="F373" s="1">
        <v>17.899999999999999</v>
      </c>
      <c r="G373" s="1">
        <v>438.23</v>
      </c>
      <c r="H373" s="1">
        <v>18.8</v>
      </c>
      <c r="I373" s="1">
        <v>438.23</v>
      </c>
      <c r="J373" s="1">
        <v>18.899999999999999</v>
      </c>
      <c r="K373" s="1">
        <v>438.23</v>
      </c>
      <c r="L373" s="1">
        <v>18.899999999999999</v>
      </c>
      <c r="M373" s="1">
        <v>438.23</v>
      </c>
      <c r="N373" s="1">
        <v>16.2</v>
      </c>
      <c r="O373" s="1">
        <v>17.2</v>
      </c>
      <c r="P373" s="1">
        <v>17.899999999999999</v>
      </c>
      <c r="Q373" s="1">
        <v>18.8</v>
      </c>
      <c r="R373" s="1">
        <v>18.899999999999999</v>
      </c>
      <c r="S373" s="1">
        <v>18.899999999999999</v>
      </c>
      <c r="T373" s="1">
        <v>438.23</v>
      </c>
      <c r="U373" s="1">
        <f>IF(Table14[[#This Row],[I_0]] &lt; INDEX(Table28[Filtro de ruido],1), 1, Table14[[#This Row],[I_10]] / Table14[[#This Row],[I_0]])</f>
        <v>1.0617283950617284</v>
      </c>
      <c r="V373" s="1">
        <f>IF(Table14[[#This Row],[I_0]] &lt; INDEX(Table28[Filtro de ruido],1), 1, Table14[[#This Row],[I_20]] / Table14[[#This Row],[I_0]])</f>
        <v>1.1049382716049383</v>
      </c>
      <c r="W373" s="1">
        <f>IF(Table14[[#This Row],[I_0]] &lt; INDEX(Table28[Filtro de ruido],1), 1, Table14[[#This Row],[I_30]] / Table14[[#This Row],[I_0]])</f>
        <v>1.1604938271604939</v>
      </c>
      <c r="X373" s="1">
        <f>IF(Table14[[#This Row],[I_0]] &lt; INDEX(Table28[Filtro de ruido],1), 1, Table14[[#This Row],[I_40]] / Table14[[#This Row],[I_0]])</f>
        <v>1.1666666666666667</v>
      </c>
      <c r="Y373" s="19">
        <f>IF(Table14[[#This Row],[I_0]] &lt; INDEX(Table28[Filtro de ruido],1), 1, Table14[[#This Row],[I_50]] / Table14[[#This Row],[I_0]])</f>
        <v>1.1666666666666667</v>
      </c>
      <c r="AA373" s="1"/>
    </row>
    <row r="374" spans="1:27" x14ac:dyDescent="0.3">
      <c r="A374" s="18">
        <v>439.22</v>
      </c>
      <c r="B374" s="1">
        <v>18.100000000000001</v>
      </c>
      <c r="C374" s="1">
        <v>439.22</v>
      </c>
      <c r="D374" s="1">
        <v>19.2</v>
      </c>
      <c r="E374" s="1">
        <v>439.22</v>
      </c>
      <c r="F374" s="1">
        <v>20</v>
      </c>
      <c r="G374" s="1">
        <v>439.22</v>
      </c>
      <c r="H374" s="1">
        <v>20.9</v>
      </c>
      <c r="I374" s="1">
        <v>439.22</v>
      </c>
      <c r="J374" s="1">
        <v>21.1</v>
      </c>
      <c r="K374" s="1">
        <v>439.22</v>
      </c>
      <c r="L374" s="1">
        <v>21.1</v>
      </c>
      <c r="M374" s="1">
        <v>439.22</v>
      </c>
      <c r="N374" s="1">
        <v>18.100000000000001</v>
      </c>
      <c r="O374" s="1">
        <v>19.2</v>
      </c>
      <c r="P374" s="1">
        <v>20</v>
      </c>
      <c r="Q374" s="1">
        <v>20.9</v>
      </c>
      <c r="R374" s="1">
        <v>21.1</v>
      </c>
      <c r="S374" s="1">
        <v>21.1</v>
      </c>
      <c r="T374" s="1">
        <v>439.22</v>
      </c>
      <c r="U374" s="1">
        <f>IF(Table14[[#This Row],[I_0]] &lt; INDEX(Table28[Filtro de ruido],1), 1, Table14[[#This Row],[I_10]] / Table14[[#This Row],[I_0]])</f>
        <v>1.0607734806629834</v>
      </c>
      <c r="V374" s="1">
        <f>IF(Table14[[#This Row],[I_0]] &lt; INDEX(Table28[Filtro de ruido],1), 1, Table14[[#This Row],[I_20]] / Table14[[#This Row],[I_0]])</f>
        <v>1.1049723756906076</v>
      </c>
      <c r="W374" s="1">
        <f>IF(Table14[[#This Row],[I_0]] &lt; INDEX(Table28[Filtro de ruido],1), 1, Table14[[#This Row],[I_30]] / Table14[[#This Row],[I_0]])</f>
        <v>1.1546961325966849</v>
      </c>
      <c r="X374" s="1">
        <f>IF(Table14[[#This Row],[I_0]] &lt; INDEX(Table28[Filtro de ruido],1), 1, Table14[[#This Row],[I_40]] / Table14[[#This Row],[I_0]])</f>
        <v>1.1657458563535912</v>
      </c>
      <c r="Y374" s="19">
        <f>IF(Table14[[#This Row],[I_0]] &lt; INDEX(Table28[Filtro de ruido],1), 1, Table14[[#This Row],[I_50]] / Table14[[#This Row],[I_0]])</f>
        <v>1.1657458563535912</v>
      </c>
      <c r="AA374" s="1"/>
    </row>
    <row r="375" spans="1:27" x14ac:dyDescent="0.3">
      <c r="A375" s="18">
        <v>440.21</v>
      </c>
      <c r="B375" s="1">
        <v>19.3</v>
      </c>
      <c r="C375" s="1">
        <v>440.21</v>
      </c>
      <c r="D375" s="1">
        <v>20.5</v>
      </c>
      <c r="E375" s="1">
        <v>440.21</v>
      </c>
      <c r="F375" s="1">
        <v>21.3</v>
      </c>
      <c r="G375" s="1">
        <v>440.21</v>
      </c>
      <c r="H375" s="1">
        <v>22.3</v>
      </c>
      <c r="I375" s="1">
        <v>440.21</v>
      </c>
      <c r="J375" s="1">
        <v>22.5</v>
      </c>
      <c r="K375" s="1">
        <v>440.21</v>
      </c>
      <c r="L375" s="1">
        <v>22.4</v>
      </c>
      <c r="M375" s="1">
        <v>440.21</v>
      </c>
      <c r="N375" s="1">
        <v>19.3</v>
      </c>
      <c r="O375" s="1">
        <v>20.5</v>
      </c>
      <c r="P375" s="1">
        <v>21.3</v>
      </c>
      <c r="Q375" s="1">
        <v>22.3</v>
      </c>
      <c r="R375" s="1">
        <v>22.5</v>
      </c>
      <c r="S375" s="1">
        <v>22.4</v>
      </c>
      <c r="T375" s="1">
        <v>440.21</v>
      </c>
      <c r="U375" s="1">
        <f>IF(Table14[[#This Row],[I_0]] &lt; INDEX(Table28[Filtro de ruido],1), 1, Table14[[#This Row],[I_10]] / Table14[[#This Row],[I_0]])</f>
        <v>1.0621761658031088</v>
      </c>
      <c r="V375" s="1">
        <f>IF(Table14[[#This Row],[I_0]] &lt; INDEX(Table28[Filtro de ruido],1), 1, Table14[[#This Row],[I_20]] / Table14[[#This Row],[I_0]])</f>
        <v>1.1036269430051813</v>
      </c>
      <c r="W375" s="1">
        <f>IF(Table14[[#This Row],[I_0]] &lt; INDEX(Table28[Filtro de ruido],1), 1, Table14[[#This Row],[I_30]] / Table14[[#This Row],[I_0]])</f>
        <v>1.1554404145077719</v>
      </c>
      <c r="X375" s="1">
        <f>IF(Table14[[#This Row],[I_0]] &lt; INDEX(Table28[Filtro de ruido],1), 1, Table14[[#This Row],[I_40]] / Table14[[#This Row],[I_0]])</f>
        <v>1.1658031088082901</v>
      </c>
      <c r="Y375" s="19">
        <f>IF(Table14[[#This Row],[I_0]] &lt; INDEX(Table28[Filtro de ruido],1), 1, Table14[[#This Row],[I_50]] / Table14[[#This Row],[I_0]])</f>
        <v>1.160621761658031</v>
      </c>
      <c r="AA375" s="1"/>
    </row>
    <row r="376" spans="1:27" x14ac:dyDescent="0.3">
      <c r="A376" s="18">
        <v>441.2</v>
      </c>
      <c r="B376" s="1">
        <v>20.7</v>
      </c>
      <c r="C376" s="1">
        <v>441.2</v>
      </c>
      <c r="D376" s="1">
        <v>21.9</v>
      </c>
      <c r="E376" s="1">
        <v>441.2</v>
      </c>
      <c r="F376" s="1">
        <v>22.8</v>
      </c>
      <c r="G376" s="1">
        <v>441.2</v>
      </c>
      <c r="H376" s="1">
        <v>23.9</v>
      </c>
      <c r="I376" s="1">
        <v>441.2</v>
      </c>
      <c r="J376" s="1">
        <v>24.2</v>
      </c>
      <c r="K376" s="1">
        <v>441.2</v>
      </c>
      <c r="L376" s="1">
        <v>24.1</v>
      </c>
      <c r="M376" s="1">
        <v>441.2</v>
      </c>
      <c r="N376" s="1">
        <v>20.7</v>
      </c>
      <c r="O376" s="1">
        <v>21.9</v>
      </c>
      <c r="P376" s="1">
        <v>22.8</v>
      </c>
      <c r="Q376" s="1">
        <v>23.9</v>
      </c>
      <c r="R376" s="1">
        <v>24.2</v>
      </c>
      <c r="S376" s="1">
        <v>24.1</v>
      </c>
      <c r="T376" s="1">
        <v>441.2</v>
      </c>
      <c r="U376" s="1">
        <f>IF(Table14[[#This Row],[I_0]] &lt; INDEX(Table28[Filtro de ruido],1), 1, Table14[[#This Row],[I_10]] / Table14[[#This Row],[I_0]])</f>
        <v>1.0579710144927537</v>
      </c>
      <c r="V376" s="1">
        <f>IF(Table14[[#This Row],[I_0]] &lt; INDEX(Table28[Filtro de ruido],1), 1, Table14[[#This Row],[I_20]] / Table14[[#This Row],[I_0]])</f>
        <v>1.1014492753623188</v>
      </c>
      <c r="W376" s="1">
        <f>IF(Table14[[#This Row],[I_0]] &lt; INDEX(Table28[Filtro de ruido],1), 1, Table14[[#This Row],[I_30]] / Table14[[#This Row],[I_0]])</f>
        <v>1.1545893719806763</v>
      </c>
      <c r="X376" s="1">
        <f>IF(Table14[[#This Row],[I_0]] &lt; INDEX(Table28[Filtro de ruido],1), 1, Table14[[#This Row],[I_40]] / Table14[[#This Row],[I_0]])</f>
        <v>1.1690821256038648</v>
      </c>
      <c r="Y376" s="19">
        <f>IF(Table14[[#This Row],[I_0]] &lt; INDEX(Table28[Filtro de ruido],1), 1, Table14[[#This Row],[I_50]] / Table14[[#This Row],[I_0]])</f>
        <v>1.1642512077294687</v>
      </c>
      <c r="AA376" s="1"/>
    </row>
    <row r="377" spans="1:27" x14ac:dyDescent="0.3">
      <c r="A377" s="18">
        <v>442.19</v>
      </c>
      <c r="B377" s="1">
        <v>21.3</v>
      </c>
      <c r="C377" s="1">
        <v>442.19</v>
      </c>
      <c r="D377" s="1">
        <v>22.6</v>
      </c>
      <c r="E377" s="1">
        <v>442.19</v>
      </c>
      <c r="F377" s="1">
        <v>23.5</v>
      </c>
      <c r="G377" s="1">
        <v>442.19</v>
      </c>
      <c r="H377" s="1">
        <v>24.7</v>
      </c>
      <c r="I377" s="1">
        <v>442.19</v>
      </c>
      <c r="J377" s="1">
        <v>24.9</v>
      </c>
      <c r="K377" s="1">
        <v>442.19</v>
      </c>
      <c r="L377" s="1">
        <v>24.9</v>
      </c>
      <c r="M377" s="1">
        <v>442.19</v>
      </c>
      <c r="N377" s="1">
        <v>21.3</v>
      </c>
      <c r="O377" s="1">
        <v>22.6</v>
      </c>
      <c r="P377" s="1">
        <v>23.5</v>
      </c>
      <c r="Q377" s="1">
        <v>24.7</v>
      </c>
      <c r="R377" s="1">
        <v>24.9</v>
      </c>
      <c r="S377" s="1">
        <v>24.9</v>
      </c>
      <c r="T377" s="1">
        <v>442.19</v>
      </c>
      <c r="U377" s="1">
        <f>IF(Table14[[#This Row],[I_0]] &lt; INDEX(Table28[Filtro de ruido],1), 1, Table14[[#This Row],[I_10]] / Table14[[#This Row],[I_0]])</f>
        <v>1.0610328638497653</v>
      </c>
      <c r="V377" s="1">
        <f>IF(Table14[[#This Row],[I_0]] &lt; INDEX(Table28[Filtro de ruido],1), 1, Table14[[#This Row],[I_20]] / Table14[[#This Row],[I_0]])</f>
        <v>1.1032863849765258</v>
      </c>
      <c r="W377" s="1">
        <f>IF(Table14[[#This Row],[I_0]] &lt; INDEX(Table28[Filtro de ruido],1), 1, Table14[[#This Row],[I_30]] / Table14[[#This Row],[I_0]])</f>
        <v>1.1596244131455398</v>
      </c>
      <c r="X377" s="1">
        <f>IF(Table14[[#This Row],[I_0]] &lt; INDEX(Table28[Filtro de ruido],1), 1, Table14[[#This Row],[I_40]] / Table14[[#This Row],[I_0]])</f>
        <v>1.1690140845070423</v>
      </c>
      <c r="Y377" s="19">
        <f>IF(Table14[[#This Row],[I_0]] &lt; INDEX(Table28[Filtro de ruido],1), 1, Table14[[#This Row],[I_50]] / Table14[[#This Row],[I_0]])</f>
        <v>1.1690140845070423</v>
      </c>
      <c r="AA377" s="1"/>
    </row>
    <row r="378" spans="1:27" x14ac:dyDescent="0.3">
      <c r="A378" s="18">
        <v>443.18</v>
      </c>
      <c r="B378" s="1">
        <v>21.7</v>
      </c>
      <c r="C378" s="1">
        <v>443.18</v>
      </c>
      <c r="D378" s="1">
        <v>23</v>
      </c>
      <c r="E378" s="1">
        <v>443.18</v>
      </c>
      <c r="F378" s="1">
        <v>24</v>
      </c>
      <c r="G378" s="1">
        <v>443.18</v>
      </c>
      <c r="H378" s="1">
        <v>25.1</v>
      </c>
      <c r="I378" s="1">
        <v>443.18</v>
      </c>
      <c r="J378" s="1">
        <v>25.4</v>
      </c>
      <c r="K378" s="1">
        <v>443.18</v>
      </c>
      <c r="L378" s="1">
        <v>25.3</v>
      </c>
      <c r="M378" s="1">
        <v>443.18</v>
      </c>
      <c r="N378" s="1">
        <v>21.7</v>
      </c>
      <c r="O378" s="1">
        <v>23</v>
      </c>
      <c r="P378" s="1">
        <v>24</v>
      </c>
      <c r="Q378" s="1">
        <v>25.1</v>
      </c>
      <c r="R378" s="1">
        <v>25.4</v>
      </c>
      <c r="S378" s="1">
        <v>25.3</v>
      </c>
      <c r="T378" s="1">
        <v>443.18</v>
      </c>
      <c r="U378" s="1">
        <f>IF(Table14[[#This Row],[I_0]] &lt; INDEX(Table28[Filtro de ruido],1), 1, Table14[[#This Row],[I_10]] / Table14[[#This Row],[I_0]])</f>
        <v>1.0599078341013826</v>
      </c>
      <c r="V378" s="1">
        <f>IF(Table14[[#This Row],[I_0]] &lt; INDEX(Table28[Filtro de ruido],1), 1, Table14[[#This Row],[I_20]] / Table14[[#This Row],[I_0]])</f>
        <v>1.1059907834101383</v>
      </c>
      <c r="W378" s="1">
        <f>IF(Table14[[#This Row],[I_0]] &lt; INDEX(Table28[Filtro de ruido],1), 1, Table14[[#This Row],[I_30]] / Table14[[#This Row],[I_0]])</f>
        <v>1.1566820276497698</v>
      </c>
      <c r="X378" s="1">
        <f>IF(Table14[[#This Row],[I_0]] &lt; INDEX(Table28[Filtro de ruido],1), 1, Table14[[#This Row],[I_40]] / Table14[[#This Row],[I_0]])</f>
        <v>1.1705069124423964</v>
      </c>
      <c r="Y378" s="19">
        <f>IF(Table14[[#This Row],[I_0]] &lt; INDEX(Table28[Filtro de ruido],1), 1, Table14[[#This Row],[I_50]] / Table14[[#This Row],[I_0]])</f>
        <v>1.1658986175115209</v>
      </c>
      <c r="AA378" s="1"/>
    </row>
    <row r="379" spans="1:27" x14ac:dyDescent="0.3">
      <c r="A379" s="18">
        <v>444.18</v>
      </c>
      <c r="B379" s="1">
        <v>21.6</v>
      </c>
      <c r="C379" s="1">
        <v>444.18</v>
      </c>
      <c r="D379" s="1">
        <v>22.9</v>
      </c>
      <c r="E379" s="1">
        <v>444.18</v>
      </c>
      <c r="F379" s="1">
        <v>23.8</v>
      </c>
      <c r="G379" s="1">
        <v>444.18</v>
      </c>
      <c r="H379" s="1">
        <v>25</v>
      </c>
      <c r="I379" s="1">
        <v>444.18</v>
      </c>
      <c r="J379" s="1">
        <v>25.3</v>
      </c>
      <c r="K379" s="1">
        <v>444.18</v>
      </c>
      <c r="L379" s="1">
        <v>25.3</v>
      </c>
      <c r="M379" s="1">
        <v>444.18</v>
      </c>
      <c r="N379" s="1">
        <v>21.6</v>
      </c>
      <c r="O379" s="1">
        <v>22.9</v>
      </c>
      <c r="P379" s="1">
        <v>23.8</v>
      </c>
      <c r="Q379" s="1">
        <v>25</v>
      </c>
      <c r="R379" s="1">
        <v>25.3</v>
      </c>
      <c r="S379" s="1">
        <v>25.3</v>
      </c>
      <c r="T379" s="1">
        <v>444.18</v>
      </c>
      <c r="U379" s="1">
        <f>IF(Table14[[#This Row],[I_0]] &lt; INDEX(Table28[Filtro de ruido],1), 1, Table14[[#This Row],[I_10]] / Table14[[#This Row],[I_0]])</f>
        <v>1.0601851851851851</v>
      </c>
      <c r="V379" s="1">
        <f>IF(Table14[[#This Row],[I_0]] &lt; INDEX(Table28[Filtro de ruido],1), 1, Table14[[#This Row],[I_20]] / Table14[[#This Row],[I_0]])</f>
        <v>1.1018518518518519</v>
      </c>
      <c r="W379" s="1">
        <f>IF(Table14[[#This Row],[I_0]] &lt; INDEX(Table28[Filtro de ruido],1), 1, Table14[[#This Row],[I_30]] / Table14[[#This Row],[I_0]])</f>
        <v>1.1574074074074074</v>
      </c>
      <c r="X379" s="1">
        <f>IF(Table14[[#This Row],[I_0]] &lt; INDEX(Table28[Filtro de ruido],1), 1, Table14[[#This Row],[I_40]] / Table14[[#This Row],[I_0]])</f>
        <v>1.1712962962962963</v>
      </c>
      <c r="Y379" s="19">
        <f>IF(Table14[[#This Row],[I_0]] &lt; INDEX(Table28[Filtro de ruido],1), 1, Table14[[#This Row],[I_50]] / Table14[[#This Row],[I_0]])</f>
        <v>1.1712962962962963</v>
      </c>
      <c r="AA379" s="1"/>
    </row>
    <row r="380" spans="1:27" x14ac:dyDescent="0.3">
      <c r="A380" s="18">
        <v>445.17</v>
      </c>
      <c r="B380" s="1">
        <v>20.8</v>
      </c>
      <c r="C380" s="1">
        <v>445.17</v>
      </c>
      <c r="D380" s="1">
        <v>22.2</v>
      </c>
      <c r="E380" s="1">
        <v>445.17</v>
      </c>
      <c r="F380" s="1">
        <v>23.1</v>
      </c>
      <c r="G380" s="1">
        <v>445.17</v>
      </c>
      <c r="H380" s="1">
        <v>24.3</v>
      </c>
      <c r="I380" s="1">
        <v>445.17</v>
      </c>
      <c r="J380" s="1">
        <v>24.6</v>
      </c>
      <c r="K380" s="1">
        <v>445.17</v>
      </c>
      <c r="L380" s="1">
        <v>24.5</v>
      </c>
      <c r="M380" s="1">
        <v>445.17</v>
      </c>
      <c r="N380" s="1">
        <v>20.8</v>
      </c>
      <c r="O380" s="1">
        <v>22.2</v>
      </c>
      <c r="P380" s="1">
        <v>23.1</v>
      </c>
      <c r="Q380" s="1">
        <v>24.3</v>
      </c>
      <c r="R380" s="1">
        <v>24.6</v>
      </c>
      <c r="S380" s="1">
        <v>24.5</v>
      </c>
      <c r="T380" s="1">
        <v>445.17</v>
      </c>
      <c r="U380" s="1">
        <f>IF(Table14[[#This Row],[I_0]] &lt; INDEX(Table28[Filtro de ruido],1), 1, Table14[[#This Row],[I_10]] / Table14[[#This Row],[I_0]])</f>
        <v>1.0673076923076923</v>
      </c>
      <c r="V380" s="1">
        <f>IF(Table14[[#This Row],[I_0]] &lt; INDEX(Table28[Filtro de ruido],1), 1, Table14[[#This Row],[I_20]] / Table14[[#This Row],[I_0]])</f>
        <v>1.1105769230769231</v>
      </c>
      <c r="W380" s="1">
        <f>IF(Table14[[#This Row],[I_0]] &lt; INDEX(Table28[Filtro de ruido],1), 1, Table14[[#This Row],[I_30]] / Table14[[#This Row],[I_0]])</f>
        <v>1.1682692307692308</v>
      </c>
      <c r="X380" s="1">
        <f>IF(Table14[[#This Row],[I_0]] &lt; INDEX(Table28[Filtro de ruido],1), 1, Table14[[#This Row],[I_40]] / Table14[[#This Row],[I_0]])</f>
        <v>1.1826923076923077</v>
      </c>
      <c r="Y380" s="19">
        <f>IF(Table14[[#This Row],[I_0]] &lt; INDEX(Table28[Filtro de ruido],1), 1, Table14[[#This Row],[I_50]] / Table14[[#This Row],[I_0]])</f>
        <v>1.1778846153846154</v>
      </c>
      <c r="AA380" s="1"/>
    </row>
    <row r="381" spans="1:27" x14ac:dyDescent="0.3">
      <c r="A381" s="18">
        <v>446.16</v>
      </c>
      <c r="B381" s="1">
        <v>20</v>
      </c>
      <c r="C381" s="1">
        <v>446.16</v>
      </c>
      <c r="D381" s="1">
        <v>21.3</v>
      </c>
      <c r="E381" s="1">
        <v>446.16</v>
      </c>
      <c r="F381" s="1">
        <v>22.2</v>
      </c>
      <c r="G381" s="1">
        <v>446.16</v>
      </c>
      <c r="H381" s="1">
        <v>23.4</v>
      </c>
      <c r="I381" s="1">
        <v>446.16</v>
      </c>
      <c r="J381" s="1">
        <v>23.7</v>
      </c>
      <c r="K381" s="1">
        <v>446.16</v>
      </c>
      <c r="L381" s="1">
        <v>23.6</v>
      </c>
      <c r="M381" s="1">
        <v>446.16</v>
      </c>
      <c r="N381" s="1">
        <v>20</v>
      </c>
      <c r="O381" s="1">
        <v>21.3</v>
      </c>
      <c r="P381" s="1">
        <v>22.2</v>
      </c>
      <c r="Q381" s="1">
        <v>23.4</v>
      </c>
      <c r="R381" s="1">
        <v>23.7</v>
      </c>
      <c r="S381" s="1">
        <v>23.6</v>
      </c>
      <c r="T381" s="1">
        <v>446.16</v>
      </c>
      <c r="U381" s="1">
        <f>IF(Table14[[#This Row],[I_0]] &lt; INDEX(Table28[Filtro de ruido],1), 1, Table14[[#This Row],[I_10]] / Table14[[#This Row],[I_0]])</f>
        <v>1.0649999999999999</v>
      </c>
      <c r="V381" s="1">
        <f>IF(Table14[[#This Row],[I_0]] &lt; INDEX(Table28[Filtro de ruido],1), 1, Table14[[#This Row],[I_20]] / Table14[[#This Row],[I_0]])</f>
        <v>1.1099999999999999</v>
      </c>
      <c r="W381" s="1">
        <f>IF(Table14[[#This Row],[I_0]] &lt; INDEX(Table28[Filtro de ruido],1), 1, Table14[[#This Row],[I_30]] / Table14[[#This Row],[I_0]])</f>
        <v>1.17</v>
      </c>
      <c r="X381" s="1">
        <f>IF(Table14[[#This Row],[I_0]] &lt; INDEX(Table28[Filtro de ruido],1), 1, Table14[[#This Row],[I_40]] / Table14[[#This Row],[I_0]])</f>
        <v>1.1850000000000001</v>
      </c>
      <c r="Y381" s="19">
        <f>IF(Table14[[#This Row],[I_0]] &lt; INDEX(Table28[Filtro de ruido],1), 1, Table14[[#This Row],[I_50]] / Table14[[#This Row],[I_0]])</f>
        <v>1.1800000000000002</v>
      </c>
      <c r="AA381" s="1"/>
    </row>
    <row r="382" spans="1:27" x14ac:dyDescent="0.3">
      <c r="A382" s="18">
        <v>447.15</v>
      </c>
      <c r="B382" s="1">
        <v>18.399999999999999</v>
      </c>
      <c r="C382" s="1">
        <v>447.15</v>
      </c>
      <c r="D382" s="1">
        <v>19.600000000000001</v>
      </c>
      <c r="E382" s="1">
        <v>447.15</v>
      </c>
      <c r="F382" s="1">
        <v>20.399999999999999</v>
      </c>
      <c r="G382" s="1">
        <v>447.15</v>
      </c>
      <c r="H382" s="1">
        <v>21.5</v>
      </c>
      <c r="I382" s="1">
        <v>447.15</v>
      </c>
      <c r="J382" s="1">
        <v>21.8</v>
      </c>
      <c r="K382" s="1">
        <v>447.15</v>
      </c>
      <c r="L382" s="1">
        <v>21.8</v>
      </c>
      <c r="M382" s="1">
        <v>447.15</v>
      </c>
      <c r="N382" s="1">
        <v>18.399999999999999</v>
      </c>
      <c r="O382" s="1">
        <v>19.600000000000001</v>
      </c>
      <c r="P382" s="1">
        <v>20.399999999999999</v>
      </c>
      <c r="Q382" s="1">
        <v>21.5</v>
      </c>
      <c r="R382" s="1">
        <v>21.8</v>
      </c>
      <c r="S382" s="1">
        <v>21.8</v>
      </c>
      <c r="T382" s="1">
        <v>447.15</v>
      </c>
      <c r="U382" s="1">
        <f>IF(Table14[[#This Row],[I_0]] &lt; INDEX(Table28[Filtro de ruido],1), 1, Table14[[#This Row],[I_10]] / Table14[[#This Row],[I_0]])</f>
        <v>1.0652173913043479</v>
      </c>
      <c r="V382" s="1">
        <f>IF(Table14[[#This Row],[I_0]] &lt; INDEX(Table28[Filtro de ruido],1), 1, Table14[[#This Row],[I_20]] / Table14[[#This Row],[I_0]])</f>
        <v>1.1086956521739131</v>
      </c>
      <c r="W382" s="1">
        <f>IF(Table14[[#This Row],[I_0]] &lt; INDEX(Table28[Filtro de ruido],1), 1, Table14[[#This Row],[I_30]] / Table14[[#This Row],[I_0]])</f>
        <v>1.1684782608695654</v>
      </c>
      <c r="X382" s="1">
        <f>IF(Table14[[#This Row],[I_0]] &lt; INDEX(Table28[Filtro de ruido],1), 1, Table14[[#This Row],[I_40]] / Table14[[#This Row],[I_0]])</f>
        <v>1.1847826086956523</v>
      </c>
      <c r="Y382" s="19">
        <f>IF(Table14[[#This Row],[I_0]] &lt; INDEX(Table28[Filtro de ruido],1), 1, Table14[[#This Row],[I_50]] / Table14[[#This Row],[I_0]])</f>
        <v>1.1847826086956523</v>
      </c>
      <c r="AA382" s="1"/>
    </row>
    <row r="383" spans="1:27" x14ac:dyDescent="0.3">
      <c r="A383" s="18">
        <v>448.14</v>
      </c>
      <c r="B383" s="1">
        <v>16.899999999999999</v>
      </c>
      <c r="C383" s="1">
        <v>448.14</v>
      </c>
      <c r="D383" s="1">
        <v>18.100000000000001</v>
      </c>
      <c r="E383" s="1">
        <v>448.14</v>
      </c>
      <c r="F383" s="1">
        <v>18.899999999999999</v>
      </c>
      <c r="G383" s="1">
        <v>448.14</v>
      </c>
      <c r="H383" s="1">
        <v>19.899999999999999</v>
      </c>
      <c r="I383" s="1">
        <v>448.14</v>
      </c>
      <c r="J383" s="1">
        <v>20.2</v>
      </c>
      <c r="K383" s="1">
        <v>448.14</v>
      </c>
      <c r="L383" s="1">
        <v>20.2</v>
      </c>
      <c r="M383" s="1">
        <v>448.14</v>
      </c>
      <c r="N383" s="1">
        <v>16.899999999999999</v>
      </c>
      <c r="O383" s="1">
        <v>18.100000000000001</v>
      </c>
      <c r="P383" s="1">
        <v>18.899999999999999</v>
      </c>
      <c r="Q383" s="1">
        <v>19.899999999999999</v>
      </c>
      <c r="R383" s="1">
        <v>20.2</v>
      </c>
      <c r="S383" s="1">
        <v>20.2</v>
      </c>
      <c r="T383" s="1">
        <v>448.14</v>
      </c>
      <c r="U383" s="1">
        <f>IF(Table14[[#This Row],[I_0]] &lt; INDEX(Table28[Filtro de ruido],1), 1, Table14[[#This Row],[I_10]] / Table14[[#This Row],[I_0]])</f>
        <v>1.0710059171597635</v>
      </c>
      <c r="V383" s="1">
        <f>IF(Table14[[#This Row],[I_0]] &lt; INDEX(Table28[Filtro de ruido],1), 1, Table14[[#This Row],[I_20]] / Table14[[#This Row],[I_0]])</f>
        <v>1.1183431952662721</v>
      </c>
      <c r="W383" s="1">
        <f>IF(Table14[[#This Row],[I_0]] &lt; INDEX(Table28[Filtro de ruido],1), 1, Table14[[#This Row],[I_30]] / Table14[[#This Row],[I_0]])</f>
        <v>1.1775147928994083</v>
      </c>
      <c r="X383" s="1">
        <f>IF(Table14[[#This Row],[I_0]] &lt; INDEX(Table28[Filtro de ruido],1), 1, Table14[[#This Row],[I_40]] / Table14[[#This Row],[I_0]])</f>
        <v>1.1952662721893492</v>
      </c>
      <c r="Y383" s="19">
        <f>IF(Table14[[#This Row],[I_0]] &lt; INDEX(Table28[Filtro de ruido],1), 1, Table14[[#This Row],[I_50]] / Table14[[#This Row],[I_0]])</f>
        <v>1.1952662721893492</v>
      </c>
      <c r="AA383" s="1"/>
    </row>
    <row r="384" spans="1:27" x14ac:dyDescent="0.3">
      <c r="A384" s="18">
        <v>449.13</v>
      </c>
      <c r="B384" s="1">
        <v>14.5</v>
      </c>
      <c r="C384" s="1">
        <v>449.13</v>
      </c>
      <c r="D384" s="1">
        <v>15.6</v>
      </c>
      <c r="E384" s="1">
        <v>449.13</v>
      </c>
      <c r="F384" s="1">
        <v>16.2</v>
      </c>
      <c r="G384" s="1">
        <v>449.13</v>
      </c>
      <c r="H384" s="1">
        <v>17.2</v>
      </c>
      <c r="I384" s="1">
        <v>449.13</v>
      </c>
      <c r="J384" s="1">
        <v>17.399999999999999</v>
      </c>
      <c r="K384" s="1">
        <v>449.13</v>
      </c>
      <c r="L384" s="1">
        <v>17.399999999999999</v>
      </c>
      <c r="M384" s="1">
        <v>449.13</v>
      </c>
      <c r="N384" s="1">
        <v>14.5</v>
      </c>
      <c r="O384" s="1">
        <v>15.6</v>
      </c>
      <c r="P384" s="1">
        <v>16.2</v>
      </c>
      <c r="Q384" s="1">
        <v>17.2</v>
      </c>
      <c r="R384" s="1">
        <v>17.399999999999999</v>
      </c>
      <c r="S384" s="1">
        <v>17.399999999999999</v>
      </c>
      <c r="T384" s="1">
        <v>449.13</v>
      </c>
      <c r="U384" s="1">
        <f>IF(Table14[[#This Row],[I_0]] &lt; INDEX(Table28[Filtro de ruido],1), 1, Table14[[#This Row],[I_10]] / Table14[[#This Row],[I_0]])</f>
        <v>1.0758620689655172</v>
      </c>
      <c r="V384" s="1">
        <f>IF(Table14[[#This Row],[I_0]] &lt; INDEX(Table28[Filtro de ruido],1), 1, Table14[[#This Row],[I_20]] / Table14[[#This Row],[I_0]])</f>
        <v>1.1172413793103448</v>
      </c>
      <c r="W384" s="1">
        <f>IF(Table14[[#This Row],[I_0]] &lt; INDEX(Table28[Filtro de ruido],1), 1, Table14[[#This Row],[I_30]] / Table14[[#This Row],[I_0]])</f>
        <v>1.1862068965517241</v>
      </c>
      <c r="X384" s="1">
        <f>IF(Table14[[#This Row],[I_0]] &lt; INDEX(Table28[Filtro de ruido],1), 1, Table14[[#This Row],[I_40]] / Table14[[#This Row],[I_0]])</f>
        <v>1.2</v>
      </c>
      <c r="Y384" s="19">
        <f>IF(Table14[[#This Row],[I_0]] &lt; INDEX(Table28[Filtro de ruido],1), 1, Table14[[#This Row],[I_50]] / Table14[[#This Row],[I_0]])</f>
        <v>1.2</v>
      </c>
      <c r="AA384" s="1"/>
    </row>
    <row r="385" spans="1:27" x14ac:dyDescent="0.3">
      <c r="A385" s="18">
        <v>450.13</v>
      </c>
      <c r="B385" s="1">
        <v>12.8</v>
      </c>
      <c r="C385" s="1">
        <v>450.13</v>
      </c>
      <c r="D385" s="1">
        <v>13.8</v>
      </c>
      <c r="E385" s="1">
        <v>450.13</v>
      </c>
      <c r="F385" s="1">
        <v>14.4</v>
      </c>
      <c r="G385" s="1">
        <v>450.13</v>
      </c>
      <c r="H385" s="1">
        <v>15.2</v>
      </c>
      <c r="I385" s="1">
        <v>450.13</v>
      </c>
      <c r="J385" s="1">
        <v>15.4</v>
      </c>
      <c r="K385" s="1">
        <v>450.13</v>
      </c>
      <c r="L385" s="1">
        <v>15.5</v>
      </c>
      <c r="M385" s="1">
        <v>450.13</v>
      </c>
      <c r="N385" s="1">
        <v>12.8</v>
      </c>
      <c r="O385" s="1">
        <v>13.8</v>
      </c>
      <c r="P385" s="1">
        <v>14.4</v>
      </c>
      <c r="Q385" s="1">
        <v>15.2</v>
      </c>
      <c r="R385" s="1">
        <v>15.4</v>
      </c>
      <c r="S385" s="1">
        <v>15.5</v>
      </c>
      <c r="T385" s="1">
        <v>450.13</v>
      </c>
      <c r="U385" s="1">
        <f>IF(Table14[[#This Row],[I_0]] &lt; INDEX(Table28[Filtro de ruido],1), 1, Table14[[#This Row],[I_10]] / Table14[[#This Row],[I_0]])</f>
        <v>1.078125</v>
      </c>
      <c r="V385" s="1">
        <f>IF(Table14[[#This Row],[I_0]] &lt; INDEX(Table28[Filtro de ruido],1), 1, Table14[[#This Row],[I_20]] / Table14[[#This Row],[I_0]])</f>
        <v>1.125</v>
      </c>
      <c r="W385" s="1">
        <f>IF(Table14[[#This Row],[I_0]] &lt; INDEX(Table28[Filtro de ruido],1), 1, Table14[[#This Row],[I_30]] / Table14[[#This Row],[I_0]])</f>
        <v>1.1874999999999998</v>
      </c>
      <c r="X385" s="1">
        <f>IF(Table14[[#This Row],[I_0]] &lt; INDEX(Table28[Filtro de ruido],1), 1, Table14[[#This Row],[I_40]] / Table14[[#This Row],[I_0]])</f>
        <v>1.203125</v>
      </c>
      <c r="Y385" s="19">
        <f>IF(Table14[[#This Row],[I_0]] &lt; INDEX(Table28[Filtro de ruido],1), 1, Table14[[#This Row],[I_50]] / Table14[[#This Row],[I_0]])</f>
        <v>1.2109375</v>
      </c>
      <c r="AA385" s="1"/>
    </row>
    <row r="386" spans="1:27" x14ac:dyDescent="0.3">
      <c r="A386" s="18">
        <v>451.12</v>
      </c>
      <c r="B386" s="1">
        <v>10.5</v>
      </c>
      <c r="C386" s="1">
        <v>451.12</v>
      </c>
      <c r="D386" s="1">
        <v>11.4</v>
      </c>
      <c r="E386" s="1">
        <v>451.12</v>
      </c>
      <c r="F386" s="1">
        <v>11.9</v>
      </c>
      <c r="G386" s="1">
        <v>451.12</v>
      </c>
      <c r="H386" s="1">
        <v>12.6</v>
      </c>
      <c r="I386" s="1">
        <v>451.12</v>
      </c>
      <c r="J386" s="1">
        <v>12.7</v>
      </c>
      <c r="K386" s="1">
        <v>451.12</v>
      </c>
      <c r="L386" s="1">
        <v>12.8</v>
      </c>
      <c r="M386" s="1">
        <v>451.12</v>
      </c>
      <c r="N386" s="1">
        <v>10.5</v>
      </c>
      <c r="O386" s="1">
        <v>11.4</v>
      </c>
      <c r="P386" s="1">
        <v>11.9</v>
      </c>
      <c r="Q386" s="1">
        <v>12.6</v>
      </c>
      <c r="R386" s="1">
        <v>12.7</v>
      </c>
      <c r="S386" s="1">
        <v>12.8</v>
      </c>
      <c r="T386" s="1">
        <v>451.12</v>
      </c>
      <c r="U386" s="1">
        <f>IF(Table14[[#This Row],[I_0]] &lt; INDEX(Table28[Filtro de ruido],1), 1, Table14[[#This Row],[I_10]] / Table14[[#This Row],[I_0]])</f>
        <v>1.0857142857142859</v>
      </c>
      <c r="V386" s="1">
        <f>IF(Table14[[#This Row],[I_0]] &lt; INDEX(Table28[Filtro de ruido],1), 1, Table14[[#This Row],[I_20]] / Table14[[#This Row],[I_0]])</f>
        <v>1.1333333333333333</v>
      </c>
      <c r="W386" s="1">
        <f>IF(Table14[[#This Row],[I_0]] &lt; INDEX(Table28[Filtro de ruido],1), 1, Table14[[#This Row],[I_30]] / Table14[[#This Row],[I_0]])</f>
        <v>1.2</v>
      </c>
      <c r="X386" s="1">
        <f>IF(Table14[[#This Row],[I_0]] &lt; INDEX(Table28[Filtro de ruido],1), 1, Table14[[#This Row],[I_40]] / Table14[[#This Row],[I_0]])</f>
        <v>1.2095238095238094</v>
      </c>
      <c r="Y386" s="19">
        <f>IF(Table14[[#This Row],[I_0]] &lt; INDEX(Table28[Filtro de ruido],1), 1, Table14[[#This Row],[I_50]] / Table14[[#This Row],[I_0]])</f>
        <v>1.2190476190476192</v>
      </c>
      <c r="AA386" s="1"/>
    </row>
    <row r="387" spans="1:27" x14ac:dyDescent="0.3">
      <c r="A387" s="18">
        <v>452.11</v>
      </c>
      <c r="B387" s="1">
        <v>8.4</v>
      </c>
      <c r="C387" s="1">
        <v>452.11</v>
      </c>
      <c r="D387" s="1">
        <v>9.1</v>
      </c>
      <c r="E387" s="1">
        <v>452.11</v>
      </c>
      <c r="F387" s="1">
        <v>9.5</v>
      </c>
      <c r="G387" s="1">
        <v>452.11</v>
      </c>
      <c r="H387" s="1">
        <v>10.1</v>
      </c>
      <c r="I387" s="1">
        <v>452.11</v>
      </c>
      <c r="J387" s="1">
        <v>10.199999999999999</v>
      </c>
      <c r="K387" s="1">
        <v>452.11</v>
      </c>
      <c r="L387" s="1">
        <v>10.3</v>
      </c>
      <c r="M387" s="1">
        <v>452.11</v>
      </c>
      <c r="N387" s="1">
        <v>8.4</v>
      </c>
      <c r="O387" s="1">
        <v>9.1</v>
      </c>
      <c r="P387" s="1">
        <v>9.5</v>
      </c>
      <c r="Q387" s="1">
        <v>10.1</v>
      </c>
      <c r="R387" s="1">
        <v>10.199999999999999</v>
      </c>
      <c r="S387" s="1">
        <v>10.3</v>
      </c>
      <c r="T387" s="1">
        <v>452.11</v>
      </c>
      <c r="U387" s="1">
        <f>IF(Table14[[#This Row],[I_0]] &lt; INDEX(Table28[Filtro de ruido],1), 1, Table14[[#This Row],[I_10]] / Table14[[#This Row],[I_0]])</f>
        <v>1.0833333333333333</v>
      </c>
      <c r="V387" s="1">
        <f>IF(Table14[[#This Row],[I_0]] &lt; INDEX(Table28[Filtro de ruido],1), 1, Table14[[#This Row],[I_20]] / Table14[[#This Row],[I_0]])</f>
        <v>1.1309523809523809</v>
      </c>
      <c r="W387" s="1">
        <f>IF(Table14[[#This Row],[I_0]] &lt; INDEX(Table28[Filtro de ruido],1), 1, Table14[[#This Row],[I_30]] / Table14[[#This Row],[I_0]])</f>
        <v>1.2023809523809523</v>
      </c>
      <c r="X387" s="1">
        <f>IF(Table14[[#This Row],[I_0]] &lt; INDEX(Table28[Filtro de ruido],1), 1, Table14[[#This Row],[I_40]] / Table14[[#This Row],[I_0]])</f>
        <v>1.2142857142857142</v>
      </c>
      <c r="Y387" s="19">
        <f>IF(Table14[[#This Row],[I_0]] &lt; INDEX(Table28[Filtro de ruido],1), 1, Table14[[#This Row],[I_50]] / Table14[[#This Row],[I_0]])</f>
        <v>1.2261904761904763</v>
      </c>
      <c r="AA387" s="1"/>
    </row>
    <row r="388" spans="1:27" x14ac:dyDescent="0.3">
      <c r="A388" s="18">
        <v>453.1</v>
      </c>
      <c r="B388" s="1">
        <v>6.9</v>
      </c>
      <c r="C388" s="1">
        <v>453.1</v>
      </c>
      <c r="D388" s="1">
        <v>7.6</v>
      </c>
      <c r="E388" s="1">
        <v>453.1</v>
      </c>
      <c r="F388" s="1">
        <v>7.9</v>
      </c>
      <c r="G388" s="1">
        <v>453.1</v>
      </c>
      <c r="H388" s="1">
        <v>8.4</v>
      </c>
      <c r="I388" s="1">
        <v>453.1</v>
      </c>
      <c r="J388" s="1">
        <v>8.5</v>
      </c>
      <c r="K388" s="1">
        <v>453.1</v>
      </c>
      <c r="L388" s="1">
        <v>8.6</v>
      </c>
      <c r="M388" s="1">
        <v>453.1</v>
      </c>
      <c r="N388" s="1">
        <v>6.9</v>
      </c>
      <c r="O388" s="1">
        <v>7.6</v>
      </c>
      <c r="P388" s="1">
        <v>7.9</v>
      </c>
      <c r="Q388" s="1">
        <v>8.4</v>
      </c>
      <c r="R388" s="1">
        <v>8.5</v>
      </c>
      <c r="S388" s="1">
        <v>8.6</v>
      </c>
      <c r="T388" s="1">
        <v>453.1</v>
      </c>
      <c r="U388" s="1">
        <f>IF(Table14[[#This Row],[I_0]] &lt; INDEX(Table28[Filtro de ruido],1), 1, Table14[[#This Row],[I_10]] / Table14[[#This Row],[I_0]])</f>
        <v>1.1014492753623186</v>
      </c>
      <c r="V388" s="1">
        <f>IF(Table14[[#This Row],[I_0]] &lt; INDEX(Table28[Filtro de ruido],1), 1, Table14[[#This Row],[I_20]] / Table14[[#This Row],[I_0]])</f>
        <v>1.144927536231884</v>
      </c>
      <c r="W388" s="1">
        <f>IF(Table14[[#This Row],[I_0]] &lt; INDEX(Table28[Filtro de ruido],1), 1, Table14[[#This Row],[I_30]] / Table14[[#This Row],[I_0]])</f>
        <v>1.2173913043478262</v>
      </c>
      <c r="X388" s="1">
        <f>IF(Table14[[#This Row],[I_0]] &lt; INDEX(Table28[Filtro de ruido],1), 1, Table14[[#This Row],[I_40]] / Table14[[#This Row],[I_0]])</f>
        <v>1.2318840579710144</v>
      </c>
      <c r="Y388" s="19">
        <f>IF(Table14[[#This Row],[I_0]] &lt; INDEX(Table28[Filtro de ruido],1), 1, Table14[[#This Row],[I_50]] / Table14[[#This Row],[I_0]])</f>
        <v>1.2463768115942029</v>
      </c>
      <c r="AA388" s="1"/>
    </row>
    <row r="389" spans="1:27" x14ac:dyDescent="0.3">
      <c r="A389" s="18">
        <v>454.09</v>
      </c>
      <c r="B389" s="1">
        <v>5.6</v>
      </c>
      <c r="C389" s="1">
        <v>454.09</v>
      </c>
      <c r="D389" s="1">
        <v>6.1</v>
      </c>
      <c r="E389" s="1">
        <v>454.09</v>
      </c>
      <c r="F389" s="1">
        <v>6.3</v>
      </c>
      <c r="G389" s="1">
        <v>454.09</v>
      </c>
      <c r="H389" s="1">
        <v>6.8</v>
      </c>
      <c r="I389" s="1">
        <v>454.09</v>
      </c>
      <c r="J389" s="1">
        <v>6.8</v>
      </c>
      <c r="K389" s="1">
        <v>454.09</v>
      </c>
      <c r="L389" s="1">
        <v>6.9</v>
      </c>
      <c r="M389" s="1">
        <v>454.09</v>
      </c>
      <c r="N389" s="1">
        <v>5.6</v>
      </c>
      <c r="O389" s="1">
        <v>6.1</v>
      </c>
      <c r="P389" s="1">
        <v>6.3</v>
      </c>
      <c r="Q389" s="1">
        <v>6.8</v>
      </c>
      <c r="R389" s="1">
        <v>6.8</v>
      </c>
      <c r="S389" s="1">
        <v>6.9</v>
      </c>
      <c r="T389" s="1">
        <v>454.09</v>
      </c>
      <c r="U389" s="1">
        <f>IF(Table14[[#This Row],[I_0]] &lt; INDEX(Table28[Filtro de ruido],1), 1, Table14[[#This Row],[I_10]] / Table14[[#This Row],[I_0]])</f>
        <v>1.0892857142857142</v>
      </c>
      <c r="V389" s="1">
        <f>IF(Table14[[#This Row],[I_0]] &lt; INDEX(Table28[Filtro de ruido],1), 1, Table14[[#This Row],[I_20]] / Table14[[#This Row],[I_0]])</f>
        <v>1.125</v>
      </c>
      <c r="W389" s="1">
        <f>IF(Table14[[#This Row],[I_0]] &lt; INDEX(Table28[Filtro de ruido],1), 1, Table14[[#This Row],[I_30]] / Table14[[#This Row],[I_0]])</f>
        <v>1.2142857142857144</v>
      </c>
      <c r="X389" s="1">
        <f>IF(Table14[[#This Row],[I_0]] &lt; INDEX(Table28[Filtro de ruido],1), 1, Table14[[#This Row],[I_40]] / Table14[[#This Row],[I_0]])</f>
        <v>1.2142857142857144</v>
      </c>
      <c r="Y389" s="19">
        <f>IF(Table14[[#This Row],[I_0]] &lt; INDEX(Table28[Filtro de ruido],1), 1, Table14[[#This Row],[I_50]] / Table14[[#This Row],[I_0]])</f>
        <v>1.2321428571428572</v>
      </c>
      <c r="AA389" s="1"/>
    </row>
    <row r="390" spans="1:27" x14ac:dyDescent="0.3">
      <c r="A390" s="18">
        <v>455.09</v>
      </c>
      <c r="B390" s="1">
        <v>4.5999999999999996</v>
      </c>
      <c r="C390" s="1">
        <v>455.09</v>
      </c>
      <c r="D390" s="1">
        <v>5</v>
      </c>
      <c r="E390" s="1">
        <v>455.09</v>
      </c>
      <c r="F390" s="1">
        <v>5.2</v>
      </c>
      <c r="G390" s="1">
        <v>455.09</v>
      </c>
      <c r="H390" s="1">
        <v>5.6</v>
      </c>
      <c r="I390" s="1">
        <v>455.09</v>
      </c>
      <c r="J390" s="1">
        <v>5.6</v>
      </c>
      <c r="K390" s="1">
        <v>455.09</v>
      </c>
      <c r="L390" s="1">
        <v>5.7</v>
      </c>
      <c r="M390" s="1">
        <v>455.09</v>
      </c>
      <c r="N390" s="1">
        <v>4.5999999999999996</v>
      </c>
      <c r="O390" s="1">
        <v>5</v>
      </c>
      <c r="P390" s="1">
        <v>5.2</v>
      </c>
      <c r="Q390" s="1">
        <v>5.6</v>
      </c>
      <c r="R390" s="1">
        <v>5.6</v>
      </c>
      <c r="S390" s="1">
        <v>5.7</v>
      </c>
      <c r="T390" s="1">
        <v>455.09</v>
      </c>
      <c r="U390" s="1">
        <f>IF(Table14[[#This Row],[I_0]] &lt; INDEX(Table28[Filtro de ruido],1), 1, Table14[[#This Row],[I_10]] / Table14[[#This Row],[I_0]])</f>
        <v>1.0869565217391306</v>
      </c>
      <c r="V390" s="1">
        <f>IF(Table14[[#This Row],[I_0]] &lt; INDEX(Table28[Filtro de ruido],1), 1, Table14[[#This Row],[I_20]] / Table14[[#This Row],[I_0]])</f>
        <v>1.1304347826086958</v>
      </c>
      <c r="W390" s="1">
        <f>IF(Table14[[#This Row],[I_0]] &lt; INDEX(Table28[Filtro de ruido],1), 1, Table14[[#This Row],[I_30]] / Table14[[#This Row],[I_0]])</f>
        <v>1.2173913043478262</v>
      </c>
      <c r="X390" s="1">
        <f>IF(Table14[[#This Row],[I_0]] &lt; INDEX(Table28[Filtro de ruido],1), 1, Table14[[#This Row],[I_40]] / Table14[[#This Row],[I_0]])</f>
        <v>1.2173913043478262</v>
      </c>
      <c r="Y390" s="19">
        <f>IF(Table14[[#This Row],[I_0]] &lt; INDEX(Table28[Filtro de ruido],1), 1, Table14[[#This Row],[I_50]] / Table14[[#This Row],[I_0]])</f>
        <v>1.2391304347826089</v>
      </c>
      <c r="AA390" s="1"/>
    </row>
    <row r="391" spans="1:27" x14ac:dyDescent="0.3">
      <c r="A391" s="18">
        <v>456.08</v>
      </c>
      <c r="B391" s="1">
        <v>3.7</v>
      </c>
      <c r="C391" s="1">
        <v>456.08</v>
      </c>
      <c r="D391" s="1">
        <v>4</v>
      </c>
      <c r="E391" s="1">
        <v>456.08</v>
      </c>
      <c r="F391" s="1">
        <v>4.2</v>
      </c>
      <c r="G391" s="1">
        <v>456.08</v>
      </c>
      <c r="H391" s="1">
        <v>4.5</v>
      </c>
      <c r="I391" s="1">
        <v>456.08</v>
      </c>
      <c r="J391" s="1">
        <v>4.5</v>
      </c>
      <c r="K391" s="1">
        <v>456.08</v>
      </c>
      <c r="L391" s="1">
        <v>4.5999999999999996</v>
      </c>
      <c r="M391" s="1">
        <v>456.08</v>
      </c>
      <c r="N391" s="1">
        <v>3.7</v>
      </c>
      <c r="O391" s="1">
        <v>4</v>
      </c>
      <c r="P391" s="1">
        <v>4.2</v>
      </c>
      <c r="Q391" s="1">
        <v>4.5</v>
      </c>
      <c r="R391" s="1">
        <v>4.5</v>
      </c>
      <c r="S391" s="1">
        <v>4.5999999999999996</v>
      </c>
      <c r="T391" s="1">
        <v>456.08</v>
      </c>
      <c r="U391" s="1">
        <f>IF(Table14[[#This Row],[I_0]] &lt; INDEX(Table28[Filtro de ruido],1), 1, Table14[[#This Row],[I_10]] / Table14[[#This Row],[I_0]])</f>
        <v>1.0810810810810809</v>
      </c>
      <c r="V391" s="1">
        <f>IF(Table14[[#This Row],[I_0]] &lt; INDEX(Table28[Filtro de ruido],1), 1, Table14[[#This Row],[I_20]] / Table14[[#This Row],[I_0]])</f>
        <v>1.1351351351351351</v>
      </c>
      <c r="W391" s="1">
        <f>IF(Table14[[#This Row],[I_0]] &lt; INDEX(Table28[Filtro de ruido],1), 1, Table14[[#This Row],[I_30]] / Table14[[#This Row],[I_0]])</f>
        <v>1.2162162162162162</v>
      </c>
      <c r="X391" s="1">
        <f>IF(Table14[[#This Row],[I_0]] &lt; INDEX(Table28[Filtro de ruido],1), 1, Table14[[#This Row],[I_40]] / Table14[[#This Row],[I_0]])</f>
        <v>1.2162162162162162</v>
      </c>
      <c r="Y391" s="19">
        <f>IF(Table14[[#This Row],[I_0]] &lt; INDEX(Table28[Filtro de ruido],1), 1, Table14[[#This Row],[I_50]] / Table14[[#This Row],[I_0]])</f>
        <v>1.243243243243243</v>
      </c>
      <c r="AA391" s="1"/>
    </row>
    <row r="392" spans="1:27" x14ac:dyDescent="0.3">
      <c r="A392" s="18">
        <v>457.07</v>
      </c>
      <c r="B392" s="1">
        <v>3</v>
      </c>
      <c r="C392" s="1">
        <v>457.07</v>
      </c>
      <c r="D392" s="1">
        <v>3.3</v>
      </c>
      <c r="E392" s="1">
        <v>457.07</v>
      </c>
      <c r="F392" s="1">
        <v>3.4</v>
      </c>
      <c r="G392" s="1">
        <v>457.07</v>
      </c>
      <c r="H392" s="1">
        <v>3.7</v>
      </c>
      <c r="I392" s="1">
        <v>457.07</v>
      </c>
      <c r="J392" s="1">
        <v>3.7</v>
      </c>
      <c r="K392" s="1">
        <v>457.07</v>
      </c>
      <c r="L392" s="1">
        <v>3.7</v>
      </c>
      <c r="M392" s="1">
        <v>457.07</v>
      </c>
      <c r="N392" s="1">
        <v>3</v>
      </c>
      <c r="O392" s="1">
        <v>3.3</v>
      </c>
      <c r="P392" s="1">
        <v>3.4</v>
      </c>
      <c r="Q392" s="1">
        <v>3.7</v>
      </c>
      <c r="R392" s="1">
        <v>3.7</v>
      </c>
      <c r="S392" s="1">
        <v>3.7</v>
      </c>
      <c r="T392" s="1">
        <v>457.07</v>
      </c>
      <c r="U392" s="1">
        <f>IF(Table14[[#This Row],[I_0]] &lt; INDEX(Table28[Filtro de ruido],1), 1, Table14[[#This Row],[I_10]] / Table14[[#This Row],[I_0]])</f>
        <v>1.0999999999999999</v>
      </c>
      <c r="V392" s="1">
        <f>IF(Table14[[#This Row],[I_0]] &lt; INDEX(Table28[Filtro de ruido],1), 1, Table14[[#This Row],[I_20]] / Table14[[#This Row],[I_0]])</f>
        <v>1.1333333333333333</v>
      </c>
      <c r="W392" s="1">
        <f>IF(Table14[[#This Row],[I_0]] &lt; INDEX(Table28[Filtro de ruido],1), 1, Table14[[#This Row],[I_30]] / Table14[[#This Row],[I_0]])</f>
        <v>1.2333333333333334</v>
      </c>
      <c r="X392" s="1">
        <f>IF(Table14[[#This Row],[I_0]] &lt; INDEX(Table28[Filtro de ruido],1), 1, Table14[[#This Row],[I_40]] / Table14[[#This Row],[I_0]])</f>
        <v>1.2333333333333334</v>
      </c>
      <c r="Y392" s="19">
        <f>IF(Table14[[#This Row],[I_0]] &lt; INDEX(Table28[Filtro de ruido],1), 1, Table14[[#This Row],[I_50]] / Table14[[#This Row],[I_0]])</f>
        <v>1.2333333333333334</v>
      </c>
      <c r="AA392" s="1"/>
    </row>
    <row r="393" spans="1:27" x14ac:dyDescent="0.3">
      <c r="A393" s="18">
        <v>458.06</v>
      </c>
      <c r="B393" s="1">
        <v>2.4</v>
      </c>
      <c r="C393" s="1">
        <v>458.06</v>
      </c>
      <c r="D393" s="1">
        <v>2.6</v>
      </c>
      <c r="E393" s="1">
        <v>458.06</v>
      </c>
      <c r="F393" s="1">
        <v>2.8</v>
      </c>
      <c r="G393" s="1">
        <v>458.06</v>
      </c>
      <c r="H393" s="1">
        <v>3</v>
      </c>
      <c r="I393" s="1">
        <v>458.06</v>
      </c>
      <c r="J393" s="1">
        <v>3</v>
      </c>
      <c r="K393" s="1">
        <v>458.06</v>
      </c>
      <c r="L393" s="1">
        <v>3</v>
      </c>
      <c r="M393" s="1">
        <v>458.06</v>
      </c>
      <c r="N393" s="1">
        <v>2.4</v>
      </c>
      <c r="O393" s="1">
        <v>2.6</v>
      </c>
      <c r="P393" s="1">
        <v>2.8</v>
      </c>
      <c r="Q393" s="1">
        <v>3</v>
      </c>
      <c r="R393" s="1">
        <v>3</v>
      </c>
      <c r="S393" s="1">
        <v>3</v>
      </c>
      <c r="T393" s="1">
        <v>458.06</v>
      </c>
      <c r="U393" s="1">
        <f>IF(Table14[[#This Row],[I_0]] &lt; INDEX(Table28[Filtro de ruido],1), 1, Table14[[#This Row],[I_10]] / Table14[[#This Row],[I_0]])</f>
        <v>1.0833333333333335</v>
      </c>
      <c r="V393" s="1">
        <f>IF(Table14[[#This Row],[I_0]] &lt; INDEX(Table28[Filtro de ruido],1), 1, Table14[[#This Row],[I_20]] / Table14[[#This Row],[I_0]])</f>
        <v>1.1666666666666667</v>
      </c>
      <c r="W393" s="1">
        <f>IF(Table14[[#This Row],[I_0]] &lt; INDEX(Table28[Filtro de ruido],1), 1, Table14[[#This Row],[I_30]] / Table14[[#This Row],[I_0]])</f>
        <v>1.25</v>
      </c>
      <c r="X393" s="1">
        <f>IF(Table14[[#This Row],[I_0]] &lt; INDEX(Table28[Filtro de ruido],1), 1, Table14[[#This Row],[I_40]] / Table14[[#This Row],[I_0]])</f>
        <v>1.25</v>
      </c>
      <c r="Y393" s="19">
        <f>IF(Table14[[#This Row],[I_0]] &lt; INDEX(Table28[Filtro de ruido],1), 1, Table14[[#This Row],[I_50]] / Table14[[#This Row],[I_0]])</f>
        <v>1.25</v>
      </c>
      <c r="AA393" s="1"/>
    </row>
    <row r="394" spans="1:27" x14ac:dyDescent="0.3">
      <c r="A394" s="18">
        <v>459.05</v>
      </c>
      <c r="B394" s="1">
        <v>2</v>
      </c>
      <c r="C394" s="1">
        <v>459.05</v>
      </c>
      <c r="D394" s="1">
        <v>2.1</v>
      </c>
      <c r="E394" s="1">
        <v>459.05</v>
      </c>
      <c r="F394" s="1">
        <v>2.2000000000000002</v>
      </c>
      <c r="G394" s="1">
        <v>459.05</v>
      </c>
      <c r="H394" s="1">
        <v>2.4</v>
      </c>
      <c r="I394" s="1">
        <v>459.05</v>
      </c>
      <c r="J394" s="1">
        <v>2.4</v>
      </c>
      <c r="K394" s="1">
        <v>459.05</v>
      </c>
      <c r="L394" s="1">
        <v>2.4</v>
      </c>
      <c r="M394" s="1">
        <v>459.05</v>
      </c>
      <c r="N394" s="1">
        <v>2</v>
      </c>
      <c r="O394" s="1">
        <v>2.1</v>
      </c>
      <c r="P394" s="1">
        <v>2.2000000000000002</v>
      </c>
      <c r="Q394" s="1">
        <v>2.4</v>
      </c>
      <c r="R394" s="1">
        <v>2.4</v>
      </c>
      <c r="S394" s="1">
        <v>2.4</v>
      </c>
      <c r="T394" s="1">
        <v>459.05</v>
      </c>
      <c r="U394" s="1">
        <f>IF(Table14[[#This Row],[I_0]] &lt; INDEX(Table28[Filtro de ruido],1), 1, Table14[[#This Row],[I_10]] / Table14[[#This Row],[I_0]])</f>
        <v>1.05</v>
      </c>
      <c r="V394" s="1">
        <f>IF(Table14[[#This Row],[I_0]] &lt; INDEX(Table28[Filtro de ruido],1), 1, Table14[[#This Row],[I_20]] / Table14[[#This Row],[I_0]])</f>
        <v>1.1000000000000001</v>
      </c>
      <c r="W394" s="1">
        <f>IF(Table14[[#This Row],[I_0]] &lt; INDEX(Table28[Filtro de ruido],1), 1, Table14[[#This Row],[I_30]] / Table14[[#This Row],[I_0]])</f>
        <v>1.2</v>
      </c>
      <c r="X394" s="1">
        <f>IF(Table14[[#This Row],[I_0]] &lt; INDEX(Table28[Filtro de ruido],1), 1, Table14[[#This Row],[I_40]] / Table14[[#This Row],[I_0]])</f>
        <v>1.2</v>
      </c>
      <c r="Y394" s="19">
        <f>IF(Table14[[#This Row],[I_0]] &lt; INDEX(Table28[Filtro de ruido],1), 1, Table14[[#This Row],[I_50]] / Table14[[#This Row],[I_0]])</f>
        <v>1.2</v>
      </c>
      <c r="AA394" s="1"/>
    </row>
    <row r="395" spans="1:27" x14ac:dyDescent="0.3">
      <c r="A395" s="18">
        <v>460.04</v>
      </c>
      <c r="B395" s="1">
        <v>1.6</v>
      </c>
      <c r="C395" s="1">
        <v>460.04</v>
      </c>
      <c r="D395" s="1">
        <v>1.7</v>
      </c>
      <c r="E395" s="1">
        <v>460.04</v>
      </c>
      <c r="F395" s="1">
        <v>1.8</v>
      </c>
      <c r="G395" s="1">
        <v>460.04</v>
      </c>
      <c r="H395" s="1">
        <v>1.9</v>
      </c>
      <c r="I395" s="1">
        <v>460.04</v>
      </c>
      <c r="J395" s="1">
        <v>1.9</v>
      </c>
      <c r="K395" s="1">
        <v>460.04</v>
      </c>
      <c r="L395" s="1">
        <v>2</v>
      </c>
      <c r="M395" s="1">
        <v>460.04</v>
      </c>
      <c r="N395" s="1">
        <v>1.6</v>
      </c>
      <c r="O395" s="1">
        <v>1.7</v>
      </c>
      <c r="P395" s="1">
        <v>1.8</v>
      </c>
      <c r="Q395" s="1">
        <v>1.9</v>
      </c>
      <c r="R395" s="1">
        <v>1.9</v>
      </c>
      <c r="S395" s="1">
        <v>2</v>
      </c>
      <c r="T395" s="1">
        <v>460.04</v>
      </c>
      <c r="U395" s="1">
        <f>IF(Table14[[#This Row],[I_0]] &lt; INDEX(Table28[Filtro de ruido],1), 1, Table14[[#This Row],[I_10]] / Table14[[#This Row],[I_0]])</f>
        <v>1.0625</v>
      </c>
      <c r="V395" s="1">
        <f>IF(Table14[[#This Row],[I_0]] &lt; INDEX(Table28[Filtro de ruido],1), 1, Table14[[#This Row],[I_20]] / Table14[[#This Row],[I_0]])</f>
        <v>1.125</v>
      </c>
      <c r="W395" s="1">
        <f>IF(Table14[[#This Row],[I_0]] &lt; INDEX(Table28[Filtro de ruido],1), 1, Table14[[#This Row],[I_30]] / Table14[[#This Row],[I_0]])</f>
        <v>1.1874999999999998</v>
      </c>
      <c r="X395" s="1">
        <f>IF(Table14[[#This Row],[I_0]] &lt; INDEX(Table28[Filtro de ruido],1), 1, Table14[[#This Row],[I_40]] / Table14[[#This Row],[I_0]])</f>
        <v>1.1874999999999998</v>
      </c>
      <c r="Y395" s="19">
        <f>IF(Table14[[#This Row],[I_0]] &lt; INDEX(Table28[Filtro de ruido],1), 1, Table14[[#This Row],[I_50]] / Table14[[#This Row],[I_0]])</f>
        <v>1.25</v>
      </c>
      <c r="AA395" s="1"/>
    </row>
    <row r="396" spans="1:27" x14ac:dyDescent="0.3">
      <c r="A396" s="18">
        <v>461.04</v>
      </c>
      <c r="B396" s="1">
        <v>1.3</v>
      </c>
      <c r="C396" s="1">
        <v>461.04</v>
      </c>
      <c r="D396" s="1">
        <v>1.4</v>
      </c>
      <c r="E396" s="1">
        <v>461.04</v>
      </c>
      <c r="F396" s="1">
        <v>1.5</v>
      </c>
      <c r="G396" s="1">
        <v>461.04</v>
      </c>
      <c r="H396" s="1">
        <v>1.6</v>
      </c>
      <c r="I396" s="1">
        <v>461.04</v>
      </c>
      <c r="J396" s="1">
        <v>1.6</v>
      </c>
      <c r="K396" s="1">
        <v>461.04</v>
      </c>
      <c r="L396" s="1">
        <v>1.6</v>
      </c>
      <c r="M396" s="1">
        <v>461.04</v>
      </c>
      <c r="N396" s="1">
        <v>1.3</v>
      </c>
      <c r="O396" s="1">
        <v>1.4</v>
      </c>
      <c r="P396" s="1">
        <v>1.5</v>
      </c>
      <c r="Q396" s="1">
        <v>1.6</v>
      </c>
      <c r="R396" s="1">
        <v>1.6</v>
      </c>
      <c r="S396" s="1">
        <v>1.6</v>
      </c>
      <c r="T396" s="1">
        <v>461.04</v>
      </c>
      <c r="U396" s="1">
        <f>IF(Table14[[#This Row],[I_0]] &lt; INDEX(Table28[Filtro de ruido],1), 1, Table14[[#This Row],[I_10]] / Table14[[#This Row],[I_0]])</f>
        <v>1.0769230769230769</v>
      </c>
      <c r="V396" s="1">
        <f>IF(Table14[[#This Row],[I_0]] &lt; INDEX(Table28[Filtro de ruido],1), 1, Table14[[#This Row],[I_20]] / Table14[[#This Row],[I_0]])</f>
        <v>1.1538461538461537</v>
      </c>
      <c r="W396" s="1">
        <f>IF(Table14[[#This Row],[I_0]] &lt; INDEX(Table28[Filtro de ruido],1), 1, Table14[[#This Row],[I_30]] / Table14[[#This Row],[I_0]])</f>
        <v>1.2307692307692308</v>
      </c>
      <c r="X396" s="1">
        <f>IF(Table14[[#This Row],[I_0]] &lt; INDEX(Table28[Filtro de ruido],1), 1, Table14[[#This Row],[I_40]] / Table14[[#This Row],[I_0]])</f>
        <v>1.2307692307692308</v>
      </c>
      <c r="Y396" s="19">
        <f>IF(Table14[[#This Row],[I_0]] &lt; INDEX(Table28[Filtro de ruido],1), 1, Table14[[#This Row],[I_50]] / Table14[[#This Row],[I_0]])</f>
        <v>1.2307692307692308</v>
      </c>
      <c r="AA396" s="1"/>
    </row>
    <row r="397" spans="1:27" x14ac:dyDescent="0.3">
      <c r="A397" s="18">
        <v>462.03</v>
      </c>
      <c r="B397" s="1">
        <v>1</v>
      </c>
      <c r="C397" s="1">
        <v>462.03</v>
      </c>
      <c r="D397" s="1">
        <v>1.1000000000000001</v>
      </c>
      <c r="E397" s="1">
        <v>462.03</v>
      </c>
      <c r="F397" s="1">
        <v>1.2</v>
      </c>
      <c r="G397" s="1">
        <v>462.03</v>
      </c>
      <c r="H397" s="1">
        <v>1.3</v>
      </c>
      <c r="I397" s="1">
        <v>462.03</v>
      </c>
      <c r="J397" s="1">
        <v>1.3</v>
      </c>
      <c r="K397" s="1">
        <v>462.03</v>
      </c>
      <c r="L397" s="1">
        <v>1.3</v>
      </c>
      <c r="M397" s="1">
        <v>462.03</v>
      </c>
      <c r="N397" s="1">
        <v>1</v>
      </c>
      <c r="O397" s="1">
        <v>1.1000000000000001</v>
      </c>
      <c r="P397" s="1">
        <v>1.2</v>
      </c>
      <c r="Q397" s="1">
        <v>1.3</v>
      </c>
      <c r="R397" s="1">
        <v>1.3</v>
      </c>
      <c r="S397" s="1">
        <v>1.3</v>
      </c>
      <c r="T397" s="1">
        <v>462.03</v>
      </c>
      <c r="U397" s="1">
        <f>IF(Table14[[#This Row],[I_0]] &lt; INDEX(Table28[Filtro de ruido],1), 1, Table14[[#This Row],[I_10]] / Table14[[#This Row],[I_0]])</f>
        <v>1.1000000000000001</v>
      </c>
      <c r="V397" s="1">
        <f>IF(Table14[[#This Row],[I_0]] &lt; INDEX(Table28[Filtro de ruido],1), 1, Table14[[#This Row],[I_20]] / Table14[[#This Row],[I_0]])</f>
        <v>1.2</v>
      </c>
      <c r="W397" s="1">
        <f>IF(Table14[[#This Row],[I_0]] &lt; INDEX(Table28[Filtro de ruido],1), 1, Table14[[#This Row],[I_30]] / Table14[[#This Row],[I_0]])</f>
        <v>1.3</v>
      </c>
      <c r="X397" s="1">
        <f>IF(Table14[[#This Row],[I_0]] &lt; INDEX(Table28[Filtro de ruido],1), 1, Table14[[#This Row],[I_40]] / Table14[[#This Row],[I_0]])</f>
        <v>1.3</v>
      </c>
      <c r="Y397" s="19">
        <f>IF(Table14[[#This Row],[I_0]] &lt; INDEX(Table28[Filtro de ruido],1), 1, Table14[[#This Row],[I_50]] / Table14[[#This Row],[I_0]])</f>
        <v>1.3</v>
      </c>
      <c r="AA397" s="1"/>
    </row>
    <row r="398" spans="1:27" x14ac:dyDescent="0.3">
      <c r="A398" s="18">
        <v>463.02</v>
      </c>
      <c r="B398" s="1">
        <v>0.8</v>
      </c>
      <c r="C398" s="1">
        <v>463.02</v>
      </c>
      <c r="D398" s="1">
        <v>0.9</v>
      </c>
      <c r="E398" s="1">
        <v>463.02</v>
      </c>
      <c r="F398" s="1">
        <v>1</v>
      </c>
      <c r="G398" s="1">
        <v>463.02</v>
      </c>
      <c r="H398" s="1">
        <v>1</v>
      </c>
      <c r="I398" s="1">
        <v>463.02</v>
      </c>
      <c r="J398" s="1">
        <v>1</v>
      </c>
      <c r="K398" s="1">
        <v>463.02</v>
      </c>
      <c r="L398" s="1">
        <v>1</v>
      </c>
      <c r="M398" s="1">
        <v>463.02</v>
      </c>
      <c r="N398" s="1">
        <v>0.8</v>
      </c>
      <c r="O398" s="1">
        <v>0.9</v>
      </c>
      <c r="P398" s="1">
        <v>1</v>
      </c>
      <c r="Q398" s="1">
        <v>1</v>
      </c>
      <c r="R398" s="1">
        <v>1</v>
      </c>
      <c r="S398" s="1">
        <v>1</v>
      </c>
      <c r="T398" s="1">
        <v>463.02</v>
      </c>
      <c r="U398" s="1">
        <f>IF(Table14[[#This Row],[I_0]] &lt; INDEX(Table28[Filtro de ruido],1), 1, Table14[[#This Row],[I_10]] / Table14[[#This Row],[I_0]])</f>
        <v>1.125</v>
      </c>
      <c r="V398" s="1">
        <f>IF(Table14[[#This Row],[I_0]] &lt; INDEX(Table28[Filtro de ruido],1), 1, Table14[[#This Row],[I_20]] / Table14[[#This Row],[I_0]])</f>
        <v>1.25</v>
      </c>
      <c r="W398" s="1">
        <f>IF(Table14[[#This Row],[I_0]] &lt; INDEX(Table28[Filtro de ruido],1), 1, Table14[[#This Row],[I_30]] / Table14[[#This Row],[I_0]])</f>
        <v>1.25</v>
      </c>
      <c r="X398" s="1">
        <f>IF(Table14[[#This Row],[I_0]] &lt; INDEX(Table28[Filtro de ruido],1), 1, Table14[[#This Row],[I_40]] / Table14[[#This Row],[I_0]])</f>
        <v>1.25</v>
      </c>
      <c r="Y398" s="19">
        <f>IF(Table14[[#This Row],[I_0]] &lt; INDEX(Table28[Filtro de ruido],1), 1, Table14[[#This Row],[I_50]] / Table14[[#This Row],[I_0]])</f>
        <v>1.25</v>
      </c>
      <c r="AA398" s="1"/>
    </row>
    <row r="399" spans="1:27" x14ac:dyDescent="0.3">
      <c r="A399" s="18">
        <v>464.01</v>
      </c>
      <c r="B399" s="1">
        <v>0.7</v>
      </c>
      <c r="C399" s="1">
        <v>464.01</v>
      </c>
      <c r="D399" s="1">
        <v>0.7</v>
      </c>
      <c r="E399" s="1">
        <v>464.01</v>
      </c>
      <c r="F399" s="1">
        <v>0.8</v>
      </c>
      <c r="G399" s="1">
        <v>464.01</v>
      </c>
      <c r="H399" s="1">
        <v>0.8</v>
      </c>
      <c r="I399" s="1">
        <v>464.01</v>
      </c>
      <c r="J399" s="1">
        <v>0.8</v>
      </c>
      <c r="K399" s="1">
        <v>464.01</v>
      </c>
      <c r="L399" s="1">
        <v>0.8</v>
      </c>
      <c r="M399" s="1">
        <v>464.01</v>
      </c>
      <c r="N399" s="1">
        <v>0.7</v>
      </c>
      <c r="O399" s="1">
        <v>0.7</v>
      </c>
      <c r="P399" s="1">
        <v>0.8</v>
      </c>
      <c r="Q399" s="1">
        <v>0.8</v>
      </c>
      <c r="R399" s="1">
        <v>0.8</v>
      </c>
      <c r="S399" s="1">
        <v>0.8</v>
      </c>
      <c r="T399" s="1">
        <v>464.01</v>
      </c>
      <c r="U399" s="1">
        <f>IF(Table14[[#This Row],[I_0]] &lt; INDEX(Table28[Filtro de ruido],1), 1, Table14[[#This Row],[I_10]] / Table14[[#This Row],[I_0]])</f>
        <v>1</v>
      </c>
      <c r="V399" s="1">
        <f>IF(Table14[[#This Row],[I_0]] &lt; INDEX(Table28[Filtro de ruido],1), 1, Table14[[#This Row],[I_20]] / Table14[[#This Row],[I_0]])</f>
        <v>1.142857142857143</v>
      </c>
      <c r="W399" s="1">
        <f>IF(Table14[[#This Row],[I_0]] &lt; INDEX(Table28[Filtro de ruido],1), 1, Table14[[#This Row],[I_30]] / Table14[[#This Row],[I_0]])</f>
        <v>1.142857142857143</v>
      </c>
      <c r="X399" s="1">
        <f>IF(Table14[[#This Row],[I_0]] &lt; INDEX(Table28[Filtro de ruido],1), 1, Table14[[#This Row],[I_40]] / Table14[[#This Row],[I_0]])</f>
        <v>1.142857142857143</v>
      </c>
      <c r="Y399" s="19">
        <f>IF(Table14[[#This Row],[I_0]] &lt; INDEX(Table28[Filtro de ruido],1), 1, Table14[[#This Row],[I_50]] / Table14[[#This Row],[I_0]])</f>
        <v>1.142857142857143</v>
      </c>
      <c r="AA399" s="1"/>
    </row>
    <row r="400" spans="1:27" x14ac:dyDescent="0.3">
      <c r="A400" s="18">
        <v>465</v>
      </c>
      <c r="B400" s="1">
        <v>0.6</v>
      </c>
      <c r="C400" s="1">
        <v>465</v>
      </c>
      <c r="D400" s="1">
        <v>0.6</v>
      </c>
      <c r="E400" s="1">
        <v>465</v>
      </c>
      <c r="F400" s="1">
        <v>0.6</v>
      </c>
      <c r="G400" s="1">
        <v>465</v>
      </c>
      <c r="H400" s="1">
        <v>0.7</v>
      </c>
      <c r="I400" s="1">
        <v>465</v>
      </c>
      <c r="J400" s="1">
        <v>0.7</v>
      </c>
      <c r="K400" s="1">
        <v>465</v>
      </c>
      <c r="L400" s="1">
        <v>0.7</v>
      </c>
      <c r="M400" s="1">
        <v>465</v>
      </c>
      <c r="N400" s="1">
        <v>0.6</v>
      </c>
      <c r="O400" s="1">
        <v>0.6</v>
      </c>
      <c r="P400" s="1">
        <v>0.6</v>
      </c>
      <c r="Q400" s="1">
        <v>0.7</v>
      </c>
      <c r="R400" s="1">
        <v>0.7</v>
      </c>
      <c r="S400" s="1">
        <v>0.7</v>
      </c>
      <c r="T400" s="1">
        <v>465</v>
      </c>
      <c r="U400" s="1">
        <f>IF(Table14[[#This Row],[I_0]] &lt; INDEX(Table28[Filtro de ruido],1), 1, Table14[[#This Row],[I_10]] / Table14[[#This Row],[I_0]])</f>
        <v>1</v>
      </c>
      <c r="V400" s="1">
        <f>IF(Table14[[#This Row],[I_0]] &lt; INDEX(Table28[Filtro de ruido],1), 1, Table14[[#This Row],[I_20]] / Table14[[#This Row],[I_0]])</f>
        <v>1</v>
      </c>
      <c r="W400" s="1">
        <f>IF(Table14[[#This Row],[I_0]] &lt; INDEX(Table28[Filtro de ruido],1), 1, Table14[[#This Row],[I_30]] / Table14[[#This Row],[I_0]])</f>
        <v>1.1666666666666667</v>
      </c>
      <c r="X400" s="1">
        <f>IF(Table14[[#This Row],[I_0]] &lt; INDEX(Table28[Filtro de ruido],1), 1, Table14[[#This Row],[I_40]] / Table14[[#This Row],[I_0]])</f>
        <v>1.1666666666666667</v>
      </c>
      <c r="Y400" s="19">
        <f>IF(Table14[[#This Row],[I_0]] &lt; INDEX(Table28[Filtro de ruido],1), 1, Table14[[#This Row],[I_50]] / Table14[[#This Row],[I_0]])</f>
        <v>1.1666666666666667</v>
      </c>
      <c r="AA400" s="1"/>
    </row>
    <row r="401" spans="1:27" x14ac:dyDescent="0.3">
      <c r="A401" s="18">
        <v>465.99</v>
      </c>
      <c r="B401" s="1">
        <v>0.4</v>
      </c>
      <c r="C401" s="1">
        <v>465.99</v>
      </c>
      <c r="D401" s="1">
        <v>0.5</v>
      </c>
      <c r="E401" s="1">
        <v>465.99</v>
      </c>
      <c r="F401" s="1">
        <v>0.5</v>
      </c>
      <c r="G401" s="1">
        <v>465.99</v>
      </c>
      <c r="H401" s="1">
        <v>0.5</v>
      </c>
      <c r="I401" s="1">
        <v>465.99</v>
      </c>
      <c r="J401" s="1">
        <v>0.6</v>
      </c>
      <c r="K401" s="1">
        <v>465.99</v>
      </c>
      <c r="L401" s="1">
        <v>0.6</v>
      </c>
      <c r="M401" s="1">
        <v>465.99</v>
      </c>
      <c r="N401" s="1">
        <v>0.4</v>
      </c>
      <c r="O401" s="1">
        <v>0.5</v>
      </c>
      <c r="P401" s="1">
        <v>0.5</v>
      </c>
      <c r="Q401" s="1">
        <v>0.5</v>
      </c>
      <c r="R401" s="1">
        <v>0.6</v>
      </c>
      <c r="S401" s="1">
        <v>0.6</v>
      </c>
      <c r="T401" s="1">
        <v>465.99</v>
      </c>
      <c r="U401" s="1">
        <f>IF(Table14[[#This Row],[I_0]] &lt; INDEX(Table28[Filtro de ruido],1), 1, Table14[[#This Row],[I_10]] / Table14[[#This Row],[I_0]])</f>
        <v>1.25</v>
      </c>
      <c r="V401" s="1">
        <f>IF(Table14[[#This Row],[I_0]] &lt; INDEX(Table28[Filtro de ruido],1), 1, Table14[[#This Row],[I_20]] / Table14[[#This Row],[I_0]])</f>
        <v>1.25</v>
      </c>
      <c r="W401" s="1">
        <f>IF(Table14[[#This Row],[I_0]] &lt; INDEX(Table28[Filtro de ruido],1), 1, Table14[[#This Row],[I_30]] / Table14[[#This Row],[I_0]])</f>
        <v>1.25</v>
      </c>
      <c r="X401" s="1">
        <f>IF(Table14[[#This Row],[I_0]] &lt; INDEX(Table28[Filtro de ruido],1), 1, Table14[[#This Row],[I_40]] / Table14[[#This Row],[I_0]])</f>
        <v>1.4999999999999998</v>
      </c>
      <c r="Y401" s="19">
        <f>IF(Table14[[#This Row],[I_0]] &lt; INDEX(Table28[Filtro de ruido],1), 1, Table14[[#This Row],[I_50]] / Table14[[#This Row],[I_0]])</f>
        <v>1.4999999999999998</v>
      </c>
      <c r="AA401" s="1"/>
    </row>
    <row r="402" spans="1:27" x14ac:dyDescent="0.3">
      <c r="A402" s="18">
        <v>466.99</v>
      </c>
      <c r="B402" s="1">
        <v>0.4</v>
      </c>
      <c r="C402" s="1">
        <v>466.99</v>
      </c>
      <c r="D402" s="1">
        <v>0.4</v>
      </c>
      <c r="E402" s="1">
        <v>466.99</v>
      </c>
      <c r="F402" s="1">
        <v>0.4</v>
      </c>
      <c r="G402" s="1">
        <v>466.99</v>
      </c>
      <c r="H402" s="1">
        <v>0.4</v>
      </c>
      <c r="I402" s="1">
        <v>466.99</v>
      </c>
      <c r="J402" s="1">
        <v>0.4</v>
      </c>
      <c r="K402" s="1">
        <v>466.99</v>
      </c>
      <c r="L402" s="1">
        <v>0.5</v>
      </c>
      <c r="M402" s="1">
        <v>466.99</v>
      </c>
      <c r="N402" s="1">
        <v>0.4</v>
      </c>
      <c r="O402" s="1">
        <v>0.4</v>
      </c>
      <c r="P402" s="1">
        <v>0.4</v>
      </c>
      <c r="Q402" s="1">
        <v>0.4</v>
      </c>
      <c r="R402" s="1">
        <v>0.4</v>
      </c>
      <c r="S402" s="1">
        <v>0.5</v>
      </c>
      <c r="T402" s="1">
        <v>466.99</v>
      </c>
      <c r="U402" s="1">
        <f>IF(Table14[[#This Row],[I_0]] &lt; INDEX(Table28[Filtro de ruido],1), 1, Table14[[#This Row],[I_10]] / Table14[[#This Row],[I_0]])</f>
        <v>1</v>
      </c>
      <c r="V402" s="1">
        <f>IF(Table14[[#This Row],[I_0]] &lt; INDEX(Table28[Filtro de ruido],1), 1, Table14[[#This Row],[I_20]] / Table14[[#This Row],[I_0]])</f>
        <v>1</v>
      </c>
      <c r="W402" s="1">
        <f>IF(Table14[[#This Row],[I_0]] &lt; INDEX(Table28[Filtro de ruido],1), 1, Table14[[#This Row],[I_30]] / Table14[[#This Row],[I_0]])</f>
        <v>1</v>
      </c>
      <c r="X402" s="1">
        <f>IF(Table14[[#This Row],[I_0]] &lt; INDEX(Table28[Filtro de ruido],1), 1, Table14[[#This Row],[I_40]] / Table14[[#This Row],[I_0]])</f>
        <v>1</v>
      </c>
      <c r="Y402" s="19">
        <f>IF(Table14[[#This Row],[I_0]] &lt; INDEX(Table28[Filtro de ruido],1), 1, Table14[[#This Row],[I_50]] / Table14[[#This Row],[I_0]])</f>
        <v>1.25</v>
      </c>
      <c r="AA402" s="1"/>
    </row>
    <row r="403" spans="1:27" x14ac:dyDescent="0.3">
      <c r="A403" s="18">
        <v>467.98</v>
      </c>
      <c r="B403" s="1">
        <v>0.3</v>
      </c>
      <c r="C403" s="1">
        <v>467.98</v>
      </c>
      <c r="D403" s="1">
        <v>0.3</v>
      </c>
      <c r="E403" s="1">
        <v>467.98</v>
      </c>
      <c r="F403" s="1">
        <v>0.3</v>
      </c>
      <c r="G403" s="1">
        <v>467.98</v>
      </c>
      <c r="H403" s="1">
        <v>0.4</v>
      </c>
      <c r="I403" s="1">
        <v>467.98</v>
      </c>
      <c r="J403" s="1">
        <v>0.4</v>
      </c>
      <c r="K403" s="1">
        <v>467.98</v>
      </c>
      <c r="L403" s="1">
        <v>0.4</v>
      </c>
      <c r="M403" s="1">
        <v>467.98</v>
      </c>
      <c r="N403" s="1">
        <v>0.3</v>
      </c>
      <c r="O403" s="1">
        <v>0.3</v>
      </c>
      <c r="P403" s="1">
        <v>0.3</v>
      </c>
      <c r="Q403" s="1">
        <v>0.4</v>
      </c>
      <c r="R403" s="1">
        <v>0.4</v>
      </c>
      <c r="S403" s="1">
        <v>0.4</v>
      </c>
      <c r="T403" s="1">
        <v>467.98</v>
      </c>
      <c r="U403" s="1">
        <f>IF(Table14[[#This Row],[I_0]] &lt; INDEX(Table28[Filtro de ruido],1), 1, Table14[[#This Row],[I_10]] / Table14[[#This Row],[I_0]])</f>
        <v>1</v>
      </c>
      <c r="V403" s="1">
        <f>IF(Table14[[#This Row],[I_0]] &lt; INDEX(Table28[Filtro de ruido],1), 1, Table14[[#This Row],[I_20]] / Table14[[#This Row],[I_0]])</f>
        <v>1</v>
      </c>
      <c r="W403" s="1">
        <f>IF(Table14[[#This Row],[I_0]] &lt; INDEX(Table28[Filtro de ruido],1), 1, Table14[[#This Row],[I_30]] / Table14[[#This Row],[I_0]])</f>
        <v>1.3333333333333335</v>
      </c>
      <c r="X403" s="1">
        <f>IF(Table14[[#This Row],[I_0]] &lt; INDEX(Table28[Filtro de ruido],1), 1, Table14[[#This Row],[I_40]] / Table14[[#This Row],[I_0]])</f>
        <v>1.3333333333333335</v>
      </c>
      <c r="Y403" s="19">
        <f>IF(Table14[[#This Row],[I_0]] &lt; INDEX(Table28[Filtro de ruido],1), 1, Table14[[#This Row],[I_50]] / Table14[[#This Row],[I_0]])</f>
        <v>1.3333333333333335</v>
      </c>
      <c r="AA403" s="1"/>
    </row>
    <row r="404" spans="1:27" x14ac:dyDescent="0.3">
      <c r="A404" s="18">
        <v>468.97</v>
      </c>
      <c r="B404" s="1">
        <v>0.2</v>
      </c>
      <c r="C404" s="1">
        <v>468.97</v>
      </c>
      <c r="D404" s="1">
        <v>0.3</v>
      </c>
      <c r="E404" s="1">
        <v>468.97</v>
      </c>
      <c r="F404" s="1">
        <v>0.3</v>
      </c>
      <c r="G404" s="1">
        <v>468.97</v>
      </c>
      <c r="H404" s="1">
        <v>0.3</v>
      </c>
      <c r="I404" s="1">
        <v>468.97</v>
      </c>
      <c r="J404" s="1">
        <v>0.3</v>
      </c>
      <c r="K404" s="1">
        <v>468.97</v>
      </c>
      <c r="L404" s="1">
        <v>0.3</v>
      </c>
      <c r="M404" s="1">
        <v>468.97</v>
      </c>
      <c r="N404" s="1">
        <v>0.2</v>
      </c>
      <c r="O404" s="1">
        <v>0.3</v>
      </c>
      <c r="P404" s="1">
        <v>0.3</v>
      </c>
      <c r="Q404" s="1">
        <v>0.3</v>
      </c>
      <c r="R404" s="1">
        <v>0.3</v>
      </c>
      <c r="S404" s="1">
        <v>0.3</v>
      </c>
      <c r="T404" s="1">
        <v>468.97</v>
      </c>
      <c r="U404" s="1">
        <f>IF(Table14[[#This Row],[I_0]] &lt; INDEX(Table28[Filtro de ruido],1), 1, Table14[[#This Row],[I_10]] / Table14[[#This Row],[I_0]])</f>
        <v>1.4999999999999998</v>
      </c>
      <c r="V404" s="1">
        <f>IF(Table14[[#This Row],[I_0]] &lt; INDEX(Table28[Filtro de ruido],1), 1, Table14[[#This Row],[I_20]] / Table14[[#This Row],[I_0]])</f>
        <v>1.4999999999999998</v>
      </c>
      <c r="W404" s="1">
        <f>IF(Table14[[#This Row],[I_0]] &lt; INDEX(Table28[Filtro de ruido],1), 1, Table14[[#This Row],[I_30]] / Table14[[#This Row],[I_0]])</f>
        <v>1.4999999999999998</v>
      </c>
      <c r="X404" s="1">
        <f>IF(Table14[[#This Row],[I_0]] &lt; INDEX(Table28[Filtro de ruido],1), 1, Table14[[#This Row],[I_40]] / Table14[[#This Row],[I_0]])</f>
        <v>1.4999999999999998</v>
      </c>
      <c r="Y404" s="19">
        <f>IF(Table14[[#This Row],[I_0]] &lt; INDEX(Table28[Filtro de ruido],1), 1, Table14[[#This Row],[I_50]] / Table14[[#This Row],[I_0]])</f>
        <v>1.4999999999999998</v>
      </c>
      <c r="AA404" s="1"/>
    </row>
    <row r="405" spans="1:27" x14ac:dyDescent="0.3">
      <c r="A405" s="18">
        <v>469.96</v>
      </c>
      <c r="B405" s="1">
        <v>0.2</v>
      </c>
      <c r="C405" s="1">
        <v>469.96</v>
      </c>
      <c r="D405" s="1">
        <v>0.2</v>
      </c>
      <c r="E405" s="1">
        <v>469.96</v>
      </c>
      <c r="F405" s="1">
        <v>0.2</v>
      </c>
      <c r="G405" s="1">
        <v>469.96</v>
      </c>
      <c r="H405" s="1">
        <v>0.2</v>
      </c>
      <c r="I405" s="1">
        <v>469.96</v>
      </c>
      <c r="J405" s="1">
        <v>0.2</v>
      </c>
      <c r="K405" s="1">
        <v>469.96</v>
      </c>
      <c r="L405" s="1">
        <v>0.2</v>
      </c>
      <c r="M405" s="1">
        <v>469.96</v>
      </c>
      <c r="N405" s="1">
        <v>0.2</v>
      </c>
      <c r="O405" s="1">
        <v>0.2</v>
      </c>
      <c r="P405" s="1">
        <v>0.2</v>
      </c>
      <c r="Q405" s="1">
        <v>0.2</v>
      </c>
      <c r="R405" s="1">
        <v>0.2</v>
      </c>
      <c r="S405" s="1">
        <v>0.2</v>
      </c>
      <c r="T405" s="1">
        <v>469.96</v>
      </c>
      <c r="U405" s="1">
        <f>IF(Table14[[#This Row],[I_0]] &lt; INDEX(Table28[Filtro de ruido],1), 1, Table14[[#This Row],[I_10]] / Table14[[#This Row],[I_0]])</f>
        <v>1</v>
      </c>
      <c r="V405" s="1">
        <f>IF(Table14[[#This Row],[I_0]] &lt; INDEX(Table28[Filtro de ruido],1), 1, Table14[[#This Row],[I_20]] / Table14[[#This Row],[I_0]])</f>
        <v>1</v>
      </c>
      <c r="W405" s="1">
        <f>IF(Table14[[#This Row],[I_0]] &lt; INDEX(Table28[Filtro de ruido],1), 1, Table14[[#This Row],[I_30]] / Table14[[#This Row],[I_0]])</f>
        <v>1</v>
      </c>
      <c r="X405" s="1">
        <f>IF(Table14[[#This Row],[I_0]] &lt; INDEX(Table28[Filtro de ruido],1), 1, Table14[[#This Row],[I_40]] / Table14[[#This Row],[I_0]])</f>
        <v>1</v>
      </c>
      <c r="Y405" s="19">
        <f>IF(Table14[[#This Row],[I_0]] &lt; INDEX(Table28[Filtro de ruido],1), 1, Table14[[#This Row],[I_50]] / Table14[[#This Row],[I_0]])</f>
        <v>1</v>
      </c>
      <c r="AA405" s="1"/>
    </row>
    <row r="406" spans="1:27" x14ac:dyDescent="0.3">
      <c r="A406" s="18">
        <v>470.95</v>
      </c>
      <c r="B406" s="1">
        <v>0.2</v>
      </c>
      <c r="C406" s="1">
        <v>470.95</v>
      </c>
      <c r="D406" s="1">
        <v>0.2</v>
      </c>
      <c r="E406" s="1">
        <v>470.95</v>
      </c>
      <c r="F406" s="1">
        <v>0.2</v>
      </c>
      <c r="G406" s="1">
        <v>470.95</v>
      </c>
      <c r="H406" s="1">
        <v>0.2</v>
      </c>
      <c r="I406" s="1">
        <v>470.95</v>
      </c>
      <c r="J406" s="1">
        <v>0.2</v>
      </c>
      <c r="K406" s="1">
        <v>470.95</v>
      </c>
      <c r="L406" s="1">
        <v>0.2</v>
      </c>
      <c r="M406" s="1">
        <v>470.95</v>
      </c>
      <c r="N406" s="1">
        <v>0.2</v>
      </c>
      <c r="O406" s="1">
        <v>0.2</v>
      </c>
      <c r="P406" s="1">
        <v>0.2</v>
      </c>
      <c r="Q406" s="1">
        <v>0.2</v>
      </c>
      <c r="R406" s="1">
        <v>0.2</v>
      </c>
      <c r="S406" s="1">
        <v>0.2</v>
      </c>
      <c r="T406" s="1">
        <v>470.95</v>
      </c>
      <c r="U406" s="1">
        <f>IF(Table14[[#This Row],[I_0]] &lt; INDEX(Table28[Filtro de ruido],1), 1, Table14[[#This Row],[I_10]] / Table14[[#This Row],[I_0]])</f>
        <v>1</v>
      </c>
      <c r="V406" s="1">
        <f>IF(Table14[[#This Row],[I_0]] &lt; INDEX(Table28[Filtro de ruido],1), 1, Table14[[#This Row],[I_20]] / Table14[[#This Row],[I_0]])</f>
        <v>1</v>
      </c>
      <c r="W406" s="1">
        <f>IF(Table14[[#This Row],[I_0]] &lt; INDEX(Table28[Filtro de ruido],1), 1, Table14[[#This Row],[I_30]] / Table14[[#This Row],[I_0]])</f>
        <v>1</v>
      </c>
      <c r="X406" s="1">
        <f>IF(Table14[[#This Row],[I_0]] &lt; INDEX(Table28[Filtro de ruido],1), 1, Table14[[#This Row],[I_40]] / Table14[[#This Row],[I_0]])</f>
        <v>1</v>
      </c>
      <c r="Y406" s="19">
        <f>IF(Table14[[#This Row],[I_0]] &lt; INDEX(Table28[Filtro de ruido],1), 1, Table14[[#This Row],[I_50]] / Table14[[#This Row],[I_0]])</f>
        <v>1</v>
      </c>
      <c r="AA406" s="1"/>
    </row>
    <row r="407" spans="1:27" x14ac:dyDescent="0.3">
      <c r="A407" s="18">
        <v>471.95</v>
      </c>
      <c r="B407" s="1">
        <v>0.1</v>
      </c>
      <c r="C407" s="1">
        <v>471.95</v>
      </c>
      <c r="D407" s="1">
        <v>0.1</v>
      </c>
      <c r="E407" s="1">
        <v>471.95</v>
      </c>
      <c r="F407" s="1">
        <v>0.1</v>
      </c>
      <c r="G407" s="1">
        <v>471.95</v>
      </c>
      <c r="H407" s="1">
        <v>0.2</v>
      </c>
      <c r="I407" s="1">
        <v>471.95</v>
      </c>
      <c r="J407" s="1">
        <v>0.2</v>
      </c>
      <c r="K407" s="1">
        <v>471.95</v>
      </c>
      <c r="L407" s="1">
        <v>0.2</v>
      </c>
      <c r="M407" s="1">
        <v>471.95</v>
      </c>
      <c r="N407" s="1">
        <v>0.1</v>
      </c>
      <c r="O407" s="1">
        <v>0.1</v>
      </c>
      <c r="P407" s="1">
        <v>0.1</v>
      </c>
      <c r="Q407" s="1">
        <v>0.2</v>
      </c>
      <c r="R407" s="1">
        <v>0.2</v>
      </c>
      <c r="S407" s="1">
        <v>0.2</v>
      </c>
      <c r="T407" s="1">
        <v>471.95</v>
      </c>
      <c r="U407" s="1">
        <f>IF(Table14[[#This Row],[I_0]] &lt; INDEX(Table28[Filtro de ruido],1), 1, Table14[[#This Row],[I_10]] / Table14[[#This Row],[I_0]])</f>
        <v>1</v>
      </c>
      <c r="V407" s="1">
        <f>IF(Table14[[#This Row],[I_0]] &lt; INDEX(Table28[Filtro de ruido],1), 1, Table14[[#This Row],[I_20]] / Table14[[#This Row],[I_0]])</f>
        <v>1</v>
      </c>
      <c r="W407" s="1">
        <f>IF(Table14[[#This Row],[I_0]] &lt; INDEX(Table28[Filtro de ruido],1), 1, Table14[[#This Row],[I_30]] / Table14[[#This Row],[I_0]])</f>
        <v>2</v>
      </c>
      <c r="X407" s="1">
        <f>IF(Table14[[#This Row],[I_0]] &lt; INDEX(Table28[Filtro de ruido],1), 1, Table14[[#This Row],[I_40]] / Table14[[#This Row],[I_0]])</f>
        <v>2</v>
      </c>
      <c r="Y407" s="19">
        <f>IF(Table14[[#This Row],[I_0]] &lt; INDEX(Table28[Filtro de ruido],1), 1, Table14[[#This Row],[I_50]] / Table14[[#This Row],[I_0]])</f>
        <v>2</v>
      </c>
      <c r="AA407" s="1"/>
    </row>
    <row r="408" spans="1:27" x14ac:dyDescent="0.3">
      <c r="A408" s="18">
        <v>472.94</v>
      </c>
      <c r="B408" s="1">
        <v>0.1</v>
      </c>
      <c r="C408" s="1">
        <v>472.94</v>
      </c>
      <c r="D408" s="1">
        <v>0.1</v>
      </c>
      <c r="E408" s="1">
        <v>472.94</v>
      </c>
      <c r="F408" s="1">
        <v>0.1</v>
      </c>
      <c r="G408" s="1">
        <v>472.94</v>
      </c>
      <c r="H408" s="1">
        <v>0.1</v>
      </c>
      <c r="I408" s="1">
        <v>472.94</v>
      </c>
      <c r="J408" s="1">
        <v>0.1</v>
      </c>
      <c r="K408" s="1">
        <v>472.94</v>
      </c>
      <c r="L408" s="1">
        <v>0.1</v>
      </c>
      <c r="M408" s="1">
        <v>472.94</v>
      </c>
      <c r="N408" s="1">
        <v>0.1</v>
      </c>
      <c r="O408" s="1">
        <v>0.1</v>
      </c>
      <c r="P408" s="1">
        <v>0.1</v>
      </c>
      <c r="Q408" s="1">
        <v>0.1</v>
      </c>
      <c r="R408" s="1">
        <v>0.1</v>
      </c>
      <c r="S408" s="1">
        <v>0.1</v>
      </c>
      <c r="T408" s="1">
        <v>472.94</v>
      </c>
      <c r="U408" s="1">
        <f>IF(Table14[[#This Row],[I_0]] &lt; INDEX(Table28[Filtro de ruido],1), 1, Table14[[#This Row],[I_10]] / Table14[[#This Row],[I_0]])</f>
        <v>1</v>
      </c>
      <c r="V408" s="1">
        <f>IF(Table14[[#This Row],[I_0]] &lt; INDEX(Table28[Filtro de ruido],1), 1, Table14[[#This Row],[I_20]] / Table14[[#This Row],[I_0]])</f>
        <v>1</v>
      </c>
      <c r="W408" s="1">
        <f>IF(Table14[[#This Row],[I_0]] &lt; INDEX(Table28[Filtro de ruido],1), 1, Table14[[#This Row],[I_30]] / Table14[[#This Row],[I_0]])</f>
        <v>1</v>
      </c>
      <c r="X408" s="1">
        <f>IF(Table14[[#This Row],[I_0]] &lt; INDEX(Table28[Filtro de ruido],1), 1, Table14[[#This Row],[I_40]] / Table14[[#This Row],[I_0]])</f>
        <v>1</v>
      </c>
      <c r="Y408" s="19">
        <f>IF(Table14[[#This Row],[I_0]] &lt; INDEX(Table28[Filtro de ruido],1), 1, Table14[[#This Row],[I_50]] / Table14[[#This Row],[I_0]])</f>
        <v>1</v>
      </c>
      <c r="AA408" s="1"/>
    </row>
    <row r="409" spans="1:27" x14ac:dyDescent="0.3">
      <c r="A409" s="18">
        <v>473.93</v>
      </c>
      <c r="B409" s="1">
        <v>0.1</v>
      </c>
      <c r="C409" s="1">
        <v>473.93</v>
      </c>
      <c r="D409" s="1">
        <v>0.1</v>
      </c>
      <c r="E409" s="1">
        <v>473.93</v>
      </c>
      <c r="F409" s="1">
        <v>0.1</v>
      </c>
      <c r="G409" s="1">
        <v>473.93</v>
      </c>
      <c r="H409" s="1">
        <v>0.1</v>
      </c>
      <c r="I409" s="1">
        <v>473.93</v>
      </c>
      <c r="J409" s="1">
        <v>0.1</v>
      </c>
      <c r="K409" s="1">
        <v>473.93</v>
      </c>
      <c r="L409" s="1">
        <v>0.1</v>
      </c>
      <c r="M409" s="1">
        <v>473.93</v>
      </c>
      <c r="N409" s="1">
        <v>0.1</v>
      </c>
      <c r="O409" s="1">
        <v>0.1</v>
      </c>
      <c r="P409" s="1">
        <v>0.1</v>
      </c>
      <c r="Q409" s="1">
        <v>0.1</v>
      </c>
      <c r="R409" s="1">
        <v>0.1</v>
      </c>
      <c r="S409" s="1">
        <v>0.1</v>
      </c>
      <c r="T409" s="1">
        <v>473.93</v>
      </c>
      <c r="U409" s="1">
        <f>IF(Table14[[#This Row],[I_0]] &lt; INDEX(Table28[Filtro de ruido],1), 1, Table14[[#This Row],[I_10]] / Table14[[#This Row],[I_0]])</f>
        <v>1</v>
      </c>
      <c r="V409" s="1">
        <f>IF(Table14[[#This Row],[I_0]] &lt; INDEX(Table28[Filtro de ruido],1), 1, Table14[[#This Row],[I_20]] / Table14[[#This Row],[I_0]])</f>
        <v>1</v>
      </c>
      <c r="W409" s="1">
        <f>IF(Table14[[#This Row],[I_0]] &lt; INDEX(Table28[Filtro de ruido],1), 1, Table14[[#This Row],[I_30]] / Table14[[#This Row],[I_0]])</f>
        <v>1</v>
      </c>
      <c r="X409" s="1">
        <f>IF(Table14[[#This Row],[I_0]] &lt; INDEX(Table28[Filtro de ruido],1), 1, Table14[[#This Row],[I_40]] / Table14[[#This Row],[I_0]])</f>
        <v>1</v>
      </c>
      <c r="Y409" s="19">
        <f>IF(Table14[[#This Row],[I_0]] &lt; INDEX(Table28[Filtro de ruido],1), 1, Table14[[#This Row],[I_50]] / Table14[[#This Row],[I_0]])</f>
        <v>1</v>
      </c>
      <c r="AA409" s="1"/>
    </row>
    <row r="410" spans="1:27" x14ac:dyDescent="0.3">
      <c r="A410" s="18">
        <v>474.92</v>
      </c>
      <c r="B410" s="1">
        <v>0.1</v>
      </c>
      <c r="C410" s="1">
        <v>474.92</v>
      </c>
      <c r="D410" s="1">
        <v>0.1</v>
      </c>
      <c r="E410" s="1">
        <v>474.92</v>
      </c>
      <c r="F410" s="1">
        <v>0.1</v>
      </c>
      <c r="G410" s="1">
        <v>474.92</v>
      </c>
      <c r="H410" s="1">
        <v>0.1</v>
      </c>
      <c r="I410" s="1">
        <v>474.92</v>
      </c>
      <c r="J410" s="1">
        <v>0.1</v>
      </c>
      <c r="K410" s="1">
        <v>474.92</v>
      </c>
      <c r="L410" s="1">
        <v>0.1</v>
      </c>
      <c r="M410" s="1">
        <v>474.92</v>
      </c>
      <c r="N410" s="1">
        <v>0.1</v>
      </c>
      <c r="O410" s="1">
        <v>0.1</v>
      </c>
      <c r="P410" s="1">
        <v>0.1</v>
      </c>
      <c r="Q410" s="1">
        <v>0.1</v>
      </c>
      <c r="R410" s="1">
        <v>0.1</v>
      </c>
      <c r="S410" s="1">
        <v>0.1</v>
      </c>
      <c r="T410" s="1">
        <v>474.92</v>
      </c>
      <c r="U410" s="1">
        <f>IF(Table14[[#This Row],[I_0]] &lt; INDEX(Table28[Filtro de ruido],1), 1, Table14[[#This Row],[I_10]] / Table14[[#This Row],[I_0]])</f>
        <v>1</v>
      </c>
      <c r="V410" s="1">
        <f>IF(Table14[[#This Row],[I_0]] &lt; INDEX(Table28[Filtro de ruido],1), 1, Table14[[#This Row],[I_20]] / Table14[[#This Row],[I_0]])</f>
        <v>1</v>
      </c>
      <c r="W410" s="1">
        <f>IF(Table14[[#This Row],[I_0]] &lt; INDEX(Table28[Filtro de ruido],1), 1, Table14[[#This Row],[I_30]] / Table14[[#This Row],[I_0]])</f>
        <v>1</v>
      </c>
      <c r="X410" s="1">
        <f>IF(Table14[[#This Row],[I_0]] &lt; INDEX(Table28[Filtro de ruido],1), 1, Table14[[#This Row],[I_40]] / Table14[[#This Row],[I_0]])</f>
        <v>1</v>
      </c>
      <c r="Y410" s="19">
        <f>IF(Table14[[#This Row],[I_0]] &lt; INDEX(Table28[Filtro de ruido],1), 1, Table14[[#This Row],[I_50]] / Table14[[#This Row],[I_0]])</f>
        <v>1</v>
      </c>
      <c r="AA410" s="1"/>
    </row>
    <row r="411" spans="1:27" x14ac:dyDescent="0.3">
      <c r="A411" s="18">
        <v>475.91</v>
      </c>
      <c r="B411" s="1">
        <v>0.1</v>
      </c>
      <c r="C411" s="1">
        <v>475.91</v>
      </c>
      <c r="D411" s="1">
        <v>0.1</v>
      </c>
      <c r="E411" s="1">
        <v>475.91</v>
      </c>
      <c r="F411" s="1">
        <v>0.1</v>
      </c>
      <c r="G411" s="1">
        <v>475.91</v>
      </c>
      <c r="H411" s="1">
        <v>0.1</v>
      </c>
      <c r="I411" s="1">
        <v>475.91</v>
      </c>
      <c r="J411" s="1">
        <v>0.1</v>
      </c>
      <c r="K411" s="1">
        <v>475.91</v>
      </c>
      <c r="L411" s="1">
        <v>0.1</v>
      </c>
      <c r="M411" s="1">
        <v>475.91</v>
      </c>
      <c r="N411" s="1">
        <v>0.1</v>
      </c>
      <c r="O411" s="1">
        <v>0.1</v>
      </c>
      <c r="P411" s="1">
        <v>0.1</v>
      </c>
      <c r="Q411" s="1">
        <v>0.1</v>
      </c>
      <c r="R411" s="1">
        <v>0.1</v>
      </c>
      <c r="S411" s="1">
        <v>0.1</v>
      </c>
      <c r="T411" s="1">
        <v>475.91</v>
      </c>
      <c r="U411" s="1">
        <f>IF(Table14[[#This Row],[I_0]] &lt; INDEX(Table28[Filtro de ruido],1), 1, Table14[[#This Row],[I_10]] / Table14[[#This Row],[I_0]])</f>
        <v>1</v>
      </c>
      <c r="V411" s="1">
        <f>IF(Table14[[#This Row],[I_0]] &lt; INDEX(Table28[Filtro de ruido],1), 1, Table14[[#This Row],[I_20]] / Table14[[#This Row],[I_0]])</f>
        <v>1</v>
      </c>
      <c r="W411" s="1">
        <f>IF(Table14[[#This Row],[I_0]] &lt; INDEX(Table28[Filtro de ruido],1), 1, Table14[[#This Row],[I_30]] / Table14[[#This Row],[I_0]])</f>
        <v>1</v>
      </c>
      <c r="X411" s="1">
        <f>IF(Table14[[#This Row],[I_0]] &lt; INDEX(Table28[Filtro de ruido],1), 1, Table14[[#This Row],[I_40]] / Table14[[#This Row],[I_0]])</f>
        <v>1</v>
      </c>
      <c r="Y411" s="19">
        <f>IF(Table14[[#This Row],[I_0]] &lt; INDEX(Table28[Filtro de ruido],1), 1, Table14[[#This Row],[I_50]] / Table14[[#This Row],[I_0]])</f>
        <v>1</v>
      </c>
      <c r="AA411" s="1"/>
    </row>
    <row r="412" spans="1:27" x14ac:dyDescent="0.3">
      <c r="A412" s="18">
        <v>476.9</v>
      </c>
      <c r="B412" s="1">
        <v>0</v>
      </c>
      <c r="C412" s="1">
        <v>476.9</v>
      </c>
      <c r="D412" s="1">
        <v>0.1</v>
      </c>
      <c r="E412" s="1">
        <v>476.9</v>
      </c>
      <c r="F412" s="1">
        <v>0.1</v>
      </c>
      <c r="G412" s="1">
        <v>476.9</v>
      </c>
      <c r="H412" s="1">
        <v>0.1</v>
      </c>
      <c r="I412" s="1">
        <v>476.9</v>
      </c>
      <c r="J412" s="1">
        <v>0.1</v>
      </c>
      <c r="K412" s="1">
        <v>476.9</v>
      </c>
      <c r="L412" s="1">
        <v>0.1</v>
      </c>
      <c r="M412" s="1">
        <v>476.9</v>
      </c>
      <c r="N412" s="1">
        <v>0</v>
      </c>
      <c r="O412" s="1">
        <v>0.1</v>
      </c>
      <c r="P412" s="1">
        <v>0.1</v>
      </c>
      <c r="Q412" s="1">
        <v>0.1</v>
      </c>
      <c r="R412" s="1">
        <v>0.1</v>
      </c>
      <c r="S412" s="1">
        <v>0.1</v>
      </c>
      <c r="T412" s="1">
        <v>476.9</v>
      </c>
      <c r="U412" s="1">
        <f>IF(Table14[[#This Row],[I_0]] &lt; INDEX(Table28[Filtro de ruido],1), 1, Table14[[#This Row],[I_10]] / Table14[[#This Row],[I_0]])</f>
        <v>1</v>
      </c>
      <c r="V412" s="1">
        <f>IF(Table14[[#This Row],[I_0]] &lt; INDEX(Table28[Filtro de ruido],1), 1, Table14[[#This Row],[I_20]] / Table14[[#This Row],[I_0]])</f>
        <v>1</v>
      </c>
      <c r="W412" s="1">
        <f>IF(Table14[[#This Row],[I_0]] &lt; INDEX(Table28[Filtro de ruido],1), 1, Table14[[#This Row],[I_30]] / Table14[[#This Row],[I_0]])</f>
        <v>1</v>
      </c>
      <c r="X412" s="1">
        <f>IF(Table14[[#This Row],[I_0]] &lt; INDEX(Table28[Filtro de ruido],1), 1, Table14[[#This Row],[I_40]] / Table14[[#This Row],[I_0]])</f>
        <v>1</v>
      </c>
      <c r="Y412" s="19">
        <f>IF(Table14[[#This Row],[I_0]] &lt; INDEX(Table28[Filtro de ruido],1), 1, Table14[[#This Row],[I_50]] / Table14[[#This Row],[I_0]])</f>
        <v>1</v>
      </c>
      <c r="AA412" s="1"/>
    </row>
    <row r="413" spans="1:27" x14ac:dyDescent="0.3">
      <c r="A413" s="18">
        <v>477.9</v>
      </c>
      <c r="B413" s="1">
        <v>0</v>
      </c>
      <c r="C413" s="1">
        <v>477.9</v>
      </c>
      <c r="D413" s="1">
        <v>0</v>
      </c>
      <c r="E413" s="1">
        <v>477.9</v>
      </c>
      <c r="F413" s="1">
        <v>0</v>
      </c>
      <c r="G413" s="1">
        <v>477.9</v>
      </c>
      <c r="H413" s="1">
        <v>0.1</v>
      </c>
      <c r="I413" s="1">
        <v>477.9</v>
      </c>
      <c r="J413" s="1">
        <v>0.1</v>
      </c>
      <c r="K413" s="1">
        <v>477.9</v>
      </c>
      <c r="L413" s="1">
        <v>0.1</v>
      </c>
      <c r="M413" s="1">
        <v>477.9</v>
      </c>
      <c r="N413" s="1">
        <v>0</v>
      </c>
      <c r="O413" s="1">
        <v>0</v>
      </c>
      <c r="P413" s="1">
        <v>0</v>
      </c>
      <c r="Q413" s="1">
        <v>0.1</v>
      </c>
      <c r="R413" s="1">
        <v>0.1</v>
      </c>
      <c r="S413" s="1">
        <v>0.1</v>
      </c>
      <c r="T413" s="1">
        <v>477.9</v>
      </c>
      <c r="U413" s="1">
        <f>IF(Table14[[#This Row],[I_0]] &lt; INDEX(Table28[Filtro de ruido],1), 1, Table14[[#This Row],[I_10]] / Table14[[#This Row],[I_0]])</f>
        <v>1</v>
      </c>
      <c r="V413" s="1">
        <f>IF(Table14[[#This Row],[I_0]] &lt; INDEX(Table28[Filtro de ruido],1), 1, Table14[[#This Row],[I_20]] / Table14[[#This Row],[I_0]])</f>
        <v>1</v>
      </c>
      <c r="W413" s="1">
        <f>IF(Table14[[#This Row],[I_0]] &lt; INDEX(Table28[Filtro de ruido],1), 1, Table14[[#This Row],[I_30]] / Table14[[#This Row],[I_0]])</f>
        <v>1</v>
      </c>
      <c r="X413" s="1">
        <f>IF(Table14[[#This Row],[I_0]] &lt; INDEX(Table28[Filtro de ruido],1), 1, Table14[[#This Row],[I_40]] / Table14[[#This Row],[I_0]])</f>
        <v>1</v>
      </c>
      <c r="Y413" s="19">
        <f>IF(Table14[[#This Row],[I_0]] &lt; INDEX(Table28[Filtro de ruido],1), 1, Table14[[#This Row],[I_50]] / Table14[[#This Row],[I_0]])</f>
        <v>1</v>
      </c>
      <c r="AA413" s="1"/>
    </row>
    <row r="414" spans="1:27" x14ac:dyDescent="0.3">
      <c r="A414" s="18">
        <v>478.89</v>
      </c>
      <c r="B414" s="1">
        <v>0</v>
      </c>
      <c r="C414" s="1">
        <v>478.89</v>
      </c>
      <c r="D414" s="1">
        <v>0</v>
      </c>
      <c r="E414" s="1">
        <v>478.89</v>
      </c>
      <c r="F414" s="1">
        <v>0</v>
      </c>
      <c r="G414" s="1">
        <v>478.89</v>
      </c>
      <c r="H414" s="1">
        <v>0</v>
      </c>
      <c r="I414" s="1">
        <v>478.89</v>
      </c>
      <c r="J414" s="1">
        <v>0</v>
      </c>
      <c r="K414" s="1">
        <v>478.89</v>
      </c>
      <c r="L414" s="1">
        <v>0</v>
      </c>
      <c r="M414" s="1">
        <v>478.89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478.89</v>
      </c>
      <c r="U414" s="1">
        <f>IF(Table14[[#This Row],[I_0]] &lt; INDEX(Table28[Filtro de ruido],1), 1, Table14[[#This Row],[I_10]] / Table14[[#This Row],[I_0]])</f>
        <v>1</v>
      </c>
      <c r="V414" s="1">
        <f>IF(Table14[[#This Row],[I_0]] &lt; INDEX(Table28[Filtro de ruido],1), 1, Table14[[#This Row],[I_20]] / Table14[[#This Row],[I_0]])</f>
        <v>1</v>
      </c>
      <c r="W414" s="1">
        <f>IF(Table14[[#This Row],[I_0]] &lt; INDEX(Table28[Filtro de ruido],1), 1, Table14[[#This Row],[I_30]] / Table14[[#This Row],[I_0]])</f>
        <v>1</v>
      </c>
      <c r="X414" s="1">
        <f>IF(Table14[[#This Row],[I_0]] &lt; INDEX(Table28[Filtro de ruido],1), 1, Table14[[#This Row],[I_40]] / Table14[[#This Row],[I_0]])</f>
        <v>1</v>
      </c>
      <c r="Y414" s="19">
        <f>IF(Table14[[#This Row],[I_0]] &lt; INDEX(Table28[Filtro de ruido],1), 1, Table14[[#This Row],[I_50]] / Table14[[#This Row],[I_0]])</f>
        <v>1</v>
      </c>
      <c r="AA414" s="1"/>
    </row>
    <row r="415" spans="1:27" x14ac:dyDescent="0.3">
      <c r="A415" s="18">
        <v>479.88</v>
      </c>
      <c r="B415" s="1">
        <v>0</v>
      </c>
      <c r="C415" s="1">
        <v>479.88</v>
      </c>
      <c r="D415" s="1">
        <v>0</v>
      </c>
      <c r="E415" s="1">
        <v>479.88</v>
      </c>
      <c r="F415" s="1">
        <v>0</v>
      </c>
      <c r="G415" s="1">
        <v>479.88</v>
      </c>
      <c r="H415" s="1">
        <v>0</v>
      </c>
      <c r="I415" s="1">
        <v>479.88</v>
      </c>
      <c r="J415" s="1">
        <v>0</v>
      </c>
      <c r="K415" s="1">
        <v>479.88</v>
      </c>
      <c r="L415" s="1">
        <v>0</v>
      </c>
      <c r="M415" s="1">
        <v>479.88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479.88</v>
      </c>
      <c r="U415" s="1">
        <f>IF(Table14[[#This Row],[I_0]] &lt; INDEX(Table28[Filtro de ruido],1), 1, Table14[[#This Row],[I_10]] / Table14[[#This Row],[I_0]])</f>
        <v>1</v>
      </c>
      <c r="V415" s="1">
        <f>IF(Table14[[#This Row],[I_0]] &lt; INDEX(Table28[Filtro de ruido],1), 1, Table14[[#This Row],[I_20]] / Table14[[#This Row],[I_0]])</f>
        <v>1</v>
      </c>
      <c r="W415" s="1">
        <f>IF(Table14[[#This Row],[I_0]] &lt; INDEX(Table28[Filtro de ruido],1), 1, Table14[[#This Row],[I_30]] / Table14[[#This Row],[I_0]])</f>
        <v>1</v>
      </c>
      <c r="X415" s="1">
        <f>IF(Table14[[#This Row],[I_0]] &lt; INDEX(Table28[Filtro de ruido],1), 1, Table14[[#This Row],[I_40]] / Table14[[#This Row],[I_0]])</f>
        <v>1</v>
      </c>
      <c r="Y415" s="19">
        <f>IF(Table14[[#This Row],[I_0]] &lt; INDEX(Table28[Filtro de ruido],1), 1, Table14[[#This Row],[I_50]] / Table14[[#This Row],[I_0]])</f>
        <v>1</v>
      </c>
      <c r="AA415" s="1"/>
    </row>
    <row r="416" spans="1:27" x14ac:dyDescent="0.3">
      <c r="A416" s="18">
        <v>480.87</v>
      </c>
      <c r="B416" s="1">
        <v>0</v>
      </c>
      <c r="C416" s="1">
        <v>480.87</v>
      </c>
      <c r="D416" s="1">
        <v>0</v>
      </c>
      <c r="E416" s="1">
        <v>480.87</v>
      </c>
      <c r="F416" s="1">
        <v>0</v>
      </c>
      <c r="G416" s="1">
        <v>480.87</v>
      </c>
      <c r="H416" s="1">
        <v>0</v>
      </c>
      <c r="I416" s="1">
        <v>480.87</v>
      </c>
      <c r="J416" s="1">
        <v>0</v>
      </c>
      <c r="K416" s="1">
        <v>480.87</v>
      </c>
      <c r="L416" s="1">
        <v>0</v>
      </c>
      <c r="M416" s="1">
        <v>480.87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480.87</v>
      </c>
      <c r="U416" s="1">
        <f>IF(Table14[[#This Row],[I_0]] &lt; INDEX(Table28[Filtro de ruido],1), 1, Table14[[#This Row],[I_10]] / Table14[[#This Row],[I_0]])</f>
        <v>1</v>
      </c>
      <c r="V416" s="1">
        <f>IF(Table14[[#This Row],[I_0]] &lt; INDEX(Table28[Filtro de ruido],1), 1, Table14[[#This Row],[I_20]] / Table14[[#This Row],[I_0]])</f>
        <v>1</v>
      </c>
      <c r="W416" s="1">
        <f>IF(Table14[[#This Row],[I_0]] &lt; INDEX(Table28[Filtro de ruido],1), 1, Table14[[#This Row],[I_30]] / Table14[[#This Row],[I_0]])</f>
        <v>1</v>
      </c>
      <c r="X416" s="1">
        <f>IF(Table14[[#This Row],[I_0]] &lt; INDEX(Table28[Filtro de ruido],1), 1, Table14[[#This Row],[I_40]] / Table14[[#This Row],[I_0]])</f>
        <v>1</v>
      </c>
      <c r="Y416" s="19">
        <f>IF(Table14[[#This Row],[I_0]] &lt; INDEX(Table28[Filtro de ruido],1), 1, Table14[[#This Row],[I_50]] / Table14[[#This Row],[I_0]])</f>
        <v>1</v>
      </c>
      <c r="AA416" s="1"/>
    </row>
    <row r="417" spans="1:27" x14ac:dyDescent="0.3">
      <c r="A417" s="18">
        <v>481.86</v>
      </c>
      <c r="B417" s="1">
        <v>0</v>
      </c>
      <c r="C417" s="1">
        <v>481.86</v>
      </c>
      <c r="D417" s="1">
        <v>0</v>
      </c>
      <c r="E417" s="1">
        <v>481.86</v>
      </c>
      <c r="F417" s="1">
        <v>0</v>
      </c>
      <c r="G417" s="1">
        <v>481.86</v>
      </c>
      <c r="H417" s="1">
        <v>0</v>
      </c>
      <c r="I417" s="1">
        <v>481.86</v>
      </c>
      <c r="J417" s="1">
        <v>0</v>
      </c>
      <c r="K417" s="1">
        <v>481.86</v>
      </c>
      <c r="L417" s="1">
        <v>0</v>
      </c>
      <c r="M417" s="1">
        <v>481.86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481.86</v>
      </c>
      <c r="U417" s="1">
        <f>IF(Table14[[#This Row],[I_0]] &lt; INDEX(Table28[Filtro de ruido],1), 1, Table14[[#This Row],[I_10]] / Table14[[#This Row],[I_0]])</f>
        <v>1</v>
      </c>
      <c r="V417" s="1">
        <f>IF(Table14[[#This Row],[I_0]] &lt; INDEX(Table28[Filtro de ruido],1), 1, Table14[[#This Row],[I_20]] / Table14[[#This Row],[I_0]])</f>
        <v>1</v>
      </c>
      <c r="W417" s="1">
        <f>IF(Table14[[#This Row],[I_0]] &lt; INDEX(Table28[Filtro de ruido],1), 1, Table14[[#This Row],[I_30]] / Table14[[#This Row],[I_0]])</f>
        <v>1</v>
      </c>
      <c r="X417" s="1">
        <f>IF(Table14[[#This Row],[I_0]] &lt; INDEX(Table28[Filtro de ruido],1), 1, Table14[[#This Row],[I_40]] / Table14[[#This Row],[I_0]])</f>
        <v>1</v>
      </c>
      <c r="Y417" s="19">
        <f>IF(Table14[[#This Row],[I_0]] &lt; INDEX(Table28[Filtro de ruido],1), 1, Table14[[#This Row],[I_50]] / Table14[[#This Row],[I_0]])</f>
        <v>1</v>
      </c>
      <c r="AA417" s="1"/>
    </row>
    <row r="418" spans="1:27" x14ac:dyDescent="0.3">
      <c r="A418" s="18">
        <v>482.85</v>
      </c>
      <c r="B418" s="1">
        <v>0</v>
      </c>
      <c r="C418" s="1">
        <v>482.85</v>
      </c>
      <c r="D418" s="1">
        <v>0</v>
      </c>
      <c r="E418" s="1">
        <v>482.85</v>
      </c>
      <c r="F418" s="1">
        <v>0</v>
      </c>
      <c r="G418" s="1">
        <v>482.85</v>
      </c>
      <c r="H418" s="1">
        <v>0</v>
      </c>
      <c r="I418" s="1">
        <v>482.85</v>
      </c>
      <c r="J418" s="1">
        <v>0</v>
      </c>
      <c r="K418" s="1">
        <v>482.85</v>
      </c>
      <c r="L418" s="1">
        <v>0</v>
      </c>
      <c r="M418" s="1">
        <v>482.85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482.85</v>
      </c>
      <c r="U418" s="1">
        <f>IF(Table14[[#This Row],[I_0]] &lt; INDEX(Table28[Filtro de ruido],1), 1, Table14[[#This Row],[I_10]] / Table14[[#This Row],[I_0]])</f>
        <v>1</v>
      </c>
      <c r="V418" s="1">
        <f>IF(Table14[[#This Row],[I_0]] &lt; INDEX(Table28[Filtro de ruido],1), 1, Table14[[#This Row],[I_20]] / Table14[[#This Row],[I_0]])</f>
        <v>1</v>
      </c>
      <c r="W418" s="1">
        <f>IF(Table14[[#This Row],[I_0]] &lt; INDEX(Table28[Filtro de ruido],1), 1, Table14[[#This Row],[I_30]] / Table14[[#This Row],[I_0]])</f>
        <v>1</v>
      </c>
      <c r="X418" s="1">
        <f>IF(Table14[[#This Row],[I_0]] &lt; INDEX(Table28[Filtro de ruido],1), 1, Table14[[#This Row],[I_40]] / Table14[[#This Row],[I_0]])</f>
        <v>1</v>
      </c>
      <c r="Y418" s="19">
        <f>IF(Table14[[#This Row],[I_0]] &lt; INDEX(Table28[Filtro de ruido],1), 1, Table14[[#This Row],[I_50]] / Table14[[#This Row],[I_0]])</f>
        <v>1</v>
      </c>
      <c r="AA418" s="1"/>
    </row>
    <row r="419" spans="1:27" x14ac:dyDescent="0.3">
      <c r="A419" s="18">
        <v>483.85</v>
      </c>
      <c r="B419" s="1">
        <v>0</v>
      </c>
      <c r="C419" s="1">
        <v>483.85</v>
      </c>
      <c r="D419" s="1">
        <v>0</v>
      </c>
      <c r="E419" s="1">
        <v>483.85</v>
      </c>
      <c r="F419" s="1">
        <v>0</v>
      </c>
      <c r="G419" s="1">
        <v>483.85</v>
      </c>
      <c r="H419" s="1">
        <v>0</v>
      </c>
      <c r="I419" s="1">
        <v>483.85</v>
      </c>
      <c r="J419" s="1">
        <v>0</v>
      </c>
      <c r="K419" s="1">
        <v>483.85</v>
      </c>
      <c r="L419" s="1">
        <v>0</v>
      </c>
      <c r="M419" s="1">
        <v>483.85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483.85</v>
      </c>
      <c r="U419" s="1">
        <f>IF(Table14[[#This Row],[I_0]] &lt; INDEX(Table28[Filtro de ruido],1), 1, Table14[[#This Row],[I_10]] / Table14[[#This Row],[I_0]])</f>
        <v>1</v>
      </c>
      <c r="V419" s="1">
        <f>IF(Table14[[#This Row],[I_0]] &lt; INDEX(Table28[Filtro de ruido],1), 1, Table14[[#This Row],[I_20]] / Table14[[#This Row],[I_0]])</f>
        <v>1</v>
      </c>
      <c r="W419" s="1">
        <f>IF(Table14[[#This Row],[I_0]] &lt; INDEX(Table28[Filtro de ruido],1), 1, Table14[[#This Row],[I_30]] / Table14[[#This Row],[I_0]])</f>
        <v>1</v>
      </c>
      <c r="X419" s="1">
        <f>IF(Table14[[#This Row],[I_0]] &lt; INDEX(Table28[Filtro de ruido],1), 1, Table14[[#This Row],[I_40]] / Table14[[#This Row],[I_0]])</f>
        <v>1</v>
      </c>
      <c r="Y419" s="19">
        <f>IF(Table14[[#This Row],[I_0]] &lt; INDEX(Table28[Filtro de ruido],1), 1, Table14[[#This Row],[I_50]] / Table14[[#This Row],[I_0]])</f>
        <v>1</v>
      </c>
      <c r="AA419" s="1"/>
    </row>
    <row r="420" spans="1:27" x14ac:dyDescent="0.3">
      <c r="A420" s="18">
        <v>484.84</v>
      </c>
      <c r="B420" s="1">
        <v>0</v>
      </c>
      <c r="C420" s="1">
        <v>484.84</v>
      </c>
      <c r="D420" s="1">
        <v>0</v>
      </c>
      <c r="E420" s="1">
        <v>484.84</v>
      </c>
      <c r="F420" s="1">
        <v>0</v>
      </c>
      <c r="G420" s="1">
        <v>484.84</v>
      </c>
      <c r="H420" s="1">
        <v>0</v>
      </c>
      <c r="I420" s="1">
        <v>484.84</v>
      </c>
      <c r="J420" s="1">
        <v>0</v>
      </c>
      <c r="K420" s="1">
        <v>484.84</v>
      </c>
      <c r="L420" s="1">
        <v>0</v>
      </c>
      <c r="M420" s="1">
        <v>484.84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484.84</v>
      </c>
      <c r="U420" s="1">
        <f>IF(Table14[[#This Row],[I_0]] &lt; INDEX(Table28[Filtro de ruido],1), 1, Table14[[#This Row],[I_10]] / Table14[[#This Row],[I_0]])</f>
        <v>1</v>
      </c>
      <c r="V420" s="1">
        <f>IF(Table14[[#This Row],[I_0]] &lt; INDEX(Table28[Filtro de ruido],1), 1, Table14[[#This Row],[I_20]] / Table14[[#This Row],[I_0]])</f>
        <v>1</v>
      </c>
      <c r="W420" s="1">
        <f>IF(Table14[[#This Row],[I_0]] &lt; INDEX(Table28[Filtro de ruido],1), 1, Table14[[#This Row],[I_30]] / Table14[[#This Row],[I_0]])</f>
        <v>1</v>
      </c>
      <c r="X420" s="1">
        <f>IF(Table14[[#This Row],[I_0]] &lt; INDEX(Table28[Filtro de ruido],1), 1, Table14[[#This Row],[I_40]] / Table14[[#This Row],[I_0]])</f>
        <v>1</v>
      </c>
      <c r="Y420" s="19">
        <f>IF(Table14[[#This Row],[I_0]] &lt; INDEX(Table28[Filtro de ruido],1), 1, Table14[[#This Row],[I_50]] / Table14[[#This Row],[I_0]])</f>
        <v>1</v>
      </c>
      <c r="AA420" s="1"/>
    </row>
    <row r="421" spans="1:27" x14ac:dyDescent="0.3">
      <c r="A421" s="18">
        <v>485.83</v>
      </c>
      <c r="B421" s="1">
        <v>0</v>
      </c>
      <c r="C421" s="1">
        <v>485.83</v>
      </c>
      <c r="D421" s="1">
        <v>0</v>
      </c>
      <c r="E421" s="1">
        <v>485.83</v>
      </c>
      <c r="F421" s="1">
        <v>0</v>
      </c>
      <c r="G421" s="1">
        <v>485.83</v>
      </c>
      <c r="H421" s="1">
        <v>0</v>
      </c>
      <c r="I421" s="1">
        <v>485.83</v>
      </c>
      <c r="J421" s="1">
        <v>0</v>
      </c>
      <c r="K421" s="1">
        <v>485.83</v>
      </c>
      <c r="L421" s="1">
        <v>0</v>
      </c>
      <c r="M421" s="1">
        <v>485.83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485.83</v>
      </c>
      <c r="U421" s="1">
        <f>IF(Table14[[#This Row],[I_0]] &lt; INDEX(Table28[Filtro de ruido],1), 1, Table14[[#This Row],[I_10]] / Table14[[#This Row],[I_0]])</f>
        <v>1</v>
      </c>
      <c r="V421" s="1">
        <f>IF(Table14[[#This Row],[I_0]] &lt; INDEX(Table28[Filtro de ruido],1), 1, Table14[[#This Row],[I_20]] / Table14[[#This Row],[I_0]])</f>
        <v>1</v>
      </c>
      <c r="W421" s="1">
        <f>IF(Table14[[#This Row],[I_0]] &lt; INDEX(Table28[Filtro de ruido],1), 1, Table14[[#This Row],[I_30]] / Table14[[#This Row],[I_0]])</f>
        <v>1</v>
      </c>
      <c r="X421" s="1">
        <f>IF(Table14[[#This Row],[I_0]] &lt; INDEX(Table28[Filtro de ruido],1), 1, Table14[[#This Row],[I_40]] / Table14[[#This Row],[I_0]])</f>
        <v>1</v>
      </c>
      <c r="Y421" s="19">
        <f>IF(Table14[[#This Row],[I_0]] &lt; INDEX(Table28[Filtro de ruido],1), 1, Table14[[#This Row],[I_50]] / Table14[[#This Row],[I_0]])</f>
        <v>1</v>
      </c>
      <c r="AA421" s="1"/>
    </row>
    <row r="422" spans="1:27" x14ac:dyDescent="0.3">
      <c r="A422" s="18">
        <v>486.82</v>
      </c>
      <c r="B422" s="1">
        <v>0</v>
      </c>
      <c r="C422" s="1">
        <v>486.82</v>
      </c>
      <c r="D422" s="1">
        <v>0</v>
      </c>
      <c r="E422" s="1">
        <v>486.82</v>
      </c>
      <c r="F422" s="1">
        <v>0</v>
      </c>
      <c r="G422" s="1">
        <v>486.82</v>
      </c>
      <c r="H422" s="1">
        <v>0.1</v>
      </c>
      <c r="I422" s="1">
        <v>486.82</v>
      </c>
      <c r="J422" s="1">
        <v>0.1</v>
      </c>
      <c r="K422" s="1">
        <v>486.82</v>
      </c>
      <c r="L422" s="1">
        <v>0.1</v>
      </c>
      <c r="M422" s="1">
        <v>486.82</v>
      </c>
      <c r="N422" s="1">
        <v>0</v>
      </c>
      <c r="O422" s="1">
        <v>0</v>
      </c>
      <c r="P422" s="1">
        <v>0</v>
      </c>
      <c r="Q422" s="1">
        <v>0.1</v>
      </c>
      <c r="R422" s="1">
        <v>0.1</v>
      </c>
      <c r="S422" s="1">
        <v>0.1</v>
      </c>
      <c r="T422" s="1">
        <v>486.82</v>
      </c>
      <c r="U422" s="1">
        <f>IF(Table14[[#This Row],[I_0]] &lt; INDEX(Table28[Filtro de ruido],1), 1, Table14[[#This Row],[I_10]] / Table14[[#This Row],[I_0]])</f>
        <v>1</v>
      </c>
      <c r="V422" s="1">
        <f>IF(Table14[[#This Row],[I_0]] &lt; INDEX(Table28[Filtro de ruido],1), 1, Table14[[#This Row],[I_20]] / Table14[[#This Row],[I_0]])</f>
        <v>1</v>
      </c>
      <c r="W422" s="1">
        <f>IF(Table14[[#This Row],[I_0]] &lt; INDEX(Table28[Filtro de ruido],1), 1, Table14[[#This Row],[I_30]] / Table14[[#This Row],[I_0]])</f>
        <v>1</v>
      </c>
      <c r="X422" s="1">
        <f>IF(Table14[[#This Row],[I_0]] &lt; INDEX(Table28[Filtro de ruido],1), 1, Table14[[#This Row],[I_40]] / Table14[[#This Row],[I_0]])</f>
        <v>1</v>
      </c>
      <c r="Y422" s="19">
        <f>IF(Table14[[#This Row],[I_0]] &lt; INDEX(Table28[Filtro de ruido],1), 1, Table14[[#This Row],[I_50]] / Table14[[#This Row],[I_0]])</f>
        <v>1</v>
      </c>
      <c r="AA422" s="1"/>
    </row>
    <row r="423" spans="1:27" x14ac:dyDescent="0.3">
      <c r="A423" s="18">
        <v>487.81</v>
      </c>
      <c r="B423" s="1">
        <v>0</v>
      </c>
      <c r="C423" s="1">
        <v>487.81</v>
      </c>
      <c r="D423" s="1">
        <v>0.1</v>
      </c>
      <c r="E423" s="1">
        <v>487.81</v>
      </c>
      <c r="F423" s="1">
        <v>0.1</v>
      </c>
      <c r="G423" s="1">
        <v>487.81</v>
      </c>
      <c r="H423" s="1">
        <v>0.1</v>
      </c>
      <c r="I423" s="1">
        <v>487.81</v>
      </c>
      <c r="J423" s="1">
        <v>0.1</v>
      </c>
      <c r="K423" s="1">
        <v>487.81</v>
      </c>
      <c r="L423" s="1">
        <v>0.1</v>
      </c>
      <c r="M423" s="1">
        <v>487.81</v>
      </c>
      <c r="N423" s="1">
        <v>0</v>
      </c>
      <c r="O423" s="1">
        <v>0.1</v>
      </c>
      <c r="P423" s="1">
        <v>0.1</v>
      </c>
      <c r="Q423" s="1">
        <v>0.1</v>
      </c>
      <c r="R423" s="1">
        <v>0.1</v>
      </c>
      <c r="S423" s="1">
        <v>0.1</v>
      </c>
      <c r="T423" s="1">
        <v>487.81</v>
      </c>
      <c r="U423" s="1">
        <f>IF(Table14[[#This Row],[I_0]] &lt; INDEX(Table28[Filtro de ruido],1), 1, Table14[[#This Row],[I_10]] / Table14[[#This Row],[I_0]])</f>
        <v>1</v>
      </c>
      <c r="V423" s="1">
        <f>IF(Table14[[#This Row],[I_0]] &lt; INDEX(Table28[Filtro de ruido],1), 1, Table14[[#This Row],[I_20]] / Table14[[#This Row],[I_0]])</f>
        <v>1</v>
      </c>
      <c r="W423" s="1">
        <f>IF(Table14[[#This Row],[I_0]] &lt; INDEX(Table28[Filtro de ruido],1), 1, Table14[[#This Row],[I_30]] / Table14[[#This Row],[I_0]])</f>
        <v>1</v>
      </c>
      <c r="X423" s="1">
        <f>IF(Table14[[#This Row],[I_0]] &lt; INDEX(Table28[Filtro de ruido],1), 1, Table14[[#This Row],[I_40]] / Table14[[#This Row],[I_0]])</f>
        <v>1</v>
      </c>
      <c r="Y423" s="19">
        <f>IF(Table14[[#This Row],[I_0]] &lt; INDEX(Table28[Filtro de ruido],1), 1, Table14[[#This Row],[I_50]] / Table14[[#This Row],[I_0]])</f>
        <v>1</v>
      </c>
      <c r="AA423" s="1"/>
    </row>
    <row r="424" spans="1:27" x14ac:dyDescent="0.3">
      <c r="A424" s="18">
        <v>488.81</v>
      </c>
      <c r="B424" s="1">
        <v>0.1</v>
      </c>
      <c r="C424" s="1">
        <v>488.81</v>
      </c>
      <c r="D424" s="1">
        <v>0.1</v>
      </c>
      <c r="E424" s="1">
        <v>488.81</v>
      </c>
      <c r="F424" s="1">
        <v>0.1</v>
      </c>
      <c r="G424" s="1">
        <v>488.81</v>
      </c>
      <c r="H424" s="1">
        <v>0.1</v>
      </c>
      <c r="I424" s="1">
        <v>488.81</v>
      </c>
      <c r="J424" s="1">
        <v>0.1</v>
      </c>
      <c r="K424" s="1">
        <v>488.81</v>
      </c>
      <c r="L424" s="1">
        <v>0.1</v>
      </c>
      <c r="M424" s="1">
        <v>488.81</v>
      </c>
      <c r="N424" s="1">
        <v>0.1</v>
      </c>
      <c r="O424" s="1">
        <v>0.1</v>
      </c>
      <c r="P424" s="1">
        <v>0.1</v>
      </c>
      <c r="Q424" s="1">
        <v>0.1</v>
      </c>
      <c r="R424" s="1">
        <v>0.1</v>
      </c>
      <c r="S424" s="1">
        <v>0.1</v>
      </c>
      <c r="T424" s="1">
        <v>488.81</v>
      </c>
      <c r="U424" s="1">
        <f>IF(Table14[[#This Row],[I_0]] &lt; INDEX(Table28[Filtro de ruido],1), 1, Table14[[#This Row],[I_10]] / Table14[[#This Row],[I_0]])</f>
        <v>1</v>
      </c>
      <c r="V424" s="1">
        <f>IF(Table14[[#This Row],[I_0]] &lt; INDEX(Table28[Filtro de ruido],1), 1, Table14[[#This Row],[I_20]] / Table14[[#This Row],[I_0]])</f>
        <v>1</v>
      </c>
      <c r="W424" s="1">
        <f>IF(Table14[[#This Row],[I_0]] &lt; INDEX(Table28[Filtro de ruido],1), 1, Table14[[#This Row],[I_30]] / Table14[[#This Row],[I_0]])</f>
        <v>1</v>
      </c>
      <c r="X424" s="1">
        <f>IF(Table14[[#This Row],[I_0]] &lt; INDEX(Table28[Filtro de ruido],1), 1, Table14[[#This Row],[I_40]] / Table14[[#This Row],[I_0]])</f>
        <v>1</v>
      </c>
      <c r="Y424" s="19">
        <f>IF(Table14[[#This Row],[I_0]] &lt; INDEX(Table28[Filtro de ruido],1), 1, Table14[[#This Row],[I_50]] / Table14[[#This Row],[I_0]])</f>
        <v>1</v>
      </c>
      <c r="AA424" s="1"/>
    </row>
    <row r="425" spans="1:27" x14ac:dyDescent="0.3">
      <c r="A425" s="18">
        <v>489.8</v>
      </c>
      <c r="B425" s="1">
        <v>0.1</v>
      </c>
      <c r="C425" s="1">
        <v>489.8</v>
      </c>
      <c r="D425" s="1">
        <v>0.1</v>
      </c>
      <c r="E425" s="1">
        <v>489.8</v>
      </c>
      <c r="F425" s="1">
        <v>0.1</v>
      </c>
      <c r="G425" s="1">
        <v>489.8</v>
      </c>
      <c r="H425" s="1">
        <v>0.1</v>
      </c>
      <c r="I425" s="1">
        <v>489.8</v>
      </c>
      <c r="J425" s="1">
        <v>0.1</v>
      </c>
      <c r="K425" s="1">
        <v>489.8</v>
      </c>
      <c r="L425" s="1">
        <v>0.1</v>
      </c>
      <c r="M425" s="1">
        <v>489.8</v>
      </c>
      <c r="N425" s="1">
        <v>0.1</v>
      </c>
      <c r="O425" s="1">
        <v>0.1</v>
      </c>
      <c r="P425" s="1">
        <v>0.1</v>
      </c>
      <c r="Q425" s="1">
        <v>0.1</v>
      </c>
      <c r="R425" s="1">
        <v>0.1</v>
      </c>
      <c r="S425" s="1">
        <v>0.1</v>
      </c>
      <c r="T425" s="1">
        <v>489.8</v>
      </c>
      <c r="U425" s="1">
        <f>IF(Table14[[#This Row],[I_0]] &lt; INDEX(Table28[Filtro de ruido],1), 1, Table14[[#This Row],[I_10]] / Table14[[#This Row],[I_0]])</f>
        <v>1</v>
      </c>
      <c r="V425" s="1">
        <f>IF(Table14[[#This Row],[I_0]] &lt; INDEX(Table28[Filtro de ruido],1), 1, Table14[[#This Row],[I_20]] / Table14[[#This Row],[I_0]])</f>
        <v>1</v>
      </c>
      <c r="W425" s="1">
        <f>IF(Table14[[#This Row],[I_0]] &lt; INDEX(Table28[Filtro de ruido],1), 1, Table14[[#This Row],[I_30]] / Table14[[#This Row],[I_0]])</f>
        <v>1</v>
      </c>
      <c r="X425" s="1">
        <f>IF(Table14[[#This Row],[I_0]] &lt; INDEX(Table28[Filtro de ruido],1), 1, Table14[[#This Row],[I_40]] / Table14[[#This Row],[I_0]])</f>
        <v>1</v>
      </c>
      <c r="Y425" s="19">
        <f>IF(Table14[[#This Row],[I_0]] &lt; INDEX(Table28[Filtro de ruido],1), 1, Table14[[#This Row],[I_50]] / Table14[[#This Row],[I_0]])</f>
        <v>1</v>
      </c>
      <c r="AA425" s="1"/>
    </row>
    <row r="426" spans="1:27" x14ac:dyDescent="0.3">
      <c r="A426" s="18">
        <v>490.79</v>
      </c>
      <c r="B426" s="1">
        <v>0.1</v>
      </c>
      <c r="C426" s="1">
        <v>490.79</v>
      </c>
      <c r="D426" s="1">
        <v>0.1</v>
      </c>
      <c r="E426" s="1">
        <v>490.79</v>
      </c>
      <c r="F426" s="1">
        <v>0.1</v>
      </c>
      <c r="G426" s="1">
        <v>490.79</v>
      </c>
      <c r="H426" s="1">
        <v>0.1</v>
      </c>
      <c r="I426" s="1">
        <v>490.79</v>
      </c>
      <c r="J426" s="1">
        <v>0.1</v>
      </c>
      <c r="K426" s="1">
        <v>490.79</v>
      </c>
      <c r="L426" s="1">
        <v>0.1</v>
      </c>
      <c r="M426" s="1">
        <v>490.79</v>
      </c>
      <c r="N426" s="1">
        <v>0.1</v>
      </c>
      <c r="O426" s="1">
        <v>0.1</v>
      </c>
      <c r="P426" s="1">
        <v>0.1</v>
      </c>
      <c r="Q426" s="1">
        <v>0.1</v>
      </c>
      <c r="R426" s="1">
        <v>0.1</v>
      </c>
      <c r="S426" s="1">
        <v>0.1</v>
      </c>
      <c r="T426" s="1">
        <v>490.79</v>
      </c>
      <c r="U426" s="1">
        <f>IF(Table14[[#This Row],[I_0]] &lt; INDEX(Table28[Filtro de ruido],1), 1, Table14[[#This Row],[I_10]] / Table14[[#This Row],[I_0]])</f>
        <v>1</v>
      </c>
      <c r="V426" s="1">
        <f>IF(Table14[[#This Row],[I_0]] &lt; INDEX(Table28[Filtro de ruido],1), 1, Table14[[#This Row],[I_20]] / Table14[[#This Row],[I_0]])</f>
        <v>1</v>
      </c>
      <c r="W426" s="1">
        <f>IF(Table14[[#This Row],[I_0]] &lt; INDEX(Table28[Filtro de ruido],1), 1, Table14[[#This Row],[I_30]] / Table14[[#This Row],[I_0]])</f>
        <v>1</v>
      </c>
      <c r="X426" s="1">
        <f>IF(Table14[[#This Row],[I_0]] &lt; INDEX(Table28[Filtro de ruido],1), 1, Table14[[#This Row],[I_40]] / Table14[[#This Row],[I_0]])</f>
        <v>1</v>
      </c>
      <c r="Y426" s="19">
        <f>IF(Table14[[#This Row],[I_0]] &lt; INDEX(Table28[Filtro de ruido],1), 1, Table14[[#This Row],[I_50]] / Table14[[#This Row],[I_0]])</f>
        <v>1</v>
      </c>
      <c r="AA426" s="1"/>
    </row>
    <row r="427" spans="1:27" x14ac:dyDescent="0.3">
      <c r="A427" s="18">
        <v>491.78</v>
      </c>
      <c r="B427" s="1">
        <v>0.1</v>
      </c>
      <c r="C427" s="1">
        <v>491.78</v>
      </c>
      <c r="D427" s="1">
        <v>0.1</v>
      </c>
      <c r="E427" s="1">
        <v>491.78</v>
      </c>
      <c r="F427" s="1">
        <v>0.1</v>
      </c>
      <c r="G427" s="1">
        <v>491.78</v>
      </c>
      <c r="H427" s="1">
        <v>0.1</v>
      </c>
      <c r="I427" s="1">
        <v>491.78</v>
      </c>
      <c r="J427" s="1">
        <v>0.1</v>
      </c>
      <c r="K427" s="1">
        <v>491.78</v>
      </c>
      <c r="L427" s="1">
        <v>0.1</v>
      </c>
      <c r="M427" s="1">
        <v>491.78</v>
      </c>
      <c r="N427" s="1">
        <v>0.1</v>
      </c>
      <c r="O427" s="1">
        <v>0.1</v>
      </c>
      <c r="P427" s="1">
        <v>0.1</v>
      </c>
      <c r="Q427" s="1">
        <v>0.1</v>
      </c>
      <c r="R427" s="1">
        <v>0.1</v>
      </c>
      <c r="S427" s="1">
        <v>0.1</v>
      </c>
      <c r="T427" s="1">
        <v>491.78</v>
      </c>
      <c r="U427" s="1">
        <f>IF(Table14[[#This Row],[I_0]] &lt; INDEX(Table28[Filtro de ruido],1), 1, Table14[[#This Row],[I_10]] / Table14[[#This Row],[I_0]])</f>
        <v>1</v>
      </c>
      <c r="V427" s="1">
        <f>IF(Table14[[#This Row],[I_0]] &lt; INDEX(Table28[Filtro de ruido],1), 1, Table14[[#This Row],[I_20]] / Table14[[#This Row],[I_0]])</f>
        <v>1</v>
      </c>
      <c r="W427" s="1">
        <f>IF(Table14[[#This Row],[I_0]] &lt; INDEX(Table28[Filtro de ruido],1), 1, Table14[[#This Row],[I_30]] / Table14[[#This Row],[I_0]])</f>
        <v>1</v>
      </c>
      <c r="X427" s="1">
        <f>IF(Table14[[#This Row],[I_0]] &lt; INDEX(Table28[Filtro de ruido],1), 1, Table14[[#This Row],[I_40]] / Table14[[#This Row],[I_0]])</f>
        <v>1</v>
      </c>
      <c r="Y427" s="19">
        <f>IF(Table14[[#This Row],[I_0]] &lt; INDEX(Table28[Filtro de ruido],1), 1, Table14[[#This Row],[I_50]] / Table14[[#This Row],[I_0]])</f>
        <v>1</v>
      </c>
      <c r="AA427" s="1"/>
    </row>
    <row r="428" spans="1:27" x14ac:dyDescent="0.3">
      <c r="A428" s="18">
        <v>492.77</v>
      </c>
      <c r="B428" s="1">
        <v>0.1</v>
      </c>
      <c r="C428" s="1">
        <v>492.77</v>
      </c>
      <c r="D428" s="1">
        <v>0.1</v>
      </c>
      <c r="E428" s="1">
        <v>492.77</v>
      </c>
      <c r="F428" s="1">
        <v>0.1</v>
      </c>
      <c r="G428" s="1">
        <v>492.77</v>
      </c>
      <c r="H428" s="1">
        <v>0.2</v>
      </c>
      <c r="I428" s="1">
        <v>492.77</v>
      </c>
      <c r="J428" s="1">
        <v>0.2</v>
      </c>
      <c r="K428" s="1">
        <v>492.77</v>
      </c>
      <c r="L428" s="1">
        <v>0.2</v>
      </c>
      <c r="M428" s="1">
        <v>492.77</v>
      </c>
      <c r="N428" s="1">
        <v>0.1</v>
      </c>
      <c r="O428" s="1">
        <v>0.1</v>
      </c>
      <c r="P428" s="1">
        <v>0.1</v>
      </c>
      <c r="Q428" s="1">
        <v>0.2</v>
      </c>
      <c r="R428" s="1">
        <v>0.2</v>
      </c>
      <c r="S428" s="1">
        <v>0.2</v>
      </c>
      <c r="T428" s="1">
        <v>492.77</v>
      </c>
      <c r="U428" s="1">
        <f>IF(Table14[[#This Row],[I_0]] &lt; INDEX(Table28[Filtro de ruido],1), 1, Table14[[#This Row],[I_10]] / Table14[[#This Row],[I_0]])</f>
        <v>1</v>
      </c>
      <c r="V428" s="1">
        <f>IF(Table14[[#This Row],[I_0]] &lt; INDEX(Table28[Filtro de ruido],1), 1, Table14[[#This Row],[I_20]] / Table14[[#This Row],[I_0]])</f>
        <v>1</v>
      </c>
      <c r="W428" s="1">
        <f>IF(Table14[[#This Row],[I_0]] &lt; INDEX(Table28[Filtro de ruido],1), 1, Table14[[#This Row],[I_30]] / Table14[[#This Row],[I_0]])</f>
        <v>2</v>
      </c>
      <c r="X428" s="1">
        <f>IF(Table14[[#This Row],[I_0]] &lt; INDEX(Table28[Filtro de ruido],1), 1, Table14[[#This Row],[I_40]] / Table14[[#This Row],[I_0]])</f>
        <v>2</v>
      </c>
      <c r="Y428" s="19">
        <f>IF(Table14[[#This Row],[I_0]] &lt; INDEX(Table28[Filtro de ruido],1), 1, Table14[[#This Row],[I_50]] / Table14[[#This Row],[I_0]])</f>
        <v>2</v>
      </c>
      <c r="AA428" s="1"/>
    </row>
    <row r="429" spans="1:27" x14ac:dyDescent="0.3">
      <c r="A429" s="18">
        <v>493.76</v>
      </c>
      <c r="B429" s="1">
        <v>0.2</v>
      </c>
      <c r="C429" s="1">
        <v>493.76</v>
      </c>
      <c r="D429" s="1">
        <v>0.2</v>
      </c>
      <c r="E429" s="1">
        <v>493.76</v>
      </c>
      <c r="F429" s="1">
        <v>0.2</v>
      </c>
      <c r="G429" s="1">
        <v>493.76</v>
      </c>
      <c r="H429" s="1">
        <v>0.2</v>
      </c>
      <c r="I429" s="1">
        <v>493.76</v>
      </c>
      <c r="J429" s="1">
        <v>0.2</v>
      </c>
      <c r="K429" s="1">
        <v>493.76</v>
      </c>
      <c r="L429" s="1">
        <v>0.2</v>
      </c>
      <c r="M429" s="1">
        <v>493.76</v>
      </c>
      <c r="N429" s="1">
        <v>0.2</v>
      </c>
      <c r="O429" s="1">
        <v>0.2</v>
      </c>
      <c r="P429" s="1">
        <v>0.2</v>
      </c>
      <c r="Q429" s="1">
        <v>0.2</v>
      </c>
      <c r="R429" s="1">
        <v>0.2</v>
      </c>
      <c r="S429" s="1">
        <v>0.2</v>
      </c>
      <c r="T429" s="1">
        <v>493.76</v>
      </c>
      <c r="U429" s="1">
        <f>IF(Table14[[#This Row],[I_0]] &lt; INDEX(Table28[Filtro de ruido],1), 1, Table14[[#This Row],[I_10]] / Table14[[#This Row],[I_0]])</f>
        <v>1</v>
      </c>
      <c r="V429" s="1">
        <f>IF(Table14[[#This Row],[I_0]] &lt; INDEX(Table28[Filtro de ruido],1), 1, Table14[[#This Row],[I_20]] / Table14[[#This Row],[I_0]])</f>
        <v>1</v>
      </c>
      <c r="W429" s="1">
        <f>IF(Table14[[#This Row],[I_0]] &lt; INDEX(Table28[Filtro de ruido],1), 1, Table14[[#This Row],[I_30]] / Table14[[#This Row],[I_0]])</f>
        <v>1</v>
      </c>
      <c r="X429" s="1">
        <f>IF(Table14[[#This Row],[I_0]] &lt; INDEX(Table28[Filtro de ruido],1), 1, Table14[[#This Row],[I_40]] / Table14[[#This Row],[I_0]])</f>
        <v>1</v>
      </c>
      <c r="Y429" s="19">
        <f>IF(Table14[[#This Row],[I_0]] &lt; INDEX(Table28[Filtro de ruido],1), 1, Table14[[#This Row],[I_50]] / Table14[[#This Row],[I_0]])</f>
        <v>1</v>
      </c>
      <c r="AA429" s="1"/>
    </row>
    <row r="430" spans="1:27" x14ac:dyDescent="0.3">
      <c r="A430" s="18">
        <v>494.76</v>
      </c>
      <c r="B430" s="1">
        <v>0.2</v>
      </c>
      <c r="C430" s="1">
        <v>494.76</v>
      </c>
      <c r="D430" s="1">
        <v>0.2</v>
      </c>
      <c r="E430" s="1">
        <v>494.76</v>
      </c>
      <c r="F430" s="1">
        <v>0.2</v>
      </c>
      <c r="G430" s="1">
        <v>494.76</v>
      </c>
      <c r="H430" s="1">
        <v>0.2</v>
      </c>
      <c r="I430" s="1">
        <v>494.76</v>
      </c>
      <c r="J430" s="1">
        <v>0.2</v>
      </c>
      <c r="K430" s="1">
        <v>494.76</v>
      </c>
      <c r="L430" s="1">
        <v>0.2</v>
      </c>
      <c r="M430" s="1">
        <v>494.76</v>
      </c>
      <c r="N430" s="1">
        <v>0.2</v>
      </c>
      <c r="O430" s="1">
        <v>0.2</v>
      </c>
      <c r="P430" s="1">
        <v>0.2</v>
      </c>
      <c r="Q430" s="1">
        <v>0.2</v>
      </c>
      <c r="R430" s="1">
        <v>0.2</v>
      </c>
      <c r="S430" s="1">
        <v>0.2</v>
      </c>
      <c r="T430" s="1">
        <v>494.76</v>
      </c>
      <c r="U430" s="1">
        <f>IF(Table14[[#This Row],[I_0]] &lt; INDEX(Table28[Filtro de ruido],1), 1, Table14[[#This Row],[I_10]] / Table14[[#This Row],[I_0]])</f>
        <v>1</v>
      </c>
      <c r="V430" s="1">
        <f>IF(Table14[[#This Row],[I_0]] &lt; INDEX(Table28[Filtro de ruido],1), 1, Table14[[#This Row],[I_20]] / Table14[[#This Row],[I_0]])</f>
        <v>1</v>
      </c>
      <c r="W430" s="1">
        <f>IF(Table14[[#This Row],[I_0]] &lt; INDEX(Table28[Filtro de ruido],1), 1, Table14[[#This Row],[I_30]] / Table14[[#This Row],[I_0]])</f>
        <v>1</v>
      </c>
      <c r="X430" s="1">
        <f>IF(Table14[[#This Row],[I_0]] &lt; INDEX(Table28[Filtro de ruido],1), 1, Table14[[#This Row],[I_40]] / Table14[[#This Row],[I_0]])</f>
        <v>1</v>
      </c>
      <c r="Y430" s="19">
        <f>IF(Table14[[#This Row],[I_0]] &lt; INDEX(Table28[Filtro de ruido],1), 1, Table14[[#This Row],[I_50]] / Table14[[#This Row],[I_0]])</f>
        <v>1</v>
      </c>
      <c r="AA430" s="1"/>
    </row>
    <row r="431" spans="1:27" x14ac:dyDescent="0.3">
      <c r="A431" s="18">
        <v>495.75</v>
      </c>
      <c r="B431" s="1">
        <v>0.2</v>
      </c>
      <c r="C431" s="1">
        <v>495.75</v>
      </c>
      <c r="D431" s="1">
        <v>0.3</v>
      </c>
      <c r="E431" s="1">
        <v>495.75</v>
      </c>
      <c r="F431" s="1">
        <v>0.3</v>
      </c>
      <c r="G431" s="1">
        <v>495.75</v>
      </c>
      <c r="H431" s="1">
        <v>0.3</v>
      </c>
      <c r="I431" s="1">
        <v>495.75</v>
      </c>
      <c r="J431" s="1">
        <v>0.3</v>
      </c>
      <c r="K431" s="1">
        <v>495.75</v>
      </c>
      <c r="L431" s="1">
        <v>0.3</v>
      </c>
      <c r="M431" s="1">
        <v>495.75</v>
      </c>
      <c r="N431" s="1">
        <v>0.2</v>
      </c>
      <c r="O431" s="1">
        <v>0.3</v>
      </c>
      <c r="P431" s="1">
        <v>0.3</v>
      </c>
      <c r="Q431" s="1">
        <v>0.3</v>
      </c>
      <c r="R431" s="1">
        <v>0.3</v>
      </c>
      <c r="S431" s="1">
        <v>0.3</v>
      </c>
      <c r="T431" s="1">
        <v>495.75</v>
      </c>
      <c r="U431" s="1">
        <f>IF(Table14[[#This Row],[I_0]] &lt; INDEX(Table28[Filtro de ruido],1), 1, Table14[[#This Row],[I_10]] / Table14[[#This Row],[I_0]])</f>
        <v>1.4999999999999998</v>
      </c>
      <c r="V431" s="1">
        <f>IF(Table14[[#This Row],[I_0]] &lt; INDEX(Table28[Filtro de ruido],1), 1, Table14[[#This Row],[I_20]] / Table14[[#This Row],[I_0]])</f>
        <v>1.4999999999999998</v>
      </c>
      <c r="W431" s="1">
        <f>IF(Table14[[#This Row],[I_0]] &lt; INDEX(Table28[Filtro de ruido],1), 1, Table14[[#This Row],[I_30]] / Table14[[#This Row],[I_0]])</f>
        <v>1.4999999999999998</v>
      </c>
      <c r="X431" s="1">
        <f>IF(Table14[[#This Row],[I_0]] &lt; INDEX(Table28[Filtro de ruido],1), 1, Table14[[#This Row],[I_40]] / Table14[[#This Row],[I_0]])</f>
        <v>1.4999999999999998</v>
      </c>
      <c r="Y431" s="19">
        <f>IF(Table14[[#This Row],[I_0]] &lt; INDEX(Table28[Filtro de ruido],1), 1, Table14[[#This Row],[I_50]] / Table14[[#This Row],[I_0]])</f>
        <v>1.4999999999999998</v>
      </c>
      <c r="AA431" s="1"/>
    </row>
    <row r="432" spans="1:27" x14ac:dyDescent="0.3">
      <c r="A432" s="18">
        <v>496.74</v>
      </c>
      <c r="B432" s="1">
        <v>0.3</v>
      </c>
      <c r="C432" s="1">
        <v>496.74</v>
      </c>
      <c r="D432" s="1">
        <v>0.3</v>
      </c>
      <c r="E432" s="1">
        <v>496.74</v>
      </c>
      <c r="F432" s="1">
        <v>0.3</v>
      </c>
      <c r="G432" s="1">
        <v>496.74</v>
      </c>
      <c r="H432" s="1">
        <v>0.4</v>
      </c>
      <c r="I432" s="1">
        <v>496.74</v>
      </c>
      <c r="J432" s="1">
        <v>0.4</v>
      </c>
      <c r="K432" s="1">
        <v>496.74</v>
      </c>
      <c r="L432" s="1">
        <v>0.4</v>
      </c>
      <c r="M432" s="1">
        <v>496.74</v>
      </c>
      <c r="N432" s="1">
        <v>0.3</v>
      </c>
      <c r="O432" s="1">
        <v>0.3</v>
      </c>
      <c r="P432" s="1">
        <v>0.3</v>
      </c>
      <c r="Q432" s="1">
        <v>0.4</v>
      </c>
      <c r="R432" s="1">
        <v>0.4</v>
      </c>
      <c r="S432" s="1">
        <v>0.4</v>
      </c>
      <c r="T432" s="1">
        <v>496.74</v>
      </c>
      <c r="U432" s="1">
        <f>IF(Table14[[#This Row],[I_0]] &lt; INDEX(Table28[Filtro de ruido],1), 1, Table14[[#This Row],[I_10]] / Table14[[#This Row],[I_0]])</f>
        <v>1</v>
      </c>
      <c r="V432" s="1">
        <f>IF(Table14[[#This Row],[I_0]] &lt; INDEX(Table28[Filtro de ruido],1), 1, Table14[[#This Row],[I_20]] / Table14[[#This Row],[I_0]])</f>
        <v>1</v>
      </c>
      <c r="W432" s="1">
        <f>IF(Table14[[#This Row],[I_0]] &lt; INDEX(Table28[Filtro de ruido],1), 1, Table14[[#This Row],[I_30]] / Table14[[#This Row],[I_0]])</f>
        <v>1.3333333333333335</v>
      </c>
      <c r="X432" s="1">
        <f>IF(Table14[[#This Row],[I_0]] &lt; INDEX(Table28[Filtro de ruido],1), 1, Table14[[#This Row],[I_40]] / Table14[[#This Row],[I_0]])</f>
        <v>1.3333333333333335</v>
      </c>
      <c r="Y432" s="19">
        <f>IF(Table14[[#This Row],[I_0]] &lt; INDEX(Table28[Filtro de ruido],1), 1, Table14[[#This Row],[I_50]] / Table14[[#This Row],[I_0]])</f>
        <v>1.3333333333333335</v>
      </c>
      <c r="AA432" s="1"/>
    </row>
    <row r="433" spans="1:27" x14ac:dyDescent="0.3">
      <c r="A433" s="18">
        <v>497.73</v>
      </c>
      <c r="B433" s="1">
        <v>0.4</v>
      </c>
      <c r="C433" s="1">
        <v>497.73</v>
      </c>
      <c r="D433" s="1">
        <v>0.4</v>
      </c>
      <c r="E433" s="1">
        <v>497.73</v>
      </c>
      <c r="F433" s="1">
        <v>0.4</v>
      </c>
      <c r="G433" s="1">
        <v>497.73</v>
      </c>
      <c r="H433" s="1">
        <v>0.5</v>
      </c>
      <c r="I433" s="1">
        <v>497.73</v>
      </c>
      <c r="J433" s="1">
        <v>0.4</v>
      </c>
      <c r="K433" s="1">
        <v>497.73</v>
      </c>
      <c r="L433" s="1">
        <v>0.5</v>
      </c>
      <c r="M433" s="1">
        <v>497.73</v>
      </c>
      <c r="N433" s="1">
        <v>0.4</v>
      </c>
      <c r="O433" s="1">
        <v>0.4</v>
      </c>
      <c r="P433" s="1">
        <v>0.4</v>
      </c>
      <c r="Q433" s="1">
        <v>0.5</v>
      </c>
      <c r="R433" s="1">
        <v>0.4</v>
      </c>
      <c r="S433" s="1">
        <v>0.5</v>
      </c>
      <c r="T433" s="1">
        <v>497.73</v>
      </c>
      <c r="U433" s="1">
        <f>IF(Table14[[#This Row],[I_0]] &lt; INDEX(Table28[Filtro de ruido],1), 1, Table14[[#This Row],[I_10]] / Table14[[#This Row],[I_0]])</f>
        <v>1</v>
      </c>
      <c r="V433" s="1">
        <f>IF(Table14[[#This Row],[I_0]] &lt; INDEX(Table28[Filtro de ruido],1), 1, Table14[[#This Row],[I_20]] / Table14[[#This Row],[I_0]])</f>
        <v>1</v>
      </c>
      <c r="W433" s="1">
        <f>IF(Table14[[#This Row],[I_0]] &lt; INDEX(Table28[Filtro de ruido],1), 1, Table14[[#This Row],[I_30]] / Table14[[#This Row],[I_0]])</f>
        <v>1.25</v>
      </c>
      <c r="X433" s="1">
        <f>IF(Table14[[#This Row],[I_0]] &lt; INDEX(Table28[Filtro de ruido],1), 1, Table14[[#This Row],[I_40]] / Table14[[#This Row],[I_0]])</f>
        <v>1</v>
      </c>
      <c r="Y433" s="19">
        <f>IF(Table14[[#This Row],[I_0]] &lt; INDEX(Table28[Filtro de ruido],1), 1, Table14[[#This Row],[I_50]] / Table14[[#This Row],[I_0]])</f>
        <v>1.25</v>
      </c>
      <c r="AA433" s="1"/>
    </row>
    <row r="434" spans="1:27" x14ac:dyDescent="0.3">
      <c r="A434" s="18">
        <v>498.72</v>
      </c>
      <c r="B434" s="1">
        <v>0.5</v>
      </c>
      <c r="C434" s="1">
        <v>498.72</v>
      </c>
      <c r="D434" s="1">
        <v>0.5</v>
      </c>
      <c r="E434" s="1">
        <v>498.72</v>
      </c>
      <c r="F434" s="1">
        <v>0.5</v>
      </c>
      <c r="G434" s="1">
        <v>498.72</v>
      </c>
      <c r="H434" s="1">
        <v>0.6</v>
      </c>
      <c r="I434" s="1">
        <v>498.72</v>
      </c>
      <c r="J434" s="1">
        <v>0.6</v>
      </c>
      <c r="K434" s="1">
        <v>498.72</v>
      </c>
      <c r="L434" s="1">
        <v>0.6</v>
      </c>
      <c r="M434" s="1">
        <v>498.72</v>
      </c>
      <c r="N434" s="1">
        <v>0.5</v>
      </c>
      <c r="O434" s="1">
        <v>0.5</v>
      </c>
      <c r="P434" s="1">
        <v>0.5</v>
      </c>
      <c r="Q434" s="1">
        <v>0.6</v>
      </c>
      <c r="R434" s="1">
        <v>0.6</v>
      </c>
      <c r="S434" s="1">
        <v>0.6</v>
      </c>
      <c r="T434" s="1">
        <v>498.72</v>
      </c>
      <c r="U434" s="1">
        <f>IF(Table14[[#This Row],[I_0]] &lt; INDEX(Table28[Filtro de ruido],1), 1, Table14[[#This Row],[I_10]] / Table14[[#This Row],[I_0]])</f>
        <v>1</v>
      </c>
      <c r="V434" s="1">
        <f>IF(Table14[[#This Row],[I_0]] &lt; INDEX(Table28[Filtro de ruido],1), 1, Table14[[#This Row],[I_20]] / Table14[[#This Row],[I_0]])</f>
        <v>1</v>
      </c>
      <c r="W434" s="1">
        <f>IF(Table14[[#This Row],[I_0]] &lt; INDEX(Table28[Filtro de ruido],1), 1, Table14[[#This Row],[I_30]] / Table14[[#This Row],[I_0]])</f>
        <v>1.2</v>
      </c>
      <c r="X434" s="1">
        <f>IF(Table14[[#This Row],[I_0]] &lt; INDEX(Table28[Filtro de ruido],1), 1, Table14[[#This Row],[I_40]] / Table14[[#This Row],[I_0]])</f>
        <v>1.2</v>
      </c>
      <c r="Y434" s="19">
        <f>IF(Table14[[#This Row],[I_0]] &lt; INDEX(Table28[Filtro de ruido],1), 1, Table14[[#This Row],[I_50]] / Table14[[#This Row],[I_0]])</f>
        <v>1.2</v>
      </c>
      <c r="AA434" s="1"/>
    </row>
    <row r="435" spans="1:27" x14ac:dyDescent="0.3">
      <c r="A435" s="18">
        <v>499.71</v>
      </c>
      <c r="B435" s="1">
        <v>0.6</v>
      </c>
      <c r="C435" s="1">
        <v>499.71</v>
      </c>
      <c r="D435" s="1">
        <v>0.6</v>
      </c>
      <c r="E435" s="1">
        <v>499.71</v>
      </c>
      <c r="F435" s="1">
        <v>0.6</v>
      </c>
      <c r="G435" s="1">
        <v>499.71</v>
      </c>
      <c r="H435" s="1">
        <v>0.7</v>
      </c>
      <c r="I435" s="1">
        <v>499.71</v>
      </c>
      <c r="J435" s="1">
        <v>0.7</v>
      </c>
      <c r="K435" s="1">
        <v>499.71</v>
      </c>
      <c r="L435" s="1">
        <v>0.7</v>
      </c>
      <c r="M435" s="1">
        <v>499.71</v>
      </c>
      <c r="N435" s="1">
        <v>0.6</v>
      </c>
      <c r="O435" s="1">
        <v>0.6</v>
      </c>
      <c r="P435" s="1">
        <v>0.6</v>
      </c>
      <c r="Q435" s="1">
        <v>0.7</v>
      </c>
      <c r="R435" s="1">
        <v>0.7</v>
      </c>
      <c r="S435" s="1">
        <v>0.7</v>
      </c>
      <c r="T435" s="1">
        <v>499.71</v>
      </c>
      <c r="U435" s="1">
        <f>IF(Table14[[#This Row],[I_0]] &lt; INDEX(Table28[Filtro de ruido],1), 1, Table14[[#This Row],[I_10]] / Table14[[#This Row],[I_0]])</f>
        <v>1</v>
      </c>
      <c r="V435" s="1">
        <f>IF(Table14[[#This Row],[I_0]] &lt; INDEX(Table28[Filtro de ruido],1), 1, Table14[[#This Row],[I_20]] / Table14[[#This Row],[I_0]])</f>
        <v>1</v>
      </c>
      <c r="W435" s="1">
        <f>IF(Table14[[#This Row],[I_0]] &lt; INDEX(Table28[Filtro de ruido],1), 1, Table14[[#This Row],[I_30]] / Table14[[#This Row],[I_0]])</f>
        <v>1.1666666666666667</v>
      </c>
      <c r="X435" s="1">
        <f>IF(Table14[[#This Row],[I_0]] &lt; INDEX(Table28[Filtro de ruido],1), 1, Table14[[#This Row],[I_40]] / Table14[[#This Row],[I_0]])</f>
        <v>1.1666666666666667</v>
      </c>
      <c r="Y435" s="19">
        <f>IF(Table14[[#This Row],[I_0]] &lt; INDEX(Table28[Filtro de ruido],1), 1, Table14[[#This Row],[I_50]] / Table14[[#This Row],[I_0]])</f>
        <v>1.1666666666666667</v>
      </c>
      <c r="AA435" s="1"/>
    </row>
    <row r="436" spans="1:27" x14ac:dyDescent="0.3">
      <c r="A436" s="18">
        <v>500.71</v>
      </c>
      <c r="B436" s="1">
        <v>0.7</v>
      </c>
      <c r="C436" s="1">
        <v>500.71</v>
      </c>
      <c r="D436" s="1">
        <v>0.8</v>
      </c>
      <c r="E436" s="1">
        <v>500.71</v>
      </c>
      <c r="F436" s="1">
        <v>0.8</v>
      </c>
      <c r="G436" s="1">
        <v>500.71</v>
      </c>
      <c r="H436" s="1">
        <v>0.9</v>
      </c>
      <c r="I436" s="1">
        <v>500.71</v>
      </c>
      <c r="J436" s="1">
        <v>0.8</v>
      </c>
      <c r="K436" s="1">
        <v>500.71</v>
      </c>
      <c r="L436" s="1">
        <v>0.9</v>
      </c>
      <c r="M436" s="1">
        <v>500.71</v>
      </c>
      <c r="N436" s="1">
        <v>0.7</v>
      </c>
      <c r="O436" s="1">
        <v>0.8</v>
      </c>
      <c r="P436" s="1">
        <v>0.8</v>
      </c>
      <c r="Q436" s="1">
        <v>0.9</v>
      </c>
      <c r="R436" s="1">
        <v>0.8</v>
      </c>
      <c r="S436" s="1">
        <v>0.9</v>
      </c>
      <c r="T436" s="1">
        <v>500.71</v>
      </c>
      <c r="U436" s="1">
        <f>IF(Table14[[#This Row],[I_0]] &lt; INDEX(Table28[Filtro de ruido],1), 1, Table14[[#This Row],[I_10]] / Table14[[#This Row],[I_0]])</f>
        <v>1.142857142857143</v>
      </c>
      <c r="V436" s="1">
        <f>IF(Table14[[#This Row],[I_0]] &lt; INDEX(Table28[Filtro de ruido],1), 1, Table14[[#This Row],[I_20]] / Table14[[#This Row],[I_0]])</f>
        <v>1.142857142857143</v>
      </c>
      <c r="W436" s="1">
        <f>IF(Table14[[#This Row],[I_0]] &lt; INDEX(Table28[Filtro de ruido],1), 1, Table14[[#This Row],[I_30]] / Table14[[#This Row],[I_0]])</f>
        <v>1.2857142857142858</v>
      </c>
      <c r="X436" s="1">
        <f>IF(Table14[[#This Row],[I_0]] &lt; INDEX(Table28[Filtro de ruido],1), 1, Table14[[#This Row],[I_40]] / Table14[[#This Row],[I_0]])</f>
        <v>1.142857142857143</v>
      </c>
      <c r="Y436" s="19">
        <f>IF(Table14[[#This Row],[I_0]] &lt; INDEX(Table28[Filtro de ruido],1), 1, Table14[[#This Row],[I_50]] / Table14[[#This Row],[I_0]])</f>
        <v>1.2857142857142858</v>
      </c>
      <c r="AA436" s="1"/>
    </row>
    <row r="437" spans="1:27" x14ac:dyDescent="0.3">
      <c r="A437" s="18">
        <v>501.7</v>
      </c>
      <c r="B437" s="1">
        <v>0.9</v>
      </c>
      <c r="C437" s="1">
        <v>501.7</v>
      </c>
      <c r="D437" s="1">
        <v>0.9</v>
      </c>
      <c r="E437" s="1">
        <v>501.7</v>
      </c>
      <c r="F437" s="1">
        <v>1</v>
      </c>
      <c r="G437" s="1">
        <v>501.7</v>
      </c>
      <c r="H437" s="1">
        <v>1.1000000000000001</v>
      </c>
      <c r="I437" s="1">
        <v>501.7</v>
      </c>
      <c r="J437" s="1">
        <v>1</v>
      </c>
      <c r="K437" s="1">
        <v>501.7</v>
      </c>
      <c r="L437" s="1">
        <v>1.1000000000000001</v>
      </c>
      <c r="M437" s="1">
        <v>501.7</v>
      </c>
      <c r="N437" s="1">
        <v>0.9</v>
      </c>
      <c r="O437" s="1">
        <v>0.9</v>
      </c>
      <c r="P437" s="1">
        <v>1</v>
      </c>
      <c r="Q437" s="1">
        <v>1.1000000000000001</v>
      </c>
      <c r="R437" s="1">
        <v>1</v>
      </c>
      <c r="S437" s="1">
        <v>1.1000000000000001</v>
      </c>
      <c r="T437" s="1">
        <v>501.7</v>
      </c>
      <c r="U437" s="1">
        <f>IF(Table14[[#This Row],[I_0]] &lt; INDEX(Table28[Filtro de ruido],1), 1, Table14[[#This Row],[I_10]] / Table14[[#This Row],[I_0]])</f>
        <v>1</v>
      </c>
      <c r="V437" s="1">
        <f>IF(Table14[[#This Row],[I_0]] &lt; INDEX(Table28[Filtro de ruido],1), 1, Table14[[#This Row],[I_20]] / Table14[[#This Row],[I_0]])</f>
        <v>1.1111111111111112</v>
      </c>
      <c r="W437" s="1">
        <f>IF(Table14[[#This Row],[I_0]] &lt; INDEX(Table28[Filtro de ruido],1), 1, Table14[[#This Row],[I_30]] / Table14[[#This Row],[I_0]])</f>
        <v>1.2222222222222223</v>
      </c>
      <c r="X437" s="1">
        <f>IF(Table14[[#This Row],[I_0]] &lt; INDEX(Table28[Filtro de ruido],1), 1, Table14[[#This Row],[I_40]] / Table14[[#This Row],[I_0]])</f>
        <v>1.1111111111111112</v>
      </c>
      <c r="Y437" s="19">
        <f>IF(Table14[[#This Row],[I_0]] &lt; INDEX(Table28[Filtro de ruido],1), 1, Table14[[#This Row],[I_50]] / Table14[[#This Row],[I_0]])</f>
        <v>1.2222222222222223</v>
      </c>
      <c r="AA437" s="1"/>
    </row>
    <row r="438" spans="1:27" x14ac:dyDescent="0.3">
      <c r="A438" s="18">
        <v>502.69</v>
      </c>
      <c r="B438" s="1">
        <v>1.1000000000000001</v>
      </c>
      <c r="C438" s="1">
        <v>502.69</v>
      </c>
      <c r="D438" s="1">
        <v>1.2</v>
      </c>
      <c r="E438" s="1">
        <v>502.69</v>
      </c>
      <c r="F438" s="1">
        <v>1.2</v>
      </c>
      <c r="G438" s="1">
        <v>502.69</v>
      </c>
      <c r="H438" s="1">
        <v>1.3</v>
      </c>
      <c r="I438" s="1">
        <v>502.69</v>
      </c>
      <c r="J438" s="1">
        <v>1.3</v>
      </c>
      <c r="K438" s="1">
        <v>502.69</v>
      </c>
      <c r="L438" s="1">
        <v>1.3</v>
      </c>
      <c r="M438" s="1">
        <v>502.69</v>
      </c>
      <c r="N438" s="1">
        <v>1.1000000000000001</v>
      </c>
      <c r="O438" s="1">
        <v>1.2</v>
      </c>
      <c r="P438" s="1">
        <v>1.2</v>
      </c>
      <c r="Q438" s="1">
        <v>1.3</v>
      </c>
      <c r="R438" s="1">
        <v>1.3</v>
      </c>
      <c r="S438" s="1">
        <v>1.3</v>
      </c>
      <c r="T438" s="1">
        <v>502.69</v>
      </c>
      <c r="U438" s="1">
        <f>IF(Table14[[#This Row],[I_0]] &lt; INDEX(Table28[Filtro de ruido],1), 1, Table14[[#This Row],[I_10]] / Table14[[#This Row],[I_0]])</f>
        <v>1.0909090909090908</v>
      </c>
      <c r="V438" s="1">
        <f>IF(Table14[[#This Row],[I_0]] &lt; INDEX(Table28[Filtro de ruido],1), 1, Table14[[#This Row],[I_20]] / Table14[[#This Row],[I_0]])</f>
        <v>1.0909090909090908</v>
      </c>
      <c r="W438" s="1">
        <f>IF(Table14[[#This Row],[I_0]] &lt; INDEX(Table28[Filtro de ruido],1), 1, Table14[[#This Row],[I_30]] / Table14[[#This Row],[I_0]])</f>
        <v>1.1818181818181817</v>
      </c>
      <c r="X438" s="1">
        <f>IF(Table14[[#This Row],[I_0]] &lt; INDEX(Table28[Filtro de ruido],1), 1, Table14[[#This Row],[I_40]] / Table14[[#This Row],[I_0]])</f>
        <v>1.1818181818181817</v>
      </c>
      <c r="Y438" s="19">
        <f>IF(Table14[[#This Row],[I_0]] &lt; INDEX(Table28[Filtro de ruido],1), 1, Table14[[#This Row],[I_50]] / Table14[[#This Row],[I_0]])</f>
        <v>1.1818181818181817</v>
      </c>
      <c r="AA438" s="1"/>
    </row>
    <row r="439" spans="1:27" x14ac:dyDescent="0.3">
      <c r="A439" s="18">
        <v>503.68</v>
      </c>
      <c r="B439" s="1">
        <v>1.3</v>
      </c>
      <c r="C439" s="1">
        <v>503.68</v>
      </c>
      <c r="D439" s="1">
        <v>1.4</v>
      </c>
      <c r="E439" s="1">
        <v>503.68</v>
      </c>
      <c r="F439" s="1">
        <v>1.5</v>
      </c>
      <c r="G439" s="1">
        <v>503.68</v>
      </c>
      <c r="H439" s="1">
        <v>1.6</v>
      </c>
      <c r="I439" s="1">
        <v>503.68</v>
      </c>
      <c r="J439" s="1">
        <v>1.6</v>
      </c>
      <c r="K439" s="1">
        <v>503.68</v>
      </c>
      <c r="L439" s="1">
        <v>1.6</v>
      </c>
      <c r="M439" s="1">
        <v>503.68</v>
      </c>
      <c r="N439" s="1">
        <v>1.3</v>
      </c>
      <c r="O439" s="1">
        <v>1.4</v>
      </c>
      <c r="P439" s="1">
        <v>1.5</v>
      </c>
      <c r="Q439" s="1">
        <v>1.6</v>
      </c>
      <c r="R439" s="1">
        <v>1.6</v>
      </c>
      <c r="S439" s="1">
        <v>1.6</v>
      </c>
      <c r="T439" s="1">
        <v>503.68</v>
      </c>
      <c r="U439" s="1">
        <f>IF(Table14[[#This Row],[I_0]] &lt; INDEX(Table28[Filtro de ruido],1), 1, Table14[[#This Row],[I_10]] / Table14[[#This Row],[I_0]])</f>
        <v>1.0769230769230769</v>
      </c>
      <c r="V439" s="1">
        <f>IF(Table14[[#This Row],[I_0]] &lt; INDEX(Table28[Filtro de ruido],1), 1, Table14[[#This Row],[I_20]] / Table14[[#This Row],[I_0]])</f>
        <v>1.1538461538461537</v>
      </c>
      <c r="W439" s="1">
        <f>IF(Table14[[#This Row],[I_0]] &lt; INDEX(Table28[Filtro de ruido],1), 1, Table14[[#This Row],[I_30]] / Table14[[#This Row],[I_0]])</f>
        <v>1.2307692307692308</v>
      </c>
      <c r="X439" s="1">
        <f>IF(Table14[[#This Row],[I_0]] &lt; INDEX(Table28[Filtro de ruido],1), 1, Table14[[#This Row],[I_40]] / Table14[[#This Row],[I_0]])</f>
        <v>1.2307692307692308</v>
      </c>
      <c r="Y439" s="19">
        <f>IF(Table14[[#This Row],[I_0]] &lt; INDEX(Table28[Filtro de ruido],1), 1, Table14[[#This Row],[I_50]] / Table14[[#This Row],[I_0]])</f>
        <v>1.2307692307692308</v>
      </c>
      <c r="AA439" s="1"/>
    </row>
    <row r="440" spans="1:27" x14ac:dyDescent="0.3">
      <c r="A440" s="18">
        <v>504.67</v>
      </c>
      <c r="B440" s="1">
        <v>1.6</v>
      </c>
      <c r="C440" s="1">
        <v>504.67</v>
      </c>
      <c r="D440" s="1">
        <v>1.8</v>
      </c>
      <c r="E440" s="1">
        <v>504.67</v>
      </c>
      <c r="F440" s="1">
        <v>1.8</v>
      </c>
      <c r="G440" s="1">
        <v>504.67</v>
      </c>
      <c r="H440" s="1">
        <v>2</v>
      </c>
      <c r="I440" s="1">
        <v>504.67</v>
      </c>
      <c r="J440" s="1">
        <v>2</v>
      </c>
      <c r="K440" s="1">
        <v>504.67</v>
      </c>
      <c r="L440" s="1">
        <v>2</v>
      </c>
      <c r="M440" s="1">
        <v>504.67</v>
      </c>
      <c r="N440" s="1">
        <v>1.6</v>
      </c>
      <c r="O440" s="1">
        <v>1.8</v>
      </c>
      <c r="P440" s="1">
        <v>1.8</v>
      </c>
      <c r="Q440" s="1">
        <v>2</v>
      </c>
      <c r="R440" s="1">
        <v>2</v>
      </c>
      <c r="S440" s="1">
        <v>2</v>
      </c>
      <c r="T440" s="1">
        <v>504.67</v>
      </c>
      <c r="U440" s="1">
        <f>IF(Table14[[#This Row],[I_0]] &lt; INDEX(Table28[Filtro de ruido],1), 1, Table14[[#This Row],[I_10]] / Table14[[#This Row],[I_0]])</f>
        <v>1.125</v>
      </c>
      <c r="V440" s="1">
        <f>IF(Table14[[#This Row],[I_0]] &lt; INDEX(Table28[Filtro de ruido],1), 1, Table14[[#This Row],[I_20]] / Table14[[#This Row],[I_0]])</f>
        <v>1.125</v>
      </c>
      <c r="W440" s="1">
        <f>IF(Table14[[#This Row],[I_0]] &lt; INDEX(Table28[Filtro de ruido],1), 1, Table14[[#This Row],[I_30]] / Table14[[#This Row],[I_0]])</f>
        <v>1.25</v>
      </c>
      <c r="X440" s="1">
        <f>IF(Table14[[#This Row],[I_0]] &lt; INDEX(Table28[Filtro de ruido],1), 1, Table14[[#This Row],[I_40]] / Table14[[#This Row],[I_0]])</f>
        <v>1.25</v>
      </c>
      <c r="Y440" s="19">
        <f>IF(Table14[[#This Row],[I_0]] &lt; INDEX(Table28[Filtro de ruido],1), 1, Table14[[#This Row],[I_50]] / Table14[[#This Row],[I_0]])</f>
        <v>1.25</v>
      </c>
      <c r="AA440" s="1"/>
    </row>
    <row r="441" spans="1:27" x14ac:dyDescent="0.3">
      <c r="A441" s="18">
        <v>505.67</v>
      </c>
      <c r="B441" s="1">
        <v>1.9</v>
      </c>
      <c r="C441" s="1">
        <v>505.67</v>
      </c>
      <c r="D441" s="1">
        <v>2.1</v>
      </c>
      <c r="E441" s="1">
        <v>505.67</v>
      </c>
      <c r="F441" s="1">
        <v>2.2000000000000002</v>
      </c>
      <c r="G441" s="1">
        <v>505.67</v>
      </c>
      <c r="H441" s="1">
        <v>2.4</v>
      </c>
      <c r="I441" s="1">
        <v>505.67</v>
      </c>
      <c r="J441" s="1">
        <v>2.4</v>
      </c>
      <c r="K441" s="1">
        <v>505.67</v>
      </c>
      <c r="L441" s="1">
        <v>2.4</v>
      </c>
      <c r="M441" s="1">
        <v>505.67</v>
      </c>
      <c r="N441" s="1">
        <v>1.9</v>
      </c>
      <c r="O441" s="1">
        <v>2.1</v>
      </c>
      <c r="P441" s="1">
        <v>2.2000000000000002</v>
      </c>
      <c r="Q441" s="1">
        <v>2.4</v>
      </c>
      <c r="R441" s="1">
        <v>2.4</v>
      </c>
      <c r="S441" s="1">
        <v>2.4</v>
      </c>
      <c r="T441" s="1">
        <v>505.67</v>
      </c>
      <c r="U441" s="1">
        <f>IF(Table14[[#This Row],[I_0]] &lt; INDEX(Table28[Filtro de ruido],1), 1, Table14[[#This Row],[I_10]] / Table14[[#This Row],[I_0]])</f>
        <v>1.1052631578947369</v>
      </c>
      <c r="V441" s="1">
        <f>IF(Table14[[#This Row],[I_0]] &lt; INDEX(Table28[Filtro de ruido],1), 1, Table14[[#This Row],[I_20]] / Table14[[#This Row],[I_0]])</f>
        <v>1.1578947368421053</v>
      </c>
      <c r="W441" s="1">
        <f>IF(Table14[[#This Row],[I_0]] &lt; INDEX(Table28[Filtro de ruido],1), 1, Table14[[#This Row],[I_30]] / Table14[[#This Row],[I_0]])</f>
        <v>1.263157894736842</v>
      </c>
      <c r="X441" s="1">
        <f>IF(Table14[[#This Row],[I_0]] &lt; INDEX(Table28[Filtro de ruido],1), 1, Table14[[#This Row],[I_40]] / Table14[[#This Row],[I_0]])</f>
        <v>1.263157894736842</v>
      </c>
      <c r="Y441" s="19">
        <f>IF(Table14[[#This Row],[I_0]] &lt; INDEX(Table28[Filtro de ruido],1), 1, Table14[[#This Row],[I_50]] / Table14[[#This Row],[I_0]])</f>
        <v>1.263157894736842</v>
      </c>
      <c r="AA441" s="1"/>
    </row>
    <row r="442" spans="1:27" x14ac:dyDescent="0.3">
      <c r="A442" s="18">
        <v>506.66</v>
      </c>
      <c r="B442" s="1">
        <v>2.4</v>
      </c>
      <c r="C442" s="1">
        <v>506.66</v>
      </c>
      <c r="D442" s="1">
        <v>2.6</v>
      </c>
      <c r="E442" s="1">
        <v>506.66</v>
      </c>
      <c r="F442" s="1">
        <v>2.6</v>
      </c>
      <c r="G442" s="1">
        <v>506.66</v>
      </c>
      <c r="H442" s="1">
        <v>2.8</v>
      </c>
      <c r="I442" s="1">
        <v>506.66</v>
      </c>
      <c r="J442" s="1">
        <v>2.8</v>
      </c>
      <c r="K442" s="1">
        <v>506.66</v>
      </c>
      <c r="L442" s="1">
        <v>2.8</v>
      </c>
      <c r="M442" s="1">
        <v>506.66</v>
      </c>
      <c r="N442" s="1">
        <v>2.4</v>
      </c>
      <c r="O442" s="1">
        <v>2.6</v>
      </c>
      <c r="P442" s="1">
        <v>2.6</v>
      </c>
      <c r="Q442" s="1">
        <v>2.8</v>
      </c>
      <c r="R442" s="1">
        <v>2.8</v>
      </c>
      <c r="S442" s="1">
        <v>2.8</v>
      </c>
      <c r="T442" s="1">
        <v>506.66</v>
      </c>
      <c r="U442" s="1">
        <f>IF(Table14[[#This Row],[I_0]] &lt; INDEX(Table28[Filtro de ruido],1), 1, Table14[[#This Row],[I_10]] / Table14[[#This Row],[I_0]])</f>
        <v>1.0833333333333335</v>
      </c>
      <c r="V442" s="1">
        <f>IF(Table14[[#This Row],[I_0]] &lt; INDEX(Table28[Filtro de ruido],1), 1, Table14[[#This Row],[I_20]] / Table14[[#This Row],[I_0]])</f>
        <v>1.0833333333333335</v>
      </c>
      <c r="W442" s="1">
        <f>IF(Table14[[#This Row],[I_0]] &lt; INDEX(Table28[Filtro de ruido],1), 1, Table14[[#This Row],[I_30]] / Table14[[#This Row],[I_0]])</f>
        <v>1.1666666666666667</v>
      </c>
      <c r="X442" s="1">
        <f>IF(Table14[[#This Row],[I_0]] &lt; INDEX(Table28[Filtro de ruido],1), 1, Table14[[#This Row],[I_40]] / Table14[[#This Row],[I_0]])</f>
        <v>1.1666666666666667</v>
      </c>
      <c r="Y442" s="19">
        <f>IF(Table14[[#This Row],[I_0]] &lt; INDEX(Table28[Filtro de ruido],1), 1, Table14[[#This Row],[I_50]] / Table14[[#This Row],[I_0]])</f>
        <v>1.1666666666666667</v>
      </c>
      <c r="AA442" s="1"/>
    </row>
    <row r="443" spans="1:27" x14ac:dyDescent="0.3">
      <c r="A443" s="18">
        <v>507.65</v>
      </c>
      <c r="B443" s="1">
        <v>2.8</v>
      </c>
      <c r="C443" s="1">
        <v>507.65</v>
      </c>
      <c r="D443" s="1">
        <v>3</v>
      </c>
      <c r="E443" s="1">
        <v>507.65</v>
      </c>
      <c r="F443" s="1">
        <v>3.1</v>
      </c>
      <c r="G443" s="1">
        <v>507.65</v>
      </c>
      <c r="H443" s="1">
        <v>3.3</v>
      </c>
      <c r="I443" s="1">
        <v>507.65</v>
      </c>
      <c r="J443" s="1">
        <v>3.3</v>
      </c>
      <c r="K443" s="1">
        <v>507.65</v>
      </c>
      <c r="L443" s="1">
        <v>3.3</v>
      </c>
      <c r="M443" s="1">
        <v>507.65</v>
      </c>
      <c r="N443" s="1">
        <v>2.8</v>
      </c>
      <c r="O443" s="1">
        <v>3</v>
      </c>
      <c r="P443" s="1">
        <v>3.1</v>
      </c>
      <c r="Q443" s="1">
        <v>3.3</v>
      </c>
      <c r="R443" s="1">
        <v>3.3</v>
      </c>
      <c r="S443" s="1">
        <v>3.3</v>
      </c>
      <c r="T443" s="1">
        <v>507.65</v>
      </c>
      <c r="U443" s="1">
        <f>IF(Table14[[#This Row],[I_0]] &lt; INDEX(Table28[Filtro de ruido],1), 1, Table14[[#This Row],[I_10]] / Table14[[#This Row],[I_0]])</f>
        <v>1.0714285714285714</v>
      </c>
      <c r="V443" s="1">
        <f>IF(Table14[[#This Row],[I_0]] &lt; INDEX(Table28[Filtro de ruido],1), 1, Table14[[#This Row],[I_20]] / Table14[[#This Row],[I_0]])</f>
        <v>1.1071428571428572</v>
      </c>
      <c r="W443" s="1">
        <f>IF(Table14[[#This Row],[I_0]] &lt; INDEX(Table28[Filtro de ruido],1), 1, Table14[[#This Row],[I_30]] / Table14[[#This Row],[I_0]])</f>
        <v>1.1785714285714286</v>
      </c>
      <c r="X443" s="1">
        <f>IF(Table14[[#This Row],[I_0]] &lt; INDEX(Table28[Filtro de ruido],1), 1, Table14[[#This Row],[I_40]] / Table14[[#This Row],[I_0]])</f>
        <v>1.1785714285714286</v>
      </c>
      <c r="Y443" s="19">
        <f>IF(Table14[[#This Row],[I_0]] &lt; INDEX(Table28[Filtro de ruido],1), 1, Table14[[#This Row],[I_50]] / Table14[[#This Row],[I_0]])</f>
        <v>1.1785714285714286</v>
      </c>
      <c r="AA443" s="1"/>
    </row>
    <row r="444" spans="1:27" x14ac:dyDescent="0.3">
      <c r="A444" s="18">
        <v>508.64</v>
      </c>
      <c r="B444" s="1">
        <v>3.3</v>
      </c>
      <c r="C444" s="1">
        <v>508.64</v>
      </c>
      <c r="D444" s="1">
        <v>3.6</v>
      </c>
      <c r="E444" s="1">
        <v>508.64</v>
      </c>
      <c r="F444" s="1">
        <v>3.7</v>
      </c>
      <c r="G444" s="1">
        <v>508.64</v>
      </c>
      <c r="H444" s="1">
        <v>3.9</v>
      </c>
      <c r="I444" s="1">
        <v>508.64</v>
      </c>
      <c r="J444" s="1">
        <v>3.9</v>
      </c>
      <c r="K444" s="1">
        <v>508.64</v>
      </c>
      <c r="L444" s="1">
        <v>3.9</v>
      </c>
      <c r="M444" s="1">
        <v>508.64</v>
      </c>
      <c r="N444" s="1">
        <v>3.3</v>
      </c>
      <c r="O444" s="1">
        <v>3.6</v>
      </c>
      <c r="P444" s="1">
        <v>3.7</v>
      </c>
      <c r="Q444" s="1">
        <v>3.9</v>
      </c>
      <c r="R444" s="1">
        <v>3.9</v>
      </c>
      <c r="S444" s="1">
        <v>3.9</v>
      </c>
      <c r="T444" s="1">
        <v>508.64</v>
      </c>
      <c r="U444" s="1">
        <f>IF(Table14[[#This Row],[I_0]] &lt; INDEX(Table28[Filtro de ruido],1), 1, Table14[[#This Row],[I_10]] / Table14[[#This Row],[I_0]])</f>
        <v>1.0909090909090911</v>
      </c>
      <c r="V444" s="1">
        <f>IF(Table14[[#This Row],[I_0]] &lt; INDEX(Table28[Filtro de ruido],1), 1, Table14[[#This Row],[I_20]] / Table14[[#This Row],[I_0]])</f>
        <v>1.1212121212121213</v>
      </c>
      <c r="W444" s="1">
        <f>IF(Table14[[#This Row],[I_0]] &lt; INDEX(Table28[Filtro de ruido],1), 1, Table14[[#This Row],[I_30]] / Table14[[#This Row],[I_0]])</f>
        <v>1.1818181818181819</v>
      </c>
      <c r="X444" s="1">
        <f>IF(Table14[[#This Row],[I_0]] &lt; INDEX(Table28[Filtro de ruido],1), 1, Table14[[#This Row],[I_40]] / Table14[[#This Row],[I_0]])</f>
        <v>1.1818181818181819</v>
      </c>
      <c r="Y444" s="19">
        <f>IF(Table14[[#This Row],[I_0]] &lt; INDEX(Table28[Filtro de ruido],1), 1, Table14[[#This Row],[I_50]] / Table14[[#This Row],[I_0]])</f>
        <v>1.1818181818181819</v>
      </c>
      <c r="AA444" s="1"/>
    </row>
    <row r="445" spans="1:27" x14ac:dyDescent="0.3">
      <c r="A445" s="18">
        <v>509.63</v>
      </c>
      <c r="B445" s="1">
        <v>3.8</v>
      </c>
      <c r="C445" s="1">
        <v>509.63</v>
      </c>
      <c r="D445" s="1">
        <v>4.0999999999999996</v>
      </c>
      <c r="E445" s="1">
        <v>509.63</v>
      </c>
      <c r="F445" s="1">
        <v>4.2</v>
      </c>
      <c r="G445" s="1">
        <v>509.63</v>
      </c>
      <c r="H445" s="1">
        <v>4.4000000000000004</v>
      </c>
      <c r="I445" s="1">
        <v>509.63</v>
      </c>
      <c r="J445" s="1">
        <v>4.5</v>
      </c>
      <c r="K445" s="1">
        <v>509.63</v>
      </c>
      <c r="L445" s="1">
        <v>4.5</v>
      </c>
      <c r="M445" s="1">
        <v>509.63</v>
      </c>
      <c r="N445" s="1">
        <v>3.8</v>
      </c>
      <c r="O445" s="1">
        <v>4.0999999999999996</v>
      </c>
      <c r="P445" s="1">
        <v>4.2</v>
      </c>
      <c r="Q445" s="1">
        <v>4.4000000000000004</v>
      </c>
      <c r="R445" s="1">
        <v>4.5</v>
      </c>
      <c r="S445" s="1">
        <v>4.5</v>
      </c>
      <c r="T445" s="1">
        <v>509.63</v>
      </c>
      <c r="U445" s="1">
        <f>IF(Table14[[#This Row],[I_0]] &lt; INDEX(Table28[Filtro de ruido],1), 1, Table14[[#This Row],[I_10]] / Table14[[#This Row],[I_0]])</f>
        <v>1.0789473684210527</v>
      </c>
      <c r="V445" s="1">
        <f>IF(Table14[[#This Row],[I_0]] &lt; INDEX(Table28[Filtro de ruido],1), 1, Table14[[#This Row],[I_20]] / Table14[[#This Row],[I_0]])</f>
        <v>1.1052631578947369</v>
      </c>
      <c r="W445" s="1">
        <f>IF(Table14[[#This Row],[I_0]] &lt; INDEX(Table28[Filtro de ruido],1), 1, Table14[[#This Row],[I_30]] / Table14[[#This Row],[I_0]])</f>
        <v>1.1578947368421053</v>
      </c>
      <c r="X445" s="1">
        <f>IF(Table14[[#This Row],[I_0]] &lt; INDEX(Table28[Filtro de ruido],1), 1, Table14[[#This Row],[I_40]] / Table14[[#This Row],[I_0]])</f>
        <v>1.1842105263157896</v>
      </c>
      <c r="Y445" s="19">
        <f>IF(Table14[[#This Row],[I_0]] &lt; INDEX(Table28[Filtro de ruido],1), 1, Table14[[#This Row],[I_50]] / Table14[[#This Row],[I_0]])</f>
        <v>1.1842105263157896</v>
      </c>
      <c r="AA445" s="1"/>
    </row>
    <row r="446" spans="1:27" x14ac:dyDescent="0.3">
      <c r="A446" s="18">
        <v>510.62</v>
      </c>
      <c r="B446" s="1">
        <v>4.4000000000000004</v>
      </c>
      <c r="C446" s="1">
        <v>510.62</v>
      </c>
      <c r="D446" s="1">
        <v>4.7</v>
      </c>
      <c r="E446" s="1">
        <v>510.62</v>
      </c>
      <c r="F446" s="1">
        <v>4.9000000000000004</v>
      </c>
      <c r="G446" s="1">
        <v>510.62</v>
      </c>
      <c r="H446" s="1">
        <v>5.0999999999999996</v>
      </c>
      <c r="I446" s="1">
        <v>510.62</v>
      </c>
      <c r="J446" s="1">
        <v>5.0999999999999996</v>
      </c>
      <c r="K446" s="1">
        <v>510.62</v>
      </c>
      <c r="L446" s="1">
        <v>5.0999999999999996</v>
      </c>
      <c r="M446" s="1">
        <v>510.62</v>
      </c>
      <c r="N446" s="1">
        <v>4.4000000000000004</v>
      </c>
      <c r="O446" s="1">
        <v>4.7</v>
      </c>
      <c r="P446" s="1">
        <v>4.9000000000000004</v>
      </c>
      <c r="Q446" s="1">
        <v>5.0999999999999996</v>
      </c>
      <c r="R446" s="1">
        <v>5.0999999999999996</v>
      </c>
      <c r="S446" s="1">
        <v>5.0999999999999996</v>
      </c>
      <c r="T446" s="1">
        <v>510.62</v>
      </c>
      <c r="U446" s="1">
        <f>IF(Table14[[#This Row],[I_0]] &lt; INDEX(Table28[Filtro de ruido],1), 1, Table14[[#This Row],[I_10]] / Table14[[#This Row],[I_0]])</f>
        <v>1.0681818181818181</v>
      </c>
      <c r="V446" s="1">
        <f>IF(Table14[[#This Row],[I_0]] &lt; INDEX(Table28[Filtro de ruido],1), 1, Table14[[#This Row],[I_20]] / Table14[[#This Row],[I_0]])</f>
        <v>1.1136363636363635</v>
      </c>
      <c r="W446" s="1">
        <f>IF(Table14[[#This Row],[I_0]] &lt; INDEX(Table28[Filtro de ruido],1), 1, Table14[[#This Row],[I_30]] / Table14[[#This Row],[I_0]])</f>
        <v>1.1590909090909089</v>
      </c>
      <c r="X446" s="1">
        <f>IF(Table14[[#This Row],[I_0]] &lt; INDEX(Table28[Filtro de ruido],1), 1, Table14[[#This Row],[I_40]] / Table14[[#This Row],[I_0]])</f>
        <v>1.1590909090909089</v>
      </c>
      <c r="Y446" s="19">
        <f>IF(Table14[[#This Row],[I_0]] &lt; INDEX(Table28[Filtro de ruido],1), 1, Table14[[#This Row],[I_50]] / Table14[[#This Row],[I_0]])</f>
        <v>1.1590909090909089</v>
      </c>
      <c r="AA446" s="1"/>
    </row>
    <row r="447" spans="1:27" x14ac:dyDescent="0.3">
      <c r="A447" s="18">
        <v>511.62</v>
      </c>
      <c r="B447" s="1">
        <v>5</v>
      </c>
      <c r="C447" s="1">
        <v>511.62</v>
      </c>
      <c r="D447" s="1">
        <v>5.3</v>
      </c>
      <c r="E447" s="1">
        <v>511.62</v>
      </c>
      <c r="F447" s="1">
        <v>5.5</v>
      </c>
      <c r="G447" s="1">
        <v>511.62</v>
      </c>
      <c r="H447" s="1">
        <v>5.7</v>
      </c>
      <c r="I447" s="1">
        <v>511.62</v>
      </c>
      <c r="J447" s="1">
        <v>5.8</v>
      </c>
      <c r="K447" s="1">
        <v>511.62</v>
      </c>
      <c r="L447" s="1">
        <v>5.8</v>
      </c>
      <c r="M447" s="1">
        <v>511.62</v>
      </c>
      <c r="N447" s="1">
        <v>5</v>
      </c>
      <c r="O447" s="1">
        <v>5.3</v>
      </c>
      <c r="P447" s="1">
        <v>5.5</v>
      </c>
      <c r="Q447" s="1">
        <v>5.7</v>
      </c>
      <c r="R447" s="1">
        <v>5.8</v>
      </c>
      <c r="S447" s="1">
        <v>5.8</v>
      </c>
      <c r="T447" s="1">
        <v>511.62</v>
      </c>
      <c r="U447" s="1">
        <f>IF(Table14[[#This Row],[I_0]] &lt; INDEX(Table28[Filtro de ruido],1), 1, Table14[[#This Row],[I_10]] / Table14[[#This Row],[I_0]])</f>
        <v>1.06</v>
      </c>
      <c r="V447" s="1">
        <f>IF(Table14[[#This Row],[I_0]] &lt; INDEX(Table28[Filtro de ruido],1), 1, Table14[[#This Row],[I_20]] / Table14[[#This Row],[I_0]])</f>
        <v>1.1000000000000001</v>
      </c>
      <c r="W447" s="1">
        <f>IF(Table14[[#This Row],[I_0]] &lt; INDEX(Table28[Filtro de ruido],1), 1, Table14[[#This Row],[I_30]] / Table14[[#This Row],[I_0]])</f>
        <v>1.1400000000000001</v>
      </c>
      <c r="X447" s="1">
        <f>IF(Table14[[#This Row],[I_0]] &lt; INDEX(Table28[Filtro de ruido],1), 1, Table14[[#This Row],[I_40]] / Table14[[#This Row],[I_0]])</f>
        <v>1.1599999999999999</v>
      </c>
      <c r="Y447" s="19">
        <f>IF(Table14[[#This Row],[I_0]] &lt; INDEX(Table28[Filtro de ruido],1), 1, Table14[[#This Row],[I_50]] / Table14[[#This Row],[I_0]])</f>
        <v>1.1599999999999999</v>
      </c>
      <c r="AA447" s="1"/>
    </row>
    <row r="448" spans="1:27" x14ac:dyDescent="0.3">
      <c r="A448" s="18">
        <v>512.61</v>
      </c>
      <c r="B448" s="1">
        <v>5.6</v>
      </c>
      <c r="C448" s="1">
        <v>512.61</v>
      </c>
      <c r="D448" s="1">
        <v>5.9</v>
      </c>
      <c r="E448" s="1">
        <v>512.61</v>
      </c>
      <c r="F448" s="1">
        <v>6.1</v>
      </c>
      <c r="G448" s="1">
        <v>512.61</v>
      </c>
      <c r="H448" s="1">
        <v>6.4</v>
      </c>
      <c r="I448" s="1">
        <v>512.61</v>
      </c>
      <c r="J448" s="1">
        <v>6.4</v>
      </c>
      <c r="K448" s="1">
        <v>512.61</v>
      </c>
      <c r="L448" s="1">
        <v>6.4</v>
      </c>
      <c r="M448" s="1">
        <v>512.61</v>
      </c>
      <c r="N448" s="1">
        <v>5.6</v>
      </c>
      <c r="O448" s="1">
        <v>5.9</v>
      </c>
      <c r="P448" s="1">
        <v>6.1</v>
      </c>
      <c r="Q448" s="1">
        <v>6.4</v>
      </c>
      <c r="R448" s="1">
        <v>6.4</v>
      </c>
      <c r="S448" s="1">
        <v>6.4</v>
      </c>
      <c r="T448" s="1">
        <v>512.61</v>
      </c>
      <c r="U448" s="1">
        <f>IF(Table14[[#This Row],[I_0]] &lt; INDEX(Table28[Filtro de ruido],1), 1, Table14[[#This Row],[I_10]] / Table14[[#This Row],[I_0]])</f>
        <v>1.0535714285714286</v>
      </c>
      <c r="V448" s="1">
        <f>IF(Table14[[#This Row],[I_0]] &lt; INDEX(Table28[Filtro de ruido],1), 1, Table14[[#This Row],[I_20]] / Table14[[#This Row],[I_0]])</f>
        <v>1.0892857142857142</v>
      </c>
      <c r="W448" s="1">
        <f>IF(Table14[[#This Row],[I_0]] &lt; INDEX(Table28[Filtro de ruido],1), 1, Table14[[#This Row],[I_30]] / Table14[[#This Row],[I_0]])</f>
        <v>1.142857142857143</v>
      </c>
      <c r="X448" s="1">
        <f>IF(Table14[[#This Row],[I_0]] &lt; INDEX(Table28[Filtro de ruido],1), 1, Table14[[#This Row],[I_40]] / Table14[[#This Row],[I_0]])</f>
        <v>1.142857142857143</v>
      </c>
      <c r="Y448" s="19">
        <f>IF(Table14[[#This Row],[I_0]] &lt; INDEX(Table28[Filtro de ruido],1), 1, Table14[[#This Row],[I_50]] / Table14[[#This Row],[I_0]])</f>
        <v>1.142857142857143</v>
      </c>
      <c r="AA448" s="1"/>
    </row>
    <row r="449" spans="1:27" x14ac:dyDescent="0.3">
      <c r="A449" s="18">
        <v>513.6</v>
      </c>
      <c r="B449" s="1">
        <v>6.2</v>
      </c>
      <c r="C449" s="1">
        <v>513.6</v>
      </c>
      <c r="D449" s="1">
        <v>6.5</v>
      </c>
      <c r="E449" s="1">
        <v>513.6</v>
      </c>
      <c r="F449" s="1">
        <v>6.7</v>
      </c>
      <c r="G449" s="1">
        <v>513.6</v>
      </c>
      <c r="H449" s="1">
        <v>7</v>
      </c>
      <c r="I449" s="1">
        <v>513.6</v>
      </c>
      <c r="J449" s="1">
        <v>7</v>
      </c>
      <c r="K449" s="1">
        <v>513.6</v>
      </c>
      <c r="L449" s="1">
        <v>7.1</v>
      </c>
      <c r="M449" s="1">
        <v>513.6</v>
      </c>
      <c r="N449" s="1">
        <v>6.2</v>
      </c>
      <c r="O449" s="1">
        <v>6.5</v>
      </c>
      <c r="P449" s="1">
        <v>6.7</v>
      </c>
      <c r="Q449" s="1">
        <v>7</v>
      </c>
      <c r="R449" s="1">
        <v>7</v>
      </c>
      <c r="S449" s="1">
        <v>7.1</v>
      </c>
      <c r="T449" s="1">
        <v>513.6</v>
      </c>
      <c r="U449" s="1">
        <f>IF(Table14[[#This Row],[I_0]] &lt; INDEX(Table28[Filtro de ruido],1), 1, Table14[[#This Row],[I_10]] / Table14[[#This Row],[I_0]])</f>
        <v>1.0483870967741935</v>
      </c>
      <c r="V449" s="1">
        <f>IF(Table14[[#This Row],[I_0]] &lt; INDEX(Table28[Filtro de ruido],1), 1, Table14[[#This Row],[I_20]] / Table14[[#This Row],[I_0]])</f>
        <v>1.0806451612903225</v>
      </c>
      <c r="W449" s="1">
        <f>IF(Table14[[#This Row],[I_0]] &lt; INDEX(Table28[Filtro de ruido],1), 1, Table14[[#This Row],[I_30]] / Table14[[#This Row],[I_0]])</f>
        <v>1.129032258064516</v>
      </c>
      <c r="X449" s="1">
        <f>IF(Table14[[#This Row],[I_0]] &lt; INDEX(Table28[Filtro de ruido],1), 1, Table14[[#This Row],[I_40]] / Table14[[#This Row],[I_0]])</f>
        <v>1.129032258064516</v>
      </c>
      <c r="Y449" s="19">
        <f>IF(Table14[[#This Row],[I_0]] &lt; INDEX(Table28[Filtro de ruido],1), 1, Table14[[#This Row],[I_50]] / Table14[[#This Row],[I_0]])</f>
        <v>1.1451612903225805</v>
      </c>
      <c r="AA449" s="1"/>
    </row>
    <row r="450" spans="1:27" x14ac:dyDescent="0.3">
      <c r="A450" s="18">
        <v>514.59</v>
      </c>
      <c r="B450" s="1">
        <v>6.8</v>
      </c>
      <c r="C450" s="1">
        <v>514.59</v>
      </c>
      <c r="D450" s="1">
        <v>7.1</v>
      </c>
      <c r="E450" s="1">
        <v>514.59</v>
      </c>
      <c r="F450" s="1">
        <v>7.3</v>
      </c>
      <c r="G450" s="1">
        <v>514.59</v>
      </c>
      <c r="H450" s="1">
        <v>7.7</v>
      </c>
      <c r="I450" s="1">
        <v>514.59</v>
      </c>
      <c r="J450" s="1">
        <v>7.7</v>
      </c>
      <c r="K450" s="1">
        <v>514.59</v>
      </c>
      <c r="L450" s="1">
        <v>7.7</v>
      </c>
      <c r="M450" s="1">
        <v>514.59</v>
      </c>
      <c r="N450" s="1">
        <v>6.8</v>
      </c>
      <c r="O450" s="1">
        <v>7.1</v>
      </c>
      <c r="P450" s="1">
        <v>7.3</v>
      </c>
      <c r="Q450" s="1">
        <v>7.7</v>
      </c>
      <c r="R450" s="1">
        <v>7.7</v>
      </c>
      <c r="S450" s="1">
        <v>7.7</v>
      </c>
      <c r="T450" s="1">
        <v>514.59</v>
      </c>
      <c r="U450" s="1">
        <f>IF(Table14[[#This Row],[I_0]] &lt; INDEX(Table28[Filtro de ruido],1), 1, Table14[[#This Row],[I_10]] / Table14[[#This Row],[I_0]])</f>
        <v>1.0441176470588236</v>
      </c>
      <c r="V450" s="1">
        <f>IF(Table14[[#This Row],[I_0]] &lt; INDEX(Table28[Filtro de ruido],1), 1, Table14[[#This Row],[I_20]] / Table14[[#This Row],[I_0]])</f>
        <v>1.0735294117647058</v>
      </c>
      <c r="W450" s="1">
        <f>IF(Table14[[#This Row],[I_0]] &lt; INDEX(Table28[Filtro de ruido],1), 1, Table14[[#This Row],[I_30]] / Table14[[#This Row],[I_0]])</f>
        <v>1.1323529411764706</v>
      </c>
      <c r="X450" s="1">
        <f>IF(Table14[[#This Row],[I_0]] &lt; INDEX(Table28[Filtro de ruido],1), 1, Table14[[#This Row],[I_40]] / Table14[[#This Row],[I_0]])</f>
        <v>1.1323529411764706</v>
      </c>
      <c r="Y450" s="19">
        <f>IF(Table14[[#This Row],[I_0]] &lt; INDEX(Table28[Filtro de ruido],1), 1, Table14[[#This Row],[I_50]] / Table14[[#This Row],[I_0]])</f>
        <v>1.1323529411764706</v>
      </c>
      <c r="AA450" s="1"/>
    </row>
    <row r="451" spans="1:27" x14ac:dyDescent="0.3">
      <c r="A451" s="18">
        <v>515.58000000000004</v>
      </c>
      <c r="B451" s="1">
        <v>7.4</v>
      </c>
      <c r="C451" s="1">
        <v>515.58000000000004</v>
      </c>
      <c r="D451" s="1">
        <v>7.8</v>
      </c>
      <c r="E451" s="1">
        <v>515.58000000000004</v>
      </c>
      <c r="F451" s="1">
        <v>8</v>
      </c>
      <c r="G451" s="1">
        <v>515.58000000000004</v>
      </c>
      <c r="H451" s="1">
        <v>8.3000000000000007</v>
      </c>
      <c r="I451" s="1">
        <v>515.58000000000004</v>
      </c>
      <c r="J451" s="1">
        <v>8.4</v>
      </c>
      <c r="K451" s="1">
        <v>515.58000000000004</v>
      </c>
      <c r="L451" s="1">
        <v>8.4</v>
      </c>
      <c r="M451" s="1">
        <v>515.58000000000004</v>
      </c>
      <c r="N451" s="1">
        <v>7.4</v>
      </c>
      <c r="O451" s="1">
        <v>7.8</v>
      </c>
      <c r="P451" s="1">
        <v>8</v>
      </c>
      <c r="Q451" s="1">
        <v>8.3000000000000007</v>
      </c>
      <c r="R451" s="1">
        <v>8.4</v>
      </c>
      <c r="S451" s="1">
        <v>8.4</v>
      </c>
      <c r="T451" s="1">
        <v>515.58000000000004</v>
      </c>
      <c r="U451" s="1">
        <f>IF(Table14[[#This Row],[I_0]] &lt; INDEX(Table28[Filtro de ruido],1), 1, Table14[[#This Row],[I_10]] / Table14[[#This Row],[I_0]])</f>
        <v>1.0540540540540539</v>
      </c>
      <c r="V451" s="1">
        <f>IF(Table14[[#This Row],[I_0]] &lt; INDEX(Table28[Filtro de ruido],1), 1, Table14[[#This Row],[I_20]] / Table14[[#This Row],[I_0]])</f>
        <v>1.0810810810810809</v>
      </c>
      <c r="W451" s="1">
        <f>IF(Table14[[#This Row],[I_0]] &lt; INDEX(Table28[Filtro de ruido],1), 1, Table14[[#This Row],[I_30]] / Table14[[#This Row],[I_0]])</f>
        <v>1.1216216216216217</v>
      </c>
      <c r="X451" s="1">
        <f>IF(Table14[[#This Row],[I_0]] &lt; INDEX(Table28[Filtro de ruido],1), 1, Table14[[#This Row],[I_40]] / Table14[[#This Row],[I_0]])</f>
        <v>1.1351351351351351</v>
      </c>
      <c r="Y451" s="19">
        <f>IF(Table14[[#This Row],[I_0]] &lt; INDEX(Table28[Filtro de ruido],1), 1, Table14[[#This Row],[I_50]] / Table14[[#This Row],[I_0]])</f>
        <v>1.1351351351351351</v>
      </c>
      <c r="AA451" s="1"/>
    </row>
    <row r="452" spans="1:27" x14ac:dyDescent="0.3">
      <c r="A452" s="18">
        <v>516.57000000000005</v>
      </c>
      <c r="B452" s="1">
        <v>8</v>
      </c>
      <c r="C452" s="1">
        <v>516.57000000000005</v>
      </c>
      <c r="D452" s="1">
        <v>8.4</v>
      </c>
      <c r="E452" s="1">
        <v>516.57000000000005</v>
      </c>
      <c r="F452" s="1">
        <v>8.6</v>
      </c>
      <c r="G452" s="1">
        <v>516.57000000000005</v>
      </c>
      <c r="H452" s="1">
        <v>9</v>
      </c>
      <c r="I452" s="1">
        <v>516.57000000000005</v>
      </c>
      <c r="J452" s="1">
        <v>9</v>
      </c>
      <c r="K452" s="1">
        <v>516.57000000000005</v>
      </c>
      <c r="L452" s="1">
        <v>9</v>
      </c>
      <c r="M452" s="1">
        <v>516.57000000000005</v>
      </c>
      <c r="N452" s="1">
        <v>8</v>
      </c>
      <c r="O452" s="1">
        <v>8.4</v>
      </c>
      <c r="P452" s="1">
        <v>8.6</v>
      </c>
      <c r="Q452" s="1">
        <v>9</v>
      </c>
      <c r="R452" s="1">
        <v>9</v>
      </c>
      <c r="S452" s="1">
        <v>9</v>
      </c>
      <c r="T452" s="1">
        <v>516.57000000000005</v>
      </c>
      <c r="U452" s="1">
        <f>IF(Table14[[#This Row],[I_0]] &lt; INDEX(Table28[Filtro de ruido],1), 1, Table14[[#This Row],[I_10]] / Table14[[#This Row],[I_0]])</f>
        <v>1.05</v>
      </c>
      <c r="V452" s="1">
        <f>IF(Table14[[#This Row],[I_0]] &lt; INDEX(Table28[Filtro de ruido],1), 1, Table14[[#This Row],[I_20]] / Table14[[#This Row],[I_0]])</f>
        <v>1.075</v>
      </c>
      <c r="W452" s="1">
        <f>IF(Table14[[#This Row],[I_0]] &lt; INDEX(Table28[Filtro de ruido],1), 1, Table14[[#This Row],[I_30]] / Table14[[#This Row],[I_0]])</f>
        <v>1.125</v>
      </c>
      <c r="X452" s="1">
        <f>IF(Table14[[#This Row],[I_0]] &lt; INDEX(Table28[Filtro de ruido],1), 1, Table14[[#This Row],[I_40]] / Table14[[#This Row],[I_0]])</f>
        <v>1.125</v>
      </c>
      <c r="Y452" s="19">
        <f>IF(Table14[[#This Row],[I_0]] &lt; INDEX(Table28[Filtro de ruido],1), 1, Table14[[#This Row],[I_50]] / Table14[[#This Row],[I_0]])</f>
        <v>1.125</v>
      </c>
      <c r="AA452" s="1"/>
    </row>
    <row r="453" spans="1:27" x14ac:dyDescent="0.3">
      <c r="A453" s="18">
        <v>517.57000000000005</v>
      </c>
      <c r="B453" s="1">
        <v>8.6</v>
      </c>
      <c r="C453" s="1">
        <v>517.57000000000005</v>
      </c>
      <c r="D453" s="1">
        <v>9.1</v>
      </c>
      <c r="E453" s="1">
        <v>517.57000000000005</v>
      </c>
      <c r="F453" s="1">
        <v>9.3000000000000007</v>
      </c>
      <c r="G453" s="1">
        <v>517.57000000000005</v>
      </c>
      <c r="H453" s="1">
        <v>9.6999999999999993</v>
      </c>
      <c r="I453" s="1">
        <v>517.57000000000005</v>
      </c>
      <c r="J453" s="1">
        <v>9.8000000000000007</v>
      </c>
      <c r="K453" s="1">
        <v>517.57000000000005</v>
      </c>
      <c r="L453" s="1">
        <v>9.8000000000000007</v>
      </c>
      <c r="M453" s="1">
        <v>517.57000000000005</v>
      </c>
      <c r="N453" s="1">
        <v>8.6</v>
      </c>
      <c r="O453" s="1">
        <v>9.1</v>
      </c>
      <c r="P453" s="1">
        <v>9.3000000000000007</v>
      </c>
      <c r="Q453" s="1">
        <v>9.6999999999999993</v>
      </c>
      <c r="R453" s="1">
        <v>9.8000000000000007</v>
      </c>
      <c r="S453" s="1">
        <v>9.8000000000000007</v>
      </c>
      <c r="T453" s="1">
        <v>517.57000000000005</v>
      </c>
      <c r="U453" s="1">
        <f>IF(Table14[[#This Row],[I_0]] &lt; INDEX(Table28[Filtro de ruido],1), 1, Table14[[#This Row],[I_10]] / Table14[[#This Row],[I_0]])</f>
        <v>1.058139534883721</v>
      </c>
      <c r="V453" s="1">
        <f>IF(Table14[[#This Row],[I_0]] &lt; INDEX(Table28[Filtro de ruido],1), 1, Table14[[#This Row],[I_20]] / Table14[[#This Row],[I_0]])</f>
        <v>1.0813953488372094</v>
      </c>
      <c r="W453" s="1">
        <f>IF(Table14[[#This Row],[I_0]] &lt; INDEX(Table28[Filtro de ruido],1), 1, Table14[[#This Row],[I_30]] / Table14[[#This Row],[I_0]])</f>
        <v>1.1279069767441861</v>
      </c>
      <c r="X453" s="1">
        <f>IF(Table14[[#This Row],[I_0]] &lt; INDEX(Table28[Filtro de ruido],1), 1, Table14[[#This Row],[I_40]] / Table14[[#This Row],[I_0]])</f>
        <v>1.1395348837209303</v>
      </c>
      <c r="Y453" s="19">
        <f>IF(Table14[[#This Row],[I_0]] &lt; INDEX(Table28[Filtro de ruido],1), 1, Table14[[#This Row],[I_50]] / Table14[[#This Row],[I_0]])</f>
        <v>1.1395348837209303</v>
      </c>
      <c r="AA453" s="1"/>
    </row>
    <row r="454" spans="1:27" x14ac:dyDescent="0.3">
      <c r="A454" s="18">
        <v>518.55999999999995</v>
      </c>
      <c r="B454" s="1">
        <v>9.1999999999999993</v>
      </c>
      <c r="C454" s="1">
        <v>518.55999999999995</v>
      </c>
      <c r="D454" s="1">
        <v>9.6999999999999993</v>
      </c>
      <c r="E454" s="1">
        <v>518.55999999999995</v>
      </c>
      <c r="F454" s="1">
        <v>10</v>
      </c>
      <c r="G454" s="1">
        <v>518.55999999999995</v>
      </c>
      <c r="H454" s="1">
        <v>10.4</v>
      </c>
      <c r="I454" s="1">
        <v>518.55999999999995</v>
      </c>
      <c r="J454" s="1">
        <v>10.4</v>
      </c>
      <c r="K454" s="1">
        <v>518.55999999999995</v>
      </c>
      <c r="L454" s="1">
        <v>10.4</v>
      </c>
      <c r="M454" s="1">
        <v>518.55999999999995</v>
      </c>
      <c r="N454" s="1">
        <v>9.1999999999999993</v>
      </c>
      <c r="O454" s="1">
        <v>9.6999999999999993</v>
      </c>
      <c r="P454" s="1">
        <v>10</v>
      </c>
      <c r="Q454" s="1">
        <v>10.4</v>
      </c>
      <c r="R454" s="1">
        <v>10.4</v>
      </c>
      <c r="S454" s="1">
        <v>10.4</v>
      </c>
      <c r="T454" s="1">
        <v>518.55999999999995</v>
      </c>
      <c r="U454" s="1">
        <f>IF(Table14[[#This Row],[I_0]] &lt; INDEX(Table28[Filtro de ruido],1), 1, Table14[[#This Row],[I_10]] / Table14[[#This Row],[I_0]])</f>
        <v>1.0543478260869565</v>
      </c>
      <c r="V454" s="1">
        <f>IF(Table14[[#This Row],[I_0]] &lt; INDEX(Table28[Filtro de ruido],1), 1, Table14[[#This Row],[I_20]] / Table14[[#This Row],[I_0]])</f>
        <v>1.0869565217391306</v>
      </c>
      <c r="W454" s="1">
        <f>IF(Table14[[#This Row],[I_0]] &lt; INDEX(Table28[Filtro de ruido],1), 1, Table14[[#This Row],[I_30]] / Table14[[#This Row],[I_0]])</f>
        <v>1.1304347826086958</v>
      </c>
      <c r="X454" s="1">
        <f>IF(Table14[[#This Row],[I_0]] &lt; INDEX(Table28[Filtro de ruido],1), 1, Table14[[#This Row],[I_40]] / Table14[[#This Row],[I_0]])</f>
        <v>1.1304347826086958</v>
      </c>
      <c r="Y454" s="19">
        <f>IF(Table14[[#This Row],[I_0]] &lt; INDEX(Table28[Filtro de ruido],1), 1, Table14[[#This Row],[I_50]] / Table14[[#This Row],[I_0]])</f>
        <v>1.1304347826086958</v>
      </c>
      <c r="AA454" s="1"/>
    </row>
    <row r="455" spans="1:27" x14ac:dyDescent="0.3">
      <c r="A455" s="18">
        <v>519.54999999999995</v>
      </c>
      <c r="B455" s="1">
        <v>9.8000000000000007</v>
      </c>
      <c r="C455" s="1">
        <v>519.54999999999995</v>
      </c>
      <c r="D455" s="1">
        <v>10.4</v>
      </c>
      <c r="E455" s="1">
        <v>519.54999999999995</v>
      </c>
      <c r="F455" s="1">
        <v>10.7</v>
      </c>
      <c r="G455" s="1">
        <v>519.54999999999995</v>
      </c>
      <c r="H455" s="1">
        <v>11.1</v>
      </c>
      <c r="I455" s="1">
        <v>519.54999999999995</v>
      </c>
      <c r="J455" s="1">
        <v>11.2</v>
      </c>
      <c r="K455" s="1">
        <v>519.54999999999995</v>
      </c>
      <c r="L455" s="1">
        <v>11.2</v>
      </c>
      <c r="M455" s="1">
        <v>519.54999999999995</v>
      </c>
      <c r="N455" s="1">
        <v>9.8000000000000007</v>
      </c>
      <c r="O455" s="1">
        <v>10.4</v>
      </c>
      <c r="P455" s="1">
        <v>10.7</v>
      </c>
      <c r="Q455" s="1">
        <v>11.1</v>
      </c>
      <c r="R455" s="1">
        <v>11.2</v>
      </c>
      <c r="S455" s="1">
        <v>11.2</v>
      </c>
      <c r="T455" s="1">
        <v>519.54999999999995</v>
      </c>
      <c r="U455" s="1">
        <f>IF(Table14[[#This Row],[I_0]] &lt; INDEX(Table28[Filtro de ruido],1), 1, Table14[[#This Row],[I_10]] / Table14[[#This Row],[I_0]])</f>
        <v>1.0612244897959184</v>
      </c>
      <c r="V455" s="1">
        <f>IF(Table14[[#This Row],[I_0]] &lt; INDEX(Table28[Filtro de ruido],1), 1, Table14[[#This Row],[I_20]] / Table14[[#This Row],[I_0]])</f>
        <v>1.0918367346938773</v>
      </c>
      <c r="W455" s="1">
        <f>IF(Table14[[#This Row],[I_0]] &lt; INDEX(Table28[Filtro de ruido],1), 1, Table14[[#This Row],[I_30]] / Table14[[#This Row],[I_0]])</f>
        <v>1.1326530612244896</v>
      </c>
      <c r="X455" s="1">
        <f>IF(Table14[[#This Row],[I_0]] &lt; INDEX(Table28[Filtro de ruido],1), 1, Table14[[#This Row],[I_40]] / Table14[[#This Row],[I_0]])</f>
        <v>1.1428571428571428</v>
      </c>
      <c r="Y455" s="19">
        <f>IF(Table14[[#This Row],[I_0]] &lt; INDEX(Table28[Filtro de ruido],1), 1, Table14[[#This Row],[I_50]] / Table14[[#This Row],[I_0]])</f>
        <v>1.1428571428571428</v>
      </c>
      <c r="AA455" s="1"/>
    </row>
    <row r="456" spans="1:27" x14ac:dyDescent="0.3">
      <c r="A456" s="18">
        <v>520.54</v>
      </c>
      <c r="B456" s="1">
        <v>10.4</v>
      </c>
      <c r="C456" s="1">
        <v>520.54</v>
      </c>
      <c r="D456" s="1">
        <v>11</v>
      </c>
      <c r="E456" s="1">
        <v>520.54</v>
      </c>
      <c r="F456" s="1">
        <v>11.3</v>
      </c>
      <c r="G456" s="1">
        <v>520.54</v>
      </c>
      <c r="H456" s="1">
        <v>11.8</v>
      </c>
      <c r="I456" s="1">
        <v>520.54</v>
      </c>
      <c r="J456" s="1">
        <v>11.8</v>
      </c>
      <c r="K456" s="1">
        <v>520.54</v>
      </c>
      <c r="L456" s="1">
        <v>11.9</v>
      </c>
      <c r="M456" s="1">
        <v>520.54</v>
      </c>
      <c r="N456" s="1">
        <v>10.4</v>
      </c>
      <c r="O456" s="1">
        <v>11</v>
      </c>
      <c r="P456" s="1">
        <v>11.3</v>
      </c>
      <c r="Q456" s="1">
        <v>11.8</v>
      </c>
      <c r="R456" s="1">
        <v>11.8</v>
      </c>
      <c r="S456" s="1">
        <v>11.9</v>
      </c>
      <c r="T456" s="1">
        <v>520.54</v>
      </c>
      <c r="U456" s="1">
        <f>IF(Table14[[#This Row],[I_0]] &lt; INDEX(Table28[Filtro de ruido],1), 1, Table14[[#This Row],[I_10]] / Table14[[#This Row],[I_0]])</f>
        <v>1.0576923076923077</v>
      </c>
      <c r="V456" s="1">
        <f>IF(Table14[[#This Row],[I_0]] &lt; INDEX(Table28[Filtro de ruido],1), 1, Table14[[#This Row],[I_20]] / Table14[[#This Row],[I_0]])</f>
        <v>1.0865384615384617</v>
      </c>
      <c r="W456" s="1">
        <f>IF(Table14[[#This Row],[I_0]] &lt; INDEX(Table28[Filtro de ruido],1), 1, Table14[[#This Row],[I_30]] / Table14[[#This Row],[I_0]])</f>
        <v>1.1346153846153846</v>
      </c>
      <c r="X456" s="1">
        <f>IF(Table14[[#This Row],[I_0]] &lt; INDEX(Table28[Filtro de ruido],1), 1, Table14[[#This Row],[I_40]] / Table14[[#This Row],[I_0]])</f>
        <v>1.1346153846153846</v>
      </c>
      <c r="Y456" s="19">
        <f>IF(Table14[[#This Row],[I_0]] &lt; INDEX(Table28[Filtro de ruido],1), 1, Table14[[#This Row],[I_50]] / Table14[[#This Row],[I_0]])</f>
        <v>1.1442307692307692</v>
      </c>
      <c r="AA456" s="1"/>
    </row>
    <row r="457" spans="1:27" x14ac:dyDescent="0.3">
      <c r="A457" s="18">
        <v>521.53</v>
      </c>
      <c r="B457" s="1">
        <v>11.1</v>
      </c>
      <c r="C457" s="1">
        <v>521.53</v>
      </c>
      <c r="D457" s="1">
        <v>11.7</v>
      </c>
      <c r="E457" s="1">
        <v>521.53</v>
      </c>
      <c r="F457" s="1">
        <v>12</v>
      </c>
      <c r="G457" s="1">
        <v>521.53</v>
      </c>
      <c r="H457" s="1">
        <v>12.5</v>
      </c>
      <c r="I457" s="1">
        <v>521.53</v>
      </c>
      <c r="J457" s="1">
        <v>12.5</v>
      </c>
      <c r="K457" s="1">
        <v>521.53</v>
      </c>
      <c r="L457" s="1">
        <v>12.6</v>
      </c>
      <c r="M457" s="1">
        <v>521.53</v>
      </c>
      <c r="N457" s="1">
        <v>11.1</v>
      </c>
      <c r="O457" s="1">
        <v>11.7</v>
      </c>
      <c r="P457" s="1">
        <v>12</v>
      </c>
      <c r="Q457" s="1">
        <v>12.5</v>
      </c>
      <c r="R457" s="1">
        <v>12.5</v>
      </c>
      <c r="S457" s="1">
        <v>12.6</v>
      </c>
      <c r="T457" s="1">
        <v>521.53</v>
      </c>
      <c r="U457" s="1">
        <f>IF(Table14[[#This Row],[I_0]] &lt; INDEX(Table28[Filtro de ruido],1), 1, Table14[[#This Row],[I_10]] / Table14[[#This Row],[I_0]])</f>
        <v>1.0540540540540539</v>
      </c>
      <c r="V457" s="1">
        <f>IF(Table14[[#This Row],[I_0]] &lt; INDEX(Table28[Filtro de ruido],1), 1, Table14[[#This Row],[I_20]] / Table14[[#This Row],[I_0]])</f>
        <v>1.0810810810810811</v>
      </c>
      <c r="W457" s="1">
        <f>IF(Table14[[#This Row],[I_0]] &lt; INDEX(Table28[Filtro de ruido],1), 1, Table14[[#This Row],[I_30]] / Table14[[#This Row],[I_0]])</f>
        <v>1.1261261261261262</v>
      </c>
      <c r="X457" s="1">
        <f>IF(Table14[[#This Row],[I_0]] &lt; INDEX(Table28[Filtro de ruido],1), 1, Table14[[#This Row],[I_40]] / Table14[[#This Row],[I_0]])</f>
        <v>1.1261261261261262</v>
      </c>
      <c r="Y457" s="19">
        <f>IF(Table14[[#This Row],[I_0]] &lt; INDEX(Table28[Filtro de ruido],1), 1, Table14[[#This Row],[I_50]] / Table14[[#This Row],[I_0]])</f>
        <v>1.1351351351351351</v>
      </c>
      <c r="AA457" s="1"/>
    </row>
    <row r="458" spans="1:27" x14ac:dyDescent="0.3">
      <c r="A458" s="18">
        <v>522.53</v>
      </c>
      <c r="B458" s="1">
        <v>11.6</v>
      </c>
      <c r="C458" s="1">
        <v>522.53</v>
      </c>
      <c r="D458" s="1">
        <v>12.3</v>
      </c>
      <c r="E458" s="1">
        <v>522.53</v>
      </c>
      <c r="F458" s="1">
        <v>12.6</v>
      </c>
      <c r="G458" s="1">
        <v>522.53</v>
      </c>
      <c r="H458" s="1">
        <v>13.1</v>
      </c>
      <c r="I458" s="1">
        <v>522.53</v>
      </c>
      <c r="J458" s="1">
        <v>13.2</v>
      </c>
      <c r="K458" s="1">
        <v>522.53</v>
      </c>
      <c r="L458" s="1">
        <v>13.2</v>
      </c>
      <c r="M458" s="1">
        <v>522.53</v>
      </c>
      <c r="N458" s="1">
        <v>11.6</v>
      </c>
      <c r="O458" s="1">
        <v>12.3</v>
      </c>
      <c r="P458" s="1">
        <v>12.6</v>
      </c>
      <c r="Q458" s="1">
        <v>13.1</v>
      </c>
      <c r="R458" s="1">
        <v>13.2</v>
      </c>
      <c r="S458" s="1">
        <v>13.2</v>
      </c>
      <c r="T458" s="1">
        <v>522.53</v>
      </c>
      <c r="U458" s="1">
        <f>IF(Table14[[#This Row],[I_0]] &lt; INDEX(Table28[Filtro de ruido],1), 1, Table14[[#This Row],[I_10]] / Table14[[#This Row],[I_0]])</f>
        <v>1.0603448275862071</v>
      </c>
      <c r="V458" s="1">
        <f>IF(Table14[[#This Row],[I_0]] &lt; INDEX(Table28[Filtro de ruido],1), 1, Table14[[#This Row],[I_20]] / Table14[[#This Row],[I_0]])</f>
        <v>1.0862068965517242</v>
      </c>
      <c r="W458" s="1">
        <f>IF(Table14[[#This Row],[I_0]] &lt; INDEX(Table28[Filtro de ruido],1), 1, Table14[[#This Row],[I_30]] / Table14[[#This Row],[I_0]])</f>
        <v>1.1293103448275863</v>
      </c>
      <c r="X458" s="1">
        <f>IF(Table14[[#This Row],[I_0]] &lt; INDEX(Table28[Filtro de ruido],1), 1, Table14[[#This Row],[I_40]] / Table14[[#This Row],[I_0]])</f>
        <v>1.1379310344827587</v>
      </c>
      <c r="Y458" s="19">
        <f>IF(Table14[[#This Row],[I_0]] &lt; INDEX(Table28[Filtro de ruido],1), 1, Table14[[#This Row],[I_50]] / Table14[[#This Row],[I_0]])</f>
        <v>1.1379310344827587</v>
      </c>
      <c r="AA458" s="1"/>
    </row>
    <row r="459" spans="1:27" x14ac:dyDescent="0.3">
      <c r="A459" s="18">
        <v>523.52</v>
      </c>
      <c r="B459" s="1">
        <v>12.3</v>
      </c>
      <c r="C459" s="1">
        <v>523.52</v>
      </c>
      <c r="D459" s="1">
        <v>12.9</v>
      </c>
      <c r="E459" s="1">
        <v>523.52</v>
      </c>
      <c r="F459" s="1">
        <v>13.2</v>
      </c>
      <c r="G459" s="1">
        <v>523.52</v>
      </c>
      <c r="H459" s="1">
        <v>13.8</v>
      </c>
      <c r="I459" s="1">
        <v>523.52</v>
      </c>
      <c r="J459" s="1">
        <v>13.9</v>
      </c>
      <c r="K459" s="1">
        <v>523.52</v>
      </c>
      <c r="L459" s="1">
        <v>13.9</v>
      </c>
      <c r="M459" s="1">
        <v>523.52</v>
      </c>
      <c r="N459" s="1">
        <v>12.3</v>
      </c>
      <c r="O459" s="1">
        <v>12.9</v>
      </c>
      <c r="P459" s="1">
        <v>13.2</v>
      </c>
      <c r="Q459" s="1">
        <v>13.8</v>
      </c>
      <c r="R459" s="1">
        <v>13.9</v>
      </c>
      <c r="S459" s="1">
        <v>13.9</v>
      </c>
      <c r="T459" s="1">
        <v>523.52</v>
      </c>
      <c r="U459" s="1">
        <f>IF(Table14[[#This Row],[I_0]] &lt; INDEX(Table28[Filtro de ruido],1), 1, Table14[[#This Row],[I_10]] / Table14[[#This Row],[I_0]])</f>
        <v>1.0487804878048781</v>
      </c>
      <c r="V459" s="1">
        <f>IF(Table14[[#This Row],[I_0]] &lt; INDEX(Table28[Filtro de ruido],1), 1, Table14[[#This Row],[I_20]] / Table14[[#This Row],[I_0]])</f>
        <v>1.0731707317073169</v>
      </c>
      <c r="W459" s="1">
        <f>IF(Table14[[#This Row],[I_0]] &lt; INDEX(Table28[Filtro de ruido],1), 1, Table14[[#This Row],[I_30]] / Table14[[#This Row],[I_0]])</f>
        <v>1.121951219512195</v>
      </c>
      <c r="X459" s="1">
        <f>IF(Table14[[#This Row],[I_0]] &lt; INDEX(Table28[Filtro de ruido],1), 1, Table14[[#This Row],[I_40]] / Table14[[#This Row],[I_0]])</f>
        <v>1.1300813008130082</v>
      </c>
      <c r="Y459" s="19">
        <f>IF(Table14[[#This Row],[I_0]] &lt; INDEX(Table28[Filtro de ruido],1), 1, Table14[[#This Row],[I_50]] / Table14[[#This Row],[I_0]])</f>
        <v>1.1300813008130082</v>
      </c>
      <c r="AA459" s="1"/>
    </row>
    <row r="460" spans="1:27" x14ac:dyDescent="0.3">
      <c r="A460" s="18">
        <v>524.51</v>
      </c>
      <c r="B460" s="1">
        <v>12.8</v>
      </c>
      <c r="C460" s="1">
        <v>524.51</v>
      </c>
      <c r="D460" s="1">
        <v>13.5</v>
      </c>
      <c r="E460" s="1">
        <v>524.51</v>
      </c>
      <c r="F460" s="1">
        <v>13.8</v>
      </c>
      <c r="G460" s="1">
        <v>524.51</v>
      </c>
      <c r="H460" s="1">
        <v>14.5</v>
      </c>
      <c r="I460" s="1">
        <v>524.51</v>
      </c>
      <c r="J460" s="1">
        <v>14.5</v>
      </c>
      <c r="K460" s="1">
        <v>524.51</v>
      </c>
      <c r="L460" s="1">
        <v>14.6</v>
      </c>
      <c r="M460" s="1">
        <v>524.51</v>
      </c>
      <c r="N460" s="1">
        <v>12.8</v>
      </c>
      <c r="O460" s="1">
        <v>13.5</v>
      </c>
      <c r="P460" s="1">
        <v>13.8</v>
      </c>
      <c r="Q460" s="1">
        <v>14.5</v>
      </c>
      <c r="R460" s="1">
        <v>14.5</v>
      </c>
      <c r="S460" s="1">
        <v>14.6</v>
      </c>
      <c r="T460" s="1">
        <v>524.51</v>
      </c>
      <c r="U460" s="1">
        <f>IF(Table14[[#This Row],[I_0]] &lt; INDEX(Table28[Filtro de ruido],1), 1, Table14[[#This Row],[I_10]] / Table14[[#This Row],[I_0]])</f>
        <v>1.0546875</v>
      </c>
      <c r="V460" s="1">
        <f>IF(Table14[[#This Row],[I_0]] &lt; INDEX(Table28[Filtro de ruido],1), 1, Table14[[#This Row],[I_20]] / Table14[[#This Row],[I_0]])</f>
        <v>1.078125</v>
      </c>
      <c r="W460" s="1">
        <f>IF(Table14[[#This Row],[I_0]] &lt; INDEX(Table28[Filtro de ruido],1), 1, Table14[[#This Row],[I_30]] / Table14[[#This Row],[I_0]])</f>
        <v>1.1328125</v>
      </c>
      <c r="X460" s="1">
        <f>IF(Table14[[#This Row],[I_0]] &lt; INDEX(Table28[Filtro de ruido],1), 1, Table14[[#This Row],[I_40]] / Table14[[#This Row],[I_0]])</f>
        <v>1.1328125</v>
      </c>
      <c r="Y460" s="19">
        <f>IF(Table14[[#This Row],[I_0]] &lt; INDEX(Table28[Filtro de ruido],1), 1, Table14[[#This Row],[I_50]] / Table14[[#This Row],[I_0]])</f>
        <v>1.140625</v>
      </c>
      <c r="AA460" s="1"/>
    </row>
    <row r="461" spans="1:27" x14ac:dyDescent="0.3">
      <c r="A461" s="18">
        <v>525.5</v>
      </c>
      <c r="B461" s="1">
        <v>13.4</v>
      </c>
      <c r="C461" s="1">
        <v>525.5</v>
      </c>
      <c r="D461" s="1">
        <v>14.2</v>
      </c>
      <c r="E461" s="1">
        <v>525.5</v>
      </c>
      <c r="F461" s="1">
        <v>14.5</v>
      </c>
      <c r="G461" s="1">
        <v>525.5</v>
      </c>
      <c r="H461" s="1">
        <v>15.2</v>
      </c>
      <c r="I461" s="1">
        <v>525.5</v>
      </c>
      <c r="J461" s="1">
        <v>15.2</v>
      </c>
      <c r="K461" s="1">
        <v>525.5</v>
      </c>
      <c r="L461" s="1">
        <v>15.2</v>
      </c>
      <c r="M461" s="1">
        <v>525.5</v>
      </c>
      <c r="N461" s="1">
        <v>13.4</v>
      </c>
      <c r="O461" s="1">
        <v>14.2</v>
      </c>
      <c r="P461" s="1">
        <v>14.5</v>
      </c>
      <c r="Q461" s="1">
        <v>15.2</v>
      </c>
      <c r="R461" s="1">
        <v>15.2</v>
      </c>
      <c r="S461" s="1">
        <v>15.2</v>
      </c>
      <c r="T461" s="1">
        <v>525.5</v>
      </c>
      <c r="U461" s="1">
        <f>IF(Table14[[#This Row],[I_0]] &lt; INDEX(Table28[Filtro de ruido],1), 1, Table14[[#This Row],[I_10]] / Table14[[#This Row],[I_0]])</f>
        <v>1.0597014925373134</v>
      </c>
      <c r="V461" s="1">
        <f>IF(Table14[[#This Row],[I_0]] &lt; INDEX(Table28[Filtro de ruido],1), 1, Table14[[#This Row],[I_20]] / Table14[[#This Row],[I_0]])</f>
        <v>1.0820895522388059</v>
      </c>
      <c r="W461" s="1">
        <f>IF(Table14[[#This Row],[I_0]] &lt; INDEX(Table28[Filtro de ruido],1), 1, Table14[[#This Row],[I_30]] / Table14[[#This Row],[I_0]])</f>
        <v>1.1343283582089552</v>
      </c>
      <c r="X461" s="1">
        <f>IF(Table14[[#This Row],[I_0]] &lt; INDEX(Table28[Filtro de ruido],1), 1, Table14[[#This Row],[I_40]] / Table14[[#This Row],[I_0]])</f>
        <v>1.1343283582089552</v>
      </c>
      <c r="Y461" s="19">
        <f>IF(Table14[[#This Row],[I_0]] &lt; INDEX(Table28[Filtro de ruido],1), 1, Table14[[#This Row],[I_50]] / Table14[[#This Row],[I_0]])</f>
        <v>1.1343283582089552</v>
      </c>
      <c r="AA461" s="1"/>
    </row>
    <row r="462" spans="1:27" x14ac:dyDescent="0.3">
      <c r="A462" s="18">
        <v>526.49</v>
      </c>
      <c r="B462" s="1">
        <v>13.9</v>
      </c>
      <c r="C462" s="1">
        <v>526.49</v>
      </c>
      <c r="D462" s="1">
        <v>14.7</v>
      </c>
      <c r="E462" s="1">
        <v>526.49</v>
      </c>
      <c r="F462" s="1">
        <v>15</v>
      </c>
      <c r="G462" s="1">
        <v>526.49</v>
      </c>
      <c r="H462" s="1">
        <v>15.7</v>
      </c>
      <c r="I462" s="1">
        <v>526.49</v>
      </c>
      <c r="J462" s="1">
        <v>15.8</v>
      </c>
      <c r="K462" s="1">
        <v>526.49</v>
      </c>
      <c r="L462" s="1">
        <v>15.8</v>
      </c>
      <c r="M462" s="1">
        <v>526.49</v>
      </c>
      <c r="N462" s="1">
        <v>13.9</v>
      </c>
      <c r="O462" s="1">
        <v>14.7</v>
      </c>
      <c r="P462" s="1">
        <v>15</v>
      </c>
      <c r="Q462" s="1">
        <v>15.7</v>
      </c>
      <c r="R462" s="1">
        <v>15.8</v>
      </c>
      <c r="S462" s="1">
        <v>15.8</v>
      </c>
      <c r="T462" s="1">
        <v>526.49</v>
      </c>
      <c r="U462" s="1">
        <f>IF(Table14[[#This Row],[I_0]] &lt; INDEX(Table28[Filtro de ruido],1), 1, Table14[[#This Row],[I_10]] / Table14[[#This Row],[I_0]])</f>
        <v>1.0575539568345322</v>
      </c>
      <c r="V462" s="1">
        <f>IF(Table14[[#This Row],[I_0]] &lt; INDEX(Table28[Filtro de ruido],1), 1, Table14[[#This Row],[I_20]] / Table14[[#This Row],[I_0]])</f>
        <v>1.079136690647482</v>
      </c>
      <c r="W462" s="1">
        <f>IF(Table14[[#This Row],[I_0]] &lt; INDEX(Table28[Filtro de ruido],1), 1, Table14[[#This Row],[I_30]] / Table14[[#This Row],[I_0]])</f>
        <v>1.1294964028776977</v>
      </c>
      <c r="X462" s="1">
        <f>IF(Table14[[#This Row],[I_0]] &lt; INDEX(Table28[Filtro de ruido],1), 1, Table14[[#This Row],[I_40]] / Table14[[#This Row],[I_0]])</f>
        <v>1.1366906474820144</v>
      </c>
      <c r="Y462" s="19">
        <f>IF(Table14[[#This Row],[I_0]] &lt; INDEX(Table28[Filtro de ruido],1), 1, Table14[[#This Row],[I_50]] / Table14[[#This Row],[I_0]])</f>
        <v>1.1366906474820144</v>
      </c>
      <c r="AA462" s="1"/>
    </row>
    <row r="463" spans="1:27" x14ac:dyDescent="0.3">
      <c r="A463" s="18">
        <v>527.48</v>
      </c>
      <c r="B463" s="1">
        <v>14.4</v>
      </c>
      <c r="C463" s="1">
        <v>527.48</v>
      </c>
      <c r="D463" s="1">
        <v>15.2</v>
      </c>
      <c r="E463" s="1">
        <v>527.48</v>
      </c>
      <c r="F463" s="1">
        <v>15.5</v>
      </c>
      <c r="G463" s="1">
        <v>527.48</v>
      </c>
      <c r="H463" s="1">
        <v>16.3</v>
      </c>
      <c r="I463" s="1">
        <v>527.48</v>
      </c>
      <c r="J463" s="1">
        <v>16.3</v>
      </c>
      <c r="K463" s="1">
        <v>527.48</v>
      </c>
      <c r="L463" s="1">
        <v>16.3</v>
      </c>
      <c r="M463" s="1">
        <v>527.48</v>
      </c>
      <c r="N463" s="1">
        <v>14.4</v>
      </c>
      <c r="O463" s="1">
        <v>15.2</v>
      </c>
      <c r="P463" s="1">
        <v>15.5</v>
      </c>
      <c r="Q463" s="1">
        <v>16.3</v>
      </c>
      <c r="R463" s="1">
        <v>16.3</v>
      </c>
      <c r="S463" s="1">
        <v>16.3</v>
      </c>
      <c r="T463" s="1">
        <v>527.48</v>
      </c>
      <c r="U463" s="1">
        <f>IF(Table14[[#This Row],[I_0]] &lt; INDEX(Table28[Filtro de ruido],1), 1, Table14[[#This Row],[I_10]] / Table14[[#This Row],[I_0]])</f>
        <v>1.0555555555555556</v>
      </c>
      <c r="V463" s="1">
        <f>IF(Table14[[#This Row],[I_0]] &lt; INDEX(Table28[Filtro de ruido],1), 1, Table14[[#This Row],[I_20]] / Table14[[#This Row],[I_0]])</f>
        <v>1.0763888888888888</v>
      </c>
      <c r="W463" s="1">
        <f>IF(Table14[[#This Row],[I_0]] &lt; INDEX(Table28[Filtro de ruido],1), 1, Table14[[#This Row],[I_30]] / Table14[[#This Row],[I_0]])</f>
        <v>1.1319444444444444</v>
      </c>
      <c r="X463" s="1">
        <f>IF(Table14[[#This Row],[I_0]] &lt; INDEX(Table28[Filtro de ruido],1), 1, Table14[[#This Row],[I_40]] / Table14[[#This Row],[I_0]])</f>
        <v>1.1319444444444444</v>
      </c>
      <c r="Y463" s="19">
        <f>IF(Table14[[#This Row],[I_0]] &lt; INDEX(Table28[Filtro de ruido],1), 1, Table14[[#This Row],[I_50]] / Table14[[#This Row],[I_0]])</f>
        <v>1.1319444444444444</v>
      </c>
      <c r="AA463" s="1"/>
    </row>
    <row r="464" spans="1:27" x14ac:dyDescent="0.3">
      <c r="A464" s="18">
        <v>528.48</v>
      </c>
      <c r="B464" s="1">
        <v>14.8</v>
      </c>
      <c r="C464" s="1">
        <v>528.48</v>
      </c>
      <c r="D464" s="1">
        <v>15.6</v>
      </c>
      <c r="E464" s="1">
        <v>528.48</v>
      </c>
      <c r="F464" s="1">
        <v>16</v>
      </c>
      <c r="G464" s="1">
        <v>528.48</v>
      </c>
      <c r="H464" s="1">
        <v>16.8</v>
      </c>
      <c r="I464" s="1">
        <v>528.48</v>
      </c>
      <c r="J464" s="1">
        <v>16.8</v>
      </c>
      <c r="K464" s="1">
        <v>528.48</v>
      </c>
      <c r="L464" s="1">
        <v>16.8</v>
      </c>
      <c r="M464" s="1">
        <v>528.48</v>
      </c>
      <c r="N464" s="1">
        <v>14.8</v>
      </c>
      <c r="O464" s="1">
        <v>15.6</v>
      </c>
      <c r="P464" s="1">
        <v>16</v>
      </c>
      <c r="Q464" s="1">
        <v>16.8</v>
      </c>
      <c r="R464" s="1">
        <v>16.8</v>
      </c>
      <c r="S464" s="1">
        <v>16.8</v>
      </c>
      <c r="T464" s="1">
        <v>528.48</v>
      </c>
      <c r="U464" s="1">
        <f>IF(Table14[[#This Row],[I_0]] &lt; INDEX(Table28[Filtro de ruido],1), 1, Table14[[#This Row],[I_10]] / Table14[[#This Row],[I_0]])</f>
        <v>1.0540540540540539</v>
      </c>
      <c r="V464" s="1">
        <f>IF(Table14[[#This Row],[I_0]] &lt; INDEX(Table28[Filtro de ruido],1), 1, Table14[[#This Row],[I_20]] / Table14[[#This Row],[I_0]])</f>
        <v>1.0810810810810809</v>
      </c>
      <c r="W464" s="1">
        <f>IF(Table14[[#This Row],[I_0]] &lt; INDEX(Table28[Filtro de ruido],1), 1, Table14[[#This Row],[I_30]] / Table14[[#This Row],[I_0]])</f>
        <v>1.1351351351351351</v>
      </c>
      <c r="X464" s="1">
        <f>IF(Table14[[#This Row],[I_0]] &lt; INDEX(Table28[Filtro de ruido],1), 1, Table14[[#This Row],[I_40]] / Table14[[#This Row],[I_0]])</f>
        <v>1.1351351351351351</v>
      </c>
      <c r="Y464" s="19">
        <f>IF(Table14[[#This Row],[I_0]] &lt; INDEX(Table28[Filtro de ruido],1), 1, Table14[[#This Row],[I_50]] / Table14[[#This Row],[I_0]])</f>
        <v>1.1351351351351351</v>
      </c>
      <c r="AA464" s="1"/>
    </row>
    <row r="465" spans="1:27" x14ac:dyDescent="0.3">
      <c r="A465" s="18">
        <v>529.47</v>
      </c>
      <c r="B465" s="1">
        <v>15.3</v>
      </c>
      <c r="C465" s="1">
        <v>529.47</v>
      </c>
      <c r="D465" s="1">
        <v>16.100000000000001</v>
      </c>
      <c r="E465" s="1">
        <v>529.47</v>
      </c>
      <c r="F465" s="1">
        <v>16.5</v>
      </c>
      <c r="G465" s="1">
        <v>529.47</v>
      </c>
      <c r="H465" s="1">
        <v>17.2</v>
      </c>
      <c r="I465" s="1">
        <v>529.47</v>
      </c>
      <c r="J465" s="1">
        <v>17.3</v>
      </c>
      <c r="K465" s="1">
        <v>529.47</v>
      </c>
      <c r="L465" s="1">
        <v>17.2</v>
      </c>
      <c r="M465" s="1">
        <v>529.47</v>
      </c>
      <c r="N465" s="1">
        <v>15.3</v>
      </c>
      <c r="O465" s="1">
        <v>16.100000000000001</v>
      </c>
      <c r="P465" s="1">
        <v>16.5</v>
      </c>
      <c r="Q465" s="1">
        <v>17.2</v>
      </c>
      <c r="R465" s="1">
        <v>17.3</v>
      </c>
      <c r="S465" s="1">
        <v>17.2</v>
      </c>
      <c r="T465" s="1">
        <v>529.47</v>
      </c>
      <c r="U465" s="1">
        <f>IF(Table14[[#This Row],[I_0]] &lt; INDEX(Table28[Filtro de ruido],1), 1, Table14[[#This Row],[I_10]] / Table14[[#This Row],[I_0]])</f>
        <v>1.0522875816993464</v>
      </c>
      <c r="V465" s="1">
        <f>IF(Table14[[#This Row],[I_0]] &lt; INDEX(Table28[Filtro de ruido],1), 1, Table14[[#This Row],[I_20]] / Table14[[#This Row],[I_0]])</f>
        <v>1.0784313725490196</v>
      </c>
      <c r="W465" s="1">
        <f>IF(Table14[[#This Row],[I_0]] &lt; INDEX(Table28[Filtro de ruido],1), 1, Table14[[#This Row],[I_30]] / Table14[[#This Row],[I_0]])</f>
        <v>1.1241830065359477</v>
      </c>
      <c r="X465" s="1">
        <f>IF(Table14[[#This Row],[I_0]] &lt; INDEX(Table28[Filtro de ruido],1), 1, Table14[[#This Row],[I_40]] / Table14[[#This Row],[I_0]])</f>
        <v>1.130718954248366</v>
      </c>
      <c r="Y465" s="19">
        <f>IF(Table14[[#This Row],[I_0]] &lt; INDEX(Table28[Filtro de ruido],1), 1, Table14[[#This Row],[I_50]] / Table14[[#This Row],[I_0]])</f>
        <v>1.1241830065359477</v>
      </c>
      <c r="AA465" s="1"/>
    </row>
    <row r="466" spans="1:27" x14ac:dyDescent="0.3">
      <c r="A466" s="18">
        <v>530.46</v>
      </c>
      <c r="B466" s="1">
        <v>15.6</v>
      </c>
      <c r="C466" s="1">
        <v>530.46</v>
      </c>
      <c r="D466" s="1">
        <v>16.5</v>
      </c>
      <c r="E466" s="1">
        <v>530.46</v>
      </c>
      <c r="F466" s="1">
        <v>16.8</v>
      </c>
      <c r="G466" s="1">
        <v>530.46</v>
      </c>
      <c r="H466" s="1">
        <v>17.600000000000001</v>
      </c>
      <c r="I466" s="1">
        <v>530.46</v>
      </c>
      <c r="J466" s="1">
        <v>17.7</v>
      </c>
      <c r="K466" s="1">
        <v>530.46</v>
      </c>
      <c r="L466" s="1">
        <v>17.600000000000001</v>
      </c>
      <c r="M466" s="1">
        <v>530.46</v>
      </c>
      <c r="N466" s="1">
        <v>15.6</v>
      </c>
      <c r="O466" s="1">
        <v>16.5</v>
      </c>
      <c r="P466" s="1">
        <v>16.8</v>
      </c>
      <c r="Q466" s="1">
        <v>17.600000000000001</v>
      </c>
      <c r="R466" s="1">
        <v>17.7</v>
      </c>
      <c r="S466" s="1">
        <v>17.600000000000001</v>
      </c>
      <c r="T466" s="1">
        <v>530.46</v>
      </c>
      <c r="U466" s="1">
        <f>IF(Table14[[#This Row],[I_0]] &lt; INDEX(Table28[Filtro de ruido],1), 1, Table14[[#This Row],[I_10]] / Table14[[#This Row],[I_0]])</f>
        <v>1.0576923076923077</v>
      </c>
      <c r="V466" s="1">
        <f>IF(Table14[[#This Row],[I_0]] &lt; INDEX(Table28[Filtro de ruido],1), 1, Table14[[#This Row],[I_20]] / Table14[[#This Row],[I_0]])</f>
        <v>1.0769230769230771</v>
      </c>
      <c r="W466" s="1">
        <f>IF(Table14[[#This Row],[I_0]] &lt; INDEX(Table28[Filtro de ruido],1), 1, Table14[[#This Row],[I_30]] / Table14[[#This Row],[I_0]])</f>
        <v>1.1282051282051284</v>
      </c>
      <c r="X466" s="1">
        <f>IF(Table14[[#This Row],[I_0]] &lt; INDEX(Table28[Filtro de ruido],1), 1, Table14[[#This Row],[I_40]] / Table14[[#This Row],[I_0]])</f>
        <v>1.1346153846153846</v>
      </c>
      <c r="Y466" s="19">
        <f>IF(Table14[[#This Row],[I_0]] &lt; INDEX(Table28[Filtro de ruido],1), 1, Table14[[#This Row],[I_50]] / Table14[[#This Row],[I_0]])</f>
        <v>1.1282051282051284</v>
      </c>
      <c r="AA466" s="1"/>
    </row>
    <row r="467" spans="1:27" x14ac:dyDescent="0.3">
      <c r="A467" s="18">
        <v>531.45000000000005</v>
      </c>
      <c r="B467" s="1">
        <v>16</v>
      </c>
      <c r="C467" s="1">
        <v>531.45000000000005</v>
      </c>
      <c r="D467" s="1">
        <v>16.899999999999999</v>
      </c>
      <c r="E467" s="1">
        <v>531.45000000000005</v>
      </c>
      <c r="F467" s="1">
        <v>17.2</v>
      </c>
      <c r="G467" s="1">
        <v>531.45000000000005</v>
      </c>
      <c r="H467" s="1">
        <v>18</v>
      </c>
      <c r="I467" s="1">
        <v>531.45000000000005</v>
      </c>
      <c r="J467" s="1">
        <v>18.100000000000001</v>
      </c>
      <c r="K467" s="1">
        <v>531.45000000000005</v>
      </c>
      <c r="L467" s="1">
        <v>18</v>
      </c>
      <c r="M467" s="1">
        <v>531.45000000000005</v>
      </c>
      <c r="N467" s="1">
        <v>16</v>
      </c>
      <c r="O467" s="1">
        <v>16.899999999999999</v>
      </c>
      <c r="P467" s="1">
        <v>17.2</v>
      </c>
      <c r="Q467" s="1">
        <v>18</v>
      </c>
      <c r="R467" s="1">
        <v>18.100000000000001</v>
      </c>
      <c r="S467" s="1">
        <v>18</v>
      </c>
      <c r="T467" s="1">
        <v>531.45000000000005</v>
      </c>
      <c r="U467" s="1">
        <f>IF(Table14[[#This Row],[I_0]] &lt; INDEX(Table28[Filtro de ruido],1), 1, Table14[[#This Row],[I_10]] / Table14[[#This Row],[I_0]])</f>
        <v>1.0562499999999999</v>
      </c>
      <c r="V467" s="1">
        <f>IF(Table14[[#This Row],[I_0]] &lt; INDEX(Table28[Filtro de ruido],1), 1, Table14[[#This Row],[I_20]] / Table14[[#This Row],[I_0]])</f>
        <v>1.075</v>
      </c>
      <c r="W467" s="1">
        <f>IF(Table14[[#This Row],[I_0]] &lt; INDEX(Table28[Filtro de ruido],1), 1, Table14[[#This Row],[I_30]] / Table14[[#This Row],[I_0]])</f>
        <v>1.125</v>
      </c>
      <c r="X467" s="1">
        <f>IF(Table14[[#This Row],[I_0]] &lt; INDEX(Table28[Filtro de ruido],1), 1, Table14[[#This Row],[I_40]] / Table14[[#This Row],[I_0]])</f>
        <v>1.1312500000000001</v>
      </c>
      <c r="Y467" s="19">
        <f>IF(Table14[[#This Row],[I_0]] &lt; INDEX(Table28[Filtro de ruido],1), 1, Table14[[#This Row],[I_50]] / Table14[[#This Row],[I_0]])</f>
        <v>1.125</v>
      </c>
      <c r="AA467" s="1"/>
    </row>
    <row r="468" spans="1:27" x14ac:dyDescent="0.3">
      <c r="A468" s="18">
        <v>532.44000000000005</v>
      </c>
      <c r="B468" s="1">
        <v>16.3</v>
      </c>
      <c r="C468" s="1">
        <v>532.44000000000005</v>
      </c>
      <c r="D468" s="1">
        <v>17.2</v>
      </c>
      <c r="E468" s="1">
        <v>532.44000000000005</v>
      </c>
      <c r="F468" s="1">
        <v>17.5</v>
      </c>
      <c r="G468" s="1">
        <v>532.44000000000005</v>
      </c>
      <c r="H468" s="1">
        <v>18.399999999999999</v>
      </c>
      <c r="I468" s="1">
        <v>532.44000000000005</v>
      </c>
      <c r="J468" s="1">
        <v>18.399999999999999</v>
      </c>
      <c r="K468" s="1">
        <v>532.44000000000005</v>
      </c>
      <c r="L468" s="1">
        <v>18.399999999999999</v>
      </c>
      <c r="M468" s="1">
        <v>532.44000000000005</v>
      </c>
      <c r="N468" s="1">
        <v>16.3</v>
      </c>
      <c r="O468" s="1">
        <v>17.2</v>
      </c>
      <c r="P468" s="1">
        <v>17.5</v>
      </c>
      <c r="Q468" s="1">
        <v>18.399999999999999</v>
      </c>
      <c r="R468" s="1">
        <v>18.399999999999999</v>
      </c>
      <c r="S468" s="1">
        <v>18.399999999999999</v>
      </c>
      <c r="T468" s="1">
        <v>532.44000000000005</v>
      </c>
      <c r="U468" s="1">
        <f>IF(Table14[[#This Row],[I_0]] &lt; INDEX(Table28[Filtro de ruido],1), 1, Table14[[#This Row],[I_10]] / Table14[[#This Row],[I_0]])</f>
        <v>1.0552147239263803</v>
      </c>
      <c r="V468" s="1">
        <f>IF(Table14[[#This Row],[I_0]] &lt; INDEX(Table28[Filtro de ruido],1), 1, Table14[[#This Row],[I_20]] / Table14[[#This Row],[I_0]])</f>
        <v>1.0736196319018405</v>
      </c>
      <c r="W468" s="1">
        <f>IF(Table14[[#This Row],[I_0]] &lt; INDEX(Table28[Filtro de ruido],1), 1, Table14[[#This Row],[I_30]] / Table14[[#This Row],[I_0]])</f>
        <v>1.1288343558282208</v>
      </c>
      <c r="X468" s="1">
        <f>IF(Table14[[#This Row],[I_0]] &lt; INDEX(Table28[Filtro de ruido],1), 1, Table14[[#This Row],[I_40]] / Table14[[#This Row],[I_0]])</f>
        <v>1.1288343558282208</v>
      </c>
      <c r="Y468" s="19">
        <f>IF(Table14[[#This Row],[I_0]] &lt; INDEX(Table28[Filtro de ruido],1), 1, Table14[[#This Row],[I_50]] / Table14[[#This Row],[I_0]])</f>
        <v>1.1288343558282208</v>
      </c>
      <c r="AA468" s="1"/>
    </row>
    <row r="469" spans="1:27" x14ac:dyDescent="0.3">
      <c r="A469" s="18">
        <v>533.42999999999995</v>
      </c>
      <c r="B469" s="1">
        <v>16.600000000000001</v>
      </c>
      <c r="C469" s="1">
        <v>533.42999999999995</v>
      </c>
      <c r="D469" s="1">
        <v>17.5</v>
      </c>
      <c r="E469" s="1">
        <v>533.42999999999995</v>
      </c>
      <c r="F469" s="1">
        <v>17.899999999999999</v>
      </c>
      <c r="G469" s="1">
        <v>533.42999999999995</v>
      </c>
      <c r="H469" s="1">
        <v>18.7</v>
      </c>
      <c r="I469" s="1">
        <v>533.42999999999995</v>
      </c>
      <c r="J469" s="1">
        <v>18.8</v>
      </c>
      <c r="K469" s="1">
        <v>533.42999999999995</v>
      </c>
      <c r="L469" s="1">
        <v>18.7</v>
      </c>
      <c r="M469" s="1">
        <v>533.42999999999995</v>
      </c>
      <c r="N469" s="1">
        <v>16.600000000000001</v>
      </c>
      <c r="O469" s="1">
        <v>17.5</v>
      </c>
      <c r="P469" s="1">
        <v>17.899999999999999</v>
      </c>
      <c r="Q469" s="1">
        <v>18.7</v>
      </c>
      <c r="R469" s="1">
        <v>18.8</v>
      </c>
      <c r="S469" s="1">
        <v>18.7</v>
      </c>
      <c r="T469" s="1">
        <v>533.42999999999995</v>
      </c>
      <c r="U469" s="1">
        <f>IF(Table14[[#This Row],[I_0]] &lt; INDEX(Table28[Filtro de ruido],1), 1, Table14[[#This Row],[I_10]] / Table14[[#This Row],[I_0]])</f>
        <v>1.0542168674698795</v>
      </c>
      <c r="V469" s="1">
        <f>IF(Table14[[#This Row],[I_0]] &lt; INDEX(Table28[Filtro de ruido],1), 1, Table14[[#This Row],[I_20]] / Table14[[#This Row],[I_0]])</f>
        <v>1.0783132530120481</v>
      </c>
      <c r="W469" s="1">
        <f>IF(Table14[[#This Row],[I_0]] &lt; INDEX(Table28[Filtro de ruido],1), 1, Table14[[#This Row],[I_30]] / Table14[[#This Row],[I_0]])</f>
        <v>1.1265060240963853</v>
      </c>
      <c r="X469" s="1">
        <f>IF(Table14[[#This Row],[I_0]] &lt; INDEX(Table28[Filtro de ruido],1), 1, Table14[[#This Row],[I_40]] / Table14[[#This Row],[I_0]])</f>
        <v>1.1325301204819276</v>
      </c>
      <c r="Y469" s="19">
        <f>IF(Table14[[#This Row],[I_0]] &lt; INDEX(Table28[Filtro de ruido],1), 1, Table14[[#This Row],[I_50]] / Table14[[#This Row],[I_0]])</f>
        <v>1.1265060240963853</v>
      </c>
      <c r="AA469" s="1"/>
    </row>
    <row r="470" spans="1:27" x14ac:dyDescent="0.3">
      <c r="A470" s="18">
        <v>534.42999999999995</v>
      </c>
      <c r="B470" s="1">
        <v>16.899999999999999</v>
      </c>
      <c r="C470" s="1">
        <v>534.42999999999995</v>
      </c>
      <c r="D470" s="1">
        <v>17.8</v>
      </c>
      <c r="E470" s="1">
        <v>534.42999999999995</v>
      </c>
      <c r="F470" s="1">
        <v>18.100000000000001</v>
      </c>
      <c r="G470" s="1">
        <v>534.42999999999995</v>
      </c>
      <c r="H470" s="1">
        <v>18.899999999999999</v>
      </c>
      <c r="I470" s="1">
        <v>534.42999999999995</v>
      </c>
      <c r="J470" s="1">
        <v>19</v>
      </c>
      <c r="K470" s="1">
        <v>534.42999999999995</v>
      </c>
      <c r="L470" s="1">
        <v>19</v>
      </c>
      <c r="M470" s="1">
        <v>534.42999999999995</v>
      </c>
      <c r="N470" s="1">
        <v>16.899999999999999</v>
      </c>
      <c r="O470" s="1">
        <v>17.8</v>
      </c>
      <c r="P470" s="1">
        <v>18.100000000000001</v>
      </c>
      <c r="Q470" s="1">
        <v>18.899999999999999</v>
      </c>
      <c r="R470" s="1">
        <v>19</v>
      </c>
      <c r="S470" s="1">
        <v>19</v>
      </c>
      <c r="T470" s="1">
        <v>534.42999999999995</v>
      </c>
      <c r="U470" s="1">
        <f>IF(Table14[[#This Row],[I_0]] &lt; INDEX(Table28[Filtro de ruido],1), 1, Table14[[#This Row],[I_10]] / Table14[[#This Row],[I_0]])</f>
        <v>1.0532544378698225</v>
      </c>
      <c r="V470" s="1">
        <f>IF(Table14[[#This Row],[I_0]] &lt; INDEX(Table28[Filtro de ruido],1), 1, Table14[[#This Row],[I_20]] / Table14[[#This Row],[I_0]])</f>
        <v>1.0710059171597635</v>
      </c>
      <c r="W470" s="1">
        <f>IF(Table14[[#This Row],[I_0]] &lt; INDEX(Table28[Filtro de ruido],1), 1, Table14[[#This Row],[I_30]] / Table14[[#This Row],[I_0]])</f>
        <v>1.1183431952662721</v>
      </c>
      <c r="X470" s="1">
        <f>IF(Table14[[#This Row],[I_0]] &lt; INDEX(Table28[Filtro de ruido],1), 1, Table14[[#This Row],[I_40]] / Table14[[#This Row],[I_0]])</f>
        <v>1.124260355029586</v>
      </c>
      <c r="Y470" s="19">
        <f>IF(Table14[[#This Row],[I_0]] &lt; INDEX(Table28[Filtro de ruido],1), 1, Table14[[#This Row],[I_50]] / Table14[[#This Row],[I_0]])</f>
        <v>1.124260355029586</v>
      </c>
      <c r="AA470" s="1"/>
    </row>
    <row r="471" spans="1:27" x14ac:dyDescent="0.3">
      <c r="A471" s="18">
        <v>535.41999999999996</v>
      </c>
      <c r="B471" s="1">
        <v>17.100000000000001</v>
      </c>
      <c r="C471" s="1">
        <v>535.41999999999996</v>
      </c>
      <c r="D471" s="1">
        <v>18.100000000000001</v>
      </c>
      <c r="E471" s="1">
        <v>535.41999999999996</v>
      </c>
      <c r="F471" s="1">
        <v>18.399999999999999</v>
      </c>
      <c r="G471" s="1">
        <v>535.41999999999996</v>
      </c>
      <c r="H471" s="1">
        <v>19.2</v>
      </c>
      <c r="I471" s="1">
        <v>535.41999999999996</v>
      </c>
      <c r="J471" s="1">
        <v>19.3</v>
      </c>
      <c r="K471" s="1">
        <v>535.41999999999996</v>
      </c>
      <c r="L471" s="1">
        <v>19.3</v>
      </c>
      <c r="M471" s="1">
        <v>535.41999999999996</v>
      </c>
      <c r="N471" s="1">
        <v>17.100000000000001</v>
      </c>
      <c r="O471" s="1">
        <v>18.100000000000001</v>
      </c>
      <c r="P471" s="1">
        <v>18.399999999999999</v>
      </c>
      <c r="Q471" s="1">
        <v>19.2</v>
      </c>
      <c r="R471" s="1">
        <v>19.3</v>
      </c>
      <c r="S471" s="1">
        <v>19.3</v>
      </c>
      <c r="T471" s="1">
        <v>535.41999999999996</v>
      </c>
      <c r="U471" s="1">
        <f>IF(Table14[[#This Row],[I_0]] &lt; INDEX(Table28[Filtro de ruido],1), 1, Table14[[#This Row],[I_10]] / Table14[[#This Row],[I_0]])</f>
        <v>1.0584795321637426</v>
      </c>
      <c r="V471" s="1">
        <f>IF(Table14[[#This Row],[I_0]] &lt; INDEX(Table28[Filtro de ruido],1), 1, Table14[[#This Row],[I_20]] / Table14[[#This Row],[I_0]])</f>
        <v>1.0760233918128652</v>
      </c>
      <c r="W471" s="1">
        <f>IF(Table14[[#This Row],[I_0]] &lt; INDEX(Table28[Filtro de ruido],1), 1, Table14[[#This Row],[I_30]] / Table14[[#This Row],[I_0]])</f>
        <v>1.1228070175438596</v>
      </c>
      <c r="X471" s="1">
        <f>IF(Table14[[#This Row],[I_0]] &lt; INDEX(Table28[Filtro de ruido],1), 1, Table14[[#This Row],[I_40]] / Table14[[#This Row],[I_0]])</f>
        <v>1.1286549707602338</v>
      </c>
      <c r="Y471" s="19">
        <f>IF(Table14[[#This Row],[I_0]] &lt; INDEX(Table28[Filtro de ruido],1), 1, Table14[[#This Row],[I_50]] / Table14[[#This Row],[I_0]])</f>
        <v>1.1286549707602338</v>
      </c>
      <c r="AA471" s="1"/>
    </row>
    <row r="472" spans="1:27" x14ac:dyDescent="0.3">
      <c r="A472" s="18">
        <v>536.41</v>
      </c>
      <c r="B472" s="1">
        <v>17.3</v>
      </c>
      <c r="C472" s="1">
        <v>536.41</v>
      </c>
      <c r="D472" s="1">
        <v>18.3</v>
      </c>
      <c r="E472" s="1">
        <v>536.41</v>
      </c>
      <c r="F472" s="1">
        <v>18.600000000000001</v>
      </c>
      <c r="G472" s="1">
        <v>536.41</v>
      </c>
      <c r="H472" s="1">
        <v>19.399999999999999</v>
      </c>
      <c r="I472" s="1">
        <v>536.41</v>
      </c>
      <c r="J472" s="1">
        <v>19.5</v>
      </c>
      <c r="K472" s="1">
        <v>536.41</v>
      </c>
      <c r="L472" s="1">
        <v>19.399999999999999</v>
      </c>
      <c r="M472" s="1">
        <v>536.41</v>
      </c>
      <c r="N472" s="1">
        <v>17.3</v>
      </c>
      <c r="O472" s="1">
        <v>18.3</v>
      </c>
      <c r="P472" s="1">
        <v>18.600000000000001</v>
      </c>
      <c r="Q472" s="1">
        <v>19.399999999999999</v>
      </c>
      <c r="R472" s="1">
        <v>19.5</v>
      </c>
      <c r="S472" s="1">
        <v>19.399999999999999</v>
      </c>
      <c r="T472" s="1">
        <v>536.41</v>
      </c>
      <c r="U472" s="1">
        <f>IF(Table14[[#This Row],[I_0]] &lt; INDEX(Table28[Filtro de ruido],1), 1, Table14[[#This Row],[I_10]] / Table14[[#This Row],[I_0]])</f>
        <v>1.0578034682080926</v>
      </c>
      <c r="V472" s="1">
        <f>IF(Table14[[#This Row],[I_0]] &lt; INDEX(Table28[Filtro de ruido],1), 1, Table14[[#This Row],[I_20]] / Table14[[#This Row],[I_0]])</f>
        <v>1.0751445086705202</v>
      </c>
      <c r="W472" s="1">
        <f>IF(Table14[[#This Row],[I_0]] &lt; INDEX(Table28[Filtro de ruido],1), 1, Table14[[#This Row],[I_30]] / Table14[[#This Row],[I_0]])</f>
        <v>1.121387283236994</v>
      </c>
      <c r="X472" s="1">
        <f>IF(Table14[[#This Row],[I_0]] &lt; INDEX(Table28[Filtro de ruido],1), 1, Table14[[#This Row],[I_40]] / Table14[[#This Row],[I_0]])</f>
        <v>1.1271676300578035</v>
      </c>
      <c r="Y472" s="19">
        <f>IF(Table14[[#This Row],[I_0]] &lt; INDEX(Table28[Filtro de ruido],1), 1, Table14[[#This Row],[I_50]] / Table14[[#This Row],[I_0]])</f>
        <v>1.121387283236994</v>
      </c>
      <c r="AA472" s="1"/>
    </row>
    <row r="473" spans="1:27" x14ac:dyDescent="0.3">
      <c r="A473" s="18">
        <v>537.4</v>
      </c>
      <c r="B473" s="1">
        <v>17.399999999999999</v>
      </c>
      <c r="C473" s="1">
        <v>537.4</v>
      </c>
      <c r="D473" s="1">
        <v>18.399999999999999</v>
      </c>
      <c r="E473" s="1">
        <v>537.4</v>
      </c>
      <c r="F473" s="1">
        <v>18.7</v>
      </c>
      <c r="G473" s="1">
        <v>537.4</v>
      </c>
      <c r="H473" s="1">
        <v>19.5</v>
      </c>
      <c r="I473" s="1">
        <v>537.4</v>
      </c>
      <c r="J473" s="1">
        <v>19.7</v>
      </c>
      <c r="K473" s="1">
        <v>537.4</v>
      </c>
      <c r="L473" s="1">
        <v>19.600000000000001</v>
      </c>
      <c r="M473" s="1">
        <v>537.4</v>
      </c>
      <c r="N473" s="1">
        <v>17.399999999999999</v>
      </c>
      <c r="O473" s="1">
        <v>18.399999999999999</v>
      </c>
      <c r="P473" s="1">
        <v>18.7</v>
      </c>
      <c r="Q473" s="1">
        <v>19.5</v>
      </c>
      <c r="R473" s="1">
        <v>19.7</v>
      </c>
      <c r="S473" s="1">
        <v>19.600000000000001</v>
      </c>
      <c r="T473" s="1">
        <v>537.4</v>
      </c>
      <c r="U473" s="1">
        <f>IF(Table14[[#This Row],[I_0]] &lt; INDEX(Table28[Filtro de ruido],1), 1, Table14[[#This Row],[I_10]] / Table14[[#This Row],[I_0]])</f>
        <v>1.0574712643678161</v>
      </c>
      <c r="V473" s="1">
        <f>IF(Table14[[#This Row],[I_0]] &lt; INDEX(Table28[Filtro de ruido],1), 1, Table14[[#This Row],[I_20]] / Table14[[#This Row],[I_0]])</f>
        <v>1.0747126436781609</v>
      </c>
      <c r="W473" s="1">
        <f>IF(Table14[[#This Row],[I_0]] &lt; INDEX(Table28[Filtro de ruido],1), 1, Table14[[#This Row],[I_30]] / Table14[[#This Row],[I_0]])</f>
        <v>1.1206896551724139</v>
      </c>
      <c r="X473" s="1">
        <f>IF(Table14[[#This Row],[I_0]] &lt; INDEX(Table28[Filtro de ruido],1), 1, Table14[[#This Row],[I_40]] / Table14[[#This Row],[I_0]])</f>
        <v>1.132183908045977</v>
      </c>
      <c r="Y473" s="19">
        <f>IF(Table14[[#This Row],[I_0]] &lt; INDEX(Table28[Filtro de ruido],1), 1, Table14[[#This Row],[I_50]] / Table14[[#This Row],[I_0]])</f>
        <v>1.1264367816091956</v>
      </c>
      <c r="AA473" s="1"/>
    </row>
    <row r="474" spans="1:27" x14ac:dyDescent="0.3">
      <c r="A474" s="18">
        <v>538.39</v>
      </c>
      <c r="B474" s="1">
        <v>17.5</v>
      </c>
      <c r="C474" s="1">
        <v>538.39</v>
      </c>
      <c r="D474" s="1">
        <v>18.399999999999999</v>
      </c>
      <c r="E474" s="1">
        <v>538.39</v>
      </c>
      <c r="F474" s="1">
        <v>18.8</v>
      </c>
      <c r="G474" s="1">
        <v>538.39</v>
      </c>
      <c r="H474" s="1">
        <v>19.600000000000001</v>
      </c>
      <c r="I474" s="1">
        <v>538.39</v>
      </c>
      <c r="J474" s="1">
        <v>19.8</v>
      </c>
      <c r="K474" s="1">
        <v>538.39</v>
      </c>
      <c r="L474" s="1">
        <v>19.7</v>
      </c>
      <c r="M474" s="1">
        <v>538.39</v>
      </c>
      <c r="N474" s="1">
        <v>17.5</v>
      </c>
      <c r="O474" s="1">
        <v>18.399999999999999</v>
      </c>
      <c r="P474" s="1">
        <v>18.8</v>
      </c>
      <c r="Q474" s="1">
        <v>19.600000000000001</v>
      </c>
      <c r="R474" s="1">
        <v>19.8</v>
      </c>
      <c r="S474" s="1">
        <v>19.7</v>
      </c>
      <c r="T474" s="1">
        <v>538.39</v>
      </c>
      <c r="U474" s="1">
        <f>IF(Table14[[#This Row],[I_0]] &lt; INDEX(Table28[Filtro de ruido],1), 1, Table14[[#This Row],[I_10]] / Table14[[#This Row],[I_0]])</f>
        <v>1.0514285714285714</v>
      </c>
      <c r="V474" s="1">
        <f>IF(Table14[[#This Row],[I_0]] &lt; INDEX(Table28[Filtro de ruido],1), 1, Table14[[#This Row],[I_20]] / Table14[[#This Row],[I_0]])</f>
        <v>1.0742857142857143</v>
      </c>
      <c r="W474" s="1">
        <f>IF(Table14[[#This Row],[I_0]] &lt; INDEX(Table28[Filtro de ruido],1), 1, Table14[[#This Row],[I_30]] / Table14[[#This Row],[I_0]])</f>
        <v>1.1200000000000001</v>
      </c>
      <c r="X474" s="1">
        <f>IF(Table14[[#This Row],[I_0]] &lt; INDEX(Table28[Filtro de ruido],1), 1, Table14[[#This Row],[I_40]] / Table14[[#This Row],[I_0]])</f>
        <v>1.1314285714285715</v>
      </c>
      <c r="Y474" s="19">
        <f>IF(Table14[[#This Row],[I_0]] &lt; INDEX(Table28[Filtro de ruido],1), 1, Table14[[#This Row],[I_50]] / Table14[[#This Row],[I_0]])</f>
        <v>1.1257142857142857</v>
      </c>
      <c r="AA474" s="1"/>
    </row>
    <row r="475" spans="1:27" x14ac:dyDescent="0.3">
      <c r="A475" s="18">
        <v>539.39</v>
      </c>
      <c r="B475" s="1">
        <v>17.5</v>
      </c>
      <c r="C475" s="1">
        <v>539.39</v>
      </c>
      <c r="D475" s="1">
        <v>18.5</v>
      </c>
      <c r="E475" s="1">
        <v>539.39</v>
      </c>
      <c r="F475" s="1">
        <v>18.8</v>
      </c>
      <c r="G475" s="1">
        <v>539.39</v>
      </c>
      <c r="H475" s="1">
        <v>19.7</v>
      </c>
      <c r="I475" s="1">
        <v>539.39</v>
      </c>
      <c r="J475" s="1">
        <v>19.8</v>
      </c>
      <c r="K475" s="1">
        <v>539.39</v>
      </c>
      <c r="L475" s="1">
        <v>19.7</v>
      </c>
      <c r="M475" s="1">
        <v>539.39</v>
      </c>
      <c r="N475" s="1">
        <v>17.5</v>
      </c>
      <c r="O475" s="1">
        <v>18.5</v>
      </c>
      <c r="P475" s="1">
        <v>18.8</v>
      </c>
      <c r="Q475" s="1">
        <v>19.7</v>
      </c>
      <c r="R475" s="1">
        <v>19.8</v>
      </c>
      <c r="S475" s="1">
        <v>19.7</v>
      </c>
      <c r="T475" s="1">
        <v>539.39</v>
      </c>
      <c r="U475" s="1">
        <f>IF(Table14[[#This Row],[I_0]] &lt; INDEX(Table28[Filtro de ruido],1), 1, Table14[[#This Row],[I_10]] / Table14[[#This Row],[I_0]])</f>
        <v>1.0571428571428572</v>
      </c>
      <c r="V475" s="1">
        <f>IF(Table14[[#This Row],[I_0]] &lt; INDEX(Table28[Filtro de ruido],1), 1, Table14[[#This Row],[I_20]] / Table14[[#This Row],[I_0]])</f>
        <v>1.0742857142857143</v>
      </c>
      <c r="W475" s="1">
        <f>IF(Table14[[#This Row],[I_0]] &lt; INDEX(Table28[Filtro de ruido],1), 1, Table14[[#This Row],[I_30]] / Table14[[#This Row],[I_0]])</f>
        <v>1.1257142857142857</v>
      </c>
      <c r="X475" s="1">
        <f>IF(Table14[[#This Row],[I_0]] &lt; INDEX(Table28[Filtro de ruido],1), 1, Table14[[#This Row],[I_40]] / Table14[[#This Row],[I_0]])</f>
        <v>1.1314285714285715</v>
      </c>
      <c r="Y475" s="19">
        <f>IF(Table14[[#This Row],[I_0]] &lt; INDEX(Table28[Filtro de ruido],1), 1, Table14[[#This Row],[I_50]] / Table14[[#This Row],[I_0]])</f>
        <v>1.1257142857142857</v>
      </c>
      <c r="AA475" s="1"/>
    </row>
    <row r="476" spans="1:27" x14ac:dyDescent="0.3">
      <c r="A476" s="18">
        <v>540.38</v>
      </c>
      <c r="B476" s="1">
        <v>17.5</v>
      </c>
      <c r="C476" s="1">
        <v>540.38</v>
      </c>
      <c r="D476" s="1">
        <v>18.399999999999999</v>
      </c>
      <c r="E476" s="1">
        <v>540.38</v>
      </c>
      <c r="F476" s="1">
        <v>18.8</v>
      </c>
      <c r="G476" s="1">
        <v>540.38</v>
      </c>
      <c r="H476" s="1">
        <v>19.600000000000001</v>
      </c>
      <c r="I476" s="1">
        <v>540.38</v>
      </c>
      <c r="J476" s="1">
        <v>19.8</v>
      </c>
      <c r="K476" s="1">
        <v>540.38</v>
      </c>
      <c r="L476" s="1">
        <v>19.7</v>
      </c>
      <c r="M476" s="1">
        <v>540.38</v>
      </c>
      <c r="N476" s="1">
        <v>17.5</v>
      </c>
      <c r="O476" s="1">
        <v>18.399999999999999</v>
      </c>
      <c r="P476" s="1">
        <v>18.8</v>
      </c>
      <c r="Q476" s="1">
        <v>19.600000000000001</v>
      </c>
      <c r="R476" s="1">
        <v>19.8</v>
      </c>
      <c r="S476" s="1">
        <v>19.7</v>
      </c>
      <c r="T476" s="1">
        <v>540.38</v>
      </c>
      <c r="U476" s="1">
        <f>IF(Table14[[#This Row],[I_0]] &lt; INDEX(Table28[Filtro de ruido],1), 1, Table14[[#This Row],[I_10]] / Table14[[#This Row],[I_0]])</f>
        <v>1.0514285714285714</v>
      </c>
      <c r="V476" s="1">
        <f>IF(Table14[[#This Row],[I_0]] &lt; INDEX(Table28[Filtro de ruido],1), 1, Table14[[#This Row],[I_20]] / Table14[[#This Row],[I_0]])</f>
        <v>1.0742857142857143</v>
      </c>
      <c r="W476" s="1">
        <f>IF(Table14[[#This Row],[I_0]] &lt; INDEX(Table28[Filtro de ruido],1), 1, Table14[[#This Row],[I_30]] / Table14[[#This Row],[I_0]])</f>
        <v>1.1200000000000001</v>
      </c>
      <c r="X476" s="1">
        <f>IF(Table14[[#This Row],[I_0]] &lt; INDEX(Table28[Filtro de ruido],1), 1, Table14[[#This Row],[I_40]] / Table14[[#This Row],[I_0]])</f>
        <v>1.1314285714285715</v>
      </c>
      <c r="Y476" s="19">
        <f>IF(Table14[[#This Row],[I_0]] &lt; INDEX(Table28[Filtro de ruido],1), 1, Table14[[#This Row],[I_50]] / Table14[[#This Row],[I_0]])</f>
        <v>1.1257142857142857</v>
      </c>
      <c r="AA476" s="1"/>
    </row>
    <row r="477" spans="1:27" x14ac:dyDescent="0.3">
      <c r="A477" s="18">
        <v>541.37</v>
      </c>
      <c r="B477" s="1">
        <v>17.5</v>
      </c>
      <c r="C477" s="1">
        <v>541.37</v>
      </c>
      <c r="D477" s="1">
        <v>18.399999999999999</v>
      </c>
      <c r="E477" s="1">
        <v>541.37</v>
      </c>
      <c r="F477" s="1">
        <v>18.8</v>
      </c>
      <c r="G477" s="1">
        <v>541.37</v>
      </c>
      <c r="H477" s="1">
        <v>19.600000000000001</v>
      </c>
      <c r="I477" s="1">
        <v>541.37</v>
      </c>
      <c r="J477" s="1">
        <v>19.7</v>
      </c>
      <c r="K477" s="1">
        <v>541.37</v>
      </c>
      <c r="L477" s="1">
        <v>19.7</v>
      </c>
      <c r="M477" s="1">
        <v>541.37</v>
      </c>
      <c r="N477" s="1">
        <v>17.5</v>
      </c>
      <c r="O477" s="1">
        <v>18.399999999999999</v>
      </c>
      <c r="P477" s="1">
        <v>18.8</v>
      </c>
      <c r="Q477" s="1">
        <v>19.600000000000001</v>
      </c>
      <c r="R477" s="1">
        <v>19.7</v>
      </c>
      <c r="S477" s="1">
        <v>19.7</v>
      </c>
      <c r="T477" s="1">
        <v>541.37</v>
      </c>
      <c r="U477" s="1">
        <f>IF(Table14[[#This Row],[I_0]] &lt; INDEX(Table28[Filtro de ruido],1), 1, Table14[[#This Row],[I_10]] / Table14[[#This Row],[I_0]])</f>
        <v>1.0514285714285714</v>
      </c>
      <c r="V477" s="1">
        <f>IF(Table14[[#This Row],[I_0]] &lt; INDEX(Table28[Filtro de ruido],1), 1, Table14[[#This Row],[I_20]] / Table14[[#This Row],[I_0]])</f>
        <v>1.0742857142857143</v>
      </c>
      <c r="W477" s="1">
        <f>IF(Table14[[#This Row],[I_0]] &lt; INDEX(Table28[Filtro de ruido],1), 1, Table14[[#This Row],[I_30]] / Table14[[#This Row],[I_0]])</f>
        <v>1.1200000000000001</v>
      </c>
      <c r="X477" s="1">
        <f>IF(Table14[[#This Row],[I_0]] &lt; INDEX(Table28[Filtro de ruido],1), 1, Table14[[#This Row],[I_40]] / Table14[[#This Row],[I_0]])</f>
        <v>1.1257142857142857</v>
      </c>
      <c r="Y477" s="19">
        <f>IF(Table14[[#This Row],[I_0]] &lt; INDEX(Table28[Filtro de ruido],1), 1, Table14[[#This Row],[I_50]] / Table14[[#This Row],[I_0]])</f>
        <v>1.1257142857142857</v>
      </c>
      <c r="AA477" s="1"/>
    </row>
    <row r="478" spans="1:27" x14ac:dyDescent="0.3">
      <c r="A478" s="18">
        <v>542.36</v>
      </c>
      <c r="B478" s="1">
        <v>17.399999999999999</v>
      </c>
      <c r="C478" s="1">
        <v>542.36</v>
      </c>
      <c r="D478" s="1">
        <v>18.3</v>
      </c>
      <c r="E478" s="1">
        <v>542.36</v>
      </c>
      <c r="F478" s="1">
        <v>18.8</v>
      </c>
      <c r="G478" s="1">
        <v>542.36</v>
      </c>
      <c r="H478" s="1">
        <v>19.5</v>
      </c>
      <c r="I478" s="1">
        <v>542.36</v>
      </c>
      <c r="J478" s="1">
        <v>19.7</v>
      </c>
      <c r="K478" s="1">
        <v>542.36</v>
      </c>
      <c r="L478" s="1">
        <v>19.7</v>
      </c>
      <c r="M478" s="1">
        <v>542.36</v>
      </c>
      <c r="N478" s="1">
        <v>17.399999999999999</v>
      </c>
      <c r="O478" s="1">
        <v>18.3</v>
      </c>
      <c r="P478" s="1">
        <v>18.8</v>
      </c>
      <c r="Q478" s="1">
        <v>19.5</v>
      </c>
      <c r="R478" s="1">
        <v>19.7</v>
      </c>
      <c r="S478" s="1">
        <v>19.7</v>
      </c>
      <c r="T478" s="1">
        <v>542.36</v>
      </c>
      <c r="U478" s="1">
        <f>IF(Table14[[#This Row],[I_0]] &lt; INDEX(Table28[Filtro de ruido],1), 1, Table14[[#This Row],[I_10]] / Table14[[#This Row],[I_0]])</f>
        <v>1.0517241379310347</v>
      </c>
      <c r="V478" s="1">
        <f>IF(Table14[[#This Row],[I_0]] &lt; INDEX(Table28[Filtro de ruido],1), 1, Table14[[#This Row],[I_20]] / Table14[[#This Row],[I_0]])</f>
        <v>1.0804597701149428</v>
      </c>
      <c r="W478" s="1">
        <f>IF(Table14[[#This Row],[I_0]] &lt; INDEX(Table28[Filtro de ruido],1), 1, Table14[[#This Row],[I_30]] / Table14[[#This Row],[I_0]])</f>
        <v>1.1206896551724139</v>
      </c>
      <c r="X478" s="1">
        <f>IF(Table14[[#This Row],[I_0]] &lt; INDEX(Table28[Filtro de ruido],1), 1, Table14[[#This Row],[I_40]] / Table14[[#This Row],[I_0]])</f>
        <v>1.132183908045977</v>
      </c>
      <c r="Y478" s="19">
        <f>IF(Table14[[#This Row],[I_0]] &lt; INDEX(Table28[Filtro de ruido],1), 1, Table14[[#This Row],[I_50]] / Table14[[#This Row],[I_0]])</f>
        <v>1.132183908045977</v>
      </c>
      <c r="AA478" s="1"/>
    </row>
    <row r="479" spans="1:27" x14ac:dyDescent="0.3">
      <c r="A479" s="18">
        <v>543.35</v>
      </c>
      <c r="B479" s="1">
        <v>17.399999999999999</v>
      </c>
      <c r="C479" s="1">
        <v>543.35</v>
      </c>
      <c r="D479" s="1">
        <v>18.3</v>
      </c>
      <c r="E479" s="1">
        <v>543.35</v>
      </c>
      <c r="F479" s="1">
        <v>18.8</v>
      </c>
      <c r="G479" s="1">
        <v>543.35</v>
      </c>
      <c r="H479" s="1">
        <v>19.5</v>
      </c>
      <c r="I479" s="1">
        <v>543.35</v>
      </c>
      <c r="J479" s="1">
        <v>19.600000000000001</v>
      </c>
      <c r="K479" s="1">
        <v>543.35</v>
      </c>
      <c r="L479" s="1">
        <v>19.600000000000001</v>
      </c>
      <c r="M479" s="1">
        <v>543.35</v>
      </c>
      <c r="N479" s="1">
        <v>17.399999999999999</v>
      </c>
      <c r="O479" s="1">
        <v>18.3</v>
      </c>
      <c r="P479" s="1">
        <v>18.8</v>
      </c>
      <c r="Q479" s="1">
        <v>19.5</v>
      </c>
      <c r="R479" s="1">
        <v>19.600000000000001</v>
      </c>
      <c r="S479" s="1">
        <v>19.600000000000001</v>
      </c>
      <c r="T479" s="1">
        <v>543.35</v>
      </c>
      <c r="U479" s="1">
        <f>IF(Table14[[#This Row],[I_0]] &lt; INDEX(Table28[Filtro de ruido],1), 1, Table14[[#This Row],[I_10]] / Table14[[#This Row],[I_0]])</f>
        <v>1.0517241379310347</v>
      </c>
      <c r="V479" s="1">
        <f>IF(Table14[[#This Row],[I_0]] &lt; INDEX(Table28[Filtro de ruido],1), 1, Table14[[#This Row],[I_20]] / Table14[[#This Row],[I_0]])</f>
        <v>1.0804597701149428</v>
      </c>
      <c r="W479" s="1">
        <f>IF(Table14[[#This Row],[I_0]] &lt; INDEX(Table28[Filtro de ruido],1), 1, Table14[[#This Row],[I_30]] / Table14[[#This Row],[I_0]])</f>
        <v>1.1206896551724139</v>
      </c>
      <c r="X479" s="1">
        <f>IF(Table14[[#This Row],[I_0]] &lt; INDEX(Table28[Filtro de ruido],1), 1, Table14[[#This Row],[I_40]] / Table14[[#This Row],[I_0]])</f>
        <v>1.1264367816091956</v>
      </c>
      <c r="Y479" s="19">
        <f>IF(Table14[[#This Row],[I_0]] &lt; INDEX(Table28[Filtro de ruido],1), 1, Table14[[#This Row],[I_50]] / Table14[[#This Row],[I_0]])</f>
        <v>1.1264367816091956</v>
      </c>
      <c r="AA479" s="1"/>
    </row>
    <row r="480" spans="1:27" x14ac:dyDescent="0.3">
      <c r="A480" s="18">
        <v>544.34</v>
      </c>
      <c r="B480" s="1">
        <v>17.399999999999999</v>
      </c>
      <c r="C480" s="1">
        <v>544.34</v>
      </c>
      <c r="D480" s="1">
        <v>18.3</v>
      </c>
      <c r="E480" s="1">
        <v>544.34</v>
      </c>
      <c r="F480" s="1">
        <v>18.7</v>
      </c>
      <c r="G480" s="1">
        <v>544.34</v>
      </c>
      <c r="H480" s="1">
        <v>19.399999999999999</v>
      </c>
      <c r="I480" s="1">
        <v>544.34</v>
      </c>
      <c r="J480" s="1">
        <v>19.600000000000001</v>
      </c>
      <c r="K480" s="1">
        <v>544.34</v>
      </c>
      <c r="L480" s="1">
        <v>19.600000000000001</v>
      </c>
      <c r="M480" s="1">
        <v>544.34</v>
      </c>
      <c r="N480" s="1">
        <v>17.399999999999999</v>
      </c>
      <c r="O480" s="1">
        <v>18.3</v>
      </c>
      <c r="P480" s="1">
        <v>18.7</v>
      </c>
      <c r="Q480" s="1">
        <v>19.399999999999999</v>
      </c>
      <c r="R480" s="1">
        <v>19.600000000000001</v>
      </c>
      <c r="S480" s="1">
        <v>19.600000000000001</v>
      </c>
      <c r="T480" s="1">
        <v>544.34</v>
      </c>
      <c r="U480" s="1">
        <f>IF(Table14[[#This Row],[I_0]] &lt; INDEX(Table28[Filtro de ruido],1), 1, Table14[[#This Row],[I_10]] / Table14[[#This Row],[I_0]])</f>
        <v>1.0517241379310347</v>
      </c>
      <c r="V480" s="1">
        <f>IF(Table14[[#This Row],[I_0]] &lt; INDEX(Table28[Filtro de ruido],1), 1, Table14[[#This Row],[I_20]] / Table14[[#This Row],[I_0]])</f>
        <v>1.0747126436781609</v>
      </c>
      <c r="W480" s="1">
        <f>IF(Table14[[#This Row],[I_0]] &lt; INDEX(Table28[Filtro de ruido],1), 1, Table14[[#This Row],[I_30]] / Table14[[#This Row],[I_0]])</f>
        <v>1.1149425287356323</v>
      </c>
      <c r="X480" s="1">
        <f>IF(Table14[[#This Row],[I_0]] &lt; INDEX(Table28[Filtro de ruido],1), 1, Table14[[#This Row],[I_40]] / Table14[[#This Row],[I_0]])</f>
        <v>1.1264367816091956</v>
      </c>
      <c r="Y480" s="19">
        <f>IF(Table14[[#This Row],[I_0]] &lt; INDEX(Table28[Filtro de ruido],1), 1, Table14[[#This Row],[I_50]] / Table14[[#This Row],[I_0]])</f>
        <v>1.1264367816091956</v>
      </c>
      <c r="AA480" s="1"/>
    </row>
    <row r="481" spans="1:27" x14ac:dyDescent="0.3">
      <c r="A481" s="18">
        <v>545.34</v>
      </c>
      <c r="B481" s="1">
        <v>17.399999999999999</v>
      </c>
      <c r="C481" s="1">
        <v>545.34</v>
      </c>
      <c r="D481" s="1">
        <v>18.3</v>
      </c>
      <c r="E481" s="1">
        <v>545.34</v>
      </c>
      <c r="F481" s="1">
        <v>18.8</v>
      </c>
      <c r="G481" s="1">
        <v>545.34</v>
      </c>
      <c r="H481" s="1">
        <v>19.399999999999999</v>
      </c>
      <c r="I481" s="1">
        <v>545.34</v>
      </c>
      <c r="J481" s="1">
        <v>19.600000000000001</v>
      </c>
      <c r="K481" s="1">
        <v>545.34</v>
      </c>
      <c r="L481" s="1">
        <v>19.600000000000001</v>
      </c>
      <c r="M481" s="1">
        <v>545.34</v>
      </c>
      <c r="N481" s="1">
        <v>17.399999999999999</v>
      </c>
      <c r="O481" s="1">
        <v>18.3</v>
      </c>
      <c r="P481" s="1">
        <v>18.8</v>
      </c>
      <c r="Q481" s="1">
        <v>19.399999999999999</v>
      </c>
      <c r="R481" s="1">
        <v>19.600000000000001</v>
      </c>
      <c r="S481" s="1">
        <v>19.600000000000001</v>
      </c>
      <c r="T481" s="1">
        <v>545.34</v>
      </c>
      <c r="U481" s="1">
        <f>IF(Table14[[#This Row],[I_0]] &lt; INDEX(Table28[Filtro de ruido],1), 1, Table14[[#This Row],[I_10]] / Table14[[#This Row],[I_0]])</f>
        <v>1.0517241379310347</v>
      </c>
      <c r="V481" s="1">
        <f>IF(Table14[[#This Row],[I_0]] &lt; INDEX(Table28[Filtro de ruido],1), 1, Table14[[#This Row],[I_20]] / Table14[[#This Row],[I_0]])</f>
        <v>1.0804597701149428</v>
      </c>
      <c r="W481" s="1">
        <f>IF(Table14[[#This Row],[I_0]] &lt; INDEX(Table28[Filtro de ruido],1), 1, Table14[[#This Row],[I_30]] / Table14[[#This Row],[I_0]])</f>
        <v>1.1149425287356323</v>
      </c>
      <c r="X481" s="1">
        <f>IF(Table14[[#This Row],[I_0]] &lt; INDEX(Table28[Filtro de ruido],1), 1, Table14[[#This Row],[I_40]] / Table14[[#This Row],[I_0]])</f>
        <v>1.1264367816091956</v>
      </c>
      <c r="Y481" s="19">
        <f>IF(Table14[[#This Row],[I_0]] &lt; INDEX(Table28[Filtro de ruido],1), 1, Table14[[#This Row],[I_50]] / Table14[[#This Row],[I_0]])</f>
        <v>1.1264367816091956</v>
      </c>
      <c r="AA481" s="1"/>
    </row>
    <row r="482" spans="1:27" x14ac:dyDescent="0.3">
      <c r="A482" s="18">
        <v>546.33000000000004</v>
      </c>
      <c r="B482" s="1">
        <v>17.5</v>
      </c>
      <c r="C482" s="1">
        <v>546.33000000000004</v>
      </c>
      <c r="D482" s="1">
        <v>18.3</v>
      </c>
      <c r="E482" s="1">
        <v>546.33000000000004</v>
      </c>
      <c r="F482" s="1">
        <v>18.8</v>
      </c>
      <c r="G482" s="1">
        <v>546.33000000000004</v>
      </c>
      <c r="H482" s="1">
        <v>19.5</v>
      </c>
      <c r="I482" s="1">
        <v>546.33000000000004</v>
      </c>
      <c r="J482" s="1">
        <v>19.7</v>
      </c>
      <c r="K482" s="1">
        <v>546.33000000000004</v>
      </c>
      <c r="L482" s="1">
        <v>19.7</v>
      </c>
      <c r="M482" s="1">
        <v>546.33000000000004</v>
      </c>
      <c r="N482" s="1">
        <v>17.5</v>
      </c>
      <c r="O482" s="1">
        <v>18.3</v>
      </c>
      <c r="P482" s="1">
        <v>18.8</v>
      </c>
      <c r="Q482" s="1">
        <v>19.5</v>
      </c>
      <c r="R482" s="1">
        <v>19.7</v>
      </c>
      <c r="S482" s="1">
        <v>19.7</v>
      </c>
      <c r="T482" s="1">
        <v>546.33000000000004</v>
      </c>
      <c r="U482" s="1">
        <f>IF(Table14[[#This Row],[I_0]] &lt; INDEX(Table28[Filtro de ruido],1), 1, Table14[[#This Row],[I_10]] / Table14[[#This Row],[I_0]])</f>
        <v>1.0457142857142858</v>
      </c>
      <c r="V482" s="1">
        <f>IF(Table14[[#This Row],[I_0]] &lt; INDEX(Table28[Filtro de ruido],1), 1, Table14[[#This Row],[I_20]] / Table14[[#This Row],[I_0]])</f>
        <v>1.0742857142857143</v>
      </c>
      <c r="W482" s="1">
        <f>IF(Table14[[#This Row],[I_0]] &lt; INDEX(Table28[Filtro de ruido],1), 1, Table14[[#This Row],[I_30]] / Table14[[#This Row],[I_0]])</f>
        <v>1.1142857142857143</v>
      </c>
      <c r="X482" s="1">
        <f>IF(Table14[[#This Row],[I_0]] &lt; INDEX(Table28[Filtro de ruido],1), 1, Table14[[#This Row],[I_40]] / Table14[[#This Row],[I_0]])</f>
        <v>1.1257142857142857</v>
      </c>
      <c r="Y482" s="19">
        <f>IF(Table14[[#This Row],[I_0]] &lt; INDEX(Table28[Filtro de ruido],1), 1, Table14[[#This Row],[I_50]] / Table14[[#This Row],[I_0]])</f>
        <v>1.1257142857142857</v>
      </c>
      <c r="AA482" s="1"/>
    </row>
    <row r="483" spans="1:27" x14ac:dyDescent="0.3">
      <c r="A483" s="18">
        <v>547.32000000000005</v>
      </c>
      <c r="B483" s="1">
        <v>17.5</v>
      </c>
      <c r="C483" s="1">
        <v>547.32000000000005</v>
      </c>
      <c r="D483" s="1">
        <v>18.399999999999999</v>
      </c>
      <c r="E483" s="1">
        <v>547.32000000000005</v>
      </c>
      <c r="F483" s="1">
        <v>18.899999999999999</v>
      </c>
      <c r="G483" s="1">
        <v>547.32000000000005</v>
      </c>
      <c r="H483" s="1">
        <v>19.600000000000001</v>
      </c>
      <c r="I483" s="1">
        <v>547.32000000000005</v>
      </c>
      <c r="J483" s="1">
        <v>19.8</v>
      </c>
      <c r="K483" s="1">
        <v>547.32000000000005</v>
      </c>
      <c r="L483" s="1">
        <v>19.7</v>
      </c>
      <c r="M483" s="1">
        <v>547.32000000000005</v>
      </c>
      <c r="N483" s="1">
        <v>17.5</v>
      </c>
      <c r="O483" s="1">
        <v>18.399999999999999</v>
      </c>
      <c r="P483" s="1">
        <v>18.899999999999999</v>
      </c>
      <c r="Q483" s="1">
        <v>19.600000000000001</v>
      </c>
      <c r="R483" s="1">
        <v>19.8</v>
      </c>
      <c r="S483" s="1">
        <v>19.7</v>
      </c>
      <c r="T483" s="1">
        <v>547.32000000000005</v>
      </c>
      <c r="U483" s="1">
        <f>IF(Table14[[#This Row],[I_0]] &lt; INDEX(Table28[Filtro de ruido],1), 1, Table14[[#This Row],[I_10]] / Table14[[#This Row],[I_0]])</f>
        <v>1.0514285714285714</v>
      </c>
      <c r="V483" s="1">
        <f>IF(Table14[[#This Row],[I_0]] &lt; INDEX(Table28[Filtro de ruido],1), 1, Table14[[#This Row],[I_20]] / Table14[[#This Row],[I_0]])</f>
        <v>1.0799999999999998</v>
      </c>
      <c r="W483" s="1">
        <f>IF(Table14[[#This Row],[I_0]] &lt; INDEX(Table28[Filtro de ruido],1), 1, Table14[[#This Row],[I_30]] / Table14[[#This Row],[I_0]])</f>
        <v>1.1200000000000001</v>
      </c>
      <c r="X483" s="1">
        <f>IF(Table14[[#This Row],[I_0]] &lt; INDEX(Table28[Filtro de ruido],1), 1, Table14[[#This Row],[I_40]] / Table14[[#This Row],[I_0]])</f>
        <v>1.1314285714285715</v>
      </c>
      <c r="Y483" s="19">
        <f>IF(Table14[[#This Row],[I_0]] &lt; INDEX(Table28[Filtro de ruido],1), 1, Table14[[#This Row],[I_50]] / Table14[[#This Row],[I_0]])</f>
        <v>1.1257142857142857</v>
      </c>
      <c r="AA483" s="1"/>
    </row>
    <row r="484" spans="1:27" x14ac:dyDescent="0.3">
      <c r="A484" s="18">
        <v>548.30999999999995</v>
      </c>
      <c r="B484" s="1">
        <v>17.7</v>
      </c>
      <c r="C484" s="1">
        <v>548.30999999999995</v>
      </c>
      <c r="D484" s="1">
        <v>18.600000000000001</v>
      </c>
      <c r="E484" s="1">
        <v>548.30999999999995</v>
      </c>
      <c r="F484" s="1">
        <v>19.100000000000001</v>
      </c>
      <c r="G484" s="1">
        <v>548.30999999999995</v>
      </c>
      <c r="H484" s="1">
        <v>19.8</v>
      </c>
      <c r="I484" s="1">
        <v>548.30999999999995</v>
      </c>
      <c r="J484" s="1">
        <v>20</v>
      </c>
      <c r="K484" s="1">
        <v>548.30999999999995</v>
      </c>
      <c r="L484" s="1">
        <v>19.899999999999999</v>
      </c>
      <c r="M484" s="1">
        <v>548.30999999999995</v>
      </c>
      <c r="N484" s="1">
        <v>17.7</v>
      </c>
      <c r="O484" s="1">
        <v>18.600000000000001</v>
      </c>
      <c r="P484" s="1">
        <v>19.100000000000001</v>
      </c>
      <c r="Q484" s="1">
        <v>19.8</v>
      </c>
      <c r="R484" s="1">
        <v>20</v>
      </c>
      <c r="S484" s="1">
        <v>19.899999999999999</v>
      </c>
      <c r="T484" s="1">
        <v>548.30999999999995</v>
      </c>
      <c r="U484" s="1">
        <f>IF(Table14[[#This Row],[I_0]] &lt; INDEX(Table28[Filtro de ruido],1), 1, Table14[[#This Row],[I_10]] / Table14[[#This Row],[I_0]])</f>
        <v>1.0508474576271187</v>
      </c>
      <c r="V484" s="1">
        <f>IF(Table14[[#This Row],[I_0]] &lt; INDEX(Table28[Filtro de ruido],1), 1, Table14[[#This Row],[I_20]] / Table14[[#This Row],[I_0]])</f>
        <v>1.0790960451977403</v>
      </c>
      <c r="W484" s="1">
        <f>IF(Table14[[#This Row],[I_0]] &lt; INDEX(Table28[Filtro de ruido],1), 1, Table14[[#This Row],[I_30]] / Table14[[#This Row],[I_0]])</f>
        <v>1.1186440677966103</v>
      </c>
      <c r="X484" s="1">
        <f>IF(Table14[[#This Row],[I_0]] &lt; INDEX(Table28[Filtro de ruido],1), 1, Table14[[#This Row],[I_40]] / Table14[[#This Row],[I_0]])</f>
        <v>1.1299435028248588</v>
      </c>
      <c r="Y484" s="19">
        <f>IF(Table14[[#This Row],[I_0]] &lt; INDEX(Table28[Filtro de ruido],1), 1, Table14[[#This Row],[I_50]] / Table14[[#This Row],[I_0]])</f>
        <v>1.1242937853107344</v>
      </c>
      <c r="AA484" s="1"/>
    </row>
    <row r="485" spans="1:27" x14ac:dyDescent="0.3">
      <c r="A485" s="18">
        <v>549.29999999999995</v>
      </c>
      <c r="B485" s="1">
        <v>17.899999999999999</v>
      </c>
      <c r="C485" s="1">
        <v>549.29999999999995</v>
      </c>
      <c r="D485" s="1">
        <v>18.8</v>
      </c>
      <c r="E485" s="1">
        <v>549.29999999999995</v>
      </c>
      <c r="F485" s="1">
        <v>19.3</v>
      </c>
      <c r="G485" s="1">
        <v>549.29999999999995</v>
      </c>
      <c r="H485" s="1">
        <v>20</v>
      </c>
      <c r="I485" s="1">
        <v>549.29999999999995</v>
      </c>
      <c r="J485" s="1">
        <v>20.2</v>
      </c>
      <c r="K485" s="1">
        <v>549.29999999999995</v>
      </c>
      <c r="L485" s="1">
        <v>20.100000000000001</v>
      </c>
      <c r="M485" s="1">
        <v>549.29999999999995</v>
      </c>
      <c r="N485" s="1">
        <v>17.899999999999999</v>
      </c>
      <c r="O485" s="1">
        <v>18.8</v>
      </c>
      <c r="P485" s="1">
        <v>19.3</v>
      </c>
      <c r="Q485" s="1">
        <v>20</v>
      </c>
      <c r="R485" s="1">
        <v>20.2</v>
      </c>
      <c r="S485" s="1">
        <v>20.100000000000001</v>
      </c>
      <c r="T485" s="1">
        <v>549.29999999999995</v>
      </c>
      <c r="U485" s="1">
        <f>IF(Table14[[#This Row],[I_0]] &lt; INDEX(Table28[Filtro de ruido],1), 1, Table14[[#This Row],[I_10]] / Table14[[#This Row],[I_0]])</f>
        <v>1.0502793296089388</v>
      </c>
      <c r="V485" s="1">
        <f>IF(Table14[[#This Row],[I_0]] &lt; INDEX(Table28[Filtro de ruido],1), 1, Table14[[#This Row],[I_20]] / Table14[[#This Row],[I_0]])</f>
        <v>1.0782122905027933</v>
      </c>
      <c r="W485" s="1">
        <f>IF(Table14[[#This Row],[I_0]] &lt; INDEX(Table28[Filtro de ruido],1), 1, Table14[[#This Row],[I_30]] / Table14[[#This Row],[I_0]])</f>
        <v>1.1173184357541901</v>
      </c>
      <c r="X485" s="1">
        <f>IF(Table14[[#This Row],[I_0]] &lt; INDEX(Table28[Filtro de ruido],1), 1, Table14[[#This Row],[I_40]] / Table14[[#This Row],[I_0]])</f>
        <v>1.1284916201117319</v>
      </c>
      <c r="Y485" s="19">
        <f>IF(Table14[[#This Row],[I_0]] &lt; INDEX(Table28[Filtro de ruido],1), 1, Table14[[#This Row],[I_50]] / Table14[[#This Row],[I_0]])</f>
        <v>1.1229050279329611</v>
      </c>
      <c r="AA485" s="1"/>
    </row>
    <row r="486" spans="1:27" x14ac:dyDescent="0.3">
      <c r="A486" s="18">
        <v>550.29</v>
      </c>
      <c r="B486" s="1">
        <v>18.2</v>
      </c>
      <c r="C486" s="1">
        <v>550.29</v>
      </c>
      <c r="D486" s="1">
        <v>19.100000000000001</v>
      </c>
      <c r="E486" s="1">
        <v>550.29</v>
      </c>
      <c r="F486" s="1">
        <v>19.7</v>
      </c>
      <c r="G486" s="1">
        <v>550.29</v>
      </c>
      <c r="H486" s="1">
        <v>20.399999999999999</v>
      </c>
      <c r="I486" s="1">
        <v>550.29</v>
      </c>
      <c r="J486" s="1">
        <v>20.5</v>
      </c>
      <c r="K486" s="1">
        <v>550.29</v>
      </c>
      <c r="L486" s="1">
        <v>20.5</v>
      </c>
      <c r="M486" s="1">
        <v>550.29</v>
      </c>
      <c r="N486" s="1">
        <v>18.2</v>
      </c>
      <c r="O486" s="1">
        <v>19.100000000000001</v>
      </c>
      <c r="P486" s="1">
        <v>19.7</v>
      </c>
      <c r="Q486" s="1">
        <v>20.399999999999999</v>
      </c>
      <c r="R486" s="1">
        <v>20.5</v>
      </c>
      <c r="S486" s="1">
        <v>20.5</v>
      </c>
      <c r="T486" s="1">
        <v>550.29</v>
      </c>
      <c r="U486" s="1">
        <f>IF(Table14[[#This Row],[I_0]] &lt; INDEX(Table28[Filtro de ruido],1), 1, Table14[[#This Row],[I_10]] / Table14[[#This Row],[I_0]])</f>
        <v>1.0494505494505495</v>
      </c>
      <c r="V486" s="1">
        <f>IF(Table14[[#This Row],[I_0]] &lt; INDEX(Table28[Filtro de ruido],1), 1, Table14[[#This Row],[I_20]] / Table14[[#This Row],[I_0]])</f>
        <v>1.0824175824175823</v>
      </c>
      <c r="W486" s="1">
        <f>IF(Table14[[#This Row],[I_0]] &lt; INDEX(Table28[Filtro de ruido],1), 1, Table14[[#This Row],[I_30]] / Table14[[#This Row],[I_0]])</f>
        <v>1.1208791208791209</v>
      </c>
      <c r="X486" s="1">
        <f>IF(Table14[[#This Row],[I_0]] &lt; INDEX(Table28[Filtro de ruido],1), 1, Table14[[#This Row],[I_40]] / Table14[[#This Row],[I_0]])</f>
        <v>1.1263736263736264</v>
      </c>
      <c r="Y486" s="19">
        <f>IF(Table14[[#This Row],[I_0]] &lt; INDEX(Table28[Filtro de ruido],1), 1, Table14[[#This Row],[I_50]] / Table14[[#This Row],[I_0]])</f>
        <v>1.1263736263736264</v>
      </c>
      <c r="AA486" s="1"/>
    </row>
    <row r="487" spans="1:27" x14ac:dyDescent="0.3">
      <c r="A487" s="18">
        <v>551.29</v>
      </c>
      <c r="B487" s="1">
        <v>18.5</v>
      </c>
      <c r="C487" s="1">
        <v>551.29</v>
      </c>
      <c r="D487" s="1">
        <v>19.5</v>
      </c>
      <c r="E487" s="1">
        <v>551.29</v>
      </c>
      <c r="F487" s="1">
        <v>20</v>
      </c>
      <c r="G487" s="1">
        <v>551.29</v>
      </c>
      <c r="H487" s="1">
        <v>20.8</v>
      </c>
      <c r="I487" s="1">
        <v>551.29</v>
      </c>
      <c r="J487" s="1">
        <v>20.9</v>
      </c>
      <c r="K487" s="1">
        <v>551.29</v>
      </c>
      <c r="L487" s="1">
        <v>20.9</v>
      </c>
      <c r="M487" s="1">
        <v>551.29</v>
      </c>
      <c r="N487" s="1">
        <v>18.5</v>
      </c>
      <c r="O487" s="1">
        <v>19.5</v>
      </c>
      <c r="P487" s="1">
        <v>20</v>
      </c>
      <c r="Q487" s="1">
        <v>20.8</v>
      </c>
      <c r="R487" s="1">
        <v>20.9</v>
      </c>
      <c r="S487" s="1">
        <v>20.9</v>
      </c>
      <c r="T487" s="1">
        <v>551.29</v>
      </c>
      <c r="U487" s="1">
        <f>IF(Table14[[#This Row],[I_0]] &lt; INDEX(Table28[Filtro de ruido],1), 1, Table14[[#This Row],[I_10]] / Table14[[#This Row],[I_0]])</f>
        <v>1.0540540540540539</v>
      </c>
      <c r="V487" s="1">
        <f>IF(Table14[[#This Row],[I_0]] &lt; INDEX(Table28[Filtro de ruido],1), 1, Table14[[#This Row],[I_20]] / Table14[[#This Row],[I_0]])</f>
        <v>1.0810810810810811</v>
      </c>
      <c r="W487" s="1">
        <f>IF(Table14[[#This Row],[I_0]] &lt; INDEX(Table28[Filtro de ruido],1), 1, Table14[[#This Row],[I_30]] / Table14[[#This Row],[I_0]])</f>
        <v>1.1243243243243244</v>
      </c>
      <c r="X487" s="1">
        <f>IF(Table14[[#This Row],[I_0]] &lt; INDEX(Table28[Filtro de ruido],1), 1, Table14[[#This Row],[I_40]] / Table14[[#This Row],[I_0]])</f>
        <v>1.1297297297297297</v>
      </c>
      <c r="Y487" s="19">
        <f>IF(Table14[[#This Row],[I_0]] &lt; INDEX(Table28[Filtro de ruido],1), 1, Table14[[#This Row],[I_50]] / Table14[[#This Row],[I_0]])</f>
        <v>1.1297297297297297</v>
      </c>
      <c r="AA487" s="1"/>
    </row>
    <row r="488" spans="1:27" x14ac:dyDescent="0.3">
      <c r="A488" s="18">
        <v>552.28</v>
      </c>
      <c r="B488" s="1">
        <v>19</v>
      </c>
      <c r="C488" s="1">
        <v>552.28</v>
      </c>
      <c r="D488" s="1">
        <v>20</v>
      </c>
      <c r="E488" s="1">
        <v>552.28</v>
      </c>
      <c r="F488" s="1">
        <v>20.6</v>
      </c>
      <c r="G488" s="1">
        <v>552.28</v>
      </c>
      <c r="H488" s="1">
        <v>21.4</v>
      </c>
      <c r="I488" s="1">
        <v>552.28</v>
      </c>
      <c r="J488" s="1">
        <v>21.5</v>
      </c>
      <c r="K488" s="1">
        <v>552.28</v>
      </c>
      <c r="L488" s="1">
        <v>21.4</v>
      </c>
      <c r="M488" s="1">
        <v>552.28</v>
      </c>
      <c r="N488" s="1">
        <v>19</v>
      </c>
      <c r="O488" s="1">
        <v>20</v>
      </c>
      <c r="P488" s="1">
        <v>20.6</v>
      </c>
      <c r="Q488" s="1">
        <v>21.4</v>
      </c>
      <c r="R488" s="1">
        <v>21.5</v>
      </c>
      <c r="S488" s="1">
        <v>21.4</v>
      </c>
      <c r="T488" s="1">
        <v>552.28</v>
      </c>
      <c r="U488" s="1">
        <f>IF(Table14[[#This Row],[I_0]] &lt; INDEX(Table28[Filtro de ruido],1), 1, Table14[[#This Row],[I_10]] / Table14[[#This Row],[I_0]])</f>
        <v>1.0526315789473684</v>
      </c>
      <c r="V488" s="1">
        <f>IF(Table14[[#This Row],[I_0]] &lt; INDEX(Table28[Filtro de ruido],1), 1, Table14[[#This Row],[I_20]] / Table14[[#This Row],[I_0]])</f>
        <v>1.0842105263157895</v>
      </c>
      <c r="W488" s="1">
        <f>IF(Table14[[#This Row],[I_0]] &lt; INDEX(Table28[Filtro de ruido],1), 1, Table14[[#This Row],[I_30]] / Table14[[#This Row],[I_0]])</f>
        <v>1.1263157894736842</v>
      </c>
      <c r="X488" s="1">
        <f>IF(Table14[[#This Row],[I_0]] &lt; INDEX(Table28[Filtro de ruido],1), 1, Table14[[#This Row],[I_40]] / Table14[[#This Row],[I_0]])</f>
        <v>1.131578947368421</v>
      </c>
      <c r="Y488" s="19">
        <f>IF(Table14[[#This Row],[I_0]] &lt; INDEX(Table28[Filtro de ruido],1), 1, Table14[[#This Row],[I_50]] / Table14[[#This Row],[I_0]])</f>
        <v>1.1263157894736842</v>
      </c>
      <c r="AA488" s="1"/>
    </row>
    <row r="489" spans="1:27" x14ac:dyDescent="0.3">
      <c r="A489" s="18">
        <v>553.27</v>
      </c>
      <c r="B489" s="1">
        <v>19.5</v>
      </c>
      <c r="C489" s="1">
        <v>553.27</v>
      </c>
      <c r="D489" s="1">
        <v>20.6</v>
      </c>
      <c r="E489" s="1">
        <v>553.27</v>
      </c>
      <c r="F489" s="1">
        <v>21.1</v>
      </c>
      <c r="G489" s="1">
        <v>553.27</v>
      </c>
      <c r="H489" s="1">
        <v>22</v>
      </c>
      <c r="I489" s="1">
        <v>553.27</v>
      </c>
      <c r="J489" s="1">
        <v>22.1</v>
      </c>
      <c r="K489" s="1">
        <v>553.27</v>
      </c>
      <c r="L489" s="1">
        <v>22.1</v>
      </c>
      <c r="M489" s="1">
        <v>553.27</v>
      </c>
      <c r="N489" s="1">
        <v>19.5</v>
      </c>
      <c r="O489" s="1">
        <v>20.6</v>
      </c>
      <c r="P489" s="1">
        <v>21.1</v>
      </c>
      <c r="Q489" s="1">
        <v>22</v>
      </c>
      <c r="R489" s="1">
        <v>22.1</v>
      </c>
      <c r="S489" s="1">
        <v>22.1</v>
      </c>
      <c r="T489" s="1">
        <v>553.27</v>
      </c>
      <c r="U489" s="1">
        <f>IF(Table14[[#This Row],[I_0]] &lt; INDEX(Table28[Filtro de ruido],1), 1, Table14[[#This Row],[I_10]] / Table14[[#This Row],[I_0]])</f>
        <v>1.0564102564102564</v>
      </c>
      <c r="V489" s="1">
        <f>IF(Table14[[#This Row],[I_0]] &lt; INDEX(Table28[Filtro de ruido],1), 1, Table14[[#This Row],[I_20]] / Table14[[#This Row],[I_0]])</f>
        <v>1.0820512820512822</v>
      </c>
      <c r="W489" s="1">
        <f>IF(Table14[[#This Row],[I_0]] &lt; INDEX(Table28[Filtro de ruido],1), 1, Table14[[#This Row],[I_30]] / Table14[[#This Row],[I_0]])</f>
        <v>1.1282051282051282</v>
      </c>
      <c r="X489" s="1">
        <f>IF(Table14[[#This Row],[I_0]] &lt; INDEX(Table28[Filtro de ruido],1), 1, Table14[[#This Row],[I_40]] / Table14[[#This Row],[I_0]])</f>
        <v>1.1333333333333333</v>
      </c>
      <c r="Y489" s="19">
        <f>IF(Table14[[#This Row],[I_0]] &lt; INDEX(Table28[Filtro de ruido],1), 1, Table14[[#This Row],[I_50]] / Table14[[#This Row],[I_0]])</f>
        <v>1.1333333333333333</v>
      </c>
      <c r="AA489" s="1"/>
    </row>
    <row r="490" spans="1:27" x14ac:dyDescent="0.3">
      <c r="A490" s="18">
        <v>554.26</v>
      </c>
      <c r="B490" s="1">
        <v>20.100000000000001</v>
      </c>
      <c r="C490" s="1">
        <v>554.26</v>
      </c>
      <c r="D490" s="1">
        <v>21.2</v>
      </c>
      <c r="E490" s="1">
        <v>554.26</v>
      </c>
      <c r="F490" s="1">
        <v>21.8</v>
      </c>
      <c r="G490" s="1">
        <v>554.26</v>
      </c>
      <c r="H490" s="1">
        <v>22.7</v>
      </c>
      <c r="I490" s="1">
        <v>554.26</v>
      </c>
      <c r="J490" s="1">
        <v>22.8</v>
      </c>
      <c r="K490" s="1">
        <v>554.26</v>
      </c>
      <c r="L490" s="1">
        <v>22.8</v>
      </c>
      <c r="M490" s="1">
        <v>554.26</v>
      </c>
      <c r="N490" s="1">
        <v>20.100000000000001</v>
      </c>
      <c r="O490" s="1">
        <v>21.2</v>
      </c>
      <c r="P490" s="1">
        <v>21.8</v>
      </c>
      <c r="Q490" s="1">
        <v>22.7</v>
      </c>
      <c r="R490" s="1">
        <v>22.8</v>
      </c>
      <c r="S490" s="1">
        <v>22.8</v>
      </c>
      <c r="T490" s="1">
        <v>554.26</v>
      </c>
      <c r="U490" s="1">
        <f>IF(Table14[[#This Row],[I_0]] &lt; INDEX(Table28[Filtro de ruido],1), 1, Table14[[#This Row],[I_10]] / Table14[[#This Row],[I_0]])</f>
        <v>1.0547263681592038</v>
      </c>
      <c r="V490" s="1">
        <f>IF(Table14[[#This Row],[I_0]] &lt; INDEX(Table28[Filtro de ruido],1), 1, Table14[[#This Row],[I_20]] / Table14[[#This Row],[I_0]])</f>
        <v>1.0845771144278606</v>
      </c>
      <c r="W490" s="1">
        <f>IF(Table14[[#This Row],[I_0]] &lt; INDEX(Table28[Filtro de ruido],1), 1, Table14[[#This Row],[I_30]] / Table14[[#This Row],[I_0]])</f>
        <v>1.1293532338308456</v>
      </c>
      <c r="X490" s="1">
        <f>IF(Table14[[#This Row],[I_0]] &lt; INDEX(Table28[Filtro de ruido],1), 1, Table14[[#This Row],[I_40]] / Table14[[#This Row],[I_0]])</f>
        <v>1.1343283582089552</v>
      </c>
      <c r="Y490" s="19">
        <f>IF(Table14[[#This Row],[I_0]] &lt; INDEX(Table28[Filtro de ruido],1), 1, Table14[[#This Row],[I_50]] / Table14[[#This Row],[I_0]])</f>
        <v>1.1343283582089552</v>
      </c>
      <c r="AA490" s="1"/>
    </row>
    <row r="491" spans="1:27" x14ac:dyDescent="0.3">
      <c r="A491" s="18">
        <v>555.25</v>
      </c>
      <c r="B491" s="1">
        <v>20.5</v>
      </c>
      <c r="C491" s="1">
        <v>555.25</v>
      </c>
      <c r="D491" s="1">
        <v>21.7</v>
      </c>
      <c r="E491" s="1">
        <v>555.25</v>
      </c>
      <c r="F491" s="1">
        <v>22.3</v>
      </c>
      <c r="G491" s="1">
        <v>555.25</v>
      </c>
      <c r="H491" s="1">
        <v>23.2</v>
      </c>
      <c r="I491" s="1">
        <v>555.25</v>
      </c>
      <c r="J491" s="1">
        <v>23.3</v>
      </c>
      <c r="K491" s="1">
        <v>555.25</v>
      </c>
      <c r="L491" s="1">
        <v>23.3</v>
      </c>
      <c r="M491" s="1">
        <v>555.25</v>
      </c>
      <c r="N491" s="1">
        <v>20.5</v>
      </c>
      <c r="O491" s="1">
        <v>21.7</v>
      </c>
      <c r="P491" s="1">
        <v>22.3</v>
      </c>
      <c r="Q491" s="1">
        <v>23.2</v>
      </c>
      <c r="R491" s="1">
        <v>23.3</v>
      </c>
      <c r="S491" s="1">
        <v>23.3</v>
      </c>
      <c r="T491" s="1">
        <v>555.25</v>
      </c>
      <c r="U491" s="1">
        <f>IF(Table14[[#This Row],[I_0]] &lt; INDEX(Table28[Filtro de ruido],1), 1, Table14[[#This Row],[I_10]] / Table14[[#This Row],[I_0]])</f>
        <v>1.0585365853658537</v>
      </c>
      <c r="V491" s="1">
        <f>IF(Table14[[#This Row],[I_0]] &lt; INDEX(Table28[Filtro de ruido],1), 1, Table14[[#This Row],[I_20]] / Table14[[#This Row],[I_0]])</f>
        <v>1.0878048780487806</v>
      </c>
      <c r="W491" s="1">
        <f>IF(Table14[[#This Row],[I_0]] &lt; INDEX(Table28[Filtro de ruido],1), 1, Table14[[#This Row],[I_30]] / Table14[[#This Row],[I_0]])</f>
        <v>1.1317073170731706</v>
      </c>
      <c r="X491" s="1">
        <f>IF(Table14[[#This Row],[I_0]] &lt; INDEX(Table28[Filtro de ruido],1), 1, Table14[[#This Row],[I_40]] / Table14[[#This Row],[I_0]])</f>
        <v>1.1365853658536587</v>
      </c>
      <c r="Y491" s="19">
        <f>IF(Table14[[#This Row],[I_0]] &lt; INDEX(Table28[Filtro de ruido],1), 1, Table14[[#This Row],[I_50]] / Table14[[#This Row],[I_0]])</f>
        <v>1.1365853658536587</v>
      </c>
      <c r="AA491" s="1"/>
    </row>
    <row r="492" spans="1:27" x14ac:dyDescent="0.3">
      <c r="A492" s="18">
        <v>556.25</v>
      </c>
      <c r="B492" s="1">
        <v>20.5</v>
      </c>
      <c r="C492" s="1">
        <v>556.25</v>
      </c>
      <c r="D492" s="1">
        <v>21.7</v>
      </c>
      <c r="E492" s="1">
        <v>556.25</v>
      </c>
      <c r="F492" s="1">
        <v>22.2</v>
      </c>
      <c r="G492" s="1">
        <v>556.25</v>
      </c>
      <c r="H492" s="1">
        <v>23.2</v>
      </c>
      <c r="I492" s="1">
        <v>556.25</v>
      </c>
      <c r="J492" s="1">
        <v>23.2</v>
      </c>
      <c r="K492" s="1">
        <v>556.25</v>
      </c>
      <c r="L492" s="1">
        <v>23.3</v>
      </c>
      <c r="M492" s="1">
        <v>556.25</v>
      </c>
      <c r="N492" s="1">
        <v>20.5</v>
      </c>
      <c r="O492" s="1">
        <v>21.7</v>
      </c>
      <c r="P492" s="1">
        <v>22.2</v>
      </c>
      <c r="Q492" s="1">
        <v>23.2</v>
      </c>
      <c r="R492" s="1">
        <v>23.2</v>
      </c>
      <c r="S492" s="1">
        <v>23.3</v>
      </c>
      <c r="T492" s="1">
        <v>556.25</v>
      </c>
      <c r="U492" s="1">
        <f>IF(Table14[[#This Row],[I_0]] &lt; INDEX(Table28[Filtro de ruido],1), 1, Table14[[#This Row],[I_10]] / Table14[[#This Row],[I_0]])</f>
        <v>1.0585365853658537</v>
      </c>
      <c r="V492" s="1">
        <f>IF(Table14[[#This Row],[I_0]] &lt; INDEX(Table28[Filtro de ruido],1), 1, Table14[[#This Row],[I_20]] / Table14[[#This Row],[I_0]])</f>
        <v>1.0829268292682928</v>
      </c>
      <c r="W492" s="1">
        <f>IF(Table14[[#This Row],[I_0]] &lt; INDEX(Table28[Filtro de ruido],1), 1, Table14[[#This Row],[I_30]] / Table14[[#This Row],[I_0]])</f>
        <v>1.1317073170731706</v>
      </c>
      <c r="X492" s="1">
        <f>IF(Table14[[#This Row],[I_0]] &lt; INDEX(Table28[Filtro de ruido],1), 1, Table14[[#This Row],[I_40]] / Table14[[#This Row],[I_0]])</f>
        <v>1.1317073170731706</v>
      </c>
      <c r="Y492" s="19">
        <f>IF(Table14[[#This Row],[I_0]] &lt; INDEX(Table28[Filtro de ruido],1), 1, Table14[[#This Row],[I_50]] / Table14[[#This Row],[I_0]])</f>
        <v>1.1365853658536587</v>
      </c>
      <c r="AA492" s="1"/>
    </row>
    <row r="493" spans="1:27" x14ac:dyDescent="0.3">
      <c r="A493" s="18">
        <v>557.24</v>
      </c>
      <c r="B493" s="1">
        <v>19.7</v>
      </c>
      <c r="C493" s="1">
        <v>557.24</v>
      </c>
      <c r="D493" s="1">
        <v>20.9</v>
      </c>
      <c r="E493" s="1">
        <v>557.24</v>
      </c>
      <c r="F493" s="1">
        <v>21.5</v>
      </c>
      <c r="G493" s="1">
        <v>557.24</v>
      </c>
      <c r="H493" s="1">
        <v>22.4</v>
      </c>
      <c r="I493" s="1">
        <v>557.24</v>
      </c>
      <c r="J493" s="1">
        <v>22.4</v>
      </c>
      <c r="K493" s="1">
        <v>557.24</v>
      </c>
      <c r="L493" s="1">
        <v>22.5</v>
      </c>
      <c r="M493" s="1">
        <v>557.24</v>
      </c>
      <c r="N493" s="1">
        <v>19.7</v>
      </c>
      <c r="O493" s="1">
        <v>20.9</v>
      </c>
      <c r="P493" s="1">
        <v>21.5</v>
      </c>
      <c r="Q493" s="1">
        <v>22.4</v>
      </c>
      <c r="R493" s="1">
        <v>22.4</v>
      </c>
      <c r="S493" s="1">
        <v>22.5</v>
      </c>
      <c r="T493" s="1">
        <v>557.24</v>
      </c>
      <c r="U493" s="1">
        <f>IF(Table14[[#This Row],[I_0]] &lt; INDEX(Table28[Filtro de ruido],1), 1, Table14[[#This Row],[I_10]] / Table14[[#This Row],[I_0]])</f>
        <v>1.0609137055837563</v>
      </c>
      <c r="V493" s="1">
        <f>IF(Table14[[#This Row],[I_0]] &lt; INDEX(Table28[Filtro de ruido],1), 1, Table14[[#This Row],[I_20]] / Table14[[#This Row],[I_0]])</f>
        <v>1.0913705583756346</v>
      </c>
      <c r="W493" s="1">
        <f>IF(Table14[[#This Row],[I_0]] &lt; INDEX(Table28[Filtro de ruido],1), 1, Table14[[#This Row],[I_30]] / Table14[[#This Row],[I_0]])</f>
        <v>1.1370558375634519</v>
      </c>
      <c r="X493" s="1">
        <f>IF(Table14[[#This Row],[I_0]] &lt; INDEX(Table28[Filtro de ruido],1), 1, Table14[[#This Row],[I_40]] / Table14[[#This Row],[I_0]])</f>
        <v>1.1370558375634519</v>
      </c>
      <c r="Y493" s="19">
        <f>IF(Table14[[#This Row],[I_0]] &lt; INDEX(Table28[Filtro de ruido],1), 1, Table14[[#This Row],[I_50]] / Table14[[#This Row],[I_0]])</f>
        <v>1.1421319796954315</v>
      </c>
      <c r="AA493" s="1"/>
    </row>
    <row r="494" spans="1:27" x14ac:dyDescent="0.3">
      <c r="A494" s="18">
        <v>558.23</v>
      </c>
      <c r="B494" s="1">
        <v>18.7</v>
      </c>
      <c r="C494" s="1">
        <v>558.23</v>
      </c>
      <c r="D494" s="1">
        <v>19.8</v>
      </c>
      <c r="E494" s="1">
        <v>558.23</v>
      </c>
      <c r="F494" s="1">
        <v>20.399999999999999</v>
      </c>
      <c r="G494" s="1">
        <v>558.23</v>
      </c>
      <c r="H494" s="1">
        <v>21.2</v>
      </c>
      <c r="I494" s="1">
        <v>558.23</v>
      </c>
      <c r="J494" s="1">
        <v>21.2</v>
      </c>
      <c r="K494" s="1">
        <v>558.23</v>
      </c>
      <c r="L494" s="1">
        <v>21.3</v>
      </c>
      <c r="M494" s="1">
        <v>558.23</v>
      </c>
      <c r="N494" s="1">
        <v>18.7</v>
      </c>
      <c r="O494" s="1">
        <v>19.8</v>
      </c>
      <c r="P494" s="1">
        <v>20.399999999999999</v>
      </c>
      <c r="Q494" s="1">
        <v>21.2</v>
      </c>
      <c r="R494" s="1">
        <v>21.2</v>
      </c>
      <c r="S494" s="1">
        <v>21.3</v>
      </c>
      <c r="T494" s="1">
        <v>558.23</v>
      </c>
      <c r="U494" s="1">
        <f>IF(Table14[[#This Row],[I_0]] &lt; INDEX(Table28[Filtro de ruido],1), 1, Table14[[#This Row],[I_10]] / Table14[[#This Row],[I_0]])</f>
        <v>1.0588235294117647</v>
      </c>
      <c r="V494" s="1">
        <f>IF(Table14[[#This Row],[I_0]] &lt; INDEX(Table28[Filtro de ruido],1), 1, Table14[[#This Row],[I_20]] / Table14[[#This Row],[I_0]])</f>
        <v>1.0909090909090908</v>
      </c>
      <c r="W494" s="1">
        <f>IF(Table14[[#This Row],[I_0]] &lt; INDEX(Table28[Filtro de ruido],1), 1, Table14[[#This Row],[I_30]] / Table14[[#This Row],[I_0]])</f>
        <v>1.1336898395721926</v>
      </c>
      <c r="X494" s="1">
        <f>IF(Table14[[#This Row],[I_0]] &lt; INDEX(Table28[Filtro de ruido],1), 1, Table14[[#This Row],[I_40]] / Table14[[#This Row],[I_0]])</f>
        <v>1.1336898395721926</v>
      </c>
      <c r="Y494" s="19">
        <f>IF(Table14[[#This Row],[I_0]] &lt; INDEX(Table28[Filtro de ruido],1), 1, Table14[[#This Row],[I_50]] / Table14[[#This Row],[I_0]])</f>
        <v>1.1390374331550803</v>
      </c>
      <c r="AA494" s="1"/>
    </row>
    <row r="495" spans="1:27" x14ac:dyDescent="0.3">
      <c r="A495" s="18">
        <v>559.22</v>
      </c>
      <c r="B495" s="1">
        <v>17.600000000000001</v>
      </c>
      <c r="C495" s="1">
        <v>559.22</v>
      </c>
      <c r="D495" s="1">
        <v>18.7</v>
      </c>
      <c r="E495" s="1">
        <v>559.22</v>
      </c>
      <c r="F495" s="1">
        <v>19.2</v>
      </c>
      <c r="G495" s="1">
        <v>559.22</v>
      </c>
      <c r="H495" s="1">
        <v>20</v>
      </c>
      <c r="I495" s="1">
        <v>559.22</v>
      </c>
      <c r="J495" s="1">
        <v>20.100000000000001</v>
      </c>
      <c r="K495" s="1">
        <v>559.22</v>
      </c>
      <c r="L495" s="1">
        <v>20.100000000000001</v>
      </c>
      <c r="M495" s="1">
        <v>559.22</v>
      </c>
      <c r="N495" s="1">
        <v>17.600000000000001</v>
      </c>
      <c r="O495" s="1">
        <v>18.7</v>
      </c>
      <c r="P495" s="1">
        <v>19.2</v>
      </c>
      <c r="Q495" s="1">
        <v>20</v>
      </c>
      <c r="R495" s="1">
        <v>20.100000000000001</v>
      </c>
      <c r="S495" s="1">
        <v>20.100000000000001</v>
      </c>
      <c r="T495" s="1">
        <v>559.22</v>
      </c>
      <c r="U495" s="1">
        <f>IF(Table14[[#This Row],[I_0]] &lt; INDEX(Table28[Filtro de ruido],1), 1, Table14[[#This Row],[I_10]] / Table14[[#This Row],[I_0]])</f>
        <v>1.0624999999999998</v>
      </c>
      <c r="V495" s="1">
        <f>IF(Table14[[#This Row],[I_0]] &lt; INDEX(Table28[Filtro de ruido],1), 1, Table14[[#This Row],[I_20]] / Table14[[#This Row],[I_0]])</f>
        <v>1.0909090909090908</v>
      </c>
      <c r="W495" s="1">
        <f>IF(Table14[[#This Row],[I_0]] &lt; INDEX(Table28[Filtro de ruido],1), 1, Table14[[#This Row],[I_30]] / Table14[[#This Row],[I_0]])</f>
        <v>1.1363636363636362</v>
      </c>
      <c r="X495" s="1">
        <f>IF(Table14[[#This Row],[I_0]] &lt; INDEX(Table28[Filtro de ruido],1), 1, Table14[[#This Row],[I_40]] / Table14[[#This Row],[I_0]])</f>
        <v>1.1420454545454546</v>
      </c>
      <c r="Y495" s="19">
        <f>IF(Table14[[#This Row],[I_0]] &lt; INDEX(Table28[Filtro de ruido],1), 1, Table14[[#This Row],[I_50]] / Table14[[#This Row],[I_0]])</f>
        <v>1.1420454545454546</v>
      </c>
      <c r="AA495" s="1"/>
    </row>
    <row r="496" spans="1:27" x14ac:dyDescent="0.3">
      <c r="A496" s="18">
        <v>560.21</v>
      </c>
      <c r="B496" s="1">
        <v>16.7</v>
      </c>
      <c r="C496" s="1">
        <v>560.21</v>
      </c>
      <c r="D496" s="1">
        <v>17.7</v>
      </c>
      <c r="E496" s="1">
        <v>560.21</v>
      </c>
      <c r="F496" s="1">
        <v>18.2</v>
      </c>
      <c r="G496" s="1">
        <v>560.21</v>
      </c>
      <c r="H496" s="1">
        <v>18.899999999999999</v>
      </c>
      <c r="I496" s="1">
        <v>560.21</v>
      </c>
      <c r="J496" s="1">
        <v>19</v>
      </c>
      <c r="K496" s="1">
        <v>560.21</v>
      </c>
      <c r="L496" s="1">
        <v>19.100000000000001</v>
      </c>
      <c r="M496" s="1">
        <v>560.21</v>
      </c>
      <c r="N496" s="1">
        <v>16.7</v>
      </c>
      <c r="O496" s="1">
        <v>17.7</v>
      </c>
      <c r="P496" s="1">
        <v>18.2</v>
      </c>
      <c r="Q496" s="1">
        <v>18.899999999999999</v>
      </c>
      <c r="R496" s="1">
        <v>19</v>
      </c>
      <c r="S496" s="1">
        <v>19.100000000000001</v>
      </c>
      <c r="T496" s="1">
        <v>560.21</v>
      </c>
      <c r="U496" s="1">
        <f>IF(Table14[[#This Row],[I_0]] &lt; INDEX(Table28[Filtro de ruido],1), 1, Table14[[#This Row],[I_10]] / Table14[[#This Row],[I_0]])</f>
        <v>1.0598802395209581</v>
      </c>
      <c r="V496" s="1">
        <f>IF(Table14[[#This Row],[I_0]] &lt; INDEX(Table28[Filtro de ruido],1), 1, Table14[[#This Row],[I_20]] / Table14[[#This Row],[I_0]])</f>
        <v>1.0898203592814371</v>
      </c>
      <c r="W496" s="1">
        <f>IF(Table14[[#This Row],[I_0]] &lt; INDEX(Table28[Filtro de ruido],1), 1, Table14[[#This Row],[I_30]] / Table14[[#This Row],[I_0]])</f>
        <v>1.1317365269461077</v>
      </c>
      <c r="X496" s="1">
        <f>IF(Table14[[#This Row],[I_0]] &lt; INDEX(Table28[Filtro de ruido],1), 1, Table14[[#This Row],[I_40]] / Table14[[#This Row],[I_0]])</f>
        <v>1.1377245508982037</v>
      </c>
      <c r="Y496" s="19">
        <f>IF(Table14[[#This Row],[I_0]] &lt; INDEX(Table28[Filtro de ruido],1), 1, Table14[[#This Row],[I_50]] / Table14[[#This Row],[I_0]])</f>
        <v>1.1437125748502996</v>
      </c>
      <c r="AA496" s="1"/>
    </row>
    <row r="497" spans="1:27" x14ac:dyDescent="0.3">
      <c r="A497" s="18">
        <v>561.20000000000005</v>
      </c>
      <c r="B497" s="1">
        <v>15.8</v>
      </c>
      <c r="C497" s="1">
        <v>561.20000000000005</v>
      </c>
      <c r="D497" s="1">
        <v>16.7</v>
      </c>
      <c r="E497" s="1">
        <v>561.20000000000005</v>
      </c>
      <c r="F497" s="1">
        <v>17.2</v>
      </c>
      <c r="G497" s="1">
        <v>561.20000000000005</v>
      </c>
      <c r="H497" s="1">
        <v>17.899999999999999</v>
      </c>
      <c r="I497" s="1">
        <v>561.20000000000005</v>
      </c>
      <c r="J497" s="1">
        <v>18</v>
      </c>
      <c r="K497" s="1">
        <v>561.20000000000005</v>
      </c>
      <c r="L497" s="1">
        <v>18</v>
      </c>
      <c r="M497" s="1">
        <v>561.20000000000005</v>
      </c>
      <c r="N497" s="1">
        <v>15.8</v>
      </c>
      <c r="O497" s="1">
        <v>16.7</v>
      </c>
      <c r="P497" s="1">
        <v>17.2</v>
      </c>
      <c r="Q497" s="1">
        <v>17.899999999999999</v>
      </c>
      <c r="R497" s="1">
        <v>18</v>
      </c>
      <c r="S497" s="1">
        <v>18</v>
      </c>
      <c r="T497" s="1">
        <v>561.20000000000005</v>
      </c>
      <c r="U497" s="1">
        <f>IF(Table14[[#This Row],[I_0]] &lt; INDEX(Table28[Filtro de ruido],1), 1, Table14[[#This Row],[I_10]] / Table14[[#This Row],[I_0]])</f>
        <v>1.0569620253164556</v>
      </c>
      <c r="V497" s="1">
        <f>IF(Table14[[#This Row],[I_0]] &lt; INDEX(Table28[Filtro de ruido],1), 1, Table14[[#This Row],[I_20]] / Table14[[#This Row],[I_0]])</f>
        <v>1.0886075949367087</v>
      </c>
      <c r="W497" s="1">
        <f>IF(Table14[[#This Row],[I_0]] &lt; INDEX(Table28[Filtro de ruido],1), 1, Table14[[#This Row],[I_30]] / Table14[[#This Row],[I_0]])</f>
        <v>1.1329113924050631</v>
      </c>
      <c r="X497" s="1">
        <f>IF(Table14[[#This Row],[I_0]] &lt; INDEX(Table28[Filtro de ruido],1), 1, Table14[[#This Row],[I_40]] / Table14[[#This Row],[I_0]])</f>
        <v>1.1392405063291138</v>
      </c>
      <c r="Y497" s="19">
        <f>IF(Table14[[#This Row],[I_0]] &lt; INDEX(Table28[Filtro de ruido],1), 1, Table14[[#This Row],[I_50]] / Table14[[#This Row],[I_0]])</f>
        <v>1.1392405063291138</v>
      </c>
      <c r="AA497" s="1"/>
    </row>
    <row r="498" spans="1:27" x14ac:dyDescent="0.3">
      <c r="A498" s="18">
        <v>562.20000000000005</v>
      </c>
      <c r="B498" s="1">
        <v>15</v>
      </c>
      <c r="C498" s="1">
        <v>562.20000000000005</v>
      </c>
      <c r="D498" s="1">
        <v>16</v>
      </c>
      <c r="E498" s="1">
        <v>562.20000000000005</v>
      </c>
      <c r="F498" s="1">
        <v>16.399999999999999</v>
      </c>
      <c r="G498" s="1">
        <v>562.20000000000005</v>
      </c>
      <c r="H498" s="1">
        <v>17</v>
      </c>
      <c r="I498" s="1">
        <v>562.20000000000005</v>
      </c>
      <c r="J498" s="1">
        <v>17.100000000000001</v>
      </c>
      <c r="K498" s="1">
        <v>562.20000000000005</v>
      </c>
      <c r="L498" s="1">
        <v>17.2</v>
      </c>
      <c r="M498" s="1">
        <v>562.20000000000005</v>
      </c>
      <c r="N498" s="1">
        <v>15</v>
      </c>
      <c r="O498" s="1">
        <v>16</v>
      </c>
      <c r="P498" s="1">
        <v>16.399999999999999</v>
      </c>
      <c r="Q498" s="1">
        <v>17</v>
      </c>
      <c r="R498" s="1">
        <v>17.100000000000001</v>
      </c>
      <c r="S498" s="1">
        <v>17.2</v>
      </c>
      <c r="T498" s="1">
        <v>562.20000000000005</v>
      </c>
      <c r="U498" s="1">
        <f>IF(Table14[[#This Row],[I_0]] &lt; INDEX(Table28[Filtro de ruido],1), 1, Table14[[#This Row],[I_10]] / Table14[[#This Row],[I_0]])</f>
        <v>1.0666666666666667</v>
      </c>
      <c r="V498" s="1">
        <f>IF(Table14[[#This Row],[I_0]] &lt; INDEX(Table28[Filtro de ruido],1), 1, Table14[[#This Row],[I_20]] / Table14[[#This Row],[I_0]])</f>
        <v>1.0933333333333333</v>
      </c>
      <c r="W498" s="1">
        <f>IF(Table14[[#This Row],[I_0]] &lt; INDEX(Table28[Filtro de ruido],1), 1, Table14[[#This Row],[I_30]] / Table14[[#This Row],[I_0]])</f>
        <v>1.1333333333333333</v>
      </c>
      <c r="X498" s="1">
        <f>IF(Table14[[#This Row],[I_0]] &lt; INDEX(Table28[Filtro de ruido],1), 1, Table14[[#This Row],[I_40]] / Table14[[#This Row],[I_0]])</f>
        <v>1.1400000000000001</v>
      </c>
      <c r="Y498" s="19">
        <f>IF(Table14[[#This Row],[I_0]] &lt; INDEX(Table28[Filtro de ruido],1), 1, Table14[[#This Row],[I_50]] / Table14[[#This Row],[I_0]])</f>
        <v>1.1466666666666667</v>
      </c>
      <c r="AA498" s="1"/>
    </row>
    <row r="499" spans="1:27" x14ac:dyDescent="0.3">
      <c r="A499" s="18">
        <v>563.19000000000005</v>
      </c>
      <c r="B499" s="1">
        <v>14.4</v>
      </c>
      <c r="C499" s="1">
        <v>563.19000000000005</v>
      </c>
      <c r="D499" s="1">
        <v>15.2</v>
      </c>
      <c r="E499" s="1">
        <v>563.19000000000005</v>
      </c>
      <c r="F499" s="1">
        <v>15.7</v>
      </c>
      <c r="G499" s="1">
        <v>563.19000000000005</v>
      </c>
      <c r="H499" s="1">
        <v>16.3</v>
      </c>
      <c r="I499" s="1">
        <v>563.19000000000005</v>
      </c>
      <c r="J499" s="1">
        <v>16.3</v>
      </c>
      <c r="K499" s="1">
        <v>563.19000000000005</v>
      </c>
      <c r="L499" s="1">
        <v>16.399999999999999</v>
      </c>
      <c r="M499" s="1">
        <v>563.19000000000005</v>
      </c>
      <c r="N499" s="1">
        <v>14.4</v>
      </c>
      <c r="O499" s="1">
        <v>15.2</v>
      </c>
      <c r="P499" s="1">
        <v>15.7</v>
      </c>
      <c r="Q499" s="1">
        <v>16.3</v>
      </c>
      <c r="R499" s="1">
        <v>16.3</v>
      </c>
      <c r="S499" s="1">
        <v>16.399999999999999</v>
      </c>
      <c r="T499" s="1">
        <v>563.19000000000005</v>
      </c>
      <c r="U499" s="1">
        <f>IF(Table14[[#This Row],[I_0]] &lt; INDEX(Table28[Filtro de ruido],1), 1, Table14[[#This Row],[I_10]] / Table14[[#This Row],[I_0]])</f>
        <v>1.0555555555555556</v>
      </c>
      <c r="V499" s="1">
        <f>IF(Table14[[#This Row],[I_0]] &lt; INDEX(Table28[Filtro de ruido],1), 1, Table14[[#This Row],[I_20]] / Table14[[#This Row],[I_0]])</f>
        <v>1.0902777777777777</v>
      </c>
      <c r="W499" s="1">
        <f>IF(Table14[[#This Row],[I_0]] &lt; INDEX(Table28[Filtro de ruido],1), 1, Table14[[#This Row],[I_30]] / Table14[[#This Row],[I_0]])</f>
        <v>1.1319444444444444</v>
      </c>
      <c r="X499" s="1">
        <f>IF(Table14[[#This Row],[I_0]] &lt; INDEX(Table28[Filtro de ruido],1), 1, Table14[[#This Row],[I_40]] / Table14[[#This Row],[I_0]])</f>
        <v>1.1319444444444444</v>
      </c>
      <c r="Y499" s="19">
        <f>IF(Table14[[#This Row],[I_0]] &lt; INDEX(Table28[Filtro de ruido],1), 1, Table14[[#This Row],[I_50]] / Table14[[#This Row],[I_0]])</f>
        <v>1.1388888888888888</v>
      </c>
      <c r="AA499" s="1"/>
    </row>
    <row r="500" spans="1:27" x14ac:dyDescent="0.3">
      <c r="A500" s="18">
        <v>564.17999999999995</v>
      </c>
      <c r="B500" s="1">
        <v>13.8</v>
      </c>
      <c r="C500" s="1">
        <v>564.17999999999995</v>
      </c>
      <c r="D500" s="1">
        <v>14.7</v>
      </c>
      <c r="E500" s="1">
        <v>564.17999999999995</v>
      </c>
      <c r="F500" s="1">
        <v>15.1</v>
      </c>
      <c r="G500" s="1">
        <v>564.17999999999995</v>
      </c>
      <c r="H500" s="1">
        <v>15.6</v>
      </c>
      <c r="I500" s="1">
        <v>564.17999999999995</v>
      </c>
      <c r="J500" s="1">
        <v>15.7</v>
      </c>
      <c r="K500" s="1">
        <v>564.17999999999995</v>
      </c>
      <c r="L500" s="1">
        <v>15.8</v>
      </c>
      <c r="M500" s="1">
        <v>564.17999999999995</v>
      </c>
      <c r="N500" s="1">
        <v>13.8</v>
      </c>
      <c r="O500" s="1">
        <v>14.7</v>
      </c>
      <c r="P500" s="1">
        <v>15.1</v>
      </c>
      <c r="Q500" s="1">
        <v>15.6</v>
      </c>
      <c r="R500" s="1">
        <v>15.7</v>
      </c>
      <c r="S500" s="1">
        <v>15.8</v>
      </c>
      <c r="T500" s="1">
        <v>564.17999999999995</v>
      </c>
      <c r="U500" s="1">
        <f>IF(Table14[[#This Row],[I_0]] &lt; INDEX(Table28[Filtro de ruido],1), 1, Table14[[#This Row],[I_10]] / Table14[[#This Row],[I_0]])</f>
        <v>1.0652173913043477</v>
      </c>
      <c r="V500" s="1">
        <f>IF(Table14[[#This Row],[I_0]] &lt; INDEX(Table28[Filtro de ruido],1), 1, Table14[[#This Row],[I_20]] / Table14[[#This Row],[I_0]])</f>
        <v>1.0942028985507246</v>
      </c>
      <c r="W500" s="1">
        <f>IF(Table14[[#This Row],[I_0]] &lt; INDEX(Table28[Filtro de ruido],1), 1, Table14[[#This Row],[I_30]] / Table14[[#This Row],[I_0]])</f>
        <v>1.1304347826086956</v>
      </c>
      <c r="X500" s="1">
        <f>IF(Table14[[#This Row],[I_0]] &lt; INDEX(Table28[Filtro de ruido],1), 1, Table14[[#This Row],[I_40]] / Table14[[#This Row],[I_0]])</f>
        <v>1.1376811594202898</v>
      </c>
      <c r="Y500" s="19">
        <f>IF(Table14[[#This Row],[I_0]] &lt; INDEX(Table28[Filtro de ruido],1), 1, Table14[[#This Row],[I_50]] / Table14[[#This Row],[I_0]])</f>
        <v>1.144927536231884</v>
      </c>
      <c r="AA500" s="1"/>
    </row>
    <row r="501" spans="1:27" x14ac:dyDescent="0.3">
      <c r="A501" s="18">
        <v>565.16999999999996</v>
      </c>
      <c r="B501" s="1">
        <v>13.3</v>
      </c>
      <c r="C501" s="1">
        <v>565.16999999999996</v>
      </c>
      <c r="D501" s="1">
        <v>14.1</v>
      </c>
      <c r="E501" s="1">
        <v>565.16999999999996</v>
      </c>
      <c r="F501" s="1">
        <v>14.5</v>
      </c>
      <c r="G501" s="1">
        <v>565.16999999999996</v>
      </c>
      <c r="H501" s="1">
        <v>15</v>
      </c>
      <c r="I501" s="1">
        <v>565.16999999999996</v>
      </c>
      <c r="J501" s="1">
        <v>15.1</v>
      </c>
      <c r="K501" s="1">
        <v>565.16999999999996</v>
      </c>
      <c r="L501" s="1">
        <v>15.2</v>
      </c>
      <c r="M501" s="1">
        <v>565.16999999999996</v>
      </c>
      <c r="N501" s="1">
        <v>13.3</v>
      </c>
      <c r="O501" s="1">
        <v>14.1</v>
      </c>
      <c r="P501" s="1">
        <v>14.5</v>
      </c>
      <c r="Q501" s="1">
        <v>15</v>
      </c>
      <c r="R501" s="1">
        <v>15.1</v>
      </c>
      <c r="S501" s="1">
        <v>15.2</v>
      </c>
      <c r="T501" s="1">
        <v>565.16999999999996</v>
      </c>
      <c r="U501" s="1">
        <f>IF(Table14[[#This Row],[I_0]] &lt; INDEX(Table28[Filtro de ruido],1), 1, Table14[[#This Row],[I_10]] / Table14[[#This Row],[I_0]])</f>
        <v>1.0601503759398496</v>
      </c>
      <c r="V501" s="1">
        <f>IF(Table14[[#This Row],[I_0]] &lt; INDEX(Table28[Filtro de ruido],1), 1, Table14[[#This Row],[I_20]] / Table14[[#This Row],[I_0]])</f>
        <v>1.0902255639097744</v>
      </c>
      <c r="W501" s="1">
        <f>IF(Table14[[#This Row],[I_0]] &lt; INDEX(Table28[Filtro de ruido],1), 1, Table14[[#This Row],[I_30]] / Table14[[#This Row],[I_0]])</f>
        <v>1.1278195488721805</v>
      </c>
      <c r="X501" s="1">
        <f>IF(Table14[[#This Row],[I_0]] &lt; INDEX(Table28[Filtro de ruido],1), 1, Table14[[#This Row],[I_40]] / Table14[[#This Row],[I_0]])</f>
        <v>1.1353383458646615</v>
      </c>
      <c r="Y501" s="19">
        <f>IF(Table14[[#This Row],[I_0]] &lt; INDEX(Table28[Filtro de ruido],1), 1, Table14[[#This Row],[I_50]] / Table14[[#This Row],[I_0]])</f>
        <v>1.1428571428571428</v>
      </c>
      <c r="AA501" s="1"/>
    </row>
    <row r="502" spans="1:27" x14ac:dyDescent="0.3">
      <c r="A502" s="18">
        <v>566.16</v>
      </c>
      <c r="B502" s="1">
        <v>12.9</v>
      </c>
      <c r="C502" s="1">
        <v>566.16</v>
      </c>
      <c r="D502" s="1">
        <v>13.7</v>
      </c>
      <c r="E502" s="1">
        <v>566.16</v>
      </c>
      <c r="F502" s="1">
        <v>14</v>
      </c>
      <c r="G502" s="1">
        <v>566.16</v>
      </c>
      <c r="H502" s="1">
        <v>14.6</v>
      </c>
      <c r="I502" s="1">
        <v>566.16</v>
      </c>
      <c r="J502" s="1">
        <v>14.6</v>
      </c>
      <c r="K502" s="1">
        <v>566.16</v>
      </c>
      <c r="L502" s="1">
        <v>14.7</v>
      </c>
      <c r="M502" s="1">
        <v>566.16</v>
      </c>
      <c r="N502" s="1">
        <v>12.9</v>
      </c>
      <c r="O502" s="1">
        <v>13.7</v>
      </c>
      <c r="P502" s="1">
        <v>14</v>
      </c>
      <c r="Q502" s="1">
        <v>14.6</v>
      </c>
      <c r="R502" s="1">
        <v>14.6</v>
      </c>
      <c r="S502" s="1">
        <v>14.7</v>
      </c>
      <c r="T502" s="1">
        <v>566.16</v>
      </c>
      <c r="U502" s="1">
        <f>IF(Table14[[#This Row],[I_0]] &lt; INDEX(Table28[Filtro de ruido],1), 1, Table14[[#This Row],[I_10]] / Table14[[#This Row],[I_0]])</f>
        <v>1.0620155038759689</v>
      </c>
      <c r="V502" s="1">
        <f>IF(Table14[[#This Row],[I_0]] &lt; INDEX(Table28[Filtro de ruido],1), 1, Table14[[#This Row],[I_20]] / Table14[[#This Row],[I_0]])</f>
        <v>1.0852713178294573</v>
      </c>
      <c r="W502" s="1">
        <f>IF(Table14[[#This Row],[I_0]] &lt; INDEX(Table28[Filtro de ruido],1), 1, Table14[[#This Row],[I_30]] / Table14[[#This Row],[I_0]])</f>
        <v>1.1317829457364341</v>
      </c>
      <c r="X502" s="1">
        <f>IF(Table14[[#This Row],[I_0]] &lt; INDEX(Table28[Filtro de ruido],1), 1, Table14[[#This Row],[I_40]] / Table14[[#This Row],[I_0]])</f>
        <v>1.1317829457364341</v>
      </c>
      <c r="Y502" s="19">
        <f>IF(Table14[[#This Row],[I_0]] &lt; INDEX(Table28[Filtro de ruido],1), 1, Table14[[#This Row],[I_50]] / Table14[[#This Row],[I_0]])</f>
        <v>1.13953488372093</v>
      </c>
      <c r="AA502" s="1"/>
    </row>
    <row r="503" spans="1:27" x14ac:dyDescent="0.3">
      <c r="A503" s="18">
        <v>567.15</v>
      </c>
      <c r="B503" s="1">
        <v>12.5</v>
      </c>
      <c r="C503" s="1">
        <v>567.15</v>
      </c>
      <c r="D503" s="1">
        <v>13.2</v>
      </c>
      <c r="E503" s="1">
        <v>567.15</v>
      </c>
      <c r="F503" s="1">
        <v>13.6</v>
      </c>
      <c r="G503" s="1">
        <v>567.15</v>
      </c>
      <c r="H503" s="1">
        <v>14.1</v>
      </c>
      <c r="I503" s="1">
        <v>567.15</v>
      </c>
      <c r="J503" s="1">
        <v>14.1</v>
      </c>
      <c r="K503" s="1">
        <v>567.15</v>
      </c>
      <c r="L503" s="1">
        <v>14.3</v>
      </c>
      <c r="M503" s="1">
        <v>567.15</v>
      </c>
      <c r="N503" s="1">
        <v>12.5</v>
      </c>
      <c r="O503" s="1">
        <v>13.2</v>
      </c>
      <c r="P503" s="1">
        <v>13.6</v>
      </c>
      <c r="Q503" s="1">
        <v>14.1</v>
      </c>
      <c r="R503" s="1">
        <v>14.1</v>
      </c>
      <c r="S503" s="1">
        <v>14.3</v>
      </c>
      <c r="T503" s="1">
        <v>567.15</v>
      </c>
      <c r="U503" s="1">
        <f>IF(Table14[[#This Row],[I_0]] &lt; INDEX(Table28[Filtro de ruido],1), 1, Table14[[#This Row],[I_10]] / Table14[[#This Row],[I_0]])</f>
        <v>1.056</v>
      </c>
      <c r="V503" s="1">
        <f>IF(Table14[[#This Row],[I_0]] &lt; INDEX(Table28[Filtro de ruido],1), 1, Table14[[#This Row],[I_20]] / Table14[[#This Row],[I_0]])</f>
        <v>1.0880000000000001</v>
      </c>
      <c r="W503" s="1">
        <f>IF(Table14[[#This Row],[I_0]] &lt; INDEX(Table28[Filtro de ruido],1), 1, Table14[[#This Row],[I_30]] / Table14[[#This Row],[I_0]])</f>
        <v>1.1279999999999999</v>
      </c>
      <c r="X503" s="1">
        <f>IF(Table14[[#This Row],[I_0]] &lt; INDEX(Table28[Filtro de ruido],1), 1, Table14[[#This Row],[I_40]] / Table14[[#This Row],[I_0]])</f>
        <v>1.1279999999999999</v>
      </c>
      <c r="Y503" s="19">
        <f>IF(Table14[[#This Row],[I_0]] &lt; INDEX(Table28[Filtro de ruido],1), 1, Table14[[#This Row],[I_50]] / Table14[[#This Row],[I_0]])</f>
        <v>1.1440000000000001</v>
      </c>
      <c r="AA503" s="1"/>
    </row>
    <row r="504" spans="1:27" x14ac:dyDescent="0.3">
      <c r="A504" s="18">
        <v>568.15</v>
      </c>
      <c r="B504" s="1">
        <v>12.1</v>
      </c>
      <c r="C504" s="1">
        <v>568.15</v>
      </c>
      <c r="D504" s="1">
        <v>12.9</v>
      </c>
      <c r="E504" s="1">
        <v>568.15</v>
      </c>
      <c r="F504" s="1">
        <v>13.2</v>
      </c>
      <c r="G504" s="1">
        <v>568.15</v>
      </c>
      <c r="H504" s="1">
        <v>13.7</v>
      </c>
      <c r="I504" s="1">
        <v>568.15</v>
      </c>
      <c r="J504" s="1">
        <v>13.8</v>
      </c>
      <c r="K504" s="1">
        <v>568.15</v>
      </c>
      <c r="L504" s="1">
        <v>13.9</v>
      </c>
      <c r="M504" s="1">
        <v>568.15</v>
      </c>
      <c r="N504" s="1">
        <v>12.1</v>
      </c>
      <c r="O504" s="1">
        <v>12.9</v>
      </c>
      <c r="P504" s="1">
        <v>13.2</v>
      </c>
      <c r="Q504" s="1">
        <v>13.7</v>
      </c>
      <c r="R504" s="1">
        <v>13.8</v>
      </c>
      <c r="S504" s="1">
        <v>13.9</v>
      </c>
      <c r="T504" s="1">
        <v>568.15</v>
      </c>
      <c r="U504" s="1">
        <f>IF(Table14[[#This Row],[I_0]] &lt; INDEX(Table28[Filtro de ruido],1), 1, Table14[[#This Row],[I_10]] / Table14[[#This Row],[I_0]])</f>
        <v>1.0661157024793388</v>
      </c>
      <c r="V504" s="1">
        <f>IF(Table14[[#This Row],[I_0]] &lt; INDEX(Table28[Filtro de ruido],1), 1, Table14[[#This Row],[I_20]] / Table14[[#This Row],[I_0]])</f>
        <v>1.0909090909090908</v>
      </c>
      <c r="W504" s="1">
        <f>IF(Table14[[#This Row],[I_0]] &lt; INDEX(Table28[Filtro de ruido],1), 1, Table14[[#This Row],[I_30]] / Table14[[#This Row],[I_0]])</f>
        <v>1.1322314049586777</v>
      </c>
      <c r="X504" s="1">
        <f>IF(Table14[[#This Row],[I_0]] &lt; INDEX(Table28[Filtro de ruido],1), 1, Table14[[#This Row],[I_40]] / Table14[[#This Row],[I_0]])</f>
        <v>1.1404958677685952</v>
      </c>
      <c r="Y504" s="19">
        <f>IF(Table14[[#This Row],[I_0]] &lt; INDEX(Table28[Filtro de ruido],1), 1, Table14[[#This Row],[I_50]] / Table14[[#This Row],[I_0]])</f>
        <v>1.1487603305785126</v>
      </c>
      <c r="AA504" s="1"/>
    </row>
    <row r="505" spans="1:27" x14ac:dyDescent="0.3">
      <c r="A505" s="18">
        <v>569.14</v>
      </c>
      <c r="B505" s="1">
        <v>11.8</v>
      </c>
      <c r="C505" s="1">
        <v>569.14</v>
      </c>
      <c r="D505" s="1">
        <v>12.5</v>
      </c>
      <c r="E505" s="1">
        <v>569.14</v>
      </c>
      <c r="F505" s="1">
        <v>12.8</v>
      </c>
      <c r="G505" s="1">
        <v>569.14</v>
      </c>
      <c r="H505" s="1">
        <v>13.4</v>
      </c>
      <c r="I505" s="1">
        <v>569.14</v>
      </c>
      <c r="J505" s="1">
        <v>13.4</v>
      </c>
      <c r="K505" s="1">
        <v>569.14</v>
      </c>
      <c r="L505" s="1">
        <v>13.5</v>
      </c>
      <c r="M505" s="1">
        <v>569.14</v>
      </c>
      <c r="N505" s="1">
        <v>11.8</v>
      </c>
      <c r="O505" s="1">
        <v>12.5</v>
      </c>
      <c r="P505" s="1">
        <v>12.8</v>
      </c>
      <c r="Q505" s="1">
        <v>13.4</v>
      </c>
      <c r="R505" s="1">
        <v>13.4</v>
      </c>
      <c r="S505" s="1">
        <v>13.5</v>
      </c>
      <c r="T505" s="1">
        <v>569.14</v>
      </c>
      <c r="U505" s="1">
        <f>IF(Table14[[#This Row],[I_0]] &lt; INDEX(Table28[Filtro de ruido],1), 1, Table14[[#This Row],[I_10]] / Table14[[#This Row],[I_0]])</f>
        <v>1.0593220338983049</v>
      </c>
      <c r="V505" s="1">
        <f>IF(Table14[[#This Row],[I_0]] &lt; INDEX(Table28[Filtro de ruido],1), 1, Table14[[#This Row],[I_20]] / Table14[[#This Row],[I_0]])</f>
        <v>1.0847457627118644</v>
      </c>
      <c r="W505" s="1">
        <f>IF(Table14[[#This Row],[I_0]] &lt; INDEX(Table28[Filtro de ruido],1), 1, Table14[[#This Row],[I_30]] / Table14[[#This Row],[I_0]])</f>
        <v>1.1355932203389829</v>
      </c>
      <c r="X505" s="1">
        <f>IF(Table14[[#This Row],[I_0]] &lt; INDEX(Table28[Filtro de ruido],1), 1, Table14[[#This Row],[I_40]] / Table14[[#This Row],[I_0]])</f>
        <v>1.1355932203389829</v>
      </c>
      <c r="Y505" s="19">
        <f>IF(Table14[[#This Row],[I_0]] &lt; INDEX(Table28[Filtro de ruido],1), 1, Table14[[#This Row],[I_50]] / Table14[[#This Row],[I_0]])</f>
        <v>1.1440677966101693</v>
      </c>
      <c r="AA505" s="1"/>
    </row>
    <row r="506" spans="1:27" x14ac:dyDescent="0.3">
      <c r="A506" s="18">
        <v>570.13</v>
      </c>
      <c r="B506" s="1">
        <v>11.5</v>
      </c>
      <c r="C506" s="1">
        <v>570.13</v>
      </c>
      <c r="D506" s="1">
        <v>12.2</v>
      </c>
      <c r="E506" s="1">
        <v>570.13</v>
      </c>
      <c r="F506" s="1">
        <v>12.6</v>
      </c>
      <c r="G506" s="1">
        <v>570.13</v>
      </c>
      <c r="H506" s="1">
        <v>13.1</v>
      </c>
      <c r="I506" s="1">
        <v>570.13</v>
      </c>
      <c r="J506" s="1">
        <v>13.1</v>
      </c>
      <c r="K506" s="1">
        <v>570.13</v>
      </c>
      <c r="L506" s="1">
        <v>13.2</v>
      </c>
      <c r="M506" s="1">
        <v>570.13</v>
      </c>
      <c r="N506" s="1">
        <v>11.5</v>
      </c>
      <c r="O506" s="1">
        <v>12.2</v>
      </c>
      <c r="P506" s="1">
        <v>12.6</v>
      </c>
      <c r="Q506" s="1">
        <v>13.1</v>
      </c>
      <c r="R506" s="1">
        <v>13.1</v>
      </c>
      <c r="S506" s="1">
        <v>13.2</v>
      </c>
      <c r="T506" s="1">
        <v>570.13</v>
      </c>
      <c r="U506" s="1">
        <f>IF(Table14[[#This Row],[I_0]] &lt; INDEX(Table28[Filtro de ruido],1), 1, Table14[[#This Row],[I_10]] / Table14[[#This Row],[I_0]])</f>
        <v>1.0608695652173912</v>
      </c>
      <c r="V506" s="1">
        <f>IF(Table14[[#This Row],[I_0]] &lt; INDEX(Table28[Filtro de ruido],1), 1, Table14[[#This Row],[I_20]] / Table14[[#This Row],[I_0]])</f>
        <v>1.0956521739130434</v>
      </c>
      <c r="W506" s="1">
        <f>IF(Table14[[#This Row],[I_0]] &lt; INDEX(Table28[Filtro de ruido],1), 1, Table14[[#This Row],[I_30]] / Table14[[#This Row],[I_0]])</f>
        <v>1.1391304347826086</v>
      </c>
      <c r="X506" s="1">
        <f>IF(Table14[[#This Row],[I_0]] &lt; INDEX(Table28[Filtro de ruido],1), 1, Table14[[#This Row],[I_40]] / Table14[[#This Row],[I_0]])</f>
        <v>1.1391304347826086</v>
      </c>
      <c r="Y506" s="19">
        <f>IF(Table14[[#This Row],[I_0]] &lt; INDEX(Table28[Filtro de ruido],1), 1, Table14[[#This Row],[I_50]] / Table14[[#This Row],[I_0]])</f>
        <v>1.1478260869565218</v>
      </c>
      <c r="AA506" s="1"/>
    </row>
    <row r="507" spans="1:27" x14ac:dyDescent="0.3">
      <c r="A507" s="18">
        <v>571.12</v>
      </c>
      <c r="B507" s="1">
        <v>11.2</v>
      </c>
      <c r="C507" s="1">
        <v>571.12</v>
      </c>
      <c r="D507" s="1">
        <v>11.9</v>
      </c>
      <c r="E507" s="1">
        <v>571.12</v>
      </c>
      <c r="F507" s="1">
        <v>12.2</v>
      </c>
      <c r="G507" s="1">
        <v>571.12</v>
      </c>
      <c r="H507" s="1">
        <v>12.8</v>
      </c>
      <c r="I507" s="1">
        <v>571.12</v>
      </c>
      <c r="J507" s="1">
        <v>12.8</v>
      </c>
      <c r="K507" s="1">
        <v>571.12</v>
      </c>
      <c r="L507" s="1">
        <v>12.8</v>
      </c>
      <c r="M507" s="1">
        <v>571.12</v>
      </c>
      <c r="N507" s="1">
        <v>11.2</v>
      </c>
      <c r="O507" s="1">
        <v>11.9</v>
      </c>
      <c r="P507" s="1">
        <v>12.2</v>
      </c>
      <c r="Q507" s="1">
        <v>12.8</v>
      </c>
      <c r="R507" s="1">
        <v>12.8</v>
      </c>
      <c r="S507" s="1">
        <v>12.8</v>
      </c>
      <c r="T507" s="1">
        <v>571.12</v>
      </c>
      <c r="U507" s="1">
        <f>IF(Table14[[#This Row],[I_0]] &lt; INDEX(Table28[Filtro de ruido],1), 1, Table14[[#This Row],[I_10]] / Table14[[#This Row],[I_0]])</f>
        <v>1.0625</v>
      </c>
      <c r="V507" s="1">
        <f>IF(Table14[[#This Row],[I_0]] &lt; INDEX(Table28[Filtro de ruido],1), 1, Table14[[#This Row],[I_20]] / Table14[[#This Row],[I_0]])</f>
        <v>1.0892857142857142</v>
      </c>
      <c r="W507" s="1">
        <f>IF(Table14[[#This Row],[I_0]] &lt; INDEX(Table28[Filtro de ruido],1), 1, Table14[[#This Row],[I_30]] / Table14[[#This Row],[I_0]])</f>
        <v>1.142857142857143</v>
      </c>
      <c r="X507" s="1">
        <f>IF(Table14[[#This Row],[I_0]] &lt; INDEX(Table28[Filtro de ruido],1), 1, Table14[[#This Row],[I_40]] / Table14[[#This Row],[I_0]])</f>
        <v>1.142857142857143</v>
      </c>
      <c r="Y507" s="19">
        <f>IF(Table14[[#This Row],[I_0]] &lt; INDEX(Table28[Filtro de ruido],1), 1, Table14[[#This Row],[I_50]] / Table14[[#This Row],[I_0]])</f>
        <v>1.142857142857143</v>
      </c>
      <c r="AA507" s="1"/>
    </row>
    <row r="508" spans="1:27" x14ac:dyDescent="0.3">
      <c r="A508" s="18">
        <v>572.11</v>
      </c>
      <c r="B508" s="1">
        <v>11</v>
      </c>
      <c r="C508" s="1">
        <v>572.11</v>
      </c>
      <c r="D508" s="1">
        <v>11.7</v>
      </c>
      <c r="E508" s="1">
        <v>572.11</v>
      </c>
      <c r="F508" s="1">
        <v>12</v>
      </c>
      <c r="G508" s="1">
        <v>572.11</v>
      </c>
      <c r="H508" s="1">
        <v>12.5</v>
      </c>
      <c r="I508" s="1">
        <v>572.11</v>
      </c>
      <c r="J508" s="1">
        <v>12.5</v>
      </c>
      <c r="K508" s="1">
        <v>572.11</v>
      </c>
      <c r="L508" s="1">
        <v>12.6</v>
      </c>
      <c r="M508" s="1">
        <v>572.11</v>
      </c>
      <c r="N508" s="1">
        <v>11</v>
      </c>
      <c r="O508" s="1">
        <v>11.7</v>
      </c>
      <c r="P508" s="1">
        <v>12</v>
      </c>
      <c r="Q508" s="1">
        <v>12.5</v>
      </c>
      <c r="R508" s="1">
        <v>12.5</v>
      </c>
      <c r="S508" s="1">
        <v>12.6</v>
      </c>
      <c r="T508" s="1">
        <v>572.11</v>
      </c>
      <c r="U508" s="1">
        <f>IF(Table14[[#This Row],[I_0]] &lt; INDEX(Table28[Filtro de ruido],1), 1, Table14[[#This Row],[I_10]] / Table14[[#This Row],[I_0]])</f>
        <v>1.0636363636363635</v>
      </c>
      <c r="V508" s="1">
        <f>IF(Table14[[#This Row],[I_0]] &lt; INDEX(Table28[Filtro de ruido],1), 1, Table14[[#This Row],[I_20]] / Table14[[#This Row],[I_0]])</f>
        <v>1.0909090909090908</v>
      </c>
      <c r="W508" s="1">
        <f>IF(Table14[[#This Row],[I_0]] &lt; INDEX(Table28[Filtro de ruido],1), 1, Table14[[#This Row],[I_30]] / Table14[[#This Row],[I_0]])</f>
        <v>1.1363636363636365</v>
      </c>
      <c r="X508" s="1">
        <f>IF(Table14[[#This Row],[I_0]] &lt; INDEX(Table28[Filtro de ruido],1), 1, Table14[[#This Row],[I_40]] / Table14[[#This Row],[I_0]])</f>
        <v>1.1363636363636365</v>
      </c>
      <c r="Y508" s="19">
        <f>IF(Table14[[#This Row],[I_0]] &lt; INDEX(Table28[Filtro de ruido],1), 1, Table14[[#This Row],[I_50]] / Table14[[#This Row],[I_0]])</f>
        <v>1.1454545454545455</v>
      </c>
      <c r="AA508" s="1"/>
    </row>
    <row r="509" spans="1:27" x14ac:dyDescent="0.3">
      <c r="A509" s="18">
        <v>573.11</v>
      </c>
      <c r="B509" s="1">
        <v>10.7</v>
      </c>
      <c r="C509" s="1">
        <v>573.11</v>
      </c>
      <c r="D509" s="1">
        <v>11.5</v>
      </c>
      <c r="E509" s="1">
        <v>573.11</v>
      </c>
      <c r="F509" s="1">
        <v>11.7</v>
      </c>
      <c r="G509" s="1">
        <v>573.11</v>
      </c>
      <c r="H509" s="1">
        <v>12.2</v>
      </c>
      <c r="I509" s="1">
        <v>573.11</v>
      </c>
      <c r="J509" s="1">
        <v>12.3</v>
      </c>
      <c r="K509" s="1">
        <v>573.11</v>
      </c>
      <c r="L509" s="1">
        <v>12.3</v>
      </c>
      <c r="M509" s="1">
        <v>573.11</v>
      </c>
      <c r="N509" s="1">
        <v>10.7</v>
      </c>
      <c r="O509" s="1">
        <v>11.5</v>
      </c>
      <c r="P509" s="1">
        <v>11.7</v>
      </c>
      <c r="Q509" s="1">
        <v>12.2</v>
      </c>
      <c r="R509" s="1">
        <v>12.3</v>
      </c>
      <c r="S509" s="1">
        <v>12.3</v>
      </c>
      <c r="T509" s="1">
        <v>573.11</v>
      </c>
      <c r="U509" s="1">
        <f>IF(Table14[[#This Row],[I_0]] &lt; INDEX(Table28[Filtro de ruido],1), 1, Table14[[#This Row],[I_10]] / Table14[[#This Row],[I_0]])</f>
        <v>1.0747663551401869</v>
      </c>
      <c r="V509" s="1">
        <f>IF(Table14[[#This Row],[I_0]] &lt; INDEX(Table28[Filtro de ruido],1), 1, Table14[[#This Row],[I_20]] / Table14[[#This Row],[I_0]])</f>
        <v>1.0934579439252337</v>
      </c>
      <c r="W509" s="1">
        <f>IF(Table14[[#This Row],[I_0]] &lt; INDEX(Table28[Filtro de ruido],1), 1, Table14[[#This Row],[I_30]] / Table14[[#This Row],[I_0]])</f>
        <v>1.1401869158878504</v>
      </c>
      <c r="X509" s="1">
        <f>IF(Table14[[#This Row],[I_0]] &lt; INDEX(Table28[Filtro de ruido],1), 1, Table14[[#This Row],[I_40]] / Table14[[#This Row],[I_0]])</f>
        <v>1.1495327102803741</v>
      </c>
      <c r="Y509" s="19">
        <f>IF(Table14[[#This Row],[I_0]] &lt; INDEX(Table28[Filtro de ruido],1), 1, Table14[[#This Row],[I_50]] / Table14[[#This Row],[I_0]])</f>
        <v>1.1495327102803741</v>
      </c>
      <c r="AA509" s="1"/>
    </row>
    <row r="510" spans="1:27" x14ac:dyDescent="0.3">
      <c r="A510" s="18">
        <v>574.1</v>
      </c>
      <c r="B510" s="1">
        <v>10.6</v>
      </c>
      <c r="C510" s="1">
        <v>574.1</v>
      </c>
      <c r="D510" s="1">
        <v>11.3</v>
      </c>
      <c r="E510" s="1">
        <v>574.1</v>
      </c>
      <c r="F510" s="1">
        <v>11.5</v>
      </c>
      <c r="G510" s="1">
        <v>574.1</v>
      </c>
      <c r="H510" s="1">
        <v>12</v>
      </c>
      <c r="I510" s="1">
        <v>574.1</v>
      </c>
      <c r="J510" s="1">
        <v>12.1</v>
      </c>
      <c r="K510" s="1">
        <v>574.1</v>
      </c>
      <c r="L510" s="1">
        <v>12.1</v>
      </c>
      <c r="M510" s="1">
        <v>574.1</v>
      </c>
      <c r="N510" s="1">
        <v>10.6</v>
      </c>
      <c r="O510" s="1">
        <v>11.3</v>
      </c>
      <c r="P510" s="1">
        <v>11.5</v>
      </c>
      <c r="Q510" s="1">
        <v>12</v>
      </c>
      <c r="R510" s="1">
        <v>12.1</v>
      </c>
      <c r="S510" s="1">
        <v>12.1</v>
      </c>
      <c r="T510" s="1">
        <v>574.1</v>
      </c>
      <c r="U510" s="1">
        <f>IF(Table14[[#This Row],[I_0]] &lt; INDEX(Table28[Filtro de ruido],1), 1, Table14[[#This Row],[I_10]] / Table14[[#This Row],[I_0]])</f>
        <v>1.0660377358490567</v>
      </c>
      <c r="V510" s="1">
        <f>IF(Table14[[#This Row],[I_0]] &lt; INDEX(Table28[Filtro de ruido],1), 1, Table14[[#This Row],[I_20]] / Table14[[#This Row],[I_0]])</f>
        <v>1.0849056603773586</v>
      </c>
      <c r="W510" s="1">
        <f>IF(Table14[[#This Row],[I_0]] &lt; INDEX(Table28[Filtro de ruido],1), 1, Table14[[#This Row],[I_30]] / Table14[[#This Row],[I_0]])</f>
        <v>1.1320754716981132</v>
      </c>
      <c r="X510" s="1">
        <f>IF(Table14[[#This Row],[I_0]] &lt; INDEX(Table28[Filtro de ruido],1), 1, Table14[[#This Row],[I_40]] / Table14[[#This Row],[I_0]])</f>
        <v>1.1415094339622642</v>
      </c>
      <c r="Y510" s="19">
        <f>IF(Table14[[#This Row],[I_0]] &lt; INDEX(Table28[Filtro de ruido],1), 1, Table14[[#This Row],[I_50]] / Table14[[#This Row],[I_0]])</f>
        <v>1.1415094339622642</v>
      </c>
      <c r="AA510" s="1"/>
    </row>
    <row r="511" spans="1:27" x14ac:dyDescent="0.3">
      <c r="A511" s="18">
        <v>575.09</v>
      </c>
      <c r="B511" s="1">
        <v>10.4</v>
      </c>
      <c r="C511" s="1">
        <v>575.09</v>
      </c>
      <c r="D511" s="1">
        <v>11.1</v>
      </c>
      <c r="E511" s="1">
        <v>575.09</v>
      </c>
      <c r="F511" s="1">
        <v>11.3</v>
      </c>
      <c r="G511" s="1">
        <v>575.09</v>
      </c>
      <c r="H511" s="1">
        <v>11.8</v>
      </c>
      <c r="I511" s="1">
        <v>575.09</v>
      </c>
      <c r="J511" s="1">
        <v>11.8</v>
      </c>
      <c r="K511" s="1">
        <v>575.09</v>
      </c>
      <c r="L511" s="1">
        <v>11.8</v>
      </c>
      <c r="M511" s="1">
        <v>575.09</v>
      </c>
      <c r="N511" s="1">
        <v>10.4</v>
      </c>
      <c r="O511" s="1">
        <v>11.1</v>
      </c>
      <c r="P511" s="1">
        <v>11.3</v>
      </c>
      <c r="Q511" s="1">
        <v>11.8</v>
      </c>
      <c r="R511" s="1">
        <v>11.8</v>
      </c>
      <c r="S511" s="1">
        <v>11.8</v>
      </c>
      <c r="T511" s="1">
        <v>575.09</v>
      </c>
      <c r="U511" s="1">
        <f>IF(Table14[[#This Row],[I_0]] &lt; INDEX(Table28[Filtro de ruido],1), 1, Table14[[#This Row],[I_10]] / Table14[[#This Row],[I_0]])</f>
        <v>1.0673076923076923</v>
      </c>
      <c r="V511" s="1">
        <f>IF(Table14[[#This Row],[I_0]] &lt; INDEX(Table28[Filtro de ruido],1), 1, Table14[[#This Row],[I_20]] / Table14[[#This Row],[I_0]])</f>
        <v>1.0865384615384617</v>
      </c>
      <c r="W511" s="1">
        <f>IF(Table14[[#This Row],[I_0]] &lt; INDEX(Table28[Filtro de ruido],1), 1, Table14[[#This Row],[I_30]] / Table14[[#This Row],[I_0]])</f>
        <v>1.1346153846153846</v>
      </c>
      <c r="X511" s="1">
        <f>IF(Table14[[#This Row],[I_0]] &lt; INDEX(Table28[Filtro de ruido],1), 1, Table14[[#This Row],[I_40]] / Table14[[#This Row],[I_0]])</f>
        <v>1.1346153846153846</v>
      </c>
      <c r="Y511" s="19">
        <f>IF(Table14[[#This Row],[I_0]] &lt; INDEX(Table28[Filtro de ruido],1), 1, Table14[[#This Row],[I_50]] / Table14[[#This Row],[I_0]])</f>
        <v>1.1346153846153846</v>
      </c>
      <c r="AA511" s="1"/>
    </row>
    <row r="512" spans="1:27" x14ac:dyDescent="0.3">
      <c r="A512" s="18">
        <v>576.08000000000004</v>
      </c>
      <c r="B512" s="1">
        <v>10.199999999999999</v>
      </c>
      <c r="C512" s="1">
        <v>576.08000000000004</v>
      </c>
      <c r="D512" s="1">
        <v>10.9</v>
      </c>
      <c r="E512" s="1">
        <v>576.08000000000004</v>
      </c>
      <c r="F512" s="1">
        <v>11.2</v>
      </c>
      <c r="G512" s="1">
        <v>576.08000000000004</v>
      </c>
      <c r="H512" s="1">
        <v>11.6</v>
      </c>
      <c r="I512" s="1">
        <v>576.08000000000004</v>
      </c>
      <c r="J512" s="1">
        <v>11.7</v>
      </c>
      <c r="K512" s="1">
        <v>576.08000000000004</v>
      </c>
      <c r="L512" s="1">
        <v>11.7</v>
      </c>
      <c r="M512" s="1">
        <v>576.08000000000004</v>
      </c>
      <c r="N512" s="1">
        <v>10.199999999999999</v>
      </c>
      <c r="O512" s="1">
        <v>10.9</v>
      </c>
      <c r="P512" s="1">
        <v>11.2</v>
      </c>
      <c r="Q512" s="1">
        <v>11.6</v>
      </c>
      <c r="R512" s="1">
        <v>11.7</v>
      </c>
      <c r="S512" s="1">
        <v>11.7</v>
      </c>
      <c r="T512" s="1">
        <v>576.08000000000004</v>
      </c>
      <c r="U512" s="1">
        <f>IF(Table14[[#This Row],[I_0]] &lt; INDEX(Table28[Filtro de ruido],1), 1, Table14[[#This Row],[I_10]] / Table14[[#This Row],[I_0]])</f>
        <v>1.0686274509803924</v>
      </c>
      <c r="V512" s="1">
        <f>IF(Table14[[#This Row],[I_0]] &lt; INDEX(Table28[Filtro de ruido],1), 1, Table14[[#This Row],[I_20]] / Table14[[#This Row],[I_0]])</f>
        <v>1.0980392156862746</v>
      </c>
      <c r="W512" s="1">
        <f>IF(Table14[[#This Row],[I_0]] &lt; INDEX(Table28[Filtro de ruido],1), 1, Table14[[#This Row],[I_30]] / Table14[[#This Row],[I_0]])</f>
        <v>1.1372549019607843</v>
      </c>
      <c r="X512" s="1">
        <f>IF(Table14[[#This Row],[I_0]] &lt; INDEX(Table28[Filtro de ruido],1), 1, Table14[[#This Row],[I_40]] / Table14[[#This Row],[I_0]])</f>
        <v>1.1470588235294117</v>
      </c>
      <c r="Y512" s="19">
        <f>IF(Table14[[#This Row],[I_0]] &lt; INDEX(Table28[Filtro de ruido],1), 1, Table14[[#This Row],[I_50]] / Table14[[#This Row],[I_0]])</f>
        <v>1.1470588235294117</v>
      </c>
      <c r="AA512" s="1"/>
    </row>
    <row r="513" spans="1:27" x14ac:dyDescent="0.3">
      <c r="A513" s="18">
        <v>577.07000000000005</v>
      </c>
      <c r="B513" s="1">
        <v>10.1</v>
      </c>
      <c r="C513" s="1">
        <v>577.07000000000005</v>
      </c>
      <c r="D513" s="1">
        <v>10.7</v>
      </c>
      <c r="E513" s="1">
        <v>577.07000000000005</v>
      </c>
      <c r="F513" s="1">
        <v>11</v>
      </c>
      <c r="G513" s="1">
        <v>577.07000000000005</v>
      </c>
      <c r="H513" s="1">
        <v>11.4</v>
      </c>
      <c r="I513" s="1">
        <v>577.07000000000005</v>
      </c>
      <c r="J513" s="1">
        <v>11.5</v>
      </c>
      <c r="K513" s="1">
        <v>577.07000000000005</v>
      </c>
      <c r="L513" s="1">
        <v>11.5</v>
      </c>
      <c r="M513" s="1">
        <v>577.07000000000005</v>
      </c>
      <c r="N513" s="1">
        <v>10.1</v>
      </c>
      <c r="O513" s="1">
        <v>10.7</v>
      </c>
      <c r="P513" s="1">
        <v>11</v>
      </c>
      <c r="Q513" s="1">
        <v>11.4</v>
      </c>
      <c r="R513" s="1">
        <v>11.5</v>
      </c>
      <c r="S513" s="1">
        <v>11.5</v>
      </c>
      <c r="T513" s="1">
        <v>577.07000000000005</v>
      </c>
      <c r="U513" s="1">
        <f>IF(Table14[[#This Row],[I_0]] &lt; INDEX(Table28[Filtro de ruido],1), 1, Table14[[#This Row],[I_10]] / Table14[[#This Row],[I_0]])</f>
        <v>1.0594059405940595</v>
      </c>
      <c r="V513" s="1">
        <f>IF(Table14[[#This Row],[I_0]] &lt; INDEX(Table28[Filtro de ruido],1), 1, Table14[[#This Row],[I_20]] / Table14[[#This Row],[I_0]])</f>
        <v>1.0891089108910892</v>
      </c>
      <c r="W513" s="1">
        <f>IF(Table14[[#This Row],[I_0]] &lt; INDEX(Table28[Filtro de ruido],1), 1, Table14[[#This Row],[I_30]] / Table14[[#This Row],[I_0]])</f>
        <v>1.1287128712871288</v>
      </c>
      <c r="X513" s="1">
        <f>IF(Table14[[#This Row],[I_0]] &lt; INDEX(Table28[Filtro de ruido],1), 1, Table14[[#This Row],[I_40]] / Table14[[#This Row],[I_0]])</f>
        <v>1.1386138613861387</v>
      </c>
      <c r="Y513" s="19">
        <f>IF(Table14[[#This Row],[I_0]] &lt; INDEX(Table28[Filtro de ruido],1), 1, Table14[[#This Row],[I_50]] / Table14[[#This Row],[I_0]])</f>
        <v>1.1386138613861387</v>
      </c>
      <c r="AA513" s="1"/>
    </row>
    <row r="514" spans="1:27" x14ac:dyDescent="0.3">
      <c r="A514" s="18">
        <v>578.05999999999995</v>
      </c>
      <c r="B514" s="1">
        <v>10</v>
      </c>
      <c r="C514" s="1">
        <v>578.05999999999995</v>
      </c>
      <c r="D514" s="1">
        <v>10.6</v>
      </c>
      <c r="E514" s="1">
        <v>578.05999999999995</v>
      </c>
      <c r="F514" s="1">
        <v>10.9</v>
      </c>
      <c r="G514" s="1">
        <v>578.05999999999995</v>
      </c>
      <c r="H514" s="1">
        <v>11.2</v>
      </c>
      <c r="I514" s="1">
        <v>578.05999999999995</v>
      </c>
      <c r="J514" s="1">
        <v>11.4</v>
      </c>
      <c r="K514" s="1">
        <v>578.05999999999995</v>
      </c>
      <c r="L514" s="1">
        <v>11.3</v>
      </c>
      <c r="M514" s="1">
        <v>578.05999999999995</v>
      </c>
      <c r="N514" s="1">
        <v>10</v>
      </c>
      <c r="O514" s="1">
        <v>10.6</v>
      </c>
      <c r="P514" s="1">
        <v>10.9</v>
      </c>
      <c r="Q514" s="1">
        <v>11.2</v>
      </c>
      <c r="R514" s="1">
        <v>11.4</v>
      </c>
      <c r="S514" s="1">
        <v>11.3</v>
      </c>
      <c r="T514" s="1">
        <v>578.05999999999995</v>
      </c>
      <c r="U514" s="1">
        <f>IF(Table14[[#This Row],[I_0]] &lt; INDEX(Table28[Filtro de ruido],1), 1, Table14[[#This Row],[I_10]] / Table14[[#This Row],[I_0]])</f>
        <v>1.06</v>
      </c>
      <c r="V514" s="1">
        <f>IF(Table14[[#This Row],[I_0]] &lt; INDEX(Table28[Filtro de ruido],1), 1, Table14[[#This Row],[I_20]] / Table14[[#This Row],[I_0]])</f>
        <v>1.0900000000000001</v>
      </c>
      <c r="W514" s="1">
        <f>IF(Table14[[#This Row],[I_0]] &lt; INDEX(Table28[Filtro de ruido],1), 1, Table14[[#This Row],[I_30]] / Table14[[#This Row],[I_0]])</f>
        <v>1.1199999999999999</v>
      </c>
      <c r="X514" s="1">
        <f>IF(Table14[[#This Row],[I_0]] &lt; INDEX(Table28[Filtro de ruido],1), 1, Table14[[#This Row],[I_40]] / Table14[[#This Row],[I_0]])</f>
        <v>1.1400000000000001</v>
      </c>
      <c r="Y514" s="19">
        <f>IF(Table14[[#This Row],[I_0]] &lt; INDEX(Table28[Filtro de ruido],1), 1, Table14[[#This Row],[I_50]] / Table14[[#This Row],[I_0]])</f>
        <v>1.1300000000000001</v>
      </c>
      <c r="AA514" s="1"/>
    </row>
    <row r="515" spans="1:27" x14ac:dyDescent="0.3">
      <c r="A515" s="18">
        <v>579.05999999999995</v>
      </c>
      <c r="B515" s="1">
        <v>9.8000000000000007</v>
      </c>
      <c r="C515" s="1">
        <v>579.05999999999995</v>
      </c>
      <c r="D515" s="1">
        <v>10.5</v>
      </c>
      <c r="E515" s="1">
        <v>579.05999999999995</v>
      </c>
      <c r="F515" s="1">
        <v>10.7</v>
      </c>
      <c r="G515" s="1">
        <v>579.05999999999995</v>
      </c>
      <c r="H515" s="1">
        <v>11.1</v>
      </c>
      <c r="I515" s="1">
        <v>579.05999999999995</v>
      </c>
      <c r="J515" s="1">
        <v>11.3</v>
      </c>
      <c r="K515" s="1">
        <v>579.05999999999995</v>
      </c>
      <c r="L515" s="1">
        <v>11.2</v>
      </c>
      <c r="M515" s="1">
        <v>579.05999999999995</v>
      </c>
      <c r="N515" s="1">
        <v>9.8000000000000007</v>
      </c>
      <c r="O515" s="1">
        <v>10.5</v>
      </c>
      <c r="P515" s="1">
        <v>10.7</v>
      </c>
      <c r="Q515" s="1">
        <v>11.1</v>
      </c>
      <c r="R515" s="1">
        <v>11.3</v>
      </c>
      <c r="S515" s="1">
        <v>11.2</v>
      </c>
      <c r="T515" s="1">
        <v>579.05999999999995</v>
      </c>
      <c r="U515" s="1">
        <f>IF(Table14[[#This Row],[I_0]] &lt; INDEX(Table28[Filtro de ruido],1), 1, Table14[[#This Row],[I_10]] / Table14[[#This Row],[I_0]])</f>
        <v>1.0714285714285714</v>
      </c>
      <c r="V515" s="1">
        <f>IF(Table14[[#This Row],[I_0]] &lt; INDEX(Table28[Filtro de ruido],1), 1, Table14[[#This Row],[I_20]] / Table14[[#This Row],[I_0]])</f>
        <v>1.0918367346938773</v>
      </c>
      <c r="W515" s="1">
        <f>IF(Table14[[#This Row],[I_0]] &lt; INDEX(Table28[Filtro de ruido],1), 1, Table14[[#This Row],[I_30]] / Table14[[#This Row],[I_0]])</f>
        <v>1.1326530612244896</v>
      </c>
      <c r="X515" s="1">
        <f>IF(Table14[[#This Row],[I_0]] &lt; INDEX(Table28[Filtro de ruido],1), 1, Table14[[#This Row],[I_40]] / Table14[[#This Row],[I_0]])</f>
        <v>1.153061224489796</v>
      </c>
      <c r="Y515" s="19">
        <f>IF(Table14[[#This Row],[I_0]] &lt; INDEX(Table28[Filtro de ruido],1), 1, Table14[[#This Row],[I_50]] / Table14[[#This Row],[I_0]])</f>
        <v>1.1428571428571428</v>
      </c>
      <c r="AA515" s="1"/>
    </row>
    <row r="516" spans="1:27" x14ac:dyDescent="0.3">
      <c r="A516" s="18">
        <v>580.04999999999995</v>
      </c>
      <c r="B516" s="1">
        <v>9.8000000000000007</v>
      </c>
      <c r="C516" s="1">
        <v>580.04999999999995</v>
      </c>
      <c r="D516" s="1">
        <v>10.5</v>
      </c>
      <c r="E516" s="1">
        <v>580.04999999999995</v>
      </c>
      <c r="F516" s="1">
        <v>10.7</v>
      </c>
      <c r="G516" s="1">
        <v>580.04999999999995</v>
      </c>
      <c r="H516" s="1">
        <v>11.1</v>
      </c>
      <c r="I516" s="1">
        <v>580.04999999999995</v>
      </c>
      <c r="J516" s="1">
        <v>11.2</v>
      </c>
      <c r="K516" s="1">
        <v>580.04999999999995</v>
      </c>
      <c r="L516" s="1">
        <v>11.2</v>
      </c>
      <c r="M516" s="1">
        <v>580.04999999999995</v>
      </c>
      <c r="N516" s="1">
        <v>9.8000000000000007</v>
      </c>
      <c r="O516" s="1">
        <v>10.5</v>
      </c>
      <c r="P516" s="1">
        <v>10.7</v>
      </c>
      <c r="Q516" s="1">
        <v>11.1</v>
      </c>
      <c r="R516" s="1">
        <v>11.2</v>
      </c>
      <c r="S516" s="1">
        <v>11.2</v>
      </c>
      <c r="T516" s="1">
        <v>580.04999999999995</v>
      </c>
      <c r="U516" s="1">
        <f>IF(Table14[[#This Row],[I_0]] &lt; INDEX(Table28[Filtro de ruido],1), 1, Table14[[#This Row],[I_10]] / Table14[[#This Row],[I_0]])</f>
        <v>1.0714285714285714</v>
      </c>
      <c r="V516" s="1">
        <f>IF(Table14[[#This Row],[I_0]] &lt; INDEX(Table28[Filtro de ruido],1), 1, Table14[[#This Row],[I_20]] / Table14[[#This Row],[I_0]])</f>
        <v>1.0918367346938773</v>
      </c>
      <c r="W516" s="1">
        <f>IF(Table14[[#This Row],[I_0]] &lt; INDEX(Table28[Filtro de ruido],1), 1, Table14[[#This Row],[I_30]] / Table14[[#This Row],[I_0]])</f>
        <v>1.1326530612244896</v>
      </c>
      <c r="X516" s="1">
        <f>IF(Table14[[#This Row],[I_0]] &lt; INDEX(Table28[Filtro de ruido],1), 1, Table14[[#This Row],[I_40]] / Table14[[#This Row],[I_0]])</f>
        <v>1.1428571428571428</v>
      </c>
      <c r="Y516" s="19">
        <f>IF(Table14[[#This Row],[I_0]] &lt; INDEX(Table28[Filtro de ruido],1), 1, Table14[[#This Row],[I_50]] / Table14[[#This Row],[I_0]])</f>
        <v>1.1428571428571428</v>
      </c>
      <c r="AA516" s="1"/>
    </row>
    <row r="517" spans="1:27" x14ac:dyDescent="0.3">
      <c r="A517" s="18">
        <v>581.04</v>
      </c>
      <c r="B517" s="1">
        <v>9.8000000000000007</v>
      </c>
      <c r="C517" s="1">
        <v>581.04</v>
      </c>
      <c r="D517" s="1">
        <v>10.5</v>
      </c>
      <c r="E517" s="1">
        <v>581.04</v>
      </c>
      <c r="F517" s="1">
        <v>10.7</v>
      </c>
      <c r="G517" s="1">
        <v>581.04</v>
      </c>
      <c r="H517" s="1">
        <v>11</v>
      </c>
      <c r="I517" s="1">
        <v>581.04</v>
      </c>
      <c r="J517" s="1">
        <v>11.2</v>
      </c>
      <c r="K517" s="1">
        <v>581.04</v>
      </c>
      <c r="L517" s="1">
        <v>11.2</v>
      </c>
      <c r="M517" s="1">
        <v>581.04</v>
      </c>
      <c r="N517" s="1">
        <v>9.8000000000000007</v>
      </c>
      <c r="O517" s="1">
        <v>10.5</v>
      </c>
      <c r="P517" s="1">
        <v>10.7</v>
      </c>
      <c r="Q517" s="1">
        <v>11</v>
      </c>
      <c r="R517" s="1">
        <v>11.2</v>
      </c>
      <c r="S517" s="1">
        <v>11.2</v>
      </c>
      <c r="T517" s="1">
        <v>581.04</v>
      </c>
      <c r="U517" s="1">
        <f>IF(Table14[[#This Row],[I_0]] &lt; INDEX(Table28[Filtro de ruido],1), 1, Table14[[#This Row],[I_10]] / Table14[[#This Row],[I_0]])</f>
        <v>1.0714285714285714</v>
      </c>
      <c r="V517" s="1">
        <f>IF(Table14[[#This Row],[I_0]] &lt; INDEX(Table28[Filtro de ruido],1), 1, Table14[[#This Row],[I_20]] / Table14[[#This Row],[I_0]])</f>
        <v>1.0918367346938773</v>
      </c>
      <c r="W517" s="1">
        <f>IF(Table14[[#This Row],[I_0]] &lt; INDEX(Table28[Filtro de ruido],1), 1, Table14[[#This Row],[I_30]] / Table14[[#This Row],[I_0]])</f>
        <v>1.1224489795918366</v>
      </c>
      <c r="X517" s="1">
        <f>IF(Table14[[#This Row],[I_0]] &lt; INDEX(Table28[Filtro de ruido],1), 1, Table14[[#This Row],[I_40]] / Table14[[#This Row],[I_0]])</f>
        <v>1.1428571428571428</v>
      </c>
      <c r="Y517" s="19">
        <f>IF(Table14[[#This Row],[I_0]] &lt; INDEX(Table28[Filtro de ruido],1), 1, Table14[[#This Row],[I_50]] / Table14[[#This Row],[I_0]])</f>
        <v>1.1428571428571428</v>
      </c>
      <c r="AA517" s="1"/>
    </row>
    <row r="518" spans="1:27" x14ac:dyDescent="0.3">
      <c r="A518" s="18">
        <v>582.03</v>
      </c>
      <c r="B518" s="1">
        <v>9.8000000000000007</v>
      </c>
      <c r="C518" s="1">
        <v>582.03</v>
      </c>
      <c r="D518" s="1">
        <v>10.4</v>
      </c>
      <c r="E518" s="1">
        <v>582.03</v>
      </c>
      <c r="F518" s="1">
        <v>10.7</v>
      </c>
      <c r="G518" s="1">
        <v>582.03</v>
      </c>
      <c r="H518" s="1">
        <v>11.1</v>
      </c>
      <c r="I518" s="1">
        <v>582.03</v>
      </c>
      <c r="J518" s="1">
        <v>11.2</v>
      </c>
      <c r="K518" s="1">
        <v>582.03</v>
      </c>
      <c r="L518" s="1">
        <v>11.2</v>
      </c>
      <c r="M518" s="1">
        <v>582.03</v>
      </c>
      <c r="N518" s="1">
        <v>9.8000000000000007</v>
      </c>
      <c r="O518" s="1">
        <v>10.4</v>
      </c>
      <c r="P518" s="1">
        <v>10.7</v>
      </c>
      <c r="Q518" s="1">
        <v>11.1</v>
      </c>
      <c r="R518" s="1">
        <v>11.2</v>
      </c>
      <c r="S518" s="1">
        <v>11.2</v>
      </c>
      <c r="T518" s="1">
        <v>582.03</v>
      </c>
      <c r="U518" s="1">
        <f>IF(Table14[[#This Row],[I_0]] &lt; INDEX(Table28[Filtro de ruido],1), 1, Table14[[#This Row],[I_10]] / Table14[[#This Row],[I_0]])</f>
        <v>1.0612244897959184</v>
      </c>
      <c r="V518" s="1">
        <f>IF(Table14[[#This Row],[I_0]] &lt; INDEX(Table28[Filtro de ruido],1), 1, Table14[[#This Row],[I_20]] / Table14[[#This Row],[I_0]])</f>
        <v>1.0918367346938773</v>
      </c>
      <c r="W518" s="1">
        <f>IF(Table14[[#This Row],[I_0]] &lt; INDEX(Table28[Filtro de ruido],1), 1, Table14[[#This Row],[I_30]] / Table14[[#This Row],[I_0]])</f>
        <v>1.1326530612244896</v>
      </c>
      <c r="X518" s="1">
        <f>IF(Table14[[#This Row],[I_0]] &lt; INDEX(Table28[Filtro de ruido],1), 1, Table14[[#This Row],[I_40]] / Table14[[#This Row],[I_0]])</f>
        <v>1.1428571428571428</v>
      </c>
      <c r="Y518" s="19">
        <f>IF(Table14[[#This Row],[I_0]] &lt; INDEX(Table28[Filtro de ruido],1), 1, Table14[[#This Row],[I_50]] / Table14[[#This Row],[I_0]])</f>
        <v>1.1428571428571428</v>
      </c>
      <c r="AA518" s="1"/>
    </row>
    <row r="519" spans="1:27" x14ac:dyDescent="0.3">
      <c r="A519" s="18">
        <v>583.02</v>
      </c>
      <c r="B519" s="1">
        <v>9.8000000000000007</v>
      </c>
      <c r="C519" s="1">
        <v>583.02</v>
      </c>
      <c r="D519" s="1">
        <v>10.5</v>
      </c>
      <c r="E519" s="1">
        <v>583.02</v>
      </c>
      <c r="F519" s="1">
        <v>10.8</v>
      </c>
      <c r="G519" s="1">
        <v>583.02</v>
      </c>
      <c r="H519" s="1">
        <v>11.2</v>
      </c>
      <c r="I519" s="1">
        <v>583.02</v>
      </c>
      <c r="J519" s="1">
        <v>11.3</v>
      </c>
      <c r="K519" s="1">
        <v>583.02</v>
      </c>
      <c r="L519" s="1">
        <v>11.2</v>
      </c>
      <c r="M519" s="1">
        <v>583.02</v>
      </c>
      <c r="N519" s="1">
        <v>9.8000000000000007</v>
      </c>
      <c r="O519" s="1">
        <v>10.5</v>
      </c>
      <c r="P519" s="1">
        <v>10.8</v>
      </c>
      <c r="Q519" s="1">
        <v>11.2</v>
      </c>
      <c r="R519" s="1">
        <v>11.3</v>
      </c>
      <c r="S519" s="1">
        <v>11.2</v>
      </c>
      <c r="T519" s="1">
        <v>583.02</v>
      </c>
      <c r="U519" s="1">
        <f>IF(Table14[[#This Row],[I_0]] &lt; INDEX(Table28[Filtro de ruido],1), 1, Table14[[#This Row],[I_10]] / Table14[[#This Row],[I_0]])</f>
        <v>1.0714285714285714</v>
      </c>
      <c r="V519" s="1">
        <f>IF(Table14[[#This Row],[I_0]] &lt; INDEX(Table28[Filtro de ruido],1), 1, Table14[[#This Row],[I_20]] / Table14[[#This Row],[I_0]])</f>
        <v>1.1020408163265305</v>
      </c>
      <c r="W519" s="1">
        <f>IF(Table14[[#This Row],[I_0]] &lt; INDEX(Table28[Filtro de ruido],1), 1, Table14[[#This Row],[I_30]] / Table14[[#This Row],[I_0]])</f>
        <v>1.1428571428571428</v>
      </c>
      <c r="X519" s="1">
        <f>IF(Table14[[#This Row],[I_0]] &lt; INDEX(Table28[Filtro de ruido],1), 1, Table14[[#This Row],[I_40]] / Table14[[#This Row],[I_0]])</f>
        <v>1.153061224489796</v>
      </c>
      <c r="Y519" s="19">
        <f>IF(Table14[[#This Row],[I_0]] &lt; INDEX(Table28[Filtro de ruido],1), 1, Table14[[#This Row],[I_50]] / Table14[[#This Row],[I_0]])</f>
        <v>1.1428571428571428</v>
      </c>
      <c r="AA519" s="1"/>
    </row>
    <row r="520" spans="1:27" x14ac:dyDescent="0.3">
      <c r="A520" s="18">
        <v>584.01</v>
      </c>
      <c r="B520" s="1">
        <v>9.9</v>
      </c>
      <c r="C520" s="1">
        <v>584.01</v>
      </c>
      <c r="D520" s="1">
        <v>10.6</v>
      </c>
      <c r="E520" s="1">
        <v>584.01</v>
      </c>
      <c r="F520" s="1">
        <v>10.9</v>
      </c>
      <c r="G520" s="1">
        <v>584.01</v>
      </c>
      <c r="H520" s="1">
        <v>11.3</v>
      </c>
      <c r="I520" s="1">
        <v>584.01</v>
      </c>
      <c r="J520" s="1">
        <v>11.4</v>
      </c>
      <c r="K520" s="1">
        <v>584.01</v>
      </c>
      <c r="L520" s="1">
        <v>11.3</v>
      </c>
      <c r="M520" s="1">
        <v>584.01</v>
      </c>
      <c r="N520" s="1">
        <v>9.9</v>
      </c>
      <c r="O520" s="1">
        <v>10.6</v>
      </c>
      <c r="P520" s="1">
        <v>10.9</v>
      </c>
      <c r="Q520" s="1">
        <v>11.3</v>
      </c>
      <c r="R520" s="1">
        <v>11.4</v>
      </c>
      <c r="S520" s="1">
        <v>11.3</v>
      </c>
      <c r="T520" s="1">
        <v>584.01</v>
      </c>
      <c r="U520" s="1">
        <f>IF(Table14[[#This Row],[I_0]] &lt; INDEX(Table28[Filtro de ruido],1), 1, Table14[[#This Row],[I_10]] / Table14[[#This Row],[I_0]])</f>
        <v>1.0707070707070707</v>
      </c>
      <c r="V520" s="1">
        <f>IF(Table14[[#This Row],[I_0]] &lt; INDEX(Table28[Filtro de ruido],1), 1, Table14[[#This Row],[I_20]] / Table14[[#This Row],[I_0]])</f>
        <v>1.101010101010101</v>
      </c>
      <c r="W520" s="1">
        <f>IF(Table14[[#This Row],[I_0]] &lt; INDEX(Table28[Filtro de ruido],1), 1, Table14[[#This Row],[I_30]] / Table14[[#This Row],[I_0]])</f>
        <v>1.1414141414141414</v>
      </c>
      <c r="X520" s="1">
        <f>IF(Table14[[#This Row],[I_0]] &lt; INDEX(Table28[Filtro de ruido],1), 1, Table14[[#This Row],[I_40]] / Table14[[#This Row],[I_0]])</f>
        <v>1.1515151515151516</v>
      </c>
      <c r="Y520" s="19">
        <f>IF(Table14[[#This Row],[I_0]] &lt; INDEX(Table28[Filtro de ruido],1), 1, Table14[[#This Row],[I_50]] / Table14[[#This Row],[I_0]])</f>
        <v>1.1414141414141414</v>
      </c>
      <c r="AA520" s="1"/>
    </row>
    <row r="521" spans="1:27" x14ac:dyDescent="0.3">
      <c r="A521" s="18">
        <v>585.01</v>
      </c>
      <c r="B521" s="1">
        <v>10.1</v>
      </c>
      <c r="C521" s="1">
        <v>585.01</v>
      </c>
      <c r="D521" s="1">
        <v>10.8</v>
      </c>
      <c r="E521" s="1">
        <v>585.01</v>
      </c>
      <c r="F521" s="1">
        <v>11.1</v>
      </c>
      <c r="G521" s="1">
        <v>585.01</v>
      </c>
      <c r="H521" s="1">
        <v>11.5</v>
      </c>
      <c r="I521" s="1">
        <v>585.01</v>
      </c>
      <c r="J521" s="1">
        <v>11.6</v>
      </c>
      <c r="K521" s="1">
        <v>585.01</v>
      </c>
      <c r="L521" s="1">
        <v>11.5</v>
      </c>
      <c r="M521" s="1">
        <v>585.01</v>
      </c>
      <c r="N521" s="1">
        <v>10.1</v>
      </c>
      <c r="O521" s="1">
        <v>10.8</v>
      </c>
      <c r="P521" s="1">
        <v>11.1</v>
      </c>
      <c r="Q521" s="1">
        <v>11.5</v>
      </c>
      <c r="R521" s="1">
        <v>11.6</v>
      </c>
      <c r="S521" s="1">
        <v>11.5</v>
      </c>
      <c r="T521" s="1">
        <v>585.01</v>
      </c>
      <c r="U521" s="1">
        <f>IF(Table14[[#This Row],[I_0]] &lt; INDEX(Table28[Filtro de ruido],1), 1, Table14[[#This Row],[I_10]] / Table14[[#This Row],[I_0]])</f>
        <v>1.0693069306930694</v>
      </c>
      <c r="V521" s="1">
        <f>IF(Table14[[#This Row],[I_0]] &lt; INDEX(Table28[Filtro de ruido],1), 1, Table14[[#This Row],[I_20]] / Table14[[#This Row],[I_0]])</f>
        <v>1.0990099009900991</v>
      </c>
      <c r="W521" s="1">
        <f>IF(Table14[[#This Row],[I_0]] &lt; INDEX(Table28[Filtro de ruido],1), 1, Table14[[#This Row],[I_30]] / Table14[[#This Row],[I_0]])</f>
        <v>1.1386138613861387</v>
      </c>
      <c r="X521" s="1">
        <f>IF(Table14[[#This Row],[I_0]] &lt; INDEX(Table28[Filtro de ruido],1), 1, Table14[[#This Row],[I_40]] / Table14[[#This Row],[I_0]])</f>
        <v>1.1485148514851484</v>
      </c>
      <c r="Y521" s="19">
        <f>IF(Table14[[#This Row],[I_0]] &lt; INDEX(Table28[Filtro de ruido],1), 1, Table14[[#This Row],[I_50]] / Table14[[#This Row],[I_0]])</f>
        <v>1.1386138613861387</v>
      </c>
      <c r="AA521" s="1"/>
    </row>
    <row r="522" spans="1:27" x14ac:dyDescent="0.3">
      <c r="A522" s="18">
        <v>586</v>
      </c>
      <c r="B522" s="1">
        <v>10.3</v>
      </c>
      <c r="C522" s="1">
        <v>586</v>
      </c>
      <c r="D522" s="1">
        <v>11</v>
      </c>
      <c r="E522" s="1">
        <v>586</v>
      </c>
      <c r="F522" s="1">
        <v>11.3</v>
      </c>
      <c r="G522" s="1">
        <v>586</v>
      </c>
      <c r="H522" s="1">
        <v>11.7</v>
      </c>
      <c r="I522" s="1">
        <v>586</v>
      </c>
      <c r="J522" s="1">
        <v>11.9</v>
      </c>
      <c r="K522" s="1">
        <v>586</v>
      </c>
      <c r="L522" s="1">
        <v>11.8</v>
      </c>
      <c r="M522" s="1">
        <v>586</v>
      </c>
      <c r="N522" s="1">
        <v>10.3</v>
      </c>
      <c r="O522" s="1">
        <v>11</v>
      </c>
      <c r="P522" s="1">
        <v>11.3</v>
      </c>
      <c r="Q522" s="1">
        <v>11.7</v>
      </c>
      <c r="R522" s="1">
        <v>11.9</v>
      </c>
      <c r="S522" s="1">
        <v>11.8</v>
      </c>
      <c r="T522" s="1">
        <v>586</v>
      </c>
      <c r="U522" s="1">
        <f>IF(Table14[[#This Row],[I_0]] &lt; INDEX(Table28[Filtro de ruido],1), 1, Table14[[#This Row],[I_10]] / Table14[[#This Row],[I_0]])</f>
        <v>1.0679611650485437</v>
      </c>
      <c r="V522" s="1">
        <f>IF(Table14[[#This Row],[I_0]] &lt; INDEX(Table28[Filtro de ruido],1), 1, Table14[[#This Row],[I_20]] / Table14[[#This Row],[I_0]])</f>
        <v>1.0970873786407767</v>
      </c>
      <c r="W522" s="1">
        <f>IF(Table14[[#This Row],[I_0]] &lt; INDEX(Table28[Filtro de ruido],1), 1, Table14[[#This Row],[I_30]] / Table14[[#This Row],[I_0]])</f>
        <v>1.1359223300970873</v>
      </c>
      <c r="X522" s="1">
        <f>IF(Table14[[#This Row],[I_0]] &lt; INDEX(Table28[Filtro de ruido],1), 1, Table14[[#This Row],[I_40]] / Table14[[#This Row],[I_0]])</f>
        <v>1.1553398058252426</v>
      </c>
      <c r="Y522" s="19">
        <f>IF(Table14[[#This Row],[I_0]] &lt; INDEX(Table28[Filtro de ruido],1), 1, Table14[[#This Row],[I_50]] / Table14[[#This Row],[I_0]])</f>
        <v>1.145631067961165</v>
      </c>
      <c r="AA522" s="1"/>
    </row>
    <row r="523" spans="1:27" x14ac:dyDescent="0.3">
      <c r="A523" s="18">
        <v>586.99</v>
      </c>
      <c r="B523" s="1">
        <v>10.5</v>
      </c>
      <c r="C523" s="1">
        <v>586.99</v>
      </c>
      <c r="D523" s="1">
        <v>11.3</v>
      </c>
      <c r="E523" s="1">
        <v>586.99</v>
      </c>
      <c r="F523" s="1">
        <v>11.5</v>
      </c>
      <c r="G523" s="1">
        <v>586.99</v>
      </c>
      <c r="H523" s="1">
        <v>12.1</v>
      </c>
      <c r="I523" s="1">
        <v>586.99</v>
      </c>
      <c r="J523" s="1">
        <v>12.2</v>
      </c>
      <c r="K523" s="1">
        <v>586.99</v>
      </c>
      <c r="L523" s="1">
        <v>12.1</v>
      </c>
      <c r="M523" s="1">
        <v>586.99</v>
      </c>
      <c r="N523" s="1">
        <v>10.5</v>
      </c>
      <c r="O523" s="1">
        <v>11.3</v>
      </c>
      <c r="P523" s="1">
        <v>11.5</v>
      </c>
      <c r="Q523" s="1">
        <v>12.1</v>
      </c>
      <c r="R523" s="1">
        <v>12.2</v>
      </c>
      <c r="S523" s="1">
        <v>12.1</v>
      </c>
      <c r="T523" s="1">
        <v>586.99</v>
      </c>
      <c r="U523" s="1">
        <f>IF(Table14[[#This Row],[I_0]] &lt; INDEX(Table28[Filtro de ruido],1), 1, Table14[[#This Row],[I_10]] / Table14[[#This Row],[I_0]])</f>
        <v>1.0761904761904764</v>
      </c>
      <c r="V523" s="1">
        <f>IF(Table14[[#This Row],[I_0]] &lt; INDEX(Table28[Filtro de ruido],1), 1, Table14[[#This Row],[I_20]] / Table14[[#This Row],[I_0]])</f>
        <v>1.0952380952380953</v>
      </c>
      <c r="W523" s="1">
        <f>IF(Table14[[#This Row],[I_0]] &lt; INDEX(Table28[Filtro de ruido],1), 1, Table14[[#This Row],[I_30]] / Table14[[#This Row],[I_0]])</f>
        <v>1.1523809523809523</v>
      </c>
      <c r="X523" s="1">
        <f>IF(Table14[[#This Row],[I_0]] &lt; INDEX(Table28[Filtro de ruido],1), 1, Table14[[#This Row],[I_40]] / Table14[[#This Row],[I_0]])</f>
        <v>1.1619047619047618</v>
      </c>
      <c r="Y523" s="19">
        <f>IF(Table14[[#This Row],[I_0]] &lt; INDEX(Table28[Filtro de ruido],1), 1, Table14[[#This Row],[I_50]] / Table14[[#This Row],[I_0]])</f>
        <v>1.1523809523809523</v>
      </c>
      <c r="AA523" s="1"/>
    </row>
    <row r="524" spans="1:27" x14ac:dyDescent="0.3">
      <c r="A524" s="18">
        <v>587.98</v>
      </c>
      <c r="B524" s="1">
        <v>10.8</v>
      </c>
      <c r="C524" s="1">
        <v>587.98</v>
      </c>
      <c r="D524" s="1">
        <v>11.5</v>
      </c>
      <c r="E524" s="1">
        <v>587.98</v>
      </c>
      <c r="F524" s="1">
        <v>11.8</v>
      </c>
      <c r="G524" s="1">
        <v>587.98</v>
      </c>
      <c r="H524" s="1">
        <v>12.4</v>
      </c>
      <c r="I524" s="1">
        <v>587.98</v>
      </c>
      <c r="J524" s="1">
        <v>12.5</v>
      </c>
      <c r="K524" s="1">
        <v>587.98</v>
      </c>
      <c r="L524" s="1">
        <v>12.3</v>
      </c>
      <c r="M524" s="1">
        <v>587.98</v>
      </c>
      <c r="N524" s="1">
        <v>10.8</v>
      </c>
      <c r="O524" s="1">
        <v>11.5</v>
      </c>
      <c r="P524" s="1">
        <v>11.8</v>
      </c>
      <c r="Q524" s="1">
        <v>12.4</v>
      </c>
      <c r="R524" s="1">
        <v>12.5</v>
      </c>
      <c r="S524" s="1">
        <v>12.3</v>
      </c>
      <c r="T524" s="1">
        <v>587.98</v>
      </c>
      <c r="U524" s="1">
        <f>IF(Table14[[#This Row],[I_0]] &lt; INDEX(Table28[Filtro de ruido],1), 1, Table14[[#This Row],[I_10]] / Table14[[#This Row],[I_0]])</f>
        <v>1.0648148148148147</v>
      </c>
      <c r="V524" s="1">
        <f>IF(Table14[[#This Row],[I_0]] &lt; INDEX(Table28[Filtro de ruido],1), 1, Table14[[#This Row],[I_20]] / Table14[[#This Row],[I_0]])</f>
        <v>1.0925925925925926</v>
      </c>
      <c r="W524" s="1">
        <f>IF(Table14[[#This Row],[I_0]] &lt; INDEX(Table28[Filtro de ruido],1), 1, Table14[[#This Row],[I_30]] / Table14[[#This Row],[I_0]])</f>
        <v>1.1481481481481481</v>
      </c>
      <c r="X524" s="1">
        <f>IF(Table14[[#This Row],[I_0]] &lt; INDEX(Table28[Filtro de ruido],1), 1, Table14[[#This Row],[I_40]] / Table14[[#This Row],[I_0]])</f>
        <v>1.1574074074074074</v>
      </c>
      <c r="Y524" s="19">
        <f>IF(Table14[[#This Row],[I_0]] &lt; INDEX(Table28[Filtro de ruido],1), 1, Table14[[#This Row],[I_50]] / Table14[[#This Row],[I_0]])</f>
        <v>1.1388888888888888</v>
      </c>
      <c r="AA524" s="1"/>
    </row>
    <row r="525" spans="1:27" x14ac:dyDescent="0.3">
      <c r="A525" s="18">
        <v>588.97</v>
      </c>
      <c r="B525" s="1">
        <v>11.1</v>
      </c>
      <c r="C525" s="1">
        <v>588.97</v>
      </c>
      <c r="D525" s="1">
        <v>11.8</v>
      </c>
      <c r="E525" s="1">
        <v>588.97</v>
      </c>
      <c r="F525" s="1">
        <v>12.2</v>
      </c>
      <c r="G525" s="1">
        <v>588.97</v>
      </c>
      <c r="H525" s="1">
        <v>12.7</v>
      </c>
      <c r="I525" s="1">
        <v>588.97</v>
      </c>
      <c r="J525" s="1">
        <v>12.9</v>
      </c>
      <c r="K525" s="1">
        <v>588.97</v>
      </c>
      <c r="L525" s="1">
        <v>12.7</v>
      </c>
      <c r="M525" s="1">
        <v>588.97</v>
      </c>
      <c r="N525" s="1">
        <v>11.1</v>
      </c>
      <c r="O525" s="1">
        <v>11.8</v>
      </c>
      <c r="P525" s="1">
        <v>12.2</v>
      </c>
      <c r="Q525" s="1">
        <v>12.7</v>
      </c>
      <c r="R525" s="1">
        <v>12.9</v>
      </c>
      <c r="S525" s="1">
        <v>12.7</v>
      </c>
      <c r="T525" s="1">
        <v>588.97</v>
      </c>
      <c r="U525" s="1">
        <f>IF(Table14[[#This Row],[I_0]] &lt; INDEX(Table28[Filtro de ruido],1), 1, Table14[[#This Row],[I_10]] / Table14[[#This Row],[I_0]])</f>
        <v>1.0630630630630631</v>
      </c>
      <c r="V525" s="1">
        <f>IF(Table14[[#This Row],[I_0]] &lt; INDEX(Table28[Filtro de ruido],1), 1, Table14[[#This Row],[I_20]] / Table14[[#This Row],[I_0]])</f>
        <v>1.099099099099099</v>
      </c>
      <c r="W525" s="1">
        <f>IF(Table14[[#This Row],[I_0]] &lt; INDEX(Table28[Filtro de ruido],1), 1, Table14[[#This Row],[I_30]] / Table14[[#This Row],[I_0]])</f>
        <v>1.1441441441441442</v>
      </c>
      <c r="X525" s="1">
        <f>IF(Table14[[#This Row],[I_0]] &lt; INDEX(Table28[Filtro de ruido],1), 1, Table14[[#This Row],[I_40]] / Table14[[#This Row],[I_0]])</f>
        <v>1.1621621621621623</v>
      </c>
      <c r="Y525" s="19">
        <f>IF(Table14[[#This Row],[I_0]] &lt; INDEX(Table28[Filtro de ruido],1), 1, Table14[[#This Row],[I_50]] / Table14[[#This Row],[I_0]])</f>
        <v>1.1441441441441442</v>
      </c>
      <c r="AA525" s="1"/>
    </row>
    <row r="526" spans="1:27" x14ac:dyDescent="0.3">
      <c r="A526" s="18">
        <v>589.97</v>
      </c>
      <c r="B526" s="1">
        <v>11.3</v>
      </c>
      <c r="C526" s="1">
        <v>589.97</v>
      </c>
      <c r="D526" s="1">
        <v>12.1</v>
      </c>
      <c r="E526" s="1">
        <v>589.97</v>
      </c>
      <c r="F526" s="1">
        <v>12.5</v>
      </c>
      <c r="G526" s="1">
        <v>589.97</v>
      </c>
      <c r="H526" s="1">
        <v>13</v>
      </c>
      <c r="I526" s="1">
        <v>589.97</v>
      </c>
      <c r="J526" s="1">
        <v>13.2</v>
      </c>
      <c r="K526" s="1">
        <v>589.97</v>
      </c>
      <c r="L526" s="1">
        <v>13</v>
      </c>
      <c r="M526" s="1">
        <v>589.97</v>
      </c>
      <c r="N526" s="1">
        <v>11.3</v>
      </c>
      <c r="O526" s="1">
        <v>12.1</v>
      </c>
      <c r="P526" s="1">
        <v>12.5</v>
      </c>
      <c r="Q526" s="1">
        <v>13</v>
      </c>
      <c r="R526" s="1">
        <v>13.2</v>
      </c>
      <c r="S526" s="1">
        <v>13</v>
      </c>
      <c r="T526" s="1">
        <v>589.97</v>
      </c>
      <c r="U526" s="1">
        <f>IF(Table14[[#This Row],[I_0]] &lt; INDEX(Table28[Filtro de ruido],1), 1, Table14[[#This Row],[I_10]] / Table14[[#This Row],[I_0]])</f>
        <v>1.070796460176991</v>
      </c>
      <c r="V526" s="1">
        <f>IF(Table14[[#This Row],[I_0]] &lt; INDEX(Table28[Filtro de ruido],1), 1, Table14[[#This Row],[I_20]] / Table14[[#This Row],[I_0]])</f>
        <v>1.1061946902654867</v>
      </c>
      <c r="W526" s="1">
        <f>IF(Table14[[#This Row],[I_0]] &lt; INDEX(Table28[Filtro de ruido],1), 1, Table14[[#This Row],[I_30]] / Table14[[#This Row],[I_0]])</f>
        <v>1.1504424778761062</v>
      </c>
      <c r="X526" s="1">
        <f>IF(Table14[[#This Row],[I_0]] &lt; INDEX(Table28[Filtro de ruido],1), 1, Table14[[#This Row],[I_40]] / Table14[[#This Row],[I_0]])</f>
        <v>1.1681415929203538</v>
      </c>
      <c r="Y526" s="19">
        <f>IF(Table14[[#This Row],[I_0]] &lt; INDEX(Table28[Filtro de ruido],1), 1, Table14[[#This Row],[I_50]] / Table14[[#This Row],[I_0]])</f>
        <v>1.1504424778761062</v>
      </c>
      <c r="AA526" s="1"/>
    </row>
    <row r="527" spans="1:27" x14ac:dyDescent="0.3">
      <c r="A527" s="18">
        <v>590.96</v>
      </c>
      <c r="B527" s="1">
        <v>11.6</v>
      </c>
      <c r="C527" s="1">
        <v>590.96</v>
      </c>
      <c r="D527" s="1">
        <v>12.4</v>
      </c>
      <c r="E527" s="1">
        <v>590.96</v>
      </c>
      <c r="F527" s="1">
        <v>12.8</v>
      </c>
      <c r="G527" s="1">
        <v>590.96</v>
      </c>
      <c r="H527" s="1">
        <v>13.4</v>
      </c>
      <c r="I527" s="1">
        <v>590.96</v>
      </c>
      <c r="J527" s="1">
        <v>13.5</v>
      </c>
      <c r="K527" s="1">
        <v>590.96</v>
      </c>
      <c r="L527" s="1">
        <v>13.3</v>
      </c>
      <c r="M527" s="1">
        <v>590.96</v>
      </c>
      <c r="N527" s="1">
        <v>11.6</v>
      </c>
      <c r="O527" s="1">
        <v>12.4</v>
      </c>
      <c r="P527" s="1">
        <v>12.8</v>
      </c>
      <c r="Q527" s="1">
        <v>13.4</v>
      </c>
      <c r="R527" s="1">
        <v>13.5</v>
      </c>
      <c r="S527" s="1">
        <v>13.3</v>
      </c>
      <c r="T527" s="1">
        <v>590.96</v>
      </c>
      <c r="U527" s="1">
        <f>IF(Table14[[#This Row],[I_0]] &lt; INDEX(Table28[Filtro de ruido],1), 1, Table14[[#This Row],[I_10]] / Table14[[#This Row],[I_0]])</f>
        <v>1.0689655172413794</v>
      </c>
      <c r="V527" s="1">
        <f>IF(Table14[[#This Row],[I_0]] &lt; INDEX(Table28[Filtro de ruido],1), 1, Table14[[#This Row],[I_20]] / Table14[[#This Row],[I_0]])</f>
        <v>1.103448275862069</v>
      </c>
      <c r="W527" s="1">
        <f>IF(Table14[[#This Row],[I_0]] &lt; INDEX(Table28[Filtro de ruido],1), 1, Table14[[#This Row],[I_30]] / Table14[[#This Row],[I_0]])</f>
        <v>1.1551724137931034</v>
      </c>
      <c r="X527" s="1">
        <f>IF(Table14[[#This Row],[I_0]] &lt; INDEX(Table28[Filtro de ruido],1), 1, Table14[[#This Row],[I_40]] / Table14[[#This Row],[I_0]])</f>
        <v>1.1637931034482758</v>
      </c>
      <c r="Y527" s="19">
        <f>IF(Table14[[#This Row],[I_0]] &lt; INDEX(Table28[Filtro de ruido],1), 1, Table14[[#This Row],[I_50]] / Table14[[#This Row],[I_0]])</f>
        <v>1.146551724137931</v>
      </c>
      <c r="AA527" s="1"/>
    </row>
    <row r="528" spans="1:27" x14ac:dyDescent="0.3">
      <c r="A528" s="18">
        <v>591.95000000000005</v>
      </c>
      <c r="B528" s="1">
        <v>11.8</v>
      </c>
      <c r="C528" s="1">
        <v>591.95000000000005</v>
      </c>
      <c r="D528" s="1">
        <v>12.7</v>
      </c>
      <c r="E528" s="1">
        <v>591.95000000000005</v>
      </c>
      <c r="F528" s="1">
        <v>13.1</v>
      </c>
      <c r="G528" s="1">
        <v>591.95000000000005</v>
      </c>
      <c r="H528" s="1">
        <v>13.6</v>
      </c>
      <c r="I528" s="1">
        <v>591.95000000000005</v>
      </c>
      <c r="J528" s="1">
        <v>13.8</v>
      </c>
      <c r="K528" s="1">
        <v>591.95000000000005</v>
      </c>
      <c r="L528" s="1">
        <v>13.6</v>
      </c>
      <c r="M528" s="1">
        <v>591.95000000000005</v>
      </c>
      <c r="N528" s="1">
        <v>11.8</v>
      </c>
      <c r="O528" s="1">
        <v>12.7</v>
      </c>
      <c r="P528" s="1">
        <v>13.1</v>
      </c>
      <c r="Q528" s="1">
        <v>13.6</v>
      </c>
      <c r="R528" s="1">
        <v>13.8</v>
      </c>
      <c r="S528" s="1">
        <v>13.6</v>
      </c>
      <c r="T528" s="1">
        <v>591.95000000000005</v>
      </c>
      <c r="U528" s="1">
        <f>IF(Table14[[#This Row],[I_0]] &lt; INDEX(Table28[Filtro de ruido],1), 1, Table14[[#This Row],[I_10]] / Table14[[#This Row],[I_0]])</f>
        <v>1.0762711864406778</v>
      </c>
      <c r="V528" s="1">
        <f>IF(Table14[[#This Row],[I_0]] &lt; INDEX(Table28[Filtro de ruido],1), 1, Table14[[#This Row],[I_20]] / Table14[[#This Row],[I_0]])</f>
        <v>1.1101694915254237</v>
      </c>
      <c r="W528" s="1">
        <f>IF(Table14[[#This Row],[I_0]] &lt; INDEX(Table28[Filtro de ruido],1), 1, Table14[[#This Row],[I_30]] / Table14[[#This Row],[I_0]])</f>
        <v>1.1525423728813557</v>
      </c>
      <c r="X528" s="1">
        <f>IF(Table14[[#This Row],[I_0]] &lt; INDEX(Table28[Filtro de ruido],1), 1, Table14[[#This Row],[I_40]] / Table14[[#This Row],[I_0]])</f>
        <v>1.1694915254237288</v>
      </c>
      <c r="Y528" s="19">
        <f>IF(Table14[[#This Row],[I_0]] &lt; INDEX(Table28[Filtro de ruido],1), 1, Table14[[#This Row],[I_50]] / Table14[[#This Row],[I_0]])</f>
        <v>1.1525423728813557</v>
      </c>
      <c r="AA528" s="1"/>
    </row>
    <row r="529" spans="1:27" x14ac:dyDescent="0.3">
      <c r="A529" s="18">
        <v>592.94000000000005</v>
      </c>
      <c r="B529" s="1">
        <v>12</v>
      </c>
      <c r="C529" s="1">
        <v>592.94000000000005</v>
      </c>
      <c r="D529" s="1">
        <v>13</v>
      </c>
      <c r="E529" s="1">
        <v>592.94000000000005</v>
      </c>
      <c r="F529" s="1">
        <v>13.3</v>
      </c>
      <c r="G529" s="1">
        <v>592.94000000000005</v>
      </c>
      <c r="H529" s="1">
        <v>13.9</v>
      </c>
      <c r="I529" s="1">
        <v>592.94000000000005</v>
      </c>
      <c r="J529" s="1">
        <v>14.1</v>
      </c>
      <c r="K529" s="1">
        <v>592.94000000000005</v>
      </c>
      <c r="L529" s="1">
        <v>13.9</v>
      </c>
      <c r="M529" s="1">
        <v>592.94000000000005</v>
      </c>
      <c r="N529" s="1">
        <v>12</v>
      </c>
      <c r="O529" s="1">
        <v>13</v>
      </c>
      <c r="P529" s="1">
        <v>13.3</v>
      </c>
      <c r="Q529" s="1">
        <v>13.9</v>
      </c>
      <c r="R529" s="1">
        <v>14.1</v>
      </c>
      <c r="S529" s="1">
        <v>13.9</v>
      </c>
      <c r="T529" s="1">
        <v>592.94000000000005</v>
      </c>
      <c r="U529" s="1">
        <f>IF(Table14[[#This Row],[I_0]] &lt; INDEX(Table28[Filtro de ruido],1), 1, Table14[[#This Row],[I_10]] / Table14[[#This Row],[I_0]])</f>
        <v>1.0833333333333333</v>
      </c>
      <c r="V529" s="1">
        <f>IF(Table14[[#This Row],[I_0]] &lt; INDEX(Table28[Filtro de ruido],1), 1, Table14[[#This Row],[I_20]] / Table14[[#This Row],[I_0]])</f>
        <v>1.1083333333333334</v>
      </c>
      <c r="W529" s="1">
        <f>IF(Table14[[#This Row],[I_0]] &lt; INDEX(Table28[Filtro de ruido],1), 1, Table14[[#This Row],[I_30]] / Table14[[#This Row],[I_0]])</f>
        <v>1.1583333333333334</v>
      </c>
      <c r="X529" s="1">
        <f>IF(Table14[[#This Row],[I_0]] &lt; INDEX(Table28[Filtro de ruido],1), 1, Table14[[#This Row],[I_40]] / Table14[[#This Row],[I_0]])</f>
        <v>1.175</v>
      </c>
      <c r="Y529" s="19">
        <f>IF(Table14[[#This Row],[I_0]] &lt; INDEX(Table28[Filtro de ruido],1), 1, Table14[[#This Row],[I_50]] / Table14[[#This Row],[I_0]])</f>
        <v>1.1583333333333334</v>
      </c>
      <c r="AA529" s="1"/>
    </row>
    <row r="530" spans="1:27" x14ac:dyDescent="0.3">
      <c r="A530" s="18">
        <v>593.92999999999995</v>
      </c>
      <c r="B530" s="1">
        <v>12.2</v>
      </c>
      <c r="C530" s="1">
        <v>593.92999999999995</v>
      </c>
      <c r="D530" s="1">
        <v>13.2</v>
      </c>
      <c r="E530" s="1">
        <v>593.92999999999995</v>
      </c>
      <c r="F530" s="1">
        <v>13.5</v>
      </c>
      <c r="G530" s="1">
        <v>593.92999999999995</v>
      </c>
      <c r="H530" s="1">
        <v>14.2</v>
      </c>
      <c r="I530" s="1">
        <v>593.92999999999995</v>
      </c>
      <c r="J530" s="1">
        <v>14.3</v>
      </c>
      <c r="K530" s="1">
        <v>593.92999999999995</v>
      </c>
      <c r="L530" s="1">
        <v>14.1</v>
      </c>
      <c r="M530" s="1">
        <v>593.92999999999995</v>
      </c>
      <c r="N530" s="1">
        <v>12.2</v>
      </c>
      <c r="O530" s="1">
        <v>13.2</v>
      </c>
      <c r="P530" s="1">
        <v>13.5</v>
      </c>
      <c r="Q530" s="1">
        <v>14.2</v>
      </c>
      <c r="R530" s="1">
        <v>14.3</v>
      </c>
      <c r="S530" s="1">
        <v>14.1</v>
      </c>
      <c r="T530" s="1">
        <v>593.92999999999995</v>
      </c>
      <c r="U530" s="1">
        <f>IF(Table14[[#This Row],[I_0]] &lt; INDEX(Table28[Filtro de ruido],1), 1, Table14[[#This Row],[I_10]] / Table14[[#This Row],[I_0]])</f>
        <v>1.0819672131147542</v>
      </c>
      <c r="V530" s="1">
        <f>IF(Table14[[#This Row],[I_0]] &lt; INDEX(Table28[Filtro de ruido],1), 1, Table14[[#This Row],[I_20]] / Table14[[#This Row],[I_0]])</f>
        <v>1.1065573770491803</v>
      </c>
      <c r="W530" s="1">
        <f>IF(Table14[[#This Row],[I_0]] &lt; INDEX(Table28[Filtro de ruido],1), 1, Table14[[#This Row],[I_30]] / Table14[[#This Row],[I_0]])</f>
        <v>1.1639344262295082</v>
      </c>
      <c r="X530" s="1">
        <f>IF(Table14[[#This Row],[I_0]] &lt; INDEX(Table28[Filtro de ruido],1), 1, Table14[[#This Row],[I_40]] / Table14[[#This Row],[I_0]])</f>
        <v>1.1721311475409837</v>
      </c>
      <c r="Y530" s="19">
        <f>IF(Table14[[#This Row],[I_0]] &lt; INDEX(Table28[Filtro de ruido],1), 1, Table14[[#This Row],[I_50]] / Table14[[#This Row],[I_0]])</f>
        <v>1.1557377049180328</v>
      </c>
      <c r="AA530" s="1"/>
    </row>
    <row r="531" spans="1:27" x14ac:dyDescent="0.3">
      <c r="A531" s="18">
        <v>594.91999999999996</v>
      </c>
      <c r="B531" s="1">
        <v>12.4</v>
      </c>
      <c r="C531" s="1">
        <v>594.91999999999996</v>
      </c>
      <c r="D531" s="1">
        <v>13.3</v>
      </c>
      <c r="E531" s="1">
        <v>594.91999999999996</v>
      </c>
      <c r="F531" s="1">
        <v>13.7</v>
      </c>
      <c r="G531" s="1">
        <v>594.91999999999996</v>
      </c>
      <c r="H531" s="1">
        <v>14.3</v>
      </c>
      <c r="I531" s="1">
        <v>594.91999999999996</v>
      </c>
      <c r="J531" s="1">
        <v>14.5</v>
      </c>
      <c r="K531" s="1">
        <v>594.91999999999996</v>
      </c>
      <c r="L531" s="1">
        <v>14.3</v>
      </c>
      <c r="M531" s="1">
        <v>594.91999999999996</v>
      </c>
      <c r="N531" s="1">
        <v>12.4</v>
      </c>
      <c r="O531" s="1">
        <v>13.3</v>
      </c>
      <c r="P531" s="1">
        <v>13.7</v>
      </c>
      <c r="Q531" s="1">
        <v>14.3</v>
      </c>
      <c r="R531" s="1">
        <v>14.5</v>
      </c>
      <c r="S531" s="1">
        <v>14.3</v>
      </c>
      <c r="T531" s="1">
        <v>594.91999999999996</v>
      </c>
      <c r="U531" s="1">
        <f>IF(Table14[[#This Row],[I_0]] &lt; INDEX(Table28[Filtro de ruido],1), 1, Table14[[#This Row],[I_10]] / Table14[[#This Row],[I_0]])</f>
        <v>1.0725806451612903</v>
      </c>
      <c r="V531" s="1">
        <f>IF(Table14[[#This Row],[I_0]] &lt; INDEX(Table28[Filtro de ruido],1), 1, Table14[[#This Row],[I_20]] / Table14[[#This Row],[I_0]])</f>
        <v>1.1048387096774193</v>
      </c>
      <c r="W531" s="1">
        <f>IF(Table14[[#This Row],[I_0]] &lt; INDEX(Table28[Filtro de ruido],1), 1, Table14[[#This Row],[I_30]] / Table14[[#This Row],[I_0]])</f>
        <v>1.153225806451613</v>
      </c>
      <c r="X531" s="1">
        <f>IF(Table14[[#This Row],[I_0]] &lt; INDEX(Table28[Filtro de ruido],1), 1, Table14[[#This Row],[I_40]] / Table14[[#This Row],[I_0]])</f>
        <v>1.1693548387096775</v>
      </c>
      <c r="Y531" s="19">
        <f>IF(Table14[[#This Row],[I_0]] &lt; INDEX(Table28[Filtro de ruido],1), 1, Table14[[#This Row],[I_50]] / Table14[[#This Row],[I_0]])</f>
        <v>1.153225806451613</v>
      </c>
      <c r="AA531" s="1"/>
    </row>
    <row r="532" spans="1:27" x14ac:dyDescent="0.3">
      <c r="A532" s="18">
        <v>595.91999999999996</v>
      </c>
      <c r="B532" s="1">
        <v>12.5</v>
      </c>
      <c r="C532" s="1">
        <v>595.91999999999996</v>
      </c>
      <c r="D532" s="1">
        <v>13.5</v>
      </c>
      <c r="E532" s="1">
        <v>595.91999999999996</v>
      </c>
      <c r="F532" s="1">
        <v>13.8</v>
      </c>
      <c r="G532" s="1">
        <v>595.91999999999996</v>
      </c>
      <c r="H532" s="1">
        <v>14.5</v>
      </c>
      <c r="I532" s="1">
        <v>595.91999999999996</v>
      </c>
      <c r="J532" s="1">
        <v>14.6</v>
      </c>
      <c r="K532" s="1">
        <v>595.91999999999996</v>
      </c>
      <c r="L532" s="1">
        <v>14.4</v>
      </c>
      <c r="M532" s="1">
        <v>595.91999999999996</v>
      </c>
      <c r="N532" s="1">
        <v>12.5</v>
      </c>
      <c r="O532" s="1">
        <v>13.5</v>
      </c>
      <c r="P532" s="1">
        <v>13.8</v>
      </c>
      <c r="Q532" s="1">
        <v>14.5</v>
      </c>
      <c r="R532" s="1">
        <v>14.6</v>
      </c>
      <c r="S532" s="1">
        <v>14.4</v>
      </c>
      <c r="T532" s="1">
        <v>595.91999999999996</v>
      </c>
      <c r="U532" s="1">
        <f>IF(Table14[[#This Row],[I_0]] &lt; INDEX(Table28[Filtro de ruido],1), 1, Table14[[#This Row],[I_10]] / Table14[[#This Row],[I_0]])</f>
        <v>1.08</v>
      </c>
      <c r="V532" s="1">
        <f>IF(Table14[[#This Row],[I_0]] &lt; INDEX(Table28[Filtro de ruido],1), 1, Table14[[#This Row],[I_20]] / Table14[[#This Row],[I_0]])</f>
        <v>1.1040000000000001</v>
      </c>
      <c r="W532" s="1">
        <f>IF(Table14[[#This Row],[I_0]] &lt; INDEX(Table28[Filtro de ruido],1), 1, Table14[[#This Row],[I_30]] / Table14[[#This Row],[I_0]])</f>
        <v>1.1599999999999999</v>
      </c>
      <c r="X532" s="1">
        <f>IF(Table14[[#This Row],[I_0]] &lt; INDEX(Table28[Filtro de ruido],1), 1, Table14[[#This Row],[I_40]] / Table14[[#This Row],[I_0]])</f>
        <v>1.1679999999999999</v>
      </c>
      <c r="Y532" s="19">
        <f>IF(Table14[[#This Row],[I_0]] &lt; INDEX(Table28[Filtro de ruido],1), 1, Table14[[#This Row],[I_50]] / Table14[[#This Row],[I_0]])</f>
        <v>1.1520000000000001</v>
      </c>
      <c r="AA532" s="1"/>
    </row>
    <row r="533" spans="1:27" x14ac:dyDescent="0.3">
      <c r="A533" s="18">
        <v>596.91</v>
      </c>
      <c r="B533" s="1">
        <v>12.6</v>
      </c>
      <c r="C533" s="1">
        <v>596.91</v>
      </c>
      <c r="D533" s="1">
        <v>13.6</v>
      </c>
      <c r="E533" s="1">
        <v>596.91</v>
      </c>
      <c r="F533" s="1">
        <v>13.9</v>
      </c>
      <c r="G533" s="1">
        <v>596.91</v>
      </c>
      <c r="H533" s="1">
        <v>14.6</v>
      </c>
      <c r="I533" s="1">
        <v>596.91</v>
      </c>
      <c r="J533" s="1">
        <v>14.7</v>
      </c>
      <c r="K533" s="1">
        <v>596.91</v>
      </c>
      <c r="L533" s="1">
        <v>14.6</v>
      </c>
      <c r="M533" s="1">
        <v>596.91</v>
      </c>
      <c r="N533" s="1">
        <v>12.6</v>
      </c>
      <c r="O533" s="1">
        <v>13.6</v>
      </c>
      <c r="P533" s="1">
        <v>13.9</v>
      </c>
      <c r="Q533" s="1">
        <v>14.6</v>
      </c>
      <c r="R533" s="1">
        <v>14.7</v>
      </c>
      <c r="S533" s="1">
        <v>14.6</v>
      </c>
      <c r="T533" s="1">
        <v>596.91</v>
      </c>
      <c r="U533" s="1">
        <f>IF(Table14[[#This Row],[I_0]] &lt; INDEX(Table28[Filtro de ruido],1), 1, Table14[[#This Row],[I_10]] / Table14[[#This Row],[I_0]])</f>
        <v>1.0793650793650793</v>
      </c>
      <c r="V533" s="1">
        <f>IF(Table14[[#This Row],[I_0]] &lt; INDEX(Table28[Filtro de ruido],1), 1, Table14[[#This Row],[I_20]] / Table14[[#This Row],[I_0]])</f>
        <v>1.1031746031746033</v>
      </c>
      <c r="W533" s="1">
        <f>IF(Table14[[#This Row],[I_0]] &lt; INDEX(Table28[Filtro de ruido],1), 1, Table14[[#This Row],[I_30]] / Table14[[#This Row],[I_0]])</f>
        <v>1.1587301587301588</v>
      </c>
      <c r="X533" s="1">
        <f>IF(Table14[[#This Row],[I_0]] &lt; INDEX(Table28[Filtro de ruido],1), 1, Table14[[#This Row],[I_40]] / Table14[[#This Row],[I_0]])</f>
        <v>1.1666666666666667</v>
      </c>
      <c r="Y533" s="19">
        <f>IF(Table14[[#This Row],[I_0]] &lt; INDEX(Table28[Filtro de ruido],1), 1, Table14[[#This Row],[I_50]] / Table14[[#This Row],[I_0]])</f>
        <v>1.1587301587301588</v>
      </c>
      <c r="AA533" s="1"/>
    </row>
    <row r="534" spans="1:27" x14ac:dyDescent="0.3">
      <c r="A534" s="18">
        <v>597.9</v>
      </c>
      <c r="B534" s="1">
        <v>12.6</v>
      </c>
      <c r="C534" s="1">
        <v>597.9</v>
      </c>
      <c r="D534" s="1">
        <v>13.6</v>
      </c>
      <c r="E534" s="1">
        <v>597.9</v>
      </c>
      <c r="F534" s="1">
        <v>14</v>
      </c>
      <c r="G534" s="1">
        <v>597.9</v>
      </c>
      <c r="H534" s="1">
        <v>14.7</v>
      </c>
      <c r="I534" s="1">
        <v>597.9</v>
      </c>
      <c r="J534" s="1">
        <v>14.8</v>
      </c>
      <c r="K534" s="1">
        <v>597.9</v>
      </c>
      <c r="L534" s="1">
        <v>14.6</v>
      </c>
      <c r="M534" s="1">
        <v>597.9</v>
      </c>
      <c r="N534" s="1">
        <v>12.6</v>
      </c>
      <c r="O534" s="1">
        <v>13.6</v>
      </c>
      <c r="P534" s="1">
        <v>14</v>
      </c>
      <c r="Q534" s="1">
        <v>14.7</v>
      </c>
      <c r="R534" s="1">
        <v>14.8</v>
      </c>
      <c r="S534" s="1">
        <v>14.6</v>
      </c>
      <c r="T534" s="1">
        <v>597.9</v>
      </c>
      <c r="U534" s="1">
        <f>IF(Table14[[#This Row],[I_0]] &lt; INDEX(Table28[Filtro de ruido],1), 1, Table14[[#This Row],[I_10]] / Table14[[#This Row],[I_0]])</f>
        <v>1.0793650793650793</v>
      </c>
      <c r="V534" s="1">
        <f>IF(Table14[[#This Row],[I_0]] &lt; INDEX(Table28[Filtro de ruido],1), 1, Table14[[#This Row],[I_20]] / Table14[[#This Row],[I_0]])</f>
        <v>1.1111111111111112</v>
      </c>
      <c r="W534" s="1">
        <f>IF(Table14[[#This Row],[I_0]] &lt; INDEX(Table28[Filtro de ruido],1), 1, Table14[[#This Row],[I_30]] / Table14[[#This Row],[I_0]])</f>
        <v>1.1666666666666667</v>
      </c>
      <c r="X534" s="1">
        <f>IF(Table14[[#This Row],[I_0]] &lt; INDEX(Table28[Filtro de ruido],1), 1, Table14[[#This Row],[I_40]] / Table14[[#This Row],[I_0]])</f>
        <v>1.1746031746031746</v>
      </c>
      <c r="Y534" s="19">
        <f>IF(Table14[[#This Row],[I_0]] &lt; INDEX(Table28[Filtro de ruido],1), 1, Table14[[#This Row],[I_50]] / Table14[[#This Row],[I_0]])</f>
        <v>1.1587301587301588</v>
      </c>
      <c r="AA534" s="1"/>
    </row>
    <row r="535" spans="1:27" x14ac:dyDescent="0.3">
      <c r="A535" s="18">
        <v>598.89</v>
      </c>
      <c r="B535" s="1">
        <v>12.6</v>
      </c>
      <c r="C535" s="1">
        <v>598.89</v>
      </c>
      <c r="D535" s="1">
        <v>13.7</v>
      </c>
      <c r="E535" s="1">
        <v>598.89</v>
      </c>
      <c r="F535" s="1">
        <v>14.1</v>
      </c>
      <c r="G535" s="1">
        <v>598.89</v>
      </c>
      <c r="H535" s="1">
        <v>14.7</v>
      </c>
      <c r="I535" s="1">
        <v>598.89</v>
      </c>
      <c r="J535" s="1">
        <v>14.8</v>
      </c>
      <c r="K535" s="1">
        <v>598.89</v>
      </c>
      <c r="L535" s="1">
        <v>14.7</v>
      </c>
      <c r="M535" s="1">
        <v>598.89</v>
      </c>
      <c r="N535" s="1">
        <v>12.6</v>
      </c>
      <c r="O535" s="1">
        <v>13.7</v>
      </c>
      <c r="P535" s="1">
        <v>14.1</v>
      </c>
      <c r="Q535" s="1">
        <v>14.7</v>
      </c>
      <c r="R535" s="1">
        <v>14.8</v>
      </c>
      <c r="S535" s="1">
        <v>14.7</v>
      </c>
      <c r="T535" s="1">
        <v>598.89</v>
      </c>
      <c r="U535" s="1">
        <f>IF(Table14[[#This Row],[I_0]] &lt; INDEX(Table28[Filtro de ruido],1), 1, Table14[[#This Row],[I_10]] / Table14[[#This Row],[I_0]])</f>
        <v>1.0873015873015872</v>
      </c>
      <c r="V535" s="1">
        <f>IF(Table14[[#This Row],[I_0]] &lt; INDEX(Table28[Filtro de ruido],1), 1, Table14[[#This Row],[I_20]] / Table14[[#This Row],[I_0]])</f>
        <v>1.1190476190476191</v>
      </c>
      <c r="W535" s="1">
        <f>IF(Table14[[#This Row],[I_0]] &lt; INDEX(Table28[Filtro de ruido],1), 1, Table14[[#This Row],[I_30]] / Table14[[#This Row],[I_0]])</f>
        <v>1.1666666666666667</v>
      </c>
      <c r="X535" s="1">
        <f>IF(Table14[[#This Row],[I_0]] &lt; INDEX(Table28[Filtro de ruido],1), 1, Table14[[#This Row],[I_40]] / Table14[[#This Row],[I_0]])</f>
        <v>1.1746031746031746</v>
      </c>
      <c r="Y535" s="19">
        <f>IF(Table14[[#This Row],[I_0]] &lt; INDEX(Table28[Filtro de ruido],1), 1, Table14[[#This Row],[I_50]] / Table14[[#This Row],[I_0]])</f>
        <v>1.1666666666666667</v>
      </c>
      <c r="AA535" s="1"/>
    </row>
    <row r="536" spans="1:27" x14ac:dyDescent="0.3">
      <c r="A536" s="18">
        <v>599.88</v>
      </c>
      <c r="B536" s="1">
        <v>12.6</v>
      </c>
      <c r="C536" s="1">
        <v>599.88</v>
      </c>
      <c r="D536" s="1">
        <v>13.7</v>
      </c>
      <c r="E536" s="1">
        <v>599.88</v>
      </c>
      <c r="F536" s="1">
        <v>14.1</v>
      </c>
      <c r="G536" s="1">
        <v>599.88</v>
      </c>
      <c r="H536" s="1">
        <v>14.7</v>
      </c>
      <c r="I536" s="1">
        <v>599.88</v>
      </c>
      <c r="J536" s="1">
        <v>14.8</v>
      </c>
      <c r="K536" s="1">
        <v>599.88</v>
      </c>
      <c r="L536" s="1">
        <v>14.7</v>
      </c>
      <c r="M536" s="1">
        <v>599.88</v>
      </c>
      <c r="N536" s="1">
        <v>12.6</v>
      </c>
      <c r="O536" s="1">
        <v>13.7</v>
      </c>
      <c r="P536" s="1">
        <v>14.1</v>
      </c>
      <c r="Q536" s="1">
        <v>14.7</v>
      </c>
      <c r="R536" s="1">
        <v>14.8</v>
      </c>
      <c r="S536" s="1">
        <v>14.7</v>
      </c>
      <c r="T536" s="1">
        <v>599.88</v>
      </c>
      <c r="U536" s="1">
        <f>IF(Table14[[#This Row],[I_0]] &lt; INDEX(Table28[Filtro de ruido],1), 1, Table14[[#This Row],[I_10]] / Table14[[#This Row],[I_0]])</f>
        <v>1.0873015873015872</v>
      </c>
      <c r="V536" s="1">
        <f>IF(Table14[[#This Row],[I_0]] &lt; INDEX(Table28[Filtro de ruido],1), 1, Table14[[#This Row],[I_20]] / Table14[[#This Row],[I_0]])</f>
        <v>1.1190476190476191</v>
      </c>
      <c r="W536" s="1">
        <f>IF(Table14[[#This Row],[I_0]] &lt; INDEX(Table28[Filtro de ruido],1), 1, Table14[[#This Row],[I_30]] / Table14[[#This Row],[I_0]])</f>
        <v>1.1666666666666667</v>
      </c>
      <c r="X536" s="1">
        <f>IF(Table14[[#This Row],[I_0]] &lt; INDEX(Table28[Filtro de ruido],1), 1, Table14[[#This Row],[I_40]] / Table14[[#This Row],[I_0]])</f>
        <v>1.1746031746031746</v>
      </c>
      <c r="Y536" s="19">
        <f>IF(Table14[[#This Row],[I_0]] &lt; INDEX(Table28[Filtro de ruido],1), 1, Table14[[#This Row],[I_50]] / Table14[[#This Row],[I_0]])</f>
        <v>1.1666666666666667</v>
      </c>
      <c r="AA536" s="1"/>
    </row>
    <row r="537" spans="1:27" x14ac:dyDescent="0.3">
      <c r="A537" s="18">
        <v>600.87</v>
      </c>
      <c r="B537" s="1">
        <v>12.6</v>
      </c>
      <c r="C537" s="1">
        <v>600.87</v>
      </c>
      <c r="D537" s="1">
        <v>13.7</v>
      </c>
      <c r="E537" s="1">
        <v>600.87</v>
      </c>
      <c r="F537" s="1">
        <v>14.1</v>
      </c>
      <c r="G537" s="1">
        <v>600.87</v>
      </c>
      <c r="H537" s="1">
        <v>14.7</v>
      </c>
      <c r="I537" s="1">
        <v>600.87</v>
      </c>
      <c r="J537" s="1">
        <v>14.9</v>
      </c>
      <c r="K537" s="1">
        <v>600.87</v>
      </c>
      <c r="L537" s="1">
        <v>14.8</v>
      </c>
      <c r="M537" s="1">
        <v>600.87</v>
      </c>
      <c r="N537" s="1">
        <v>12.6</v>
      </c>
      <c r="O537" s="1">
        <v>13.7</v>
      </c>
      <c r="P537" s="1">
        <v>14.1</v>
      </c>
      <c r="Q537" s="1">
        <v>14.7</v>
      </c>
      <c r="R537" s="1">
        <v>14.9</v>
      </c>
      <c r="S537" s="1">
        <v>14.8</v>
      </c>
      <c r="T537" s="1">
        <v>600.87</v>
      </c>
      <c r="U537" s="1">
        <f>IF(Table14[[#This Row],[I_0]] &lt; INDEX(Table28[Filtro de ruido],1), 1, Table14[[#This Row],[I_10]] / Table14[[#This Row],[I_0]])</f>
        <v>1.0873015873015872</v>
      </c>
      <c r="V537" s="1">
        <f>IF(Table14[[#This Row],[I_0]] &lt; INDEX(Table28[Filtro de ruido],1), 1, Table14[[#This Row],[I_20]] / Table14[[#This Row],[I_0]])</f>
        <v>1.1190476190476191</v>
      </c>
      <c r="W537" s="1">
        <f>IF(Table14[[#This Row],[I_0]] &lt; INDEX(Table28[Filtro de ruido],1), 1, Table14[[#This Row],[I_30]] / Table14[[#This Row],[I_0]])</f>
        <v>1.1666666666666667</v>
      </c>
      <c r="X537" s="1">
        <f>IF(Table14[[#This Row],[I_0]] &lt; INDEX(Table28[Filtro de ruido],1), 1, Table14[[#This Row],[I_40]] / Table14[[#This Row],[I_0]])</f>
        <v>1.1825396825396826</v>
      </c>
      <c r="Y537" s="19">
        <f>IF(Table14[[#This Row],[I_0]] &lt; INDEX(Table28[Filtro de ruido],1), 1, Table14[[#This Row],[I_50]] / Table14[[#This Row],[I_0]])</f>
        <v>1.1746031746031746</v>
      </c>
      <c r="AA537" s="1"/>
    </row>
    <row r="538" spans="1:27" x14ac:dyDescent="0.3">
      <c r="A538" s="18">
        <v>601.87</v>
      </c>
      <c r="B538" s="1">
        <v>12.6</v>
      </c>
      <c r="C538" s="1">
        <v>601.87</v>
      </c>
      <c r="D538" s="1">
        <v>13.7</v>
      </c>
      <c r="E538" s="1">
        <v>601.87</v>
      </c>
      <c r="F538" s="1">
        <v>14.1</v>
      </c>
      <c r="G538" s="1">
        <v>601.87</v>
      </c>
      <c r="H538" s="1">
        <v>14.7</v>
      </c>
      <c r="I538" s="1">
        <v>601.87</v>
      </c>
      <c r="J538" s="1">
        <v>14.9</v>
      </c>
      <c r="K538" s="1">
        <v>601.87</v>
      </c>
      <c r="L538" s="1">
        <v>14.8</v>
      </c>
      <c r="M538" s="1">
        <v>601.87</v>
      </c>
      <c r="N538" s="1">
        <v>12.6</v>
      </c>
      <c r="O538" s="1">
        <v>13.7</v>
      </c>
      <c r="P538" s="1">
        <v>14.1</v>
      </c>
      <c r="Q538" s="1">
        <v>14.7</v>
      </c>
      <c r="R538" s="1">
        <v>14.9</v>
      </c>
      <c r="S538" s="1">
        <v>14.8</v>
      </c>
      <c r="T538" s="1">
        <v>601.87</v>
      </c>
      <c r="U538" s="1">
        <f>IF(Table14[[#This Row],[I_0]] &lt; INDEX(Table28[Filtro de ruido],1), 1, Table14[[#This Row],[I_10]] / Table14[[#This Row],[I_0]])</f>
        <v>1.0873015873015872</v>
      </c>
      <c r="V538" s="1">
        <f>IF(Table14[[#This Row],[I_0]] &lt; INDEX(Table28[Filtro de ruido],1), 1, Table14[[#This Row],[I_20]] / Table14[[#This Row],[I_0]])</f>
        <v>1.1190476190476191</v>
      </c>
      <c r="W538" s="1">
        <f>IF(Table14[[#This Row],[I_0]] &lt; INDEX(Table28[Filtro de ruido],1), 1, Table14[[#This Row],[I_30]] / Table14[[#This Row],[I_0]])</f>
        <v>1.1666666666666667</v>
      </c>
      <c r="X538" s="1">
        <f>IF(Table14[[#This Row],[I_0]] &lt; INDEX(Table28[Filtro de ruido],1), 1, Table14[[#This Row],[I_40]] / Table14[[#This Row],[I_0]])</f>
        <v>1.1825396825396826</v>
      </c>
      <c r="Y538" s="19">
        <f>IF(Table14[[#This Row],[I_0]] &lt; INDEX(Table28[Filtro de ruido],1), 1, Table14[[#This Row],[I_50]] / Table14[[#This Row],[I_0]])</f>
        <v>1.1746031746031746</v>
      </c>
      <c r="AA538" s="1"/>
    </row>
    <row r="539" spans="1:27" x14ac:dyDescent="0.3">
      <c r="A539" s="18">
        <v>602.86</v>
      </c>
      <c r="B539" s="1">
        <v>12.6</v>
      </c>
      <c r="C539" s="1">
        <v>602.86</v>
      </c>
      <c r="D539" s="1">
        <v>13.7</v>
      </c>
      <c r="E539" s="1">
        <v>602.86</v>
      </c>
      <c r="F539" s="1">
        <v>14.2</v>
      </c>
      <c r="G539" s="1">
        <v>602.86</v>
      </c>
      <c r="H539" s="1">
        <v>14.7</v>
      </c>
      <c r="I539" s="1">
        <v>602.86</v>
      </c>
      <c r="J539" s="1">
        <v>15</v>
      </c>
      <c r="K539" s="1">
        <v>602.86</v>
      </c>
      <c r="L539" s="1">
        <v>14.9</v>
      </c>
      <c r="M539" s="1">
        <v>602.86</v>
      </c>
      <c r="N539" s="1">
        <v>12.6</v>
      </c>
      <c r="O539" s="1">
        <v>13.7</v>
      </c>
      <c r="P539" s="1">
        <v>14.2</v>
      </c>
      <c r="Q539" s="1">
        <v>14.7</v>
      </c>
      <c r="R539" s="1">
        <v>15</v>
      </c>
      <c r="S539" s="1">
        <v>14.9</v>
      </c>
      <c r="T539" s="1">
        <v>602.86</v>
      </c>
      <c r="U539" s="1">
        <f>IF(Table14[[#This Row],[I_0]] &lt; INDEX(Table28[Filtro de ruido],1), 1, Table14[[#This Row],[I_10]] / Table14[[#This Row],[I_0]])</f>
        <v>1.0873015873015872</v>
      </c>
      <c r="V539" s="1">
        <f>IF(Table14[[#This Row],[I_0]] &lt; INDEX(Table28[Filtro de ruido],1), 1, Table14[[#This Row],[I_20]] / Table14[[#This Row],[I_0]])</f>
        <v>1.126984126984127</v>
      </c>
      <c r="W539" s="1">
        <f>IF(Table14[[#This Row],[I_0]] &lt; INDEX(Table28[Filtro de ruido],1), 1, Table14[[#This Row],[I_30]] / Table14[[#This Row],[I_0]])</f>
        <v>1.1666666666666667</v>
      </c>
      <c r="X539" s="1">
        <f>IF(Table14[[#This Row],[I_0]] &lt; INDEX(Table28[Filtro de ruido],1), 1, Table14[[#This Row],[I_40]] / Table14[[#This Row],[I_0]])</f>
        <v>1.1904761904761905</v>
      </c>
      <c r="Y539" s="19">
        <f>IF(Table14[[#This Row],[I_0]] &lt; INDEX(Table28[Filtro de ruido],1), 1, Table14[[#This Row],[I_50]] / Table14[[#This Row],[I_0]])</f>
        <v>1.1825396825396826</v>
      </c>
      <c r="AA539" s="1"/>
    </row>
    <row r="540" spans="1:27" x14ac:dyDescent="0.3">
      <c r="A540" s="18">
        <v>603.85</v>
      </c>
      <c r="B540" s="1">
        <v>12.7</v>
      </c>
      <c r="C540" s="1">
        <v>603.85</v>
      </c>
      <c r="D540" s="1">
        <v>13.8</v>
      </c>
      <c r="E540" s="1">
        <v>603.85</v>
      </c>
      <c r="F540" s="1">
        <v>14.2</v>
      </c>
      <c r="G540" s="1">
        <v>603.85</v>
      </c>
      <c r="H540" s="1">
        <v>14.8</v>
      </c>
      <c r="I540" s="1">
        <v>603.85</v>
      </c>
      <c r="J540" s="1">
        <v>15.1</v>
      </c>
      <c r="K540" s="1">
        <v>603.85</v>
      </c>
      <c r="L540" s="1">
        <v>15</v>
      </c>
      <c r="M540" s="1">
        <v>603.85</v>
      </c>
      <c r="N540" s="1">
        <v>12.7</v>
      </c>
      <c r="O540" s="1">
        <v>13.8</v>
      </c>
      <c r="P540" s="1">
        <v>14.2</v>
      </c>
      <c r="Q540" s="1">
        <v>14.8</v>
      </c>
      <c r="R540" s="1">
        <v>15.1</v>
      </c>
      <c r="S540" s="1">
        <v>15</v>
      </c>
      <c r="T540" s="1">
        <v>603.85</v>
      </c>
      <c r="U540" s="1">
        <f>IF(Table14[[#This Row],[I_0]] &lt; INDEX(Table28[Filtro de ruido],1), 1, Table14[[#This Row],[I_10]] / Table14[[#This Row],[I_0]])</f>
        <v>1.0866141732283465</v>
      </c>
      <c r="V540" s="1">
        <f>IF(Table14[[#This Row],[I_0]] &lt; INDEX(Table28[Filtro de ruido],1), 1, Table14[[#This Row],[I_20]] / Table14[[#This Row],[I_0]])</f>
        <v>1.1181102362204725</v>
      </c>
      <c r="W540" s="1">
        <f>IF(Table14[[#This Row],[I_0]] &lt; INDEX(Table28[Filtro de ruido],1), 1, Table14[[#This Row],[I_30]] / Table14[[#This Row],[I_0]])</f>
        <v>1.1653543307086616</v>
      </c>
      <c r="X540" s="1">
        <f>IF(Table14[[#This Row],[I_0]] &lt; INDEX(Table28[Filtro de ruido],1), 1, Table14[[#This Row],[I_40]] / Table14[[#This Row],[I_0]])</f>
        <v>1.188976377952756</v>
      </c>
      <c r="Y540" s="19">
        <f>IF(Table14[[#This Row],[I_0]] &lt; INDEX(Table28[Filtro de ruido],1), 1, Table14[[#This Row],[I_50]] / Table14[[#This Row],[I_0]])</f>
        <v>1.1811023622047245</v>
      </c>
      <c r="AA540" s="1"/>
    </row>
    <row r="541" spans="1:27" x14ac:dyDescent="0.3">
      <c r="A541" s="18">
        <v>604.84</v>
      </c>
      <c r="B541" s="1">
        <v>12.8</v>
      </c>
      <c r="C541" s="1">
        <v>604.84</v>
      </c>
      <c r="D541" s="1">
        <v>13.9</v>
      </c>
      <c r="E541" s="1">
        <v>604.84</v>
      </c>
      <c r="F541" s="1">
        <v>14.3</v>
      </c>
      <c r="G541" s="1">
        <v>604.84</v>
      </c>
      <c r="H541" s="1">
        <v>14.9</v>
      </c>
      <c r="I541" s="1">
        <v>604.84</v>
      </c>
      <c r="J541" s="1">
        <v>15.2</v>
      </c>
      <c r="K541" s="1">
        <v>604.84</v>
      </c>
      <c r="L541" s="1">
        <v>15.1</v>
      </c>
      <c r="M541" s="1">
        <v>604.84</v>
      </c>
      <c r="N541" s="1">
        <v>12.8</v>
      </c>
      <c r="O541" s="1">
        <v>13.9</v>
      </c>
      <c r="P541" s="1">
        <v>14.3</v>
      </c>
      <c r="Q541" s="1">
        <v>14.9</v>
      </c>
      <c r="R541" s="1">
        <v>15.2</v>
      </c>
      <c r="S541" s="1">
        <v>15.1</v>
      </c>
      <c r="T541" s="1">
        <v>604.84</v>
      </c>
      <c r="U541" s="1">
        <f>IF(Table14[[#This Row],[I_0]] &lt; INDEX(Table28[Filtro de ruido],1), 1, Table14[[#This Row],[I_10]] / Table14[[#This Row],[I_0]])</f>
        <v>1.0859375</v>
      </c>
      <c r="V541" s="1">
        <f>IF(Table14[[#This Row],[I_0]] &lt; INDEX(Table28[Filtro de ruido],1), 1, Table14[[#This Row],[I_20]] / Table14[[#This Row],[I_0]])</f>
        <v>1.1171875</v>
      </c>
      <c r="W541" s="1">
        <f>IF(Table14[[#This Row],[I_0]] &lt; INDEX(Table28[Filtro de ruido],1), 1, Table14[[#This Row],[I_30]] / Table14[[#This Row],[I_0]])</f>
        <v>1.1640625</v>
      </c>
      <c r="X541" s="1">
        <f>IF(Table14[[#This Row],[I_0]] &lt; INDEX(Table28[Filtro de ruido],1), 1, Table14[[#This Row],[I_40]] / Table14[[#This Row],[I_0]])</f>
        <v>1.1874999999999998</v>
      </c>
      <c r="Y541" s="19">
        <f>IF(Table14[[#This Row],[I_0]] &lt; INDEX(Table28[Filtro de ruido],1), 1, Table14[[#This Row],[I_50]] / Table14[[#This Row],[I_0]])</f>
        <v>1.1796875</v>
      </c>
      <c r="AA541" s="1"/>
    </row>
    <row r="542" spans="1:27" x14ac:dyDescent="0.3">
      <c r="A542" s="18">
        <v>605.83000000000004</v>
      </c>
      <c r="B542" s="1">
        <v>12.9</v>
      </c>
      <c r="C542" s="1">
        <v>605.83000000000004</v>
      </c>
      <c r="D542" s="1">
        <v>14.1</v>
      </c>
      <c r="E542" s="1">
        <v>605.83000000000004</v>
      </c>
      <c r="F542" s="1">
        <v>14.5</v>
      </c>
      <c r="G542" s="1">
        <v>605.83000000000004</v>
      </c>
      <c r="H542" s="1">
        <v>15.1</v>
      </c>
      <c r="I542" s="1">
        <v>605.83000000000004</v>
      </c>
      <c r="J542" s="1">
        <v>15.4</v>
      </c>
      <c r="K542" s="1">
        <v>605.83000000000004</v>
      </c>
      <c r="L542" s="1">
        <v>15.3</v>
      </c>
      <c r="M542" s="1">
        <v>605.83000000000004</v>
      </c>
      <c r="N542" s="1">
        <v>12.9</v>
      </c>
      <c r="O542" s="1">
        <v>14.1</v>
      </c>
      <c r="P542" s="1">
        <v>14.5</v>
      </c>
      <c r="Q542" s="1">
        <v>15.1</v>
      </c>
      <c r="R542" s="1">
        <v>15.4</v>
      </c>
      <c r="S542" s="1">
        <v>15.3</v>
      </c>
      <c r="T542" s="1">
        <v>605.83000000000004</v>
      </c>
      <c r="U542" s="1">
        <f>IF(Table14[[#This Row],[I_0]] &lt; INDEX(Table28[Filtro de ruido],1), 1, Table14[[#This Row],[I_10]] / Table14[[#This Row],[I_0]])</f>
        <v>1.0930232558139534</v>
      </c>
      <c r="V542" s="1">
        <f>IF(Table14[[#This Row],[I_0]] &lt; INDEX(Table28[Filtro de ruido],1), 1, Table14[[#This Row],[I_20]] / Table14[[#This Row],[I_0]])</f>
        <v>1.124031007751938</v>
      </c>
      <c r="W542" s="1">
        <f>IF(Table14[[#This Row],[I_0]] &lt; INDEX(Table28[Filtro de ruido],1), 1, Table14[[#This Row],[I_30]] / Table14[[#This Row],[I_0]])</f>
        <v>1.1705426356589146</v>
      </c>
      <c r="X542" s="1">
        <f>IF(Table14[[#This Row],[I_0]] &lt; INDEX(Table28[Filtro de ruido],1), 1, Table14[[#This Row],[I_40]] / Table14[[#This Row],[I_0]])</f>
        <v>1.193798449612403</v>
      </c>
      <c r="Y542" s="19">
        <f>IF(Table14[[#This Row],[I_0]] &lt; INDEX(Table28[Filtro de ruido],1), 1, Table14[[#This Row],[I_50]] / Table14[[#This Row],[I_0]])</f>
        <v>1.1860465116279071</v>
      </c>
      <c r="AA542" s="1"/>
    </row>
    <row r="543" spans="1:27" x14ac:dyDescent="0.3">
      <c r="A543" s="18">
        <v>606.83000000000004</v>
      </c>
      <c r="B543" s="1">
        <v>13.1</v>
      </c>
      <c r="C543" s="1">
        <v>606.83000000000004</v>
      </c>
      <c r="D543" s="1">
        <v>14.3</v>
      </c>
      <c r="E543" s="1">
        <v>606.83000000000004</v>
      </c>
      <c r="F543" s="1">
        <v>14.8</v>
      </c>
      <c r="G543" s="1">
        <v>606.83000000000004</v>
      </c>
      <c r="H543" s="1">
        <v>15.3</v>
      </c>
      <c r="I543" s="1">
        <v>606.83000000000004</v>
      </c>
      <c r="J543" s="1">
        <v>15.6</v>
      </c>
      <c r="K543" s="1">
        <v>606.83000000000004</v>
      </c>
      <c r="L543" s="1">
        <v>15.5</v>
      </c>
      <c r="M543" s="1">
        <v>606.83000000000004</v>
      </c>
      <c r="N543" s="1">
        <v>13.1</v>
      </c>
      <c r="O543" s="1">
        <v>14.3</v>
      </c>
      <c r="P543" s="1">
        <v>14.8</v>
      </c>
      <c r="Q543" s="1">
        <v>15.3</v>
      </c>
      <c r="R543" s="1">
        <v>15.6</v>
      </c>
      <c r="S543" s="1">
        <v>15.5</v>
      </c>
      <c r="T543" s="1">
        <v>606.83000000000004</v>
      </c>
      <c r="U543" s="1">
        <f>IF(Table14[[#This Row],[I_0]] &lt; INDEX(Table28[Filtro de ruido],1), 1, Table14[[#This Row],[I_10]] / Table14[[#This Row],[I_0]])</f>
        <v>1.0916030534351147</v>
      </c>
      <c r="V543" s="1">
        <f>IF(Table14[[#This Row],[I_0]] &lt; INDEX(Table28[Filtro de ruido],1), 1, Table14[[#This Row],[I_20]] / Table14[[#This Row],[I_0]])</f>
        <v>1.1297709923664123</v>
      </c>
      <c r="W543" s="1">
        <f>IF(Table14[[#This Row],[I_0]] &lt; INDEX(Table28[Filtro de ruido],1), 1, Table14[[#This Row],[I_30]] / Table14[[#This Row],[I_0]])</f>
        <v>1.16793893129771</v>
      </c>
      <c r="X543" s="1">
        <f>IF(Table14[[#This Row],[I_0]] &lt; INDEX(Table28[Filtro de ruido],1), 1, Table14[[#This Row],[I_40]] / Table14[[#This Row],[I_0]])</f>
        <v>1.1908396946564885</v>
      </c>
      <c r="Y543" s="19">
        <f>IF(Table14[[#This Row],[I_0]] &lt; INDEX(Table28[Filtro de ruido],1), 1, Table14[[#This Row],[I_50]] / Table14[[#This Row],[I_0]])</f>
        <v>1.1832061068702291</v>
      </c>
      <c r="AA543" s="1"/>
    </row>
    <row r="544" spans="1:27" x14ac:dyDescent="0.3">
      <c r="A544" s="18">
        <v>607.82000000000005</v>
      </c>
      <c r="B544" s="1">
        <v>13.4</v>
      </c>
      <c r="C544" s="1">
        <v>607.82000000000005</v>
      </c>
      <c r="D544" s="1">
        <v>14.6</v>
      </c>
      <c r="E544" s="1">
        <v>607.82000000000005</v>
      </c>
      <c r="F544" s="1">
        <v>15</v>
      </c>
      <c r="G544" s="1">
        <v>607.82000000000005</v>
      </c>
      <c r="H544" s="1">
        <v>15.7</v>
      </c>
      <c r="I544" s="1">
        <v>607.82000000000005</v>
      </c>
      <c r="J544" s="1">
        <v>15.9</v>
      </c>
      <c r="K544" s="1">
        <v>607.82000000000005</v>
      </c>
      <c r="L544" s="1">
        <v>15.8</v>
      </c>
      <c r="M544" s="1">
        <v>607.82000000000005</v>
      </c>
      <c r="N544" s="1">
        <v>13.4</v>
      </c>
      <c r="O544" s="1">
        <v>14.6</v>
      </c>
      <c r="P544" s="1">
        <v>15</v>
      </c>
      <c r="Q544" s="1">
        <v>15.7</v>
      </c>
      <c r="R544" s="1">
        <v>15.9</v>
      </c>
      <c r="S544" s="1">
        <v>15.8</v>
      </c>
      <c r="T544" s="1">
        <v>607.82000000000005</v>
      </c>
      <c r="U544" s="1">
        <f>IF(Table14[[#This Row],[I_0]] &lt; INDEX(Table28[Filtro de ruido],1), 1, Table14[[#This Row],[I_10]] / Table14[[#This Row],[I_0]])</f>
        <v>1.0895522388059702</v>
      </c>
      <c r="V544" s="1">
        <f>IF(Table14[[#This Row],[I_0]] &lt; INDEX(Table28[Filtro de ruido],1), 1, Table14[[#This Row],[I_20]] / Table14[[#This Row],[I_0]])</f>
        <v>1.1194029850746268</v>
      </c>
      <c r="W544" s="1">
        <f>IF(Table14[[#This Row],[I_0]] &lt; INDEX(Table28[Filtro de ruido],1), 1, Table14[[#This Row],[I_30]] / Table14[[#This Row],[I_0]])</f>
        <v>1.1716417910447761</v>
      </c>
      <c r="X544" s="1">
        <f>IF(Table14[[#This Row],[I_0]] &lt; INDEX(Table28[Filtro de ruido],1), 1, Table14[[#This Row],[I_40]] / Table14[[#This Row],[I_0]])</f>
        <v>1.1865671641791045</v>
      </c>
      <c r="Y544" s="19">
        <f>IF(Table14[[#This Row],[I_0]] &lt; INDEX(Table28[Filtro de ruido],1), 1, Table14[[#This Row],[I_50]] / Table14[[#This Row],[I_0]])</f>
        <v>1.1791044776119404</v>
      </c>
      <c r="AA544" s="1"/>
    </row>
    <row r="545" spans="1:27" x14ac:dyDescent="0.3">
      <c r="A545" s="18">
        <v>608.80999999999995</v>
      </c>
      <c r="B545" s="1">
        <v>13.6</v>
      </c>
      <c r="C545" s="1">
        <v>608.80999999999995</v>
      </c>
      <c r="D545" s="1">
        <v>14.9</v>
      </c>
      <c r="E545" s="1">
        <v>608.80999999999995</v>
      </c>
      <c r="F545" s="1">
        <v>15.4</v>
      </c>
      <c r="G545" s="1">
        <v>608.80999999999995</v>
      </c>
      <c r="H545" s="1">
        <v>16</v>
      </c>
      <c r="I545" s="1">
        <v>608.80999999999995</v>
      </c>
      <c r="J545" s="1">
        <v>16.2</v>
      </c>
      <c r="K545" s="1">
        <v>608.80999999999995</v>
      </c>
      <c r="L545" s="1">
        <v>16.2</v>
      </c>
      <c r="M545" s="1">
        <v>608.80999999999995</v>
      </c>
      <c r="N545" s="1">
        <v>13.6</v>
      </c>
      <c r="O545" s="1">
        <v>14.9</v>
      </c>
      <c r="P545" s="1">
        <v>15.4</v>
      </c>
      <c r="Q545" s="1">
        <v>16</v>
      </c>
      <c r="R545" s="1">
        <v>16.2</v>
      </c>
      <c r="S545" s="1">
        <v>16.2</v>
      </c>
      <c r="T545" s="1">
        <v>608.80999999999995</v>
      </c>
      <c r="U545" s="1">
        <f>IF(Table14[[#This Row],[I_0]] &lt; INDEX(Table28[Filtro de ruido],1), 1, Table14[[#This Row],[I_10]] / Table14[[#This Row],[I_0]])</f>
        <v>1.0955882352941178</v>
      </c>
      <c r="V545" s="1">
        <f>IF(Table14[[#This Row],[I_0]] &lt; INDEX(Table28[Filtro de ruido],1), 1, Table14[[#This Row],[I_20]] / Table14[[#This Row],[I_0]])</f>
        <v>1.1323529411764706</v>
      </c>
      <c r="W545" s="1">
        <f>IF(Table14[[#This Row],[I_0]] &lt; INDEX(Table28[Filtro de ruido],1), 1, Table14[[#This Row],[I_30]] / Table14[[#This Row],[I_0]])</f>
        <v>1.1764705882352942</v>
      </c>
      <c r="X545" s="1">
        <f>IF(Table14[[#This Row],[I_0]] &lt; INDEX(Table28[Filtro de ruido],1), 1, Table14[[#This Row],[I_40]] / Table14[[#This Row],[I_0]])</f>
        <v>1.1911764705882353</v>
      </c>
      <c r="Y545" s="19">
        <f>IF(Table14[[#This Row],[I_0]] &lt; INDEX(Table28[Filtro de ruido],1), 1, Table14[[#This Row],[I_50]] / Table14[[#This Row],[I_0]])</f>
        <v>1.1911764705882353</v>
      </c>
      <c r="AA545" s="1"/>
    </row>
    <row r="546" spans="1:27" x14ac:dyDescent="0.3">
      <c r="A546" s="18">
        <v>609.79999999999995</v>
      </c>
      <c r="B546" s="1">
        <v>14.1</v>
      </c>
      <c r="C546" s="1">
        <v>609.79999999999995</v>
      </c>
      <c r="D546" s="1">
        <v>15.4</v>
      </c>
      <c r="E546" s="1">
        <v>609.79999999999995</v>
      </c>
      <c r="F546" s="1">
        <v>15.9</v>
      </c>
      <c r="G546" s="1">
        <v>609.79999999999995</v>
      </c>
      <c r="H546" s="1">
        <v>16.5</v>
      </c>
      <c r="I546" s="1">
        <v>609.79999999999995</v>
      </c>
      <c r="J546" s="1">
        <v>16.7</v>
      </c>
      <c r="K546" s="1">
        <v>609.79999999999995</v>
      </c>
      <c r="L546" s="1">
        <v>16.7</v>
      </c>
      <c r="M546" s="1">
        <v>609.79999999999995</v>
      </c>
      <c r="N546" s="1">
        <v>14.1</v>
      </c>
      <c r="O546" s="1">
        <v>15.4</v>
      </c>
      <c r="P546" s="1">
        <v>15.9</v>
      </c>
      <c r="Q546" s="1">
        <v>16.5</v>
      </c>
      <c r="R546" s="1">
        <v>16.7</v>
      </c>
      <c r="S546" s="1">
        <v>16.7</v>
      </c>
      <c r="T546" s="1">
        <v>609.79999999999995</v>
      </c>
      <c r="U546" s="1">
        <f>IF(Table14[[#This Row],[I_0]] &lt; INDEX(Table28[Filtro de ruido],1), 1, Table14[[#This Row],[I_10]] / Table14[[#This Row],[I_0]])</f>
        <v>1.0921985815602837</v>
      </c>
      <c r="V546" s="1">
        <f>IF(Table14[[#This Row],[I_0]] &lt; INDEX(Table28[Filtro de ruido],1), 1, Table14[[#This Row],[I_20]] / Table14[[#This Row],[I_0]])</f>
        <v>1.1276595744680851</v>
      </c>
      <c r="W546" s="1">
        <f>IF(Table14[[#This Row],[I_0]] &lt; INDEX(Table28[Filtro de ruido],1), 1, Table14[[#This Row],[I_30]] / Table14[[#This Row],[I_0]])</f>
        <v>1.1702127659574468</v>
      </c>
      <c r="X546" s="1">
        <f>IF(Table14[[#This Row],[I_0]] &lt; INDEX(Table28[Filtro de ruido],1), 1, Table14[[#This Row],[I_40]] / Table14[[#This Row],[I_0]])</f>
        <v>1.1843971631205674</v>
      </c>
      <c r="Y546" s="19">
        <f>IF(Table14[[#This Row],[I_0]] &lt; INDEX(Table28[Filtro de ruido],1), 1, Table14[[#This Row],[I_50]] / Table14[[#This Row],[I_0]])</f>
        <v>1.1843971631205674</v>
      </c>
      <c r="AA546" s="1"/>
    </row>
    <row r="547" spans="1:27" x14ac:dyDescent="0.3">
      <c r="A547" s="18">
        <v>610.79</v>
      </c>
      <c r="B547" s="1">
        <v>14.5</v>
      </c>
      <c r="C547" s="1">
        <v>610.79</v>
      </c>
      <c r="D547" s="1">
        <v>15.8</v>
      </c>
      <c r="E547" s="1">
        <v>610.79</v>
      </c>
      <c r="F547" s="1">
        <v>16.3</v>
      </c>
      <c r="G547" s="1">
        <v>610.79</v>
      </c>
      <c r="H547" s="1">
        <v>17</v>
      </c>
      <c r="I547" s="1">
        <v>610.79</v>
      </c>
      <c r="J547" s="1">
        <v>17.2</v>
      </c>
      <c r="K547" s="1">
        <v>610.79</v>
      </c>
      <c r="L547" s="1">
        <v>17.2</v>
      </c>
      <c r="M547" s="1">
        <v>610.79</v>
      </c>
      <c r="N547" s="1">
        <v>14.5</v>
      </c>
      <c r="O547" s="1">
        <v>15.8</v>
      </c>
      <c r="P547" s="1">
        <v>16.3</v>
      </c>
      <c r="Q547" s="1">
        <v>17</v>
      </c>
      <c r="R547" s="1">
        <v>17.2</v>
      </c>
      <c r="S547" s="1">
        <v>17.2</v>
      </c>
      <c r="T547" s="1">
        <v>610.79</v>
      </c>
      <c r="U547" s="1">
        <f>IF(Table14[[#This Row],[I_0]] &lt; INDEX(Table28[Filtro de ruido],1), 1, Table14[[#This Row],[I_10]] / Table14[[#This Row],[I_0]])</f>
        <v>1.0896551724137931</v>
      </c>
      <c r="V547" s="1">
        <f>IF(Table14[[#This Row],[I_0]] &lt; INDEX(Table28[Filtro de ruido],1), 1, Table14[[#This Row],[I_20]] / Table14[[#This Row],[I_0]])</f>
        <v>1.1241379310344828</v>
      </c>
      <c r="W547" s="1">
        <f>IF(Table14[[#This Row],[I_0]] &lt; INDEX(Table28[Filtro de ruido],1), 1, Table14[[#This Row],[I_30]] / Table14[[#This Row],[I_0]])</f>
        <v>1.1724137931034482</v>
      </c>
      <c r="X547" s="1">
        <f>IF(Table14[[#This Row],[I_0]] &lt; INDEX(Table28[Filtro de ruido],1), 1, Table14[[#This Row],[I_40]] / Table14[[#This Row],[I_0]])</f>
        <v>1.1862068965517241</v>
      </c>
      <c r="Y547" s="19">
        <f>IF(Table14[[#This Row],[I_0]] &lt; INDEX(Table28[Filtro de ruido],1), 1, Table14[[#This Row],[I_50]] / Table14[[#This Row],[I_0]])</f>
        <v>1.1862068965517241</v>
      </c>
      <c r="AA547" s="1"/>
    </row>
    <row r="548" spans="1:27" x14ac:dyDescent="0.3">
      <c r="A548" s="18">
        <v>611.78</v>
      </c>
      <c r="B548" s="1">
        <v>15.1</v>
      </c>
      <c r="C548" s="1">
        <v>611.78</v>
      </c>
      <c r="D548" s="1">
        <v>16.5</v>
      </c>
      <c r="E548" s="1">
        <v>611.78</v>
      </c>
      <c r="F548" s="1">
        <v>17</v>
      </c>
      <c r="G548" s="1">
        <v>611.78</v>
      </c>
      <c r="H548" s="1">
        <v>17.7</v>
      </c>
      <c r="I548" s="1">
        <v>611.78</v>
      </c>
      <c r="J548" s="1">
        <v>18</v>
      </c>
      <c r="K548" s="1">
        <v>611.78</v>
      </c>
      <c r="L548" s="1">
        <v>17.899999999999999</v>
      </c>
      <c r="M548" s="1">
        <v>611.78</v>
      </c>
      <c r="N548" s="1">
        <v>15.1</v>
      </c>
      <c r="O548" s="1">
        <v>16.5</v>
      </c>
      <c r="P548" s="1">
        <v>17</v>
      </c>
      <c r="Q548" s="1">
        <v>17.7</v>
      </c>
      <c r="R548" s="1">
        <v>18</v>
      </c>
      <c r="S548" s="1">
        <v>17.899999999999999</v>
      </c>
      <c r="T548" s="1">
        <v>611.78</v>
      </c>
      <c r="U548" s="1">
        <f>IF(Table14[[#This Row],[I_0]] &lt; INDEX(Table28[Filtro de ruido],1), 1, Table14[[#This Row],[I_10]] / Table14[[#This Row],[I_0]])</f>
        <v>1.0927152317880795</v>
      </c>
      <c r="V548" s="1">
        <f>IF(Table14[[#This Row],[I_0]] &lt; INDEX(Table28[Filtro de ruido],1), 1, Table14[[#This Row],[I_20]] / Table14[[#This Row],[I_0]])</f>
        <v>1.1258278145695364</v>
      </c>
      <c r="W548" s="1">
        <f>IF(Table14[[#This Row],[I_0]] &lt; INDEX(Table28[Filtro de ruido],1), 1, Table14[[#This Row],[I_30]] / Table14[[#This Row],[I_0]])</f>
        <v>1.1721854304635762</v>
      </c>
      <c r="X548" s="1">
        <f>IF(Table14[[#This Row],[I_0]] &lt; INDEX(Table28[Filtro de ruido],1), 1, Table14[[#This Row],[I_40]] / Table14[[#This Row],[I_0]])</f>
        <v>1.1920529801324504</v>
      </c>
      <c r="Y548" s="19">
        <f>IF(Table14[[#This Row],[I_0]] &lt; INDEX(Table28[Filtro de ruido],1), 1, Table14[[#This Row],[I_50]] / Table14[[#This Row],[I_0]])</f>
        <v>1.1854304635761588</v>
      </c>
      <c r="AA548" s="1"/>
    </row>
    <row r="549" spans="1:27" x14ac:dyDescent="0.3">
      <c r="A549" s="18">
        <v>612.78</v>
      </c>
      <c r="B549" s="1">
        <v>15.8</v>
      </c>
      <c r="C549" s="1">
        <v>612.78</v>
      </c>
      <c r="D549" s="1">
        <v>17.2</v>
      </c>
      <c r="E549" s="1">
        <v>612.78</v>
      </c>
      <c r="F549" s="1">
        <v>17.7</v>
      </c>
      <c r="G549" s="1">
        <v>612.78</v>
      </c>
      <c r="H549" s="1">
        <v>18.399999999999999</v>
      </c>
      <c r="I549" s="1">
        <v>612.78</v>
      </c>
      <c r="J549" s="1">
        <v>18.7</v>
      </c>
      <c r="K549" s="1">
        <v>612.78</v>
      </c>
      <c r="L549" s="1">
        <v>18.600000000000001</v>
      </c>
      <c r="M549" s="1">
        <v>612.78</v>
      </c>
      <c r="N549" s="1">
        <v>15.8</v>
      </c>
      <c r="O549" s="1">
        <v>17.2</v>
      </c>
      <c r="P549" s="1">
        <v>17.7</v>
      </c>
      <c r="Q549" s="1">
        <v>18.399999999999999</v>
      </c>
      <c r="R549" s="1">
        <v>18.7</v>
      </c>
      <c r="S549" s="1">
        <v>18.600000000000001</v>
      </c>
      <c r="T549" s="1">
        <v>612.78</v>
      </c>
      <c r="U549" s="1">
        <f>IF(Table14[[#This Row],[I_0]] &lt; INDEX(Table28[Filtro de ruido],1), 1, Table14[[#This Row],[I_10]] / Table14[[#This Row],[I_0]])</f>
        <v>1.0886075949367087</v>
      </c>
      <c r="V549" s="1">
        <f>IF(Table14[[#This Row],[I_0]] &lt; INDEX(Table28[Filtro de ruido],1), 1, Table14[[#This Row],[I_20]] / Table14[[#This Row],[I_0]])</f>
        <v>1.120253164556962</v>
      </c>
      <c r="W549" s="1">
        <f>IF(Table14[[#This Row],[I_0]] &lt; INDEX(Table28[Filtro de ruido],1), 1, Table14[[#This Row],[I_30]] / Table14[[#This Row],[I_0]])</f>
        <v>1.1645569620253162</v>
      </c>
      <c r="X549" s="1">
        <f>IF(Table14[[#This Row],[I_0]] &lt; INDEX(Table28[Filtro de ruido],1), 1, Table14[[#This Row],[I_40]] / Table14[[#This Row],[I_0]])</f>
        <v>1.1835443037974682</v>
      </c>
      <c r="Y549" s="19">
        <f>IF(Table14[[#This Row],[I_0]] &lt; INDEX(Table28[Filtro de ruido],1), 1, Table14[[#This Row],[I_50]] / Table14[[#This Row],[I_0]])</f>
        <v>1.1772151898734178</v>
      </c>
      <c r="AA549" s="1"/>
    </row>
    <row r="550" spans="1:27" x14ac:dyDescent="0.3">
      <c r="A550" s="18">
        <v>613.77</v>
      </c>
      <c r="B550" s="1">
        <v>16.7</v>
      </c>
      <c r="C550" s="1">
        <v>613.77</v>
      </c>
      <c r="D550" s="1">
        <v>18.100000000000001</v>
      </c>
      <c r="E550" s="1">
        <v>613.77</v>
      </c>
      <c r="F550" s="1">
        <v>18.600000000000001</v>
      </c>
      <c r="G550" s="1">
        <v>613.77</v>
      </c>
      <c r="H550" s="1">
        <v>19.5</v>
      </c>
      <c r="I550" s="1">
        <v>613.77</v>
      </c>
      <c r="J550" s="1">
        <v>19.8</v>
      </c>
      <c r="K550" s="1">
        <v>613.77</v>
      </c>
      <c r="L550" s="1">
        <v>19.600000000000001</v>
      </c>
      <c r="M550" s="1">
        <v>613.77</v>
      </c>
      <c r="N550" s="1">
        <v>16.7</v>
      </c>
      <c r="O550" s="1">
        <v>18.100000000000001</v>
      </c>
      <c r="P550" s="1">
        <v>18.600000000000001</v>
      </c>
      <c r="Q550" s="1">
        <v>19.5</v>
      </c>
      <c r="R550" s="1">
        <v>19.8</v>
      </c>
      <c r="S550" s="1">
        <v>19.600000000000001</v>
      </c>
      <c r="T550" s="1">
        <v>613.77</v>
      </c>
      <c r="U550" s="1">
        <f>IF(Table14[[#This Row],[I_0]] &lt; INDEX(Table28[Filtro de ruido],1), 1, Table14[[#This Row],[I_10]] / Table14[[#This Row],[I_0]])</f>
        <v>1.0838323353293415</v>
      </c>
      <c r="V550" s="1">
        <f>IF(Table14[[#This Row],[I_0]] &lt; INDEX(Table28[Filtro de ruido],1), 1, Table14[[#This Row],[I_20]] / Table14[[#This Row],[I_0]])</f>
        <v>1.1137724550898205</v>
      </c>
      <c r="W550" s="1">
        <f>IF(Table14[[#This Row],[I_0]] &lt; INDEX(Table28[Filtro de ruido],1), 1, Table14[[#This Row],[I_30]] / Table14[[#This Row],[I_0]])</f>
        <v>1.1676646706586826</v>
      </c>
      <c r="X550" s="1">
        <f>IF(Table14[[#This Row],[I_0]] &lt; INDEX(Table28[Filtro de ruido],1), 1, Table14[[#This Row],[I_40]] / Table14[[#This Row],[I_0]])</f>
        <v>1.1856287425149701</v>
      </c>
      <c r="Y550" s="19">
        <f>IF(Table14[[#This Row],[I_0]] &lt; INDEX(Table28[Filtro de ruido],1), 1, Table14[[#This Row],[I_50]] / Table14[[#This Row],[I_0]])</f>
        <v>1.1736526946107786</v>
      </c>
      <c r="AA550" s="1"/>
    </row>
    <row r="551" spans="1:27" x14ac:dyDescent="0.3">
      <c r="A551" s="18">
        <v>614.76</v>
      </c>
      <c r="B551" s="1">
        <v>17.399999999999999</v>
      </c>
      <c r="C551" s="1">
        <v>614.76</v>
      </c>
      <c r="D551" s="1">
        <v>18.899999999999999</v>
      </c>
      <c r="E551" s="1">
        <v>614.76</v>
      </c>
      <c r="F551" s="1">
        <v>19.399999999999999</v>
      </c>
      <c r="G551" s="1">
        <v>614.76</v>
      </c>
      <c r="H551" s="1">
        <v>20.3</v>
      </c>
      <c r="I551" s="1">
        <v>614.76</v>
      </c>
      <c r="J551" s="1">
        <v>20.6</v>
      </c>
      <c r="K551" s="1">
        <v>614.76</v>
      </c>
      <c r="L551" s="1">
        <v>20.399999999999999</v>
      </c>
      <c r="M551" s="1">
        <v>614.76</v>
      </c>
      <c r="N551" s="1">
        <v>17.399999999999999</v>
      </c>
      <c r="O551" s="1">
        <v>18.899999999999999</v>
      </c>
      <c r="P551" s="1">
        <v>19.399999999999999</v>
      </c>
      <c r="Q551" s="1">
        <v>20.3</v>
      </c>
      <c r="R551" s="1">
        <v>20.6</v>
      </c>
      <c r="S551" s="1">
        <v>20.399999999999999</v>
      </c>
      <c r="T551" s="1">
        <v>614.76</v>
      </c>
      <c r="U551" s="1">
        <f>IF(Table14[[#This Row],[I_0]] &lt; INDEX(Table28[Filtro de ruido],1), 1, Table14[[#This Row],[I_10]] / Table14[[#This Row],[I_0]])</f>
        <v>1.0862068965517242</v>
      </c>
      <c r="V551" s="1">
        <f>IF(Table14[[#This Row],[I_0]] &lt; INDEX(Table28[Filtro de ruido],1), 1, Table14[[#This Row],[I_20]] / Table14[[#This Row],[I_0]])</f>
        <v>1.1149425287356323</v>
      </c>
      <c r="W551" s="1">
        <f>IF(Table14[[#This Row],[I_0]] &lt; INDEX(Table28[Filtro de ruido],1), 1, Table14[[#This Row],[I_30]] / Table14[[#This Row],[I_0]])</f>
        <v>1.1666666666666667</v>
      </c>
      <c r="X551" s="1">
        <f>IF(Table14[[#This Row],[I_0]] &lt; INDEX(Table28[Filtro de ruido],1), 1, Table14[[#This Row],[I_40]] / Table14[[#This Row],[I_0]])</f>
        <v>1.1839080459770117</v>
      </c>
      <c r="Y551" s="19">
        <f>IF(Table14[[#This Row],[I_0]] &lt; INDEX(Table28[Filtro de ruido],1), 1, Table14[[#This Row],[I_50]] / Table14[[#This Row],[I_0]])</f>
        <v>1.1724137931034484</v>
      </c>
      <c r="AA551" s="1"/>
    </row>
    <row r="552" spans="1:27" x14ac:dyDescent="0.3">
      <c r="A552" s="18">
        <v>615.75</v>
      </c>
      <c r="B552" s="1">
        <v>18.5</v>
      </c>
      <c r="C552" s="1">
        <v>615.75</v>
      </c>
      <c r="D552" s="1">
        <v>20.100000000000001</v>
      </c>
      <c r="E552" s="1">
        <v>615.75</v>
      </c>
      <c r="F552" s="1">
        <v>20.5</v>
      </c>
      <c r="G552" s="1">
        <v>615.75</v>
      </c>
      <c r="H552" s="1">
        <v>21.4</v>
      </c>
      <c r="I552" s="1">
        <v>615.75</v>
      </c>
      <c r="J552" s="1">
        <v>21.8</v>
      </c>
      <c r="K552" s="1">
        <v>615.75</v>
      </c>
      <c r="L552" s="1">
        <v>21.5</v>
      </c>
      <c r="M552" s="1">
        <v>615.75</v>
      </c>
      <c r="N552" s="1">
        <v>18.5</v>
      </c>
      <c r="O552" s="1">
        <v>20.100000000000001</v>
      </c>
      <c r="P552" s="1">
        <v>20.5</v>
      </c>
      <c r="Q552" s="1">
        <v>21.4</v>
      </c>
      <c r="R552" s="1">
        <v>21.8</v>
      </c>
      <c r="S552" s="1">
        <v>21.5</v>
      </c>
      <c r="T552" s="1">
        <v>615.75</v>
      </c>
      <c r="U552" s="1">
        <f>IF(Table14[[#This Row],[I_0]] &lt; INDEX(Table28[Filtro de ruido],1), 1, Table14[[#This Row],[I_10]] / Table14[[#This Row],[I_0]])</f>
        <v>1.0864864864864865</v>
      </c>
      <c r="V552" s="1">
        <f>IF(Table14[[#This Row],[I_0]] &lt; INDEX(Table28[Filtro de ruido],1), 1, Table14[[#This Row],[I_20]] / Table14[[#This Row],[I_0]])</f>
        <v>1.1081081081081081</v>
      </c>
      <c r="W552" s="1">
        <f>IF(Table14[[#This Row],[I_0]] &lt; INDEX(Table28[Filtro de ruido],1), 1, Table14[[#This Row],[I_30]] / Table14[[#This Row],[I_0]])</f>
        <v>1.1567567567567567</v>
      </c>
      <c r="X552" s="1">
        <f>IF(Table14[[#This Row],[I_0]] &lt; INDEX(Table28[Filtro de ruido],1), 1, Table14[[#This Row],[I_40]] / Table14[[#This Row],[I_0]])</f>
        <v>1.1783783783783783</v>
      </c>
      <c r="Y552" s="19">
        <f>IF(Table14[[#This Row],[I_0]] &lt; INDEX(Table28[Filtro de ruido],1), 1, Table14[[#This Row],[I_50]] / Table14[[#This Row],[I_0]])</f>
        <v>1.1621621621621621</v>
      </c>
      <c r="AA552" s="1"/>
    </row>
    <row r="553" spans="1:27" x14ac:dyDescent="0.3">
      <c r="A553" s="18">
        <v>616.74</v>
      </c>
      <c r="B553" s="1">
        <v>19</v>
      </c>
      <c r="C553" s="1">
        <v>616.74</v>
      </c>
      <c r="D553" s="1">
        <v>20.6</v>
      </c>
      <c r="E553" s="1">
        <v>616.74</v>
      </c>
      <c r="F553" s="1">
        <v>21.1</v>
      </c>
      <c r="G553" s="1">
        <v>616.74</v>
      </c>
      <c r="H553" s="1">
        <v>22</v>
      </c>
      <c r="I553" s="1">
        <v>616.74</v>
      </c>
      <c r="J553" s="1">
        <v>22.4</v>
      </c>
      <c r="K553" s="1">
        <v>616.74</v>
      </c>
      <c r="L553" s="1">
        <v>22.1</v>
      </c>
      <c r="M553" s="1">
        <v>616.74</v>
      </c>
      <c r="N553" s="1">
        <v>19</v>
      </c>
      <c r="O553" s="1">
        <v>20.6</v>
      </c>
      <c r="P553" s="1">
        <v>21.1</v>
      </c>
      <c r="Q553" s="1">
        <v>22</v>
      </c>
      <c r="R553" s="1">
        <v>22.4</v>
      </c>
      <c r="S553" s="1">
        <v>22.1</v>
      </c>
      <c r="T553" s="1">
        <v>616.74</v>
      </c>
      <c r="U553" s="1">
        <f>IF(Table14[[#This Row],[I_0]] &lt; INDEX(Table28[Filtro de ruido],1), 1, Table14[[#This Row],[I_10]] / Table14[[#This Row],[I_0]])</f>
        <v>1.0842105263157895</v>
      </c>
      <c r="V553" s="1">
        <f>IF(Table14[[#This Row],[I_0]] &lt; INDEX(Table28[Filtro de ruido],1), 1, Table14[[#This Row],[I_20]] / Table14[[#This Row],[I_0]])</f>
        <v>1.1105263157894738</v>
      </c>
      <c r="W553" s="1">
        <f>IF(Table14[[#This Row],[I_0]] &lt; INDEX(Table28[Filtro de ruido],1), 1, Table14[[#This Row],[I_30]] / Table14[[#This Row],[I_0]])</f>
        <v>1.1578947368421053</v>
      </c>
      <c r="X553" s="1">
        <f>IF(Table14[[#This Row],[I_0]] &lt; INDEX(Table28[Filtro de ruido],1), 1, Table14[[#This Row],[I_40]] / Table14[[#This Row],[I_0]])</f>
        <v>1.1789473684210525</v>
      </c>
      <c r="Y553" s="19">
        <f>IF(Table14[[#This Row],[I_0]] &lt; INDEX(Table28[Filtro de ruido],1), 1, Table14[[#This Row],[I_50]] / Table14[[#This Row],[I_0]])</f>
        <v>1.1631578947368422</v>
      </c>
      <c r="AA553" s="1"/>
    </row>
    <row r="554" spans="1:27" x14ac:dyDescent="0.3">
      <c r="A554" s="18">
        <v>617.73</v>
      </c>
      <c r="B554" s="1">
        <v>19.600000000000001</v>
      </c>
      <c r="C554" s="1">
        <v>617.73</v>
      </c>
      <c r="D554" s="1">
        <v>21.2</v>
      </c>
      <c r="E554" s="1">
        <v>617.73</v>
      </c>
      <c r="F554" s="1">
        <v>21.7</v>
      </c>
      <c r="G554" s="1">
        <v>617.73</v>
      </c>
      <c r="H554" s="1">
        <v>22.6</v>
      </c>
      <c r="I554" s="1">
        <v>617.73</v>
      </c>
      <c r="J554" s="1">
        <v>23</v>
      </c>
      <c r="K554" s="1">
        <v>617.73</v>
      </c>
      <c r="L554" s="1">
        <v>22.6</v>
      </c>
      <c r="M554" s="1">
        <v>617.73</v>
      </c>
      <c r="N554" s="1">
        <v>19.600000000000001</v>
      </c>
      <c r="O554" s="1">
        <v>21.2</v>
      </c>
      <c r="P554" s="1">
        <v>21.7</v>
      </c>
      <c r="Q554" s="1">
        <v>22.6</v>
      </c>
      <c r="R554" s="1">
        <v>23</v>
      </c>
      <c r="S554" s="1">
        <v>22.6</v>
      </c>
      <c r="T554" s="1">
        <v>617.73</v>
      </c>
      <c r="U554" s="1">
        <f>IF(Table14[[#This Row],[I_0]] &lt; INDEX(Table28[Filtro de ruido],1), 1, Table14[[#This Row],[I_10]] / Table14[[#This Row],[I_0]])</f>
        <v>1.0816326530612244</v>
      </c>
      <c r="V554" s="1">
        <f>IF(Table14[[#This Row],[I_0]] &lt; INDEX(Table28[Filtro de ruido],1), 1, Table14[[#This Row],[I_20]] / Table14[[#This Row],[I_0]])</f>
        <v>1.107142857142857</v>
      </c>
      <c r="W554" s="1">
        <f>IF(Table14[[#This Row],[I_0]] &lt; INDEX(Table28[Filtro de ruido],1), 1, Table14[[#This Row],[I_30]] / Table14[[#This Row],[I_0]])</f>
        <v>1.153061224489796</v>
      </c>
      <c r="X554" s="1">
        <f>IF(Table14[[#This Row],[I_0]] &lt; INDEX(Table28[Filtro de ruido],1), 1, Table14[[#This Row],[I_40]] / Table14[[#This Row],[I_0]])</f>
        <v>1.1734693877551019</v>
      </c>
      <c r="Y554" s="19">
        <f>IF(Table14[[#This Row],[I_0]] &lt; INDEX(Table28[Filtro de ruido],1), 1, Table14[[#This Row],[I_50]] / Table14[[#This Row],[I_0]])</f>
        <v>1.153061224489796</v>
      </c>
      <c r="AA554" s="1"/>
    </row>
    <row r="555" spans="1:27" x14ac:dyDescent="0.3">
      <c r="A555" s="18">
        <v>618.73</v>
      </c>
      <c r="B555" s="1">
        <v>20.5</v>
      </c>
      <c r="C555" s="1">
        <v>618.73</v>
      </c>
      <c r="D555" s="1">
        <v>22.2</v>
      </c>
      <c r="E555" s="1">
        <v>618.73</v>
      </c>
      <c r="F555" s="1">
        <v>22.7</v>
      </c>
      <c r="G555" s="1">
        <v>618.73</v>
      </c>
      <c r="H555" s="1">
        <v>23.6</v>
      </c>
      <c r="I555" s="1">
        <v>618.73</v>
      </c>
      <c r="J555" s="1">
        <v>24</v>
      </c>
      <c r="K555" s="1">
        <v>618.73</v>
      </c>
      <c r="L555" s="1">
        <v>23.6</v>
      </c>
      <c r="M555" s="1">
        <v>618.73</v>
      </c>
      <c r="N555" s="1">
        <v>20.5</v>
      </c>
      <c r="O555" s="1">
        <v>22.2</v>
      </c>
      <c r="P555" s="1">
        <v>22.7</v>
      </c>
      <c r="Q555" s="1">
        <v>23.6</v>
      </c>
      <c r="R555" s="1">
        <v>24</v>
      </c>
      <c r="S555" s="1">
        <v>23.6</v>
      </c>
      <c r="T555" s="1">
        <v>618.73</v>
      </c>
      <c r="U555" s="1">
        <f>IF(Table14[[#This Row],[I_0]] &lt; INDEX(Table28[Filtro de ruido],1), 1, Table14[[#This Row],[I_10]] / Table14[[#This Row],[I_0]])</f>
        <v>1.0829268292682928</v>
      </c>
      <c r="V555" s="1">
        <f>IF(Table14[[#This Row],[I_0]] &lt; INDEX(Table28[Filtro de ruido],1), 1, Table14[[#This Row],[I_20]] / Table14[[#This Row],[I_0]])</f>
        <v>1.1073170731707316</v>
      </c>
      <c r="W555" s="1">
        <f>IF(Table14[[#This Row],[I_0]] &lt; INDEX(Table28[Filtro de ruido],1), 1, Table14[[#This Row],[I_30]] / Table14[[#This Row],[I_0]])</f>
        <v>1.1512195121951221</v>
      </c>
      <c r="X555" s="1">
        <f>IF(Table14[[#This Row],[I_0]] &lt; INDEX(Table28[Filtro de ruido],1), 1, Table14[[#This Row],[I_40]] / Table14[[#This Row],[I_0]])</f>
        <v>1.1707317073170731</v>
      </c>
      <c r="Y555" s="19">
        <f>IF(Table14[[#This Row],[I_0]] &lt; INDEX(Table28[Filtro de ruido],1), 1, Table14[[#This Row],[I_50]] / Table14[[#This Row],[I_0]])</f>
        <v>1.1512195121951221</v>
      </c>
      <c r="AA555" s="1"/>
    </row>
    <row r="556" spans="1:27" x14ac:dyDescent="0.3">
      <c r="A556" s="18">
        <v>619.72</v>
      </c>
      <c r="B556" s="1">
        <v>20.5</v>
      </c>
      <c r="C556" s="1">
        <v>619.72</v>
      </c>
      <c r="D556" s="1">
        <v>22.3</v>
      </c>
      <c r="E556" s="1">
        <v>619.72</v>
      </c>
      <c r="F556" s="1">
        <v>22.8</v>
      </c>
      <c r="G556" s="1">
        <v>619.72</v>
      </c>
      <c r="H556" s="1">
        <v>23.7</v>
      </c>
      <c r="I556" s="1">
        <v>619.72</v>
      </c>
      <c r="J556" s="1">
        <v>24</v>
      </c>
      <c r="K556" s="1">
        <v>619.72</v>
      </c>
      <c r="L556" s="1">
        <v>23.7</v>
      </c>
      <c r="M556" s="1">
        <v>619.72</v>
      </c>
      <c r="N556" s="1">
        <v>20.5</v>
      </c>
      <c r="O556" s="1">
        <v>22.3</v>
      </c>
      <c r="P556" s="1">
        <v>22.8</v>
      </c>
      <c r="Q556" s="1">
        <v>23.7</v>
      </c>
      <c r="R556" s="1">
        <v>24</v>
      </c>
      <c r="S556" s="1">
        <v>23.7</v>
      </c>
      <c r="T556" s="1">
        <v>619.72</v>
      </c>
      <c r="U556" s="1">
        <f>IF(Table14[[#This Row],[I_0]] &lt; INDEX(Table28[Filtro de ruido],1), 1, Table14[[#This Row],[I_10]] / Table14[[#This Row],[I_0]])</f>
        <v>1.0878048780487806</v>
      </c>
      <c r="V556" s="1">
        <f>IF(Table14[[#This Row],[I_0]] &lt; INDEX(Table28[Filtro de ruido],1), 1, Table14[[#This Row],[I_20]] / Table14[[#This Row],[I_0]])</f>
        <v>1.1121951219512196</v>
      </c>
      <c r="W556" s="1">
        <f>IF(Table14[[#This Row],[I_0]] &lt; INDEX(Table28[Filtro de ruido],1), 1, Table14[[#This Row],[I_30]] / Table14[[#This Row],[I_0]])</f>
        <v>1.1560975609756097</v>
      </c>
      <c r="X556" s="1">
        <f>IF(Table14[[#This Row],[I_0]] &lt; INDEX(Table28[Filtro de ruido],1), 1, Table14[[#This Row],[I_40]] / Table14[[#This Row],[I_0]])</f>
        <v>1.1707317073170731</v>
      </c>
      <c r="Y556" s="19">
        <f>IF(Table14[[#This Row],[I_0]] &lt; INDEX(Table28[Filtro de ruido],1), 1, Table14[[#This Row],[I_50]] / Table14[[#This Row],[I_0]])</f>
        <v>1.1560975609756097</v>
      </c>
      <c r="AA556" s="1"/>
    </row>
    <row r="557" spans="1:27" x14ac:dyDescent="0.3">
      <c r="A557" s="18">
        <v>620.71</v>
      </c>
      <c r="B557" s="1">
        <v>20.100000000000001</v>
      </c>
      <c r="C557" s="1">
        <v>620.71</v>
      </c>
      <c r="D557" s="1">
        <v>21.9</v>
      </c>
      <c r="E557" s="1">
        <v>620.71</v>
      </c>
      <c r="F557" s="1">
        <v>22.4</v>
      </c>
      <c r="G557" s="1">
        <v>620.71</v>
      </c>
      <c r="H557" s="1">
        <v>23.2</v>
      </c>
      <c r="I557" s="1">
        <v>620.71</v>
      </c>
      <c r="J557" s="1">
        <v>23.5</v>
      </c>
      <c r="K557" s="1">
        <v>620.71</v>
      </c>
      <c r="L557" s="1">
        <v>23.2</v>
      </c>
      <c r="M557" s="1">
        <v>620.71</v>
      </c>
      <c r="N557" s="1">
        <v>20.100000000000001</v>
      </c>
      <c r="O557" s="1">
        <v>21.9</v>
      </c>
      <c r="P557" s="1">
        <v>22.4</v>
      </c>
      <c r="Q557" s="1">
        <v>23.2</v>
      </c>
      <c r="R557" s="1">
        <v>23.5</v>
      </c>
      <c r="S557" s="1">
        <v>23.2</v>
      </c>
      <c r="T557" s="1">
        <v>620.71</v>
      </c>
      <c r="U557" s="1">
        <f>IF(Table14[[#This Row],[I_0]] &lt; INDEX(Table28[Filtro de ruido],1), 1, Table14[[#This Row],[I_10]] / Table14[[#This Row],[I_0]])</f>
        <v>1.08955223880597</v>
      </c>
      <c r="V557" s="1">
        <f>IF(Table14[[#This Row],[I_0]] &lt; INDEX(Table28[Filtro de ruido],1), 1, Table14[[#This Row],[I_20]] / Table14[[#This Row],[I_0]])</f>
        <v>1.1144278606965172</v>
      </c>
      <c r="W557" s="1">
        <f>IF(Table14[[#This Row],[I_0]] &lt; INDEX(Table28[Filtro de ruido],1), 1, Table14[[#This Row],[I_30]] / Table14[[#This Row],[I_0]])</f>
        <v>1.1542288557213929</v>
      </c>
      <c r="X557" s="1">
        <f>IF(Table14[[#This Row],[I_0]] &lt; INDEX(Table28[Filtro de ruido],1), 1, Table14[[#This Row],[I_40]] / Table14[[#This Row],[I_0]])</f>
        <v>1.1691542288557213</v>
      </c>
      <c r="Y557" s="19">
        <f>IF(Table14[[#This Row],[I_0]] &lt; INDEX(Table28[Filtro de ruido],1), 1, Table14[[#This Row],[I_50]] / Table14[[#This Row],[I_0]])</f>
        <v>1.1542288557213929</v>
      </c>
      <c r="AA557" s="1"/>
    </row>
    <row r="558" spans="1:27" x14ac:dyDescent="0.3">
      <c r="A558" s="18">
        <v>621.70000000000005</v>
      </c>
      <c r="B558" s="1">
        <v>19.3</v>
      </c>
      <c r="C558" s="1">
        <v>621.70000000000005</v>
      </c>
      <c r="D558" s="1">
        <v>21</v>
      </c>
      <c r="E558" s="1">
        <v>621.70000000000005</v>
      </c>
      <c r="F558" s="1">
        <v>21.4</v>
      </c>
      <c r="G558" s="1">
        <v>621.70000000000005</v>
      </c>
      <c r="H558" s="1">
        <v>22.2</v>
      </c>
      <c r="I558" s="1">
        <v>621.70000000000005</v>
      </c>
      <c r="J558" s="1">
        <v>22.5</v>
      </c>
      <c r="K558" s="1">
        <v>621.70000000000005</v>
      </c>
      <c r="L558" s="1">
        <v>22.2</v>
      </c>
      <c r="M558" s="1">
        <v>621.70000000000005</v>
      </c>
      <c r="N558" s="1">
        <v>19.3</v>
      </c>
      <c r="O558" s="1">
        <v>21</v>
      </c>
      <c r="P558" s="1">
        <v>21.4</v>
      </c>
      <c r="Q558" s="1">
        <v>22.2</v>
      </c>
      <c r="R558" s="1">
        <v>22.5</v>
      </c>
      <c r="S558" s="1">
        <v>22.2</v>
      </c>
      <c r="T558" s="1">
        <v>621.70000000000005</v>
      </c>
      <c r="U558" s="1">
        <f>IF(Table14[[#This Row],[I_0]] &lt; INDEX(Table28[Filtro de ruido],1), 1, Table14[[#This Row],[I_10]] / Table14[[#This Row],[I_0]])</f>
        <v>1.088082901554404</v>
      </c>
      <c r="V558" s="1">
        <f>IF(Table14[[#This Row],[I_0]] &lt; INDEX(Table28[Filtro de ruido],1), 1, Table14[[#This Row],[I_20]] / Table14[[#This Row],[I_0]])</f>
        <v>1.1088082901554404</v>
      </c>
      <c r="W558" s="1">
        <f>IF(Table14[[#This Row],[I_0]] &lt; INDEX(Table28[Filtro de ruido],1), 1, Table14[[#This Row],[I_30]] / Table14[[#This Row],[I_0]])</f>
        <v>1.1502590673575128</v>
      </c>
      <c r="X558" s="1">
        <f>IF(Table14[[#This Row],[I_0]] &lt; INDEX(Table28[Filtro de ruido],1), 1, Table14[[#This Row],[I_40]] / Table14[[#This Row],[I_0]])</f>
        <v>1.1658031088082901</v>
      </c>
      <c r="Y558" s="19">
        <f>IF(Table14[[#This Row],[I_0]] &lt; INDEX(Table28[Filtro de ruido],1), 1, Table14[[#This Row],[I_50]] / Table14[[#This Row],[I_0]])</f>
        <v>1.1502590673575128</v>
      </c>
      <c r="AA558" s="1"/>
    </row>
    <row r="559" spans="1:27" x14ac:dyDescent="0.3">
      <c r="A559" s="18">
        <v>622.69000000000005</v>
      </c>
      <c r="B559" s="1">
        <v>17.100000000000001</v>
      </c>
      <c r="C559" s="1">
        <v>622.69000000000005</v>
      </c>
      <c r="D559" s="1">
        <v>18.600000000000001</v>
      </c>
      <c r="E559" s="1">
        <v>622.69000000000005</v>
      </c>
      <c r="F559" s="1">
        <v>19</v>
      </c>
      <c r="G559" s="1">
        <v>622.69000000000005</v>
      </c>
      <c r="H559" s="1">
        <v>19.8</v>
      </c>
      <c r="I559" s="1">
        <v>622.69000000000005</v>
      </c>
      <c r="J559" s="1">
        <v>20</v>
      </c>
      <c r="K559" s="1">
        <v>622.69000000000005</v>
      </c>
      <c r="L559" s="1">
        <v>19.8</v>
      </c>
      <c r="M559" s="1">
        <v>622.69000000000005</v>
      </c>
      <c r="N559" s="1">
        <v>17.100000000000001</v>
      </c>
      <c r="O559" s="1">
        <v>18.600000000000001</v>
      </c>
      <c r="P559" s="1">
        <v>19</v>
      </c>
      <c r="Q559" s="1">
        <v>19.8</v>
      </c>
      <c r="R559" s="1">
        <v>20</v>
      </c>
      <c r="S559" s="1">
        <v>19.8</v>
      </c>
      <c r="T559" s="1">
        <v>622.69000000000005</v>
      </c>
      <c r="U559" s="1">
        <f>IF(Table14[[#This Row],[I_0]] &lt; INDEX(Table28[Filtro de ruido],1), 1, Table14[[#This Row],[I_10]] / Table14[[#This Row],[I_0]])</f>
        <v>1.0877192982456141</v>
      </c>
      <c r="V559" s="1">
        <f>IF(Table14[[#This Row],[I_0]] &lt; INDEX(Table28[Filtro de ruido],1), 1, Table14[[#This Row],[I_20]] / Table14[[#This Row],[I_0]])</f>
        <v>1.1111111111111109</v>
      </c>
      <c r="W559" s="1">
        <f>IF(Table14[[#This Row],[I_0]] &lt; INDEX(Table28[Filtro de ruido],1), 1, Table14[[#This Row],[I_30]] / Table14[[#This Row],[I_0]])</f>
        <v>1.1578947368421053</v>
      </c>
      <c r="X559" s="1">
        <f>IF(Table14[[#This Row],[I_0]] &lt; INDEX(Table28[Filtro de ruido],1), 1, Table14[[#This Row],[I_40]] / Table14[[#This Row],[I_0]])</f>
        <v>1.1695906432748537</v>
      </c>
      <c r="Y559" s="19">
        <f>IF(Table14[[#This Row],[I_0]] &lt; INDEX(Table28[Filtro de ruido],1), 1, Table14[[#This Row],[I_50]] / Table14[[#This Row],[I_0]])</f>
        <v>1.1578947368421053</v>
      </c>
      <c r="AA559" s="1"/>
    </row>
    <row r="560" spans="1:27" x14ac:dyDescent="0.3">
      <c r="A560" s="18">
        <v>623.69000000000005</v>
      </c>
      <c r="B560" s="1">
        <v>15</v>
      </c>
      <c r="C560" s="1">
        <v>623.69000000000005</v>
      </c>
      <c r="D560" s="1">
        <v>16.399999999999999</v>
      </c>
      <c r="E560" s="1">
        <v>623.69000000000005</v>
      </c>
      <c r="F560" s="1">
        <v>16.8</v>
      </c>
      <c r="G560" s="1">
        <v>623.69000000000005</v>
      </c>
      <c r="H560" s="1">
        <v>17.399999999999999</v>
      </c>
      <c r="I560" s="1">
        <v>623.69000000000005</v>
      </c>
      <c r="J560" s="1">
        <v>17.7</v>
      </c>
      <c r="K560" s="1">
        <v>623.69000000000005</v>
      </c>
      <c r="L560" s="1">
        <v>17.399999999999999</v>
      </c>
      <c r="M560" s="1">
        <v>623.69000000000005</v>
      </c>
      <c r="N560" s="1">
        <v>15</v>
      </c>
      <c r="O560" s="1">
        <v>16.399999999999999</v>
      </c>
      <c r="P560" s="1">
        <v>16.8</v>
      </c>
      <c r="Q560" s="1">
        <v>17.399999999999999</v>
      </c>
      <c r="R560" s="1">
        <v>17.7</v>
      </c>
      <c r="S560" s="1">
        <v>17.399999999999999</v>
      </c>
      <c r="T560" s="1">
        <v>623.69000000000005</v>
      </c>
      <c r="U560" s="1">
        <f>IF(Table14[[#This Row],[I_0]] &lt; INDEX(Table28[Filtro de ruido],1), 1, Table14[[#This Row],[I_10]] / Table14[[#This Row],[I_0]])</f>
        <v>1.0933333333333333</v>
      </c>
      <c r="V560" s="1">
        <f>IF(Table14[[#This Row],[I_0]] &lt; INDEX(Table28[Filtro de ruido],1), 1, Table14[[#This Row],[I_20]] / Table14[[#This Row],[I_0]])</f>
        <v>1.1200000000000001</v>
      </c>
      <c r="W560" s="1">
        <f>IF(Table14[[#This Row],[I_0]] &lt; INDEX(Table28[Filtro de ruido],1), 1, Table14[[#This Row],[I_30]] / Table14[[#This Row],[I_0]])</f>
        <v>1.1599999999999999</v>
      </c>
      <c r="X560" s="1">
        <f>IF(Table14[[#This Row],[I_0]] &lt; INDEX(Table28[Filtro de ruido],1), 1, Table14[[#This Row],[I_40]] / Table14[[#This Row],[I_0]])</f>
        <v>1.18</v>
      </c>
      <c r="Y560" s="19">
        <f>IF(Table14[[#This Row],[I_0]] &lt; INDEX(Table28[Filtro de ruido],1), 1, Table14[[#This Row],[I_50]] / Table14[[#This Row],[I_0]])</f>
        <v>1.1599999999999999</v>
      </c>
      <c r="AA560" s="1"/>
    </row>
    <row r="561" spans="1:27" x14ac:dyDescent="0.3">
      <c r="A561" s="18">
        <v>624.67999999999995</v>
      </c>
      <c r="B561" s="1">
        <v>11.9</v>
      </c>
      <c r="C561" s="1">
        <v>624.67999999999995</v>
      </c>
      <c r="D561" s="1">
        <v>13.1</v>
      </c>
      <c r="E561" s="1">
        <v>624.67999999999995</v>
      </c>
      <c r="F561" s="1">
        <v>13.4</v>
      </c>
      <c r="G561" s="1">
        <v>624.67999999999995</v>
      </c>
      <c r="H561" s="1">
        <v>13.9</v>
      </c>
      <c r="I561" s="1">
        <v>624.67999999999995</v>
      </c>
      <c r="J561" s="1">
        <v>14.1</v>
      </c>
      <c r="K561" s="1">
        <v>624.67999999999995</v>
      </c>
      <c r="L561" s="1">
        <v>13.9</v>
      </c>
      <c r="M561" s="1">
        <v>624.67999999999995</v>
      </c>
      <c r="N561" s="1">
        <v>11.9</v>
      </c>
      <c r="O561" s="1">
        <v>13.1</v>
      </c>
      <c r="P561" s="1">
        <v>13.4</v>
      </c>
      <c r="Q561" s="1">
        <v>13.9</v>
      </c>
      <c r="R561" s="1">
        <v>14.1</v>
      </c>
      <c r="S561" s="1">
        <v>13.9</v>
      </c>
      <c r="T561" s="1">
        <v>624.67999999999995</v>
      </c>
      <c r="U561" s="1">
        <f>IF(Table14[[#This Row],[I_0]] &lt; INDEX(Table28[Filtro de ruido],1), 1, Table14[[#This Row],[I_10]] / Table14[[#This Row],[I_0]])</f>
        <v>1.1008403361344536</v>
      </c>
      <c r="V561" s="1">
        <f>IF(Table14[[#This Row],[I_0]] &lt; INDEX(Table28[Filtro de ruido],1), 1, Table14[[#This Row],[I_20]] / Table14[[#This Row],[I_0]])</f>
        <v>1.1260504201680672</v>
      </c>
      <c r="W561" s="1">
        <f>IF(Table14[[#This Row],[I_0]] &lt; INDEX(Table28[Filtro de ruido],1), 1, Table14[[#This Row],[I_30]] / Table14[[#This Row],[I_0]])</f>
        <v>1.1680672268907564</v>
      </c>
      <c r="X561" s="1">
        <f>IF(Table14[[#This Row],[I_0]] &lt; INDEX(Table28[Filtro de ruido],1), 1, Table14[[#This Row],[I_40]] / Table14[[#This Row],[I_0]])</f>
        <v>1.1848739495798319</v>
      </c>
      <c r="Y561" s="19">
        <f>IF(Table14[[#This Row],[I_0]] &lt; INDEX(Table28[Filtro de ruido],1), 1, Table14[[#This Row],[I_50]] / Table14[[#This Row],[I_0]])</f>
        <v>1.1680672268907564</v>
      </c>
      <c r="AA561" s="1"/>
    </row>
    <row r="562" spans="1:27" x14ac:dyDescent="0.3">
      <c r="A562" s="18">
        <v>625.66999999999996</v>
      </c>
      <c r="B562" s="1">
        <v>9.5</v>
      </c>
      <c r="C562" s="1">
        <v>625.66999999999996</v>
      </c>
      <c r="D562" s="1">
        <v>10.5</v>
      </c>
      <c r="E562" s="1">
        <v>625.66999999999996</v>
      </c>
      <c r="F562" s="1">
        <v>10.7</v>
      </c>
      <c r="G562" s="1">
        <v>625.66999999999996</v>
      </c>
      <c r="H562" s="1">
        <v>11.2</v>
      </c>
      <c r="I562" s="1">
        <v>625.66999999999996</v>
      </c>
      <c r="J562" s="1">
        <v>11.3</v>
      </c>
      <c r="K562" s="1">
        <v>625.66999999999996</v>
      </c>
      <c r="L562" s="1">
        <v>11.1</v>
      </c>
      <c r="M562" s="1">
        <v>625.66999999999996</v>
      </c>
      <c r="N562" s="1">
        <v>9.5</v>
      </c>
      <c r="O562" s="1">
        <v>10.5</v>
      </c>
      <c r="P562" s="1">
        <v>10.7</v>
      </c>
      <c r="Q562" s="1">
        <v>11.2</v>
      </c>
      <c r="R562" s="1">
        <v>11.3</v>
      </c>
      <c r="S562" s="1">
        <v>11.1</v>
      </c>
      <c r="T562" s="1">
        <v>625.66999999999996</v>
      </c>
      <c r="U562" s="1">
        <f>IF(Table14[[#This Row],[I_0]] &lt; INDEX(Table28[Filtro de ruido],1), 1, Table14[[#This Row],[I_10]] / Table14[[#This Row],[I_0]])</f>
        <v>1.1052631578947369</v>
      </c>
      <c r="V562" s="1">
        <f>IF(Table14[[#This Row],[I_0]] &lt; INDEX(Table28[Filtro de ruido],1), 1, Table14[[#This Row],[I_20]] / Table14[[#This Row],[I_0]])</f>
        <v>1.1263157894736842</v>
      </c>
      <c r="W562" s="1">
        <f>IF(Table14[[#This Row],[I_0]] &lt; INDEX(Table28[Filtro de ruido],1), 1, Table14[[#This Row],[I_30]] / Table14[[#This Row],[I_0]])</f>
        <v>1.1789473684210525</v>
      </c>
      <c r="X562" s="1">
        <f>IF(Table14[[#This Row],[I_0]] &lt; INDEX(Table28[Filtro de ruido],1), 1, Table14[[#This Row],[I_40]] / Table14[[#This Row],[I_0]])</f>
        <v>1.1894736842105265</v>
      </c>
      <c r="Y562" s="19">
        <f>IF(Table14[[#This Row],[I_0]] &lt; INDEX(Table28[Filtro de ruido],1), 1, Table14[[#This Row],[I_50]] / Table14[[#This Row],[I_0]])</f>
        <v>1.1684210526315788</v>
      </c>
      <c r="AA562" s="1"/>
    </row>
    <row r="563" spans="1:27" x14ac:dyDescent="0.3">
      <c r="A563" s="18">
        <v>626.66</v>
      </c>
      <c r="B563" s="1">
        <v>7.4</v>
      </c>
      <c r="C563" s="1">
        <v>626.66</v>
      </c>
      <c r="D563" s="1">
        <v>8.1</v>
      </c>
      <c r="E563" s="1">
        <v>626.66</v>
      </c>
      <c r="F563" s="1">
        <v>8.3000000000000007</v>
      </c>
      <c r="G563" s="1">
        <v>626.66</v>
      </c>
      <c r="H563" s="1">
        <v>8.6</v>
      </c>
      <c r="I563" s="1">
        <v>626.66</v>
      </c>
      <c r="J563" s="1">
        <v>8.8000000000000007</v>
      </c>
      <c r="K563" s="1">
        <v>626.66</v>
      </c>
      <c r="L563" s="1">
        <v>8.6</v>
      </c>
      <c r="M563" s="1">
        <v>626.66</v>
      </c>
      <c r="N563" s="1">
        <v>7.4</v>
      </c>
      <c r="O563" s="1">
        <v>8.1</v>
      </c>
      <c r="P563" s="1">
        <v>8.3000000000000007</v>
      </c>
      <c r="Q563" s="1">
        <v>8.6</v>
      </c>
      <c r="R563" s="1">
        <v>8.8000000000000007</v>
      </c>
      <c r="S563" s="1">
        <v>8.6</v>
      </c>
      <c r="T563" s="1">
        <v>626.66</v>
      </c>
      <c r="U563" s="1">
        <f>IF(Table14[[#This Row],[I_0]] &lt; INDEX(Table28[Filtro de ruido],1), 1, Table14[[#This Row],[I_10]] / Table14[[#This Row],[I_0]])</f>
        <v>1.0945945945945945</v>
      </c>
      <c r="V563" s="1">
        <f>IF(Table14[[#This Row],[I_0]] &lt; INDEX(Table28[Filtro de ruido],1), 1, Table14[[#This Row],[I_20]] / Table14[[#This Row],[I_0]])</f>
        <v>1.1216216216216217</v>
      </c>
      <c r="W563" s="1">
        <f>IF(Table14[[#This Row],[I_0]] &lt; INDEX(Table28[Filtro de ruido],1), 1, Table14[[#This Row],[I_30]] / Table14[[#This Row],[I_0]])</f>
        <v>1.1621621621621621</v>
      </c>
      <c r="X563" s="1">
        <f>IF(Table14[[#This Row],[I_0]] &lt; INDEX(Table28[Filtro de ruido],1), 1, Table14[[#This Row],[I_40]] / Table14[[#This Row],[I_0]])</f>
        <v>1.1891891891891893</v>
      </c>
      <c r="Y563" s="19">
        <f>IF(Table14[[#This Row],[I_0]] &lt; INDEX(Table28[Filtro de ruido],1), 1, Table14[[#This Row],[I_50]] / Table14[[#This Row],[I_0]])</f>
        <v>1.1621621621621621</v>
      </c>
      <c r="AA563" s="1"/>
    </row>
    <row r="564" spans="1:27" x14ac:dyDescent="0.3">
      <c r="A564" s="18">
        <v>627.65</v>
      </c>
      <c r="B564" s="1">
        <v>6</v>
      </c>
      <c r="C564" s="1">
        <v>627.65</v>
      </c>
      <c r="D564" s="1">
        <v>6.6</v>
      </c>
      <c r="E564" s="1">
        <v>627.65</v>
      </c>
      <c r="F564" s="1">
        <v>6.7</v>
      </c>
      <c r="G564" s="1">
        <v>627.65</v>
      </c>
      <c r="H564" s="1">
        <v>7</v>
      </c>
      <c r="I564" s="1">
        <v>627.65</v>
      </c>
      <c r="J564" s="1">
        <v>7.1</v>
      </c>
      <c r="K564" s="1">
        <v>627.65</v>
      </c>
      <c r="L564" s="1">
        <v>7</v>
      </c>
      <c r="M564" s="1">
        <v>627.65</v>
      </c>
      <c r="N564" s="1">
        <v>6</v>
      </c>
      <c r="O564" s="1">
        <v>6.6</v>
      </c>
      <c r="P564" s="1">
        <v>6.7</v>
      </c>
      <c r="Q564" s="1">
        <v>7</v>
      </c>
      <c r="R564" s="1">
        <v>7.1</v>
      </c>
      <c r="S564" s="1">
        <v>7</v>
      </c>
      <c r="T564" s="1">
        <v>627.65</v>
      </c>
      <c r="U564" s="1">
        <f>IF(Table14[[#This Row],[I_0]] &lt; INDEX(Table28[Filtro de ruido],1), 1, Table14[[#This Row],[I_10]] / Table14[[#This Row],[I_0]])</f>
        <v>1.0999999999999999</v>
      </c>
      <c r="V564" s="1">
        <f>IF(Table14[[#This Row],[I_0]] &lt; INDEX(Table28[Filtro de ruido],1), 1, Table14[[#This Row],[I_20]] / Table14[[#This Row],[I_0]])</f>
        <v>1.1166666666666667</v>
      </c>
      <c r="W564" s="1">
        <f>IF(Table14[[#This Row],[I_0]] &lt; INDEX(Table28[Filtro de ruido],1), 1, Table14[[#This Row],[I_30]] / Table14[[#This Row],[I_0]])</f>
        <v>1.1666666666666667</v>
      </c>
      <c r="X564" s="1">
        <f>IF(Table14[[#This Row],[I_0]] &lt; INDEX(Table28[Filtro de ruido],1), 1, Table14[[#This Row],[I_40]] / Table14[[#This Row],[I_0]])</f>
        <v>1.1833333333333333</v>
      </c>
      <c r="Y564" s="19">
        <f>IF(Table14[[#This Row],[I_0]] &lt; INDEX(Table28[Filtro de ruido],1), 1, Table14[[#This Row],[I_50]] / Table14[[#This Row],[I_0]])</f>
        <v>1.1666666666666667</v>
      </c>
      <c r="AA564" s="1"/>
    </row>
    <row r="565" spans="1:27" x14ac:dyDescent="0.3">
      <c r="A565" s="18">
        <v>628.64</v>
      </c>
      <c r="B565" s="1">
        <v>4.8</v>
      </c>
      <c r="C565" s="1">
        <v>628.64</v>
      </c>
      <c r="D565" s="1">
        <v>5.3</v>
      </c>
      <c r="E565" s="1">
        <v>628.64</v>
      </c>
      <c r="F565" s="1">
        <v>5.4</v>
      </c>
      <c r="G565" s="1">
        <v>628.64</v>
      </c>
      <c r="H565" s="1">
        <v>5.6</v>
      </c>
      <c r="I565" s="1">
        <v>628.64</v>
      </c>
      <c r="J565" s="1">
        <v>5.7</v>
      </c>
      <c r="K565" s="1">
        <v>628.64</v>
      </c>
      <c r="L565" s="1">
        <v>5.6</v>
      </c>
      <c r="M565" s="1">
        <v>628.64</v>
      </c>
      <c r="N565" s="1">
        <v>4.8</v>
      </c>
      <c r="O565" s="1">
        <v>5.3</v>
      </c>
      <c r="P565" s="1">
        <v>5.4</v>
      </c>
      <c r="Q565" s="1">
        <v>5.6</v>
      </c>
      <c r="R565" s="1">
        <v>5.7</v>
      </c>
      <c r="S565" s="1">
        <v>5.6</v>
      </c>
      <c r="T565" s="1">
        <v>628.64</v>
      </c>
      <c r="U565" s="1">
        <f>IF(Table14[[#This Row],[I_0]] &lt; INDEX(Table28[Filtro de ruido],1), 1, Table14[[#This Row],[I_10]] / Table14[[#This Row],[I_0]])</f>
        <v>1.1041666666666667</v>
      </c>
      <c r="V565" s="1">
        <f>IF(Table14[[#This Row],[I_0]] &lt; INDEX(Table28[Filtro de ruido],1), 1, Table14[[#This Row],[I_20]] / Table14[[#This Row],[I_0]])</f>
        <v>1.1250000000000002</v>
      </c>
      <c r="W565" s="1">
        <f>IF(Table14[[#This Row],[I_0]] &lt; INDEX(Table28[Filtro de ruido],1), 1, Table14[[#This Row],[I_30]] / Table14[[#This Row],[I_0]])</f>
        <v>1.1666666666666667</v>
      </c>
      <c r="X565" s="1">
        <f>IF(Table14[[#This Row],[I_0]] &lt; INDEX(Table28[Filtro de ruido],1), 1, Table14[[#This Row],[I_40]] / Table14[[#This Row],[I_0]])</f>
        <v>1.1875</v>
      </c>
      <c r="Y565" s="19">
        <f>IF(Table14[[#This Row],[I_0]] &lt; INDEX(Table28[Filtro de ruido],1), 1, Table14[[#This Row],[I_50]] / Table14[[#This Row],[I_0]])</f>
        <v>1.1666666666666667</v>
      </c>
      <c r="AA565" s="1"/>
    </row>
    <row r="566" spans="1:27" x14ac:dyDescent="0.3">
      <c r="A566" s="18">
        <v>629.64</v>
      </c>
      <c r="B566" s="1">
        <v>3.9</v>
      </c>
      <c r="C566" s="1">
        <v>629.64</v>
      </c>
      <c r="D566" s="1">
        <v>4.3</v>
      </c>
      <c r="E566" s="1">
        <v>629.64</v>
      </c>
      <c r="F566" s="1">
        <v>4.4000000000000004</v>
      </c>
      <c r="G566" s="1">
        <v>629.64</v>
      </c>
      <c r="H566" s="1">
        <v>4.5999999999999996</v>
      </c>
      <c r="I566" s="1">
        <v>629.64</v>
      </c>
      <c r="J566" s="1">
        <v>4.5999999999999996</v>
      </c>
      <c r="K566" s="1">
        <v>629.64</v>
      </c>
      <c r="L566" s="1">
        <v>4.5999999999999996</v>
      </c>
      <c r="M566" s="1">
        <v>629.64</v>
      </c>
      <c r="N566" s="1">
        <v>3.9</v>
      </c>
      <c r="O566" s="1">
        <v>4.3</v>
      </c>
      <c r="P566" s="1">
        <v>4.4000000000000004</v>
      </c>
      <c r="Q566" s="1">
        <v>4.5999999999999996</v>
      </c>
      <c r="R566" s="1">
        <v>4.5999999999999996</v>
      </c>
      <c r="S566" s="1">
        <v>4.5999999999999996</v>
      </c>
      <c r="T566" s="1">
        <v>629.64</v>
      </c>
      <c r="U566" s="1">
        <f>IF(Table14[[#This Row],[I_0]] &lt; INDEX(Table28[Filtro de ruido],1), 1, Table14[[#This Row],[I_10]] / Table14[[#This Row],[I_0]])</f>
        <v>1.1025641025641026</v>
      </c>
      <c r="V566" s="1">
        <f>IF(Table14[[#This Row],[I_0]] &lt; INDEX(Table28[Filtro de ruido],1), 1, Table14[[#This Row],[I_20]] / Table14[[#This Row],[I_0]])</f>
        <v>1.1282051282051284</v>
      </c>
      <c r="W566" s="1">
        <f>IF(Table14[[#This Row],[I_0]] &lt; INDEX(Table28[Filtro de ruido],1), 1, Table14[[#This Row],[I_30]] / Table14[[#This Row],[I_0]])</f>
        <v>1.1794871794871795</v>
      </c>
      <c r="X566" s="1">
        <f>IF(Table14[[#This Row],[I_0]] &lt; INDEX(Table28[Filtro de ruido],1), 1, Table14[[#This Row],[I_40]] / Table14[[#This Row],[I_0]])</f>
        <v>1.1794871794871795</v>
      </c>
      <c r="Y566" s="19">
        <f>IF(Table14[[#This Row],[I_0]] &lt; INDEX(Table28[Filtro de ruido],1), 1, Table14[[#This Row],[I_50]] / Table14[[#This Row],[I_0]])</f>
        <v>1.1794871794871795</v>
      </c>
      <c r="AA566" s="1"/>
    </row>
    <row r="567" spans="1:27" x14ac:dyDescent="0.3">
      <c r="A567" s="18">
        <v>630.63</v>
      </c>
      <c r="B567" s="1">
        <v>3.2</v>
      </c>
      <c r="C567" s="1">
        <v>630.63</v>
      </c>
      <c r="D567" s="1">
        <v>3.5</v>
      </c>
      <c r="E567" s="1">
        <v>630.63</v>
      </c>
      <c r="F567" s="1">
        <v>3.6</v>
      </c>
      <c r="G567" s="1">
        <v>630.63</v>
      </c>
      <c r="H567" s="1">
        <v>3.7</v>
      </c>
      <c r="I567" s="1">
        <v>630.63</v>
      </c>
      <c r="J567" s="1">
        <v>3.8</v>
      </c>
      <c r="K567" s="1">
        <v>630.63</v>
      </c>
      <c r="L567" s="1">
        <v>3.7</v>
      </c>
      <c r="M567" s="1">
        <v>630.63</v>
      </c>
      <c r="N567" s="1">
        <v>3.2</v>
      </c>
      <c r="O567" s="1">
        <v>3.5</v>
      </c>
      <c r="P567" s="1">
        <v>3.6</v>
      </c>
      <c r="Q567" s="1">
        <v>3.7</v>
      </c>
      <c r="R567" s="1">
        <v>3.8</v>
      </c>
      <c r="S567" s="1">
        <v>3.7</v>
      </c>
      <c r="T567" s="1">
        <v>630.63</v>
      </c>
      <c r="U567" s="1">
        <f>IF(Table14[[#This Row],[I_0]] &lt; INDEX(Table28[Filtro de ruido],1), 1, Table14[[#This Row],[I_10]] / Table14[[#This Row],[I_0]])</f>
        <v>1.09375</v>
      </c>
      <c r="V567" s="1">
        <f>IF(Table14[[#This Row],[I_0]] &lt; INDEX(Table28[Filtro de ruido],1), 1, Table14[[#This Row],[I_20]] / Table14[[#This Row],[I_0]])</f>
        <v>1.125</v>
      </c>
      <c r="W567" s="1">
        <f>IF(Table14[[#This Row],[I_0]] &lt; INDEX(Table28[Filtro de ruido],1), 1, Table14[[#This Row],[I_30]] / Table14[[#This Row],[I_0]])</f>
        <v>1.15625</v>
      </c>
      <c r="X567" s="1">
        <f>IF(Table14[[#This Row],[I_0]] &lt; INDEX(Table28[Filtro de ruido],1), 1, Table14[[#This Row],[I_40]] / Table14[[#This Row],[I_0]])</f>
        <v>1.1874999999999998</v>
      </c>
      <c r="Y567" s="19">
        <f>IF(Table14[[#This Row],[I_0]] &lt; INDEX(Table28[Filtro de ruido],1), 1, Table14[[#This Row],[I_50]] / Table14[[#This Row],[I_0]])</f>
        <v>1.15625</v>
      </c>
      <c r="AA567" s="1"/>
    </row>
    <row r="568" spans="1:27" x14ac:dyDescent="0.3">
      <c r="A568" s="18">
        <v>631.62</v>
      </c>
      <c r="B568" s="1">
        <v>2.6</v>
      </c>
      <c r="C568" s="1">
        <v>631.62</v>
      </c>
      <c r="D568" s="1">
        <v>2.8</v>
      </c>
      <c r="E568" s="1">
        <v>631.62</v>
      </c>
      <c r="F568" s="1">
        <v>2.9</v>
      </c>
      <c r="G568" s="1">
        <v>631.62</v>
      </c>
      <c r="H568" s="1">
        <v>3</v>
      </c>
      <c r="I568" s="1">
        <v>631.62</v>
      </c>
      <c r="J568" s="1">
        <v>3</v>
      </c>
      <c r="K568" s="1">
        <v>631.62</v>
      </c>
      <c r="L568" s="1">
        <v>3</v>
      </c>
      <c r="M568" s="1">
        <v>631.62</v>
      </c>
      <c r="N568" s="1">
        <v>2.6</v>
      </c>
      <c r="O568" s="1">
        <v>2.8</v>
      </c>
      <c r="P568" s="1">
        <v>2.9</v>
      </c>
      <c r="Q568" s="1">
        <v>3</v>
      </c>
      <c r="R568" s="1">
        <v>3</v>
      </c>
      <c r="S568" s="1">
        <v>3</v>
      </c>
      <c r="T568" s="1">
        <v>631.62</v>
      </c>
      <c r="U568" s="1">
        <f>IF(Table14[[#This Row],[I_0]] &lt; INDEX(Table28[Filtro de ruido],1), 1, Table14[[#This Row],[I_10]] / Table14[[#This Row],[I_0]])</f>
        <v>1.0769230769230769</v>
      </c>
      <c r="V568" s="1">
        <f>IF(Table14[[#This Row],[I_0]] &lt; INDEX(Table28[Filtro de ruido],1), 1, Table14[[#This Row],[I_20]] / Table14[[#This Row],[I_0]])</f>
        <v>1.1153846153846154</v>
      </c>
      <c r="W568" s="1">
        <f>IF(Table14[[#This Row],[I_0]] &lt; INDEX(Table28[Filtro de ruido],1), 1, Table14[[#This Row],[I_30]] / Table14[[#This Row],[I_0]])</f>
        <v>1.1538461538461537</v>
      </c>
      <c r="X568" s="1">
        <f>IF(Table14[[#This Row],[I_0]] &lt; INDEX(Table28[Filtro de ruido],1), 1, Table14[[#This Row],[I_40]] / Table14[[#This Row],[I_0]])</f>
        <v>1.1538461538461537</v>
      </c>
      <c r="Y568" s="19">
        <f>IF(Table14[[#This Row],[I_0]] &lt; INDEX(Table28[Filtro de ruido],1), 1, Table14[[#This Row],[I_50]] / Table14[[#This Row],[I_0]])</f>
        <v>1.1538461538461537</v>
      </c>
      <c r="AA568" s="1"/>
    </row>
    <row r="569" spans="1:27" x14ac:dyDescent="0.3">
      <c r="A569" s="18">
        <v>632.61</v>
      </c>
      <c r="B569" s="1">
        <v>2.1</v>
      </c>
      <c r="C569" s="1">
        <v>632.61</v>
      </c>
      <c r="D569" s="1">
        <v>2.2999999999999998</v>
      </c>
      <c r="E569" s="1">
        <v>632.61</v>
      </c>
      <c r="F569" s="1">
        <v>2.2999999999999998</v>
      </c>
      <c r="G569" s="1">
        <v>632.61</v>
      </c>
      <c r="H569" s="1">
        <v>2.4</v>
      </c>
      <c r="I569" s="1">
        <v>632.61</v>
      </c>
      <c r="J569" s="1">
        <v>2.5</v>
      </c>
      <c r="K569" s="1">
        <v>632.61</v>
      </c>
      <c r="L569" s="1">
        <v>2.4</v>
      </c>
      <c r="M569" s="1">
        <v>632.61</v>
      </c>
      <c r="N569" s="1">
        <v>2.1</v>
      </c>
      <c r="O569" s="1">
        <v>2.2999999999999998</v>
      </c>
      <c r="P569" s="1">
        <v>2.2999999999999998</v>
      </c>
      <c r="Q569" s="1">
        <v>2.4</v>
      </c>
      <c r="R569" s="1">
        <v>2.5</v>
      </c>
      <c r="S569" s="1">
        <v>2.4</v>
      </c>
      <c r="T569" s="1">
        <v>632.61</v>
      </c>
      <c r="U569" s="1">
        <f>IF(Table14[[#This Row],[I_0]] &lt; INDEX(Table28[Filtro de ruido],1), 1, Table14[[#This Row],[I_10]] / Table14[[#This Row],[I_0]])</f>
        <v>1.0952380952380951</v>
      </c>
      <c r="V569" s="1">
        <f>IF(Table14[[#This Row],[I_0]] &lt; INDEX(Table28[Filtro de ruido],1), 1, Table14[[#This Row],[I_20]] / Table14[[#This Row],[I_0]])</f>
        <v>1.0952380952380951</v>
      </c>
      <c r="W569" s="1">
        <f>IF(Table14[[#This Row],[I_0]] &lt; INDEX(Table28[Filtro de ruido],1), 1, Table14[[#This Row],[I_30]] / Table14[[#This Row],[I_0]])</f>
        <v>1.1428571428571428</v>
      </c>
      <c r="X569" s="1">
        <f>IF(Table14[[#This Row],[I_0]] &lt; INDEX(Table28[Filtro de ruido],1), 1, Table14[[#This Row],[I_40]] / Table14[[#This Row],[I_0]])</f>
        <v>1.1904761904761905</v>
      </c>
      <c r="Y569" s="19">
        <f>IF(Table14[[#This Row],[I_0]] &lt; INDEX(Table28[Filtro de ruido],1), 1, Table14[[#This Row],[I_50]] / Table14[[#This Row],[I_0]])</f>
        <v>1.1428571428571428</v>
      </c>
      <c r="AA569" s="1"/>
    </row>
    <row r="570" spans="1:27" x14ac:dyDescent="0.3">
      <c r="A570" s="18">
        <v>633.6</v>
      </c>
      <c r="B570" s="1">
        <v>1.7</v>
      </c>
      <c r="C570" s="1">
        <v>633.6</v>
      </c>
      <c r="D570" s="1">
        <v>1.9</v>
      </c>
      <c r="E570" s="1">
        <v>633.6</v>
      </c>
      <c r="F570" s="1">
        <v>1.9</v>
      </c>
      <c r="G570" s="1">
        <v>633.6</v>
      </c>
      <c r="H570" s="1">
        <v>2</v>
      </c>
      <c r="I570" s="1">
        <v>633.6</v>
      </c>
      <c r="J570" s="1">
        <v>2</v>
      </c>
      <c r="K570" s="1">
        <v>633.6</v>
      </c>
      <c r="L570" s="1">
        <v>2</v>
      </c>
      <c r="M570" s="1">
        <v>633.6</v>
      </c>
      <c r="N570" s="1">
        <v>1.7</v>
      </c>
      <c r="O570" s="1">
        <v>1.9</v>
      </c>
      <c r="P570" s="1">
        <v>1.9</v>
      </c>
      <c r="Q570" s="1">
        <v>2</v>
      </c>
      <c r="R570" s="1">
        <v>2</v>
      </c>
      <c r="S570" s="1">
        <v>2</v>
      </c>
      <c r="T570" s="1">
        <v>633.6</v>
      </c>
      <c r="U570" s="1">
        <f>IF(Table14[[#This Row],[I_0]] &lt; INDEX(Table28[Filtro de ruido],1), 1, Table14[[#This Row],[I_10]] / Table14[[#This Row],[I_0]])</f>
        <v>1.1176470588235294</v>
      </c>
      <c r="V570" s="1">
        <f>IF(Table14[[#This Row],[I_0]] &lt; INDEX(Table28[Filtro de ruido],1), 1, Table14[[#This Row],[I_20]] / Table14[[#This Row],[I_0]])</f>
        <v>1.1176470588235294</v>
      </c>
      <c r="W570" s="1">
        <f>IF(Table14[[#This Row],[I_0]] &lt; INDEX(Table28[Filtro de ruido],1), 1, Table14[[#This Row],[I_30]] / Table14[[#This Row],[I_0]])</f>
        <v>1.1764705882352942</v>
      </c>
      <c r="X570" s="1">
        <f>IF(Table14[[#This Row],[I_0]] &lt; INDEX(Table28[Filtro de ruido],1), 1, Table14[[#This Row],[I_40]] / Table14[[#This Row],[I_0]])</f>
        <v>1.1764705882352942</v>
      </c>
      <c r="Y570" s="19">
        <f>IF(Table14[[#This Row],[I_0]] &lt; INDEX(Table28[Filtro de ruido],1), 1, Table14[[#This Row],[I_50]] / Table14[[#This Row],[I_0]])</f>
        <v>1.1764705882352942</v>
      </c>
      <c r="AA570" s="1"/>
    </row>
    <row r="571" spans="1:27" x14ac:dyDescent="0.3">
      <c r="A571" s="18">
        <v>634.59</v>
      </c>
      <c r="B571" s="1">
        <v>1.4</v>
      </c>
      <c r="C571" s="1">
        <v>634.59</v>
      </c>
      <c r="D571" s="1">
        <v>1.5</v>
      </c>
      <c r="E571" s="1">
        <v>634.59</v>
      </c>
      <c r="F571" s="1">
        <v>1.5</v>
      </c>
      <c r="G571" s="1">
        <v>634.59</v>
      </c>
      <c r="H571" s="1">
        <v>1.6</v>
      </c>
      <c r="I571" s="1">
        <v>634.59</v>
      </c>
      <c r="J571" s="1">
        <v>1.6</v>
      </c>
      <c r="K571" s="1">
        <v>634.59</v>
      </c>
      <c r="L571" s="1">
        <v>1.6</v>
      </c>
      <c r="M571" s="1">
        <v>634.59</v>
      </c>
      <c r="N571" s="1">
        <v>1.4</v>
      </c>
      <c r="O571" s="1">
        <v>1.5</v>
      </c>
      <c r="P571" s="1">
        <v>1.5</v>
      </c>
      <c r="Q571" s="1">
        <v>1.6</v>
      </c>
      <c r="R571" s="1">
        <v>1.6</v>
      </c>
      <c r="S571" s="1">
        <v>1.6</v>
      </c>
      <c r="T571" s="1">
        <v>634.59</v>
      </c>
      <c r="U571" s="1">
        <f>IF(Table14[[#This Row],[I_0]] &lt; INDEX(Table28[Filtro de ruido],1), 1, Table14[[#This Row],[I_10]] / Table14[[#This Row],[I_0]])</f>
        <v>1.0714285714285714</v>
      </c>
      <c r="V571" s="1">
        <f>IF(Table14[[#This Row],[I_0]] &lt; INDEX(Table28[Filtro de ruido],1), 1, Table14[[#This Row],[I_20]] / Table14[[#This Row],[I_0]])</f>
        <v>1.0714285714285714</v>
      </c>
      <c r="W571" s="1">
        <f>IF(Table14[[#This Row],[I_0]] &lt; INDEX(Table28[Filtro de ruido],1), 1, Table14[[#This Row],[I_30]] / Table14[[#This Row],[I_0]])</f>
        <v>1.142857142857143</v>
      </c>
      <c r="X571" s="1">
        <f>IF(Table14[[#This Row],[I_0]] &lt; INDEX(Table28[Filtro de ruido],1), 1, Table14[[#This Row],[I_40]] / Table14[[#This Row],[I_0]])</f>
        <v>1.142857142857143</v>
      </c>
      <c r="Y571" s="19">
        <f>IF(Table14[[#This Row],[I_0]] &lt; INDEX(Table28[Filtro de ruido],1), 1, Table14[[#This Row],[I_50]] / Table14[[#This Row],[I_0]])</f>
        <v>1.142857142857143</v>
      </c>
      <c r="AA571" s="1"/>
    </row>
    <row r="572" spans="1:27" x14ac:dyDescent="0.3">
      <c r="A572" s="18">
        <v>635.59</v>
      </c>
      <c r="B572" s="1">
        <v>1.1000000000000001</v>
      </c>
      <c r="C572" s="1">
        <v>635.59</v>
      </c>
      <c r="D572" s="1">
        <v>1.2</v>
      </c>
      <c r="E572" s="1">
        <v>635.59</v>
      </c>
      <c r="F572" s="1">
        <v>1.2</v>
      </c>
      <c r="G572" s="1">
        <v>635.59</v>
      </c>
      <c r="H572" s="1">
        <v>1.3</v>
      </c>
      <c r="I572" s="1">
        <v>635.59</v>
      </c>
      <c r="J572" s="1">
        <v>1.3</v>
      </c>
      <c r="K572" s="1">
        <v>635.59</v>
      </c>
      <c r="L572" s="1">
        <v>1.3</v>
      </c>
      <c r="M572" s="1">
        <v>635.59</v>
      </c>
      <c r="N572" s="1">
        <v>1.1000000000000001</v>
      </c>
      <c r="O572" s="1">
        <v>1.2</v>
      </c>
      <c r="P572" s="1">
        <v>1.2</v>
      </c>
      <c r="Q572" s="1">
        <v>1.3</v>
      </c>
      <c r="R572" s="1">
        <v>1.3</v>
      </c>
      <c r="S572" s="1">
        <v>1.3</v>
      </c>
      <c r="T572" s="1">
        <v>635.59</v>
      </c>
      <c r="U572" s="1">
        <f>IF(Table14[[#This Row],[I_0]] &lt; INDEX(Table28[Filtro de ruido],1), 1, Table14[[#This Row],[I_10]] / Table14[[#This Row],[I_0]])</f>
        <v>1.0909090909090908</v>
      </c>
      <c r="V572" s="1">
        <f>IF(Table14[[#This Row],[I_0]] &lt; INDEX(Table28[Filtro de ruido],1), 1, Table14[[#This Row],[I_20]] / Table14[[#This Row],[I_0]])</f>
        <v>1.0909090909090908</v>
      </c>
      <c r="W572" s="1">
        <f>IF(Table14[[#This Row],[I_0]] &lt; INDEX(Table28[Filtro de ruido],1), 1, Table14[[#This Row],[I_30]] / Table14[[#This Row],[I_0]])</f>
        <v>1.1818181818181817</v>
      </c>
      <c r="X572" s="1">
        <f>IF(Table14[[#This Row],[I_0]] &lt; INDEX(Table28[Filtro de ruido],1), 1, Table14[[#This Row],[I_40]] / Table14[[#This Row],[I_0]])</f>
        <v>1.1818181818181817</v>
      </c>
      <c r="Y572" s="19">
        <f>IF(Table14[[#This Row],[I_0]] &lt; INDEX(Table28[Filtro de ruido],1), 1, Table14[[#This Row],[I_50]] / Table14[[#This Row],[I_0]])</f>
        <v>1.1818181818181817</v>
      </c>
      <c r="AA572" s="1"/>
    </row>
    <row r="573" spans="1:27" x14ac:dyDescent="0.3">
      <c r="A573" s="18">
        <v>636.58000000000004</v>
      </c>
      <c r="B573" s="1">
        <v>0.9</v>
      </c>
      <c r="C573" s="1">
        <v>636.58000000000004</v>
      </c>
      <c r="D573" s="1">
        <v>1</v>
      </c>
      <c r="E573" s="1">
        <v>636.58000000000004</v>
      </c>
      <c r="F573" s="1">
        <v>1</v>
      </c>
      <c r="G573" s="1">
        <v>636.58000000000004</v>
      </c>
      <c r="H573" s="1">
        <v>1</v>
      </c>
      <c r="I573" s="1">
        <v>636.58000000000004</v>
      </c>
      <c r="J573" s="1">
        <v>1.1000000000000001</v>
      </c>
      <c r="K573" s="1">
        <v>636.58000000000004</v>
      </c>
      <c r="L573" s="1">
        <v>1</v>
      </c>
      <c r="M573" s="1">
        <v>636.58000000000004</v>
      </c>
      <c r="N573" s="1">
        <v>0.9</v>
      </c>
      <c r="O573" s="1">
        <v>1</v>
      </c>
      <c r="P573" s="1">
        <v>1</v>
      </c>
      <c r="Q573" s="1">
        <v>1</v>
      </c>
      <c r="R573" s="1">
        <v>1.1000000000000001</v>
      </c>
      <c r="S573" s="1">
        <v>1</v>
      </c>
      <c r="T573" s="1">
        <v>636.58000000000004</v>
      </c>
      <c r="U573" s="1">
        <f>IF(Table14[[#This Row],[I_0]] &lt; INDEX(Table28[Filtro de ruido],1), 1, Table14[[#This Row],[I_10]] / Table14[[#This Row],[I_0]])</f>
        <v>1.1111111111111112</v>
      </c>
      <c r="V573" s="1">
        <f>IF(Table14[[#This Row],[I_0]] &lt; INDEX(Table28[Filtro de ruido],1), 1, Table14[[#This Row],[I_20]] / Table14[[#This Row],[I_0]])</f>
        <v>1.1111111111111112</v>
      </c>
      <c r="W573" s="1">
        <f>IF(Table14[[#This Row],[I_0]] &lt; INDEX(Table28[Filtro de ruido],1), 1, Table14[[#This Row],[I_30]] / Table14[[#This Row],[I_0]])</f>
        <v>1.1111111111111112</v>
      </c>
      <c r="X573" s="1">
        <f>IF(Table14[[#This Row],[I_0]] &lt; INDEX(Table28[Filtro de ruido],1), 1, Table14[[#This Row],[I_40]] / Table14[[#This Row],[I_0]])</f>
        <v>1.2222222222222223</v>
      </c>
      <c r="Y573" s="19">
        <f>IF(Table14[[#This Row],[I_0]] &lt; INDEX(Table28[Filtro de ruido],1), 1, Table14[[#This Row],[I_50]] / Table14[[#This Row],[I_0]])</f>
        <v>1.1111111111111112</v>
      </c>
      <c r="AA573" s="1"/>
    </row>
    <row r="574" spans="1:27" x14ac:dyDescent="0.3">
      <c r="A574" s="18">
        <v>637.57000000000005</v>
      </c>
      <c r="B574" s="1">
        <v>0.7</v>
      </c>
      <c r="C574" s="1">
        <v>637.57000000000005</v>
      </c>
      <c r="D574" s="1">
        <v>0.8</v>
      </c>
      <c r="E574" s="1">
        <v>637.57000000000005</v>
      </c>
      <c r="F574" s="1">
        <v>0.8</v>
      </c>
      <c r="G574" s="1">
        <v>637.57000000000005</v>
      </c>
      <c r="H574" s="1">
        <v>0.8</v>
      </c>
      <c r="I574" s="1">
        <v>637.57000000000005</v>
      </c>
      <c r="J574" s="1">
        <v>0.9</v>
      </c>
      <c r="K574" s="1">
        <v>637.57000000000005</v>
      </c>
      <c r="L574" s="1">
        <v>0.8</v>
      </c>
      <c r="M574" s="1">
        <v>637.57000000000005</v>
      </c>
      <c r="N574" s="1">
        <v>0.7</v>
      </c>
      <c r="O574" s="1">
        <v>0.8</v>
      </c>
      <c r="P574" s="1">
        <v>0.8</v>
      </c>
      <c r="Q574" s="1">
        <v>0.8</v>
      </c>
      <c r="R574" s="1">
        <v>0.9</v>
      </c>
      <c r="S574" s="1">
        <v>0.8</v>
      </c>
      <c r="T574" s="1">
        <v>637.57000000000005</v>
      </c>
      <c r="U574" s="1">
        <f>IF(Table14[[#This Row],[I_0]] &lt; INDEX(Table28[Filtro de ruido],1), 1, Table14[[#This Row],[I_10]] / Table14[[#This Row],[I_0]])</f>
        <v>1.142857142857143</v>
      </c>
      <c r="V574" s="1">
        <f>IF(Table14[[#This Row],[I_0]] &lt; INDEX(Table28[Filtro de ruido],1), 1, Table14[[#This Row],[I_20]] / Table14[[#This Row],[I_0]])</f>
        <v>1.142857142857143</v>
      </c>
      <c r="W574" s="1">
        <f>IF(Table14[[#This Row],[I_0]] &lt; INDEX(Table28[Filtro de ruido],1), 1, Table14[[#This Row],[I_30]] / Table14[[#This Row],[I_0]])</f>
        <v>1.142857142857143</v>
      </c>
      <c r="X574" s="1">
        <f>IF(Table14[[#This Row],[I_0]] &lt; INDEX(Table28[Filtro de ruido],1), 1, Table14[[#This Row],[I_40]] / Table14[[#This Row],[I_0]])</f>
        <v>1.2857142857142858</v>
      </c>
      <c r="Y574" s="19">
        <f>IF(Table14[[#This Row],[I_0]] &lt; INDEX(Table28[Filtro de ruido],1), 1, Table14[[#This Row],[I_50]] / Table14[[#This Row],[I_0]])</f>
        <v>1.142857142857143</v>
      </c>
      <c r="AA574" s="1"/>
    </row>
    <row r="575" spans="1:27" x14ac:dyDescent="0.3">
      <c r="A575" s="18">
        <v>638.55999999999995</v>
      </c>
      <c r="B575" s="1">
        <v>0.6</v>
      </c>
      <c r="C575" s="1">
        <v>638.55999999999995</v>
      </c>
      <c r="D575" s="1">
        <v>0.6</v>
      </c>
      <c r="E575" s="1">
        <v>638.55999999999995</v>
      </c>
      <c r="F575" s="1">
        <v>0.7</v>
      </c>
      <c r="G575" s="1">
        <v>638.55999999999995</v>
      </c>
      <c r="H575" s="1">
        <v>0.7</v>
      </c>
      <c r="I575" s="1">
        <v>638.55999999999995</v>
      </c>
      <c r="J575" s="1">
        <v>0.7</v>
      </c>
      <c r="K575" s="1">
        <v>638.55999999999995</v>
      </c>
      <c r="L575" s="1">
        <v>0.7</v>
      </c>
      <c r="M575" s="1">
        <v>638.55999999999995</v>
      </c>
      <c r="N575" s="1">
        <v>0.6</v>
      </c>
      <c r="O575" s="1">
        <v>0.6</v>
      </c>
      <c r="P575" s="1">
        <v>0.7</v>
      </c>
      <c r="Q575" s="1">
        <v>0.7</v>
      </c>
      <c r="R575" s="1">
        <v>0.7</v>
      </c>
      <c r="S575" s="1">
        <v>0.7</v>
      </c>
      <c r="T575" s="1">
        <v>638.55999999999995</v>
      </c>
      <c r="U575" s="1">
        <f>IF(Table14[[#This Row],[I_0]] &lt; INDEX(Table28[Filtro de ruido],1), 1, Table14[[#This Row],[I_10]] / Table14[[#This Row],[I_0]])</f>
        <v>1</v>
      </c>
      <c r="V575" s="1">
        <f>IF(Table14[[#This Row],[I_0]] &lt; INDEX(Table28[Filtro de ruido],1), 1, Table14[[#This Row],[I_20]] / Table14[[#This Row],[I_0]])</f>
        <v>1.1666666666666667</v>
      </c>
      <c r="W575" s="1">
        <f>IF(Table14[[#This Row],[I_0]] &lt; INDEX(Table28[Filtro de ruido],1), 1, Table14[[#This Row],[I_30]] / Table14[[#This Row],[I_0]])</f>
        <v>1.1666666666666667</v>
      </c>
      <c r="X575" s="1">
        <f>IF(Table14[[#This Row],[I_0]] &lt; INDEX(Table28[Filtro de ruido],1), 1, Table14[[#This Row],[I_40]] / Table14[[#This Row],[I_0]])</f>
        <v>1.1666666666666667</v>
      </c>
      <c r="Y575" s="19">
        <f>IF(Table14[[#This Row],[I_0]] &lt; INDEX(Table28[Filtro de ruido],1), 1, Table14[[#This Row],[I_50]] / Table14[[#This Row],[I_0]])</f>
        <v>1.1666666666666667</v>
      </c>
      <c r="AA575" s="1"/>
    </row>
    <row r="576" spans="1:27" x14ac:dyDescent="0.3">
      <c r="A576" s="18">
        <v>639.54999999999995</v>
      </c>
      <c r="B576" s="1">
        <v>0.5</v>
      </c>
      <c r="C576" s="1">
        <v>639.54999999999995</v>
      </c>
      <c r="D576" s="1">
        <v>0.5</v>
      </c>
      <c r="E576" s="1">
        <v>639.54999999999995</v>
      </c>
      <c r="F576" s="1">
        <v>0.5</v>
      </c>
      <c r="G576" s="1">
        <v>639.54999999999995</v>
      </c>
      <c r="H576" s="1">
        <v>0.6</v>
      </c>
      <c r="I576" s="1">
        <v>639.54999999999995</v>
      </c>
      <c r="J576" s="1">
        <v>0.6</v>
      </c>
      <c r="K576" s="1">
        <v>639.54999999999995</v>
      </c>
      <c r="L576" s="1">
        <v>0.6</v>
      </c>
      <c r="M576" s="1">
        <v>639.54999999999995</v>
      </c>
      <c r="N576" s="1">
        <v>0.5</v>
      </c>
      <c r="O576" s="1">
        <v>0.5</v>
      </c>
      <c r="P576" s="1">
        <v>0.5</v>
      </c>
      <c r="Q576" s="1">
        <v>0.6</v>
      </c>
      <c r="R576" s="1">
        <v>0.6</v>
      </c>
      <c r="S576" s="1">
        <v>0.6</v>
      </c>
      <c r="T576" s="1">
        <v>639.54999999999995</v>
      </c>
      <c r="U576" s="1">
        <f>IF(Table14[[#This Row],[I_0]] &lt; INDEX(Table28[Filtro de ruido],1), 1, Table14[[#This Row],[I_10]] / Table14[[#This Row],[I_0]])</f>
        <v>1</v>
      </c>
      <c r="V576" s="1">
        <f>IF(Table14[[#This Row],[I_0]] &lt; INDEX(Table28[Filtro de ruido],1), 1, Table14[[#This Row],[I_20]] / Table14[[#This Row],[I_0]])</f>
        <v>1</v>
      </c>
      <c r="W576" s="1">
        <f>IF(Table14[[#This Row],[I_0]] &lt; INDEX(Table28[Filtro de ruido],1), 1, Table14[[#This Row],[I_30]] / Table14[[#This Row],[I_0]])</f>
        <v>1.2</v>
      </c>
      <c r="X576" s="1">
        <f>IF(Table14[[#This Row],[I_0]] &lt; INDEX(Table28[Filtro de ruido],1), 1, Table14[[#This Row],[I_40]] / Table14[[#This Row],[I_0]])</f>
        <v>1.2</v>
      </c>
      <c r="Y576" s="19">
        <f>IF(Table14[[#This Row],[I_0]] &lt; INDEX(Table28[Filtro de ruido],1), 1, Table14[[#This Row],[I_50]] / Table14[[#This Row],[I_0]])</f>
        <v>1.2</v>
      </c>
      <c r="AA576" s="1"/>
    </row>
    <row r="577" spans="1:27" x14ac:dyDescent="0.3">
      <c r="A577" s="18">
        <v>640.54999999999995</v>
      </c>
      <c r="B577" s="1">
        <v>0.4</v>
      </c>
      <c r="C577" s="1">
        <v>640.54999999999995</v>
      </c>
      <c r="D577" s="1">
        <v>0.4</v>
      </c>
      <c r="E577" s="1">
        <v>640.54999999999995</v>
      </c>
      <c r="F577" s="1">
        <v>0.4</v>
      </c>
      <c r="G577" s="1">
        <v>640.54999999999995</v>
      </c>
      <c r="H577" s="1">
        <v>0.4</v>
      </c>
      <c r="I577" s="1">
        <v>640.54999999999995</v>
      </c>
      <c r="J577" s="1">
        <v>0.5</v>
      </c>
      <c r="K577" s="1">
        <v>640.54999999999995</v>
      </c>
      <c r="L577" s="1">
        <v>0.4</v>
      </c>
      <c r="M577" s="1">
        <v>640.54999999999995</v>
      </c>
      <c r="N577" s="1">
        <v>0.4</v>
      </c>
      <c r="O577" s="1">
        <v>0.4</v>
      </c>
      <c r="P577" s="1">
        <v>0.4</v>
      </c>
      <c r="Q577" s="1">
        <v>0.4</v>
      </c>
      <c r="R577" s="1">
        <v>0.5</v>
      </c>
      <c r="S577" s="1">
        <v>0.4</v>
      </c>
      <c r="T577" s="1">
        <v>640.54999999999995</v>
      </c>
      <c r="U577" s="1">
        <f>IF(Table14[[#This Row],[I_0]] &lt; INDEX(Table28[Filtro de ruido],1), 1, Table14[[#This Row],[I_10]] / Table14[[#This Row],[I_0]])</f>
        <v>1</v>
      </c>
      <c r="V577" s="1">
        <f>IF(Table14[[#This Row],[I_0]] &lt; INDEX(Table28[Filtro de ruido],1), 1, Table14[[#This Row],[I_20]] / Table14[[#This Row],[I_0]])</f>
        <v>1</v>
      </c>
      <c r="W577" s="1">
        <f>IF(Table14[[#This Row],[I_0]] &lt; INDEX(Table28[Filtro de ruido],1), 1, Table14[[#This Row],[I_30]] / Table14[[#This Row],[I_0]])</f>
        <v>1</v>
      </c>
      <c r="X577" s="1">
        <f>IF(Table14[[#This Row],[I_0]] &lt; INDEX(Table28[Filtro de ruido],1), 1, Table14[[#This Row],[I_40]] / Table14[[#This Row],[I_0]])</f>
        <v>1.25</v>
      </c>
      <c r="Y577" s="19">
        <f>IF(Table14[[#This Row],[I_0]] &lt; INDEX(Table28[Filtro de ruido],1), 1, Table14[[#This Row],[I_50]] / Table14[[#This Row],[I_0]])</f>
        <v>1</v>
      </c>
      <c r="AA577" s="1"/>
    </row>
    <row r="578" spans="1:27" x14ac:dyDescent="0.3">
      <c r="A578" s="18">
        <v>641.54</v>
      </c>
      <c r="B578" s="1">
        <v>0.3</v>
      </c>
      <c r="C578" s="1">
        <v>641.54</v>
      </c>
      <c r="D578" s="1">
        <v>0.3</v>
      </c>
      <c r="E578" s="1">
        <v>641.54</v>
      </c>
      <c r="F578" s="1">
        <v>0.4</v>
      </c>
      <c r="G578" s="1">
        <v>641.54</v>
      </c>
      <c r="H578" s="1">
        <v>0.4</v>
      </c>
      <c r="I578" s="1">
        <v>641.54</v>
      </c>
      <c r="J578" s="1">
        <v>0.4</v>
      </c>
      <c r="K578" s="1">
        <v>641.54</v>
      </c>
      <c r="L578" s="1">
        <v>0.4</v>
      </c>
      <c r="M578" s="1">
        <v>641.54</v>
      </c>
      <c r="N578" s="1">
        <v>0.3</v>
      </c>
      <c r="O578" s="1">
        <v>0.3</v>
      </c>
      <c r="P578" s="1">
        <v>0.4</v>
      </c>
      <c r="Q578" s="1">
        <v>0.4</v>
      </c>
      <c r="R578" s="1">
        <v>0.4</v>
      </c>
      <c r="S578" s="1">
        <v>0.4</v>
      </c>
      <c r="T578" s="1">
        <v>641.54</v>
      </c>
      <c r="U578" s="1">
        <f>IF(Table14[[#This Row],[I_0]] &lt; INDEX(Table28[Filtro de ruido],1), 1, Table14[[#This Row],[I_10]] / Table14[[#This Row],[I_0]])</f>
        <v>1</v>
      </c>
      <c r="V578" s="1">
        <f>IF(Table14[[#This Row],[I_0]] &lt; INDEX(Table28[Filtro de ruido],1), 1, Table14[[#This Row],[I_20]] / Table14[[#This Row],[I_0]])</f>
        <v>1.3333333333333335</v>
      </c>
      <c r="W578" s="1">
        <f>IF(Table14[[#This Row],[I_0]] &lt; INDEX(Table28[Filtro de ruido],1), 1, Table14[[#This Row],[I_30]] / Table14[[#This Row],[I_0]])</f>
        <v>1.3333333333333335</v>
      </c>
      <c r="X578" s="1">
        <f>IF(Table14[[#This Row],[I_0]] &lt; INDEX(Table28[Filtro de ruido],1), 1, Table14[[#This Row],[I_40]] / Table14[[#This Row],[I_0]])</f>
        <v>1.3333333333333335</v>
      </c>
      <c r="Y578" s="19">
        <f>IF(Table14[[#This Row],[I_0]] &lt; INDEX(Table28[Filtro de ruido],1), 1, Table14[[#This Row],[I_50]] / Table14[[#This Row],[I_0]])</f>
        <v>1.3333333333333335</v>
      </c>
      <c r="AA578" s="1"/>
    </row>
    <row r="579" spans="1:27" x14ac:dyDescent="0.3">
      <c r="A579" s="18">
        <v>642.53</v>
      </c>
      <c r="B579" s="1">
        <v>0.3</v>
      </c>
      <c r="C579" s="1">
        <v>642.53</v>
      </c>
      <c r="D579" s="1">
        <v>0.3</v>
      </c>
      <c r="E579" s="1">
        <v>642.53</v>
      </c>
      <c r="F579" s="1">
        <v>0.3</v>
      </c>
      <c r="G579" s="1">
        <v>642.53</v>
      </c>
      <c r="H579" s="1">
        <v>0.3</v>
      </c>
      <c r="I579" s="1">
        <v>642.53</v>
      </c>
      <c r="J579" s="1">
        <v>0.3</v>
      </c>
      <c r="K579" s="1">
        <v>642.53</v>
      </c>
      <c r="L579" s="1">
        <v>0.3</v>
      </c>
      <c r="M579" s="1">
        <v>642.53</v>
      </c>
      <c r="N579" s="1">
        <v>0.3</v>
      </c>
      <c r="O579" s="1">
        <v>0.3</v>
      </c>
      <c r="P579" s="1">
        <v>0.3</v>
      </c>
      <c r="Q579" s="1">
        <v>0.3</v>
      </c>
      <c r="R579" s="1">
        <v>0.3</v>
      </c>
      <c r="S579" s="1">
        <v>0.3</v>
      </c>
      <c r="T579" s="1">
        <v>642.53</v>
      </c>
      <c r="U579" s="1">
        <f>IF(Table14[[#This Row],[I_0]] &lt; INDEX(Table28[Filtro de ruido],1), 1, Table14[[#This Row],[I_10]] / Table14[[#This Row],[I_0]])</f>
        <v>1</v>
      </c>
      <c r="V579" s="1">
        <f>IF(Table14[[#This Row],[I_0]] &lt; INDEX(Table28[Filtro de ruido],1), 1, Table14[[#This Row],[I_20]] / Table14[[#This Row],[I_0]])</f>
        <v>1</v>
      </c>
      <c r="W579" s="1">
        <f>IF(Table14[[#This Row],[I_0]] &lt; INDEX(Table28[Filtro de ruido],1), 1, Table14[[#This Row],[I_30]] / Table14[[#This Row],[I_0]])</f>
        <v>1</v>
      </c>
      <c r="X579" s="1">
        <f>IF(Table14[[#This Row],[I_0]] &lt; INDEX(Table28[Filtro de ruido],1), 1, Table14[[#This Row],[I_40]] / Table14[[#This Row],[I_0]])</f>
        <v>1</v>
      </c>
      <c r="Y579" s="19">
        <f>IF(Table14[[#This Row],[I_0]] &lt; INDEX(Table28[Filtro de ruido],1), 1, Table14[[#This Row],[I_50]] / Table14[[#This Row],[I_0]])</f>
        <v>1</v>
      </c>
      <c r="AA579" s="1"/>
    </row>
    <row r="580" spans="1:27" x14ac:dyDescent="0.3">
      <c r="A580" s="18">
        <v>643.52</v>
      </c>
      <c r="B580" s="1">
        <v>0.2</v>
      </c>
      <c r="C580" s="1">
        <v>643.52</v>
      </c>
      <c r="D580" s="1">
        <v>0.2</v>
      </c>
      <c r="E580" s="1">
        <v>643.52</v>
      </c>
      <c r="F580" s="1">
        <v>0.2</v>
      </c>
      <c r="G580" s="1">
        <v>643.52</v>
      </c>
      <c r="H580" s="1">
        <v>0.2</v>
      </c>
      <c r="I580" s="1">
        <v>643.52</v>
      </c>
      <c r="J580" s="1">
        <v>0.2</v>
      </c>
      <c r="K580" s="1">
        <v>643.52</v>
      </c>
      <c r="L580" s="1">
        <v>0.2</v>
      </c>
      <c r="M580" s="1">
        <v>643.52</v>
      </c>
      <c r="N580" s="1">
        <v>0.2</v>
      </c>
      <c r="O580" s="1">
        <v>0.2</v>
      </c>
      <c r="P580" s="1">
        <v>0.2</v>
      </c>
      <c r="Q580" s="1">
        <v>0.2</v>
      </c>
      <c r="R580" s="1">
        <v>0.2</v>
      </c>
      <c r="S580" s="1">
        <v>0.2</v>
      </c>
      <c r="T580" s="1">
        <v>643.52</v>
      </c>
      <c r="U580" s="1">
        <f>IF(Table14[[#This Row],[I_0]] &lt; INDEX(Table28[Filtro de ruido],1), 1, Table14[[#This Row],[I_10]] / Table14[[#This Row],[I_0]])</f>
        <v>1</v>
      </c>
      <c r="V580" s="1">
        <f>IF(Table14[[#This Row],[I_0]] &lt; INDEX(Table28[Filtro de ruido],1), 1, Table14[[#This Row],[I_20]] / Table14[[#This Row],[I_0]])</f>
        <v>1</v>
      </c>
      <c r="W580" s="1">
        <f>IF(Table14[[#This Row],[I_0]] &lt; INDEX(Table28[Filtro de ruido],1), 1, Table14[[#This Row],[I_30]] / Table14[[#This Row],[I_0]])</f>
        <v>1</v>
      </c>
      <c r="X580" s="1">
        <f>IF(Table14[[#This Row],[I_0]] &lt; INDEX(Table28[Filtro de ruido],1), 1, Table14[[#This Row],[I_40]] / Table14[[#This Row],[I_0]])</f>
        <v>1</v>
      </c>
      <c r="Y580" s="19">
        <f>IF(Table14[[#This Row],[I_0]] &lt; INDEX(Table28[Filtro de ruido],1), 1, Table14[[#This Row],[I_50]] / Table14[[#This Row],[I_0]])</f>
        <v>1</v>
      </c>
      <c r="AA580" s="1"/>
    </row>
    <row r="581" spans="1:27" x14ac:dyDescent="0.3">
      <c r="A581" s="18">
        <v>644.51</v>
      </c>
      <c r="B581" s="1">
        <v>0.2</v>
      </c>
      <c r="C581" s="1">
        <v>644.51</v>
      </c>
      <c r="D581" s="1">
        <v>0.2</v>
      </c>
      <c r="E581" s="1">
        <v>644.51</v>
      </c>
      <c r="F581" s="1">
        <v>0.2</v>
      </c>
      <c r="G581" s="1">
        <v>644.51</v>
      </c>
      <c r="H581" s="1">
        <v>0.2</v>
      </c>
      <c r="I581" s="1">
        <v>644.51</v>
      </c>
      <c r="J581" s="1">
        <v>0.2</v>
      </c>
      <c r="K581" s="1">
        <v>644.51</v>
      </c>
      <c r="L581" s="1">
        <v>0.2</v>
      </c>
      <c r="M581" s="1">
        <v>644.51</v>
      </c>
      <c r="N581" s="1">
        <v>0.2</v>
      </c>
      <c r="O581" s="1">
        <v>0.2</v>
      </c>
      <c r="P581" s="1">
        <v>0.2</v>
      </c>
      <c r="Q581" s="1">
        <v>0.2</v>
      </c>
      <c r="R581" s="1">
        <v>0.2</v>
      </c>
      <c r="S581" s="1">
        <v>0.2</v>
      </c>
      <c r="T581" s="1">
        <v>644.51</v>
      </c>
      <c r="U581" s="1">
        <f>IF(Table14[[#This Row],[I_0]] &lt; INDEX(Table28[Filtro de ruido],1), 1, Table14[[#This Row],[I_10]] / Table14[[#This Row],[I_0]])</f>
        <v>1</v>
      </c>
      <c r="V581" s="1">
        <f>IF(Table14[[#This Row],[I_0]] &lt; INDEX(Table28[Filtro de ruido],1), 1, Table14[[#This Row],[I_20]] / Table14[[#This Row],[I_0]])</f>
        <v>1</v>
      </c>
      <c r="W581" s="1">
        <f>IF(Table14[[#This Row],[I_0]] &lt; INDEX(Table28[Filtro de ruido],1), 1, Table14[[#This Row],[I_30]] / Table14[[#This Row],[I_0]])</f>
        <v>1</v>
      </c>
      <c r="X581" s="1">
        <f>IF(Table14[[#This Row],[I_0]] &lt; INDEX(Table28[Filtro de ruido],1), 1, Table14[[#This Row],[I_40]] / Table14[[#This Row],[I_0]])</f>
        <v>1</v>
      </c>
      <c r="Y581" s="19">
        <f>IF(Table14[[#This Row],[I_0]] &lt; INDEX(Table28[Filtro de ruido],1), 1, Table14[[#This Row],[I_50]] / Table14[[#This Row],[I_0]])</f>
        <v>1</v>
      </c>
      <c r="AA581" s="1"/>
    </row>
    <row r="582" spans="1:27" x14ac:dyDescent="0.3">
      <c r="A582" s="18">
        <v>645.5</v>
      </c>
      <c r="B582" s="1">
        <v>0.1</v>
      </c>
      <c r="C582" s="1">
        <v>645.5</v>
      </c>
      <c r="D582" s="1">
        <v>0.1</v>
      </c>
      <c r="E582" s="1">
        <v>645.5</v>
      </c>
      <c r="F582" s="1">
        <v>0.2</v>
      </c>
      <c r="G582" s="1">
        <v>645.5</v>
      </c>
      <c r="H582" s="1">
        <v>0.2</v>
      </c>
      <c r="I582" s="1">
        <v>645.5</v>
      </c>
      <c r="J582" s="1">
        <v>0.2</v>
      </c>
      <c r="K582" s="1">
        <v>645.5</v>
      </c>
      <c r="L582" s="1">
        <v>0.2</v>
      </c>
      <c r="M582" s="1">
        <v>645.5</v>
      </c>
      <c r="N582" s="1">
        <v>0.1</v>
      </c>
      <c r="O582" s="1">
        <v>0.1</v>
      </c>
      <c r="P582" s="1">
        <v>0.2</v>
      </c>
      <c r="Q582" s="1">
        <v>0.2</v>
      </c>
      <c r="R582" s="1">
        <v>0.2</v>
      </c>
      <c r="S582" s="1">
        <v>0.2</v>
      </c>
      <c r="T582" s="1">
        <v>645.5</v>
      </c>
      <c r="U582" s="1">
        <f>IF(Table14[[#This Row],[I_0]] &lt; INDEX(Table28[Filtro de ruido],1), 1, Table14[[#This Row],[I_10]] / Table14[[#This Row],[I_0]])</f>
        <v>1</v>
      </c>
      <c r="V582" s="1">
        <f>IF(Table14[[#This Row],[I_0]] &lt; INDEX(Table28[Filtro de ruido],1), 1, Table14[[#This Row],[I_20]] / Table14[[#This Row],[I_0]])</f>
        <v>2</v>
      </c>
      <c r="W582" s="1">
        <f>IF(Table14[[#This Row],[I_0]] &lt; INDEX(Table28[Filtro de ruido],1), 1, Table14[[#This Row],[I_30]] / Table14[[#This Row],[I_0]])</f>
        <v>2</v>
      </c>
      <c r="X582" s="1">
        <f>IF(Table14[[#This Row],[I_0]] &lt; INDEX(Table28[Filtro de ruido],1), 1, Table14[[#This Row],[I_40]] / Table14[[#This Row],[I_0]])</f>
        <v>2</v>
      </c>
      <c r="Y582" s="19">
        <f>IF(Table14[[#This Row],[I_0]] &lt; INDEX(Table28[Filtro de ruido],1), 1, Table14[[#This Row],[I_50]] / Table14[[#This Row],[I_0]])</f>
        <v>2</v>
      </c>
      <c r="AA582" s="1"/>
    </row>
    <row r="583" spans="1:27" x14ac:dyDescent="0.3">
      <c r="A583" s="18">
        <v>646.5</v>
      </c>
      <c r="B583" s="1">
        <v>0.1</v>
      </c>
      <c r="C583" s="1">
        <v>646.5</v>
      </c>
      <c r="D583" s="1">
        <v>0.1</v>
      </c>
      <c r="E583" s="1">
        <v>646.5</v>
      </c>
      <c r="F583" s="1">
        <v>0.1</v>
      </c>
      <c r="G583" s="1">
        <v>646.5</v>
      </c>
      <c r="H583" s="1">
        <v>0.1</v>
      </c>
      <c r="I583" s="1">
        <v>646.5</v>
      </c>
      <c r="J583" s="1">
        <v>0.1</v>
      </c>
      <c r="K583" s="1">
        <v>646.5</v>
      </c>
      <c r="L583" s="1">
        <v>0.1</v>
      </c>
      <c r="M583" s="1">
        <v>646.5</v>
      </c>
      <c r="N583" s="1">
        <v>0.1</v>
      </c>
      <c r="O583" s="1">
        <v>0.1</v>
      </c>
      <c r="P583" s="1">
        <v>0.1</v>
      </c>
      <c r="Q583" s="1">
        <v>0.1</v>
      </c>
      <c r="R583" s="1">
        <v>0.1</v>
      </c>
      <c r="S583" s="1">
        <v>0.1</v>
      </c>
      <c r="T583" s="1">
        <v>646.5</v>
      </c>
      <c r="U583" s="1">
        <f>IF(Table14[[#This Row],[I_0]] &lt; INDEX(Table28[Filtro de ruido],1), 1, Table14[[#This Row],[I_10]] / Table14[[#This Row],[I_0]])</f>
        <v>1</v>
      </c>
      <c r="V583" s="1">
        <f>IF(Table14[[#This Row],[I_0]] &lt; INDEX(Table28[Filtro de ruido],1), 1, Table14[[#This Row],[I_20]] / Table14[[#This Row],[I_0]])</f>
        <v>1</v>
      </c>
      <c r="W583" s="1">
        <f>IF(Table14[[#This Row],[I_0]] &lt; INDEX(Table28[Filtro de ruido],1), 1, Table14[[#This Row],[I_30]] / Table14[[#This Row],[I_0]])</f>
        <v>1</v>
      </c>
      <c r="X583" s="1">
        <f>IF(Table14[[#This Row],[I_0]] &lt; INDEX(Table28[Filtro de ruido],1), 1, Table14[[#This Row],[I_40]] / Table14[[#This Row],[I_0]])</f>
        <v>1</v>
      </c>
      <c r="Y583" s="19">
        <f>IF(Table14[[#This Row],[I_0]] &lt; INDEX(Table28[Filtro de ruido],1), 1, Table14[[#This Row],[I_50]] / Table14[[#This Row],[I_0]])</f>
        <v>1</v>
      </c>
      <c r="AA583" s="1"/>
    </row>
    <row r="584" spans="1:27" x14ac:dyDescent="0.3">
      <c r="A584" s="18">
        <v>647.49</v>
      </c>
      <c r="B584" s="1">
        <v>0.1</v>
      </c>
      <c r="C584" s="1">
        <v>647.49</v>
      </c>
      <c r="D584" s="1">
        <v>0.1</v>
      </c>
      <c r="E584" s="1">
        <v>647.49</v>
      </c>
      <c r="F584" s="1">
        <v>0.1</v>
      </c>
      <c r="G584" s="1">
        <v>647.49</v>
      </c>
      <c r="H584" s="1">
        <v>0.1</v>
      </c>
      <c r="I584" s="1">
        <v>647.49</v>
      </c>
      <c r="J584" s="1">
        <v>0.1</v>
      </c>
      <c r="K584" s="1">
        <v>647.49</v>
      </c>
      <c r="L584" s="1">
        <v>0.1</v>
      </c>
      <c r="M584" s="1">
        <v>647.49</v>
      </c>
      <c r="N584" s="1">
        <v>0.1</v>
      </c>
      <c r="O584" s="1">
        <v>0.1</v>
      </c>
      <c r="P584" s="1">
        <v>0.1</v>
      </c>
      <c r="Q584" s="1">
        <v>0.1</v>
      </c>
      <c r="R584" s="1">
        <v>0.1</v>
      </c>
      <c r="S584" s="1">
        <v>0.1</v>
      </c>
      <c r="T584" s="1">
        <v>647.49</v>
      </c>
      <c r="U584" s="1">
        <f>IF(Table14[[#This Row],[I_0]] &lt; INDEX(Table28[Filtro de ruido],1), 1, Table14[[#This Row],[I_10]] / Table14[[#This Row],[I_0]])</f>
        <v>1</v>
      </c>
      <c r="V584" s="1">
        <f>IF(Table14[[#This Row],[I_0]] &lt; INDEX(Table28[Filtro de ruido],1), 1, Table14[[#This Row],[I_20]] / Table14[[#This Row],[I_0]])</f>
        <v>1</v>
      </c>
      <c r="W584" s="1">
        <f>IF(Table14[[#This Row],[I_0]] &lt; INDEX(Table28[Filtro de ruido],1), 1, Table14[[#This Row],[I_30]] / Table14[[#This Row],[I_0]])</f>
        <v>1</v>
      </c>
      <c r="X584" s="1">
        <f>IF(Table14[[#This Row],[I_0]] &lt; INDEX(Table28[Filtro de ruido],1), 1, Table14[[#This Row],[I_40]] / Table14[[#This Row],[I_0]])</f>
        <v>1</v>
      </c>
      <c r="Y584" s="19">
        <f>IF(Table14[[#This Row],[I_0]] &lt; INDEX(Table28[Filtro de ruido],1), 1, Table14[[#This Row],[I_50]] / Table14[[#This Row],[I_0]])</f>
        <v>1</v>
      </c>
      <c r="AA584" s="1"/>
    </row>
    <row r="585" spans="1:27" x14ac:dyDescent="0.3">
      <c r="A585" s="18">
        <v>648.48</v>
      </c>
      <c r="B585" s="1">
        <v>0.1</v>
      </c>
      <c r="C585" s="1">
        <v>648.48</v>
      </c>
      <c r="D585" s="1">
        <v>0.1</v>
      </c>
      <c r="E585" s="1">
        <v>648.48</v>
      </c>
      <c r="F585" s="1">
        <v>0.1</v>
      </c>
      <c r="G585" s="1">
        <v>648.48</v>
      </c>
      <c r="H585" s="1">
        <v>0.1</v>
      </c>
      <c r="I585" s="1">
        <v>648.48</v>
      </c>
      <c r="J585" s="1">
        <v>0.1</v>
      </c>
      <c r="K585" s="1">
        <v>648.48</v>
      </c>
      <c r="L585" s="1">
        <v>0.1</v>
      </c>
      <c r="M585" s="1">
        <v>648.48</v>
      </c>
      <c r="N585" s="1">
        <v>0.1</v>
      </c>
      <c r="O585" s="1">
        <v>0.1</v>
      </c>
      <c r="P585" s="1">
        <v>0.1</v>
      </c>
      <c r="Q585" s="1">
        <v>0.1</v>
      </c>
      <c r="R585" s="1">
        <v>0.1</v>
      </c>
      <c r="S585" s="1">
        <v>0.1</v>
      </c>
      <c r="T585" s="1">
        <v>648.48</v>
      </c>
      <c r="U585" s="1">
        <f>IF(Table14[[#This Row],[I_0]] &lt; INDEX(Table28[Filtro de ruido],1), 1, Table14[[#This Row],[I_10]] / Table14[[#This Row],[I_0]])</f>
        <v>1</v>
      </c>
      <c r="V585" s="1">
        <f>IF(Table14[[#This Row],[I_0]] &lt; INDEX(Table28[Filtro de ruido],1), 1, Table14[[#This Row],[I_20]] / Table14[[#This Row],[I_0]])</f>
        <v>1</v>
      </c>
      <c r="W585" s="1">
        <f>IF(Table14[[#This Row],[I_0]] &lt; INDEX(Table28[Filtro de ruido],1), 1, Table14[[#This Row],[I_30]] / Table14[[#This Row],[I_0]])</f>
        <v>1</v>
      </c>
      <c r="X585" s="1">
        <f>IF(Table14[[#This Row],[I_0]] &lt; INDEX(Table28[Filtro de ruido],1), 1, Table14[[#This Row],[I_40]] / Table14[[#This Row],[I_0]])</f>
        <v>1</v>
      </c>
      <c r="Y585" s="19">
        <f>IF(Table14[[#This Row],[I_0]] &lt; INDEX(Table28[Filtro de ruido],1), 1, Table14[[#This Row],[I_50]] / Table14[[#This Row],[I_0]])</f>
        <v>1</v>
      </c>
      <c r="AA585" s="1"/>
    </row>
    <row r="586" spans="1:27" x14ac:dyDescent="0.3">
      <c r="A586" s="18">
        <v>649.47</v>
      </c>
      <c r="B586" s="1">
        <v>0.1</v>
      </c>
      <c r="C586" s="1">
        <v>649.47</v>
      </c>
      <c r="D586" s="1">
        <v>0.1</v>
      </c>
      <c r="E586" s="1">
        <v>649.47</v>
      </c>
      <c r="F586" s="1">
        <v>0.1</v>
      </c>
      <c r="G586" s="1">
        <v>649.47</v>
      </c>
      <c r="H586" s="1">
        <v>0.1</v>
      </c>
      <c r="I586" s="1">
        <v>649.47</v>
      </c>
      <c r="J586" s="1">
        <v>0.1</v>
      </c>
      <c r="K586" s="1">
        <v>649.47</v>
      </c>
      <c r="L586" s="1">
        <v>0.1</v>
      </c>
      <c r="M586" s="1">
        <v>649.47</v>
      </c>
      <c r="N586" s="1">
        <v>0.1</v>
      </c>
      <c r="O586" s="1">
        <v>0.1</v>
      </c>
      <c r="P586" s="1">
        <v>0.1</v>
      </c>
      <c r="Q586" s="1">
        <v>0.1</v>
      </c>
      <c r="R586" s="1">
        <v>0.1</v>
      </c>
      <c r="S586" s="1">
        <v>0.1</v>
      </c>
      <c r="T586" s="1">
        <v>649.47</v>
      </c>
      <c r="U586" s="1">
        <f>IF(Table14[[#This Row],[I_0]] &lt; INDEX(Table28[Filtro de ruido],1), 1, Table14[[#This Row],[I_10]] / Table14[[#This Row],[I_0]])</f>
        <v>1</v>
      </c>
      <c r="V586" s="1">
        <f>IF(Table14[[#This Row],[I_0]] &lt; INDEX(Table28[Filtro de ruido],1), 1, Table14[[#This Row],[I_20]] / Table14[[#This Row],[I_0]])</f>
        <v>1</v>
      </c>
      <c r="W586" s="1">
        <f>IF(Table14[[#This Row],[I_0]] &lt; INDEX(Table28[Filtro de ruido],1), 1, Table14[[#This Row],[I_30]] / Table14[[#This Row],[I_0]])</f>
        <v>1</v>
      </c>
      <c r="X586" s="1">
        <f>IF(Table14[[#This Row],[I_0]] &lt; INDEX(Table28[Filtro de ruido],1), 1, Table14[[#This Row],[I_40]] / Table14[[#This Row],[I_0]])</f>
        <v>1</v>
      </c>
      <c r="Y586" s="19">
        <f>IF(Table14[[#This Row],[I_0]] &lt; INDEX(Table28[Filtro de ruido],1), 1, Table14[[#This Row],[I_50]] / Table14[[#This Row],[I_0]])</f>
        <v>1</v>
      </c>
      <c r="AA586" s="1"/>
    </row>
    <row r="587" spans="1:27" x14ac:dyDescent="0.3">
      <c r="A587" s="18">
        <v>650.46</v>
      </c>
      <c r="B587" s="1">
        <v>0</v>
      </c>
      <c r="C587" s="1">
        <v>650.46</v>
      </c>
      <c r="D587" s="1">
        <v>0.1</v>
      </c>
      <c r="E587" s="1">
        <v>650.46</v>
      </c>
      <c r="F587" s="1">
        <v>0.1</v>
      </c>
      <c r="G587" s="1">
        <v>650.46</v>
      </c>
      <c r="H587" s="1">
        <v>0.1</v>
      </c>
      <c r="I587" s="1">
        <v>650.46</v>
      </c>
      <c r="J587" s="1">
        <v>0.1</v>
      </c>
      <c r="K587" s="1">
        <v>650.46</v>
      </c>
      <c r="L587" s="1">
        <v>0.1</v>
      </c>
      <c r="M587" s="1">
        <v>650.46</v>
      </c>
      <c r="N587" s="1">
        <v>0</v>
      </c>
      <c r="O587" s="1">
        <v>0.1</v>
      </c>
      <c r="P587" s="1">
        <v>0.1</v>
      </c>
      <c r="Q587" s="1">
        <v>0.1</v>
      </c>
      <c r="R587" s="1">
        <v>0.1</v>
      </c>
      <c r="S587" s="1">
        <v>0.1</v>
      </c>
      <c r="T587" s="1">
        <v>650.46</v>
      </c>
      <c r="U587" s="1">
        <f>IF(Table14[[#This Row],[I_0]] &lt; INDEX(Table28[Filtro de ruido],1), 1, Table14[[#This Row],[I_10]] / Table14[[#This Row],[I_0]])</f>
        <v>1</v>
      </c>
      <c r="V587" s="1">
        <f>IF(Table14[[#This Row],[I_0]] &lt; INDEX(Table28[Filtro de ruido],1), 1, Table14[[#This Row],[I_20]] / Table14[[#This Row],[I_0]])</f>
        <v>1</v>
      </c>
      <c r="W587" s="1">
        <f>IF(Table14[[#This Row],[I_0]] &lt; INDEX(Table28[Filtro de ruido],1), 1, Table14[[#This Row],[I_30]] / Table14[[#This Row],[I_0]])</f>
        <v>1</v>
      </c>
      <c r="X587" s="1">
        <f>IF(Table14[[#This Row],[I_0]] &lt; INDEX(Table28[Filtro de ruido],1), 1, Table14[[#This Row],[I_40]] / Table14[[#This Row],[I_0]])</f>
        <v>1</v>
      </c>
      <c r="Y587" s="19">
        <f>IF(Table14[[#This Row],[I_0]] &lt; INDEX(Table28[Filtro de ruido],1), 1, Table14[[#This Row],[I_50]] / Table14[[#This Row],[I_0]])</f>
        <v>1</v>
      </c>
      <c r="AA587" s="1"/>
    </row>
    <row r="588" spans="1:27" x14ac:dyDescent="0.3">
      <c r="A588" s="18">
        <v>651.45000000000005</v>
      </c>
      <c r="B588" s="1">
        <v>0</v>
      </c>
      <c r="C588" s="1">
        <v>651.45000000000005</v>
      </c>
      <c r="D588" s="1">
        <v>0</v>
      </c>
      <c r="E588" s="1">
        <v>651.45000000000005</v>
      </c>
      <c r="F588" s="1">
        <v>0</v>
      </c>
      <c r="G588" s="1">
        <v>651.45000000000005</v>
      </c>
      <c r="H588" s="1">
        <v>0</v>
      </c>
      <c r="I588" s="1">
        <v>651.45000000000005</v>
      </c>
      <c r="J588" s="1">
        <v>0</v>
      </c>
      <c r="K588" s="1">
        <v>651.45000000000005</v>
      </c>
      <c r="L588" s="1">
        <v>0</v>
      </c>
      <c r="M588" s="1">
        <v>651.45000000000005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651.45000000000005</v>
      </c>
      <c r="U588" s="1">
        <f>IF(Table14[[#This Row],[I_0]] &lt; INDEX(Table28[Filtro de ruido],1), 1, Table14[[#This Row],[I_10]] / Table14[[#This Row],[I_0]])</f>
        <v>1</v>
      </c>
      <c r="V588" s="1">
        <f>IF(Table14[[#This Row],[I_0]] &lt; INDEX(Table28[Filtro de ruido],1), 1, Table14[[#This Row],[I_20]] / Table14[[#This Row],[I_0]])</f>
        <v>1</v>
      </c>
      <c r="W588" s="1">
        <f>IF(Table14[[#This Row],[I_0]] &lt; INDEX(Table28[Filtro de ruido],1), 1, Table14[[#This Row],[I_30]] / Table14[[#This Row],[I_0]])</f>
        <v>1</v>
      </c>
      <c r="X588" s="1">
        <f>IF(Table14[[#This Row],[I_0]] &lt; INDEX(Table28[Filtro de ruido],1), 1, Table14[[#This Row],[I_40]] / Table14[[#This Row],[I_0]])</f>
        <v>1</v>
      </c>
      <c r="Y588" s="19">
        <f>IF(Table14[[#This Row],[I_0]] &lt; INDEX(Table28[Filtro de ruido],1), 1, Table14[[#This Row],[I_50]] / Table14[[#This Row],[I_0]])</f>
        <v>1</v>
      </c>
      <c r="AA588" s="1"/>
    </row>
    <row r="589" spans="1:27" x14ac:dyDescent="0.3">
      <c r="A589" s="18">
        <v>652.45000000000005</v>
      </c>
      <c r="B589" s="1">
        <v>0</v>
      </c>
      <c r="C589" s="1">
        <v>652.45000000000005</v>
      </c>
      <c r="D589" s="1">
        <v>0</v>
      </c>
      <c r="E589" s="1">
        <v>652.45000000000005</v>
      </c>
      <c r="F589" s="1">
        <v>0</v>
      </c>
      <c r="G589" s="1">
        <v>652.45000000000005</v>
      </c>
      <c r="H589" s="1">
        <v>0</v>
      </c>
      <c r="I589" s="1">
        <v>652.45000000000005</v>
      </c>
      <c r="J589" s="1">
        <v>0</v>
      </c>
      <c r="K589" s="1">
        <v>652.45000000000005</v>
      </c>
      <c r="L589" s="1">
        <v>0</v>
      </c>
      <c r="M589" s="1">
        <v>652.45000000000005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652.45000000000005</v>
      </c>
      <c r="U589" s="1">
        <f>IF(Table14[[#This Row],[I_0]] &lt; INDEX(Table28[Filtro de ruido],1), 1, Table14[[#This Row],[I_10]] / Table14[[#This Row],[I_0]])</f>
        <v>1</v>
      </c>
      <c r="V589" s="1">
        <f>IF(Table14[[#This Row],[I_0]] &lt; INDEX(Table28[Filtro de ruido],1), 1, Table14[[#This Row],[I_20]] / Table14[[#This Row],[I_0]])</f>
        <v>1</v>
      </c>
      <c r="W589" s="1">
        <f>IF(Table14[[#This Row],[I_0]] &lt; INDEX(Table28[Filtro de ruido],1), 1, Table14[[#This Row],[I_30]] / Table14[[#This Row],[I_0]])</f>
        <v>1</v>
      </c>
      <c r="X589" s="1">
        <f>IF(Table14[[#This Row],[I_0]] &lt; INDEX(Table28[Filtro de ruido],1), 1, Table14[[#This Row],[I_40]] / Table14[[#This Row],[I_0]])</f>
        <v>1</v>
      </c>
      <c r="Y589" s="19">
        <f>IF(Table14[[#This Row],[I_0]] &lt; INDEX(Table28[Filtro de ruido],1), 1, Table14[[#This Row],[I_50]] / Table14[[#This Row],[I_0]])</f>
        <v>1</v>
      </c>
      <c r="AA589" s="1"/>
    </row>
    <row r="590" spans="1:27" x14ac:dyDescent="0.3">
      <c r="A590" s="18">
        <v>653.44000000000005</v>
      </c>
      <c r="B590" s="1">
        <v>0</v>
      </c>
      <c r="C590" s="1">
        <v>653.44000000000005</v>
      </c>
      <c r="D590" s="1">
        <v>0</v>
      </c>
      <c r="E590" s="1">
        <v>653.44000000000005</v>
      </c>
      <c r="F590" s="1">
        <v>0</v>
      </c>
      <c r="G590" s="1">
        <v>653.44000000000005</v>
      </c>
      <c r="H590" s="1">
        <v>0</v>
      </c>
      <c r="I590" s="1">
        <v>653.44000000000005</v>
      </c>
      <c r="J590" s="1">
        <v>0</v>
      </c>
      <c r="K590" s="1">
        <v>653.44000000000005</v>
      </c>
      <c r="L590" s="1">
        <v>0</v>
      </c>
      <c r="M590" s="1">
        <v>653.44000000000005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653.44000000000005</v>
      </c>
      <c r="U590" s="1">
        <f>IF(Table14[[#This Row],[I_0]] &lt; INDEX(Table28[Filtro de ruido],1), 1, Table14[[#This Row],[I_10]] / Table14[[#This Row],[I_0]])</f>
        <v>1</v>
      </c>
      <c r="V590" s="1">
        <f>IF(Table14[[#This Row],[I_0]] &lt; INDEX(Table28[Filtro de ruido],1), 1, Table14[[#This Row],[I_20]] / Table14[[#This Row],[I_0]])</f>
        <v>1</v>
      </c>
      <c r="W590" s="1">
        <f>IF(Table14[[#This Row],[I_0]] &lt; INDEX(Table28[Filtro de ruido],1), 1, Table14[[#This Row],[I_30]] / Table14[[#This Row],[I_0]])</f>
        <v>1</v>
      </c>
      <c r="X590" s="1">
        <f>IF(Table14[[#This Row],[I_0]] &lt; INDEX(Table28[Filtro de ruido],1), 1, Table14[[#This Row],[I_40]] / Table14[[#This Row],[I_0]])</f>
        <v>1</v>
      </c>
      <c r="Y590" s="19">
        <f>IF(Table14[[#This Row],[I_0]] &lt; INDEX(Table28[Filtro de ruido],1), 1, Table14[[#This Row],[I_50]] / Table14[[#This Row],[I_0]])</f>
        <v>1</v>
      </c>
      <c r="AA590" s="1"/>
    </row>
    <row r="591" spans="1:27" x14ac:dyDescent="0.3">
      <c r="A591" s="18">
        <v>654.42999999999995</v>
      </c>
      <c r="B591" s="1">
        <v>0</v>
      </c>
      <c r="C591" s="1">
        <v>654.42999999999995</v>
      </c>
      <c r="D591" s="1">
        <v>0</v>
      </c>
      <c r="E591" s="1">
        <v>654.42999999999995</v>
      </c>
      <c r="F591" s="1">
        <v>0</v>
      </c>
      <c r="G591" s="1">
        <v>654.42999999999995</v>
      </c>
      <c r="H591" s="1">
        <v>0</v>
      </c>
      <c r="I591" s="1">
        <v>654.42999999999995</v>
      </c>
      <c r="J591" s="1">
        <v>0</v>
      </c>
      <c r="K591" s="1">
        <v>654.42999999999995</v>
      </c>
      <c r="L591" s="1">
        <v>0</v>
      </c>
      <c r="M591" s="1">
        <v>654.42999999999995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654.42999999999995</v>
      </c>
      <c r="U591" s="1">
        <f>IF(Table14[[#This Row],[I_0]] &lt; INDEX(Table28[Filtro de ruido],1), 1, Table14[[#This Row],[I_10]] / Table14[[#This Row],[I_0]])</f>
        <v>1</v>
      </c>
      <c r="V591" s="1">
        <f>IF(Table14[[#This Row],[I_0]] &lt; INDEX(Table28[Filtro de ruido],1), 1, Table14[[#This Row],[I_20]] / Table14[[#This Row],[I_0]])</f>
        <v>1</v>
      </c>
      <c r="W591" s="1">
        <f>IF(Table14[[#This Row],[I_0]] &lt; INDEX(Table28[Filtro de ruido],1), 1, Table14[[#This Row],[I_30]] / Table14[[#This Row],[I_0]])</f>
        <v>1</v>
      </c>
      <c r="X591" s="1">
        <f>IF(Table14[[#This Row],[I_0]] &lt; INDEX(Table28[Filtro de ruido],1), 1, Table14[[#This Row],[I_40]] / Table14[[#This Row],[I_0]])</f>
        <v>1</v>
      </c>
      <c r="Y591" s="19">
        <f>IF(Table14[[#This Row],[I_0]] &lt; INDEX(Table28[Filtro de ruido],1), 1, Table14[[#This Row],[I_50]] / Table14[[#This Row],[I_0]])</f>
        <v>1</v>
      </c>
      <c r="AA591" s="1"/>
    </row>
    <row r="592" spans="1:27" x14ac:dyDescent="0.3">
      <c r="A592" s="18">
        <v>655.42</v>
      </c>
      <c r="B592" s="1">
        <v>0</v>
      </c>
      <c r="C592" s="1">
        <v>655.42</v>
      </c>
      <c r="D592" s="1">
        <v>0</v>
      </c>
      <c r="E592" s="1">
        <v>655.42</v>
      </c>
      <c r="F592" s="1">
        <v>0</v>
      </c>
      <c r="G592" s="1">
        <v>655.42</v>
      </c>
      <c r="H592" s="1">
        <v>0</v>
      </c>
      <c r="I592" s="1">
        <v>655.42</v>
      </c>
      <c r="J592" s="1">
        <v>0</v>
      </c>
      <c r="K592" s="1">
        <v>655.42</v>
      </c>
      <c r="L592" s="1">
        <v>0</v>
      </c>
      <c r="M592" s="1">
        <v>655.42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655.42</v>
      </c>
      <c r="U592" s="1">
        <f>IF(Table14[[#This Row],[I_0]] &lt; INDEX(Table28[Filtro de ruido],1), 1, Table14[[#This Row],[I_10]] / Table14[[#This Row],[I_0]])</f>
        <v>1</v>
      </c>
      <c r="V592" s="1">
        <f>IF(Table14[[#This Row],[I_0]] &lt; INDEX(Table28[Filtro de ruido],1), 1, Table14[[#This Row],[I_20]] / Table14[[#This Row],[I_0]])</f>
        <v>1</v>
      </c>
      <c r="W592" s="1">
        <f>IF(Table14[[#This Row],[I_0]] &lt; INDEX(Table28[Filtro de ruido],1), 1, Table14[[#This Row],[I_30]] / Table14[[#This Row],[I_0]])</f>
        <v>1</v>
      </c>
      <c r="X592" s="1">
        <f>IF(Table14[[#This Row],[I_0]] &lt; INDEX(Table28[Filtro de ruido],1), 1, Table14[[#This Row],[I_40]] / Table14[[#This Row],[I_0]])</f>
        <v>1</v>
      </c>
      <c r="Y592" s="19">
        <f>IF(Table14[[#This Row],[I_0]] &lt; INDEX(Table28[Filtro de ruido],1), 1, Table14[[#This Row],[I_50]] / Table14[[#This Row],[I_0]])</f>
        <v>1</v>
      </c>
      <c r="AA592" s="1"/>
    </row>
    <row r="593" spans="1:27" x14ac:dyDescent="0.3">
      <c r="A593" s="18">
        <v>656.41</v>
      </c>
      <c r="B593" s="1">
        <v>0</v>
      </c>
      <c r="C593" s="1">
        <v>656.41</v>
      </c>
      <c r="D593" s="1">
        <v>0</v>
      </c>
      <c r="E593" s="1">
        <v>656.41</v>
      </c>
      <c r="F593" s="1">
        <v>0</v>
      </c>
      <c r="G593" s="1">
        <v>656.41</v>
      </c>
      <c r="H593" s="1">
        <v>0</v>
      </c>
      <c r="I593" s="1">
        <v>656.41</v>
      </c>
      <c r="J593" s="1">
        <v>0</v>
      </c>
      <c r="K593" s="1">
        <v>656.41</v>
      </c>
      <c r="L593" s="1">
        <v>0</v>
      </c>
      <c r="M593" s="1">
        <v>656.41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656.41</v>
      </c>
      <c r="U593" s="1">
        <f>IF(Table14[[#This Row],[I_0]] &lt; INDEX(Table28[Filtro de ruido],1), 1, Table14[[#This Row],[I_10]] / Table14[[#This Row],[I_0]])</f>
        <v>1</v>
      </c>
      <c r="V593" s="1">
        <f>IF(Table14[[#This Row],[I_0]] &lt; INDEX(Table28[Filtro de ruido],1), 1, Table14[[#This Row],[I_20]] / Table14[[#This Row],[I_0]])</f>
        <v>1</v>
      </c>
      <c r="W593" s="1">
        <f>IF(Table14[[#This Row],[I_0]] &lt; INDEX(Table28[Filtro de ruido],1), 1, Table14[[#This Row],[I_30]] / Table14[[#This Row],[I_0]])</f>
        <v>1</v>
      </c>
      <c r="X593" s="1">
        <f>IF(Table14[[#This Row],[I_0]] &lt; INDEX(Table28[Filtro de ruido],1), 1, Table14[[#This Row],[I_40]] / Table14[[#This Row],[I_0]])</f>
        <v>1</v>
      </c>
      <c r="Y593" s="19">
        <f>IF(Table14[[#This Row],[I_0]] &lt; INDEX(Table28[Filtro de ruido],1), 1, Table14[[#This Row],[I_50]] / Table14[[#This Row],[I_0]])</f>
        <v>1</v>
      </c>
      <c r="AA593" s="1"/>
    </row>
    <row r="594" spans="1:27" x14ac:dyDescent="0.3">
      <c r="A594" s="18">
        <v>657.41</v>
      </c>
      <c r="B594" s="1">
        <v>0</v>
      </c>
      <c r="C594" s="1">
        <v>657.41</v>
      </c>
      <c r="D594" s="1">
        <v>0</v>
      </c>
      <c r="E594" s="1">
        <v>657.41</v>
      </c>
      <c r="F594" s="1">
        <v>0</v>
      </c>
      <c r="G594" s="1">
        <v>657.41</v>
      </c>
      <c r="H594" s="1">
        <v>0</v>
      </c>
      <c r="I594" s="1">
        <v>657.41</v>
      </c>
      <c r="J594" s="1">
        <v>0</v>
      </c>
      <c r="K594" s="1">
        <v>657.41</v>
      </c>
      <c r="L594" s="1">
        <v>0</v>
      </c>
      <c r="M594" s="1">
        <v>657.41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657.41</v>
      </c>
      <c r="U594" s="1">
        <f>IF(Table14[[#This Row],[I_0]] &lt; INDEX(Table28[Filtro de ruido],1), 1, Table14[[#This Row],[I_10]] / Table14[[#This Row],[I_0]])</f>
        <v>1</v>
      </c>
      <c r="V594" s="1">
        <f>IF(Table14[[#This Row],[I_0]] &lt; INDEX(Table28[Filtro de ruido],1), 1, Table14[[#This Row],[I_20]] / Table14[[#This Row],[I_0]])</f>
        <v>1</v>
      </c>
      <c r="W594" s="1">
        <f>IF(Table14[[#This Row],[I_0]] &lt; INDEX(Table28[Filtro de ruido],1), 1, Table14[[#This Row],[I_30]] / Table14[[#This Row],[I_0]])</f>
        <v>1</v>
      </c>
      <c r="X594" s="1">
        <f>IF(Table14[[#This Row],[I_0]] &lt; INDEX(Table28[Filtro de ruido],1), 1, Table14[[#This Row],[I_40]] / Table14[[#This Row],[I_0]])</f>
        <v>1</v>
      </c>
      <c r="Y594" s="19">
        <f>IF(Table14[[#This Row],[I_0]] &lt; INDEX(Table28[Filtro de ruido],1), 1, Table14[[#This Row],[I_50]] / Table14[[#This Row],[I_0]])</f>
        <v>1</v>
      </c>
      <c r="AA594" s="1"/>
    </row>
    <row r="595" spans="1:27" x14ac:dyDescent="0.3">
      <c r="A595" s="18">
        <v>658.4</v>
      </c>
      <c r="B595" s="1">
        <v>0</v>
      </c>
      <c r="C595" s="1">
        <v>658.4</v>
      </c>
      <c r="D595" s="1">
        <v>0</v>
      </c>
      <c r="E595" s="1">
        <v>658.4</v>
      </c>
      <c r="F595" s="1">
        <v>0</v>
      </c>
      <c r="G595" s="1">
        <v>658.4</v>
      </c>
      <c r="H595" s="1">
        <v>0</v>
      </c>
      <c r="I595" s="1">
        <v>658.4</v>
      </c>
      <c r="J595" s="1">
        <v>0</v>
      </c>
      <c r="K595" s="1">
        <v>658.4</v>
      </c>
      <c r="L595" s="1">
        <v>0</v>
      </c>
      <c r="M595" s="1">
        <v>658.4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658.4</v>
      </c>
      <c r="U595" s="1">
        <f>IF(Table14[[#This Row],[I_0]] &lt; INDEX(Table28[Filtro de ruido],1), 1, Table14[[#This Row],[I_10]] / Table14[[#This Row],[I_0]])</f>
        <v>1</v>
      </c>
      <c r="V595" s="1">
        <f>IF(Table14[[#This Row],[I_0]] &lt; INDEX(Table28[Filtro de ruido],1), 1, Table14[[#This Row],[I_20]] / Table14[[#This Row],[I_0]])</f>
        <v>1</v>
      </c>
      <c r="W595" s="1">
        <f>IF(Table14[[#This Row],[I_0]] &lt; INDEX(Table28[Filtro de ruido],1), 1, Table14[[#This Row],[I_30]] / Table14[[#This Row],[I_0]])</f>
        <v>1</v>
      </c>
      <c r="X595" s="1">
        <f>IF(Table14[[#This Row],[I_0]] &lt; INDEX(Table28[Filtro de ruido],1), 1, Table14[[#This Row],[I_40]] / Table14[[#This Row],[I_0]])</f>
        <v>1</v>
      </c>
      <c r="Y595" s="19">
        <f>IF(Table14[[#This Row],[I_0]] &lt; INDEX(Table28[Filtro de ruido],1), 1, Table14[[#This Row],[I_50]] / Table14[[#This Row],[I_0]])</f>
        <v>1</v>
      </c>
      <c r="AA595" s="1"/>
    </row>
    <row r="596" spans="1:27" x14ac:dyDescent="0.3">
      <c r="A596" s="18">
        <v>659.39</v>
      </c>
      <c r="B596" s="1">
        <v>0</v>
      </c>
      <c r="C596" s="1">
        <v>659.39</v>
      </c>
      <c r="D596" s="1">
        <v>0</v>
      </c>
      <c r="E596" s="1">
        <v>659.39</v>
      </c>
      <c r="F596" s="1">
        <v>0</v>
      </c>
      <c r="G596" s="1">
        <v>659.39</v>
      </c>
      <c r="H596" s="1">
        <v>0</v>
      </c>
      <c r="I596" s="1">
        <v>659.39</v>
      </c>
      <c r="J596" s="1">
        <v>0</v>
      </c>
      <c r="K596" s="1">
        <v>659.39</v>
      </c>
      <c r="L596" s="1">
        <v>0</v>
      </c>
      <c r="M596" s="1">
        <v>659.39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659.39</v>
      </c>
      <c r="U596" s="1">
        <f>IF(Table14[[#This Row],[I_0]] &lt; INDEX(Table28[Filtro de ruido],1), 1, Table14[[#This Row],[I_10]] / Table14[[#This Row],[I_0]])</f>
        <v>1</v>
      </c>
      <c r="V596" s="1">
        <f>IF(Table14[[#This Row],[I_0]] &lt; INDEX(Table28[Filtro de ruido],1), 1, Table14[[#This Row],[I_20]] / Table14[[#This Row],[I_0]])</f>
        <v>1</v>
      </c>
      <c r="W596" s="1">
        <f>IF(Table14[[#This Row],[I_0]] &lt; INDEX(Table28[Filtro de ruido],1), 1, Table14[[#This Row],[I_30]] / Table14[[#This Row],[I_0]])</f>
        <v>1</v>
      </c>
      <c r="X596" s="1">
        <f>IF(Table14[[#This Row],[I_0]] &lt; INDEX(Table28[Filtro de ruido],1), 1, Table14[[#This Row],[I_40]] / Table14[[#This Row],[I_0]])</f>
        <v>1</v>
      </c>
      <c r="Y596" s="19">
        <f>IF(Table14[[#This Row],[I_0]] &lt; INDEX(Table28[Filtro de ruido],1), 1, Table14[[#This Row],[I_50]] / Table14[[#This Row],[I_0]])</f>
        <v>1</v>
      </c>
      <c r="AA596" s="1"/>
    </row>
    <row r="597" spans="1:27" x14ac:dyDescent="0.3">
      <c r="A597" s="18">
        <v>660.38</v>
      </c>
      <c r="B597" s="1">
        <v>0</v>
      </c>
      <c r="C597" s="1">
        <v>660.38</v>
      </c>
      <c r="D597" s="1">
        <v>0</v>
      </c>
      <c r="E597" s="1">
        <v>660.38</v>
      </c>
      <c r="F597" s="1">
        <v>0</v>
      </c>
      <c r="G597" s="1">
        <v>660.38</v>
      </c>
      <c r="H597" s="1">
        <v>0</v>
      </c>
      <c r="I597" s="1">
        <v>660.38</v>
      </c>
      <c r="J597" s="1">
        <v>0</v>
      </c>
      <c r="K597" s="1">
        <v>660.38</v>
      </c>
      <c r="L597" s="1">
        <v>0</v>
      </c>
      <c r="M597" s="1">
        <v>660.38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660.38</v>
      </c>
      <c r="U597" s="1">
        <f>IF(Table14[[#This Row],[I_0]] &lt; INDEX(Table28[Filtro de ruido],1), 1, Table14[[#This Row],[I_10]] / Table14[[#This Row],[I_0]])</f>
        <v>1</v>
      </c>
      <c r="V597" s="1">
        <f>IF(Table14[[#This Row],[I_0]] &lt; INDEX(Table28[Filtro de ruido],1), 1, Table14[[#This Row],[I_20]] / Table14[[#This Row],[I_0]])</f>
        <v>1</v>
      </c>
      <c r="W597" s="1">
        <f>IF(Table14[[#This Row],[I_0]] &lt; INDEX(Table28[Filtro de ruido],1), 1, Table14[[#This Row],[I_30]] / Table14[[#This Row],[I_0]])</f>
        <v>1</v>
      </c>
      <c r="X597" s="1">
        <f>IF(Table14[[#This Row],[I_0]] &lt; INDEX(Table28[Filtro de ruido],1), 1, Table14[[#This Row],[I_40]] / Table14[[#This Row],[I_0]])</f>
        <v>1</v>
      </c>
      <c r="Y597" s="19">
        <f>IF(Table14[[#This Row],[I_0]] &lt; INDEX(Table28[Filtro de ruido],1), 1, Table14[[#This Row],[I_50]] / Table14[[#This Row],[I_0]])</f>
        <v>1</v>
      </c>
      <c r="AA597" s="1"/>
    </row>
    <row r="598" spans="1:27" x14ac:dyDescent="0.3">
      <c r="A598" s="18">
        <v>661.37</v>
      </c>
      <c r="B598" s="1">
        <v>0</v>
      </c>
      <c r="C598" s="1">
        <v>661.37</v>
      </c>
      <c r="D598" s="1">
        <v>0</v>
      </c>
      <c r="E598" s="1">
        <v>661.37</v>
      </c>
      <c r="F598" s="1">
        <v>0</v>
      </c>
      <c r="G598" s="1">
        <v>661.37</v>
      </c>
      <c r="H598" s="1">
        <v>0</v>
      </c>
      <c r="I598" s="1">
        <v>661.37</v>
      </c>
      <c r="J598" s="1">
        <v>0</v>
      </c>
      <c r="K598" s="1">
        <v>661.37</v>
      </c>
      <c r="L598" s="1">
        <v>0</v>
      </c>
      <c r="M598" s="1">
        <v>661.37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661.37</v>
      </c>
      <c r="U598" s="1">
        <f>IF(Table14[[#This Row],[I_0]] &lt; INDEX(Table28[Filtro de ruido],1), 1, Table14[[#This Row],[I_10]] / Table14[[#This Row],[I_0]])</f>
        <v>1</v>
      </c>
      <c r="V598" s="1">
        <f>IF(Table14[[#This Row],[I_0]] &lt; INDEX(Table28[Filtro de ruido],1), 1, Table14[[#This Row],[I_20]] / Table14[[#This Row],[I_0]])</f>
        <v>1</v>
      </c>
      <c r="W598" s="1">
        <f>IF(Table14[[#This Row],[I_0]] &lt; INDEX(Table28[Filtro de ruido],1), 1, Table14[[#This Row],[I_30]] / Table14[[#This Row],[I_0]])</f>
        <v>1</v>
      </c>
      <c r="X598" s="1">
        <f>IF(Table14[[#This Row],[I_0]] &lt; INDEX(Table28[Filtro de ruido],1), 1, Table14[[#This Row],[I_40]] / Table14[[#This Row],[I_0]])</f>
        <v>1</v>
      </c>
      <c r="Y598" s="19">
        <f>IF(Table14[[#This Row],[I_0]] &lt; INDEX(Table28[Filtro de ruido],1), 1, Table14[[#This Row],[I_50]] / Table14[[#This Row],[I_0]])</f>
        <v>1</v>
      </c>
      <c r="AA598" s="1"/>
    </row>
    <row r="599" spans="1:27" x14ac:dyDescent="0.3">
      <c r="A599" s="18">
        <v>662.36</v>
      </c>
      <c r="B599" s="1">
        <v>0</v>
      </c>
      <c r="C599" s="1">
        <v>662.36</v>
      </c>
      <c r="D599" s="1">
        <v>0</v>
      </c>
      <c r="E599" s="1">
        <v>662.36</v>
      </c>
      <c r="F599" s="1">
        <v>0</v>
      </c>
      <c r="G599" s="1">
        <v>662.36</v>
      </c>
      <c r="H599" s="1">
        <v>0</v>
      </c>
      <c r="I599" s="1">
        <v>662.36</v>
      </c>
      <c r="J599" s="1">
        <v>0</v>
      </c>
      <c r="K599" s="1">
        <v>662.36</v>
      </c>
      <c r="L599" s="1">
        <v>0</v>
      </c>
      <c r="M599" s="1">
        <v>662.36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662.36</v>
      </c>
      <c r="U599" s="1">
        <f>IF(Table14[[#This Row],[I_0]] &lt; INDEX(Table28[Filtro de ruido],1), 1, Table14[[#This Row],[I_10]] / Table14[[#This Row],[I_0]])</f>
        <v>1</v>
      </c>
      <c r="V599" s="1">
        <f>IF(Table14[[#This Row],[I_0]] &lt; INDEX(Table28[Filtro de ruido],1), 1, Table14[[#This Row],[I_20]] / Table14[[#This Row],[I_0]])</f>
        <v>1</v>
      </c>
      <c r="W599" s="1">
        <f>IF(Table14[[#This Row],[I_0]] &lt; INDEX(Table28[Filtro de ruido],1), 1, Table14[[#This Row],[I_30]] / Table14[[#This Row],[I_0]])</f>
        <v>1</v>
      </c>
      <c r="X599" s="1">
        <f>IF(Table14[[#This Row],[I_0]] &lt; INDEX(Table28[Filtro de ruido],1), 1, Table14[[#This Row],[I_40]] / Table14[[#This Row],[I_0]])</f>
        <v>1</v>
      </c>
      <c r="Y599" s="19">
        <f>IF(Table14[[#This Row],[I_0]] &lt; INDEX(Table28[Filtro de ruido],1), 1, Table14[[#This Row],[I_50]] / Table14[[#This Row],[I_0]])</f>
        <v>1</v>
      </c>
      <c r="AA599" s="1"/>
    </row>
    <row r="600" spans="1:27" x14ac:dyDescent="0.3">
      <c r="A600" s="18">
        <v>663.36</v>
      </c>
      <c r="B600" s="1">
        <v>0</v>
      </c>
      <c r="C600" s="1">
        <v>663.36</v>
      </c>
      <c r="D600" s="1">
        <v>0</v>
      </c>
      <c r="E600" s="1">
        <v>663.36</v>
      </c>
      <c r="F600" s="1">
        <v>0</v>
      </c>
      <c r="G600" s="1">
        <v>663.36</v>
      </c>
      <c r="H600" s="1">
        <v>0</v>
      </c>
      <c r="I600" s="1">
        <v>663.36</v>
      </c>
      <c r="J600" s="1">
        <v>0</v>
      </c>
      <c r="K600" s="1">
        <v>663.36</v>
      </c>
      <c r="L600" s="1">
        <v>0</v>
      </c>
      <c r="M600" s="1">
        <v>663.36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663.36</v>
      </c>
      <c r="U600" s="1">
        <f>IF(Table14[[#This Row],[I_0]] &lt; INDEX(Table28[Filtro de ruido],1), 1, Table14[[#This Row],[I_10]] / Table14[[#This Row],[I_0]])</f>
        <v>1</v>
      </c>
      <c r="V600" s="1">
        <f>IF(Table14[[#This Row],[I_0]] &lt; INDEX(Table28[Filtro de ruido],1), 1, Table14[[#This Row],[I_20]] / Table14[[#This Row],[I_0]])</f>
        <v>1</v>
      </c>
      <c r="W600" s="1">
        <f>IF(Table14[[#This Row],[I_0]] &lt; INDEX(Table28[Filtro de ruido],1), 1, Table14[[#This Row],[I_30]] / Table14[[#This Row],[I_0]])</f>
        <v>1</v>
      </c>
      <c r="X600" s="1">
        <f>IF(Table14[[#This Row],[I_0]] &lt; INDEX(Table28[Filtro de ruido],1), 1, Table14[[#This Row],[I_40]] / Table14[[#This Row],[I_0]])</f>
        <v>1</v>
      </c>
      <c r="Y600" s="19">
        <f>IF(Table14[[#This Row],[I_0]] &lt; INDEX(Table28[Filtro de ruido],1), 1, Table14[[#This Row],[I_50]] / Table14[[#This Row],[I_0]])</f>
        <v>1</v>
      </c>
      <c r="AA600" s="1"/>
    </row>
    <row r="601" spans="1:27" x14ac:dyDescent="0.3">
      <c r="A601" s="18">
        <v>664.35</v>
      </c>
      <c r="B601" s="1">
        <v>0</v>
      </c>
      <c r="C601" s="1">
        <v>664.35</v>
      </c>
      <c r="D601" s="1">
        <v>0</v>
      </c>
      <c r="E601" s="1">
        <v>664.35</v>
      </c>
      <c r="F601" s="1">
        <v>0</v>
      </c>
      <c r="G601" s="1">
        <v>664.35</v>
      </c>
      <c r="H601" s="1">
        <v>0</v>
      </c>
      <c r="I601" s="1">
        <v>664.35</v>
      </c>
      <c r="J601" s="1">
        <v>0</v>
      </c>
      <c r="K601" s="1">
        <v>664.35</v>
      </c>
      <c r="L601" s="1">
        <v>0</v>
      </c>
      <c r="M601" s="1">
        <v>664.35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664.35</v>
      </c>
      <c r="U601" s="1">
        <f>IF(Table14[[#This Row],[I_0]] &lt; INDEX(Table28[Filtro de ruido],1), 1, Table14[[#This Row],[I_10]] / Table14[[#This Row],[I_0]])</f>
        <v>1</v>
      </c>
      <c r="V601" s="1">
        <f>IF(Table14[[#This Row],[I_0]] &lt; INDEX(Table28[Filtro de ruido],1), 1, Table14[[#This Row],[I_20]] / Table14[[#This Row],[I_0]])</f>
        <v>1</v>
      </c>
      <c r="W601" s="1">
        <f>IF(Table14[[#This Row],[I_0]] &lt; INDEX(Table28[Filtro de ruido],1), 1, Table14[[#This Row],[I_30]] / Table14[[#This Row],[I_0]])</f>
        <v>1</v>
      </c>
      <c r="X601" s="1">
        <f>IF(Table14[[#This Row],[I_0]] &lt; INDEX(Table28[Filtro de ruido],1), 1, Table14[[#This Row],[I_40]] / Table14[[#This Row],[I_0]])</f>
        <v>1</v>
      </c>
      <c r="Y601" s="19">
        <f>IF(Table14[[#This Row],[I_0]] &lt; INDEX(Table28[Filtro de ruido],1), 1, Table14[[#This Row],[I_50]] / Table14[[#This Row],[I_0]])</f>
        <v>1</v>
      </c>
      <c r="AA601" s="1"/>
    </row>
    <row r="602" spans="1:27" x14ac:dyDescent="0.3">
      <c r="A602" s="18">
        <v>665.34</v>
      </c>
      <c r="B602" s="1">
        <v>0</v>
      </c>
      <c r="C602" s="1">
        <v>665.34</v>
      </c>
      <c r="D602" s="1">
        <v>0</v>
      </c>
      <c r="E602" s="1">
        <v>665.34</v>
      </c>
      <c r="F602" s="1">
        <v>0</v>
      </c>
      <c r="G602" s="1">
        <v>665.34</v>
      </c>
      <c r="H602" s="1">
        <v>0</v>
      </c>
      <c r="I602" s="1">
        <v>665.34</v>
      </c>
      <c r="J602" s="1">
        <v>0</v>
      </c>
      <c r="K602" s="1">
        <v>665.34</v>
      </c>
      <c r="L602" s="1">
        <v>0</v>
      </c>
      <c r="M602" s="1">
        <v>665.34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665.34</v>
      </c>
      <c r="U602" s="1">
        <f>IF(Table14[[#This Row],[I_0]] &lt; INDEX(Table28[Filtro de ruido],1), 1, Table14[[#This Row],[I_10]] / Table14[[#This Row],[I_0]])</f>
        <v>1</v>
      </c>
      <c r="V602" s="1">
        <f>IF(Table14[[#This Row],[I_0]] &lt; INDEX(Table28[Filtro de ruido],1), 1, Table14[[#This Row],[I_20]] / Table14[[#This Row],[I_0]])</f>
        <v>1</v>
      </c>
      <c r="W602" s="1">
        <f>IF(Table14[[#This Row],[I_0]] &lt; INDEX(Table28[Filtro de ruido],1), 1, Table14[[#This Row],[I_30]] / Table14[[#This Row],[I_0]])</f>
        <v>1</v>
      </c>
      <c r="X602" s="1">
        <f>IF(Table14[[#This Row],[I_0]] &lt; INDEX(Table28[Filtro de ruido],1), 1, Table14[[#This Row],[I_40]] / Table14[[#This Row],[I_0]])</f>
        <v>1</v>
      </c>
      <c r="Y602" s="19">
        <f>IF(Table14[[#This Row],[I_0]] &lt; INDEX(Table28[Filtro de ruido],1), 1, Table14[[#This Row],[I_50]] / Table14[[#This Row],[I_0]])</f>
        <v>1</v>
      </c>
      <c r="AA602" s="1"/>
    </row>
    <row r="603" spans="1:27" x14ac:dyDescent="0.3">
      <c r="A603" s="18">
        <v>666.33</v>
      </c>
      <c r="B603" s="1">
        <v>0</v>
      </c>
      <c r="C603" s="1">
        <v>666.33</v>
      </c>
      <c r="D603" s="1">
        <v>0</v>
      </c>
      <c r="E603" s="1">
        <v>666.33</v>
      </c>
      <c r="F603" s="1">
        <v>0</v>
      </c>
      <c r="G603" s="1">
        <v>666.33</v>
      </c>
      <c r="H603" s="1">
        <v>0</v>
      </c>
      <c r="I603" s="1">
        <v>666.33</v>
      </c>
      <c r="J603" s="1">
        <v>0</v>
      </c>
      <c r="K603" s="1">
        <v>666.33</v>
      </c>
      <c r="L603" s="1">
        <v>0</v>
      </c>
      <c r="M603" s="1">
        <v>666.33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666.33</v>
      </c>
      <c r="U603" s="1">
        <f>IF(Table14[[#This Row],[I_0]] &lt; INDEX(Table28[Filtro de ruido],1), 1, Table14[[#This Row],[I_10]] / Table14[[#This Row],[I_0]])</f>
        <v>1</v>
      </c>
      <c r="V603" s="1">
        <f>IF(Table14[[#This Row],[I_0]] &lt; INDEX(Table28[Filtro de ruido],1), 1, Table14[[#This Row],[I_20]] / Table14[[#This Row],[I_0]])</f>
        <v>1</v>
      </c>
      <c r="W603" s="1">
        <f>IF(Table14[[#This Row],[I_0]] &lt; INDEX(Table28[Filtro de ruido],1), 1, Table14[[#This Row],[I_30]] / Table14[[#This Row],[I_0]])</f>
        <v>1</v>
      </c>
      <c r="X603" s="1">
        <f>IF(Table14[[#This Row],[I_0]] &lt; INDEX(Table28[Filtro de ruido],1), 1, Table14[[#This Row],[I_40]] / Table14[[#This Row],[I_0]])</f>
        <v>1</v>
      </c>
      <c r="Y603" s="19">
        <f>IF(Table14[[#This Row],[I_0]] &lt; INDEX(Table28[Filtro de ruido],1), 1, Table14[[#This Row],[I_50]] / Table14[[#This Row],[I_0]])</f>
        <v>1</v>
      </c>
      <c r="AA603" s="1"/>
    </row>
    <row r="604" spans="1:27" x14ac:dyDescent="0.3">
      <c r="A604" s="18">
        <v>667.32</v>
      </c>
      <c r="B604" s="1">
        <v>0</v>
      </c>
      <c r="C604" s="1">
        <v>667.32</v>
      </c>
      <c r="D604" s="1">
        <v>0</v>
      </c>
      <c r="E604" s="1">
        <v>667.32</v>
      </c>
      <c r="F604" s="1">
        <v>0</v>
      </c>
      <c r="G604" s="1">
        <v>667.32</v>
      </c>
      <c r="H604" s="1">
        <v>0</v>
      </c>
      <c r="I604" s="1">
        <v>667.32</v>
      </c>
      <c r="J604" s="1">
        <v>0</v>
      </c>
      <c r="K604" s="1">
        <v>667.32</v>
      </c>
      <c r="L604" s="1">
        <v>0</v>
      </c>
      <c r="M604" s="1">
        <v>667.32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667.32</v>
      </c>
      <c r="U604" s="1">
        <f>IF(Table14[[#This Row],[I_0]] &lt; INDEX(Table28[Filtro de ruido],1), 1, Table14[[#This Row],[I_10]] / Table14[[#This Row],[I_0]])</f>
        <v>1</v>
      </c>
      <c r="V604" s="1">
        <f>IF(Table14[[#This Row],[I_0]] &lt; INDEX(Table28[Filtro de ruido],1), 1, Table14[[#This Row],[I_20]] / Table14[[#This Row],[I_0]])</f>
        <v>1</v>
      </c>
      <c r="W604" s="1">
        <f>IF(Table14[[#This Row],[I_0]] &lt; INDEX(Table28[Filtro de ruido],1), 1, Table14[[#This Row],[I_30]] / Table14[[#This Row],[I_0]])</f>
        <v>1</v>
      </c>
      <c r="X604" s="1">
        <f>IF(Table14[[#This Row],[I_0]] &lt; INDEX(Table28[Filtro de ruido],1), 1, Table14[[#This Row],[I_40]] / Table14[[#This Row],[I_0]])</f>
        <v>1</v>
      </c>
      <c r="Y604" s="19">
        <f>IF(Table14[[#This Row],[I_0]] &lt; INDEX(Table28[Filtro de ruido],1), 1, Table14[[#This Row],[I_50]] / Table14[[#This Row],[I_0]])</f>
        <v>1</v>
      </c>
      <c r="AA604" s="1"/>
    </row>
    <row r="605" spans="1:27" x14ac:dyDescent="0.3">
      <c r="A605" s="18">
        <v>668.31</v>
      </c>
      <c r="B605" s="1">
        <v>0</v>
      </c>
      <c r="C605" s="1">
        <v>668.31</v>
      </c>
      <c r="D605" s="1">
        <v>0</v>
      </c>
      <c r="E605" s="1">
        <v>668.31</v>
      </c>
      <c r="F605" s="1">
        <v>0</v>
      </c>
      <c r="G605" s="1">
        <v>668.31</v>
      </c>
      <c r="H605" s="1">
        <v>0</v>
      </c>
      <c r="I605" s="1">
        <v>668.31</v>
      </c>
      <c r="J605" s="1">
        <v>0</v>
      </c>
      <c r="K605" s="1">
        <v>668.31</v>
      </c>
      <c r="L605" s="1">
        <v>0</v>
      </c>
      <c r="M605" s="1">
        <v>668.31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668.31</v>
      </c>
      <c r="U605" s="1">
        <f>IF(Table14[[#This Row],[I_0]] &lt; INDEX(Table28[Filtro de ruido],1), 1, Table14[[#This Row],[I_10]] / Table14[[#This Row],[I_0]])</f>
        <v>1</v>
      </c>
      <c r="V605" s="1">
        <f>IF(Table14[[#This Row],[I_0]] &lt; INDEX(Table28[Filtro de ruido],1), 1, Table14[[#This Row],[I_20]] / Table14[[#This Row],[I_0]])</f>
        <v>1</v>
      </c>
      <c r="W605" s="1">
        <f>IF(Table14[[#This Row],[I_0]] &lt; INDEX(Table28[Filtro de ruido],1), 1, Table14[[#This Row],[I_30]] / Table14[[#This Row],[I_0]])</f>
        <v>1</v>
      </c>
      <c r="X605" s="1">
        <f>IF(Table14[[#This Row],[I_0]] &lt; INDEX(Table28[Filtro de ruido],1), 1, Table14[[#This Row],[I_40]] / Table14[[#This Row],[I_0]])</f>
        <v>1</v>
      </c>
      <c r="Y605" s="19">
        <f>IF(Table14[[#This Row],[I_0]] &lt; INDEX(Table28[Filtro de ruido],1), 1, Table14[[#This Row],[I_50]] / Table14[[#This Row],[I_0]])</f>
        <v>1</v>
      </c>
      <c r="AA605" s="1"/>
    </row>
    <row r="606" spans="1:27" x14ac:dyDescent="0.3">
      <c r="A606" s="18">
        <v>669.31</v>
      </c>
      <c r="B606" s="1">
        <v>0</v>
      </c>
      <c r="C606" s="1">
        <v>669.31</v>
      </c>
      <c r="D606" s="1">
        <v>0</v>
      </c>
      <c r="E606" s="1">
        <v>669.31</v>
      </c>
      <c r="F606" s="1">
        <v>0</v>
      </c>
      <c r="G606" s="1">
        <v>669.31</v>
      </c>
      <c r="H606" s="1">
        <v>0</v>
      </c>
      <c r="I606" s="1">
        <v>669.31</v>
      </c>
      <c r="J606" s="1">
        <v>0</v>
      </c>
      <c r="K606" s="1">
        <v>669.31</v>
      </c>
      <c r="L606" s="1">
        <v>0</v>
      </c>
      <c r="M606" s="1">
        <v>669.31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669.31</v>
      </c>
      <c r="U606" s="1">
        <f>IF(Table14[[#This Row],[I_0]] &lt; INDEX(Table28[Filtro de ruido],1), 1, Table14[[#This Row],[I_10]] / Table14[[#This Row],[I_0]])</f>
        <v>1</v>
      </c>
      <c r="V606" s="1">
        <f>IF(Table14[[#This Row],[I_0]] &lt; INDEX(Table28[Filtro de ruido],1), 1, Table14[[#This Row],[I_20]] / Table14[[#This Row],[I_0]])</f>
        <v>1</v>
      </c>
      <c r="W606" s="1">
        <f>IF(Table14[[#This Row],[I_0]] &lt; INDEX(Table28[Filtro de ruido],1), 1, Table14[[#This Row],[I_30]] / Table14[[#This Row],[I_0]])</f>
        <v>1</v>
      </c>
      <c r="X606" s="1">
        <f>IF(Table14[[#This Row],[I_0]] &lt; INDEX(Table28[Filtro de ruido],1), 1, Table14[[#This Row],[I_40]] / Table14[[#This Row],[I_0]])</f>
        <v>1</v>
      </c>
      <c r="Y606" s="19">
        <f>IF(Table14[[#This Row],[I_0]] &lt; INDEX(Table28[Filtro de ruido],1), 1, Table14[[#This Row],[I_50]] / Table14[[#This Row],[I_0]])</f>
        <v>1</v>
      </c>
      <c r="AA606" s="1"/>
    </row>
    <row r="607" spans="1:27" x14ac:dyDescent="0.3">
      <c r="A607" s="18">
        <v>670.3</v>
      </c>
      <c r="B607" s="1">
        <v>0</v>
      </c>
      <c r="C607" s="1">
        <v>670.3</v>
      </c>
      <c r="D607" s="1">
        <v>0</v>
      </c>
      <c r="E607" s="1">
        <v>670.3</v>
      </c>
      <c r="F607" s="1">
        <v>0</v>
      </c>
      <c r="G607" s="1">
        <v>670.3</v>
      </c>
      <c r="H607" s="1">
        <v>0</v>
      </c>
      <c r="I607" s="1">
        <v>670.3</v>
      </c>
      <c r="J607" s="1">
        <v>0</v>
      </c>
      <c r="K607" s="1">
        <v>670.3</v>
      </c>
      <c r="L607" s="1">
        <v>0</v>
      </c>
      <c r="M607" s="1">
        <v>670.3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670.3</v>
      </c>
      <c r="U607" s="1">
        <f>IF(Table14[[#This Row],[I_0]] &lt; INDEX(Table28[Filtro de ruido],1), 1, Table14[[#This Row],[I_10]] / Table14[[#This Row],[I_0]])</f>
        <v>1</v>
      </c>
      <c r="V607" s="1">
        <f>IF(Table14[[#This Row],[I_0]] &lt; INDEX(Table28[Filtro de ruido],1), 1, Table14[[#This Row],[I_20]] / Table14[[#This Row],[I_0]])</f>
        <v>1</v>
      </c>
      <c r="W607" s="1">
        <f>IF(Table14[[#This Row],[I_0]] &lt; INDEX(Table28[Filtro de ruido],1), 1, Table14[[#This Row],[I_30]] / Table14[[#This Row],[I_0]])</f>
        <v>1</v>
      </c>
      <c r="X607" s="1">
        <f>IF(Table14[[#This Row],[I_0]] &lt; INDEX(Table28[Filtro de ruido],1), 1, Table14[[#This Row],[I_40]] / Table14[[#This Row],[I_0]])</f>
        <v>1</v>
      </c>
      <c r="Y607" s="19">
        <f>IF(Table14[[#This Row],[I_0]] &lt; INDEX(Table28[Filtro de ruido],1), 1, Table14[[#This Row],[I_50]] / Table14[[#This Row],[I_0]])</f>
        <v>1</v>
      </c>
      <c r="AA607" s="1"/>
    </row>
    <row r="608" spans="1:27" x14ac:dyDescent="0.3">
      <c r="A608" s="18">
        <v>671.29</v>
      </c>
      <c r="B608" s="1">
        <v>0</v>
      </c>
      <c r="C608" s="1">
        <v>671.29</v>
      </c>
      <c r="D608" s="1">
        <v>0</v>
      </c>
      <c r="E608" s="1">
        <v>671.29</v>
      </c>
      <c r="F608" s="1">
        <v>0</v>
      </c>
      <c r="G608" s="1">
        <v>671.29</v>
      </c>
      <c r="H608" s="1">
        <v>0</v>
      </c>
      <c r="I608" s="1">
        <v>671.29</v>
      </c>
      <c r="J608" s="1">
        <v>0</v>
      </c>
      <c r="K608" s="1">
        <v>671.29</v>
      </c>
      <c r="L608" s="1">
        <v>0</v>
      </c>
      <c r="M608" s="1">
        <v>671.29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671.29</v>
      </c>
      <c r="U608" s="1">
        <f>IF(Table14[[#This Row],[I_0]] &lt; INDEX(Table28[Filtro de ruido],1), 1, Table14[[#This Row],[I_10]] / Table14[[#This Row],[I_0]])</f>
        <v>1</v>
      </c>
      <c r="V608" s="1">
        <f>IF(Table14[[#This Row],[I_0]] &lt; INDEX(Table28[Filtro de ruido],1), 1, Table14[[#This Row],[I_20]] / Table14[[#This Row],[I_0]])</f>
        <v>1</v>
      </c>
      <c r="W608" s="1">
        <f>IF(Table14[[#This Row],[I_0]] &lt; INDEX(Table28[Filtro de ruido],1), 1, Table14[[#This Row],[I_30]] / Table14[[#This Row],[I_0]])</f>
        <v>1</v>
      </c>
      <c r="X608" s="1">
        <f>IF(Table14[[#This Row],[I_0]] &lt; INDEX(Table28[Filtro de ruido],1), 1, Table14[[#This Row],[I_40]] / Table14[[#This Row],[I_0]])</f>
        <v>1</v>
      </c>
      <c r="Y608" s="19">
        <f>IF(Table14[[#This Row],[I_0]] &lt; INDEX(Table28[Filtro de ruido],1), 1, Table14[[#This Row],[I_50]] / Table14[[#This Row],[I_0]])</f>
        <v>1</v>
      </c>
      <c r="AA608" s="1"/>
    </row>
    <row r="609" spans="1:27" x14ac:dyDescent="0.3">
      <c r="A609" s="18">
        <v>672.28</v>
      </c>
      <c r="B609" s="1">
        <v>0</v>
      </c>
      <c r="C609" s="1">
        <v>672.28</v>
      </c>
      <c r="D609" s="1">
        <v>0</v>
      </c>
      <c r="E609" s="1">
        <v>672.28</v>
      </c>
      <c r="F609" s="1">
        <v>0</v>
      </c>
      <c r="G609" s="1">
        <v>672.28</v>
      </c>
      <c r="H609" s="1">
        <v>0</v>
      </c>
      <c r="I609" s="1">
        <v>672.28</v>
      </c>
      <c r="J609" s="1">
        <v>0</v>
      </c>
      <c r="K609" s="1">
        <v>672.28</v>
      </c>
      <c r="L609" s="1">
        <v>0</v>
      </c>
      <c r="M609" s="1">
        <v>672.28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672.28</v>
      </c>
      <c r="U609" s="1">
        <f>IF(Table14[[#This Row],[I_0]] &lt; INDEX(Table28[Filtro de ruido],1), 1, Table14[[#This Row],[I_10]] / Table14[[#This Row],[I_0]])</f>
        <v>1</v>
      </c>
      <c r="V609" s="1">
        <f>IF(Table14[[#This Row],[I_0]] &lt; INDEX(Table28[Filtro de ruido],1), 1, Table14[[#This Row],[I_20]] / Table14[[#This Row],[I_0]])</f>
        <v>1</v>
      </c>
      <c r="W609" s="1">
        <f>IF(Table14[[#This Row],[I_0]] &lt; INDEX(Table28[Filtro de ruido],1), 1, Table14[[#This Row],[I_30]] / Table14[[#This Row],[I_0]])</f>
        <v>1</v>
      </c>
      <c r="X609" s="1">
        <f>IF(Table14[[#This Row],[I_0]] &lt; INDEX(Table28[Filtro de ruido],1), 1, Table14[[#This Row],[I_40]] / Table14[[#This Row],[I_0]])</f>
        <v>1</v>
      </c>
      <c r="Y609" s="19">
        <f>IF(Table14[[#This Row],[I_0]] &lt; INDEX(Table28[Filtro de ruido],1), 1, Table14[[#This Row],[I_50]] / Table14[[#This Row],[I_0]])</f>
        <v>1</v>
      </c>
      <c r="AA609" s="1"/>
    </row>
    <row r="610" spans="1:27" x14ac:dyDescent="0.3">
      <c r="A610" s="18">
        <v>673.27</v>
      </c>
      <c r="B610" s="1">
        <v>0</v>
      </c>
      <c r="C610" s="1">
        <v>673.27</v>
      </c>
      <c r="D610" s="1">
        <v>0</v>
      </c>
      <c r="E610" s="1">
        <v>673.27</v>
      </c>
      <c r="F610" s="1">
        <v>0</v>
      </c>
      <c r="G610" s="1">
        <v>673.27</v>
      </c>
      <c r="H610" s="1">
        <v>0</v>
      </c>
      <c r="I610" s="1">
        <v>673.27</v>
      </c>
      <c r="J610" s="1">
        <v>0</v>
      </c>
      <c r="K610" s="1">
        <v>673.27</v>
      </c>
      <c r="L610" s="1">
        <v>0</v>
      </c>
      <c r="M610" s="1">
        <v>673.27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673.27</v>
      </c>
      <c r="U610" s="1">
        <f>IF(Table14[[#This Row],[I_0]] &lt; INDEX(Table28[Filtro de ruido],1), 1, Table14[[#This Row],[I_10]] / Table14[[#This Row],[I_0]])</f>
        <v>1</v>
      </c>
      <c r="V610" s="1">
        <f>IF(Table14[[#This Row],[I_0]] &lt; INDEX(Table28[Filtro de ruido],1), 1, Table14[[#This Row],[I_20]] / Table14[[#This Row],[I_0]])</f>
        <v>1</v>
      </c>
      <c r="W610" s="1">
        <f>IF(Table14[[#This Row],[I_0]] &lt; INDEX(Table28[Filtro de ruido],1), 1, Table14[[#This Row],[I_30]] / Table14[[#This Row],[I_0]])</f>
        <v>1</v>
      </c>
      <c r="X610" s="1">
        <f>IF(Table14[[#This Row],[I_0]] &lt; INDEX(Table28[Filtro de ruido],1), 1, Table14[[#This Row],[I_40]] / Table14[[#This Row],[I_0]])</f>
        <v>1</v>
      </c>
      <c r="Y610" s="19">
        <f>IF(Table14[[#This Row],[I_0]] &lt; INDEX(Table28[Filtro de ruido],1), 1, Table14[[#This Row],[I_50]] / Table14[[#This Row],[I_0]])</f>
        <v>1</v>
      </c>
      <c r="AA610" s="1"/>
    </row>
    <row r="611" spans="1:27" x14ac:dyDescent="0.3">
      <c r="A611" s="18">
        <v>674.27</v>
      </c>
      <c r="B611" s="1">
        <v>0</v>
      </c>
      <c r="C611" s="1">
        <v>674.27</v>
      </c>
      <c r="D611" s="1">
        <v>0</v>
      </c>
      <c r="E611" s="1">
        <v>674.27</v>
      </c>
      <c r="F611" s="1">
        <v>0</v>
      </c>
      <c r="G611" s="1">
        <v>674.27</v>
      </c>
      <c r="H611" s="1">
        <v>0</v>
      </c>
      <c r="I611" s="1">
        <v>674.27</v>
      </c>
      <c r="J611" s="1">
        <v>0</v>
      </c>
      <c r="K611" s="1">
        <v>674.27</v>
      </c>
      <c r="L611" s="1">
        <v>0</v>
      </c>
      <c r="M611" s="1">
        <v>674.27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674.27</v>
      </c>
      <c r="U611" s="1">
        <f>IF(Table14[[#This Row],[I_0]] &lt; INDEX(Table28[Filtro de ruido],1), 1, Table14[[#This Row],[I_10]] / Table14[[#This Row],[I_0]])</f>
        <v>1</v>
      </c>
      <c r="V611" s="1">
        <f>IF(Table14[[#This Row],[I_0]] &lt; INDEX(Table28[Filtro de ruido],1), 1, Table14[[#This Row],[I_20]] / Table14[[#This Row],[I_0]])</f>
        <v>1</v>
      </c>
      <c r="W611" s="1">
        <f>IF(Table14[[#This Row],[I_0]] &lt; INDEX(Table28[Filtro de ruido],1), 1, Table14[[#This Row],[I_30]] / Table14[[#This Row],[I_0]])</f>
        <v>1</v>
      </c>
      <c r="X611" s="1">
        <f>IF(Table14[[#This Row],[I_0]] &lt; INDEX(Table28[Filtro de ruido],1), 1, Table14[[#This Row],[I_40]] / Table14[[#This Row],[I_0]])</f>
        <v>1</v>
      </c>
      <c r="Y611" s="19">
        <f>IF(Table14[[#This Row],[I_0]] &lt; INDEX(Table28[Filtro de ruido],1), 1, Table14[[#This Row],[I_50]] / Table14[[#This Row],[I_0]])</f>
        <v>1</v>
      </c>
      <c r="AA611" s="1"/>
    </row>
    <row r="612" spans="1:27" x14ac:dyDescent="0.3">
      <c r="A612" s="18">
        <v>675.26</v>
      </c>
      <c r="B612" s="1">
        <v>0</v>
      </c>
      <c r="C612" s="1">
        <v>675.26</v>
      </c>
      <c r="D612" s="1">
        <v>0</v>
      </c>
      <c r="E612" s="1">
        <v>675.26</v>
      </c>
      <c r="F612" s="1">
        <v>0</v>
      </c>
      <c r="G612" s="1">
        <v>675.26</v>
      </c>
      <c r="H612" s="1">
        <v>0</v>
      </c>
      <c r="I612" s="1">
        <v>675.26</v>
      </c>
      <c r="J612" s="1">
        <v>0</v>
      </c>
      <c r="K612" s="1">
        <v>675.26</v>
      </c>
      <c r="L612" s="1">
        <v>0</v>
      </c>
      <c r="M612" s="1">
        <v>675.26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675.26</v>
      </c>
      <c r="U612" s="1">
        <f>IF(Table14[[#This Row],[I_0]] &lt; INDEX(Table28[Filtro de ruido],1), 1, Table14[[#This Row],[I_10]] / Table14[[#This Row],[I_0]])</f>
        <v>1</v>
      </c>
      <c r="V612" s="1">
        <f>IF(Table14[[#This Row],[I_0]] &lt; INDEX(Table28[Filtro de ruido],1), 1, Table14[[#This Row],[I_20]] / Table14[[#This Row],[I_0]])</f>
        <v>1</v>
      </c>
      <c r="W612" s="1">
        <f>IF(Table14[[#This Row],[I_0]] &lt; INDEX(Table28[Filtro de ruido],1), 1, Table14[[#This Row],[I_30]] / Table14[[#This Row],[I_0]])</f>
        <v>1</v>
      </c>
      <c r="X612" s="1">
        <f>IF(Table14[[#This Row],[I_0]] &lt; INDEX(Table28[Filtro de ruido],1), 1, Table14[[#This Row],[I_40]] / Table14[[#This Row],[I_0]])</f>
        <v>1</v>
      </c>
      <c r="Y612" s="19">
        <f>IF(Table14[[#This Row],[I_0]] &lt; INDEX(Table28[Filtro de ruido],1), 1, Table14[[#This Row],[I_50]] / Table14[[#This Row],[I_0]])</f>
        <v>1</v>
      </c>
      <c r="AA612" s="1"/>
    </row>
    <row r="613" spans="1:27" x14ac:dyDescent="0.3">
      <c r="A613" s="18">
        <v>676.25</v>
      </c>
      <c r="B613" s="1">
        <v>0</v>
      </c>
      <c r="C613" s="1">
        <v>676.25</v>
      </c>
      <c r="D613" s="1">
        <v>0</v>
      </c>
      <c r="E613" s="1">
        <v>676.25</v>
      </c>
      <c r="F613" s="1">
        <v>0</v>
      </c>
      <c r="G613" s="1">
        <v>676.25</v>
      </c>
      <c r="H613" s="1">
        <v>0</v>
      </c>
      <c r="I613" s="1">
        <v>676.25</v>
      </c>
      <c r="J613" s="1">
        <v>0</v>
      </c>
      <c r="K613" s="1">
        <v>676.25</v>
      </c>
      <c r="L613" s="1">
        <v>0</v>
      </c>
      <c r="M613" s="1">
        <v>676.25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676.25</v>
      </c>
      <c r="U613" s="1">
        <f>IF(Table14[[#This Row],[I_0]] &lt; INDEX(Table28[Filtro de ruido],1), 1, Table14[[#This Row],[I_10]] / Table14[[#This Row],[I_0]])</f>
        <v>1</v>
      </c>
      <c r="V613" s="1">
        <f>IF(Table14[[#This Row],[I_0]] &lt; INDEX(Table28[Filtro de ruido],1), 1, Table14[[#This Row],[I_20]] / Table14[[#This Row],[I_0]])</f>
        <v>1</v>
      </c>
      <c r="W613" s="1">
        <f>IF(Table14[[#This Row],[I_0]] &lt; INDEX(Table28[Filtro de ruido],1), 1, Table14[[#This Row],[I_30]] / Table14[[#This Row],[I_0]])</f>
        <v>1</v>
      </c>
      <c r="X613" s="1">
        <f>IF(Table14[[#This Row],[I_0]] &lt; INDEX(Table28[Filtro de ruido],1), 1, Table14[[#This Row],[I_40]] / Table14[[#This Row],[I_0]])</f>
        <v>1</v>
      </c>
      <c r="Y613" s="19">
        <f>IF(Table14[[#This Row],[I_0]] &lt; INDEX(Table28[Filtro de ruido],1), 1, Table14[[#This Row],[I_50]] / Table14[[#This Row],[I_0]])</f>
        <v>1</v>
      </c>
      <c r="AA613" s="1"/>
    </row>
    <row r="614" spans="1:27" x14ac:dyDescent="0.3">
      <c r="A614" s="18">
        <v>677.24</v>
      </c>
      <c r="B614" s="1">
        <v>0</v>
      </c>
      <c r="C614" s="1">
        <v>677.24</v>
      </c>
      <c r="D614" s="1">
        <v>0</v>
      </c>
      <c r="E614" s="1">
        <v>677.24</v>
      </c>
      <c r="F614" s="1">
        <v>0</v>
      </c>
      <c r="G614" s="1">
        <v>677.24</v>
      </c>
      <c r="H614" s="1">
        <v>0</v>
      </c>
      <c r="I614" s="1">
        <v>677.24</v>
      </c>
      <c r="J614" s="1">
        <v>0</v>
      </c>
      <c r="K614" s="1">
        <v>677.24</v>
      </c>
      <c r="L614" s="1">
        <v>0</v>
      </c>
      <c r="M614" s="1">
        <v>677.24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677.24</v>
      </c>
      <c r="U614" s="1">
        <f>IF(Table14[[#This Row],[I_0]] &lt; INDEX(Table28[Filtro de ruido],1), 1, Table14[[#This Row],[I_10]] / Table14[[#This Row],[I_0]])</f>
        <v>1</v>
      </c>
      <c r="V614" s="1">
        <f>IF(Table14[[#This Row],[I_0]] &lt; INDEX(Table28[Filtro de ruido],1), 1, Table14[[#This Row],[I_20]] / Table14[[#This Row],[I_0]])</f>
        <v>1</v>
      </c>
      <c r="W614" s="1">
        <f>IF(Table14[[#This Row],[I_0]] &lt; INDEX(Table28[Filtro de ruido],1), 1, Table14[[#This Row],[I_30]] / Table14[[#This Row],[I_0]])</f>
        <v>1</v>
      </c>
      <c r="X614" s="1">
        <f>IF(Table14[[#This Row],[I_0]] &lt; INDEX(Table28[Filtro de ruido],1), 1, Table14[[#This Row],[I_40]] / Table14[[#This Row],[I_0]])</f>
        <v>1</v>
      </c>
      <c r="Y614" s="19">
        <f>IF(Table14[[#This Row],[I_0]] &lt; INDEX(Table28[Filtro de ruido],1), 1, Table14[[#This Row],[I_50]] / Table14[[#This Row],[I_0]])</f>
        <v>1</v>
      </c>
      <c r="AA614" s="1"/>
    </row>
    <row r="615" spans="1:27" x14ac:dyDescent="0.3">
      <c r="A615" s="18">
        <v>678.23</v>
      </c>
      <c r="B615" s="1">
        <v>0</v>
      </c>
      <c r="C615" s="1">
        <v>678.23</v>
      </c>
      <c r="D615" s="1">
        <v>0</v>
      </c>
      <c r="E615" s="1">
        <v>678.23</v>
      </c>
      <c r="F615" s="1">
        <v>0</v>
      </c>
      <c r="G615" s="1">
        <v>678.23</v>
      </c>
      <c r="H615" s="1">
        <v>0</v>
      </c>
      <c r="I615" s="1">
        <v>678.23</v>
      </c>
      <c r="J615" s="1">
        <v>0</v>
      </c>
      <c r="K615" s="1">
        <v>678.23</v>
      </c>
      <c r="L615" s="1">
        <v>0</v>
      </c>
      <c r="M615" s="1">
        <v>678.23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678.23</v>
      </c>
      <c r="U615" s="1">
        <f>IF(Table14[[#This Row],[I_0]] &lt; INDEX(Table28[Filtro de ruido],1), 1, Table14[[#This Row],[I_10]] / Table14[[#This Row],[I_0]])</f>
        <v>1</v>
      </c>
      <c r="V615" s="1">
        <f>IF(Table14[[#This Row],[I_0]] &lt; INDEX(Table28[Filtro de ruido],1), 1, Table14[[#This Row],[I_20]] / Table14[[#This Row],[I_0]])</f>
        <v>1</v>
      </c>
      <c r="W615" s="1">
        <f>IF(Table14[[#This Row],[I_0]] &lt; INDEX(Table28[Filtro de ruido],1), 1, Table14[[#This Row],[I_30]] / Table14[[#This Row],[I_0]])</f>
        <v>1</v>
      </c>
      <c r="X615" s="1">
        <f>IF(Table14[[#This Row],[I_0]] &lt; INDEX(Table28[Filtro de ruido],1), 1, Table14[[#This Row],[I_40]] / Table14[[#This Row],[I_0]])</f>
        <v>1</v>
      </c>
      <c r="Y615" s="19">
        <f>IF(Table14[[#This Row],[I_0]] &lt; INDEX(Table28[Filtro de ruido],1), 1, Table14[[#This Row],[I_50]] / Table14[[#This Row],[I_0]])</f>
        <v>1</v>
      </c>
      <c r="AA615" s="1"/>
    </row>
    <row r="616" spans="1:27" x14ac:dyDescent="0.3">
      <c r="A616" s="18">
        <v>679.22</v>
      </c>
      <c r="B616" s="1">
        <v>0</v>
      </c>
      <c r="C616" s="1">
        <v>679.22</v>
      </c>
      <c r="D616" s="1">
        <v>0</v>
      </c>
      <c r="E616" s="1">
        <v>679.22</v>
      </c>
      <c r="F616" s="1">
        <v>0</v>
      </c>
      <c r="G616" s="1">
        <v>679.22</v>
      </c>
      <c r="H616" s="1">
        <v>0</v>
      </c>
      <c r="I616" s="1">
        <v>679.22</v>
      </c>
      <c r="J616" s="1">
        <v>0</v>
      </c>
      <c r="K616" s="1">
        <v>679.22</v>
      </c>
      <c r="L616" s="1">
        <v>0</v>
      </c>
      <c r="M616" s="1">
        <v>679.22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679.22</v>
      </c>
      <c r="U616" s="1">
        <f>IF(Table14[[#This Row],[I_0]] &lt; INDEX(Table28[Filtro de ruido],1), 1, Table14[[#This Row],[I_10]] / Table14[[#This Row],[I_0]])</f>
        <v>1</v>
      </c>
      <c r="V616" s="1">
        <f>IF(Table14[[#This Row],[I_0]] &lt; INDEX(Table28[Filtro de ruido],1), 1, Table14[[#This Row],[I_20]] / Table14[[#This Row],[I_0]])</f>
        <v>1</v>
      </c>
      <c r="W616" s="1">
        <f>IF(Table14[[#This Row],[I_0]] &lt; INDEX(Table28[Filtro de ruido],1), 1, Table14[[#This Row],[I_30]] / Table14[[#This Row],[I_0]])</f>
        <v>1</v>
      </c>
      <c r="X616" s="1">
        <f>IF(Table14[[#This Row],[I_0]] &lt; INDEX(Table28[Filtro de ruido],1), 1, Table14[[#This Row],[I_40]] / Table14[[#This Row],[I_0]])</f>
        <v>1</v>
      </c>
      <c r="Y616" s="19">
        <f>IF(Table14[[#This Row],[I_0]] &lt; INDEX(Table28[Filtro de ruido],1), 1, Table14[[#This Row],[I_50]] / Table14[[#This Row],[I_0]])</f>
        <v>1</v>
      </c>
      <c r="AA616" s="1"/>
    </row>
    <row r="617" spans="1:27" x14ac:dyDescent="0.3">
      <c r="A617" s="18">
        <v>680.22</v>
      </c>
      <c r="B617" s="1">
        <v>0</v>
      </c>
      <c r="C617" s="1">
        <v>680.22</v>
      </c>
      <c r="D617" s="1">
        <v>0</v>
      </c>
      <c r="E617" s="1">
        <v>680.22</v>
      </c>
      <c r="F617" s="1">
        <v>0</v>
      </c>
      <c r="G617" s="1">
        <v>680.22</v>
      </c>
      <c r="H617" s="1">
        <v>0</v>
      </c>
      <c r="I617" s="1">
        <v>680.22</v>
      </c>
      <c r="J617" s="1">
        <v>0</v>
      </c>
      <c r="K617" s="1">
        <v>680.22</v>
      </c>
      <c r="L617" s="1">
        <v>0</v>
      </c>
      <c r="M617" s="1">
        <v>680.22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680.22</v>
      </c>
      <c r="U617" s="1">
        <f>IF(Table14[[#This Row],[I_0]] &lt; INDEX(Table28[Filtro de ruido],1), 1, Table14[[#This Row],[I_10]] / Table14[[#This Row],[I_0]])</f>
        <v>1</v>
      </c>
      <c r="V617" s="1">
        <f>IF(Table14[[#This Row],[I_0]] &lt; INDEX(Table28[Filtro de ruido],1), 1, Table14[[#This Row],[I_20]] / Table14[[#This Row],[I_0]])</f>
        <v>1</v>
      </c>
      <c r="W617" s="1">
        <f>IF(Table14[[#This Row],[I_0]] &lt; INDEX(Table28[Filtro de ruido],1), 1, Table14[[#This Row],[I_30]] / Table14[[#This Row],[I_0]])</f>
        <v>1</v>
      </c>
      <c r="X617" s="1">
        <f>IF(Table14[[#This Row],[I_0]] &lt; INDEX(Table28[Filtro de ruido],1), 1, Table14[[#This Row],[I_40]] / Table14[[#This Row],[I_0]])</f>
        <v>1</v>
      </c>
      <c r="Y617" s="19">
        <f>IF(Table14[[#This Row],[I_0]] &lt; INDEX(Table28[Filtro de ruido],1), 1, Table14[[#This Row],[I_50]] / Table14[[#This Row],[I_0]])</f>
        <v>1</v>
      </c>
      <c r="AA617" s="1"/>
    </row>
    <row r="618" spans="1:27" x14ac:dyDescent="0.3">
      <c r="A618" s="18">
        <v>681.21</v>
      </c>
      <c r="B618" s="1">
        <v>0</v>
      </c>
      <c r="C618" s="1">
        <v>681.21</v>
      </c>
      <c r="D618" s="1">
        <v>0</v>
      </c>
      <c r="E618" s="1">
        <v>681.21</v>
      </c>
      <c r="F618" s="1">
        <v>0</v>
      </c>
      <c r="G618" s="1">
        <v>681.21</v>
      </c>
      <c r="H618" s="1">
        <v>0</v>
      </c>
      <c r="I618" s="1">
        <v>681.21</v>
      </c>
      <c r="J618" s="1">
        <v>0</v>
      </c>
      <c r="K618" s="1">
        <v>681.21</v>
      </c>
      <c r="L618" s="1">
        <v>0</v>
      </c>
      <c r="M618" s="1">
        <v>681.21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681.21</v>
      </c>
      <c r="U618" s="1">
        <f>IF(Table14[[#This Row],[I_0]] &lt; INDEX(Table28[Filtro de ruido],1), 1, Table14[[#This Row],[I_10]] / Table14[[#This Row],[I_0]])</f>
        <v>1</v>
      </c>
      <c r="V618" s="1">
        <f>IF(Table14[[#This Row],[I_0]] &lt; INDEX(Table28[Filtro de ruido],1), 1, Table14[[#This Row],[I_20]] / Table14[[#This Row],[I_0]])</f>
        <v>1</v>
      </c>
      <c r="W618" s="1">
        <f>IF(Table14[[#This Row],[I_0]] &lt; INDEX(Table28[Filtro de ruido],1), 1, Table14[[#This Row],[I_30]] / Table14[[#This Row],[I_0]])</f>
        <v>1</v>
      </c>
      <c r="X618" s="1">
        <f>IF(Table14[[#This Row],[I_0]] &lt; INDEX(Table28[Filtro de ruido],1), 1, Table14[[#This Row],[I_40]] / Table14[[#This Row],[I_0]])</f>
        <v>1</v>
      </c>
      <c r="Y618" s="19">
        <f>IF(Table14[[#This Row],[I_0]] &lt; INDEX(Table28[Filtro de ruido],1), 1, Table14[[#This Row],[I_50]] / Table14[[#This Row],[I_0]])</f>
        <v>1</v>
      </c>
      <c r="AA618" s="1"/>
    </row>
    <row r="619" spans="1:27" x14ac:dyDescent="0.3">
      <c r="A619" s="18">
        <v>682.2</v>
      </c>
      <c r="B619" s="1">
        <v>0</v>
      </c>
      <c r="C619" s="1">
        <v>682.2</v>
      </c>
      <c r="D619" s="1">
        <v>0</v>
      </c>
      <c r="E619" s="1">
        <v>682.2</v>
      </c>
      <c r="F619" s="1">
        <v>0</v>
      </c>
      <c r="G619" s="1">
        <v>682.2</v>
      </c>
      <c r="H619" s="1">
        <v>0</v>
      </c>
      <c r="I619" s="1">
        <v>682.2</v>
      </c>
      <c r="J619" s="1">
        <v>0</v>
      </c>
      <c r="K619" s="1">
        <v>682.2</v>
      </c>
      <c r="L619" s="1">
        <v>0</v>
      </c>
      <c r="M619" s="1">
        <v>682.2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682.2</v>
      </c>
      <c r="U619" s="1">
        <f>IF(Table14[[#This Row],[I_0]] &lt; INDEX(Table28[Filtro de ruido],1), 1, Table14[[#This Row],[I_10]] / Table14[[#This Row],[I_0]])</f>
        <v>1</v>
      </c>
      <c r="V619" s="1">
        <f>IF(Table14[[#This Row],[I_0]] &lt; INDEX(Table28[Filtro de ruido],1), 1, Table14[[#This Row],[I_20]] / Table14[[#This Row],[I_0]])</f>
        <v>1</v>
      </c>
      <c r="W619" s="1">
        <f>IF(Table14[[#This Row],[I_0]] &lt; INDEX(Table28[Filtro de ruido],1), 1, Table14[[#This Row],[I_30]] / Table14[[#This Row],[I_0]])</f>
        <v>1</v>
      </c>
      <c r="X619" s="1">
        <f>IF(Table14[[#This Row],[I_0]] &lt; INDEX(Table28[Filtro de ruido],1), 1, Table14[[#This Row],[I_40]] / Table14[[#This Row],[I_0]])</f>
        <v>1</v>
      </c>
      <c r="Y619" s="19">
        <f>IF(Table14[[#This Row],[I_0]] &lt; INDEX(Table28[Filtro de ruido],1), 1, Table14[[#This Row],[I_50]] / Table14[[#This Row],[I_0]])</f>
        <v>1</v>
      </c>
      <c r="AA619" s="1"/>
    </row>
    <row r="620" spans="1:27" x14ac:dyDescent="0.3">
      <c r="A620" s="18">
        <v>683.19</v>
      </c>
      <c r="B620" s="1">
        <v>0</v>
      </c>
      <c r="C620" s="1">
        <v>683.19</v>
      </c>
      <c r="D620" s="1">
        <v>0</v>
      </c>
      <c r="E620" s="1">
        <v>683.19</v>
      </c>
      <c r="F620" s="1">
        <v>0</v>
      </c>
      <c r="G620" s="1">
        <v>683.19</v>
      </c>
      <c r="H620" s="1">
        <v>0</v>
      </c>
      <c r="I620" s="1">
        <v>683.19</v>
      </c>
      <c r="J620" s="1">
        <v>0</v>
      </c>
      <c r="K620" s="1">
        <v>683.19</v>
      </c>
      <c r="L620" s="1">
        <v>0</v>
      </c>
      <c r="M620" s="1">
        <v>683.19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683.19</v>
      </c>
      <c r="U620" s="1">
        <f>IF(Table14[[#This Row],[I_0]] &lt; INDEX(Table28[Filtro de ruido],1), 1, Table14[[#This Row],[I_10]] / Table14[[#This Row],[I_0]])</f>
        <v>1</v>
      </c>
      <c r="V620" s="1">
        <f>IF(Table14[[#This Row],[I_0]] &lt; INDEX(Table28[Filtro de ruido],1), 1, Table14[[#This Row],[I_20]] / Table14[[#This Row],[I_0]])</f>
        <v>1</v>
      </c>
      <c r="W620" s="1">
        <f>IF(Table14[[#This Row],[I_0]] &lt; INDEX(Table28[Filtro de ruido],1), 1, Table14[[#This Row],[I_30]] / Table14[[#This Row],[I_0]])</f>
        <v>1</v>
      </c>
      <c r="X620" s="1">
        <f>IF(Table14[[#This Row],[I_0]] &lt; INDEX(Table28[Filtro de ruido],1), 1, Table14[[#This Row],[I_40]] / Table14[[#This Row],[I_0]])</f>
        <v>1</v>
      </c>
      <c r="Y620" s="19">
        <f>IF(Table14[[#This Row],[I_0]] &lt; INDEX(Table28[Filtro de ruido],1), 1, Table14[[#This Row],[I_50]] / Table14[[#This Row],[I_0]])</f>
        <v>1</v>
      </c>
      <c r="AA620" s="1"/>
    </row>
    <row r="621" spans="1:27" x14ac:dyDescent="0.3">
      <c r="A621" s="18">
        <v>684.18</v>
      </c>
      <c r="B621" s="1">
        <v>0</v>
      </c>
      <c r="C621" s="1">
        <v>684.18</v>
      </c>
      <c r="D621" s="1">
        <v>0</v>
      </c>
      <c r="E621" s="1">
        <v>684.18</v>
      </c>
      <c r="F621" s="1">
        <v>0</v>
      </c>
      <c r="G621" s="1">
        <v>684.18</v>
      </c>
      <c r="H621" s="1">
        <v>0</v>
      </c>
      <c r="I621" s="1">
        <v>684.18</v>
      </c>
      <c r="J621" s="1">
        <v>0</v>
      </c>
      <c r="K621" s="1">
        <v>684.18</v>
      </c>
      <c r="L621" s="1">
        <v>0</v>
      </c>
      <c r="M621" s="1">
        <v>684.18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684.18</v>
      </c>
      <c r="U621" s="1">
        <f>IF(Table14[[#This Row],[I_0]] &lt; INDEX(Table28[Filtro de ruido],1), 1, Table14[[#This Row],[I_10]] / Table14[[#This Row],[I_0]])</f>
        <v>1</v>
      </c>
      <c r="V621" s="1">
        <f>IF(Table14[[#This Row],[I_0]] &lt; INDEX(Table28[Filtro de ruido],1), 1, Table14[[#This Row],[I_20]] / Table14[[#This Row],[I_0]])</f>
        <v>1</v>
      </c>
      <c r="W621" s="1">
        <f>IF(Table14[[#This Row],[I_0]] &lt; INDEX(Table28[Filtro de ruido],1), 1, Table14[[#This Row],[I_30]] / Table14[[#This Row],[I_0]])</f>
        <v>1</v>
      </c>
      <c r="X621" s="1">
        <f>IF(Table14[[#This Row],[I_0]] &lt; INDEX(Table28[Filtro de ruido],1), 1, Table14[[#This Row],[I_40]] / Table14[[#This Row],[I_0]])</f>
        <v>1</v>
      </c>
      <c r="Y621" s="19">
        <f>IF(Table14[[#This Row],[I_0]] &lt; INDEX(Table28[Filtro de ruido],1), 1, Table14[[#This Row],[I_50]] / Table14[[#This Row],[I_0]])</f>
        <v>1</v>
      </c>
      <c r="AA621" s="1"/>
    </row>
    <row r="622" spans="1:27" x14ac:dyDescent="0.3">
      <c r="A622" s="18">
        <v>685.17</v>
      </c>
      <c r="B622" s="1">
        <v>0</v>
      </c>
      <c r="C622" s="1">
        <v>685.17</v>
      </c>
      <c r="D622" s="1">
        <v>0</v>
      </c>
      <c r="E622" s="1">
        <v>685.17</v>
      </c>
      <c r="F622" s="1">
        <v>0</v>
      </c>
      <c r="G622" s="1">
        <v>685.17</v>
      </c>
      <c r="H622" s="1">
        <v>0</v>
      </c>
      <c r="I622" s="1">
        <v>685.17</v>
      </c>
      <c r="J622" s="1">
        <v>0</v>
      </c>
      <c r="K622" s="1">
        <v>685.17</v>
      </c>
      <c r="L622" s="1">
        <v>0</v>
      </c>
      <c r="M622" s="1">
        <v>685.17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685.17</v>
      </c>
      <c r="U622" s="1">
        <f>IF(Table14[[#This Row],[I_0]] &lt; INDEX(Table28[Filtro de ruido],1), 1, Table14[[#This Row],[I_10]] / Table14[[#This Row],[I_0]])</f>
        <v>1</v>
      </c>
      <c r="V622" s="1">
        <f>IF(Table14[[#This Row],[I_0]] &lt; INDEX(Table28[Filtro de ruido],1), 1, Table14[[#This Row],[I_20]] / Table14[[#This Row],[I_0]])</f>
        <v>1</v>
      </c>
      <c r="W622" s="1">
        <f>IF(Table14[[#This Row],[I_0]] &lt; INDEX(Table28[Filtro de ruido],1), 1, Table14[[#This Row],[I_30]] / Table14[[#This Row],[I_0]])</f>
        <v>1</v>
      </c>
      <c r="X622" s="1">
        <f>IF(Table14[[#This Row],[I_0]] &lt; INDEX(Table28[Filtro de ruido],1), 1, Table14[[#This Row],[I_40]] / Table14[[#This Row],[I_0]])</f>
        <v>1</v>
      </c>
      <c r="Y622" s="19">
        <f>IF(Table14[[#This Row],[I_0]] &lt; INDEX(Table28[Filtro de ruido],1), 1, Table14[[#This Row],[I_50]] / Table14[[#This Row],[I_0]])</f>
        <v>1</v>
      </c>
      <c r="AA622" s="1"/>
    </row>
    <row r="623" spans="1:27" x14ac:dyDescent="0.3">
      <c r="A623" s="18">
        <v>686.17</v>
      </c>
      <c r="B623" s="1">
        <v>0</v>
      </c>
      <c r="C623" s="1">
        <v>686.17</v>
      </c>
      <c r="D623" s="1">
        <v>0</v>
      </c>
      <c r="E623" s="1">
        <v>686.17</v>
      </c>
      <c r="F623" s="1">
        <v>0</v>
      </c>
      <c r="G623" s="1">
        <v>686.17</v>
      </c>
      <c r="H623" s="1">
        <v>0</v>
      </c>
      <c r="I623" s="1">
        <v>686.17</v>
      </c>
      <c r="J623" s="1">
        <v>0</v>
      </c>
      <c r="K623" s="1">
        <v>686.17</v>
      </c>
      <c r="L623" s="1">
        <v>0</v>
      </c>
      <c r="M623" s="1">
        <v>686.17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686.17</v>
      </c>
      <c r="U623" s="1">
        <f>IF(Table14[[#This Row],[I_0]] &lt; INDEX(Table28[Filtro de ruido],1), 1, Table14[[#This Row],[I_10]] / Table14[[#This Row],[I_0]])</f>
        <v>1</v>
      </c>
      <c r="V623" s="1">
        <f>IF(Table14[[#This Row],[I_0]] &lt; INDEX(Table28[Filtro de ruido],1), 1, Table14[[#This Row],[I_20]] / Table14[[#This Row],[I_0]])</f>
        <v>1</v>
      </c>
      <c r="W623" s="1">
        <f>IF(Table14[[#This Row],[I_0]] &lt; INDEX(Table28[Filtro de ruido],1), 1, Table14[[#This Row],[I_30]] / Table14[[#This Row],[I_0]])</f>
        <v>1</v>
      </c>
      <c r="X623" s="1">
        <f>IF(Table14[[#This Row],[I_0]] &lt; INDEX(Table28[Filtro de ruido],1), 1, Table14[[#This Row],[I_40]] / Table14[[#This Row],[I_0]])</f>
        <v>1</v>
      </c>
      <c r="Y623" s="19">
        <f>IF(Table14[[#This Row],[I_0]] &lt; INDEX(Table28[Filtro de ruido],1), 1, Table14[[#This Row],[I_50]] / Table14[[#This Row],[I_0]])</f>
        <v>1</v>
      </c>
      <c r="AA623" s="1"/>
    </row>
    <row r="624" spans="1:27" x14ac:dyDescent="0.3">
      <c r="A624" s="18">
        <v>687.16</v>
      </c>
      <c r="B624" s="1">
        <v>0</v>
      </c>
      <c r="C624" s="1">
        <v>687.16</v>
      </c>
      <c r="D624" s="1">
        <v>0</v>
      </c>
      <c r="E624" s="1">
        <v>687.16</v>
      </c>
      <c r="F624" s="1">
        <v>0</v>
      </c>
      <c r="G624" s="1">
        <v>687.16</v>
      </c>
      <c r="H624" s="1">
        <v>0</v>
      </c>
      <c r="I624" s="1">
        <v>687.16</v>
      </c>
      <c r="J624" s="1">
        <v>0</v>
      </c>
      <c r="K624" s="1">
        <v>687.16</v>
      </c>
      <c r="L624" s="1">
        <v>0</v>
      </c>
      <c r="M624" s="1">
        <v>687.16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687.16</v>
      </c>
      <c r="U624" s="1">
        <f>IF(Table14[[#This Row],[I_0]] &lt; INDEX(Table28[Filtro de ruido],1), 1, Table14[[#This Row],[I_10]] / Table14[[#This Row],[I_0]])</f>
        <v>1</v>
      </c>
      <c r="V624" s="1">
        <f>IF(Table14[[#This Row],[I_0]] &lt; INDEX(Table28[Filtro de ruido],1), 1, Table14[[#This Row],[I_20]] / Table14[[#This Row],[I_0]])</f>
        <v>1</v>
      </c>
      <c r="W624" s="1">
        <f>IF(Table14[[#This Row],[I_0]] &lt; INDEX(Table28[Filtro de ruido],1), 1, Table14[[#This Row],[I_30]] / Table14[[#This Row],[I_0]])</f>
        <v>1</v>
      </c>
      <c r="X624" s="1">
        <f>IF(Table14[[#This Row],[I_0]] &lt; INDEX(Table28[Filtro de ruido],1), 1, Table14[[#This Row],[I_40]] / Table14[[#This Row],[I_0]])</f>
        <v>1</v>
      </c>
      <c r="Y624" s="19">
        <f>IF(Table14[[#This Row],[I_0]] &lt; INDEX(Table28[Filtro de ruido],1), 1, Table14[[#This Row],[I_50]] / Table14[[#This Row],[I_0]])</f>
        <v>1</v>
      </c>
      <c r="AA624" s="1"/>
    </row>
    <row r="625" spans="1:27" x14ac:dyDescent="0.3">
      <c r="A625" s="18">
        <v>688.15</v>
      </c>
      <c r="B625" s="1">
        <v>0</v>
      </c>
      <c r="C625" s="1">
        <v>688.15</v>
      </c>
      <c r="D625" s="1">
        <v>0</v>
      </c>
      <c r="E625" s="1">
        <v>688.15</v>
      </c>
      <c r="F625" s="1">
        <v>0</v>
      </c>
      <c r="G625" s="1">
        <v>688.15</v>
      </c>
      <c r="H625" s="1">
        <v>0</v>
      </c>
      <c r="I625" s="1">
        <v>688.15</v>
      </c>
      <c r="J625" s="1">
        <v>0</v>
      </c>
      <c r="K625" s="1">
        <v>688.15</v>
      </c>
      <c r="L625" s="1">
        <v>0</v>
      </c>
      <c r="M625" s="1">
        <v>688.15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688.15</v>
      </c>
      <c r="U625" s="1">
        <f>IF(Table14[[#This Row],[I_0]] &lt; INDEX(Table28[Filtro de ruido],1), 1, Table14[[#This Row],[I_10]] / Table14[[#This Row],[I_0]])</f>
        <v>1</v>
      </c>
      <c r="V625" s="1">
        <f>IF(Table14[[#This Row],[I_0]] &lt; INDEX(Table28[Filtro de ruido],1), 1, Table14[[#This Row],[I_20]] / Table14[[#This Row],[I_0]])</f>
        <v>1</v>
      </c>
      <c r="W625" s="1">
        <f>IF(Table14[[#This Row],[I_0]] &lt; INDEX(Table28[Filtro de ruido],1), 1, Table14[[#This Row],[I_30]] / Table14[[#This Row],[I_0]])</f>
        <v>1</v>
      </c>
      <c r="X625" s="1">
        <f>IF(Table14[[#This Row],[I_0]] &lt; INDEX(Table28[Filtro de ruido],1), 1, Table14[[#This Row],[I_40]] / Table14[[#This Row],[I_0]])</f>
        <v>1</v>
      </c>
      <c r="Y625" s="19">
        <f>IF(Table14[[#This Row],[I_0]] &lt; INDEX(Table28[Filtro de ruido],1), 1, Table14[[#This Row],[I_50]] / Table14[[#This Row],[I_0]])</f>
        <v>1</v>
      </c>
      <c r="AA625" s="1"/>
    </row>
    <row r="626" spans="1:27" x14ac:dyDescent="0.3">
      <c r="A626" s="18">
        <v>689.14</v>
      </c>
      <c r="B626" s="1">
        <v>0</v>
      </c>
      <c r="C626" s="1">
        <v>689.14</v>
      </c>
      <c r="D626" s="1">
        <v>0</v>
      </c>
      <c r="E626" s="1">
        <v>689.14</v>
      </c>
      <c r="F626" s="1">
        <v>0</v>
      </c>
      <c r="G626" s="1">
        <v>689.14</v>
      </c>
      <c r="H626" s="1">
        <v>0</v>
      </c>
      <c r="I626" s="1">
        <v>689.14</v>
      </c>
      <c r="J626" s="1">
        <v>0</v>
      </c>
      <c r="K626" s="1">
        <v>689.14</v>
      </c>
      <c r="L626" s="1">
        <v>0</v>
      </c>
      <c r="M626" s="1">
        <v>689.14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689.14</v>
      </c>
      <c r="U626" s="1">
        <f>IF(Table14[[#This Row],[I_0]] &lt; INDEX(Table28[Filtro de ruido],1), 1, Table14[[#This Row],[I_10]] / Table14[[#This Row],[I_0]])</f>
        <v>1</v>
      </c>
      <c r="V626" s="1">
        <f>IF(Table14[[#This Row],[I_0]] &lt; INDEX(Table28[Filtro de ruido],1), 1, Table14[[#This Row],[I_20]] / Table14[[#This Row],[I_0]])</f>
        <v>1</v>
      </c>
      <c r="W626" s="1">
        <f>IF(Table14[[#This Row],[I_0]] &lt; INDEX(Table28[Filtro de ruido],1), 1, Table14[[#This Row],[I_30]] / Table14[[#This Row],[I_0]])</f>
        <v>1</v>
      </c>
      <c r="X626" s="1">
        <f>IF(Table14[[#This Row],[I_0]] &lt; INDEX(Table28[Filtro de ruido],1), 1, Table14[[#This Row],[I_40]] / Table14[[#This Row],[I_0]])</f>
        <v>1</v>
      </c>
      <c r="Y626" s="19">
        <f>IF(Table14[[#This Row],[I_0]] &lt; INDEX(Table28[Filtro de ruido],1), 1, Table14[[#This Row],[I_50]] / Table14[[#This Row],[I_0]])</f>
        <v>1</v>
      </c>
      <c r="AA626" s="1"/>
    </row>
    <row r="627" spans="1:27" x14ac:dyDescent="0.3">
      <c r="A627" s="18">
        <v>690.13</v>
      </c>
      <c r="B627" s="1">
        <v>0</v>
      </c>
      <c r="C627" s="1">
        <v>690.13</v>
      </c>
      <c r="D627" s="1">
        <v>0</v>
      </c>
      <c r="E627" s="1">
        <v>690.13</v>
      </c>
      <c r="F627" s="1">
        <v>0</v>
      </c>
      <c r="G627" s="1">
        <v>690.13</v>
      </c>
      <c r="H627" s="1">
        <v>0</v>
      </c>
      <c r="I627" s="1">
        <v>690.13</v>
      </c>
      <c r="J627" s="1">
        <v>0</v>
      </c>
      <c r="K627" s="1">
        <v>690.13</v>
      </c>
      <c r="L627" s="1">
        <v>0</v>
      </c>
      <c r="M627" s="1">
        <v>690.13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690.13</v>
      </c>
      <c r="U627" s="1">
        <f>IF(Table14[[#This Row],[I_0]] &lt; INDEX(Table28[Filtro de ruido],1), 1, Table14[[#This Row],[I_10]] / Table14[[#This Row],[I_0]])</f>
        <v>1</v>
      </c>
      <c r="V627" s="1">
        <f>IF(Table14[[#This Row],[I_0]] &lt; INDEX(Table28[Filtro de ruido],1), 1, Table14[[#This Row],[I_20]] / Table14[[#This Row],[I_0]])</f>
        <v>1</v>
      </c>
      <c r="W627" s="1">
        <f>IF(Table14[[#This Row],[I_0]] &lt; INDEX(Table28[Filtro de ruido],1), 1, Table14[[#This Row],[I_30]] / Table14[[#This Row],[I_0]])</f>
        <v>1</v>
      </c>
      <c r="X627" s="1">
        <f>IF(Table14[[#This Row],[I_0]] &lt; INDEX(Table28[Filtro de ruido],1), 1, Table14[[#This Row],[I_40]] / Table14[[#This Row],[I_0]])</f>
        <v>1</v>
      </c>
      <c r="Y627" s="19">
        <f>IF(Table14[[#This Row],[I_0]] &lt; INDEX(Table28[Filtro de ruido],1), 1, Table14[[#This Row],[I_50]] / Table14[[#This Row],[I_0]])</f>
        <v>1</v>
      </c>
      <c r="AA627" s="1"/>
    </row>
    <row r="628" spans="1:27" x14ac:dyDescent="0.3">
      <c r="A628" s="18">
        <v>691.13</v>
      </c>
      <c r="B628" s="1">
        <v>0</v>
      </c>
      <c r="C628" s="1">
        <v>691.13</v>
      </c>
      <c r="D628" s="1">
        <v>0</v>
      </c>
      <c r="E628" s="1">
        <v>691.13</v>
      </c>
      <c r="F628" s="1">
        <v>0</v>
      </c>
      <c r="G628" s="1">
        <v>691.13</v>
      </c>
      <c r="H628" s="1">
        <v>0</v>
      </c>
      <c r="I628" s="1">
        <v>691.13</v>
      </c>
      <c r="J628" s="1">
        <v>0</v>
      </c>
      <c r="K628" s="1">
        <v>691.13</v>
      </c>
      <c r="L628" s="1">
        <v>0</v>
      </c>
      <c r="M628" s="1">
        <v>691.13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691.13</v>
      </c>
      <c r="U628" s="1">
        <f>IF(Table14[[#This Row],[I_0]] &lt; INDEX(Table28[Filtro de ruido],1), 1, Table14[[#This Row],[I_10]] / Table14[[#This Row],[I_0]])</f>
        <v>1</v>
      </c>
      <c r="V628" s="1">
        <f>IF(Table14[[#This Row],[I_0]] &lt; INDEX(Table28[Filtro de ruido],1), 1, Table14[[#This Row],[I_20]] / Table14[[#This Row],[I_0]])</f>
        <v>1</v>
      </c>
      <c r="W628" s="1">
        <f>IF(Table14[[#This Row],[I_0]] &lt; INDEX(Table28[Filtro de ruido],1), 1, Table14[[#This Row],[I_30]] / Table14[[#This Row],[I_0]])</f>
        <v>1</v>
      </c>
      <c r="X628" s="1">
        <f>IF(Table14[[#This Row],[I_0]] &lt; INDEX(Table28[Filtro de ruido],1), 1, Table14[[#This Row],[I_40]] / Table14[[#This Row],[I_0]])</f>
        <v>1</v>
      </c>
      <c r="Y628" s="19">
        <f>IF(Table14[[#This Row],[I_0]] &lt; INDEX(Table28[Filtro de ruido],1), 1, Table14[[#This Row],[I_50]] / Table14[[#This Row],[I_0]])</f>
        <v>1</v>
      </c>
      <c r="AA628" s="1"/>
    </row>
    <row r="629" spans="1:27" x14ac:dyDescent="0.3">
      <c r="A629" s="18">
        <v>692.12</v>
      </c>
      <c r="B629" s="1">
        <v>0</v>
      </c>
      <c r="C629" s="1">
        <v>692.12</v>
      </c>
      <c r="D629" s="1">
        <v>0</v>
      </c>
      <c r="E629" s="1">
        <v>692.12</v>
      </c>
      <c r="F629" s="1">
        <v>0</v>
      </c>
      <c r="G629" s="1">
        <v>692.12</v>
      </c>
      <c r="H629" s="1">
        <v>0</v>
      </c>
      <c r="I629" s="1">
        <v>692.12</v>
      </c>
      <c r="J629" s="1">
        <v>0</v>
      </c>
      <c r="K629" s="1">
        <v>692.12</v>
      </c>
      <c r="L629" s="1">
        <v>0</v>
      </c>
      <c r="M629" s="1">
        <v>692.12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692.12</v>
      </c>
      <c r="U629" s="1">
        <f>IF(Table14[[#This Row],[I_0]] &lt; INDEX(Table28[Filtro de ruido],1), 1, Table14[[#This Row],[I_10]] / Table14[[#This Row],[I_0]])</f>
        <v>1</v>
      </c>
      <c r="V629" s="1">
        <f>IF(Table14[[#This Row],[I_0]] &lt; INDEX(Table28[Filtro de ruido],1), 1, Table14[[#This Row],[I_20]] / Table14[[#This Row],[I_0]])</f>
        <v>1</v>
      </c>
      <c r="W629" s="1">
        <f>IF(Table14[[#This Row],[I_0]] &lt; INDEX(Table28[Filtro de ruido],1), 1, Table14[[#This Row],[I_30]] / Table14[[#This Row],[I_0]])</f>
        <v>1</v>
      </c>
      <c r="X629" s="1">
        <f>IF(Table14[[#This Row],[I_0]] &lt; INDEX(Table28[Filtro de ruido],1), 1, Table14[[#This Row],[I_40]] / Table14[[#This Row],[I_0]])</f>
        <v>1</v>
      </c>
      <c r="Y629" s="19">
        <f>IF(Table14[[#This Row],[I_0]] &lt; INDEX(Table28[Filtro de ruido],1), 1, Table14[[#This Row],[I_50]] / Table14[[#This Row],[I_0]])</f>
        <v>1</v>
      </c>
      <c r="AA629" s="1"/>
    </row>
    <row r="630" spans="1:27" x14ac:dyDescent="0.3">
      <c r="A630" s="18">
        <v>693.11</v>
      </c>
      <c r="B630" s="1">
        <v>0</v>
      </c>
      <c r="C630" s="1">
        <v>693.11</v>
      </c>
      <c r="D630" s="1">
        <v>0</v>
      </c>
      <c r="E630" s="1">
        <v>693.11</v>
      </c>
      <c r="F630" s="1">
        <v>0</v>
      </c>
      <c r="G630" s="1">
        <v>693.11</v>
      </c>
      <c r="H630" s="1">
        <v>0</v>
      </c>
      <c r="I630" s="1">
        <v>693.11</v>
      </c>
      <c r="J630" s="1">
        <v>0</v>
      </c>
      <c r="K630" s="1">
        <v>693.11</v>
      </c>
      <c r="L630" s="1">
        <v>0</v>
      </c>
      <c r="M630" s="1">
        <v>693.11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693.11</v>
      </c>
      <c r="U630" s="1">
        <f>IF(Table14[[#This Row],[I_0]] &lt; INDEX(Table28[Filtro de ruido],1), 1, Table14[[#This Row],[I_10]] / Table14[[#This Row],[I_0]])</f>
        <v>1</v>
      </c>
      <c r="V630" s="1">
        <f>IF(Table14[[#This Row],[I_0]] &lt; INDEX(Table28[Filtro de ruido],1), 1, Table14[[#This Row],[I_20]] / Table14[[#This Row],[I_0]])</f>
        <v>1</v>
      </c>
      <c r="W630" s="1">
        <f>IF(Table14[[#This Row],[I_0]] &lt; INDEX(Table28[Filtro de ruido],1), 1, Table14[[#This Row],[I_30]] / Table14[[#This Row],[I_0]])</f>
        <v>1</v>
      </c>
      <c r="X630" s="1">
        <f>IF(Table14[[#This Row],[I_0]] &lt; INDEX(Table28[Filtro de ruido],1), 1, Table14[[#This Row],[I_40]] / Table14[[#This Row],[I_0]])</f>
        <v>1</v>
      </c>
      <c r="Y630" s="19">
        <f>IF(Table14[[#This Row],[I_0]] &lt; INDEX(Table28[Filtro de ruido],1), 1, Table14[[#This Row],[I_50]] / Table14[[#This Row],[I_0]])</f>
        <v>1</v>
      </c>
      <c r="AA630" s="1"/>
    </row>
    <row r="631" spans="1:27" x14ac:dyDescent="0.3">
      <c r="A631" s="18">
        <v>694.1</v>
      </c>
      <c r="B631" s="1">
        <v>0</v>
      </c>
      <c r="C631" s="1">
        <v>694.1</v>
      </c>
      <c r="D631" s="1">
        <v>0</v>
      </c>
      <c r="E631" s="1">
        <v>694.1</v>
      </c>
      <c r="F631" s="1">
        <v>0</v>
      </c>
      <c r="G631" s="1">
        <v>694.1</v>
      </c>
      <c r="H631" s="1">
        <v>0</v>
      </c>
      <c r="I631" s="1">
        <v>694.1</v>
      </c>
      <c r="J631" s="1">
        <v>0</v>
      </c>
      <c r="K631" s="1">
        <v>694.1</v>
      </c>
      <c r="L631" s="1">
        <v>0</v>
      </c>
      <c r="M631" s="1">
        <v>694.1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694.1</v>
      </c>
      <c r="U631" s="1">
        <f>IF(Table14[[#This Row],[I_0]] &lt; INDEX(Table28[Filtro de ruido],1), 1, Table14[[#This Row],[I_10]] / Table14[[#This Row],[I_0]])</f>
        <v>1</v>
      </c>
      <c r="V631" s="1">
        <f>IF(Table14[[#This Row],[I_0]] &lt; INDEX(Table28[Filtro de ruido],1), 1, Table14[[#This Row],[I_20]] / Table14[[#This Row],[I_0]])</f>
        <v>1</v>
      </c>
      <c r="W631" s="1">
        <f>IF(Table14[[#This Row],[I_0]] &lt; INDEX(Table28[Filtro de ruido],1), 1, Table14[[#This Row],[I_30]] / Table14[[#This Row],[I_0]])</f>
        <v>1</v>
      </c>
      <c r="X631" s="1">
        <f>IF(Table14[[#This Row],[I_0]] &lt; INDEX(Table28[Filtro de ruido],1), 1, Table14[[#This Row],[I_40]] / Table14[[#This Row],[I_0]])</f>
        <v>1</v>
      </c>
      <c r="Y631" s="19">
        <f>IF(Table14[[#This Row],[I_0]] &lt; INDEX(Table28[Filtro de ruido],1), 1, Table14[[#This Row],[I_50]] / Table14[[#This Row],[I_0]])</f>
        <v>1</v>
      </c>
      <c r="AA631" s="1"/>
    </row>
    <row r="632" spans="1:27" x14ac:dyDescent="0.3">
      <c r="A632" s="18">
        <v>695.09</v>
      </c>
      <c r="B632" s="1">
        <v>0</v>
      </c>
      <c r="C632" s="1">
        <v>695.09</v>
      </c>
      <c r="D632" s="1">
        <v>0</v>
      </c>
      <c r="E632" s="1">
        <v>695.09</v>
      </c>
      <c r="F632" s="1">
        <v>0</v>
      </c>
      <c r="G632" s="1">
        <v>695.09</v>
      </c>
      <c r="H632" s="1">
        <v>0</v>
      </c>
      <c r="I632" s="1">
        <v>695.09</v>
      </c>
      <c r="J632" s="1">
        <v>0</v>
      </c>
      <c r="K632" s="1">
        <v>695.09</v>
      </c>
      <c r="L632" s="1">
        <v>0</v>
      </c>
      <c r="M632" s="1">
        <v>695.09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695.09</v>
      </c>
      <c r="U632" s="1">
        <f>IF(Table14[[#This Row],[I_0]] &lt; INDEX(Table28[Filtro de ruido],1), 1, Table14[[#This Row],[I_10]] / Table14[[#This Row],[I_0]])</f>
        <v>1</v>
      </c>
      <c r="V632" s="1">
        <f>IF(Table14[[#This Row],[I_0]] &lt; INDEX(Table28[Filtro de ruido],1), 1, Table14[[#This Row],[I_20]] / Table14[[#This Row],[I_0]])</f>
        <v>1</v>
      </c>
      <c r="W632" s="1">
        <f>IF(Table14[[#This Row],[I_0]] &lt; INDEX(Table28[Filtro de ruido],1), 1, Table14[[#This Row],[I_30]] / Table14[[#This Row],[I_0]])</f>
        <v>1</v>
      </c>
      <c r="X632" s="1">
        <f>IF(Table14[[#This Row],[I_0]] &lt; INDEX(Table28[Filtro de ruido],1), 1, Table14[[#This Row],[I_40]] / Table14[[#This Row],[I_0]])</f>
        <v>1</v>
      </c>
      <c r="Y632" s="19">
        <f>IF(Table14[[#This Row],[I_0]] &lt; INDEX(Table28[Filtro de ruido],1), 1, Table14[[#This Row],[I_50]] / Table14[[#This Row],[I_0]])</f>
        <v>1</v>
      </c>
      <c r="AA632" s="1"/>
    </row>
    <row r="633" spans="1:27" x14ac:dyDescent="0.3">
      <c r="A633" s="18">
        <v>696.08</v>
      </c>
      <c r="B633" s="1">
        <v>0</v>
      </c>
      <c r="C633" s="1">
        <v>696.08</v>
      </c>
      <c r="D633" s="1">
        <v>0</v>
      </c>
      <c r="E633" s="1">
        <v>696.08</v>
      </c>
      <c r="F633" s="1">
        <v>0</v>
      </c>
      <c r="G633" s="1">
        <v>696.08</v>
      </c>
      <c r="H633" s="1">
        <v>0</v>
      </c>
      <c r="I633" s="1">
        <v>696.08</v>
      </c>
      <c r="J633" s="1">
        <v>0</v>
      </c>
      <c r="K633" s="1">
        <v>696.08</v>
      </c>
      <c r="L633" s="1">
        <v>0</v>
      </c>
      <c r="M633" s="1">
        <v>696.08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696.08</v>
      </c>
      <c r="U633" s="1">
        <f>IF(Table14[[#This Row],[I_0]] &lt; INDEX(Table28[Filtro de ruido],1), 1, Table14[[#This Row],[I_10]] / Table14[[#This Row],[I_0]])</f>
        <v>1</v>
      </c>
      <c r="V633" s="1">
        <f>IF(Table14[[#This Row],[I_0]] &lt; INDEX(Table28[Filtro de ruido],1), 1, Table14[[#This Row],[I_20]] / Table14[[#This Row],[I_0]])</f>
        <v>1</v>
      </c>
      <c r="W633" s="1">
        <f>IF(Table14[[#This Row],[I_0]] &lt; INDEX(Table28[Filtro de ruido],1), 1, Table14[[#This Row],[I_30]] / Table14[[#This Row],[I_0]])</f>
        <v>1</v>
      </c>
      <c r="X633" s="1">
        <f>IF(Table14[[#This Row],[I_0]] &lt; INDEX(Table28[Filtro de ruido],1), 1, Table14[[#This Row],[I_40]] / Table14[[#This Row],[I_0]])</f>
        <v>1</v>
      </c>
      <c r="Y633" s="19">
        <f>IF(Table14[[#This Row],[I_0]] &lt; INDEX(Table28[Filtro de ruido],1), 1, Table14[[#This Row],[I_50]] / Table14[[#This Row],[I_0]])</f>
        <v>1</v>
      </c>
      <c r="AA633" s="1"/>
    </row>
    <row r="634" spans="1:27" x14ac:dyDescent="0.3">
      <c r="A634" s="18">
        <v>697.08</v>
      </c>
      <c r="B634" s="1">
        <v>0</v>
      </c>
      <c r="C634" s="1">
        <v>697.08</v>
      </c>
      <c r="D634" s="1">
        <v>0</v>
      </c>
      <c r="E634" s="1">
        <v>697.08</v>
      </c>
      <c r="F634" s="1">
        <v>0</v>
      </c>
      <c r="G634" s="1">
        <v>697.08</v>
      </c>
      <c r="H634" s="1">
        <v>0</v>
      </c>
      <c r="I634" s="1">
        <v>697.08</v>
      </c>
      <c r="J634" s="1">
        <v>0</v>
      </c>
      <c r="K634" s="1">
        <v>697.08</v>
      </c>
      <c r="L634" s="1">
        <v>0</v>
      </c>
      <c r="M634" s="1">
        <v>697.08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697.08</v>
      </c>
      <c r="U634" s="1">
        <f>IF(Table14[[#This Row],[I_0]] &lt; INDEX(Table28[Filtro de ruido],1), 1, Table14[[#This Row],[I_10]] / Table14[[#This Row],[I_0]])</f>
        <v>1</v>
      </c>
      <c r="V634" s="1">
        <f>IF(Table14[[#This Row],[I_0]] &lt; INDEX(Table28[Filtro de ruido],1), 1, Table14[[#This Row],[I_20]] / Table14[[#This Row],[I_0]])</f>
        <v>1</v>
      </c>
      <c r="W634" s="1">
        <f>IF(Table14[[#This Row],[I_0]] &lt; INDEX(Table28[Filtro de ruido],1), 1, Table14[[#This Row],[I_30]] / Table14[[#This Row],[I_0]])</f>
        <v>1</v>
      </c>
      <c r="X634" s="1">
        <f>IF(Table14[[#This Row],[I_0]] &lt; INDEX(Table28[Filtro de ruido],1), 1, Table14[[#This Row],[I_40]] / Table14[[#This Row],[I_0]])</f>
        <v>1</v>
      </c>
      <c r="Y634" s="19">
        <f>IF(Table14[[#This Row],[I_0]] &lt; INDEX(Table28[Filtro de ruido],1), 1, Table14[[#This Row],[I_50]] / Table14[[#This Row],[I_0]])</f>
        <v>1</v>
      </c>
      <c r="AA634" s="1"/>
    </row>
    <row r="635" spans="1:27" x14ac:dyDescent="0.3">
      <c r="A635" s="18">
        <v>698.07</v>
      </c>
      <c r="B635" s="1">
        <v>0</v>
      </c>
      <c r="C635" s="1">
        <v>698.07</v>
      </c>
      <c r="D635" s="1">
        <v>0</v>
      </c>
      <c r="E635" s="1">
        <v>698.07</v>
      </c>
      <c r="F635" s="1">
        <v>0</v>
      </c>
      <c r="G635" s="1">
        <v>698.07</v>
      </c>
      <c r="H635" s="1">
        <v>0</v>
      </c>
      <c r="I635" s="1">
        <v>698.07</v>
      </c>
      <c r="J635" s="1">
        <v>0</v>
      </c>
      <c r="K635" s="1">
        <v>698.07</v>
      </c>
      <c r="L635" s="1">
        <v>0</v>
      </c>
      <c r="M635" s="1">
        <v>698.07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698.07</v>
      </c>
      <c r="U635" s="1">
        <f>IF(Table14[[#This Row],[I_0]] &lt; INDEX(Table28[Filtro de ruido],1), 1, Table14[[#This Row],[I_10]] / Table14[[#This Row],[I_0]])</f>
        <v>1</v>
      </c>
      <c r="V635" s="1">
        <f>IF(Table14[[#This Row],[I_0]] &lt; INDEX(Table28[Filtro de ruido],1), 1, Table14[[#This Row],[I_20]] / Table14[[#This Row],[I_0]])</f>
        <v>1</v>
      </c>
      <c r="W635" s="1">
        <f>IF(Table14[[#This Row],[I_0]] &lt; INDEX(Table28[Filtro de ruido],1), 1, Table14[[#This Row],[I_30]] / Table14[[#This Row],[I_0]])</f>
        <v>1</v>
      </c>
      <c r="X635" s="1">
        <f>IF(Table14[[#This Row],[I_0]] &lt; INDEX(Table28[Filtro de ruido],1), 1, Table14[[#This Row],[I_40]] / Table14[[#This Row],[I_0]])</f>
        <v>1</v>
      </c>
      <c r="Y635" s="19">
        <f>IF(Table14[[#This Row],[I_0]] &lt; INDEX(Table28[Filtro de ruido],1), 1, Table14[[#This Row],[I_50]] / Table14[[#This Row],[I_0]])</f>
        <v>1</v>
      </c>
      <c r="AA635" s="1"/>
    </row>
    <row r="636" spans="1:27" x14ac:dyDescent="0.3">
      <c r="A636" s="18">
        <v>699.06</v>
      </c>
      <c r="B636" s="1">
        <v>0</v>
      </c>
      <c r="C636" s="1">
        <v>699.06</v>
      </c>
      <c r="D636" s="1">
        <v>0</v>
      </c>
      <c r="E636" s="1">
        <v>699.06</v>
      </c>
      <c r="F636" s="1">
        <v>0</v>
      </c>
      <c r="G636" s="1">
        <v>699.06</v>
      </c>
      <c r="H636" s="1">
        <v>0</v>
      </c>
      <c r="I636" s="1">
        <v>699.06</v>
      </c>
      <c r="J636" s="1">
        <v>0</v>
      </c>
      <c r="K636" s="1">
        <v>699.06</v>
      </c>
      <c r="L636" s="1">
        <v>0</v>
      </c>
      <c r="M636" s="1">
        <v>699.06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699.06</v>
      </c>
      <c r="U636" s="1">
        <f>IF(Table14[[#This Row],[I_0]] &lt; INDEX(Table28[Filtro de ruido],1), 1, Table14[[#This Row],[I_10]] / Table14[[#This Row],[I_0]])</f>
        <v>1</v>
      </c>
      <c r="V636" s="1">
        <f>IF(Table14[[#This Row],[I_0]] &lt; INDEX(Table28[Filtro de ruido],1), 1, Table14[[#This Row],[I_20]] / Table14[[#This Row],[I_0]])</f>
        <v>1</v>
      </c>
      <c r="W636" s="1">
        <f>IF(Table14[[#This Row],[I_0]] &lt; INDEX(Table28[Filtro de ruido],1), 1, Table14[[#This Row],[I_30]] / Table14[[#This Row],[I_0]])</f>
        <v>1</v>
      </c>
      <c r="X636" s="1">
        <f>IF(Table14[[#This Row],[I_0]] &lt; INDEX(Table28[Filtro de ruido],1), 1, Table14[[#This Row],[I_40]] / Table14[[#This Row],[I_0]])</f>
        <v>1</v>
      </c>
      <c r="Y636" s="19">
        <f>IF(Table14[[#This Row],[I_0]] &lt; INDEX(Table28[Filtro de ruido],1), 1, Table14[[#This Row],[I_50]] / Table14[[#This Row],[I_0]])</f>
        <v>1</v>
      </c>
      <c r="AA636" s="1"/>
    </row>
    <row r="637" spans="1:27" x14ac:dyDescent="0.3">
      <c r="A637" s="18">
        <v>700.05</v>
      </c>
      <c r="B637" s="1">
        <v>0</v>
      </c>
      <c r="C637" s="1">
        <v>700.05</v>
      </c>
      <c r="D637" s="1">
        <v>0</v>
      </c>
      <c r="E637" s="1">
        <v>700.05</v>
      </c>
      <c r="F637" s="1">
        <v>0</v>
      </c>
      <c r="G637" s="1">
        <v>700.05</v>
      </c>
      <c r="H637" s="1">
        <v>0</v>
      </c>
      <c r="I637" s="1">
        <v>700.05</v>
      </c>
      <c r="J637" s="1">
        <v>0</v>
      </c>
      <c r="K637" s="1">
        <v>700.05</v>
      </c>
      <c r="L637" s="1">
        <v>0</v>
      </c>
      <c r="M637" s="1">
        <v>700.05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700.05</v>
      </c>
      <c r="U637" s="1">
        <f>IF(Table14[[#This Row],[I_0]] &lt; INDEX(Table28[Filtro de ruido],1), 1, Table14[[#This Row],[I_10]] / Table14[[#This Row],[I_0]])</f>
        <v>1</v>
      </c>
      <c r="V637" s="1">
        <f>IF(Table14[[#This Row],[I_0]] &lt; INDEX(Table28[Filtro de ruido],1), 1, Table14[[#This Row],[I_20]] / Table14[[#This Row],[I_0]])</f>
        <v>1</v>
      </c>
      <c r="W637" s="1">
        <f>IF(Table14[[#This Row],[I_0]] &lt; INDEX(Table28[Filtro de ruido],1), 1, Table14[[#This Row],[I_30]] / Table14[[#This Row],[I_0]])</f>
        <v>1</v>
      </c>
      <c r="X637" s="1">
        <f>IF(Table14[[#This Row],[I_0]] &lt; INDEX(Table28[Filtro de ruido],1), 1, Table14[[#This Row],[I_40]] / Table14[[#This Row],[I_0]])</f>
        <v>1</v>
      </c>
      <c r="Y637" s="19">
        <f>IF(Table14[[#This Row],[I_0]] &lt; INDEX(Table28[Filtro de ruido],1), 1, Table14[[#This Row],[I_50]] / Table14[[#This Row],[I_0]])</f>
        <v>1</v>
      </c>
      <c r="AA637" s="1"/>
    </row>
    <row r="638" spans="1:27" x14ac:dyDescent="0.3">
      <c r="A638" s="18">
        <v>701.04</v>
      </c>
      <c r="B638" s="1">
        <v>0</v>
      </c>
      <c r="C638" s="1">
        <v>701.04</v>
      </c>
      <c r="D638" s="1">
        <v>0</v>
      </c>
      <c r="E638" s="1">
        <v>701.04</v>
      </c>
      <c r="F638" s="1">
        <v>0</v>
      </c>
      <c r="G638" s="1">
        <v>701.04</v>
      </c>
      <c r="H638" s="1">
        <v>0</v>
      </c>
      <c r="I638" s="1">
        <v>701.04</v>
      </c>
      <c r="J638" s="1">
        <v>0</v>
      </c>
      <c r="K638" s="1">
        <v>701.04</v>
      </c>
      <c r="L638" s="1">
        <v>0</v>
      </c>
      <c r="M638" s="1">
        <v>701.04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701.04</v>
      </c>
      <c r="U638" s="1">
        <f>IF(Table14[[#This Row],[I_0]] &lt; INDEX(Table28[Filtro de ruido],1), 1, Table14[[#This Row],[I_10]] / Table14[[#This Row],[I_0]])</f>
        <v>1</v>
      </c>
      <c r="V638" s="1">
        <f>IF(Table14[[#This Row],[I_0]] &lt; INDEX(Table28[Filtro de ruido],1), 1, Table14[[#This Row],[I_20]] / Table14[[#This Row],[I_0]])</f>
        <v>1</v>
      </c>
      <c r="W638" s="1">
        <f>IF(Table14[[#This Row],[I_0]] &lt; INDEX(Table28[Filtro de ruido],1), 1, Table14[[#This Row],[I_30]] / Table14[[#This Row],[I_0]])</f>
        <v>1</v>
      </c>
      <c r="X638" s="1">
        <f>IF(Table14[[#This Row],[I_0]] &lt; INDEX(Table28[Filtro de ruido],1), 1, Table14[[#This Row],[I_40]] / Table14[[#This Row],[I_0]])</f>
        <v>1</v>
      </c>
      <c r="Y638" s="19">
        <f>IF(Table14[[#This Row],[I_0]] &lt; INDEX(Table28[Filtro de ruido],1), 1, Table14[[#This Row],[I_50]] / Table14[[#This Row],[I_0]])</f>
        <v>1</v>
      </c>
      <c r="AA638" s="1"/>
    </row>
    <row r="639" spans="1:27" x14ac:dyDescent="0.3">
      <c r="A639" s="18">
        <v>702.03</v>
      </c>
      <c r="B639" s="1">
        <v>0</v>
      </c>
      <c r="C639" s="1">
        <v>702.03</v>
      </c>
      <c r="D639" s="1">
        <v>0</v>
      </c>
      <c r="E639" s="1">
        <v>702.03</v>
      </c>
      <c r="F639" s="1">
        <v>0</v>
      </c>
      <c r="G639" s="1">
        <v>702.03</v>
      </c>
      <c r="H639" s="1">
        <v>0</v>
      </c>
      <c r="I639" s="1">
        <v>702.03</v>
      </c>
      <c r="J639" s="1">
        <v>0</v>
      </c>
      <c r="K639" s="1">
        <v>702.03</v>
      </c>
      <c r="L639" s="1">
        <v>0</v>
      </c>
      <c r="M639" s="1">
        <v>702.03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702.03</v>
      </c>
      <c r="U639" s="1">
        <f>IF(Table14[[#This Row],[I_0]] &lt; INDEX(Table28[Filtro de ruido],1), 1, Table14[[#This Row],[I_10]] / Table14[[#This Row],[I_0]])</f>
        <v>1</v>
      </c>
      <c r="V639" s="1">
        <f>IF(Table14[[#This Row],[I_0]] &lt; INDEX(Table28[Filtro de ruido],1), 1, Table14[[#This Row],[I_20]] / Table14[[#This Row],[I_0]])</f>
        <v>1</v>
      </c>
      <c r="W639" s="1">
        <f>IF(Table14[[#This Row],[I_0]] &lt; INDEX(Table28[Filtro de ruido],1), 1, Table14[[#This Row],[I_30]] / Table14[[#This Row],[I_0]])</f>
        <v>1</v>
      </c>
      <c r="X639" s="1">
        <f>IF(Table14[[#This Row],[I_0]] &lt; INDEX(Table28[Filtro de ruido],1), 1, Table14[[#This Row],[I_40]] / Table14[[#This Row],[I_0]])</f>
        <v>1</v>
      </c>
      <c r="Y639" s="19">
        <f>IF(Table14[[#This Row],[I_0]] &lt; INDEX(Table28[Filtro de ruido],1), 1, Table14[[#This Row],[I_50]] / Table14[[#This Row],[I_0]])</f>
        <v>1</v>
      </c>
      <c r="AA639" s="1"/>
    </row>
    <row r="640" spans="1:27" x14ac:dyDescent="0.3">
      <c r="A640" s="18">
        <v>703.03</v>
      </c>
      <c r="B640" s="1">
        <v>0</v>
      </c>
      <c r="C640" s="1">
        <v>703.03</v>
      </c>
      <c r="D640" s="1">
        <v>0</v>
      </c>
      <c r="E640" s="1">
        <v>703.03</v>
      </c>
      <c r="F640" s="1">
        <v>0</v>
      </c>
      <c r="G640" s="1">
        <v>703.03</v>
      </c>
      <c r="H640" s="1">
        <v>0</v>
      </c>
      <c r="I640" s="1">
        <v>703.03</v>
      </c>
      <c r="J640" s="1">
        <v>0</v>
      </c>
      <c r="K640" s="1">
        <v>703.03</v>
      </c>
      <c r="L640" s="1">
        <v>0</v>
      </c>
      <c r="M640" s="1">
        <v>703.03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703.03</v>
      </c>
      <c r="U640" s="1">
        <f>IF(Table14[[#This Row],[I_0]] &lt; INDEX(Table28[Filtro de ruido],1), 1, Table14[[#This Row],[I_10]] / Table14[[#This Row],[I_0]])</f>
        <v>1</v>
      </c>
      <c r="V640" s="1">
        <f>IF(Table14[[#This Row],[I_0]] &lt; INDEX(Table28[Filtro de ruido],1), 1, Table14[[#This Row],[I_20]] / Table14[[#This Row],[I_0]])</f>
        <v>1</v>
      </c>
      <c r="W640" s="1">
        <f>IF(Table14[[#This Row],[I_0]] &lt; INDEX(Table28[Filtro de ruido],1), 1, Table14[[#This Row],[I_30]] / Table14[[#This Row],[I_0]])</f>
        <v>1</v>
      </c>
      <c r="X640" s="1">
        <f>IF(Table14[[#This Row],[I_0]] &lt; INDEX(Table28[Filtro de ruido],1), 1, Table14[[#This Row],[I_40]] / Table14[[#This Row],[I_0]])</f>
        <v>1</v>
      </c>
      <c r="Y640" s="19">
        <f>IF(Table14[[#This Row],[I_0]] &lt; INDEX(Table28[Filtro de ruido],1), 1, Table14[[#This Row],[I_50]] / Table14[[#This Row],[I_0]])</f>
        <v>1</v>
      </c>
      <c r="AA640" s="1"/>
    </row>
    <row r="641" spans="1:27" x14ac:dyDescent="0.3">
      <c r="A641" s="18">
        <v>704.02</v>
      </c>
      <c r="B641" s="1">
        <v>0</v>
      </c>
      <c r="C641" s="1">
        <v>704.02</v>
      </c>
      <c r="D641" s="1">
        <v>0</v>
      </c>
      <c r="E641" s="1">
        <v>704.02</v>
      </c>
      <c r="F641" s="1">
        <v>0</v>
      </c>
      <c r="G641" s="1">
        <v>704.02</v>
      </c>
      <c r="H641" s="1">
        <v>0</v>
      </c>
      <c r="I641" s="1">
        <v>704.02</v>
      </c>
      <c r="J641" s="1">
        <v>0</v>
      </c>
      <c r="K641" s="1">
        <v>704.02</v>
      </c>
      <c r="L641" s="1">
        <v>0</v>
      </c>
      <c r="M641" s="1">
        <v>704.02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704.02</v>
      </c>
      <c r="U641" s="1">
        <f>IF(Table14[[#This Row],[I_0]] &lt; INDEX(Table28[Filtro de ruido],1), 1, Table14[[#This Row],[I_10]] / Table14[[#This Row],[I_0]])</f>
        <v>1</v>
      </c>
      <c r="V641" s="1">
        <f>IF(Table14[[#This Row],[I_0]] &lt; INDEX(Table28[Filtro de ruido],1), 1, Table14[[#This Row],[I_20]] / Table14[[#This Row],[I_0]])</f>
        <v>1</v>
      </c>
      <c r="W641" s="1">
        <f>IF(Table14[[#This Row],[I_0]] &lt; INDEX(Table28[Filtro de ruido],1), 1, Table14[[#This Row],[I_30]] / Table14[[#This Row],[I_0]])</f>
        <v>1</v>
      </c>
      <c r="X641" s="1">
        <f>IF(Table14[[#This Row],[I_0]] &lt; INDEX(Table28[Filtro de ruido],1), 1, Table14[[#This Row],[I_40]] / Table14[[#This Row],[I_0]])</f>
        <v>1</v>
      </c>
      <c r="Y641" s="19">
        <f>IF(Table14[[#This Row],[I_0]] &lt; INDEX(Table28[Filtro de ruido],1), 1, Table14[[#This Row],[I_50]] / Table14[[#This Row],[I_0]])</f>
        <v>1</v>
      </c>
      <c r="AA641" s="1"/>
    </row>
    <row r="642" spans="1:27" x14ac:dyDescent="0.3">
      <c r="A642" s="18">
        <v>705.01</v>
      </c>
      <c r="B642" s="1">
        <v>0</v>
      </c>
      <c r="C642" s="1">
        <v>705.01</v>
      </c>
      <c r="D642" s="1">
        <v>0</v>
      </c>
      <c r="E642" s="1">
        <v>705.01</v>
      </c>
      <c r="F642" s="1">
        <v>0</v>
      </c>
      <c r="G642" s="1">
        <v>705.01</v>
      </c>
      <c r="H642" s="1">
        <v>0</v>
      </c>
      <c r="I642" s="1">
        <v>705.01</v>
      </c>
      <c r="J642" s="1">
        <v>0</v>
      </c>
      <c r="K642" s="1">
        <v>705.01</v>
      </c>
      <c r="L642" s="1">
        <v>0</v>
      </c>
      <c r="M642" s="1">
        <v>705.01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705.01</v>
      </c>
      <c r="U642" s="1">
        <f>IF(Table14[[#This Row],[I_0]] &lt; INDEX(Table28[Filtro de ruido],1), 1, Table14[[#This Row],[I_10]] / Table14[[#This Row],[I_0]])</f>
        <v>1</v>
      </c>
      <c r="V642" s="1">
        <f>IF(Table14[[#This Row],[I_0]] &lt; INDEX(Table28[Filtro de ruido],1), 1, Table14[[#This Row],[I_20]] / Table14[[#This Row],[I_0]])</f>
        <v>1</v>
      </c>
      <c r="W642" s="1">
        <f>IF(Table14[[#This Row],[I_0]] &lt; INDEX(Table28[Filtro de ruido],1), 1, Table14[[#This Row],[I_30]] / Table14[[#This Row],[I_0]])</f>
        <v>1</v>
      </c>
      <c r="X642" s="1">
        <f>IF(Table14[[#This Row],[I_0]] &lt; INDEX(Table28[Filtro de ruido],1), 1, Table14[[#This Row],[I_40]] / Table14[[#This Row],[I_0]])</f>
        <v>1</v>
      </c>
      <c r="Y642" s="19">
        <f>IF(Table14[[#This Row],[I_0]] &lt; INDEX(Table28[Filtro de ruido],1), 1, Table14[[#This Row],[I_50]] / Table14[[#This Row],[I_0]])</f>
        <v>1</v>
      </c>
      <c r="AA642" s="1"/>
    </row>
    <row r="643" spans="1:27" x14ac:dyDescent="0.3">
      <c r="A643" s="18">
        <v>706</v>
      </c>
      <c r="B643" s="1">
        <v>0</v>
      </c>
      <c r="C643" s="1">
        <v>706</v>
      </c>
      <c r="D643" s="1">
        <v>0</v>
      </c>
      <c r="E643" s="1">
        <v>706</v>
      </c>
      <c r="F643" s="1">
        <v>0</v>
      </c>
      <c r="G643" s="1">
        <v>706</v>
      </c>
      <c r="H643" s="1">
        <v>0</v>
      </c>
      <c r="I643" s="1">
        <v>706</v>
      </c>
      <c r="J643" s="1">
        <v>0</v>
      </c>
      <c r="K643" s="1">
        <v>706</v>
      </c>
      <c r="L643" s="1">
        <v>0</v>
      </c>
      <c r="M643" s="1">
        <v>706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706</v>
      </c>
      <c r="U643" s="1">
        <f>IF(Table14[[#This Row],[I_0]] &lt; INDEX(Table28[Filtro de ruido],1), 1, Table14[[#This Row],[I_10]] / Table14[[#This Row],[I_0]])</f>
        <v>1</v>
      </c>
      <c r="V643" s="1">
        <f>IF(Table14[[#This Row],[I_0]] &lt; INDEX(Table28[Filtro de ruido],1), 1, Table14[[#This Row],[I_20]] / Table14[[#This Row],[I_0]])</f>
        <v>1</v>
      </c>
      <c r="W643" s="1">
        <f>IF(Table14[[#This Row],[I_0]] &lt; INDEX(Table28[Filtro de ruido],1), 1, Table14[[#This Row],[I_30]] / Table14[[#This Row],[I_0]])</f>
        <v>1</v>
      </c>
      <c r="X643" s="1">
        <f>IF(Table14[[#This Row],[I_0]] &lt; INDEX(Table28[Filtro de ruido],1), 1, Table14[[#This Row],[I_40]] / Table14[[#This Row],[I_0]])</f>
        <v>1</v>
      </c>
      <c r="Y643" s="19">
        <f>IF(Table14[[#This Row],[I_0]] &lt; INDEX(Table28[Filtro de ruido],1), 1, Table14[[#This Row],[I_50]] / Table14[[#This Row],[I_0]])</f>
        <v>1</v>
      </c>
      <c r="AA643" s="1"/>
    </row>
    <row r="644" spans="1:27" x14ac:dyDescent="0.3">
      <c r="A644" s="18">
        <v>706.99</v>
      </c>
      <c r="B644" s="1">
        <v>0</v>
      </c>
      <c r="C644" s="1">
        <v>706.99</v>
      </c>
      <c r="D644" s="1">
        <v>0</v>
      </c>
      <c r="E644" s="1">
        <v>706.99</v>
      </c>
      <c r="F644" s="1">
        <v>0</v>
      </c>
      <c r="G644" s="1">
        <v>706.99</v>
      </c>
      <c r="H644" s="1">
        <v>0</v>
      </c>
      <c r="I644" s="1">
        <v>706.99</v>
      </c>
      <c r="J644" s="1">
        <v>0</v>
      </c>
      <c r="K644" s="1">
        <v>706.99</v>
      </c>
      <c r="L644" s="1">
        <v>0</v>
      </c>
      <c r="M644" s="1">
        <v>706.99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706.99</v>
      </c>
      <c r="U644" s="1">
        <f>IF(Table14[[#This Row],[I_0]] &lt; INDEX(Table28[Filtro de ruido],1), 1, Table14[[#This Row],[I_10]] / Table14[[#This Row],[I_0]])</f>
        <v>1</v>
      </c>
      <c r="V644" s="1">
        <f>IF(Table14[[#This Row],[I_0]] &lt; INDEX(Table28[Filtro de ruido],1), 1, Table14[[#This Row],[I_20]] / Table14[[#This Row],[I_0]])</f>
        <v>1</v>
      </c>
      <c r="W644" s="1">
        <f>IF(Table14[[#This Row],[I_0]] &lt; INDEX(Table28[Filtro de ruido],1), 1, Table14[[#This Row],[I_30]] / Table14[[#This Row],[I_0]])</f>
        <v>1</v>
      </c>
      <c r="X644" s="1">
        <f>IF(Table14[[#This Row],[I_0]] &lt; INDEX(Table28[Filtro de ruido],1), 1, Table14[[#This Row],[I_40]] / Table14[[#This Row],[I_0]])</f>
        <v>1</v>
      </c>
      <c r="Y644" s="19">
        <f>IF(Table14[[#This Row],[I_0]] &lt; INDEX(Table28[Filtro de ruido],1), 1, Table14[[#This Row],[I_50]] / Table14[[#This Row],[I_0]])</f>
        <v>1</v>
      </c>
      <c r="AA644" s="1"/>
    </row>
    <row r="645" spans="1:27" x14ac:dyDescent="0.3">
      <c r="A645" s="18">
        <v>707.99</v>
      </c>
      <c r="B645" s="1">
        <v>0</v>
      </c>
      <c r="C645" s="1">
        <v>707.99</v>
      </c>
      <c r="D645" s="1">
        <v>0</v>
      </c>
      <c r="E645" s="1">
        <v>707.99</v>
      </c>
      <c r="F645" s="1">
        <v>0</v>
      </c>
      <c r="G645" s="1">
        <v>707.99</v>
      </c>
      <c r="H645" s="1">
        <v>0</v>
      </c>
      <c r="I645" s="1">
        <v>707.99</v>
      </c>
      <c r="J645" s="1">
        <v>0</v>
      </c>
      <c r="K645" s="1">
        <v>707.99</v>
      </c>
      <c r="L645" s="1">
        <v>0</v>
      </c>
      <c r="M645" s="1">
        <v>707.99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707.99</v>
      </c>
      <c r="U645" s="1">
        <f>IF(Table14[[#This Row],[I_0]] &lt; INDEX(Table28[Filtro de ruido],1), 1, Table14[[#This Row],[I_10]] / Table14[[#This Row],[I_0]])</f>
        <v>1</v>
      </c>
      <c r="V645" s="1">
        <f>IF(Table14[[#This Row],[I_0]] &lt; INDEX(Table28[Filtro de ruido],1), 1, Table14[[#This Row],[I_20]] / Table14[[#This Row],[I_0]])</f>
        <v>1</v>
      </c>
      <c r="W645" s="1">
        <f>IF(Table14[[#This Row],[I_0]] &lt; INDEX(Table28[Filtro de ruido],1), 1, Table14[[#This Row],[I_30]] / Table14[[#This Row],[I_0]])</f>
        <v>1</v>
      </c>
      <c r="X645" s="1">
        <f>IF(Table14[[#This Row],[I_0]] &lt; INDEX(Table28[Filtro de ruido],1), 1, Table14[[#This Row],[I_40]] / Table14[[#This Row],[I_0]])</f>
        <v>1</v>
      </c>
      <c r="Y645" s="19">
        <f>IF(Table14[[#This Row],[I_0]] &lt; INDEX(Table28[Filtro de ruido],1), 1, Table14[[#This Row],[I_50]] / Table14[[#This Row],[I_0]])</f>
        <v>1</v>
      </c>
      <c r="AA645" s="1"/>
    </row>
    <row r="646" spans="1:27" x14ac:dyDescent="0.3">
      <c r="A646" s="18">
        <v>708.98</v>
      </c>
      <c r="B646" s="1">
        <v>0</v>
      </c>
      <c r="C646" s="1">
        <v>708.98</v>
      </c>
      <c r="D646" s="1">
        <v>0</v>
      </c>
      <c r="E646" s="1">
        <v>708.98</v>
      </c>
      <c r="F646" s="1">
        <v>0</v>
      </c>
      <c r="G646" s="1">
        <v>708.98</v>
      </c>
      <c r="H646" s="1">
        <v>0</v>
      </c>
      <c r="I646" s="1">
        <v>708.98</v>
      </c>
      <c r="J646" s="1">
        <v>0</v>
      </c>
      <c r="K646" s="1">
        <v>708.98</v>
      </c>
      <c r="L646" s="1">
        <v>0</v>
      </c>
      <c r="M646" s="1">
        <v>708.98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708.98</v>
      </c>
      <c r="U646" s="1">
        <f>IF(Table14[[#This Row],[I_0]] &lt; INDEX(Table28[Filtro de ruido],1), 1, Table14[[#This Row],[I_10]] / Table14[[#This Row],[I_0]])</f>
        <v>1</v>
      </c>
      <c r="V646" s="1">
        <f>IF(Table14[[#This Row],[I_0]] &lt; INDEX(Table28[Filtro de ruido],1), 1, Table14[[#This Row],[I_20]] / Table14[[#This Row],[I_0]])</f>
        <v>1</v>
      </c>
      <c r="W646" s="1">
        <f>IF(Table14[[#This Row],[I_0]] &lt; INDEX(Table28[Filtro de ruido],1), 1, Table14[[#This Row],[I_30]] / Table14[[#This Row],[I_0]])</f>
        <v>1</v>
      </c>
      <c r="X646" s="1">
        <f>IF(Table14[[#This Row],[I_0]] &lt; INDEX(Table28[Filtro de ruido],1), 1, Table14[[#This Row],[I_40]] / Table14[[#This Row],[I_0]])</f>
        <v>1</v>
      </c>
      <c r="Y646" s="19">
        <f>IF(Table14[[#This Row],[I_0]] &lt; INDEX(Table28[Filtro de ruido],1), 1, Table14[[#This Row],[I_50]] / Table14[[#This Row],[I_0]])</f>
        <v>1</v>
      </c>
      <c r="AA646" s="1"/>
    </row>
    <row r="647" spans="1:27" x14ac:dyDescent="0.3">
      <c r="A647" s="18">
        <v>709.97</v>
      </c>
      <c r="B647" s="1">
        <v>0</v>
      </c>
      <c r="C647" s="1">
        <v>709.97</v>
      </c>
      <c r="D647" s="1">
        <v>0</v>
      </c>
      <c r="E647" s="1">
        <v>709.97</v>
      </c>
      <c r="F647" s="1">
        <v>0</v>
      </c>
      <c r="G647" s="1">
        <v>709.97</v>
      </c>
      <c r="H647" s="1">
        <v>0</v>
      </c>
      <c r="I647" s="1">
        <v>709.97</v>
      </c>
      <c r="J647" s="1">
        <v>0</v>
      </c>
      <c r="K647" s="1">
        <v>709.97</v>
      </c>
      <c r="L647" s="1">
        <v>0</v>
      </c>
      <c r="M647" s="1">
        <v>709.97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709.97</v>
      </c>
      <c r="U647" s="1">
        <f>IF(Table14[[#This Row],[I_0]] &lt; INDEX(Table28[Filtro de ruido],1), 1, Table14[[#This Row],[I_10]] / Table14[[#This Row],[I_0]])</f>
        <v>1</v>
      </c>
      <c r="V647" s="1">
        <f>IF(Table14[[#This Row],[I_0]] &lt; INDEX(Table28[Filtro de ruido],1), 1, Table14[[#This Row],[I_20]] / Table14[[#This Row],[I_0]])</f>
        <v>1</v>
      </c>
      <c r="W647" s="1">
        <f>IF(Table14[[#This Row],[I_0]] &lt; INDEX(Table28[Filtro de ruido],1), 1, Table14[[#This Row],[I_30]] / Table14[[#This Row],[I_0]])</f>
        <v>1</v>
      </c>
      <c r="X647" s="1">
        <f>IF(Table14[[#This Row],[I_0]] &lt; INDEX(Table28[Filtro de ruido],1), 1, Table14[[#This Row],[I_40]] / Table14[[#This Row],[I_0]])</f>
        <v>1</v>
      </c>
      <c r="Y647" s="19">
        <f>IF(Table14[[#This Row],[I_0]] &lt; INDEX(Table28[Filtro de ruido],1), 1, Table14[[#This Row],[I_50]] / Table14[[#This Row],[I_0]])</f>
        <v>1</v>
      </c>
      <c r="AA647" s="1"/>
    </row>
    <row r="648" spans="1:27" x14ac:dyDescent="0.3">
      <c r="A648" s="18">
        <v>710.96</v>
      </c>
      <c r="B648" s="1">
        <v>0</v>
      </c>
      <c r="C648" s="1">
        <v>710.96</v>
      </c>
      <c r="D648" s="1">
        <v>0</v>
      </c>
      <c r="E648" s="1">
        <v>710.96</v>
      </c>
      <c r="F648" s="1">
        <v>0</v>
      </c>
      <c r="G648" s="1">
        <v>710.96</v>
      </c>
      <c r="H648" s="1">
        <v>0</v>
      </c>
      <c r="I648" s="1">
        <v>710.96</v>
      </c>
      <c r="J648" s="1">
        <v>0</v>
      </c>
      <c r="K648" s="1">
        <v>710.96</v>
      </c>
      <c r="L648" s="1">
        <v>0</v>
      </c>
      <c r="M648" s="1">
        <v>710.96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710.96</v>
      </c>
      <c r="U648" s="1">
        <f>IF(Table14[[#This Row],[I_0]] &lt; INDEX(Table28[Filtro de ruido],1), 1, Table14[[#This Row],[I_10]] / Table14[[#This Row],[I_0]])</f>
        <v>1</v>
      </c>
      <c r="V648" s="1">
        <f>IF(Table14[[#This Row],[I_0]] &lt; INDEX(Table28[Filtro de ruido],1), 1, Table14[[#This Row],[I_20]] / Table14[[#This Row],[I_0]])</f>
        <v>1</v>
      </c>
      <c r="W648" s="1">
        <f>IF(Table14[[#This Row],[I_0]] &lt; INDEX(Table28[Filtro de ruido],1), 1, Table14[[#This Row],[I_30]] / Table14[[#This Row],[I_0]])</f>
        <v>1</v>
      </c>
      <c r="X648" s="1">
        <f>IF(Table14[[#This Row],[I_0]] &lt; INDEX(Table28[Filtro de ruido],1), 1, Table14[[#This Row],[I_40]] / Table14[[#This Row],[I_0]])</f>
        <v>1</v>
      </c>
      <c r="Y648" s="19">
        <f>IF(Table14[[#This Row],[I_0]] &lt; INDEX(Table28[Filtro de ruido],1), 1, Table14[[#This Row],[I_50]] / Table14[[#This Row],[I_0]])</f>
        <v>1</v>
      </c>
      <c r="AA648" s="1"/>
    </row>
    <row r="649" spans="1:27" x14ac:dyDescent="0.3">
      <c r="A649" s="18">
        <v>711.95</v>
      </c>
      <c r="B649" s="1">
        <v>0</v>
      </c>
      <c r="C649" s="1">
        <v>711.95</v>
      </c>
      <c r="D649" s="1">
        <v>0</v>
      </c>
      <c r="E649" s="1">
        <v>711.95</v>
      </c>
      <c r="F649" s="1">
        <v>0</v>
      </c>
      <c r="G649" s="1">
        <v>711.95</v>
      </c>
      <c r="H649" s="1">
        <v>0</v>
      </c>
      <c r="I649" s="1">
        <v>711.95</v>
      </c>
      <c r="J649" s="1">
        <v>0</v>
      </c>
      <c r="K649" s="1">
        <v>711.95</v>
      </c>
      <c r="L649" s="1">
        <v>0</v>
      </c>
      <c r="M649" s="1">
        <v>711.95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711.95</v>
      </c>
      <c r="U649" s="1">
        <f>IF(Table14[[#This Row],[I_0]] &lt; INDEX(Table28[Filtro de ruido],1), 1, Table14[[#This Row],[I_10]] / Table14[[#This Row],[I_0]])</f>
        <v>1</v>
      </c>
      <c r="V649" s="1">
        <f>IF(Table14[[#This Row],[I_0]] &lt; INDEX(Table28[Filtro de ruido],1), 1, Table14[[#This Row],[I_20]] / Table14[[#This Row],[I_0]])</f>
        <v>1</v>
      </c>
      <c r="W649" s="1">
        <f>IF(Table14[[#This Row],[I_0]] &lt; INDEX(Table28[Filtro de ruido],1), 1, Table14[[#This Row],[I_30]] / Table14[[#This Row],[I_0]])</f>
        <v>1</v>
      </c>
      <c r="X649" s="1">
        <f>IF(Table14[[#This Row],[I_0]] &lt; INDEX(Table28[Filtro de ruido],1), 1, Table14[[#This Row],[I_40]] / Table14[[#This Row],[I_0]])</f>
        <v>1</v>
      </c>
      <c r="Y649" s="19">
        <f>IF(Table14[[#This Row],[I_0]] &lt; INDEX(Table28[Filtro de ruido],1), 1, Table14[[#This Row],[I_50]] / Table14[[#This Row],[I_0]])</f>
        <v>1</v>
      </c>
      <c r="AA649" s="1"/>
    </row>
    <row r="650" spans="1:27" x14ac:dyDescent="0.3">
      <c r="A650" s="18">
        <v>712.94</v>
      </c>
      <c r="B650" s="1">
        <v>0</v>
      </c>
      <c r="C650" s="1">
        <v>712.94</v>
      </c>
      <c r="D650" s="1">
        <v>0</v>
      </c>
      <c r="E650" s="1">
        <v>712.94</v>
      </c>
      <c r="F650" s="1">
        <v>0</v>
      </c>
      <c r="G650" s="1">
        <v>712.94</v>
      </c>
      <c r="H650" s="1">
        <v>0</v>
      </c>
      <c r="I650" s="1">
        <v>712.94</v>
      </c>
      <c r="J650" s="1">
        <v>0</v>
      </c>
      <c r="K650" s="1">
        <v>712.94</v>
      </c>
      <c r="L650" s="1">
        <v>0</v>
      </c>
      <c r="M650" s="1">
        <v>712.94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712.94</v>
      </c>
      <c r="U650" s="1">
        <f>IF(Table14[[#This Row],[I_0]] &lt; INDEX(Table28[Filtro de ruido],1), 1, Table14[[#This Row],[I_10]] / Table14[[#This Row],[I_0]])</f>
        <v>1</v>
      </c>
      <c r="V650" s="1">
        <f>IF(Table14[[#This Row],[I_0]] &lt; INDEX(Table28[Filtro de ruido],1), 1, Table14[[#This Row],[I_20]] / Table14[[#This Row],[I_0]])</f>
        <v>1</v>
      </c>
      <c r="W650" s="1">
        <f>IF(Table14[[#This Row],[I_0]] &lt; INDEX(Table28[Filtro de ruido],1), 1, Table14[[#This Row],[I_30]] / Table14[[#This Row],[I_0]])</f>
        <v>1</v>
      </c>
      <c r="X650" s="1">
        <f>IF(Table14[[#This Row],[I_0]] &lt; INDEX(Table28[Filtro de ruido],1), 1, Table14[[#This Row],[I_40]] / Table14[[#This Row],[I_0]])</f>
        <v>1</v>
      </c>
      <c r="Y650" s="19">
        <f>IF(Table14[[#This Row],[I_0]] &lt; INDEX(Table28[Filtro de ruido],1), 1, Table14[[#This Row],[I_50]] / Table14[[#This Row],[I_0]])</f>
        <v>1</v>
      </c>
      <c r="AA650" s="1"/>
    </row>
    <row r="651" spans="1:27" x14ac:dyDescent="0.3">
      <c r="A651" s="18">
        <v>713.94</v>
      </c>
      <c r="B651" s="1">
        <v>0</v>
      </c>
      <c r="C651" s="1">
        <v>713.94</v>
      </c>
      <c r="D651" s="1">
        <v>0</v>
      </c>
      <c r="E651" s="1">
        <v>713.94</v>
      </c>
      <c r="F651" s="1">
        <v>0</v>
      </c>
      <c r="G651" s="1">
        <v>713.94</v>
      </c>
      <c r="H651" s="1">
        <v>0</v>
      </c>
      <c r="I651" s="1">
        <v>713.94</v>
      </c>
      <c r="J651" s="1">
        <v>0</v>
      </c>
      <c r="K651" s="1">
        <v>713.94</v>
      </c>
      <c r="L651" s="1">
        <v>0</v>
      </c>
      <c r="M651" s="1">
        <v>713.94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713.94</v>
      </c>
      <c r="U651" s="1">
        <f>IF(Table14[[#This Row],[I_0]] &lt; INDEX(Table28[Filtro de ruido],1), 1, Table14[[#This Row],[I_10]] / Table14[[#This Row],[I_0]])</f>
        <v>1</v>
      </c>
      <c r="V651" s="1">
        <f>IF(Table14[[#This Row],[I_0]] &lt; INDEX(Table28[Filtro de ruido],1), 1, Table14[[#This Row],[I_20]] / Table14[[#This Row],[I_0]])</f>
        <v>1</v>
      </c>
      <c r="W651" s="1">
        <f>IF(Table14[[#This Row],[I_0]] &lt; INDEX(Table28[Filtro de ruido],1), 1, Table14[[#This Row],[I_30]] / Table14[[#This Row],[I_0]])</f>
        <v>1</v>
      </c>
      <c r="X651" s="1">
        <f>IF(Table14[[#This Row],[I_0]] &lt; INDEX(Table28[Filtro de ruido],1), 1, Table14[[#This Row],[I_40]] / Table14[[#This Row],[I_0]])</f>
        <v>1</v>
      </c>
      <c r="Y651" s="19">
        <f>IF(Table14[[#This Row],[I_0]] &lt; INDEX(Table28[Filtro de ruido],1), 1, Table14[[#This Row],[I_50]] / Table14[[#This Row],[I_0]])</f>
        <v>1</v>
      </c>
      <c r="AA651" s="1"/>
    </row>
    <row r="652" spans="1:27" x14ac:dyDescent="0.3">
      <c r="A652" s="18">
        <v>714.93</v>
      </c>
      <c r="B652" s="1">
        <v>0</v>
      </c>
      <c r="C652" s="1">
        <v>714.93</v>
      </c>
      <c r="D652" s="1">
        <v>0</v>
      </c>
      <c r="E652" s="1">
        <v>714.93</v>
      </c>
      <c r="F652" s="1">
        <v>0</v>
      </c>
      <c r="G652" s="1">
        <v>714.93</v>
      </c>
      <c r="H652" s="1">
        <v>0</v>
      </c>
      <c r="I652" s="1">
        <v>714.93</v>
      </c>
      <c r="J652" s="1">
        <v>0</v>
      </c>
      <c r="K652" s="1">
        <v>714.93</v>
      </c>
      <c r="L652" s="1">
        <v>0</v>
      </c>
      <c r="M652" s="1">
        <v>714.93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714.93</v>
      </c>
      <c r="U652" s="1">
        <f>IF(Table14[[#This Row],[I_0]] &lt; INDEX(Table28[Filtro de ruido],1), 1, Table14[[#This Row],[I_10]] / Table14[[#This Row],[I_0]])</f>
        <v>1</v>
      </c>
      <c r="V652" s="1">
        <f>IF(Table14[[#This Row],[I_0]] &lt; INDEX(Table28[Filtro de ruido],1), 1, Table14[[#This Row],[I_20]] / Table14[[#This Row],[I_0]])</f>
        <v>1</v>
      </c>
      <c r="W652" s="1">
        <f>IF(Table14[[#This Row],[I_0]] &lt; INDEX(Table28[Filtro de ruido],1), 1, Table14[[#This Row],[I_30]] / Table14[[#This Row],[I_0]])</f>
        <v>1</v>
      </c>
      <c r="X652" s="1">
        <f>IF(Table14[[#This Row],[I_0]] &lt; INDEX(Table28[Filtro de ruido],1), 1, Table14[[#This Row],[I_40]] / Table14[[#This Row],[I_0]])</f>
        <v>1</v>
      </c>
      <c r="Y652" s="19">
        <f>IF(Table14[[#This Row],[I_0]] &lt; INDEX(Table28[Filtro de ruido],1), 1, Table14[[#This Row],[I_50]] / Table14[[#This Row],[I_0]])</f>
        <v>1</v>
      </c>
      <c r="AA652" s="1"/>
    </row>
    <row r="653" spans="1:27" x14ac:dyDescent="0.3">
      <c r="A653" s="18">
        <v>715.92</v>
      </c>
      <c r="B653" s="1">
        <v>0</v>
      </c>
      <c r="C653" s="1">
        <v>715.92</v>
      </c>
      <c r="D653" s="1">
        <v>0</v>
      </c>
      <c r="E653" s="1">
        <v>715.92</v>
      </c>
      <c r="F653" s="1">
        <v>0</v>
      </c>
      <c r="G653" s="1">
        <v>715.92</v>
      </c>
      <c r="H653" s="1">
        <v>0</v>
      </c>
      <c r="I653" s="1">
        <v>715.92</v>
      </c>
      <c r="J653" s="1">
        <v>0</v>
      </c>
      <c r="K653" s="1">
        <v>715.92</v>
      </c>
      <c r="L653" s="1">
        <v>0</v>
      </c>
      <c r="M653" s="1">
        <v>715.92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715.92</v>
      </c>
      <c r="U653" s="1">
        <f>IF(Table14[[#This Row],[I_0]] &lt; INDEX(Table28[Filtro de ruido],1), 1, Table14[[#This Row],[I_10]] / Table14[[#This Row],[I_0]])</f>
        <v>1</v>
      </c>
      <c r="V653" s="1">
        <f>IF(Table14[[#This Row],[I_0]] &lt; INDEX(Table28[Filtro de ruido],1), 1, Table14[[#This Row],[I_20]] / Table14[[#This Row],[I_0]])</f>
        <v>1</v>
      </c>
      <c r="W653" s="1">
        <f>IF(Table14[[#This Row],[I_0]] &lt; INDEX(Table28[Filtro de ruido],1), 1, Table14[[#This Row],[I_30]] / Table14[[#This Row],[I_0]])</f>
        <v>1</v>
      </c>
      <c r="X653" s="1">
        <f>IF(Table14[[#This Row],[I_0]] &lt; INDEX(Table28[Filtro de ruido],1), 1, Table14[[#This Row],[I_40]] / Table14[[#This Row],[I_0]])</f>
        <v>1</v>
      </c>
      <c r="Y653" s="19">
        <f>IF(Table14[[#This Row],[I_0]] &lt; INDEX(Table28[Filtro de ruido],1), 1, Table14[[#This Row],[I_50]] / Table14[[#This Row],[I_0]])</f>
        <v>1</v>
      </c>
      <c r="AA653" s="1"/>
    </row>
    <row r="654" spans="1:27" x14ac:dyDescent="0.3">
      <c r="A654" s="18">
        <v>716.91</v>
      </c>
      <c r="B654" s="1">
        <v>0</v>
      </c>
      <c r="C654" s="1">
        <v>716.91</v>
      </c>
      <c r="D654" s="1">
        <v>0</v>
      </c>
      <c r="E654" s="1">
        <v>716.91</v>
      </c>
      <c r="F654" s="1">
        <v>0</v>
      </c>
      <c r="G654" s="1">
        <v>716.91</v>
      </c>
      <c r="H654" s="1">
        <v>0</v>
      </c>
      <c r="I654" s="1">
        <v>716.91</v>
      </c>
      <c r="J654" s="1">
        <v>0</v>
      </c>
      <c r="K654" s="1">
        <v>716.91</v>
      </c>
      <c r="L654" s="1">
        <v>0</v>
      </c>
      <c r="M654" s="1">
        <v>716.91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716.91</v>
      </c>
      <c r="U654" s="1">
        <f>IF(Table14[[#This Row],[I_0]] &lt; INDEX(Table28[Filtro de ruido],1), 1, Table14[[#This Row],[I_10]] / Table14[[#This Row],[I_0]])</f>
        <v>1</v>
      </c>
      <c r="V654" s="1">
        <f>IF(Table14[[#This Row],[I_0]] &lt; INDEX(Table28[Filtro de ruido],1), 1, Table14[[#This Row],[I_20]] / Table14[[#This Row],[I_0]])</f>
        <v>1</v>
      </c>
      <c r="W654" s="1">
        <f>IF(Table14[[#This Row],[I_0]] &lt; INDEX(Table28[Filtro de ruido],1), 1, Table14[[#This Row],[I_30]] / Table14[[#This Row],[I_0]])</f>
        <v>1</v>
      </c>
      <c r="X654" s="1">
        <f>IF(Table14[[#This Row],[I_0]] &lt; INDEX(Table28[Filtro de ruido],1), 1, Table14[[#This Row],[I_40]] / Table14[[#This Row],[I_0]])</f>
        <v>1</v>
      </c>
      <c r="Y654" s="19">
        <f>IF(Table14[[#This Row],[I_0]] &lt; INDEX(Table28[Filtro de ruido],1), 1, Table14[[#This Row],[I_50]] / Table14[[#This Row],[I_0]])</f>
        <v>1</v>
      </c>
      <c r="AA654" s="1"/>
    </row>
    <row r="655" spans="1:27" x14ac:dyDescent="0.3">
      <c r="A655" s="18">
        <v>717.9</v>
      </c>
      <c r="B655" s="1">
        <v>0</v>
      </c>
      <c r="C655" s="1">
        <v>717.9</v>
      </c>
      <c r="D655" s="1">
        <v>0</v>
      </c>
      <c r="E655" s="1">
        <v>717.9</v>
      </c>
      <c r="F655" s="1">
        <v>0</v>
      </c>
      <c r="G655" s="1">
        <v>717.9</v>
      </c>
      <c r="H655" s="1">
        <v>0</v>
      </c>
      <c r="I655" s="1">
        <v>717.9</v>
      </c>
      <c r="J655" s="1">
        <v>0</v>
      </c>
      <c r="K655" s="1">
        <v>717.9</v>
      </c>
      <c r="L655" s="1">
        <v>0</v>
      </c>
      <c r="M655" s="1">
        <v>717.9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717.9</v>
      </c>
      <c r="U655" s="1">
        <f>IF(Table14[[#This Row],[I_0]] &lt; INDEX(Table28[Filtro de ruido],1), 1, Table14[[#This Row],[I_10]] / Table14[[#This Row],[I_0]])</f>
        <v>1</v>
      </c>
      <c r="V655" s="1">
        <f>IF(Table14[[#This Row],[I_0]] &lt; INDEX(Table28[Filtro de ruido],1), 1, Table14[[#This Row],[I_20]] / Table14[[#This Row],[I_0]])</f>
        <v>1</v>
      </c>
      <c r="W655" s="1">
        <f>IF(Table14[[#This Row],[I_0]] &lt; INDEX(Table28[Filtro de ruido],1), 1, Table14[[#This Row],[I_30]] / Table14[[#This Row],[I_0]])</f>
        <v>1</v>
      </c>
      <c r="X655" s="1">
        <f>IF(Table14[[#This Row],[I_0]] &lt; INDEX(Table28[Filtro de ruido],1), 1, Table14[[#This Row],[I_40]] / Table14[[#This Row],[I_0]])</f>
        <v>1</v>
      </c>
      <c r="Y655" s="19">
        <f>IF(Table14[[#This Row],[I_0]] &lt; INDEX(Table28[Filtro de ruido],1), 1, Table14[[#This Row],[I_50]] / Table14[[#This Row],[I_0]])</f>
        <v>1</v>
      </c>
      <c r="AA655" s="1"/>
    </row>
    <row r="656" spans="1:27" x14ac:dyDescent="0.3">
      <c r="A656" s="18">
        <v>718.89</v>
      </c>
      <c r="B656" s="1">
        <v>0</v>
      </c>
      <c r="C656" s="1">
        <v>718.89</v>
      </c>
      <c r="D656" s="1">
        <v>0</v>
      </c>
      <c r="E656" s="1">
        <v>718.89</v>
      </c>
      <c r="F656" s="1">
        <v>0</v>
      </c>
      <c r="G656" s="1">
        <v>718.89</v>
      </c>
      <c r="H656" s="1">
        <v>0</v>
      </c>
      <c r="I656" s="1">
        <v>718.89</v>
      </c>
      <c r="J656" s="1">
        <v>0</v>
      </c>
      <c r="K656" s="1">
        <v>718.89</v>
      </c>
      <c r="L656" s="1">
        <v>0</v>
      </c>
      <c r="M656" s="1">
        <v>718.89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718.89</v>
      </c>
      <c r="U656" s="1">
        <f>IF(Table14[[#This Row],[I_0]] &lt; INDEX(Table28[Filtro de ruido],1), 1, Table14[[#This Row],[I_10]] / Table14[[#This Row],[I_0]])</f>
        <v>1</v>
      </c>
      <c r="V656" s="1">
        <f>IF(Table14[[#This Row],[I_0]] &lt; INDEX(Table28[Filtro de ruido],1), 1, Table14[[#This Row],[I_20]] / Table14[[#This Row],[I_0]])</f>
        <v>1</v>
      </c>
      <c r="W656" s="1">
        <f>IF(Table14[[#This Row],[I_0]] &lt; INDEX(Table28[Filtro de ruido],1), 1, Table14[[#This Row],[I_30]] / Table14[[#This Row],[I_0]])</f>
        <v>1</v>
      </c>
      <c r="X656" s="1">
        <f>IF(Table14[[#This Row],[I_0]] &lt; INDEX(Table28[Filtro de ruido],1), 1, Table14[[#This Row],[I_40]] / Table14[[#This Row],[I_0]])</f>
        <v>1</v>
      </c>
      <c r="Y656" s="19">
        <f>IF(Table14[[#This Row],[I_0]] &lt; INDEX(Table28[Filtro de ruido],1), 1, Table14[[#This Row],[I_50]] / Table14[[#This Row],[I_0]])</f>
        <v>1</v>
      </c>
      <c r="AA656" s="1"/>
    </row>
    <row r="657" spans="1:27" x14ac:dyDescent="0.3">
      <c r="A657" s="18">
        <v>719.89</v>
      </c>
      <c r="B657" s="1">
        <v>0</v>
      </c>
      <c r="C657" s="1">
        <v>719.89</v>
      </c>
      <c r="D657" s="1">
        <v>0</v>
      </c>
      <c r="E657" s="1">
        <v>719.89</v>
      </c>
      <c r="F657" s="1">
        <v>0</v>
      </c>
      <c r="G657" s="1">
        <v>719.89</v>
      </c>
      <c r="H657" s="1">
        <v>0</v>
      </c>
      <c r="I657" s="1">
        <v>719.89</v>
      </c>
      <c r="J657" s="1">
        <v>0</v>
      </c>
      <c r="K657" s="1">
        <v>719.89</v>
      </c>
      <c r="L657" s="1">
        <v>0</v>
      </c>
      <c r="M657" s="1">
        <v>719.89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719.89</v>
      </c>
      <c r="U657" s="1">
        <f>IF(Table14[[#This Row],[I_0]] &lt; INDEX(Table28[Filtro de ruido],1), 1, Table14[[#This Row],[I_10]] / Table14[[#This Row],[I_0]])</f>
        <v>1</v>
      </c>
      <c r="V657" s="1">
        <f>IF(Table14[[#This Row],[I_0]] &lt; INDEX(Table28[Filtro de ruido],1), 1, Table14[[#This Row],[I_20]] / Table14[[#This Row],[I_0]])</f>
        <v>1</v>
      </c>
      <c r="W657" s="1">
        <f>IF(Table14[[#This Row],[I_0]] &lt; INDEX(Table28[Filtro de ruido],1), 1, Table14[[#This Row],[I_30]] / Table14[[#This Row],[I_0]])</f>
        <v>1</v>
      </c>
      <c r="X657" s="1">
        <f>IF(Table14[[#This Row],[I_0]] &lt; INDEX(Table28[Filtro de ruido],1), 1, Table14[[#This Row],[I_40]] / Table14[[#This Row],[I_0]])</f>
        <v>1</v>
      </c>
      <c r="Y657" s="19">
        <f>IF(Table14[[#This Row],[I_0]] &lt; INDEX(Table28[Filtro de ruido],1), 1, Table14[[#This Row],[I_50]] / Table14[[#This Row],[I_0]])</f>
        <v>1</v>
      </c>
      <c r="AA657" s="1"/>
    </row>
    <row r="658" spans="1:27" x14ac:dyDescent="0.3">
      <c r="A658" s="18">
        <v>720.88</v>
      </c>
      <c r="B658" s="1">
        <v>0</v>
      </c>
      <c r="C658" s="1">
        <v>720.88</v>
      </c>
      <c r="D658" s="1">
        <v>0</v>
      </c>
      <c r="E658" s="1">
        <v>720.88</v>
      </c>
      <c r="F658" s="1">
        <v>0</v>
      </c>
      <c r="G658" s="1">
        <v>720.88</v>
      </c>
      <c r="H658" s="1">
        <v>0</v>
      </c>
      <c r="I658" s="1">
        <v>720.88</v>
      </c>
      <c r="J658" s="1">
        <v>0</v>
      </c>
      <c r="K658" s="1">
        <v>720.88</v>
      </c>
      <c r="L658" s="1">
        <v>0</v>
      </c>
      <c r="M658" s="1">
        <v>720.88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720.88</v>
      </c>
      <c r="U658" s="1">
        <f>IF(Table14[[#This Row],[I_0]] &lt; INDEX(Table28[Filtro de ruido],1), 1, Table14[[#This Row],[I_10]] / Table14[[#This Row],[I_0]])</f>
        <v>1</v>
      </c>
      <c r="V658" s="1">
        <f>IF(Table14[[#This Row],[I_0]] &lt; INDEX(Table28[Filtro de ruido],1), 1, Table14[[#This Row],[I_20]] / Table14[[#This Row],[I_0]])</f>
        <v>1</v>
      </c>
      <c r="W658" s="1">
        <f>IF(Table14[[#This Row],[I_0]] &lt; INDEX(Table28[Filtro de ruido],1), 1, Table14[[#This Row],[I_30]] / Table14[[#This Row],[I_0]])</f>
        <v>1</v>
      </c>
      <c r="X658" s="1">
        <f>IF(Table14[[#This Row],[I_0]] &lt; INDEX(Table28[Filtro de ruido],1), 1, Table14[[#This Row],[I_40]] / Table14[[#This Row],[I_0]])</f>
        <v>1</v>
      </c>
      <c r="Y658" s="19">
        <f>IF(Table14[[#This Row],[I_0]] &lt; INDEX(Table28[Filtro de ruido],1), 1, Table14[[#This Row],[I_50]] / Table14[[#This Row],[I_0]])</f>
        <v>1</v>
      </c>
      <c r="AA658" s="1"/>
    </row>
    <row r="659" spans="1:27" x14ac:dyDescent="0.3">
      <c r="A659" s="18">
        <v>721.87</v>
      </c>
      <c r="B659" s="1">
        <v>0</v>
      </c>
      <c r="C659" s="1">
        <v>721.87</v>
      </c>
      <c r="D659" s="1">
        <v>0</v>
      </c>
      <c r="E659" s="1">
        <v>721.87</v>
      </c>
      <c r="F659" s="1">
        <v>0</v>
      </c>
      <c r="G659" s="1">
        <v>721.87</v>
      </c>
      <c r="H659" s="1">
        <v>0</v>
      </c>
      <c r="I659" s="1">
        <v>721.87</v>
      </c>
      <c r="J659" s="1">
        <v>0</v>
      </c>
      <c r="K659" s="1">
        <v>721.87</v>
      </c>
      <c r="L659" s="1">
        <v>0</v>
      </c>
      <c r="M659" s="1">
        <v>721.87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721.87</v>
      </c>
      <c r="U659" s="1">
        <f>IF(Table14[[#This Row],[I_0]] &lt; INDEX(Table28[Filtro de ruido],1), 1, Table14[[#This Row],[I_10]] / Table14[[#This Row],[I_0]])</f>
        <v>1</v>
      </c>
      <c r="V659" s="1">
        <f>IF(Table14[[#This Row],[I_0]] &lt; INDEX(Table28[Filtro de ruido],1), 1, Table14[[#This Row],[I_20]] / Table14[[#This Row],[I_0]])</f>
        <v>1</v>
      </c>
      <c r="W659" s="1">
        <f>IF(Table14[[#This Row],[I_0]] &lt; INDEX(Table28[Filtro de ruido],1), 1, Table14[[#This Row],[I_30]] / Table14[[#This Row],[I_0]])</f>
        <v>1</v>
      </c>
      <c r="X659" s="1">
        <f>IF(Table14[[#This Row],[I_0]] &lt; INDEX(Table28[Filtro de ruido],1), 1, Table14[[#This Row],[I_40]] / Table14[[#This Row],[I_0]])</f>
        <v>1</v>
      </c>
      <c r="Y659" s="19">
        <f>IF(Table14[[#This Row],[I_0]] &lt; INDEX(Table28[Filtro de ruido],1), 1, Table14[[#This Row],[I_50]] / Table14[[#This Row],[I_0]])</f>
        <v>1</v>
      </c>
      <c r="AA659" s="1"/>
    </row>
    <row r="660" spans="1:27" x14ac:dyDescent="0.3">
      <c r="A660" s="18">
        <v>722.86</v>
      </c>
      <c r="B660" s="1">
        <v>0</v>
      </c>
      <c r="C660" s="1">
        <v>722.86</v>
      </c>
      <c r="D660" s="1">
        <v>0</v>
      </c>
      <c r="E660" s="1">
        <v>722.86</v>
      </c>
      <c r="F660" s="1">
        <v>0</v>
      </c>
      <c r="G660" s="1">
        <v>722.86</v>
      </c>
      <c r="H660" s="1">
        <v>0</v>
      </c>
      <c r="I660" s="1">
        <v>722.86</v>
      </c>
      <c r="J660" s="1">
        <v>0</v>
      </c>
      <c r="K660" s="1">
        <v>722.86</v>
      </c>
      <c r="L660" s="1">
        <v>0</v>
      </c>
      <c r="M660" s="1">
        <v>722.86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722.86</v>
      </c>
      <c r="U660" s="1">
        <f>IF(Table14[[#This Row],[I_0]] &lt; INDEX(Table28[Filtro de ruido],1), 1, Table14[[#This Row],[I_10]] / Table14[[#This Row],[I_0]])</f>
        <v>1</v>
      </c>
      <c r="V660" s="1">
        <f>IF(Table14[[#This Row],[I_0]] &lt; INDEX(Table28[Filtro de ruido],1), 1, Table14[[#This Row],[I_20]] / Table14[[#This Row],[I_0]])</f>
        <v>1</v>
      </c>
      <c r="W660" s="1">
        <f>IF(Table14[[#This Row],[I_0]] &lt; INDEX(Table28[Filtro de ruido],1), 1, Table14[[#This Row],[I_30]] / Table14[[#This Row],[I_0]])</f>
        <v>1</v>
      </c>
      <c r="X660" s="1">
        <f>IF(Table14[[#This Row],[I_0]] &lt; INDEX(Table28[Filtro de ruido],1), 1, Table14[[#This Row],[I_40]] / Table14[[#This Row],[I_0]])</f>
        <v>1</v>
      </c>
      <c r="Y660" s="19">
        <f>IF(Table14[[#This Row],[I_0]] &lt; INDEX(Table28[Filtro de ruido],1), 1, Table14[[#This Row],[I_50]] / Table14[[#This Row],[I_0]])</f>
        <v>1</v>
      </c>
      <c r="AA660" s="1"/>
    </row>
    <row r="661" spans="1:27" x14ac:dyDescent="0.3">
      <c r="A661" s="18">
        <v>723.85</v>
      </c>
      <c r="B661" s="1">
        <v>0</v>
      </c>
      <c r="C661" s="1">
        <v>723.85</v>
      </c>
      <c r="D661" s="1">
        <v>0</v>
      </c>
      <c r="E661" s="1">
        <v>723.85</v>
      </c>
      <c r="F661" s="1">
        <v>0</v>
      </c>
      <c r="G661" s="1">
        <v>723.85</v>
      </c>
      <c r="H661" s="1">
        <v>0</v>
      </c>
      <c r="I661" s="1">
        <v>723.85</v>
      </c>
      <c r="J661" s="1">
        <v>0</v>
      </c>
      <c r="K661" s="1">
        <v>723.85</v>
      </c>
      <c r="L661" s="1">
        <v>0</v>
      </c>
      <c r="M661" s="1">
        <v>723.85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723.85</v>
      </c>
      <c r="U661" s="1">
        <f>IF(Table14[[#This Row],[I_0]] &lt; INDEX(Table28[Filtro de ruido],1), 1, Table14[[#This Row],[I_10]] / Table14[[#This Row],[I_0]])</f>
        <v>1</v>
      </c>
      <c r="V661" s="1">
        <f>IF(Table14[[#This Row],[I_0]] &lt; INDEX(Table28[Filtro de ruido],1), 1, Table14[[#This Row],[I_20]] / Table14[[#This Row],[I_0]])</f>
        <v>1</v>
      </c>
      <c r="W661" s="1">
        <f>IF(Table14[[#This Row],[I_0]] &lt; INDEX(Table28[Filtro de ruido],1), 1, Table14[[#This Row],[I_30]] / Table14[[#This Row],[I_0]])</f>
        <v>1</v>
      </c>
      <c r="X661" s="1">
        <f>IF(Table14[[#This Row],[I_0]] &lt; INDEX(Table28[Filtro de ruido],1), 1, Table14[[#This Row],[I_40]] / Table14[[#This Row],[I_0]])</f>
        <v>1</v>
      </c>
      <c r="Y661" s="19">
        <f>IF(Table14[[#This Row],[I_0]] &lt; INDEX(Table28[Filtro de ruido],1), 1, Table14[[#This Row],[I_50]] / Table14[[#This Row],[I_0]])</f>
        <v>1</v>
      </c>
      <c r="AA661" s="1"/>
    </row>
    <row r="662" spans="1:27" x14ac:dyDescent="0.3">
      <c r="A662" s="18">
        <v>724.85</v>
      </c>
      <c r="B662" s="1">
        <v>0</v>
      </c>
      <c r="C662" s="1">
        <v>724.85</v>
      </c>
      <c r="D662" s="1">
        <v>0</v>
      </c>
      <c r="E662" s="1">
        <v>724.85</v>
      </c>
      <c r="F662" s="1">
        <v>0</v>
      </c>
      <c r="G662" s="1">
        <v>724.85</v>
      </c>
      <c r="H662" s="1">
        <v>0</v>
      </c>
      <c r="I662" s="1">
        <v>724.85</v>
      </c>
      <c r="J662" s="1">
        <v>0</v>
      </c>
      <c r="K662" s="1">
        <v>724.85</v>
      </c>
      <c r="L662" s="1">
        <v>0</v>
      </c>
      <c r="M662" s="1">
        <v>724.85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724.85</v>
      </c>
      <c r="U662" s="1">
        <f>IF(Table14[[#This Row],[I_0]] &lt; INDEX(Table28[Filtro de ruido],1), 1, Table14[[#This Row],[I_10]] / Table14[[#This Row],[I_0]])</f>
        <v>1</v>
      </c>
      <c r="V662" s="1">
        <f>IF(Table14[[#This Row],[I_0]] &lt; INDEX(Table28[Filtro de ruido],1), 1, Table14[[#This Row],[I_20]] / Table14[[#This Row],[I_0]])</f>
        <v>1</v>
      </c>
      <c r="W662" s="1">
        <f>IF(Table14[[#This Row],[I_0]] &lt; INDEX(Table28[Filtro de ruido],1), 1, Table14[[#This Row],[I_30]] / Table14[[#This Row],[I_0]])</f>
        <v>1</v>
      </c>
      <c r="X662" s="1">
        <f>IF(Table14[[#This Row],[I_0]] &lt; INDEX(Table28[Filtro de ruido],1), 1, Table14[[#This Row],[I_40]] / Table14[[#This Row],[I_0]])</f>
        <v>1</v>
      </c>
      <c r="Y662" s="19">
        <f>IF(Table14[[#This Row],[I_0]] &lt; INDEX(Table28[Filtro de ruido],1), 1, Table14[[#This Row],[I_50]] / Table14[[#This Row],[I_0]])</f>
        <v>1</v>
      </c>
      <c r="AA662" s="1"/>
    </row>
    <row r="663" spans="1:27" x14ac:dyDescent="0.3">
      <c r="A663" s="18">
        <v>725.84</v>
      </c>
      <c r="B663" s="1">
        <v>0</v>
      </c>
      <c r="C663" s="1">
        <v>725.84</v>
      </c>
      <c r="D663" s="1">
        <v>0</v>
      </c>
      <c r="E663" s="1">
        <v>725.84</v>
      </c>
      <c r="F663" s="1">
        <v>0</v>
      </c>
      <c r="G663" s="1">
        <v>725.84</v>
      </c>
      <c r="H663" s="1">
        <v>0</v>
      </c>
      <c r="I663" s="1">
        <v>725.84</v>
      </c>
      <c r="J663" s="1">
        <v>0</v>
      </c>
      <c r="K663" s="1">
        <v>725.84</v>
      </c>
      <c r="L663" s="1">
        <v>0</v>
      </c>
      <c r="M663" s="1">
        <v>725.84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725.84</v>
      </c>
      <c r="U663" s="1">
        <f>IF(Table14[[#This Row],[I_0]] &lt; INDEX(Table28[Filtro de ruido],1), 1, Table14[[#This Row],[I_10]] / Table14[[#This Row],[I_0]])</f>
        <v>1</v>
      </c>
      <c r="V663" s="1">
        <f>IF(Table14[[#This Row],[I_0]] &lt; INDEX(Table28[Filtro de ruido],1), 1, Table14[[#This Row],[I_20]] / Table14[[#This Row],[I_0]])</f>
        <v>1</v>
      </c>
      <c r="W663" s="1">
        <f>IF(Table14[[#This Row],[I_0]] &lt; INDEX(Table28[Filtro de ruido],1), 1, Table14[[#This Row],[I_30]] / Table14[[#This Row],[I_0]])</f>
        <v>1</v>
      </c>
      <c r="X663" s="1">
        <f>IF(Table14[[#This Row],[I_0]] &lt; INDEX(Table28[Filtro de ruido],1), 1, Table14[[#This Row],[I_40]] / Table14[[#This Row],[I_0]])</f>
        <v>1</v>
      </c>
      <c r="Y663" s="19">
        <f>IF(Table14[[#This Row],[I_0]] &lt; INDEX(Table28[Filtro de ruido],1), 1, Table14[[#This Row],[I_50]] / Table14[[#This Row],[I_0]])</f>
        <v>1</v>
      </c>
      <c r="AA663" s="1"/>
    </row>
    <row r="664" spans="1:27" x14ac:dyDescent="0.3">
      <c r="A664" s="18">
        <v>726.83</v>
      </c>
      <c r="B664" s="1">
        <v>0</v>
      </c>
      <c r="C664" s="1">
        <v>726.83</v>
      </c>
      <c r="D664" s="1">
        <v>0</v>
      </c>
      <c r="E664" s="1">
        <v>726.83</v>
      </c>
      <c r="F664" s="1">
        <v>0</v>
      </c>
      <c r="G664" s="1">
        <v>726.83</v>
      </c>
      <c r="H664" s="1">
        <v>0</v>
      </c>
      <c r="I664" s="1">
        <v>726.83</v>
      </c>
      <c r="J664" s="1">
        <v>0</v>
      </c>
      <c r="K664" s="1">
        <v>726.83</v>
      </c>
      <c r="L664" s="1">
        <v>0</v>
      </c>
      <c r="M664" s="1">
        <v>726.83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726.83</v>
      </c>
      <c r="U664" s="1">
        <f>IF(Table14[[#This Row],[I_0]] &lt; INDEX(Table28[Filtro de ruido],1), 1, Table14[[#This Row],[I_10]] / Table14[[#This Row],[I_0]])</f>
        <v>1</v>
      </c>
      <c r="V664" s="1">
        <f>IF(Table14[[#This Row],[I_0]] &lt; INDEX(Table28[Filtro de ruido],1), 1, Table14[[#This Row],[I_20]] / Table14[[#This Row],[I_0]])</f>
        <v>1</v>
      </c>
      <c r="W664" s="1">
        <f>IF(Table14[[#This Row],[I_0]] &lt; INDEX(Table28[Filtro de ruido],1), 1, Table14[[#This Row],[I_30]] / Table14[[#This Row],[I_0]])</f>
        <v>1</v>
      </c>
      <c r="X664" s="1">
        <f>IF(Table14[[#This Row],[I_0]] &lt; INDEX(Table28[Filtro de ruido],1), 1, Table14[[#This Row],[I_40]] / Table14[[#This Row],[I_0]])</f>
        <v>1</v>
      </c>
      <c r="Y664" s="19">
        <f>IF(Table14[[#This Row],[I_0]] &lt; INDEX(Table28[Filtro de ruido],1), 1, Table14[[#This Row],[I_50]] / Table14[[#This Row],[I_0]])</f>
        <v>1</v>
      </c>
      <c r="AA664" s="1"/>
    </row>
    <row r="665" spans="1:27" x14ac:dyDescent="0.3">
      <c r="A665" s="18">
        <v>727.82</v>
      </c>
      <c r="B665" s="1">
        <v>0</v>
      </c>
      <c r="C665" s="1">
        <v>727.82</v>
      </c>
      <c r="D665" s="1">
        <v>0</v>
      </c>
      <c r="E665" s="1">
        <v>727.82</v>
      </c>
      <c r="F665" s="1">
        <v>0</v>
      </c>
      <c r="G665" s="1">
        <v>727.82</v>
      </c>
      <c r="H665" s="1">
        <v>0</v>
      </c>
      <c r="I665" s="1">
        <v>727.82</v>
      </c>
      <c r="J665" s="1">
        <v>0</v>
      </c>
      <c r="K665" s="1">
        <v>727.82</v>
      </c>
      <c r="L665" s="1">
        <v>0</v>
      </c>
      <c r="M665" s="1">
        <v>727.82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727.82</v>
      </c>
      <c r="U665" s="1">
        <f>IF(Table14[[#This Row],[I_0]] &lt; INDEX(Table28[Filtro de ruido],1), 1, Table14[[#This Row],[I_10]] / Table14[[#This Row],[I_0]])</f>
        <v>1</v>
      </c>
      <c r="V665" s="1">
        <f>IF(Table14[[#This Row],[I_0]] &lt; INDEX(Table28[Filtro de ruido],1), 1, Table14[[#This Row],[I_20]] / Table14[[#This Row],[I_0]])</f>
        <v>1</v>
      </c>
      <c r="W665" s="1">
        <f>IF(Table14[[#This Row],[I_0]] &lt; INDEX(Table28[Filtro de ruido],1), 1, Table14[[#This Row],[I_30]] / Table14[[#This Row],[I_0]])</f>
        <v>1</v>
      </c>
      <c r="X665" s="1">
        <f>IF(Table14[[#This Row],[I_0]] &lt; INDEX(Table28[Filtro de ruido],1), 1, Table14[[#This Row],[I_40]] / Table14[[#This Row],[I_0]])</f>
        <v>1</v>
      </c>
      <c r="Y665" s="19">
        <f>IF(Table14[[#This Row],[I_0]] &lt; INDEX(Table28[Filtro de ruido],1), 1, Table14[[#This Row],[I_50]] / Table14[[#This Row],[I_0]])</f>
        <v>1</v>
      </c>
      <c r="AA665" s="1"/>
    </row>
    <row r="666" spans="1:27" x14ac:dyDescent="0.3">
      <c r="A666" s="18">
        <v>728.81</v>
      </c>
      <c r="B666" s="1">
        <v>0</v>
      </c>
      <c r="C666" s="1">
        <v>728.81</v>
      </c>
      <c r="D666" s="1">
        <v>0</v>
      </c>
      <c r="E666" s="1">
        <v>728.81</v>
      </c>
      <c r="F666" s="1">
        <v>0</v>
      </c>
      <c r="G666" s="1">
        <v>728.81</v>
      </c>
      <c r="H666" s="1">
        <v>0</v>
      </c>
      <c r="I666" s="1">
        <v>728.81</v>
      </c>
      <c r="J666" s="1">
        <v>0</v>
      </c>
      <c r="K666" s="1">
        <v>728.81</v>
      </c>
      <c r="L666" s="1">
        <v>0</v>
      </c>
      <c r="M666" s="1">
        <v>728.81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728.81</v>
      </c>
      <c r="U666" s="1">
        <f>IF(Table14[[#This Row],[I_0]] &lt; INDEX(Table28[Filtro de ruido],1), 1, Table14[[#This Row],[I_10]] / Table14[[#This Row],[I_0]])</f>
        <v>1</v>
      </c>
      <c r="V666" s="1">
        <f>IF(Table14[[#This Row],[I_0]] &lt; INDEX(Table28[Filtro de ruido],1), 1, Table14[[#This Row],[I_20]] / Table14[[#This Row],[I_0]])</f>
        <v>1</v>
      </c>
      <c r="W666" s="1">
        <f>IF(Table14[[#This Row],[I_0]] &lt; INDEX(Table28[Filtro de ruido],1), 1, Table14[[#This Row],[I_30]] / Table14[[#This Row],[I_0]])</f>
        <v>1</v>
      </c>
      <c r="X666" s="1">
        <f>IF(Table14[[#This Row],[I_0]] &lt; INDEX(Table28[Filtro de ruido],1), 1, Table14[[#This Row],[I_40]] / Table14[[#This Row],[I_0]])</f>
        <v>1</v>
      </c>
      <c r="Y666" s="19">
        <f>IF(Table14[[#This Row],[I_0]] &lt; INDEX(Table28[Filtro de ruido],1), 1, Table14[[#This Row],[I_50]] / Table14[[#This Row],[I_0]])</f>
        <v>1</v>
      </c>
      <c r="AA666" s="1"/>
    </row>
    <row r="667" spans="1:27" x14ac:dyDescent="0.3">
      <c r="A667" s="18">
        <v>729.8</v>
      </c>
      <c r="B667" s="1">
        <v>0</v>
      </c>
      <c r="C667" s="1">
        <v>729.8</v>
      </c>
      <c r="D667" s="1">
        <v>0</v>
      </c>
      <c r="E667" s="1">
        <v>729.8</v>
      </c>
      <c r="F667" s="1">
        <v>0</v>
      </c>
      <c r="G667" s="1">
        <v>729.8</v>
      </c>
      <c r="H667" s="1">
        <v>0</v>
      </c>
      <c r="I667" s="1">
        <v>729.8</v>
      </c>
      <c r="J667" s="1">
        <v>0</v>
      </c>
      <c r="K667" s="1">
        <v>729.8</v>
      </c>
      <c r="L667" s="1">
        <v>0</v>
      </c>
      <c r="M667" s="1">
        <v>729.8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729.8</v>
      </c>
      <c r="U667" s="1">
        <f>IF(Table14[[#This Row],[I_0]] &lt; INDEX(Table28[Filtro de ruido],1), 1, Table14[[#This Row],[I_10]] / Table14[[#This Row],[I_0]])</f>
        <v>1</v>
      </c>
      <c r="V667" s="1">
        <f>IF(Table14[[#This Row],[I_0]] &lt; INDEX(Table28[Filtro de ruido],1), 1, Table14[[#This Row],[I_20]] / Table14[[#This Row],[I_0]])</f>
        <v>1</v>
      </c>
      <c r="W667" s="1">
        <f>IF(Table14[[#This Row],[I_0]] &lt; INDEX(Table28[Filtro de ruido],1), 1, Table14[[#This Row],[I_30]] / Table14[[#This Row],[I_0]])</f>
        <v>1</v>
      </c>
      <c r="X667" s="1">
        <f>IF(Table14[[#This Row],[I_0]] &lt; INDEX(Table28[Filtro de ruido],1), 1, Table14[[#This Row],[I_40]] / Table14[[#This Row],[I_0]])</f>
        <v>1</v>
      </c>
      <c r="Y667" s="19">
        <f>IF(Table14[[#This Row],[I_0]] &lt; INDEX(Table28[Filtro de ruido],1), 1, Table14[[#This Row],[I_50]] / Table14[[#This Row],[I_0]])</f>
        <v>1</v>
      </c>
      <c r="AA667" s="1"/>
    </row>
    <row r="668" spans="1:27" x14ac:dyDescent="0.3">
      <c r="A668" s="18">
        <v>730.8</v>
      </c>
      <c r="B668" s="1">
        <v>0</v>
      </c>
      <c r="C668" s="1">
        <v>730.8</v>
      </c>
      <c r="D668" s="1">
        <v>0</v>
      </c>
      <c r="E668" s="1">
        <v>730.8</v>
      </c>
      <c r="F668" s="1">
        <v>0</v>
      </c>
      <c r="G668" s="1">
        <v>730.8</v>
      </c>
      <c r="H668" s="1">
        <v>0</v>
      </c>
      <c r="I668" s="1">
        <v>730.8</v>
      </c>
      <c r="J668" s="1">
        <v>0</v>
      </c>
      <c r="K668" s="1">
        <v>730.8</v>
      </c>
      <c r="L668" s="1">
        <v>0</v>
      </c>
      <c r="M668" s="1">
        <v>730.8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730.8</v>
      </c>
      <c r="U668" s="1">
        <f>IF(Table14[[#This Row],[I_0]] &lt; INDEX(Table28[Filtro de ruido],1), 1, Table14[[#This Row],[I_10]] / Table14[[#This Row],[I_0]])</f>
        <v>1</v>
      </c>
      <c r="V668" s="1">
        <f>IF(Table14[[#This Row],[I_0]] &lt; INDEX(Table28[Filtro de ruido],1), 1, Table14[[#This Row],[I_20]] / Table14[[#This Row],[I_0]])</f>
        <v>1</v>
      </c>
      <c r="W668" s="1">
        <f>IF(Table14[[#This Row],[I_0]] &lt; INDEX(Table28[Filtro de ruido],1), 1, Table14[[#This Row],[I_30]] / Table14[[#This Row],[I_0]])</f>
        <v>1</v>
      </c>
      <c r="X668" s="1">
        <f>IF(Table14[[#This Row],[I_0]] &lt; INDEX(Table28[Filtro de ruido],1), 1, Table14[[#This Row],[I_40]] / Table14[[#This Row],[I_0]])</f>
        <v>1</v>
      </c>
      <c r="Y668" s="19">
        <f>IF(Table14[[#This Row],[I_0]] &lt; INDEX(Table28[Filtro de ruido],1), 1, Table14[[#This Row],[I_50]] / Table14[[#This Row],[I_0]])</f>
        <v>1</v>
      </c>
      <c r="AA668" s="1"/>
    </row>
    <row r="669" spans="1:27" x14ac:dyDescent="0.3">
      <c r="A669" s="18">
        <v>731.79</v>
      </c>
      <c r="B669" s="1">
        <v>0</v>
      </c>
      <c r="C669" s="1">
        <v>731.79</v>
      </c>
      <c r="D669" s="1">
        <v>0</v>
      </c>
      <c r="E669" s="1">
        <v>731.79</v>
      </c>
      <c r="F669" s="1">
        <v>0</v>
      </c>
      <c r="G669" s="1">
        <v>731.79</v>
      </c>
      <c r="H669" s="1">
        <v>0</v>
      </c>
      <c r="I669" s="1">
        <v>731.79</v>
      </c>
      <c r="J669" s="1">
        <v>0</v>
      </c>
      <c r="K669" s="1">
        <v>731.79</v>
      </c>
      <c r="L669" s="1">
        <v>0</v>
      </c>
      <c r="M669" s="1">
        <v>731.79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731.79</v>
      </c>
      <c r="U669" s="1">
        <f>IF(Table14[[#This Row],[I_0]] &lt; INDEX(Table28[Filtro de ruido],1), 1, Table14[[#This Row],[I_10]] / Table14[[#This Row],[I_0]])</f>
        <v>1</v>
      </c>
      <c r="V669" s="1">
        <f>IF(Table14[[#This Row],[I_0]] &lt; INDEX(Table28[Filtro de ruido],1), 1, Table14[[#This Row],[I_20]] / Table14[[#This Row],[I_0]])</f>
        <v>1</v>
      </c>
      <c r="W669" s="1">
        <f>IF(Table14[[#This Row],[I_0]] &lt; INDEX(Table28[Filtro de ruido],1), 1, Table14[[#This Row],[I_30]] / Table14[[#This Row],[I_0]])</f>
        <v>1</v>
      </c>
      <c r="X669" s="1">
        <f>IF(Table14[[#This Row],[I_0]] &lt; INDEX(Table28[Filtro de ruido],1), 1, Table14[[#This Row],[I_40]] / Table14[[#This Row],[I_0]])</f>
        <v>1</v>
      </c>
      <c r="Y669" s="19">
        <f>IF(Table14[[#This Row],[I_0]] &lt; INDEX(Table28[Filtro de ruido],1), 1, Table14[[#This Row],[I_50]] / Table14[[#This Row],[I_0]])</f>
        <v>1</v>
      </c>
      <c r="AA669" s="1"/>
    </row>
    <row r="670" spans="1:27" x14ac:dyDescent="0.3">
      <c r="A670" s="18">
        <v>732.78</v>
      </c>
      <c r="B670" s="1">
        <v>0</v>
      </c>
      <c r="C670" s="1">
        <v>732.78</v>
      </c>
      <c r="D670" s="1">
        <v>0</v>
      </c>
      <c r="E670" s="1">
        <v>732.78</v>
      </c>
      <c r="F670" s="1">
        <v>0</v>
      </c>
      <c r="G670" s="1">
        <v>732.78</v>
      </c>
      <c r="H670" s="1">
        <v>0</v>
      </c>
      <c r="I670" s="1">
        <v>732.78</v>
      </c>
      <c r="J670" s="1">
        <v>0</v>
      </c>
      <c r="K670" s="1">
        <v>732.78</v>
      </c>
      <c r="L670" s="1">
        <v>0</v>
      </c>
      <c r="M670" s="1">
        <v>732.78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732.78</v>
      </c>
      <c r="U670" s="1">
        <f>IF(Table14[[#This Row],[I_0]] &lt; INDEX(Table28[Filtro de ruido],1), 1, Table14[[#This Row],[I_10]] / Table14[[#This Row],[I_0]])</f>
        <v>1</v>
      </c>
      <c r="V670" s="1">
        <f>IF(Table14[[#This Row],[I_0]] &lt; INDEX(Table28[Filtro de ruido],1), 1, Table14[[#This Row],[I_20]] / Table14[[#This Row],[I_0]])</f>
        <v>1</v>
      </c>
      <c r="W670" s="1">
        <f>IF(Table14[[#This Row],[I_0]] &lt; INDEX(Table28[Filtro de ruido],1), 1, Table14[[#This Row],[I_30]] / Table14[[#This Row],[I_0]])</f>
        <v>1</v>
      </c>
      <c r="X670" s="1">
        <f>IF(Table14[[#This Row],[I_0]] &lt; INDEX(Table28[Filtro de ruido],1), 1, Table14[[#This Row],[I_40]] / Table14[[#This Row],[I_0]])</f>
        <v>1</v>
      </c>
      <c r="Y670" s="19">
        <f>IF(Table14[[#This Row],[I_0]] &lt; INDEX(Table28[Filtro de ruido],1), 1, Table14[[#This Row],[I_50]] / Table14[[#This Row],[I_0]])</f>
        <v>1</v>
      </c>
      <c r="AA670" s="1"/>
    </row>
    <row r="671" spans="1:27" x14ac:dyDescent="0.3">
      <c r="A671" s="18">
        <v>733.77</v>
      </c>
      <c r="B671" s="1">
        <v>0</v>
      </c>
      <c r="C671" s="1">
        <v>733.77</v>
      </c>
      <c r="D671" s="1">
        <v>0</v>
      </c>
      <c r="E671" s="1">
        <v>733.77</v>
      </c>
      <c r="F671" s="1">
        <v>0</v>
      </c>
      <c r="G671" s="1">
        <v>733.77</v>
      </c>
      <c r="H671" s="1">
        <v>0</v>
      </c>
      <c r="I671" s="1">
        <v>733.77</v>
      </c>
      <c r="J671" s="1">
        <v>0</v>
      </c>
      <c r="K671" s="1">
        <v>733.77</v>
      </c>
      <c r="L671" s="1">
        <v>0</v>
      </c>
      <c r="M671" s="1">
        <v>733.77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733.77</v>
      </c>
      <c r="U671" s="1">
        <f>IF(Table14[[#This Row],[I_0]] &lt; INDEX(Table28[Filtro de ruido],1), 1, Table14[[#This Row],[I_10]] / Table14[[#This Row],[I_0]])</f>
        <v>1</v>
      </c>
      <c r="V671" s="1">
        <f>IF(Table14[[#This Row],[I_0]] &lt; INDEX(Table28[Filtro de ruido],1), 1, Table14[[#This Row],[I_20]] / Table14[[#This Row],[I_0]])</f>
        <v>1</v>
      </c>
      <c r="W671" s="1">
        <f>IF(Table14[[#This Row],[I_0]] &lt; INDEX(Table28[Filtro de ruido],1), 1, Table14[[#This Row],[I_30]] / Table14[[#This Row],[I_0]])</f>
        <v>1</v>
      </c>
      <c r="X671" s="1">
        <f>IF(Table14[[#This Row],[I_0]] &lt; INDEX(Table28[Filtro de ruido],1), 1, Table14[[#This Row],[I_40]] / Table14[[#This Row],[I_0]])</f>
        <v>1</v>
      </c>
      <c r="Y671" s="19">
        <f>IF(Table14[[#This Row],[I_0]] &lt; INDEX(Table28[Filtro de ruido],1), 1, Table14[[#This Row],[I_50]] / Table14[[#This Row],[I_0]])</f>
        <v>1</v>
      </c>
      <c r="AA671" s="1"/>
    </row>
    <row r="672" spans="1:27" x14ac:dyDescent="0.3">
      <c r="A672" s="18">
        <v>734.76</v>
      </c>
      <c r="B672" s="1">
        <v>0</v>
      </c>
      <c r="C672" s="1">
        <v>734.76</v>
      </c>
      <c r="D672" s="1">
        <v>0</v>
      </c>
      <c r="E672" s="1">
        <v>734.76</v>
      </c>
      <c r="F672" s="1">
        <v>0</v>
      </c>
      <c r="G672" s="1">
        <v>734.76</v>
      </c>
      <c r="H672" s="1">
        <v>0</v>
      </c>
      <c r="I672" s="1">
        <v>734.76</v>
      </c>
      <c r="J672" s="1">
        <v>0</v>
      </c>
      <c r="K672" s="1">
        <v>734.76</v>
      </c>
      <c r="L672" s="1">
        <v>0</v>
      </c>
      <c r="M672" s="1">
        <v>734.76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734.76</v>
      </c>
      <c r="U672" s="1">
        <f>IF(Table14[[#This Row],[I_0]] &lt; INDEX(Table28[Filtro de ruido],1), 1, Table14[[#This Row],[I_10]] / Table14[[#This Row],[I_0]])</f>
        <v>1</v>
      </c>
      <c r="V672" s="1">
        <f>IF(Table14[[#This Row],[I_0]] &lt; INDEX(Table28[Filtro de ruido],1), 1, Table14[[#This Row],[I_20]] / Table14[[#This Row],[I_0]])</f>
        <v>1</v>
      </c>
      <c r="W672" s="1">
        <f>IF(Table14[[#This Row],[I_0]] &lt; INDEX(Table28[Filtro de ruido],1), 1, Table14[[#This Row],[I_30]] / Table14[[#This Row],[I_0]])</f>
        <v>1</v>
      </c>
      <c r="X672" s="1">
        <f>IF(Table14[[#This Row],[I_0]] &lt; INDEX(Table28[Filtro de ruido],1), 1, Table14[[#This Row],[I_40]] / Table14[[#This Row],[I_0]])</f>
        <v>1</v>
      </c>
      <c r="Y672" s="19">
        <f>IF(Table14[[#This Row],[I_0]] &lt; INDEX(Table28[Filtro de ruido],1), 1, Table14[[#This Row],[I_50]] / Table14[[#This Row],[I_0]])</f>
        <v>1</v>
      </c>
      <c r="AA672" s="1"/>
    </row>
    <row r="673" spans="1:27" x14ac:dyDescent="0.3">
      <c r="A673" s="18">
        <v>735.75</v>
      </c>
      <c r="B673" s="1">
        <v>0</v>
      </c>
      <c r="C673" s="1">
        <v>735.75</v>
      </c>
      <c r="D673" s="1">
        <v>0</v>
      </c>
      <c r="E673" s="1">
        <v>735.75</v>
      </c>
      <c r="F673" s="1">
        <v>0</v>
      </c>
      <c r="G673" s="1">
        <v>735.75</v>
      </c>
      <c r="H673" s="1">
        <v>0</v>
      </c>
      <c r="I673" s="1">
        <v>735.75</v>
      </c>
      <c r="J673" s="1">
        <v>0</v>
      </c>
      <c r="K673" s="1">
        <v>735.75</v>
      </c>
      <c r="L673" s="1">
        <v>0</v>
      </c>
      <c r="M673" s="1">
        <v>735.75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735.75</v>
      </c>
      <c r="U673" s="1">
        <f>IF(Table14[[#This Row],[I_0]] &lt; INDEX(Table28[Filtro de ruido],1), 1, Table14[[#This Row],[I_10]] / Table14[[#This Row],[I_0]])</f>
        <v>1</v>
      </c>
      <c r="V673" s="1">
        <f>IF(Table14[[#This Row],[I_0]] &lt; INDEX(Table28[Filtro de ruido],1), 1, Table14[[#This Row],[I_20]] / Table14[[#This Row],[I_0]])</f>
        <v>1</v>
      </c>
      <c r="W673" s="1">
        <f>IF(Table14[[#This Row],[I_0]] &lt; INDEX(Table28[Filtro de ruido],1), 1, Table14[[#This Row],[I_30]] / Table14[[#This Row],[I_0]])</f>
        <v>1</v>
      </c>
      <c r="X673" s="1">
        <f>IF(Table14[[#This Row],[I_0]] &lt; INDEX(Table28[Filtro de ruido],1), 1, Table14[[#This Row],[I_40]] / Table14[[#This Row],[I_0]])</f>
        <v>1</v>
      </c>
      <c r="Y673" s="19">
        <f>IF(Table14[[#This Row],[I_0]] &lt; INDEX(Table28[Filtro de ruido],1), 1, Table14[[#This Row],[I_50]] / Table14[[#This Row],[I_0]])</f>
        <v>1</v>
      </c>
      <c r="AA673" s="1"/>
    </row>
    <row r="674" spans="1:27" x14ac:dyDescent="0.3">
      <c r="A674" s="18">
        <v>736.75</v>
      </c>
      <c r="B674" s="1">
        <v>0</v>
      </c>
      <c r="C674" s="1">
        <v>736.75</v>
      </c>
      <c r="D674" s="1">
        <v>0</v>
      </c>
      <c r="E674" s="1">
        <v>736.75</v>
      </c>
      <c r="F674" s="1">
        <v>0</v>
      </c>
      <c r="G674" s="1">
        <v>736.75</v>
      </c>
      <c r="H674" s="1">
        <v>0</v>
      </c>
      <c r="I674" s="1">
        <v>736.75</v>
      </c>
      <c r="J674" s="1">
        <v>0</v>
      </c>
      <c r="K674" s="1">
        <v>736.75</v>
      </c>
      <c r="L674" s="1">
        <v>0</v>
      </c>
      <c r="M674" s="1">
        <v>736.75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736.75</v>
      </c>
      <c r="U674" s="1">
        <f>IF(Table14[[#This Row],[I_0]] &lt; INDEX(Table28[Filtro de ruido],1), 1, Table14[[#This Row],[I_10]] / Table14[[#This Row],[I_0]])</f>
        <v>1</v>
      </c>
      <c r="V674" s="1">
        <f>IF(Table14[[#This Row],[I_0]] &lt; INDEX(Table28[Filtro de ruido],1), 1, Table14[[#This Row],[I_20]] / Table14[[#This Row],[I_0]])</f>
        <v>1</v>
      </c>
      <c r="W674" s="1">
        <f>IF(Table14[[#This Row],[I_0]] &lt; INDEX(Table28[Filtro de ruido],1), 1, Table14[[#This Row],[I_30]] / Table14[[#This Row],[I_0]])</f>
        <v>1</v>
      </c>
      <c r="X674" s="1">
        <f>IF(Table14[[#This Row],[I_0]] &lt; INDEX(Table28[Filtro de ruido],1), 1, Table14[[#This Row],[I_40]] / Table14[[#This Row],[I_0]])</f>
        <v>1</v>
      </c>
      <c r="Y674" s="19">
        <f>IF(Table14[[#This Row],[I_0]] &lt; INDEX(Table28[Filtro de ruido],1), 1, Table14[[#This Row],[I_50]] / Table14[[#This Row],[I_0]])</f>
        <v>1</v>
      </c>
      <c r="AA674" s="1"/>
    </row>
    <row r="675" spans="1:27" x14ac:dyDescent="0.3">
      <c r="A675" s="18">
        <v>737.74</v>
      </c>
      <c r="B675" s="1">
        <v>0</v>
      </c>
      <c r="C675" s="1">
        <v>737.74</v>
      </c>
      <c r="D675" s="1">
        <v>0</v>
      </c>
      <c r="E675" s="1">
        <v>737.74</v>
      </c>
      <c r="F675" s="1">
        <v>0</v>
      </c>
      <c r="G675" s="1">
        <v>737.74</v>
      </c>
      <c r="H675" s="1">
        <v>0</v>
      </c>
      <c r="I675" s="1">
        <v>737.74</v>
      </c>
      <c r="J675" s="1">
        <v>0</v>
      </c>
      <c r="K675" s="1">
        <v>737.74</v>
      </c>
      <c r="L675" s="1">
        <v>0</v>
      </c>
      <c r="M675" s="1">
        <v>737.74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737.74</v>
      </c>
      <c r="U675" s="1">
        <f>IF(Table14[[#This Row],[I_0]] &lt; INDEX(Table28[Filtro de ruido],1), 1, Table14[[#This Row],[I_10]] / Table14[[#This Row],[I_0]])</f>
        <v>1</v>
      </c>
      <c r="V675" s="1">
        <f>IF(Table14[[#This Row],[I_0]] &lt; INDEX(Table28[Filtro de ruido],1), 1, Table14[[#This Row],[I_20]] / Table14[[#This Row],[I_0]])</f>
        <v>1</v>
      </c>
      <c r="W675" s="1">
        <f>IF(Table14[[#This Row],[I_0]] &lt; INDEX(Table28[Filtro de ruido],1), 1, Table14[[#This Row],[I_30]] / Table14[[#This Row],[I_0]])</f>
        <v>1</v>
      </c>
      <c r="X675" s="1">
        <f>IF(Table14[[#This Row],[I_0]] &lt; INDEX(Table28[Filtro de ruido],1), 1, Table14[[#This Row],[I_40]] / Table14[[#This Row],[I_0]])</f>
        <v>1</v>
      </c>
      <c r="Y675" s="19">
        <f>IF(Table14[[#This Row],[I_0]] &lt; INDEX(Table28[Filtro de ruido],1), 1, Table14[[#This Row],[I_50]] / Table14[[#This Row],[I_0]])</f>
        <v>1</v>
      </c>
      <c r="AA675" s="1"/>
    </row>
    <row r="676" spans="1:27" x14ac:dyDescent="0.3">
      <c r="A676" s="18">
        <v>738.73</v>
      </c>
      <c r="B676" s="1">
        <v>0</v>
      </c>
      <c r="C676" s="1">
        <v>738.73</v>
      </c>
      <c r="D676" s="1">
        <v>0</v>
      </c>
      <c r="E676" s="1">
        <v>738.73</v>
      </c>
      <c r="F676" s="1">
        <v>0</v>
      </c>
      <c r="G676" s="1">
        <v>738.73</v>
      </c>
      <c r="H676" s="1">
        <v>0</v>
      </c>
      <c r="I676" s="1">
        <v>738.73</v>
      </c>
      <c r="J676" s="1">
        <v>0</v>
      </c>
      <c r="K676" s="1">
        <v>738.73</v>
      </c>
      <c r="L676" s="1">
        <v>0</v>
      </c>
      <c r="M676" s="1">
        <v>738.73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738.73</v>
      </c>
      <c r="U676" s="1">
        <f>IF(Table14[[#This Row],[I_0]] &lt; INDEX(Table28[Filtro de ruido],1), 1, Table14[[#This Row],[I_10]] / Table14[[#This Row],[I_0]])</f>
        <v>1</v>
      </c>
      <c r="V676" s="1">
        <f>IF(Table14[[#This Row],[I_0]] &lt; INDEX(Table28[Filtro de ruido],1), 1, Table14[[#This Row],[I_20]] / Table14[[#This Row],[I_0]])</f>
        <v>1</v>
      </c>
      <c r="W676" s="1">
        <f>IF(Table14[[#This Row],[I_0]] &lt; INDEX(Table28[Filtro de ruido],1), 1, Table14[[#This Row],[I_30]] / Table14[[#This Row],[I_0]])</f>
        <v>1</v>
      </c>
      <c r="X676" s="1">
        <f>IF(Table14[[#This Row],[I_0]] &lt; INDEX(Table28[Filtro de ruido],1), 1, Table14[[#This Row],[I_40]] / Table14[[#This Row],[I_0]])</f>
        <v>1</v>
      </c>
      <c r="Y676" s="19">
        <f>IF(Table14[[#This Row],[I_0]] &lt; INDEX(Table28[Filtro de ruido],1), 1, Table14[[#This Row],[I_50]] / Table14[[#This Row],[I_0]])</f>
        <v>1</v>
      </c>
      <c r="AA676" s="1"/>
    </row>
    <row r="677" spans="1:27" x14ac:dyDescent="0.3">
      <c r="A677" s="18">
        <v>739.72</v>
      </c>
      <c r="B677" s="1">
        <v>0</v>
      </c>
      <c r="C677" s="1">
        <v>739.72</v>
      </c>
      <c r="D677" s="1">
        <v>0</v>
      </c>
      <c r="E677" s="1">
        <v>739.72</v>
      </c>
      <c r="F677" s="1">
        <v>0</v>
      </c>
      <c r="G677" s="1">
        <v>739.72</v>
      </c>
      <c r="H677" s="1">
        <v>0</v>
      </c>
      <c r="I677" s="1">
        <v>739.72</v>
      </c>
      <c r="J677" s="1">
        <v>0</v>
      </c>
      <c r="K677" s="1">
        <v>739.72</v>
      </c>
      <c r="L677" s="1">
        <v>0</v>
      </c>
      <c r="M677" s="1">
        <v>739.72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739.72</v>
      </c>
      <c r="U677" s="1">
        <f>IF(Table14[[#This Row],[I_0]] &lt; INDEX(Table28[Filtro de ruido],1), 1, Table14[[#This Row],[I_10]] / Table14[[#This Row],[I_0]])</f>
        <v>1</v>
      </c>
      <c r="V677" s="1">
        <f>IF(Table14[[#This Row],[I_0]] &lt; INDEX(Table28[Filtro de ruido],1), 1, Table14[[#This Row],[I_20]] / Table14[[#This Row],[I_0]])</f>
        <v>1</v>
      </c>
      <c r="W677" s="1">
        <f>IF(Table14[[#This Row],[I_0]] &lt; INDEX(Table28[Filtro de ruido],1), 1, Table14[[#This Row],[I_30]] / Table14[[#This Row],[I_0]])</f>
        <v>1</v>
      </c>
      <c r="X677" s="1">
        <f>IF(Table14[[#This Row],[I_0]] &lt; INDEX(Table28[Filtro de ruido],1), 1, Table14[[#This Row],[I_40]] / Table14[[#This Row],[I_0]])</f>
        <v>1</v>
      </c>
      <c r="Y677" s="19">
        <f>IF(Table14[[#This Row],[I_0]] &lt; INDEX(Table28[Filtro de ruido],1), 1, Table14[[#This Row],[I_50]] / Table14[[#This Row],[I_0]])</f>
        <v>1</v>
      </c>
      <c r="AA677" s="1"/>
    </row>
    <row r="678" spans="1:27" x14ac:dyDescent="0.3">
      <c r="A678" s="18">
        <v>740.71</v>
      </c>
      <c r="B678" s="1">
        <v>0</v>
      </c>
      <c r="C678" s="1">
        <v>740.71</v>
      </c>
      <c r="D678" s="1">
        <v>0</v>
      </c>
      <c r="E678" s="1">
        <v>740.71</v>
      </c>
      <c r="F678" s="1">
        <v>0</v>
      </c>
      <c r="G678" s="1">
        <v>740.71</v>
      </c>
      <c r="H678" s="1">
        <v>0</v>
      </c>
      <c r="I678" s="1">
        <v>740.71</v>
      </c>
      <c r="J678" s="1">
        <v>0</v>
      </c>
      <c r="K678" s="1">
        <v>740.71</v>
      </c>
      <c r="L678" s="1">
        <v>0</v>
      </c>
      <c r="M678" s="1">
        <v>740.71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740.71</v>
      </c>
      <c r="U678" s="1">
        <f>IF(Table14[[#This Row],[I_0]] &lt; INDEX(Table28[Filtro de ruido],1), 1, Table14[[#This Row],[I_10]] / Table14[[#This Row],[I_0]])</f>
        <v>1</v>
      </c>
      <c r="V678" s="1">
        <f>IF(Table14[[#This Row],[I_0]] &lt; INDEX(Table28[Filtro de ruido],1), 1, Table14[[#This Row],[I_20]] / Table14[[#This Row],[I_0]])</f>
        <v>1</v>
      </c>
      <c r="W678" s="1">
        <f>IF(Table14[[#This Row],[I_0]] &lt; INDEX(Table28[Filtro de ruido],1), 1, Table14[[#This Row],[I_30]] / Table14[[#This Row],[I_0]])</f>
        <v>1</v>
      </c>
      <c r="X678" s="1">
        <f>IF(Table14[[#This Row],[I_0]] &lt; INDEX(Table28[Filtro de ruido],1), 1, Table14[[#This Row],[I_40]] / Table14[[#This Row],[I_0]])</f>
        <v>1</v>
      </c>
      <c r="Y678" s="19">
        <f>IF(Table14[[#This Row],[I_0]] &lt; INDEX(Table28[Filtro de ruido],1), 1, Table14[[#This Row],[I_50]] / Table14[[#This Row],[I_0]])</f>
        <v>1</v>
      </c>
      <c r="AA678" s="1"/>
    </row>
    <row r="679" spans="1:27" x14ac:dyDescent="0.3">
      <c r="A679" s="18">
        <v>741.71</v>
      </c>
      <c r="B679" s="1">
        <v>0</v>
      </c>
      <c r="C679" s="1">
        <v>741.71</v>
      </c>
      <c r="D679" s="1">
        <v>0</v>
      </c>
      <c r="E679" s="1">
        <v>741.71</v>
      </c>
      <c r="F679" s="1">
        <v>0</v>
      </c>
      <c r="G679" s="1">
        <v>741.71</v>
      </c>
      <c r="H679" s="1">
        <v>0</v>
      </c>
      <c r="I679" s="1">
        <v>741.71</v>
      </c>
      <c r="J679" s="1">
        <v>0</v>
      </c>
      <c r="K679" s="1">
        <v>741.71</v>
      </c>
      <c r="L679" s="1">
        <v>0</v>
      </c>
      <c r="M679" s="1">
        <v>741.71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741.71</v>
      </c>
      <c r="U679" s="1">
        <f>IF(Table14[[#This Row],[I_0]] &lt; INDEX(Table28[Filtro de ruido],1), 1, Table14[[#This Row],[I_10]] / Table14[[#This Row],[I_0]])</f>
        <v>1</v>
      </c>
      <c r="V679" s="1">
        <f>IF(Table14[[#This Row],[I_0]] &lt; INDEX(Table28[Filtro de ruido],1), 1, Table14[[#This Row],[I_20]] / Table14[[#This Row],[I_0]])</f>
        <v>1</v>
      </c>
      <c r="W679" s="1">
        <f>IF(Table14[[#This Row],[I_0]] &lt; INDEX(Table28[Filtro de ruido],1), 1, Table14[[#This Row],[I_30]] / Table14[[#This Row],[I_0]])</f>
        <v>1</v>
      </c>
      <c r="X679" s="1">
        <f>IF(Table14[[#This Row],[I_0]] &lt; INDEX(Table28[Filtro de ruido],1), 1, Table14[[#This Row],[I_40]] / Table14[[#This Row],[I_0]])</f>
        <v>1</v>
      </c>
      <c r="Y679" s="19">
        <f>IF(Table14[[#This Row],[I_0]] &lt; INDEX(Table28[Filtro de ruido],1), 1, Table14[[#This Row],[I_50]] / Table14[[#This Row],[I_0]])</f>
        <v>1</v>
      </c>
      <c r="AA679" s="1"/>
    </row>
    <row r="680" spans="1:27" x14ac:dyDescent="0.3">
      <c r="A680" s="18">
        <v>742.7</v>
      </c>
      <c r="B680" s="1">
        <v>0</v>
      </c>
      <c r="C680" s="1">
        <v>742.7</v>
      </c>
      <c r="D680" s="1">
        <v>0</v>
      </c>
      <c r="E680" s="1">
        <v>742.7</v>
      </c>
      <c r="F680" s="1">
        <v>0</v>
      </c>
      <c r="G680" s="1">
        <v>742.7</v>
      </c>
      <c r="H680" s="1">
        <v>0</v>
      </c>
      <c r="I680" s="1">
        <v>742.7</v>
      </c>
      <c r="J680" s="1">
        <v>0</v>
      </c>
      <c r="K680" s="1">
        <v>742.7</v>
      </c>
      <c r="L680" s="1">
        <v>0</v>
      </c>
      <c r="M680" s="1">
        <v>742.7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742.7</v>
      </c>
      <c r="U680" s="1">
        <f>IF(Table14[[#This Row],[I_0]] &lt; INDEX(Table28[Filtro de ruido],1), 1, Table14[[#This Row],[I_10]] / Table14[[#This Row],[I_0]])</f>
        <v>1</v>
      </c>
      <c r="V680" s="1">
        <f>IF(Table14[[#This Row],[I_0]] &lt; INDEX(Table28[Filtro de ruido],1), 1, Table14[[#This Row],[I_20]] / Table14[[#This Row],[I_0]])</f>
        <v>1</v>
      </c>
      <c r="W680" s="1">
        <f>IF(Table14[[#This Row],[I_0]] &lt; INDEX(Table28[Filtro de ruido],1), 1, Table14[[#This Row],[I_30]] / Table14[[#This Row],[I_0]])</f>
        <v>1</v>
      </c>
      <c r="X680" s="1">
        <f>IF(Table14[[#This Row],[I_0]] &lt; INDEX(Table28[Filtro de ruido],1), 1, Table14[[#This Row],[I_40]] / Table14[[#This Row],[I_0]])</f>
        <v>1</v>
      </c>
      <c r="Y680" s="19">
        <f>IF(Table14[[#This Row],[I_0]] &lt; INDEX(Table28[Filtro de ruido],1), 1, Table14[[#This Row],[I_50]] / Table14[[#This Row],[I_0]])</f>
        <v>1</v>
      </c>
      <c r="AA680" s="1"/>
    </row>
    <row r="681" spans="1:27" x14ac:dyDescent="0.3">
      <c r="A681" s="18">
        <v>743.69</v>
      </c>
      <c r="B681" s="1">
        <v>0</v>
      </c>
      <c r="C681" s="1">
        <v>743.69</v>
      </c>
      <c r="D681" s="1">
        <v>0</v>
      </c>
      <c r="E681" s="1">
        <v>743.69</v>
      </c>
      <c r="F681" s="1">
        <v>0</v>
      </c>
      <c r="G681" s="1">
        <v>743.69</v>
      </c>
      <c r="H681" s="1">
        <v>0</v>
      </c>
      <c r="I681" s="1">
        <v>743.69</v>
      </c>
      <c r="J681" s="1">
        <v>0</v>
      </c>
      <c r="K681" s="1">
        <v>743.69</v>
      </c>
      <c r="L681" s="1">
        <v>0</v>
      </c>
      <c r="M681" s="1">
        <v>743.69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743.69</v>
      </c>
      <c r="U681" s="1">
        <f>IF(Table14[[#This Row],[I_0]] &lt; INDEX(Table28[Filtro de ruido],1), 1, Table14[[#This Row],[I_10]] / Table14[[#This Row],[I_0]])</f>
        <v>1</v>
      </c>
      <c r="V681" s="1">
        <f>IF(Table14[[#This Row],[I_0]] &lt; INDEX(Table28[Filtro de ruido],1), 1, Table14[[#This Row],[I_20]] / Table14[[#This Row],[I_0]])</f>
        <v>1</v>
      </c>
      <c r="W681" s="1">
        <f>IF(Table14[[#This Row],[I_0]] &lt; INDEX(Table28[Filtro de ruido],1), 1, Table14[[#This Row],[I_30]] / Table14[[#This Row],[I_0]])</f>
        <v>1</v>
      </c>
      <c r="X681" s="1">
        <f>IF(Table14[[#This Row],[I_0]] &lt; INDEX(Table28[Filtro de ruido],1), 1, Table14[[#This Row],[I_40]] / Table14[[#This Row],[I_0]])</f>
        <v>1</v>
      </c>
      <c r="Y681" s="19">
        <f>IF(Table14[[#This Row],[I_0]] &lt; INDEX(Table28[Filtro de ruido],1), 1, Table14[[#This Row],[I_50]] / Table14[[#This Row],[I_0]])</f>
        <v>1</v>
      </c>
      <c r="AA681" s="1"/>
    </row>
    <row r="682" spans="1:27" x14ac:dyDescent="0.3">
      <c r="A682" s="18">
        <v>744.68</v>
      </c>
      <c r="B682" s="1">
        <v>0</v>
      </c>
      <c r="C682" s="1">
        <v>744.68</v>
      </c>
      <c r="D682" s="1">
        <v>0</v>
      </c>
      <c r="E682" s="1">
        <v>744.68</v>
      </c>
      <c r="F682" s="1">
        <v>0</v>
      </c>
      <c r="G682" s="1">
        <v>744.68</v>
      </c>
      <c r="H682" s="1">
        <v>0</v>
      </c>
      <c r="I682" s="1">
        <v>744.68</v>
      </c>
      <c r="J682" s="1">
        <v>0</v>
      </c>
      <c r="K682" s="1">
        <v>744.68</v>
      </c>
      <c r="L682" s="1">
        <v>0</v>
      </c>
      <c r="M682" s="1">
        <v>744.68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744.68</v>
      </c>
      <c r="U682" s="1">
        <f>IF(Table14[[#This Row],[I_0]] &lt; INDEX(Table28[Filtro de ruido],1), 1, Table14[[#This Row],[I_10]] / Table14[[#This Row],[I_0]])</f>
        <v>1</v>
      </c>
      <c r="V682" s="1">
        <f>IF(Table14[[#This Row],[I_0]] &lt; INDEX(Table28[Filtro de ruido],1), 1, Table14[[#This Row],[I_20]] / Table14[[#This Row],[I_0]])</f>
        <v>1</v>
      </c>
      <c r="W682" s="1">
        <f>IF(Table14[[#This Row],[I_0]] &lt; INDEX(Table28[Filtro de ruido],1), 1, Table14[[#This Row],[I_30]] / Table14[[#This Row],[I_0]])</f>
        <v>1</v>
      </c>
      <c r="X682" s="1">
        <f>IF(Table14[[#This Row],[I_0]] &lt; INDEX(Table28[Filtro de ruido],1), 1, Table14[[#This Row],[I_40]] / Table14[[#This Row],[I_0]])</f>
        <v>1</v>
      </c>
      <c r="Y682" s="19">
        <f>IF(Table14[[#This Row],[I_0]] &lt; INDEX(Table28[Filtro de ruido],1), 1, Table14[[#This Row],[I_50]] / Table14[[#This Row],[I_0]])</f>
        <v>1</v>
      </c>
      <c r="AA682" s="1"/>
    </row>
    <row r="683" spans="1:27" x14ac:dyDescent="0.3">
      <c r="A683" s="18">
        <v>745.67</v>
      </c>
      <c r="B683" s="1">
        <v>0</v>
      </c>
      <c r="C683" s="1">
        <v>745.67</v>
      </c>
      <c r="D683" s="1">
        <v>0</v>
      </c>
      <c r="E683" s="1">
        <v>745.67</v>
      </c>
      <c r="F683" s="1">
        <v>0</v>
      </c>
      <c r="G683" s="1">
        <v>745.67</v>
      </c>
      <c r="H683" s="1">
        <v>0</v>
      </c>
      <c r="I683" s="1">
        <v>745.67</v>
      </c>
      <c r="J683" s="1">
        <v>0</v>
      </c>
      <c r="K683" s="1">
        <v>745.67</v>
      </c>
      <c r="L683" s="1">
        <v>0</v>
      </c>
      <c r="M683" s="1">
        <v>745.67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745.67</v>
      </c>
      <c r="U683" s="1">
        <f>IF(Table14[[#This Row],[I_0]] &lt; INDEX(Table28[Filtro de ruido],1), 1, Table14[[#This Row],[I_10]] / Table14[[#This Row],[I_0]])</f>
        <v>1</v>
      </c>
      <c r="V683" s="1">
        <f>IF(Table14[[#This Row],[I_0]] &lt; INDEX(Table28[Filtro de ruido],1), 1, Table14[[#This Row],[I_20]] / Table14[[#This Row],[I_0]])</f>
        <v>1</v>
      </c>
      <c r="W683" s="1">
        <f>IF(Table14[[#This Row],[I_0]] &lt; INDEX(Table28[Filtro de ruido],1), 1, Table14[[#This Row],[I_30]] / Table14[[#This Row],[I_0]])</f>
        <v>1</v>
      </c>
      <c r="X683" s="1">
        <f>IF(Table14[[#This Row],[I_0]] &lt; INDEX(Table28[Filtro de ruido],1), 1, Table14[[#This Row],[I_40]] / Table14[[#This Row],[I_0]])</f>
        <v>1</v>
      </c>
      <c r="Y683" s="19">
        <f>IF(Table14[[#This Row],[I_0]] &lt; INDEX(Table28[Filtro de ruido],1), 1, Table14[[#This Row],[I_50]] / Table14[[#This Row],[I_0]])</f>
        <v>1</v>
      </c>
      <c r="AA683" s="1"/>
    </row>
    <row r="684" spans="1:27" x14ac:dyDescent="0.3">
      <c r="A684" s="18">
        <v>746.66</v>
      </c>
      <c r="B684" s="1">
        <v>0</v>
      </c>
      <c r="C684" s="1">
        <v>746.66</v>
      </c>
      <c r="D684" s="1">
        <v>0</v>
      </c>
      <c r="E684" s="1">
        <v>746.66</v>
      </c>
      <c r="F684" s="1">
        <v>0</v>
      </c>
      <c r="G684" s="1">
        <v>746.66</v>
      </c>
      <c r="H684" s="1">
        <v>0</v>
      </c>
      <c r="I684" s="1">
        <v>746.66</v>
      </c>
      <c r="J684" s="1">
        <v>0</v>
      </c>
      <c r="K684" s="1">
        <v>746.66</v>
      </c>
      <c r="L684" s="1">
        <v>0</v>
      </c>
      <c r="M684" s="1">
        <v>746.66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746.66</v>
      </c>
      <c r="U684" s="1">
        <f>IF(Table14[[#This Row],[I_0]] &lt; INDEX(Table28[Filtro de ruido],1), 1, Table14[[#This Row],[I_10]] / Table14[[#This Row],[I_0]])</f>
        <v>1</v>
      </c>
      <c r="V684" s="1">
        <f>IF(Table14[[#This Row],[I_0]] &lt; INDEX(Table28[Filtro de ruido],1), 1, Table14[[#This Row],[I_20]] / Table14[[#This Row],[I_0]])</f>
        <v>1</v>
      </c>
      <c r="W684" s="1">
        <f>IF(Table14[[#This Row],[I_0]] &lt; INDEX(Table28[Filtro de ruido],1), 1, Table14[[#This Row],[I_30]] / Table14[[#This Row],[I_0]])</f>
        <v>1</v>
      </c>
      <c r="X684" s="1">
        <f>IF(Table14[[#This Row],[I_0]] &lt; INDEX(Table28[Filtro de ruido],1), 1, Table14[[#This Row],[I_40]] / Table14[[#This Row],[I_0]])</f>
        <v>1</v>
      </c>
      <c r="Y684" s="19">
        <f>IF(Table14[[#This Row],[I_0]] &lt; INDEX(Table28[Filtro de ruido],1), 1, Table14[[#This Row],[I_50]] / Table14[[#This Row],[I_0]])</f>
        <v>1</v>
      </c>
      <c r="AA684" s="1"/>
    </row>
    <row r="685" spans="1:27" x14ac:dyDescent="0.3">
      <c r="A685" s="18">
        <v>747.66</v>
      </c>
      <c r="B685" s="1">
        <v>0</v>
      </c>
      <c r="C685" s="1">
        <v>747.66</v>
      </c>
      <c r="D685" s="1">
        <v>0</v>
      </c>
      <c r="E685" s="1">
        <v>747.66</v>
      </c>
      <c r="F685" s="1">
        <v>0</v>
      </c>
      <c r="G685" s="1">
        <v>747.66</v>
      </c>
      <c r="H685" s="1">
        <v>0</v>
      </c>
      <c r="I685" s="1">
        <v>747.66</v>
      </c>
      <c r="J685" s="1">
        <v>0</v>
      </c>
      <c r="K685" s="1">
        <v>747.66</v>
      </c>
      <c r="L685" s="1">
        <v>0</v>
      </c>
      <c r="M685" s="1">
        <v>747.66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747.66</v>
      </c>
      <c r="U685" s="1">
        <f>IF(Table14[[#This Row],[I_0]] &lt; INDEX(Table28[Filtro de ruido],1), 1, Table14[[#This Row],[I_10]] / Table14[[#This Row],[I_0]])</f>
        <v>1</v>
      </c>
      <c r="V685" s="1">
        <f>IF(Table14[[#This Row],[I_0]] &lt; INDEX(Table28[Filtro de ruido],1), 1, Table14[[#This Row],[I_20]] / Table14[[#This Row],[I_0]])</f>
        <v>1</v>
      </c>
      <c r="W685" s="1">
        <f>IF(Table14[[#This Row],[I_0]] &lt; INDEX(Table28[Filtro de ruido],1), 1, Table14[[#This Row],[I_30]] / Table14[[#This Row],[I_0]])</f>
        <v>1</v>
      </c>
      <c r="X685" s="1">
        <f>IF(Table14[[#This Row],[I_0]] &lt; INDEX(Table28[Filtro de ruido],1), 1, Table14[[#This Row],[I_40]] / Table14[[#This Row],[I_0]])</f>
        <v>1</v>
      </c>
      <c r="Y685" s="19">
        <f>IF(Table14[[#This Row],[I_0]] &lt; INDEX(Table28[Filtro de ruido],1), 1, Table14[[#This Row],[I_50]] / Table14[[#This Row],[I_0]])</f>
        <v>1</v>
      </c>
      <c r="AA685" s="1"/>
    </row>
    <row r="686" spans="1:27" x14ac:dyDescent="0.3">
      <c r="A686" s="18">
        <v>748.65</v>
      </c>
      <c r="B686" s="1">
        <v>0</v>
      </c>
      <c r="C686" s="1">
        <v>748.65</v>
      </c>
      <c r="D686" s="1">
        <v>0</v>
      </c>
      <c r="E686" s="1">
        <v>748.65</v>
      </c>
      <c r="F686" s="1">
        <v>0</v>
      </c>
      <c r="G686" s="1">
        <v>748.65</v>
      </c>
      <c r="H686" s="1">
        <v>0</v>
      </c>
      <c r="I686" s="1">
        <v>748.65</v>
      </c>
      <c r="J686" s="1">
        <v>0</v>
      </c>
      <c r="K686" s="1">
        <v>748.65</v>
      </c>
      <c r="L686" s="1">
        <v>0</v>
      </c>
      <c r="M686" s="1">
        <v>748.65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748.65</v>
      </c>
      <c r="U686" s="1">
        <f>IF(Table14[[#This Row],[I_0]] &lt; INDEX(Table28[Filtro de ruido],1), 1, Table14[[#This Row],[I_10]] / Table14[[#This Row],[I_0]])</f>
        <v>1</v>
      </c>
      <c r="V686" s="1">
        <f>IF(Table14[[#This Row],[I_0]] &lt; INDEX(Table28[Filtro de ruido],1), 1, Table14[[#This Row],[I_20]] / Table14[[#This Row],[I_0]])</f>
        <v>1</v>
      </c>
      <c r="W686" s="1">
        <f>IF(Table14[[#This Row],[I_0]] &lt; INDEX(Table28[Filtro de ruido],1), 1, Table14[[#This Row],[I_30]] / Table14[[#This Row],[I_0]])</f>
        <v>1</v>
      </c>
      <c r="X686" s="1">
        <f>IF(Table14[[#This Row],[I_0]] &lt; INDEX(Table28[Filtro de ruido],1), 1, Table14[[#This Row],[I_40]] / Table14[[#This Row],[I_0]])</f>
        <v>1</v>
      </c>
      <c r="Y686" s="19">
        <f>IF(Table14[[#This Row],[I_0]] &lt; INDEX(Table28[Filtro de ruido],1), 1, Table14[[#This Row],[I_50]] / Table14[[#This Row],[I_0]])</f>
        <v>1</v>
      </c>
      <c r="AA686" s="1"/>
    </row>
    <row r="687" spans="1:27" x14ac:dyDescent="0.3">
      <c r="A687" s="18">
        <v>749.64</v>
      </c>
      <c r="B687" s="1">
        <v>0</v>
      </c>
      <c r="C687" s="1">
        <v>749.64</v>
      </c>
      <c r="D687" s="1">
        <v>0</v>
      </c>
      <c r="E687" s="1">
        <v>749.64</v>
      </c>
      <c r="F687" s="1">
        <v>0</v>
      </c>
      <c r="G687" s="1">
        <v>749.64</v>
      </c>
      <c r="H687" s="1">
        <v>0</v>
      </c>
      <c r="I687" s="1">
        <v>749.64</v>
      </c>
      <c r="J687" s="1">
        <v>0</v>
      </c>
      <c r="K687" s="1">
        <v>749.64</v>
      </c>
      <c r="L687" s="1">
        <v>0</v>
      </c>
      <c r="M687" s="1">
        <v>749.64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749.64</v>
      </c>
      <c r="U687" s="1">
        <f>IF(Table14[[#This Row],[I_0]] &lt; INDEX(Table28[Filtro de ruido],1), 1, Table14[[#This Row],[I_10]] / Table14[[#This Row],[I_0]])</f>
        <v>1</v>
      </c>
      <c r="V687" s="1">
        <f>IF(Table14[[#This Row],[I_0]] &lt; INDEX(Table28[Filtro de ruido],1), 1, Table14[[#This Row],[I_20]] / Table14[[#This Row],[I_0]])</f>
        <v>1</v>
      </c>
      <c r="W687" s="1">
        <f>IF(Table14[[#This Row],[I_0]] &lt; INDEX(Table28[Filtro de ruido],1), 1, Table14[[#This Row],[I_30]] / Table14[[#This Row],[I_0]])</f>
        <v>1</v>
      </c>
      <c r="X687" s="1">
        <f>IF(Table14[[#This Row],[I_0]] &lt; INDEX(Table28[Filtro de ruido],1), 1, Table14[[#This Row],[I_40]] / Table14[[#This Row],[I_0]])</f>
        <v>1</v>
      </c>
      <c r="Y687" s="19">
        <f>IF(Table14[[#This Row],[I_0]] &lt; INDEX(Table28[Filtro de ruido],1), 1, Table14[[#This Row],[I_50]] / Table14[[#This Row],[I_0]])</f>
        <v>1</v>
      </c>
      <c r="AA687" s="1"/>
    </row>
    <row r="688" spans="1:27" x14ac:dyDescent="0.3">
      <c r="A688" s="18">
        <v>750.63</v>
      </c>
      <c r="B688" s="1">
        <v>0</v>
      </c>
      <c r="C688" s="1">
        <v>750.63</v>
      </c>
      <c r="D688" s="1">
        <v>0</v>
      </c>
      <c r="E688" s="1">
        <v>750.63</v>
      </c>
      <c r="F688" s="1">
        <v>0</v>
      </c>
      <c r="G688" s="1">
        <v>750.63</v>
      </c>
      <c r="H688" s="1">
        <v>0</v>
      </c>
      <c r="I688" s="1">
        <v>750.63</v>
      </c>
      <c r="J688" s="1">
        <v>0</v>
      </c>
      <c r="K688" s="1">
        <v>750.63</v>
      </c>
      <c r="L688" s="1">
        <v>0</v>
      </c>
      <c r="M688" s="1">
        <v>750.63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750.63</v>
      </c>
      <c r="U688" s="1">
        <f>IF(Table14[[#This Row],[I_0]] &lt; INDEX(Table28[Filtro de ruido],1), 1, Table14[[#This Row],[I_10]] / Table14[[#This Row],[I_0]])</f>
        <v>1</v>
      </c>
      <c r="V688" s="1">
        <f>IF(Table14[[#This Row],[I_0]] &lt; INDEX(Table28[Filtro de ruido],1), 1, Table14[[#This Row],[I_20]] / Table14[[#This Row],[I_0]])</f>
        <v>1</v>
      </c>
      <c r="W688" s="1">
        <f>IF(Table14[[#This Row],[I_0]] &lt; INDEX(Table28[Filtro de ruido],1), 1, Table14[[#This Row],[I_30]] / Table14[[#This Row],[I_0]])</f>
        <v>1</v>
      </c>
      <c r="X688" s="1">
        <f>IF(Table14[[#This Row],[I_0]] &lt; INDEX(Table28[Filtro de ruido],1), 1, Table14[[#This Row],[I_40]] / Table14[[#This Row],[I_0]])</f>
        <v>1</v>
      </c>
      <c r="Y688" s="19">
        <f>IF(Table14[[#This Row],[I_0]] &lt; INDEX(Table28[Filtro de ruido],1), 1, Table14[[#This Row],[I_50]] / Table14[[#This Row],[I_0]])</f>
        <v>1</v>
      </c>
      <c r="AA688" s="1"/>
    </row>
    <row r="689" spans="1:27" x14ac:dyDescent="0.3">
      <c r="A689" s="18">
        <v>751.62</v>
      </c>
      <c r="B689" s="1">
        <v>0</v>
      </c>
      <c r="C689" s="1">
        <v>751.62</v>
      </c>
      <c r="D689" s="1">
        <v>0</v>
      </c>
      <c r="E689" s="1">
        <v>751.62</v>
      </c>
      <c r="F689" s="1">
        <v>0</v>
      </c>
      <c r="G689" s="1">
        <v>751.62</v>
      </c>
      <c r="H689" s="1">
        <v>0</v>
      </c>
      <c r="I689" s="1">
        <v>751.62</v>
      </c>
      <c r="J689" s="1">
        <v>0</v>
      </c>
      <c r="K689" s="1">
        <v>751.62</v>
      </c>
      <c r="L689" s="1">
        <v>0</v>
      </c>
      <c r="M689" s="1">
        <v>751.62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751.62</v>
      </c>
      <c r="U689" s="1">
        <f>IF(Table14[[#This Row],[I_0]] &lt; INDEX(Table28[Filtro de ruido],1), 1, Table14[[#This Row],[I_10]] / Table14[[#This Row],[I_0]])</f>
        <v>1</v>
      </c>
      <c r="V689" s="1">
        <f>IF(Table14[[#This Row],[I_0]] &lt; INDEX(Table28[Filtro de ruido],1), 1, Table14[[#This Row],[I_20]] / Table14[[#This Row],[I_0]])</f>
        <v>1</v>
      </c>
      <c r="W689" s="1">
        <f>IF(Table14[[#This Row],[I_0]] &lt; INDEX(Table28[Filtro de ruido],1), 1, Table14[[#This Row],[I_30]] / Table14[[#This Row],[I_0]])</f>
        <v>1</v>
      </c>
      <c r="X689" s="1">
        <f>IF(Table14[[#This Row],[I_0]] &lt; INDEX(Table28[Filtro de ruido],1), 1, Table14[[#This Row],[I_40]] / Table14[[#This Row],[I_0]])</f>
        <v>1</v>
      </c>
      <c r="Y689" s="19">
        <f>IF(Table14[[#This Row],[I_0]] &lt; INDEX(Table28[Filtro de ruido],1), 1, Table14[[#This Row],[I_50]] / Table14[[#This Row],[I_0]])</f>
        <v>1</v>
      </c>
      <c r="AA689" s="1"/>
    </row>
    <row r="690" spans="1:27" x14ac:dyDescent="0.3">
      <c r="A690" s="18">
        <v>752.61</v>
      </c>
      <c r="B690" s="1">
        <v>0</v>
      </c>
      <c r="C690" s="1">
        <v>752.61</v>
      </c>
      <c r="D690" s="1">
        <v>0</v>
      </c>
      <c r="E690" s="1">
        <v>752.61</v>
      </c>
      <c r="F690" s="1">
        <v>0</v>
      </c>
      <c r="G690" s="1">
        <v>752.61</v>
      </c>
      <c r="H690" s="1">
        <v>0</v>
      </c>
      <c r="I690" s="1">
        <v>752.61</v>
      </c>
      <c r="J690" s="1">
        <v>0</v>
      </c>
      <c r="K690" s="1">
        <v>752.61</v>
      </c>
      <c r="L690" s="1">
        <v>0</v>
      </c>
      <c r="M690" s="1">
        <v>752.61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752.61</v>
      </c>
      <c r="U690" s="1">
        <f>IF(Table14[[#This Row],[I_0]] &lt; INDEX(Table28[Filtro de ruido],1), 1, Table14[[#This Row],[I_10]] / Table14[[#This Row],[I_0]])</f>
        <v>1</v>
      </c>
      <c r="V690" s="1">
        <f>IF(Table14[[#This Row],[I_0]] &lt; INDEX(Table28[Filtro de ruido],1), 1, Table14[[#This Row],[I_20]] / Table14[[#This Row],[I_0]])</f>
        <v>1</v>
      </c>
      <c r="W690" s="1">
        <f>IF(Table14[[#This Row],[I_0]] &lt; INDEX(Table28[Filtro de ruido],1), 1, Table14[[#This Row],[I_30]] / Table14[[#This Row],[I_0]])</f>
        <v>1</v>
      </c>
      <c r="X690" s="1">
        <f>IF(Table14[[#This Row],[I_0]] &lt; INDEX(Table28[Filtro de ruido],1), 1, Table14[[#This Row],[I_40]] / Table14[[#This Row],[I_0]])</f>
        <v>1</v>
      </c>
      <c r="Y690" s="19">
        <f>IF(Table14[[#This Row],[I_0]] &lt; INDEX(Table28[Filtro de ruido],1), 1, Table14[[#This Row],[I_50]] / Table14[[#This Row],[I_0]])</f>
        <v>1</v>
      </c>
      <c r="AA690" s="1"/>
    </row>
    <row r="691" spans="1:27" x14ac:dyDescent="0.3">
      <c r="A691" s="18">
        <v>753.61</v>
      </c>
      <c r="B691" s="1">
        <v>0</v>
      </c>
      <c r="C691" s="1">
        <v>753.61</v>
      </c>
      <c r="D691" s="1">
        <v>0</v>
      </c>
      <c r="E691" s="1">
        <v>753.61</v>
      </c>
      <c r="F691" s="1">
        <v>0</v>
      </c>
      <c r="G691" s="1">
        <v>753.61</v>
      </c>
      <c r="H691" s="1">
        <v>0</v>
      </c>
      <c r="I691" s="1">
        <v>753.61</v>
      </c>
      <c r="J691" s="1">
        <v>0</v>
      </c>
      <c r="K691" s="1">
        <v>753.61</v>
      </c>
      <c r="L691" s="1">
        <v>0</v>
      </c>
      <c r="M691" s="1">
        <v>753.61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753.61</v>
      </c>
      <c r="U691" s="1">
        <f>IF(Table14[[#This Row],[I_0]] &lt; INDEX(Table28[Filtro de ruido],1), 1, Table14[[#This Row],[I_10]] / Table14[[#This Row],[I_0]])</f>
        <v>1</v>
      </c>
      <c r="V691" s="1">
        <f>IF(Table14[[#This Row],[I_0]] &lt; INDEX(Table28[Filtro de ruido],1), 1, Table14[[#This Row],[I_20]] / Table14[[#This Row],[I_0]])</f>
        <v>1</v>
      </c>
      <c r="W691" s="1">
        <f>IF(Table14[[#This Row],[I_0]] &lt; INDEX(Table28[Filtro de ruido],1), 1, Table14[[#This Row],[I_30]] / Table14[[#This Row],[I_0]])</f>
        <v>1</v>
      </c>
      <c r="X691" s="1">
        <f>IF(Table14[[#This Row],[I_0]] &lt; INDEX(Table28[Filtro de ruido],1), 1, Table14[[#This Row],[I_40]] / Table14[[#This Row],[I_0]])</f>
        <v>1</v>
      </c>
      <c r="Y691" s="19">
        <f>IF(Table14[[#This Row],[I_0]] &lt; INDEX(Table28[Filtro de ruido],1), 1, Table14[[#This Row],[I_50]] / Table14[[#This Row],[I_0]])</f>
        <v>1</v>
      </c>
      <c r="AA691" s="1"/>
    </row>
    <row r="692" spans="1:27" x14ac:dyDescent="0.3">
      <c r="A692" s="18">
        <v>754.6</v>
      </c>
      <c r="B692" s="1">
        <v>0</v>
      </c>
      <c r="C692" s="1">
        <v>754.6</v>
      </c>
      <c r="D692" s="1">
        <v>0</v>
      </c>
      <c r="E692" s="1">
        <v>754.6</v>
      </c>
      <c r="F692" s="1">
        <v>0</v>
      </c>
      <c r="G692" s="1">
        <v>754.6</v>
      </c>
      <c r="H692" s="1">
        <v>0</v>
      </c>
      <c r="I692" s="1">
        <v>754.6</v>
      </c>
      <c r="J692" s="1">
        <v>0</v>
      </c>
      <c r="K692" s="1">
        <v>754.6</v>
      </c>
      <c r="L692" s="1">
        <v>0</v>
      </c>
      <c r="M692" s="1">
        <v>754.6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754.6</v>
      </c>
      <c r="U692" s="1">
        <f>IF(Table14[[#This Row],[I_0]] &lt; INDEX(Table28[Filtro de ruido],1), 1, Table14[[#This Row],[I_10]] / Table14[[#This Row],[I_0]])</f>
        <v>1</v>
      </c>
      <c r="V692" s="1">
        <f>IF(Table14[[#This Row],[I_0]] &lt; INDEX(Table28[Filtro de ruido],1), 1, Table14[[#This Row],[I_20]] / Table14[[#This Row],[I_0]])</f>
        <v>1</v>
      </c>
      <c r="W692" s="1">
        <f>IF(Table14[[#This Row],[I_0]] &lt; INDEX(Table28[Filtro de ruido],1), 1, Table14[[#This Row],[I_30]] / Table14[[#This Row],[I_0]])</f>
        <v>1</v>
      </c>
      <c r="X692" s="1">
        <f>IF(Table14[[#This Row],[I_0]] &lt; INDEX(Table28[Filtro de ruido],1), 1, Table14[[#This Row],[I_40]] / Table14[[#This Row],[I_0]])</f>
        <v>1</v>
      </c>
      <c r="Y692" s="19">
        <f>IF(Table14[[#This Row],[I_0]] &lt; INDEX(Table28[Filtro de ruido],1), 1, Table14[[#This Row],[I_50]] / Table14[[#This Row],[I_0]])</f>
        <v>1</v>
      </c>
      <c r="AA692" s="1"/>
    </row>
    <row r="693" spans="1:27" x14ac:dyDescent="0.3">
      <c r="A693" s="18">
        <v>755.59</v>
      </c>
      <c r="B693" s="1">
        <v>0</v>
      </c>
      <c r="C693" s="1">
        <v>755.59</v>
      </c>
      <c r="D693" s="1">
        <v>0</v>
      </c>
      <c r="E693" s="1">
        <v>755.59</v>
      </c>
      <c r="F693" s="1">
        <v>0</v>
      </c>
      <c r="G693" s="1">
        <v>755.59</v>
      </c>
      <c r="H693" s="1">
        <v>0</v>
      </c>
      <c r="I693" s="1">
        <v>755.59</v>
      </c>
      <c r="J693" s="1">
        <v>0</v>
      </c>
      <c r="K693" s="1">
        <v>755.59</v>
      </c>
      <c r="L693" s="1">
        <v>0</v>
      </c>
      <c r="M693" s="1">
        <v>755.59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755.59</v>
      </c>
      <c r="U693" s="1">
        <f>IF(Table14[[#This Row],[I_0]] &lt; INDEX(Table28[Filtro de ruido],1), 1, Table14[[#This Row],[I_10]] / Table14[[#This Row],[I_0]])</f>
        <v>1</v>
      </c>
      <c r="V693" s="1">
        <f>IF(Table14[[#This Row],[I_0]] &lt; INDEX(Table28[Filtro de ruido],1), 1, Table14[[#This Row],[I_20]] / Table14[[#This Row],[I_0]])</f>
        <v>1</v>
      </c>
      <c r="W693" s="1">
        <f>IF(Table14[[#This Row],[I_0]] &lt; INDEX(Table28[Filtro de ruido],1), 1, Table14[[#This Row],[I_30]] / Table14[[#This Row],[I_0]])</f>
        <v>1</v>
      </c>
      <c r="X693" s="1">
        <f>IF(Table14[[#This Row],[I_0]] &lt; INDEX(Table28[Filtro de ruido],1), 1, Table14[[#This Row],[I_40]] / Table14[[#This Row],[I_0]])</f>
        <v>1</v>
      </c>
      <c r="Y693" s="19">
        <f>IF(Table14[[#This Row],[I_0]] &lt; INDEX(Table28[Filtro de ruido],1), 1, Table14[[#This Row],[I_50]] / Table14[[#This Row],[I_0]])</f>
        <v>1</v>
      </c>
      <c r="AA693" s="1"/>
    </row>
    <row r="694" spans="1:27" x14ac:dyDescent="0.3">
      <c r="A694" s="18">
        <v>756.58</v>
      </c>
      <c r="B694" s="1">
        <v>0</v>
      </c>
      <c r="C694" s="1">
        <v>756.58</v>
      </c>
      <c r="D694" s="1">
        <v>0</v>
      </c>
      <c r="E694" s="1">
        <v>756.58</v>
      </c>
      <c r="F694" s="1">
        <v>0</v>
      </c>
      <c r="G694" s="1">
        <v>756.58</v>
      </c>
      <c r="H694" s="1">
        <v>0</v>
      </c>
      <c r="I694" s="1">
        <v>756.58</v>
      </c>
      <c r="J694" s="1">
        <v>0</v>
      </c>
      <c r="K694" s="1">
        <v>756.58</v>
      </c>
      <c r="L694" s="1">
        <v>0</v>
      </c>
      <c r="M694" s="1">
        <v>756.58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756.58</v>
      </c>
      <c r="U694" s="1">
        <f>IF(Table14[[#This Row],[I_0]] &lt; INDEX(Table28[Filtro de ruido],1), 1, Table14[[#This Row],[I_10]] / Table14[[#This Row],[I_0]])</f>
        <v>1</v>
      </c>
      <c r="V694" s="1">
        <f>IF(Table14[[#This Row],[I_0]] &lt; INDEX(Table28[Filtro de ruido],1), 1, Table14[[#This Row],[I_20]] / Table14[[#This Row],[I_0]])</f>
        <v>1</v>
      </c>
      <c r="W694" s="1">
        <f>IF(Table14[[#This Row],[I_0]] &lt; INDEX(Table28[Filtro de ruido],1), 1, Table14[[#This Row],[I_30]] / Table14[[#This Row],[I_0]])</f>
        <v>1</v>
      </c>
      <c r="X694" s="1">
        <f>IF(Table14[[#This Row],[I_0]] &lt; INDEX(Table28[Filtro de ruido],1), 1, Table14[[#This Row],[I_40]] / Table14[[#This Row],[I_0]])</f>
        <v>1</v>
      </c>
      <c r="Y694" s="19">
        <f>IF(Table14[[#This Row],[I_0]] &lt; INDEX(Table28[Filtro de ruido],1), 1, Table14[[#This Row],[I_50]] / Table14[[#This Row],[I_0]])</f>
        <v>1</v>
      </c>
      <c r="AA694" s="1"/>
    </row>
    <row r="695" spans="1:27" x14ac:dyDescent="0.3">
      <c r="A695" s="18">
        <v>757.57</v>
      </c>
      <c r="B695" s="1">
        <v>0</v>
      </c>
      <c r="C695" s="1">
        <v>757.57</v>
      </c>
      <c r="D695" s="1">
        <v>0</v>
      </c>
      <c r="E695" s="1">
        <v>757.57</v>
      </c>
      <c r="F695" s="1">
        <v>0</v>
      </c>
      <c r="G695" s="1">
        <v>757.57</v>
      </c>
      <c r="H695" s="1">
        <v>0</v>
      </c>
      <c r="I695" s="1">
        <v>757.57</v>
      </c>
      <c r="J695" s="1">
        <v>0</v>
      </c>
      <c r="K695" s="1">
        <v>757.57</v>
      </c>
      <c r="L695" s="1">
        <v>0</v>
      </c>
      <c r="M695" s="1">
        <v>757.57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757.57</v>
      </c>
      <c r="U695" s="1">
        <f>IF(Table14[[#This Row],[I_0]] &lt; INDEX(Table28[Filtro de ruido],1), 1, Table14[[#This Row],[I_10]] / Table14[[#This Row],[I_0]])</f>
        <v>1</v>
      </c>
      <c r="V695" s="1">
        <f>IF(Table14[[#This Row],[I_0]] &lt; INDEX(Table28[Filtro de ruido],1), 1, Table14[[#This Row],[I_20]] / Table14[[#This Row],[I_0]])</f>
        <v>1</v>
      </c>
      <c r="W695" s="1">
        <f>IF(Table14[[#This Row],[I_0]] &lt; INDEX(Table28[Filtro de ruido],1), 1, Table14[[#This Row],[I_30]] / Table14[[#This Row],[I_0]])</f>
        <v>1</v>
      </c>
      <c r="X695" s="1">
        <f>IF(Table14[[#This Row],[I_0]] &lt; INDEX(Table28[Filtro de ruido],1), 1, Table14[[#This Row],[I_40]] / Table14[[#This Row],[I_0]])</f>
        <v>1</v>
      </c>
      <c r="Y695" s="19">
        <f>IF(Table14[[#This Row],[I_0]] &lt; INDEX(Table28[Filtro de ruido],1), 1, Table14[[#This Row],[I_50]] / Table14[[#This Row],[I_0]])</f>
        <v>1</v>
      </c>
      <c r="AA695" s="1"/>
    </row>
    <row r="696" spans="1:27" x14ac:dyDescent="0.3">
      <c r="A696" s="18">
        <v>758.57</v>
      </c>
      <c r="B696" s="1">
        <v>0</v>
      </c>
      <c r="C696" s="1">
        <v>758.57</v>
      </c>
      <c r="D696" s="1">
        <v>0</v>
      </c>
      <c r="E696" s="1">
        <v>758.57</v>
      </c>
      <c r="F696" s="1">
        <v>0</v>
      </c>
      <c r="G696" s="1">
        <v>758.57</v>
      </c>
      <c r="H696" s="1">
        <v>0</v>
      </c>
      <c r="I696" s="1">
        <v>758.57</v>
      </c>
      <c r="J696" s="1">
        <v>0</v>
      </c>
      <c r="K696" s="1">
        <v>758.57</v>
      </c>
      <c r="L696" s="1">
        <v>0</v>
      </c>
      <c r="M696" s="1">
        <v>758.57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758.57</v>
      </c>
      <c r="U696" s="1">
        <f>IF(Table14[[#This Row],[I_0]] &lt; INDEX(Table28[Filtro de ruido],1), 1, Table14[[#This Row],[I_10]] / Table14[[#This Row],[I_0]])</f>
        <v>1</v>
      </c>
      <c r="V696" s="1">
        <f>IF(Table14[[#This Row],[I_0]] &lt; INDEX(Table28[Filtro de ruido],1), 1, Table14[[#This Row],[I_20]] / Table14[[#This Row],[I_0]])</f>
        <v>1</v>
      </c>
      <c r="W696" s="1">
        <f>IF(Table14[[#This Row],[I_0]] &lt; INDEX(Table28[Filtro de ruido],1), 1, Table14[[#This Row],[I_30]] / Table14[[#This Row],[I_0]])</f>
        <v>1</v>
      </c>
      <c r="X696" s="1">
        <f>IF(Table14[[#This Row],[I_0]] &lt; INDEX(Table28[Filtro de ruido],1), 1, Table14[[#This Row],[I_40]] / Table14[[#This Row],[I_0]])</f>
        <v>1</v>
      </c>
      <c r="Y696" s="19">
        <f>IF(Table14[[#This Row],[I_0]] &lt; INDEX(Table28[Filtro de ruido],1), 1, Table14[[#This Row],[I_50]] / Table14[[#This Row],[I_0]])</f>
        <v>1</v>
      </c>
      <c r="AA696" s="1"/>
    </row>
    <row r="697" spans="1:27" x14ac:dyDescent="0.3">
      <c r="A697" s="18">
        <v>759.56</v>
      </c>
      <c r="B697" s="1">
        <v>0</v>
      </c>
      <c r="C697" s="1">
        <v>759.56</v>
      </c>
      <c r="D697" s="1">
        <v>0</v>
      </c>
      <c r="E697" s="1">
        <v>759.56</v>
      </c>
      <c r="F697" s="1">
        <v>0</v>
      </c>
      <c r="G697" s="1">
        <v>759.56</v>
      </c>
      <c r="H697" s="1">
        <v>0</v>
      </c>
      <c r="I697" s="1">
        <v>759.56</v>
      </c>
      <c r="J697" s="1">
        <v>0</v>
      </c>
      <c r="K697" s="1">
        <v>759.56</v>
      </c>
      <c r="L697" s="1">
        <v>0</v>
      </c>
      <c r="M697" s="1">
        <v>759.56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759.56</v>
      </c>
      <c r="U697" s="1">
        <f>IF(Table14[[#This Row],[I_0]] &lt; INDEX(Table28[Filtro de ruido],1), 1, Table14[[#This Row],[I_10]] / Table14[[#This Row],[I_0]])</f>
        <v>1</v>
      </c>
      <c r="V697" s="1">
        <f>IF(Table14[[#This Row],[I_0]] &lt; INDEX(Table28[Filtro de ruido],1), 1, Table14[[#This Row],[I_20]] / Table14[[#This Row],[I_0]])</f>
        <v>1</v>
      </c>
      <c r="W697" s="1">
        <f>IF(Table14[[#This Row],[I_0]] &lt; INDEX(Table28[Filtro de ruido],1), 1, Table14[[#This Row],[I_30]] / Table14[[#This Row],[I_0]])</f>
        <v>1</v>
      </c>
      <c r="X697" s="1">
        <f>IF(Table14[[#This Row],[I_0]] &lt; INDEX(Table28[Filtro de ruido],1), 1, Table14[[#This Row],[I_40]] / Table14[[#This Row],[I_0]])</f>
        <v>1</v>
      </c>
      <c r="Y697" s="19">
        <f>IF(Table14[[#This Row],[I_0]] &lt; INDEX(Table28[Filtro de ruido],1), 1, Table14[[#This Row],[I_50]] / Table14[[#This Row],[I_0]])</f>
        <v>1</v>
      </c>
      <c r="AA697" s="1"/>
    </row>
    <row r="698" spans="1:27" x14ac:dyDescent="0.3">
      <c r="A698" s="18">
        <v>760.55</v>
      </c>
      <c r="B698" s="1">
        <v>0</v>
      </c>
      <c r="C698" s="1">
        <v>760.55</v>
      </c>
      <c r="D698" s="1">
        <v>0</v>
      </c>
      <c r="E698" s="1">
        <v>760.55</v>
      </c>
      <c r="F698" s="1">
        <v>0</v>
      </c>
      <c r="G698" s="1">
        <v>760.55</v>
      </c>
      <c r="H698" s="1">
        <v>0</v>
      </c>
      <c r="I698" s="1">
        <v>760.55</v>
      </c>
      <c r="J698" s="1">
        <v>0</v>
      </c>
      <c r="K698" s="1">
        <v>760.55</v>
      </c>
      <c r="L698" s="1">
        <v>0</v>
      </c>
      <c r="M698" s="1">
        <v>760.55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760.55</v>
      </c>
      <c r="U698" s="1">
        <f>IF(Table14[[#This Row],[I_0]] &lt; INDEX(Table28[Filtro de ruido],1), 1, Table14[[#This Row],[I_10]] / Table14[[#This Row],[I_0]])</f>
        <v>1</v>
      </c>
      <c r="V698" s="1">
        <f>IF(Table14[[#This Row],[I_0]] &lt; INDEX(Table28[Filtro de ruido],1), 1, Table14[[#This Row],[I_20]] / Table14[[#This Row],[I_0]])</f>
        <v>1</v>
      </c>
      <c r="W698" s="1">
        <f>IF(Table14[[#This Row],[I_0]] &lt; INDEX(Table28[Filtro de ruido],1), 1, Table14[[#This Row],[I_30]] / Table14[[#This Row],[I_0]])</f>
        <v>1</v>
      </c>
      <c r="X698" s="1">
        <f>IF(Table14[[#This Row],[I_0]] &lt; INDEX(Table28[Filtro de ruido],1), 1, Table14[[#This Row],[I_40]] / Table14[[#This Row],[I_0]])</f>
        <v>1</v>
      </c>
      <c r="Y698" s="19">
        <f>IF(Table14[[#This Row],[I_0]] &lt; INDEX(Table28[Filtro de ruido],1), 1, Table14[[#This Row],[I_50]] / Table14[[#This Row],[I_0]])</f>
        <v>1</v>
      </c>
      <c r="AA698" s="1"/>
    </row>
    <row r="699" spans="1:27" x14ac:dyDescent="0.3">
      <c r="A699" s="18">
        <v>761.54</v>
      </c>
      <c r="B699" s="1">
        <v>0</v>
      </c>
      <c r="C699" s="1">
        <v>761.54</v>
      </c>
      <c r="D699" s="1">
        <v>0</v>
      </c>
      <c r="E699" s="1">
        <v>761.54</v>
      </c>
      <c r="F699" s="1">
        <v>0</v>
      </c>
      <c r="G699" s="1">
        <v>761.54</v>
      </c>
      <c r="H699" s="1">
        <v>0</v>
      </c>
      <c r="I699" s="1">
        <v>761.54</v>
      </c>
      <c r="J699" s="1">
        <v>0</v>
      </c>
      <c r="K699" s="1">
        <v>761.54</v>
      </c>
      <c r="L699" s="1">
        <v>0</v>
      </c>
      <c r="M699" s="1">
        <v>761.54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761.54</v>
      </c>
      <c r="U699" s="1">
        <f>IF(Table14[[#This Row],[I_0]] &lt; INDEX(Table28[Filtro de ruido],1), 1, Table14[[#This Row],[I_10]] / Table14[[#This Row],[I_0]])</f>
        <v>1</v>
      </c>
      <c r="V699" s="1">
        <f>IF(Table14[[#This Row],[I_0]] &lt; INDEX(Table28[Filtro de ruido],1), 1, Table14[[#This Row],[I_20]] / Table14[[#This Row],[I_0]])</f>
        <v>1</v>
      </c>
      <c r="W699" s="1">
        <f>IF(Table14[[#This Row],[I_0]] &lt; INDEX(Table28[Filtro de ruido],1), 1, Table14[[#This Row],[I_30]] / Table14[[#This Row],[I_0]])</f>
        <v>1</v>
      </c>
      <c r="X699" s="1">
        <f>IF(Table14[[#This Row],[I_0]] &lt; INDEX(Table28[Filtro de ruido],1), 1, Table14[[#This Row],[I_40]] / Table14[[#This Row],[I_0]])</f>
        <v>1</v>
      </c>
      <c r="Y699" s="19">
        <f>IF(Table14[[#This Row],[I_0]] &lt; INDEX(Table28[Filtro de ruido],1), 1, Table14[[#This Row],[I_50]] / Table14[[#This Row],[I_0]])</f>
        <v>1</v>
      </c>
      <c r="AA699" s="1"/>
    </row>
    <row r="700" spans="1:27" x14ac:dyDescent="0.3">
      <c r="A700" s="18">
        <v>762.53</v>
      </c>
      <c r="B700" s="1">
        <v>0</v>
      </c>
      <c r="C700" s="1">
        <v>762.53</v>
      </c>
      <c r="D700" s="1">
        <v>0</v>
      </c>
      <c r="E700" s="1">
        <v>762.53</v>
      </c>
      <c r="F700" s="1">
        <v>0</v>
      </c>
      <c r="G700" s="1">
        <v>762.53</v>
      </c>
      <c r="H700" s="1">
        <v>0</v>
      </c>
      <c r="I700" s="1">
        <v>762.53</v>
      </c>
      <c r="J700" s="1">
        <v>0</v>
      </c>
      <c r="K700" s="1">
        <v>762.53</v>
      </c>
      <c r="L700" s="1">
        <v>0</v>
      </c>
      <c r="M700" s="1">
        <v>762.53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762.53</v>
      </c>
      <c r="U700" s="1">
        <f>IF(Table14[[#This Row],[I_0]] &lt; INDEX(Table28[Filtro de ruido],1), 1, Table14[[#This Row],[I_10]] / Table14[[#This Row],[I_0]])</f>
        <v>1</v>
      </c>
      <c r="V700" s="1">
        <f>IF(Table14[[#This Row],[I_0]] &lt; INDEX(Table28[Filtro de ruido],1), 1, Table14[[#This Row],[I_20]] / Table14[[#This Row],[I_0]])</f>
        <v>1</v>
      </c>
      <c r="W700" s="1">
        <f>IF(Table14[[#This Row],[I_0]] &lt; INDEX(Table28[Filtro de ruido],1), 1, Table14[[#This Row],[I_30]] / Table14[[#This Row],[I_0]])</f>
        <v>1</v>
      </c>
      <c r="X700" s="1">
        <f>IF(Table14[[#This Row],[I_0]] &lt; INDEX(Table28[Filtro de ruido],1), 1, Table14[[#This Row],[I_40]] / Table14[[#This Row],[I_0]])</f>
        <v>1</v>
      </c>
      <c r="Y700" s="19">
        <f>IF(Table14[[#This Row],[I_0]] &lt; INDEX(Table28[Filtro de ruido],1), 1, Table14[[#This Row],[I_50]] / Table14[[#This Row],[I_0]])</f>
        <v>1</v>
      </c>
      <c r="AA700" s="1"/>
    </row>
    <row r="701" spans="1:27" x14ac:dyDescent="0.3">
      <c r="A701" s="18">
        <v>763.52</v>
      </c>
      <c r="B701" s="1">
        <v>0</v>
      </c>
      <c r="C701" s="1">
        <v>763.52</v>
      </c>
      <c r="D701" s="1">
        <v>0</v>
      </c>
      <c r="E701" s="1">
        <v>763.52</v>
      </c>
      <c r="F701" s="1">
        <v>0</v>
      </c>
      <c r="G701" s="1">
        <v>763.52</v>
      </c>
      <c r="H701" s="1">
        <v>0</v>
      </c>
      <c r="I701" s="1">
        <v>763.52</v>
      </c>
      <c r="J701" s="1">
        <v>0</v>
      </c>
      <c r="K701" s="1">
        <v>763.52</v>
      </c>
      <c r="L701" s="1">
        <v>0</v>
      </c>
      <c r="M701" s="1">
        <v>763.52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763.52</v>
      </c>
      <c r="U701" s="1">
        <f>IF(Table14[[#This Row],[I_0]] &lt; INDEX(Table28[Filtro de ruido],1), 1, Table14[[#This Row],[I_10]] / Table14[[#This Row],[I_0]])</f>
        <v>1</v>
      </c>
      <c r="V701" s="1">
        <f>IF(Table14[[#This Row],[I_0]] &lt; INDEX(Table28[Filtro de ruido],1), 1, Table14[[#This Row],[I_20]] / Table14[[#This Row],[I_0]])</f>
        <v>1</v>
      </c>
      <c r="W701" s="1">
        <f>IF(Table14[[#This Row],[I_0]] &lt; INDEX(Table28[Filtro de ruido],1), 1, Table14[[#This Row],[I_30]] / Table14[[#This Row],[I_0]])</f>
        <v>1</v>
      </c>
      <c r="X701" s="1">
        <f>IF(Table14[[#This Row],[I_0]] &lt; INDEX(Table28[Filtro de ruido],1), 1, Table14[[#This Row],[I_40]] / Table14[[#This Row],[I_0]])</f>
        <v>1</v>
      </c>
      <c r="Y701" s="19">
        <f>IF(Table14[[#This Row],[I_0]] &lt; INDEX(Table28[Filtro de ruido],1), 1, Table14[[#This Row],[I_50]] / Table14[[#This Row],[I_0]])</f>
        <v>1</v>
      </c>
      <c r="AA701" s="1"/>
    </row>
    <row r="702" spans="1:27" x14ac:dyDescent="0.3">
      <c r="A702" s="18">
        <v>764.52</v>
      </c>
      <c r="B702" s="1">
        <v>0</v>
      </c>
      <c r="C702" s="1">
        <v>764.52</v>
      </c>
      <c r="D702" s="1">
        <v>0</v>
      </c>
      <c r="E702" s="1">
        <v>764.52</v>
      </c>
      <c r="F702" s="1">
        <v>0</v>
      </c>
      <c r="G702" s="1">
        <v>764.52</v>
      </c>
      <c r="H702" s="1">
        <v>0</v>
      </c>
      <c r="I702" s="1">
        <v>764.52</v>
      </c>
      <c r="J702" s="1">
        <v>0</v>
      </c>
      <c r="K702" s="1">
        <v>764.52</v>
      </c>
      <c r="L702" s="1">
        <v>0</v>
      </c>
      <c r="M702" s="1">
        <v>764.52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764.52</v>
      </c>
      <c r="U702" s="1">
        <f>IF(Table14[[#This Row],[I_0]] &lt; INDEX(Table28[Filtro de ruido],1), 1, Table14[[#This Row],[I_10]] / Table14[[#This Row],[I_0]])</f>
        <v>1</v>
      </c>
      <c r="V702" s="1">
        <f>IF(Table14[[#This Row],[I_0]] &lt; INDEX(Table28[Filtro de ruido],1), 1, Table14[[#This Row],[I_20]] / Table14[[#This Row],[I_0]])</f>
        <v>1</v>
      </c>
      <c r="W702" s="1">
        <f>IF(Table14[[#This Row],[I_0]] &lt; INDEX(Table28[Filtro de ruido],1), 1, Table14[[#This Row],[I_30]] / Table14[[#This Row],[I_0]])</f>
        <v>1</v>
      </c>
      <c r="X702" s="1">
        <f>IF(Table14[[#This Row],[I_0]] &lt; INDEX(Table28[Filtro de ruido],1), 1, Table14[[#This Row],[I_40]] / Table14[[#This Row],[I_0]])</f>
        <v>1</v>
      </c>
      <c r="Y702" s="19">
        <f>IF(Table14[[#This Row],[I_0]] &lt; INDEX(Table28[Filtro de ruido],1), 1, Table14[[#This Row],[I_50]] / Table14[[#This Row],[I_0]])</f>
        <v>1</v>
      </c>
      <c r="AA702" s="1"/>
    </row>
    <row r="703" spans="1:27" x14ac:dyDescent="0.3">
      <c r="A703" s="18">
        <v>765.51</v>
      </c>
      <c r="B703" s="1">
        <v>0</v>
      </c>
      <c r="C703" s="1">
        <v>765.51</v>
      </c>
      <c r="D703" s="1">
        <v>0</v>
      </c>
      <c r="E703" s="1">
        <v>765.51</v>
      </c>
      <c r="F703" s="1">
        <v>0</v>
      </c>
      <c r="G703" s="1">
        <v>765.51</v>
      </c>
      <c r="H703" s="1">
        <v>0</v>
      </c>
      <c r="I703" s="1">
        <v>765.51</v>
      </c>
      <c r="J703" s="1">
        <v>0</v>
      </c>
      <c r="K703" s="1">
        <v>765.51</v>
      </c>
      <c r="L703" s="1">
        <v>0</v>
      </c>
      <c r="M703" s="1">
        <v>765.51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765.51</v>
      </c>
      <c r="U703" s="1">
        <f>IF(Table14[[#This Row],[I_0]] &lt; INDEX(Table28[Filtro de ruido],1), 1, Table14[[#This Row],[I_10]] / Table14[[#This Row],[I_0]])</f>
        <v>1</v>
      </c>
      <c r="V703" s="1">
        <f>IF(Table14[[#This Row],[I_0]] &lt; INDEX(Table28[Filtro de ruido],1), 1, Table14[[#This Row],[I_20]] / Table14[[#This Row],[I_0]])</f>
        <v>1</v>
      </c>
      <c r="W703" s="1">
        <f>IF(Table14[[#This Row],[I_0]] &lt; INDEX(Table28[Filtro de ruido],1), 1, Table14[[#This Row],[I_30]] / Table14[[#This Row],[I_0]])</f>
        <v>1</v>
      </c>
      <c r="X703" s="1">
        <f>IF(Table14[[#This Row],[I_0]] &lt; INDEX(Table28[Filtro de ruido],1), 1, Table14[[#This Row],[I_40]] / Table14[[#This Row],[I_0]])</f>
        <v>1</v>
      </c>
      <c r="Y703" s="19">
        <f>IF(Table14[[#This Row],[I_0]] &lt; INDEX(Table28[Filtro de ruido],1), 1, Table14[[#This Row],[I_50]] / Table14[[#This Row],[I_0]])</f>
        <v>1</v>
      </c>
      <c r="AA703" s="1"/>
    </row>
    <row r="704" spans="1:27" x14ac:dyDescent="0.3">
      <c r="A704" s="18">
        <v>766.5</v>
      </c>
      <c r="B704" s="1">
        <v>0</v>
      </c>
      <c r="C704" s="1">
        <v>766.5</v>
      </c>
      <c r="D704" s="1">
        <v>0</v>
      </c>
      <c r="E704" s="1">
        <v>766.5</v>
      </c>
      <c r="F704" s="1">
        <v>0</v>
      </c>
      <c r="G704" s="1">
        <v>766.5</v>
      </c>
      <c r="H704" s="1">
        <v>0</v>
      </c>
      <c r="I704" s="1">
        <v>766.5</v>
      </c>
      <c r="J704" s="1">
        <v>0</v>
      </c>
      <c r="K704" s="1">
        <v>766.5</v>
      </c>
      <c r="L704" s="1">
        <v>0</v>
      </c>
      <c r="M704" s="1">
        <v>766.5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766.5</v>
      </c>
      <c r="U704" s="1">
        <f>IF(Table14[[#This Row],[I_0]] &lt; INDEX(Table28[Filtro de ruido],1), 1, Table14[[#This Row],[I_10]] / Table14[[#This Row],[I_0]])</f>
        <v>1</v>
      </c>
      <c r="V704" s="1">
        <f>IF(Table14[[#This Row],[I_0]] &lt; INDEX(Table28[Filtro de ruido],1), 1, Table14[[#This Row],[I_20]] / Table14[[#This Row],[I_0]])</f>
        <v>1</v>
      </c>
      <c r="W704" s="1">
        <f>IF(Table14[[#This Row],[I_0]] &lt; INDEX(Table28[Filtro de ruido],1), 1, Table14[[#This Row],[I_30]] / Table14[[#This Row],[I_0]])</f>
        <v>1</v>
      </c>
      <c r="X704" s="1">
        <f>IF(Table14[[#This Row],[I_0]] &lt; INDEX(Table28[Filtro de ruido],1), 1, Table14[[#This Row],[I_40]] / Table14[[#This Row],[I_0]])</f>
        <v>1</v>
      </c>
      <c r="Y704" s="19">
        <f>IF(Table14[[#This Row],[I_0]] &lt; INDEX(Table28[Filtro de ruido],1), 1, Table14[[#This Row],[I_50]] / Table14[[#This Row],[I_0]])</f>
        <v>1</v>
      </c>
      <c r="AA704" s="1"/>
    </row>
    <row r="705" spans="1:27" x14ac:dyDescent="0.3">
      <c r="A705" s="18">
        <v>767.49</v>
      </c>
      <c r="B705" s="1">
        <v>0</v>
      </c>
      <c r="C705" s="1">
        <v>767.49</v>
      </c>
      <c r="D705" s="1">
        <v>0</v>
      </c>
      <c r="E705" s="1">
        <v>767.49</v>
      </c>
      <c r="F705" s="1">
        <v>0</v>
      </c>
      <c r="G705" s="1">
        <v>767.49</v>
      </c>
      <c r="H705" s="1">
        <v>0</v>
      </c>
      <c r="I705" s="1">
        <v>767.49</v>
      </c>
      <c r="J705" s="1">
        <v>0</v>
      </c>
      <c r="K705" s="1">
        <v>767.49</v>
      </c>
      <c r="L705" s="1">
        <v>0</v>
      </c>
      <c r="M705" s="1">
        <v>767.49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767.49</v>
      </c>
      <c r="U705" s="1">
        <f>IF(Table14[[#This Row],[I_0]] &lt; INDEX(Table28[Filtro de ruido],1), 1, Table14[[#This Row],[I_10]] / Table14[[#This Row],[I_0]])</f>
        <v>1</v>
      </c>
      <c r="V705" s="1">
        <f>IF(Table14[[#This Row],[I_0]] &lt; INDEX(Table28[Filtro de ruido],1), 1, Table14[[#This Row],[I_20]] / Table14[[#This Row],[I_0]])</f>
        <v>1</v>
      </c>
      <c r="W705" s="1">
        <f>IF(Table14[[#This Row],[I_0]] &lt; INDEX(Table28[Filtro de ruido],1), 1, Table14[[#This Row],[I_30]] / Table14[[#This Row],[I_0]])</f>
        <v>1</v>
      </c>
      <c r="X705" s="1">
        <f>IF(Table14[[#This Row],[I_0]] &lt; INDEX(Table28[Filtro de ruido],1), 1, Table14[[#This Row],[I_40]] / Table14[[#This Row],[I_0]])</f>
        <v>1</v>
      </c>
      <c r="Y705" s="19">
        <f>IF(Table14[[#This Row],[I_0]] &lt; INDEX(Table28[Filtro de ruido],1), 1, Table14[[#This Row],[I_50]] / Table14[[#This Row],[I_0]])</f>
        <v>1</v>
      </c>
      <c r="AA705" s="1"/>
    </row>
    <row r="706" spans="1:27" x14ac:dyDescent="0.3">
      <c r="A706" s="18">
        <v>768.48</v>
      </c>
      <c r="B706" s="1">
        <v>0</v>
      </c>
      <c r="C706" s="1">
        <v>768.48</v>
      </c>
      <c r="D706" s="1">
        <v>0</v>
      </c>
      <c r="E706" s="1">
        <v>768.48</v>
      </c>
      <c r="F706" s="1">
        <v>0</v>
      </c>
      <c r="G706" s="1">
        <v>768.48</v>
      </c>
      <c r="H706" s="1">
        <v>0</v>
      </c>
      <c r="I706" s="1">
        <v>768.48</v>
      </c>
      <c r="J706" s="1">
        <v>0</v>
      </c>
      <c r="K706" s="1">
        <v>768.48</v>
      </c>
      <c r="L706" s="1">
        <v>0</v>
      </c>
      <c r="M706" s="1">
        <v>768.48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768.48</v>
      </c>
      <c r="U706" s="1">
        <f>IF(Table14[[#This Row],[I_0]] &lt; INDEX(Table28[Filtro de ruido],1), 1, Table14[[#This Row],[I_10]] / Table14[[#This Row],[I_0]])</f>
        <v>1</v>
      </c>
      <c r="V706" s="1">
        <f>IF(Table14[[#This Row],[I_0]] &lt; INDEX(Table28[Filtro de ruido],1), 1, Table14[[#This Row],[I_20]] / Table14[[#This Row],[I_0]])</f>
        <v>1</v>
      </c>
      <c r="W706" s="1">
        <f>IF(Table14[[#This Row],[I_0]] &lt; INDEX(Table28[Filtro de ruido],1), 1, Table14[[#This Row],[I_30]] / Table14[[#This Row],[I_0]])</f>
        <v>1</v>
      </c>
      <c r="X706" s="1">
        <f>IF(Table14[[#This Row],[I_0]] &lt; INDEX(Table28[Filtro de ruido],1), 1, Table14[[#This Row],[I_40]] / Table14[[#This Row],[I_0]])</f>
        <v>1</v>
      </c>
      <c r="Y706" s="19">
        <f>IF(Table14[[#This Row],[I_0]] &lt; INDEX(Table28[Filtro de ruido],1), 1, Table14[[#This Row],[I_50]] / Table14[[#This Row],[I_0]])</f>
        <v>1</v>
      </c>
      <c r="AA706" s="1"/>
    </row>
    <row r="707" spans="1:27" x14ac:dyDescent="0.3">
      <c r="A707" s="18">
        <v>769.47</v>
      </c>
      <c r="B707" s="1">
        <v>0</v>
      </c>
      <c r="C707" s="1">
        <v>769.47</v>
      </c>
      <c r="D707" s="1">
        <v>0</v>
      </c>
      <c r="E707" s="1">
        <v>769.47</v>
      </c>
      <c r="F707" s="1">
        <v>0</v>
      </c>
      <c r="G707" s="1">
        <v>769.47</v>
      </c>
      <c r="H707" s="1">
        <v>0</v>
      </c>
      <c r="I707" s="1">
        <v>769.47</v>
      </c>
      <c r="J707" s="1">
        <v>0</v>
      </c>
      <c r="K707" s="1">
        <v>769.47</v>
      </c>
      <c r="L707" s="1">
        <v>0</v>
      </c>
      <c r="M707" s="1">
        <v>769.47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769.47</v>
      </c>
      <c r="U707" s="1">
        <f>IF(Table14[[#This Row],[I_0]] &lt; INDEX(Table28[Filtro de ruido],1), 1, Table14[[#This Row],[I_10]] / Table14[[#This Row],[I_0]])</f>
        <v>1</v>
      </c>
      <c r="V707" s="1">
        <f>IF(Table14[[#This Row],[I_0]] &lt; INDEX(Table28[Filtro de ruido],1), 1, Table14[[#This Row],[I_20]] / Table14[[#This Row],[I_0]])</f>
        <v>1</v>
      </c>
      <c r="W707" s="1">
        <f>IF(Table14[[#This Row],[I_0]] &lt; INDEX(Table28[Filtro de ruido],1), 1, Table14[[#This Row],[I_30]] / Table14[[#This Row],[I_0]])</f>
        <v>1</v>
      </c>
      <c r="X707" s="1">
        <f>IF(Table14[[#This Row],[I_0]] &lt; INDEX(Table28[Filtro de ruido],1), 1, Table14[[#This Row],[I_40]] / Table14[[#This Row],[I_0]])</f>
        <v>1</v>
      </c>
      <c r="Y707" s="19">
        <f>IF(Table14[[#This Row],[I_0]] &lt; INDEX(Table28[Filtro de ruido],1), 1, Table14[[#This Row],[I_50]] / Table14[[#This Row],[I_0]])</f>
        <v>1</v>
      </c>
      <c r="AA707" s="1"/>
    </row>
    <row r="708" spans="1:27" x14ac:dyDescent="0.3">
      <c r="A708" s="18">
        <v>770.47</v>
      </c>
      <c r="B708" s="1">
        <v>0</v>
      </c>
      <c r="C708" s="1">
        <v>770.47</v>
      </c>
      <c r="D708" s="1">
        <v>0</v>
      </c>
      <c r="E708" s="1">
        <v>770.47</v>
      </c>
      <c r="F708" s="1">
        <v>0</v>
      </c>
      <c r="G708" s="1">
        <v>770.47</v>
      </c>
      <c r="H708" s="1">
        <v>0</v>
      </c>
      <c r="I708" s="1">
        <v>770.47</v>
      </c>
      <c r="J708" s="1">
        <v>0</v>
      </c>
      <c r="K708" s="1">
        <v>770.47</v>
      </c>
      <c r="L708" s="1">
        <v>0</v>
      </c>
      <c r="M708" s="1">
        <v>770.47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770.47</v>
      </c>
      <c r="U708" s="1">
        <f>IF(Table14[[#This Row],[I_0]] &lt; INDEX(Table28[Filtro de ruido],1), 1, Table14[[#This Row],[I_10]] / Table14[[#This Row],[I_0]])</f>
        <v>1</v>
      </c>
      <c r="V708" s="1">
        <f>IF(Table14[[#This Row],[I_0]] &lt; INDEX(Table28[Filtro de ruido],1), 1, Table14[[#This Row],[I_20]] / Table14[[#This Row],[I_0]])</f>
        <v>1</v>
      </c>
      <c r="W708" s="1">
        <f>IF(Table14[[#This Row],[I_0]] &lt; INDEX(Table28[Filtro de ruido],1), 1, Table14[[#This Row],[I_30]] / Table14[[#This Row],[I_0]])</f>
        <v>1</v>
      </c>
      <c r="X708" s="1">
        <f>IF(Table14[[#This Row],[I_0]] &lt; INDEX(Table28[Filtro de ruido],1), 1, Table14[[#This Row],[I_40]] / Table14[[#This Row],[I_0]])</f>
        <v>1</v>
      </c>
      <c r="Y708" s="19">
        <f>IF(Table14[[#This Row],[I_0]] &lt; INDEX(Table28[Filtro de ruido],1), 1, Table14[[#This Row],[I_50]] / Table14[[#This Row],[I_0]])</f>
        <v>1</v>
      </c>
      <c r="AA708" s="1"/>
    </row>
    <row r="709" spans="1:27" x14ac:dyDescent="0.3">
      <c r="A709" s="18">
        <v>771.46</v>
      </c>
      <c r="B709" s="1">
        <v>0</v>
      </c>
      <c r="C709" s="1">
        <v>771.46</v>
      </c>
      <c r="D709" s="1">
        <v>0</v>
      </c>
      <c r="E709" s="1">
        <v>771.46</v>
      </c>
      <c r="F709" s="1">
        <v>0</v>
      </c>
      <c r="G709" s="1">
        <v>771.46</v>
      </c>
      <c r="H709" s="1">
        <v>0</v>
      </c>
      <c r="I709" s="1">
        <v>771.46</v>
      </c>
      <c r="J709" s="1">
        <v>0</v>
      </c>
      <c r="K709" s="1">
        <v>771.46</v>
      </c>
      <c r="L709" s="1">
        <v>0</v>
      </c>
      <c r="M709" s="1">
        <v>771.46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771.46</v>
      </c>
      <c r="U709" s="1">
        <f>IF(Table14[[#This Row],[I_0]] &lt; INDEX(Table28[Filtro de ruido],1), 1, Table14[[#This Row],[I_10]] / Table14[[#This Row],[I_0]])</f>
        <v>1</v>
      </c>
      <c r="V709" s="1">
        <f>IF(Table14[[#This Row],[I_0]] &lt; INDEX(Table28[Filtro de ruido],1), 1, Table14[[#This Row],[I_20]] / Table14[[#This Row],[I_0]])</f>
        <v>1</v>
      </c>
      <c r="W709" s="1">
        <f>IF(Table14[[#This Row],[I_0]] &lt; INDEX(Table28[Filtro de ruido],1), 1, Table14[[#This Row],[I_30]] / Table14[[#This Row],[I_0]])</f>
        <v>1</v>
      </c>
      <c r="X709" s="1">
        <f>IF(Table14[[#This Row],[I_0]] &lt; INDEX(Table28[Filtro de ruido],1), 1, Table14[[#This Row],[I_40]] / Table14[[#This Row],[I_0]])</f>
        <v>1</v>
      </c>
      <c r="Y709" s="19">
        <f>IF(Table14[[#This Row],[I_0]] &lt; INDEX(Table28[Filtro de ruido],1), 1, Table14[[#This Row],[I_50]] / Table14[[#This Row],[I_0]])</f>
        <v>1</v>
      </c>
      <c r="AA709" s="1"/>
    </row>
    <row r="710" spans="1:27" x14ac:dyDescent="0.3">
      <c r="A710" s="18">
        <v>772.45</v>
      </c>
      <c r="B710" s="1">
        <v>0</v>
      </c>
      <c r="C710" s="1">
        <v>772.45</v>
      </c>
      <c r="D710" s="1">
        <v>0</v>
      </c>
      <c r="E710" s="1">
        <v>772.45</v>
      </c>
      <c r="F710" s="1">
        <v>0</v>
      </c>
      <c r="G710" s="1">
        <v>772.45</v>
      </c>
      <c r="H710" s="1">
        <v>0</v>
      </c>
      <c r="I710" s="1">
        <v>772.45</v>
      </c>
      <c r="J710" s="1">
        <v>0</v>
      </c>
      <c r="K710" s="1">
        <v>772.45</v>
      </c>
      <c r="L710" s="1">
        <v>0</v>
      </c>
      <c r="M710" s="1">
        <v>772.45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772.45</v>
      </c>
      <c r="U710" s="1">
        <f>IF(Table14[[#This Row],[I_0]] &lt; INDEX(Table28[Filtro de ruido],1), 1, Table14[[#This Row],[I_10]] / Table14[[#This Row],[I_0]])</f>
        <v>1</v>
      </c>
      <c r="V710" s="1">
        <f>IF(Table14[[#This Row],[I_0]] &lt; INDEX(Table28[Filtro de ruido],1), 1, Table14[[#This Row],[I_20]] / Table14[[#This Row],[I_0]])</f>
        <v>1</v>
      </c>
      <c r="W710" s="1">
        <f>IF(Table14[[#This Row],[I_0]] &lt; INDEX(Table28[Filtro de ruido],1), 1, Table14[[#This Row],[I_30]] / Table14[[#This Row],[I_0]])</f>
        <v>1</v>
      </c>
      <c r="X710" s="1">
        <f>IF(Table14[[#This Row],[I_0]] &lt; INDEX(Table28[Filtro de ruido],1), 1, Table14[[#This Row],[I_40]] / Table14[[#This Row],[I_0]])</f>
        <v>1</v>
      </c>
      <c r="Y710" s="19">
        <f>IF(Table14[[#This Row],[I_0]] &lt; INDEX(Table28[Filtro de ruido],1), 1, Table14[[#This Row],[I_50]] / Table14[[#This Row],[I_0]])</f>
        <v>1</v>
      </c>
      <c r="AA710" s="1"/>
    </row>
    <row r="711" spans="1:27" x14ac:dyDescent="0.3">
      <c r="A711" s="18">
        <v>773.44</v>
      </c>
      <c r="B711" s="1">
        <v>0</v>
      </c>
      <c r="C711" s="1">
        <v>773.44</v>
      </c>
      <c r="D711" s="1">
        <v>0</v>
      </c>
      <c r="E711" s="1">
        <v>773.44</v>
      </c>
      <c r="F711" s="1">
        <v>0</v>
      </c>
      <c r="G711" s="1">
        <v>773.44</v>
      </c>
      <c r="H711" s="1">
        <v>0</v>
      </c>
      <c r="I711" s="1">
        <v>773.44</v>
      </c>
      <c r="J711" s="1">
        <v>0</v>
      </c>
      <c r="K711" s="1">
        <v>773.44</v>
      </c>
      <c r="L711" s="1">
        <v>0</v>
      </c>
      <c r="M711" s="1">
        <v>773.44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773.44</v>
      </c>
      <c r="U711" s="1">
        <f>IF(Table14[[#This Row],[I_0]] &lt; INDEX(Table28[Filtro de ruido],1), 1, Table14[[#This Row],[I_10]] / Table14[[#This Row],[I_0]])</f>
        <v>1</v>
      </c>
      <c r="V711" s="1">
        <f>IF(Table14[[#This Row],[I_0]] &lt; INDEX(Table28[Filtro de ruido],1), 1, Table14[[#This Row],[I_20]] / Table14[[#This Row],[I_0]])</f>
        <v>1</v>
      </c>
      <c r="W711" s="1">
        <f>IF(Table14[[#This Row],[I_0]] &lt; INDEX(Table28[Filtro de ruido],1), 1, Table14[[#This Row],[I_30]] / Table14[[#This Row],[I_0]])</f>
        <v>1</v>
      </c>
      <c r="X711" s="1">
        <f>IF(Table14[[#This Row],[I_0]] &lt; INDEX(Table28[Filtro de ruido],1), 1, Table14[[#This Row],[I_40]] / Table14[[#This Row],[I_0]])</f>
        <v>1</v>
      </c>
      <c r="Y711" s="19">
        <f>IF(Table14[[#This Row],[I_0]] &lt; INDEX(Table28[Filtro de ruido],1), 1, Table14[[#This Row],[I_50]] / Table14[[#This Row],[I_0]])</f>
        <v>1</v>
      </c>
      <c r="AA711" s="1"/>
    </row>
    <row r="712" spans="1:27" x14ac:dyDescent="0.3">
      <c r="A712" s="18">
        <v>774.43</v>
      </c>
      <c r="B712" s="1">
        <v>0</v>
      </c>
      <c r="C712" s="1">
        <v>774.43</v>
      </c>
      <c r="D712" s="1">
        <v>0</v>
      </c>
      <c r="E712" s="1">
        <v>774.43</v>
      </c>
      <c r="F712" s="1">
        <v>0</v>
      </c>
      <c r="G712" s="1">
        <v>774.43</v>
      </c>
      <c r="H712" s="1">
        <v>0</v>
      </c>
      <c r="I712" s="1">
        <v>774.43</v>
      </c>
      <c r="J712" s="1">
        <v>0</v>
      </c>
      <c r="K712" s="1">
        <v>774.43</v>
      </c>
      <c r="L712" s="1">
        <v>0</v>
      </c>
      <c r="M712" s="1">
        <v>774.43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774.43</v>
      </c>
      <c r="U712" s="1">
        <f>IF(Table14[[#This Row],[I_0]] &lt; INDEX(Table28[Filtro de ruido],1), 1, Table14[[#This Row],[I_10]] / Table14[[#This Row],[I_0]])</f>
        <v>1</v>
      </c>
      <c r="V712" s="1">
        <f>IF(Table14[[#This Row],[I_0]] &lt; INDEX(Table28[Filtro de ruido],1), 1, Table14[[#This Row],[I_20]] / Table14[[#This Row],[I_0]])</f>
        <v>1</v>
      </c>
      <c r="W712" s="1">
        <f>IF(Table14[[#This Row],[I_0]] &lt; INDEX(Table28[Filtro de ruido],1), 1, Table14[[#This Row],[I_30]] / Table14[[#This Row],[I_0]])</f>
        <v>1</v>
      </c>
      <c r="X712" s="1">
        <f>IF(Table14[[#This Row],[I_0]] &lt; INDEX(Table28[Filtro de ruido],1), 1, Table14[[#This Row],[I_40]] / Table14[[#This Row],[I_0]])</f>
        <v>1</v>
      </c>
      <c r="Y712" s="19">
        <f>IF(Table14[[#This Row],[I_0]] &lt; INDEX(Table28[Filtro de ruido],1), 1, Table14[[#This Row],[I_50]] / Table14[[#This Row],[I_0]])</f>
        <v>1</v>
      </c>
      <c r="AA712" s="1"/>
    </row>
    <row r="713" spans="1:27" x14ac:dyDescent="0.3">
      <c r="A713" s="18">
        <v>775.43</v>
      </c>
      <c r="B713" s="1">
        <v>0</v>
      </c>
      <c r="C713" s="1">
        <v>775.43</v>
      </c>
      <c r="D713" s="1">
        <v>0</v>
      </c>
      <c r="E713" s="1">
        <v>775.43</v>
      </c>
      <c r="F713" s="1">
        <v>0</v>
      </c>
      <c r="G713" s="1">
        <v>775.43</v>
      </c>
      <c r="H713" s="1">
        <v>0</v>
      </c>
      <c r="I713" s="1">
        <v>775.43</v>
      </c>
      <c r="J713" s="1">
        <v>0</v>
      </c>
      <c r="K713" s="1">
        <v>775.43</v>
      </c>
      <c r="L713" s="1">
        <v>0</v>
      </c>
      <c r="M713" s="1">
        <v>775.43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775.43</v>
      </c>
      <c r="U713" s="1">
        <f>IF(Table14[[#This Row],[I_0]] &lt; INDEX(Table28[Filtro de ruido],1), 1, Table14[[#This Row],[I_10]] / Table14[[#This Row],[I_0]])</f>
        <v>1</v>
      </c>
      <c r="V713" s="1">
        <f>IF(Table14[[#This Row],[I_0]] &lt; INDEX(Table28[Filtro de ruido],1), 1, Table14[[#This Row],[I_20]] / Table14[[#This Row],[I_0]])</f>
        <v>1</v>
      </c>
      <c r="W713" s="1">
        <f>IF(Table14[[#This Row],[I_0]] &lt; INDEX(Table28[Filtro de ruido],1), 1, Table14[[#This Row],[I_30]] / Table14[[#This Row],[I_0]])</f>
        <v>1</v>
      </c>
      <c r="X713" s="1">
        <f>IF(Table14[[#This Row],[I_0]] &lt; INDEX(Table28[Filtro de ruido],1), 1, Table14[[#This Row],[I_40]] / Table14[[#This Row],[I_0]])</f>
        <v>1</v>
      </c>
      <c r="Y713" s="19">
        <f>IF(Table14[[#This Row],[I_0]] &lt; INDEX(Table28[Filtro de ruido],1), 1, Table14[[#This Row],[I_50]] / Table14[[#This Row],[I_0]])</f>
        <v>1</v>
      </c>
      <c r="AA713" s="1"/>
    </row>
    <row r="714" spans="1:27" x14ac:dyDescent="0.3">
      <c r="A714" s="18">
        <v>776.42</v>
      </c>
      <c r="B714" s="1">
        <v>0</v>
      </c>
      <c r="C714" s="1">
        <v>776.42</v>
      </c>
      <c r="D714" s="1">
        <v>0</v>
      </c>
      <c r="E714" s="1">
        <v>776.42</v>
      </c>
      <c r="F714" s="1">
        <v>0</v>
      </c>
      <c r="G714" s="1">
        <v>776.42</v>
      </c>
      <c r="H714" s="1">
        <v>0</v>
      </c>
      <c r="I714" s="1">
        <v>776.42</v>
      </c>
      <c r="J714" s="1">
        <v>0</v>
      </c>
      <c r="K714" s="1">
        <v>776.42</v>
      </c>
      <c r="L714" s="1">
        <v>0</v>
      </c>
      <c r="M714" s="1">
        <v>776.42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776.42</v>
      </c>
      <c r="U714" s="1">
        <f>IF(Table14[[#This Row],[I_0]] &lt; INDEX(Table28[Filtro de ruido],1), 1, Table14[[#This Row],[I_10]] / Table14[[#This Row],[I_0]])</f>
        <v>1</v>
      </c>
      <c r="V714" s="1">
        <f>IF(Table14[[#This Row],[I_0]] &lt; INDEX(Table28[Filtro de ruido],1), 1, Table14[[#This Row],[I_20]] / Table14[[#This Row],[I_0]])</f>
        <v>1</v>
      </c>
      <c r="W714" s="1">
        <f>IF(Table14[[#This Row],[I_0]] &lt; INDEX(Table28[Filtro de ruido],1), 1, Table14[[#This Row],[I_30]] / Table14[[#This Row],[I_0]])</f>
        <v>1</v>
      </c>
      <c r="X714" s="1">
        <f>IF(Table14[[#This Row],[I_0]] &lt; INDEX(Table28[Filtro de ruido],1), 1, Table14[[#This Row],[I_40]] / Table14[[#This Row],[I_0]])</f>
        <v>1</v>
      </c>
      <c r="Y714" s="19">
        <f>IF(Table14[[#This Row],[I_0]] &lt; INDEX(Table28[Filtro de ruido],1), 1, Table14[[#This Row],[I_50]] / Table14[[#This Row],[I_0]])</f>
        <v>1</v>
      </c>
      <c r="AA714" s="1"/>
    </row>
    <row r="715" spans="1:27" x14ac:dyDescent="0.3">
      <c r="A715" s="18">
        <v>777.41</v>
      </c>
      <c r="B715" s="1">
        <v>0</v>
      </c>
      <c r="C715" s="1">
        <v>777.41</v>
      </c>
      <c r="D715" s="1">
        <v>0</v>
      </c>
      <c r="E715" s="1">
        <v>777.41</v>
      </c>
      <c r="F715" s="1">
        <v>0</v>
      </c>
      <c r="G715" s="1">
        <v>777.41</v>
      </c>
      <c r="H715" s="1">
        <v>0</v>
      </c>
      <c r="I715" s="1">
        <v>777.41</v>
      </c>
      <c r="J715" s="1">
        <v>0</v>
      </c>
      <c r="K715" s="1">
        <v>777.41</v>
      </c>
      <c r="L715" s="1">
        <v>0</v>
      </c>
      <c r="M715" s="1">
        <v>777.41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777.41</v>
      </c>
      <c r="U715" s="1">
        <f>IF(Table14[[#This Row],[I_0]] &lt; INDEX(Table28[Filtro de ruido],1), 1, Table14[[#This Row],[I_10]] / Table14[[#This Row],[I_0]])</f>
        <v>1</v>
      </c>
      <c r="V715" s="1">
        <f>IF(Table14[[#This Row],[I_0]] &lt; INDEX(Table28[Filtro de ruido],1), 1, Table14[[#This Row],[I_20]] / Table14[[#This Row],[I_0]])</f>
        <v>1</v>
      </c>
      <c r="W715" s="1">
        <f>IF(Table14[[#This Row],[I_0]] &lt; INDEX(Table28[Filtro de ruido],1), 1, Table14[[#This Row],[I_30]] / Table14[[#This Row],[I_0]])</f>
        <v>1</v>
      </c>
      <c r="X715" s="1">
        <f>IF(Table14[[#This Row],[I_0]] &lt; INDEX(Table28[Filtro de ruido],1), 1, Table14[[#This Row],[I_40]] / Table14[[#This Row],[I_0]])</f>
        <v>1</v>
      </c>
      <c r="Y715" s="19">
        <f>IF(Table14[[#This Row],[I_0]] &lt; INDEX(Table28[Filtro de ruido],1), 1, Table14[[#This Row],[I_50]] / Table14[[#This Row],[I_0]])</f>
        <v>1</v>
      </c>
      <c r="AA715" s="1"/>
    </row>
    <row r="716" spans="1:27" x14ac:dyDescent="0.3">
      <c r="A716" s="18">
        <v>778.4</v>
      </c>
      <c r="B716" s="1">
        <v>0</v>
      </c>
      <c r="C716" s="1">
        <v>778.4</v>
      </c>
      <c r="D716" s="1">
        <v>0</v>
      </c>
      <c r="E716" s="1">
        <v>778.4</v>
      </c>
      <c r="F716" s="1">
        <v>0</v>
      </c>
      <c r="G716" s="1">
        <v>778.4</v>
      </c>
      <c r="H716" s="1">
        <v>0</v>
      </c>
      <c r="I716" s="1">
        <v>778.4</v>
      </c>
      <c r="J716" s="1">
        <v>0</v>
      </c>
      <c r="K716" s="1">
        <v>778.4</v>
      </c>
      <c r="L716" s="1">
        <v>0</v>
      </c>
      <c r="M716" s="1">
        <v>778.4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778.4</v>
      </c>
      <c r="U716" s="1">
        <f>IF(Table14[[#This Row],[I_0]] &lt; INDEX(Table28[Filtro de ruido],1), 1, Table14[[#This Row],[I_10]] / Table14[[#This Row],[I_0]])</f>
        <v>1</v>
      </c>
      <c r="V716" s="1">
        <f>IF(Table14[[#This Row],[I_0]] &lt; INDEX(Table28[Filtro de ruido],1), 1, Table14[[#This Row],[I_20]] / Table14[[#This Row],[I_0]])</f>
        <v>1</v>
      </c>
      <c r="W716" s="1">
        <f>IF(Table14[[#This Row],[I_0]] &lt; INDEX(Table28[Filtro de ruido],1), 1, Table14[[#This Row],[I_30]] / Table14[[#This Row],[I_0]])</f>
        <v>1</v>
      </c>
      <c r="X716" s="1">
        <f>IF(Table14[[#This Row],[I_0]] &lt; INDEX(Table28[Filtro de ruido],1), 1, Table14[[#This Row],[I_40]] / Table14[[#This Row],[I_0]])</f>
        <v>1</v>
      </c>
      <c r="Y716" s="19">
        <f>IF(Table14[[#This Row],[I_0]] &lt; INDEX(Table28[Filtro de ruido],1), 1, Table14[[#This Row],[I_50]] / Table14[[#This Row],[I_0]])</f>
        <v>1</v>
      </c>
      <c r="AA716" s="1"/>
    </row>
    <row r="717" spans="1:27" x14ac:dyDescent="0.3">
      <c r="A717" s="18">
        <v>779.39</v>
      </c>
      <c r="B717" s="1">
        <v>0</v>
      </c>
      <c r="C717" s="1">
        <v>779.39</v>
      </c>
      <c r="D717" s="1">
        <v>0</v>
      </c>
      <c r="E717" s="1">
        <v>779.39</v>
      </c>
      <c r="F717" s="1">
        <v>0</v>
      </c>
      <c r="G717" s="1">
        <v>779.39</v>
      </c>
      <c r="H717" s="1">
        <v>0</v>
      </c>
      <c r="I717" s="1">
        <v>779.39</v>
      </c>
      <c r="J717" s="1">
        <v>0</v>
      </c>
      <c r="K717" s="1">
        <v>779.39</v>
      </c>
      <c r="L717" s="1">
        <v>0</v>
      </c>
      <c r="M717" s="1">
        <v>779.39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779.39</v>
      </c>
      <c r="U717" s="1">
        <f>IF(Table14[[#This Row],[I_0]] &lt; INDEX(Table28[Filtro de ruido],1), 1, Table14[[#This Row],[I_10]] / Table14[[#This Row],[I_0]])</f>
        <v>1</v>
      </c>
      <c r="V717" s="1">
        <f>IF(Table14[[#This Row],[I_0]] &lt; INDEX(Table28[Filtro de ruido],1), 1, Table14[[#This Row],[I_20]] / Table14[[#This Row],[I_0]])</f>
        <v>1</v>
      </c>
      <c r="W717" s="1">
        <f>IF(Table14[[#This Row],[I_0]] &lt; INDEX(Table28[Filtro de ruido],1), 1, Table14[[#This Row],[I_30]] / Table14[[#This Row],[I_0]])</f>
        <v>1</v>
      </c>
      <c r="X717" s="1">
        <f>IF(Table14[[#This Row],[I_0]] &lt; INDEX(Table28[Filtro de ruido],1), 1, Table14[[#This Row],[I_40]] / Table14[[#This Row],[I_0]])</f>
        <v>1</v>
      </c>
      <c r="Y717" s="19">
        <f>IF(Table14[[#This Row],[I_0]] &lt; INDEX(Table28[Filtro de ruido],1), 1, Table14[[#This Row],[I_50]] / Table14[[#This Row],[I_0]])</f>
        <v>1</v>
      </c>
      <c r="AA717" s="1"/>
    </row>
    <row r="718" spans="1:27" x14ac:dyDescent="0.3">
      <c r="A718" s="18">
        <v>780.38</v>
      </c>
      <c r="B718" s="1">
        <v>0</v>
      </c>
      <c r="C718" s="1">
        <v>780.38</v>
      </c>
      <c r="D718" s="1">
        <v>0</v>
      </c>
      <c r="E718" s="1">
        <v>780.38</v>
      </c>
      <c r="F718" s="1">
        <v>0</v>
      </c>
      <c r="G718" s="1">
        <v>780.38</v>
      </c>
      <c r="H718" s="1">
        <v>0</v>
      </c>
      <c r="I718" s="1">
        <v>780.38</v>
      </c>
      <c r="J718" s="1">
        <v>0</v>
      </c>
      <c r="K718" s="1">
        <v>780.38</v>
      </c>
      <c r="L718" s="1">
        <v>0</v>
      </c>
      <c r="M718" s="1">
        <v>780.38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780.38</v>
      </c>
      <c r="U718" s="1">
        <f>IF(Table14[[#This Row],[I_0]] &lt; INDEX(Table28[Filtro de ruido],1), 1, Table14[[#This Row],[I_10]] / Table14[[#This Row],[I_0]])</f>
        <v>1</v>
      </c>
      <c r="V718" s="1">
        <f>IF(Table14[[#This Row],[I_0]] &lt; INDEX(Table28[Filtro de ruido],1), 1, Table14[[#This Row],[I_20]] / Table14[[#This Row],[I_0]])</f>
        <v>1</v>
      </c>
      <c r="W718" s="1">
        <f>IF(Table14[[#This Row],[I_0]] &lt; INDEX(Table28[Filtro de ruido],1), 1, Table14[[#This Row],[I_30]] / Table14[[#This Row],[I_0]])</f>
        <v>1</v>
      </c>
      <c r="X718" s="1">
        <f>IF(Table14[[#This Row],[I_0]] &lt; INDEX(Table28[Filtro de ruido],1), 1, Table14[[#This Row],[I_40]] / Table14[[#This Row],[I_0]])</f>
        <v>1</v>
      </c>
      <c r="Y718" s="19">
        <f>IF(Table14[[#This Row],[I_0]] &lt; INDEX(Table28[Filtro de ruido],1), 1, Table14[[#This Row],[I_50]] / Table14[[#This Row],[I_0]])</f>
        <v>1</v>
      </c>
      <c r="AA718" s="1"/>
    </row>
    <row r="719" spans="1:27" x14ac:dyDescent="0.3">
      <c r="A719" s="18">
        <v>781.38</v>
      </c>
      <c r="B719" s="1">
        <v>0</v>
      </c>
      <c r="C719" s="1">
        <v>781.38</v>
      </c>
      <c r="D719" s="1">
        <v>0</v>
      </c>
      <c r="E719" s="1">
        <v>781.38</v>
      </c>
      <c r="F719" s="1">
        <v>0</v>
      </c>
      <c r="G719" s="1">
        <v>781.38</v>
      </c>
      <c r="H719" s="1">
        <v>0</v>
      </c>
      <c r="I719" s="1">
        <v>781.38</v>
      </c>
      <c r="J719" s="1">
        <v>0</v>
      </c>
      <c r="K719" s="1">
        <v>781.38</v>
      </c>
      <c r="L719" s="1">
        <v>0</v>
      </c>
      <c r="M719" s="1">
        <v>781.38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781.38</v>
      </c>
      <c r="U719" s="1">
        <f>IF(Table14[[#This Row],[I_0]] &lt; INDEX(Table28[Filtro de ruido],1), 1, Table14[[#This Row],[I_10]] / Table14[[#This Row],[I_0]])</f>
        <v>1</v>
      </c>
      <c r="V719" s="1">
        <f>IF(Table14[[#This Row],[I_0]] &lt; INDEX(Table28[Filtro de ruido],1), 1, Table14[[#This Row],[I_20]] / Table14[[#This Row],[I_0]])</f>
        <v>1</v>
      </c>
      <c r="W719" s="1">
        <f>IF(Table14[[#This Row],[I_0]] &lt; INDEX(Table28[Filtro de ruido],1), 1, Table14[[#This Row],[I_30]] / Table14[[#This Row],[I_0]])</f>
        <v>1</v>
      </c>
      <c r="X719" s="1">
        <f>IF(Table14[[#This Row],[I_0]] &lt; INDEX(Table28[Filtro de ruido],1), 1, Table14[[#This Row],[I_40]] / Table14[[#This Row],[I_0]])</f>
        <v>1</v>
      </c>
      <c r="Y719" s="19">
        <f>IF(Table14[[#This Row],[I_0]] &lt; INDEX(Table28[Filtro de ruido],1), 1, Table14[[#This Row],[I_50]] / Table14[[#This Row],[I_0]])</f>
        <v>1</v>
      </c>
      <c r="AA719" s="1"/>
    </row>
    <row r="720" spans="1:27" x14ac:dyDescent="0.3">
      <c r="A720" s="18">
        <v>782.37</v>
      </c>
      <c r="B720" s="1">
        <v>0</v>
      </c>
      <c r="C720" s="1">
        <v>782.37</v>
      </c>
      <c r="D720" s="1">
        <v>0</v>
      </c>
      <c r="E720" s="1">
        <v>782.37</v>
      </c>
      <c r="F720" s="1">
        <v>0</v>
      </c>
      <c r="G720" s="1">
        <v>782.37</v>
      </c>
      <c r="H720" s="1">
        <v>0</v>
      </c>
      <c r="I720" s="1">
        <v>782.37</v>
      </c>
      <c r="J720" s="1">
        <v>0</v>
      </c>
      <c r="K720" s="1">
        <v>782.37</v>
      </c>
      <c r="L720" s="1">
        <v>0</v>
      </c>
      <c r="M720" s="1">
        <v>782.37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782.37</v>
      </c>
      <c r="U720" s="1">
        <f>IF(Table14[[#This Row],[I_0]] &lt; INDEX(Table28[Filtro de ruido],1), 1, Table14[[#This Row],[I_10]] / Table14[[#This Row],[I_0]])</f>
        <v>1</v>
      </c>
      <c r="V720" s="1">
        <f>IF(Table14[[#This Row],[I_0]] &lt; INDEX(Table28[Filtro de ruido],1), 1, Table14[[#This Row],[I_20]] / Table14[[#This Row],[I_0]])</f>
        <v>1</v>
      </c>
      <c r="W720" s="1">
        <f>IF(Table14[[#This Row],[I_0]] &lt; INDEX(Table28[Filtro de ruido],1), 1, Table14[[#This Row],[I_30]] / Table14[[#This Row],[I_0]])</f>
        <v>1</v>
      </c>
      <c r="X720" s="1">
        <f>IF(Table14[[#This Row],[I_0]] &lt; INDEX(Table28[Filtro de ruido],1), 1, Table14[[#This Row],[I_40]] / Table14[[#This Row],[I_0]])</f>
        <v>1</v>
      </c>
      <c r="Y720" s="19">
        <f>IF(Table14[[#This Row],[I_0]] &lt; INDEX(Table28[Filtro de ruido],1), 1, Table14[[#This Row],[I_50]] / Table14[[#This Row],[I_0]])</f>
        <v>1</v>
      </c>
      <c r="AA720" s="1"/>
    </row>
    <row r="721" spans="1:27" x14ac:dyDescent="0.3">
      <c r="A721" s="18">
        <v>783.36</v>
      </c>
      <c r="B721" s="1">
        <v>0</v>
      </c>
      <c r="C721" s="1">
        <v>783.36</v>
      </c>
      <c r="D721" s="1">
        <v>0</v>
      </c>
      <c r="E721" s="1">
        <v>783.36</v>
      </c>
      <c r="F721" s="1">
        <v>0</v>
      </c>
      <c r="G721" s="1">
        <v>783.36</v>
      </c>
      <c r="H721" s="1">
        <v>0</v>
      </c>
      <c r="I721" s="1">
        <v>783.36</v>
      </c>
      <c r="J721" s="1">
        <v>0</v>
      </c>
      <c r="K721" s="1">
        <v>783.36</v>
      </c>
      <c r="L721" s="1">
        <v>0</v>
      </c>
      <c r="M721" s="1">
        <v>783.36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783.36</v>
      </c>
      <c r="U721" s="1">
        <f>IF(Table14[[#This Row],[I_0]] &lt; INDEX(Table28[Filtro de ruido],1), 1, Table14[[#This Row],[I_10]] / Table14[[#This Row],[I_0]])</f>
        <v>1</v>
      </c>
      <c r="V721" s="1">
        <f>IF(Table14[[#This Row],[I_0]] &lt; INDEX(Table28[Filtro de ruido],1), 1, Table14[[#This Row],[I_20]] / Table14[[#This Row],[I_0]])</f>
        <v>1</v>
      </c>
      <c r="W721" s="1">
        <f>IF(Table14[[#This Row],[I_0]] &lt; INDEX(Table28[Filtro de ruido],1), 1, Table14[[#This Row],[I_30]] / Table14[[#This Row],[I_0]])</f>
        <v>1</v>
      </c>
      <c r="X721" s="1">
        <f>IF(Table14[[#This Row],[I_0]] &lt; INDEX(Table28[Filtro de ruido],1), 1, Table14[[#This Row],[I_40]] / Table14[[#This Row],[I_0]])</f>
        <v>1</v>
      </c>
      <c r="Y721" s="19">
        <f>IF(Table14[[#This Row],[I_0]] &lt; INDEX(Table28[Filtro de ruido],1), 1, Table14[[#This Row],[I_50]] / Table14[[#This Row],[I_0]])</f>
        <v>1</v>
      </c>
      <c r="AA721" s="1"/>
    </row>
    <row r="722" spans="1:27" x14ac:dyDescent="0.3">
      <c r="A722" s="18">
        <v>784.35</v>
      </c>
      <c r="B722" s="1">
        <v>0</v>
      </c>
      <c r="C722" s="1">
        <v>784.35</v>
      </c>
      <c r="D722" s="1">
        <v>0</v>
      </c>
      <c r="E722" s="1">
        <v>784.35</v>
      </c>
      <c r="F722" s="1">
        <v>0</v>
      </c>
      <c r="G722" s="1">
        <v>784.35</v>
      </c>
      <c r="H722" s="1">
        <v>0</v>
      </c>
      <c r="I722" s="1">
        <v>784.35</v>
      </c>
      <c r="J722" s="1">
        <v>0</v>
      </c>
      <c r="K722" s="1">
        <v>784.35</v>
      </c>
      <c r="L722" s="1">
        <v>0</v>
      </c>
      <c r="M722" s="1">
        <v>784.35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784.35</v>
      </c>
      <c r="U722" s="1">
        <f>IF(Table14[[#This Row],[I_0]] &lt; INDEX(Table28[Filtro de ruido],1), 1, Table14[[#This Row],[I_10]] / Table14[[#This Row],[I_0]])</f>
        <v>1</v>
      </c>
      <c r="V722" s="1">
        <f>IF(Table14[[#This Row],[I_0]] &lt; INDEX(Table28[Filtro de ruido],1), 1, Table14[[#This Row],[I_20]] / Table14[[#This Row],[I_0]])</f>
        <v>1</v>
      </c>
      <c r="W722" s="1">
        <f>IF(Table14[[#This Row],[I_0]] &lt; INDEX(Table28[Filtro de ruido],1), 1, Table14[[#This Row],[I_30]] / Table14[[#This Row],[I_0]])</f>
        <v>1</v>
      </c>
      <c r="X722" s="1">
        <f>IF(Table14[[#This Row],[I_0]] &lt; INDEX(Table28[Filtro de ruido],1), 1, Table14[[#This Row],[I_40]] / Table14[[#This Row],[I_0]])</f>
        <v>1</v>
      </c>
      <c r="Y722" s="19">
        <f>IF(Table14[[#This Row],[I_0]] &lt; INDEX(Table28[Filtro de ruido],1), 1, Table14[[#This Row],[I_50]] / Table14[[#This Row],[I_0]])</f>
        <v>1</v>
      </c>
      <c r="AA722" s="1"/>
    </row>
    <row r="723" spans="1:27" x14ac:dyDescent="0.3">
      <c r="A723" s="18">
        <v>785.34</v>
      </c>
      <c r="B723" s="1">
        <v>0</v>
      </c>
      <c r="C723" s="1">
        <v>785.34</v>
      </c>
      <c r="D723" s="1">
        <v>0</v>
      </c>
      <c r="E723" s="1">
        <v>785.34</v>
      </c>
      <c r="F723" s="1">
        <v>0</v>
      </c>
      <c r="G723" s="1">
        <v>785.34</v>
      </c>
      <c r="H723" s="1">
        <v>0</v>
      </c>
      <c r="I723" s="1">
        <v>785.34</v>
      </c>
      <c r="J723" s="1">
        <v>0</v>
      </c>
      <c r="K723" s="1">
        <v>785.34</v>
      </c>
      <c r="L723" s="1">
        <v>0</v>
      </c>
      <c r="M723" s="1">
        <v>785.34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785.34</v>
      </c>
      <c r="U723" s="1">
        <f>IF(Table14[[#This Row],[I_0]] &lt; INDEX(Table28[Filtro de ruido],1), 1, Table14[[#This Row],[I_10]] / Table14[[#This Row],[I_0]])</f>
        <v>1</v>
      </c>
      <c r="V723" s="1">
        <f>IF(Table14[[#This Row],[I_0]] &lt; INDEX(Table28[Filtro de ruido],1), 1, Table14[[#This Row],[I_20]] / Table14[[#This Row],[I_0]])</f>
        <v>1</v>
      </c>
      <c r="W723" s="1">
        <f>IF(Table14[[#This Row],[I_0]] &lt; INDEX(Table28[Filtro de ruido],1), 1, Table14[[#This Row],[I_30]] / Table14[[#This Row],[I_0]])</f>
        <v>1</v>
      </c>
      <c r="X723" s="1">
        <f>IF(Table14[[#This Row],[I_0]] &lt; INDEX(Table28[Filtro de ruido],1), 1, Table14[[#This Row],[I_40]] / Table14[[#This Row],[I_0]])</f>
        <v>1</v>
      </c>
      <c r="Y723" s="19">
        <f>IF(Table14[[#This Row],[I_0]] &lt; INDEX(Table28[Filtro de ruido],1), 1, Table14[[#This Row],[I_50]] / Table14[[#This Row],[I_0]])</f>
        <v>1</v>
      </c>
      <c r="AA723" s="1"/>
    </row>
    <row r="724" spans="1:27" x14ac:dyDescent="0.3">
      <c r="A724" s="18">
        <v>786.33</v>
      </c>
      <c r="B724" s="1">
        <v>0</v>
      </c>
      <c r="C724" s="1">
        <v>786.33</v>
      </c>
      <c r="D724" s="1">
        <v>0</v>
      </c>
      <c r="E724" s="1">
        <v>786.33</v>
      </c>
      <c r="F724" s="1">
        <v>0</v>
      </c>
      <c r="G724" s="1">
        <v>786.33</v>
      </c>
      <c r="H724" s="1">
        <v>0</v>
      </c>
      <c r="I724" s="1">
        <v>786.33</v>
      </c>
      <c r="J724" s="1">
        <v>0</v>
      </c>
      <c r="K724" s="1">
        <v>786.33</v>
      </c>
      <c r="L724" s="1">
        <v>0</v>
      </c>
      <c r="M724" s="1">
        <v>786.33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786.33</v>
      </c>
      <c r="U724" s="1">
        <f>IF(Table14[[#This Row],[I_0]] &lt; INDEX(Table28[Filtro de ruido],1), 1, Table14[[#This Row],[I_10]] / Table14[[#This Row],[I_0]])</f>
        <v>1</v>
      </c>
      <c r="V724" s="1">
        <f>IF(Table14[[#This Row],[I_0]] &lt; INDEX(Table28[Filtro de ruido],1), 1, Table14[[#This Row],[I_20]] / Table14[[#This Row],[I_0]])</f>
        <v>1</v>
      </c>
      <c r="W724" s="1">
        <f>IF(Table14[[#This Row],[I_0]] &lt; INDEX(Table28[Filtro de ruido],1), 1, Table14[[#This Row],[I_30]] / Table14[[#This Row],[I_0]])</f>
        <v>1</v>
      </c>
      <c r="X724" s="1">
        <f>IF(Table14[[#This Row],[I_0]] &lt; INDEX(Table28[Filtro de ruido],1), 1, Table14[[#This Row],[I_40]] / Table14[[#This Row],[I_0]])</f>
        <v>1</v>
      </c>
      <c r="Y724" s="19">
        <f>IF(Table14[[#This Row],[I_0]] &lt; INDEX(Table28[Filtro de ruido],1), 1, Table14[[#This Row],[I_50]] / Table14[[#This Row],[I_0]])</f>
        <v>1</v>
      </c>
      <c r="AA724" s="1"/>
    </row>
    <row r="725" spans="1:27" x14ac:dyDescent="0.3">
      <c r="A725" s="18">
        <v>787.33</v>
      </c>
      <c r="B725" s="1">
        <v>0</v>
      </c>
      <c r="C725" s="1">
        <v>787.33</v>
      </c>
      <c r="D725" s="1">
        <v>0</v>
      </c>
      <c r="E725" s="1">
        <v>787.33</v>
      </c>
      <c r="F725" s="1">
        <v>0</v>
      </c>
      <c r="G725" s="1">
        <v>787.33</v>
      </c>
      <c r="H725" s="1">
        <v>0</v>
      </c>
      <c r="I725" s="1">
        <v>787.33</v>
      </c>
      <c r="J725" s="1">
        <v>0</v>
      </c>
      <c r="K725" s="1">
        <v>787.33</v>
      </c>
      <c r="L725" s="1">
        <v>0</v>
      </c>
      <c r="M725" s="1">
        <v>787.33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787.33</v>
      </c>
      <c r="U725" s="1">
        <f>IF(Table14[[#This Row],[I_0]] &lt; INDEX(Table28[Filtro de ruido],1), 1, Table14[[#This Row],[I_10]] / Table14[[#This Row],[I_0]])</f>
        <v>1</v>
      </c>
      <c r="V725" s="1">
        <f>IF(Table14[[#This Row],[I_0]] &lt; INDEX(Table28[Filtro de ruido],1), 1, Table14[[#This Row],[I_20]] / Table14[[#This Row],[I_0]])</f>
        <v>1</v>
      </c>
      <c r="W725" s="1">
        <f>IF(Table14[[#This Row],[I_0]] &lt; INDEX(Table28[Filtro de ruido],1), 1, Table14[[#This Row],[I_30]] / Table14[[#This Row],[I_0]])</f>
        <v>1</v>
      </c>
      <c r="X725" s="1">
        <f>IF(Table14[[#This Row],[I_0]] &lt; INDEX(Table28[Filtro de ruido],1), 1, Table14[[#This Row],[I_40]] / Table14[[#This Row],[I_0]])</f>
        <v>1</v>
      </c>
      <c r="Y725" s="19">
        <f>IF(Table14[[#This Row],[I_0]] &lt; INDEX(Table28[Filtro de ruido],1), 1, Table14[[#This Row],[I_50]] / Table14[[#This Row],[I_0]])</f>
        <v>1</v>
      </c>
      <c r="AA725" s="1"/>
    </row>
    <row r="726" spans="1:27" x14ac:dyDescent="0.3">
      <c r="A726" s="18">
        <v>788.32</v>
      </c>
      <c r="B726" s="1">
        <v>0</v>
      </c>
      <c r="C726" s="1">
        <v>788.32</v>
      </c>
      <c r="D726" s="1">
        <v>0</v>
      </c>
      <c r="E726" s="1">
        <v>788.32</v>
      </c>
      <c r="F726" s="1">
        <v>0</v>
      </c>
      <c r="G726" s="1">
        <v>788.32</v>
      </c>
      <c r="H726" s="1">
        <v>0</v>
      </c>
      <c r="I726" s="1">
        <v>788.32</v>
      </c>
      <c r="J726" s="1">
        <v>0</v>
      </c>
      <c r="K726" s="1">
        <v>788.32</v>
      </c>
      <c r="L726" s="1">
        <v>0</v>
      </c>
      <c r="M726" s="1">
        <v>788.32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788.32</v>
      </c>
      <c r="U726" s="1">
        <f>IF(Table14[[#This Row],[I_0]] &lt; INDEX(Table28[Filtro de ruido],1), 1, Table14[[#This Row],[I_10]] / Table14[[#This Row],[I_0]])</f>
        <v>1</v>
      </c>
      <c r="V726" s="1">
        <f>IF(Table14[[#This Row],[I_0]] &lt; INDEX(Table28[Filtro de ruido],1), 1, Table14[[#This Row],[I_20]] / Table14[[#This Row],[I_0]])</f>
        <v>1</v>
      </c>
      <c r="W726" s="1">
        <f>IF(Table14[[#This Row],[I_0]] &lt; INDEX(Table28[Filtro de ruido],1), 1, Table14[[#This Row],[I_30]] / Table14[[#This Row],[I_0]])</f>
        <v>1</v>
      </c>
      <c r="X726" s="1">
        <f>IF(Table14[[#This Row],[I_0]] &lt; INDEX(Table28[Filtro de ruido],1), 1, Table14[[#This Row],[I_40]] / Table14[[#This Row],[I_0]])</f>
        <v>1</v>
      </c>
      <c r="Y726" s="19">
        <f>IF(Table14[[#This Row],[I_0]] &lt; INDEX(Table28[Filtro de ruido],1), 1, Table14[[#This Row],[I_50]] / Table14[[#This Row],[I_0]])</f>
        <v>1</v>
      </c>
      <c r="AA726" s="1"/>
    </row>
    <row r="727" spans="1:27" x14ac:dyDescent="0.3">
      <c r="A727" s="18">
        <v>789.31</v>
      </c>
      <c r="B727" s="1">
        <v>0</v>
      </c>
      <c r="C727" s="1">
        <v>789.31</v>
      </c>
      <c r="D727" s="1">
        <v>0</v>
      </c>
      <c r="E727" s="1">
        <v>789.31</v>
      </c>
      <c r="F727" s="1">
        <v>0</v>
      </c>
      <c r="G727" s="1">
        <v>789.31</v>
      </c>
      <c r="H727" s="1">
        <v>0</v>
      </c>
      <c r="I727" s="1">
        <v>789.31</v>
      </c>
      <c r="J727" s="1">
        <v>0</v>
      </c>
      <c r="K727" s="1">
        <v>789.31</v>
      </c>
      <c r="L727" s="1">
        <v>0</v>
      </c>
      <c r="M727" s="1">
        <v>789.31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789.31</v>
      </c>
      <c r="U727" s="1">
        <f>IF(Table14[[#This Row],[I_0]] &lt; INDEX(Table28[Filtro de ruido],1), 1, Table14[[#This Row],[I_10]] / Table14[[#This Row],[I_0]])</f>
        <v>1</v>
      </c>
      <c r="V727" s="1">
        <f>IF(Table14[[#This Row],[I_0]] &lt; INDEX(Table28[Filtro de ruido],1), 1, Table14[[#This Row],[I_20]] / Table14[[#This Row],[I_0]])</f>
        <v>1</v>
      </c>
      <c r="W727" s="1">
        <f>IF(Table14[[#This Row],[I_0]] &lt; INDEX(Table28[Filtro de ruido],1), 1, Table14[[#This Row],[I_30]] / Table14[[#This Row],[I_0]])</f>
        <v>1</v>
      </c>
      <c r="X727" s="1">
        <f>IF(Table14[[#This Row],[I_0]] &lt; INDEX(Table28[Filtro de ruido],1), 1, Table14[[#This Row],[I_40]] / Table14[[#This Row],[I_0]])</f>
        <v>1</v>
      </c>
      <c r="Y727" s="19">
        <f>IF(Table14[[#This Row],[I_0]] &lt; INDEX(Table28[Filtro de ruido],1), 1, Table14[[#This Row],[I_50]] / Table14[[#This Row],[I_0]])</f>
        <v>1</v>
      </c>
      <c r="AA727" s="1"/>
    </row>
    <row r="728" spans="1:27" x14ac:dyDescent="0.3">
      <c r="A728" s="18">
        <v>790.3</v>
      </c>
      <c r="B728" s="1">
        <v>0</v>
      </c>
      <c r="C728" s="1">
        <v>790.3</v>
      </c>
      <c r="D728" s="1">
        <v>0</v>
      </c>
      <c r="E728" s="1">
        <v>790.3</v>
      </c>
      <c r="F728" s="1">
        <v>0</v>
      </c>
      <c r="G728" s="1">
        <v>790.3</v>
      </c>
      <c r="H728" s="1">
        <v>0</v>
      </c>
      <c r="I728" s="1">
        <v>790.3</v>
      </c>
      <c r="J728" s="1">
        <v>0</v>
      </c>
      <c r="K728" s="1">
        <v>790.3</v>
      </c>
      <c r="L728" s="1">
        <v>0</v>
      </c>
      <c r="M728" s="1">
        <v>790.3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790.3</v>
      </c>
      <c r="U728" s="1">
        <f>IF(Table14[[#This Row],[I_0]] &lt; INDEX(Table28[Filtro de ruido],1), 1, Table14[[#This Row],[I_10]] / Table14[[#This Row],[I_0]])</f>
        <v>1</v>
      </c>
      <c r="V728" s="1">
        <f>IF(Table14[[#This Row],[I_0]] &lt; INDEX(Table28[Filtro de ruido],1), 1, Table14[[#This Row],[I_20]] / Table14[[#This Row],[I_0]])</f>
        <v>1</v>
      </c>
      <c r="W728" s="1">
        <f>IF(Table14[[#This Row],[I_0]] &lt; INDEX(Table28[Filtro de ruido],1), 1, Table14[[#This Row],[I_30]] / Table14[[#This Row],[I_0]])</f>
        <v>1</v>
      </c>
      <c r="X728" s="1">
        <f>IF(Table14[[#This Row],[I_0]] &lt; INDEX(Table28[Filtro de ruido],1), 1, Table14[[#This Row],[I_40]] / Table14[[#This Row],[I_0]])</f>
        <v>1</v>
      </c>
      <c r="Y728" s="19">
        <f>IF(Table14[[#This Row],[I_0]] &lt; INDEX(Table28[Filtro de ruido],1), 1, Table14[[#This Row],[I_50]] / Table14[[#This Row],[I_0]])</f>
        <v>1</v>
      </c>
      <c r="AA728" s="1"/>
    </row>
    <row r="729" spans="1:27" x14ac:dyDescent="0.3">
      <c r="A729" s="18">
        <v>791.29</v>
      </c>
      <c r="B729" s="1">
        <v>0</v>
      </c>
      <c r="C729" s="1">
        <v>791.29</v>
      </c>
      <c r="D729" s="1">
        <v>0</v>
      </c>
      <c r="E729" s="1">
        <v>791.29</v>
      </c>
      <c r="F729" s="1">
        <v>0</v>
      </c>
      <c r="G729" s="1">
        <v>791.29</v>
      </c>
      <c r="H729" s="1">
        <v>0</v>
      </c>
      <c r="I729" s="1">
        <v>791.29</v>
      </c>
      <c r="J729" s="1">
        <v>0</v>
      </c>
      <c r="K729" s="1">
        <v>791.29</v>
      </c>
      <c r="L729" s="1">
        <v>0</v>
      </c>
      <c r="M729" s="1">
        <v>791.29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791.29</v>
      </c>
      <c r="U729" s="1">
        <f>IF(Table14[[#This Row],[I_0]] &lt; INDEX(Table28[Filtro de ruido],1), 1, Table14[[#This Row],[I_10]] / Table14[[#This Row],[I_0]])</f>
        <v>1</v>
      </c>
      <c r="V729" s="1">
        <f>IF(Table14[[#This Row],[I_0]] &lt; INDEX(Table28[Filtro de ruido],1), 1, Table14[[#This Row],[I_20]] / Table14[[#This Row],[I_0]])</f>
        <v>1</v>
      </c>
      <c r="W729" s="1">
        <f>IF(Table14[[#This Row],[I_0]] &lt; INDEX(Table28[Filtro de ruido],1), 1, Table14[[#This Row],[I_30]] / Table14[[#This Row],[I_0]])</f>
        <v>1</v>
      </c>
      <c r="X729" s="1">
        <f>IF(Table14[[#This Row],[I_0]] &lt; INDEX(Table28[Filtro de ruido],1), 1, Table14[[#This Row],[I_40]] / Table14[[#This Row],[I_0]])</f>
        <v>1</v>
      </c>
      <c r="Y729" s="19">
        <f>IF(Table14[[#This Row],[I_0]] &lt; INDEX(Table28[Filtro de ruido],1), 1, Table14[[#This Row],[I_50]] / Table14[[#This Row],[I_0]])</f>
        <v>1</v>
      </c>
      <c r="AA729" s="1"/>
    </row>
    <row r="730" spans="1:27" x14ac:dyDescent="0.3">
      <c r="A730" s="18">
        <v>792.29</v>
      </c>
      <c r="B730" s="1">
        <v>0</v>
      </c>
      <c r="C730" s="1">
        <v>792.29</v>
      </c>
      <c r="D730" s="1">
        <v>0</v>
      </c>
      <c r="E730" s="1">
        <v>792.29</v>
      </c>
      <c r="F730" s="1">
        <v>0</v>
      </c>
      <c r="G730" s="1">
        <v>792.29</v>
      </c>
      <c r="H730" s="1">
        <v>0</v>
      </c>
      <c r="I730" s="1">
        <v>792.29</v>
      </c>
      <c r="J730" s="1">
        <v>0</v>
      </c>
      <c r="K730" s="1">
        <v>792.29</v>
      </c>
      <c r="L730" s="1">
        <v>0</v>
      </c>
      <c r="M730" s="1">
        <v>792.29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792.29</v>
      </c>
      <c r="U730" s="1">
        <f>IF(Table14[[#This Row],[I_0]] &lt; INDEX(Table28[Filtro de ruido],1), 1, Table14[[#This Row],[I_10]] / Table14[[#This Row],[I_0]])</f>
        <v>1</v>
      </c>
      <c r="V730" s="1">
        <f>IF(Table14[[#This Row],[I_0]] &lt; INDEX(Table28[Filtro de ruido],1), 1, Table14[[#This Row],[I_20]] / Table14[[#This Row],[I_0]])</f>
        <v>1</v>
      </c>
      <c r="W730" s="1">
        <f>IF(Table14[[#This Row],[I_0]] &lt; INDEX(Table28[Filtro de ruido],1), 1, Table14[[#This Row],[I_30]] / Table14[[#This Row],[I_0]])</f>
        <v>1</v>
      </c>
      <c r="X730" s="1">
        <f>IF(Table14[[#This Row],[I_0]] &lt; INDEX(Table28[Filtro de ruido],1), 1, Table14[[#This Row],[I_40]] / Table14[[#This Row],[I_0]])</f>
        <v>1</v>
      </c>
      <c r="Y730" s="19">
        <f>IF(Table14[[#This Row],[I_0]] &lt; INDEX(Table28[Filtro de ruido],1), 1, Table14[[#This Row],[I_50]] / Table14[[#This Row],[I_0]])</f>
        <v>1</v>
      </c>
      <c r="AA730" s="1"/>
    </row>
    <row r="731" spans="1:27" x14ac:dyDescent="0.3">
      <c r="A731" s="18">
        <v>793.28</v>
      </c>
      <c r="B731" s="1">
        <v>0</v>
      </c>
      <c r="C731" s="1">
        <v>793.28</v>
      </c>
      <c r="D731" s="1">
        <v>0</v>
      </c>
      <c r="E731" s="1">
        <v>793.28</v>
      </c>
      <c r="F731" s="1">
        <v>0</v>
      </c>
      <c r="G731" s="1">
        <v>793.28</v>
      </c>
      <c r="H731" s="1">
        <v>0</v>
      </c>
      <c r="I731" s="1">
        <v>793.28</v>
      </c>
      <c r="J731" s="1">
        <v>0</v>
      </c>
      <c r="K731" s="1">
        <v>793.28</v>
      </c>
      <c r="L731" s="1">
        <v>0</v>
      </c>
      <c r="M731" s="1">
        <v>793.28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793.28</v>
      </c>
      <c r="U731" s="1">
        <f>IF(Table14[[#This Row],[I_0]] &lt; INDEX(Table28[Filtro de ruido],1), 1, Table14[[#This Row],[I_10]] / Table14[[#This Row],[I_0]])</f>
        <v>1</v>
      </c>
      <c r="V731" s="1">
        <f>IF(Table14[[#This Row],[I_0]] &lt; INDEX(Table28[Filtro de ruido],1), 1, Table14[[#This Row],[I_20]] / Table14[[#This Row],[I_0]])</f>
        <v>1</v>
      </c>
      <c r="W731" s="1">
        <f>IF(Table14[[#This Row],[I_0]] &lt; INDEX(Table28[Filtro de ruido],1), 1, Table14[[#This Row],[I_30]] / Table14[[#This Row],[I_0]])</f>
        <v>1</v>
      </c>
      <c r="X731" s="1">
        <f>IF(Table14[[#This Row],[I_0]] &lt; INDEX(Table28[Filtro de ruido],1), 1, Table14[[#This Row],[I_40]] / Table14[[#This Row],[I_0]])</f>
        <v>1</v>
      </c>
      <c r="Y731" s="19">
        <f>IF(Table14[[#This Row],[I_0]] &lt; INDEX(Table28[Filtro de ruido],1), 1, Table14[[#This Row],[I_50]] / Table14[[#This Row],[I_0]])</f>
        <v>1</v>
      </c>
      <c r="AA731" s="1"/>
    </row>
    <row r="732" spans="1:27" x14ac:dyDescent="0.3">
      <c r="A732" s="18">
        <v>794.27</v>
      </c>
      <c r="B732" s="1">
        <v>0</v>
      </c>
      <c r="C732" s="1">
        <v>794.27</v>
      </c>
      <c r="D732" s="1">
        <v>0</v>
      </c>
      <c r="E732" s="1">
        <v>794.27</v>
      </c>
      <c r="F732" s="1">
        <v>0</v>
      </c>
      <c r="G732" s="1">
        <v>794.27</v>
      </c>
      <c r="H732" s="1">
        <v>0</v>
      </c>
      <c r="I732" s="1">
        <v>794.27</v>
      </c>
      <c r="J732" s="1">
        <v>0</v>
      </c>
      <c r="K732" s="1">
        <v>794.27</v>
      </c>
      <c r="L732" s="1">
        <v>0</v>
      </c>
      <c r="M732" s="1">
        <v>794.27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794.27</v>
      </c>
      <c r="U732" s="1">
        <f>IF(Table14[[#This Row],[I_0]] &lt; INDEX(Table28[Filtro de ruido],1), 1, Table14[[#This Row],[I_10]] / Table14[[#This Row],[I_0]])</f>
        <v>1</v>
      </c>
      <c r="V732" s="1">
        <f>IF(Table14[[#This Row],[I_0]] &lt; INDEX(Table28[Filtro de ruido],1), 1, Table14[[#This Row],[I_20]] / Table14[[#This Row],[I_0]])</f>
        <v>1</v>
      </c>
      <c r="W732" s="1">
        <f>IF(Table14[[#This Row],[I_0]] &lt; INDEX(Table28[Filtro de ruido],1), 1, Table14[[#This Row],[I_30]] / Table14[[#This Row],[I_0]])</f>
        <v>1</v>
      </c>
      <c r="X732" s="1">
        <f>IF(Table14[[#This Row],[I_0]] &lt; INDEX(Table28[Filtro de ruido],1), 1, Table14[[#This Row],[I_40]] / Table14[[#This Row],[I_0]])</f>
        <v>1</v>
      </c>
      <c r="Y732" s="19">
        <f>IF(Table14[[#This Row],[I_0]] &lt; INDEX(Table28[Filtro de ruido],1), 1, Table14[[#This Row],[I_50]] / Table14[[#This Row],[I_0]])</f>
        <v>1</v>
      </c>
      <c r="AA732" s="1"/>
    </row>
    <row r="733" spans="1:27" x14ac:dyDescent="0.3">
      <c r="A733" s="18">
        <v>795.26</v>
      </c>
      <c r="B733" s="1">
        <v>0</v>
      </c>
      <c r="C733" s="1">
        <v>795.26</v>
      </c>
      <c r="D733" s="1">
        <v>0</v>
      </c>
      <c r="E733" s="1">
        <v>795.26</v>
      </c>
      <c r="F733" s="1">
        <v>0</v>
      </c>
      <c r="G733" s="1">
        <v>795.26</v>
      </c>
      <c r="H733" s="1">
        <v>0</v>
      </c>
      <c r="I733" s="1">
        <v>795.26</v>
      </c>
      <c r="J733" s="1">
        <v>0</v>
      </c>
      <c r="K733" s="1">
        <v>795.26</v>
      </c>
      <c r="L733" s="1">
        <v>0</v>
      </c>
      <c r="M733" s="1">
        <v>795.26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795.26</v>
      </c>
      <c r="U733" s="1">
        <f>IF(Table14[[#This Row],[I_0]] &lt; INDEX(Table28[Filtro de ruido],1), 1, Table14[[#This Row],[I_10]] / Table14[[#This Row],[I_0]])</f>
        <v>1</v>
      </c>
      <c r="V733" s="1">
        <f>IF(Table14[[#This Row],[I_0]] &lt; INDEX(Table28[Filtro de ruido],1), 1, Table14[[#This Row],[I_20]] / Table14[[#This Row],[I_0]])</f>
        <v>1</v>
      </c>
      <c r="W733" s="1">
        <f>IF(Table14[[#This Row],[I_0]] &lt; INDEX(Table28[Filtro de ruido],1), 1, Table14[[#This Row],[I_30]] / Table14[[#This Row],[I_0]])</f>
        <v>1</v>
      </c>
      <c r="X733" s="1">
        <f>IF(Table14[[#This Row],[I_0]] &lt; INDEX(Table28[Filtro de ruido],1), 1, Table14[[#This Row],[I_40]] / Table14[[#This Row],[I_0]])</f>
        <v>1</v>
      </c>
      <c r="Y733" s="19">
        <f>IF(Table14[[#This Row],[I_0]] &lt; INDEX(Table28[Filtro de ruido],1), 1, Table14[[#This Row],[I_50]] / Table14[[#This Row],[I_0]])</f>
        <v>1</v>
      </c>
      <c r="AA733" s="1"/>
    </row>
    <row r="734" spans="1:27" x14ac:dyDescent="0.3">
      <c r="A734" s="18">
        <v>796.25</v>
      </c>
      <c r="B734" s="1">
        <v>0</v>
      </c>
      <c r="C734" s="1">
        <v>796.25</v>
      </c>
      <c r="D734" s="1">
        <v>0</v>
      </c>
      <c r="E734" s="1">
        <v>796.25</v>
      </c>
      <c r="F734" s="1">
        <v>0</v>
      </c>
      <c r="G734" s="1">
        <v>796.25</v>
      </c>
      <c r="H734" s="1">
        <v>0</v>
      </c>
      <c r="I734" s="1">
        <v>796.25</v>
      </c>
      <c r="J734" s="1">
        <v>0</v>
      </c>
      <c r="K734" s="1">
        <v>796.25</v>
      </c>
      <c r="L734" s="1">
        <v>0</v>
      </c>
      <c r="M734" s="1">
        <v>796.25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796.25</v>
      </c>
      <c r="U734" s="1">
        <f>IF(Table14[[#This Row],[I_0]] &lt; INDEX(Table28[Filtro de ruido],1), 1, Table14[[#This Row],[I_10]] / Table14[[#This Row],[I_0]])</f>
        <v>1</v>
      </c>
      <c r="V734" s="1">
        <f>IF(Table14[[#This Row],[I_0]] &lt; INDEX(Table28[Filtro de ruido],1), 1, Table14[[#This Row],[I_20]] / Table14[[#This Row],[I_0]])</f>
        <v>1</v>
      </c>
      <c r="W734" s="1">
        <f>IF(Table14[[#This Row],[I_0]] &lt; INDEX(Table28[Filtro de ruido],1), 1, Table14[[#This Row],[I_30]] / Table14[[#This Row],[I_0]])</f>
        <v>1</v>
      </c>
      <c r="X734" s="1">
        <f>IF(Table14[[#This Row],[I_0]] &lt; INDEX(Table28[Filtro de ruido],1), 1, Table14[[#This Row],[I_40]] / Table14[[#This Row],[I_0]])</f>
        <v>1</v>
      </c>
      <c r="Y734" s="19">
        <f>IF(Table14[[#This Row],[I_0]] &lt; INDEX(Table28[Filtro de ruido],1), 1, Table14[[#This Row],[I_50]] / Table14[[#This Row],[I_0]])</f>
        <v>1</v>
      </c>
      <c r="AA734" s="1"/>
    </row>
    <row r="735" spans="1:27" x14ac:dyDescent="0.3">
      <c r="A735" s="18">
        <v>797.24</v>
      </c>
      <c r="B735" s="1">
        <v>0</v>
      </c>
      <c r="C735" s="1">
        <v>797.24</v>
      </c>
      <c r="D735" s="1">
        <v>0</v>
      </c>
      <c r="E735" s="1">
        <v>797.24</v>
      </c>
      <c r="F735" s="1">
        <v>0</v>
      </c>
      <c r="G735" s="1">
        <v>797.24</v>
      </c>
      <c r="H735" s="1">
        <v>0</v>
      </c>
      <c r="I735" s="1">
        <v>797.24</v>
      </c>
      <c r="J735" s="1">
        <v>0</v>
      </c>
      <c r="K735" s="1">
        <v>797.24</v>
      </c>
      <c r="L735" s="1">
        <v>0</v>
      </c>
      <c r="M735" s="1">
        <v>797.24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797.24</v>
      </c>
      <c r="U735" s="1">
        <f>IF(Table14[[#This Row],[I_0]] &lt; INDEX(Table28[Filtro de ruido],1), 1, Table14[[#This Row],[I_10]] / Table14[[#This Row],[I_0]])</f>
        <v>1</v>
      </c>
      <c r="V735" s="1">
        <f>IF(Table14[[#This Row],[I_0]] &lt; INDEX(Table28[Filtro de ruido],1), 1, Table14[[#This Row],[I_20]] / Table14[[#This Row],[I_0]])</f>
        <v>1</v>
      </c>
      <c r="W735" s="1">
        <f>IF(Table14[[#This Row],[I_0]] &lt; INDEX(Table28[Filtro de ruido],1), 1, Table14[[#This Row],[I_30]] / Table14[[#This Row],[I_0]])</f>
        <v>1</v>
      </c>
      <c r="X735" s="1">
        <f>IF(Table14[[#This Row],[I_0]] &lt; INDEX(Table28[Filtro de ruido],1), 1, Table14[[#This Row],[I_40]] / Table14[[#This Row],[I_0]])</f>
        <v>1</v>
      </c>
      <c r="Y735" s="19">
        <f>IF(Table14[[#This Row],[I_0]] &lt; INDEX(Table28[Filtro de ruido],1), 1, Table14[[#This Row],[I_50]] / Table14[[#This Row],[I_0]])</f>
        <v>1</v>
      </c>
      <c r="AA735" s="1"/>
    </row>
    <row r="736" spans="1:27" x14ac:dyDescent="0.3">
      <c r="A736" s="18">
        <v>798.24</v>
      </c>
      <c r="B736" s="1">
        <v>0</v>
      </c>
      <c r="C736" s="1">
        <v>798.24</v>
      </c>
      <c r="D736" s="1">
        <v>0</v>
      </c>
      <c r="E736" s="1">
        <v>798.24</v>
      </c>
      <c r="F736" s="1">
        <v>0</v>
      </c>
      <c r="G736" s="1">
        <v>798.24</v>
      </c>
      <c r="H736" s="1">
        <v>0</v>
      </c>
      <c r="I736" s="1">
        <v>798.24</v>
      </c>
      <c r="J736" s="1">
        <v>0</v>
      </c>
      <c r="K736" s="1">
        <v>798.24</v>
      </c>
      <c r="L736" s="1">
        <v>0</v>
      </c>
      <c r="M736" s="1">
        <v>798.24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798.24</v>
      </c>
      <c r="U736" s="1">
        <f>IF(Table14[[#This Row],[I_0]] &lt; INDEX(Table28[Filtro de ruido],1), 1, Table14[[#This Row],[I_10]] / Table14[[#This Row],[I_0]])</f>
        <v>1</v>
      </c>
      <c r="V736" s="1">
        <f>IF(Table14[[#This Row],[I_0]] &lt; INDEX(Table28[Filtro de ruido],1), 1, Table14[[#This Row],[I_20]] / Table14[[#This Row],[I_0]])</f>
        <v>1</v>
      </c>
      <c r="W736" s="1">
        <f>IF(Table14[[#This Row],[I_0]] &lt; INDEX(Table28[Filtro de ruido],1), 1, Table14[[#This Row],[I_30]] / Table14[[#This Row],[I_0]])</f>
        <v>1</v>
      </c>
      <c r="X736" s="1">
        <f>IF(Table14[[#This Row],[I_0]] &lt; INDEX(Table28[Filtro de ruido],1), 1, Table14[[#This Row],[I_40]] / Table14[[#This Row],[I_0]])</f>
        <v>1</v>
      </c>
      <c r="Y736" s="19">
        <f>IF(Table14[[#This Row],[I_0]] &lt; INDEX(Table28[Filtro de ruido],1), 1, Table14[[#This Row],[I_50]] / Table14[[#This Row],[I_0]])</f>
        <v>1</v>
      </c>
      <c r="AA736" s="1"/>
    </row>
    <row r="737" spans="1:27" x14ac:dyDescent="0.3">
      <c r="A737" s="18">
        <v>799.23</v>
      </c>
      <c r="B737" s="1">
        <v>0</v>
      </c>
      <c r="C737" s="1">
        <v>799.23</v>
      </c>
      <c r="D737" s="1">
        <v>0</v>
      </c>
      <c r="E737" s="1">
        <v>799.23</v>
      </c>
      <c r="F737" s="1">
        <v>0</v>
      </c>
      <c r="G737" s="1">
        <v>799.23</v>
      </c>
      <c r="H737" s="1">
        <v>0</v>
      </c>
      <c r="I737" s="1">
        <v>799.23</v>
      </c>
      <c r="J737" s="1">
        <v>0</v>
      </c>
      <c r="K737" s="1">
        <v>799.23</v>
      </c>
      <c r="L737" s="1">
        <v>0</v>
      </c>
      <c r="M737" s="1">
        <v>799.23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799.23</v>
      </c>
      <c r="U737" s="1">
        <f>IF(Table14[[#This Row],[I_0]] &lt; INDEX(Table28[Filtro de ruido],1), 1, Table14[[#This Row],[I_10]] / Table14[[#This Row],[I_0]])</f>
        <v>1</v>
      </c>
      <c r="V737" s="1">
        <f>IF(Table14[[#This Row],[I_0]] &lt; INDEX(Table28[Filtro de ruido],1), 1, Table14[[#This Row],[I_20]] / Table14[[#This Row],[I_0]])</f>
        <v>1</v>
      </c>
      <c r="W737" s="1">
        <f>IF(Table14[[#This Row],[I_0]] &lt; INDEX(Table28[Filtro de ruido],1), 1, Table14[[#This Row],[I_30]] / Table14[[#This Row],[I_0]])</f>
        <v>1</v>
      </c>
      <c r="X737" s="1">
        <f>IF(Table14[[#This Row],[I_0]] &lt; INDEX(Table28[Filtro de ruido],1), 1, Table14[[#This Row],[I_40]] / Table14[[#This Row],[I_0]])</f>
        <v>1</v>
      </c>
      <c r="Y737" s="19">
        <f>IF(Table14[[#This Row],[I_0]] &lt; INDEX(Table28[Filtro de ruido],1), 1, Table14[[#This Row],[I_50]] / Table14[[#This Row],[I_0]])</f>
        <v>1</v>
      </c>
      <c r="AA737" s="1"/>
    </row>
    <row r="738" spans="1:27" x14ac:dyDescent="0.3">
      <c r="A738" s="18">
        <v>800.22</v>
      </c>
      <c r="B738" s="1">
        <v>0</v>
      </c>
      <c r="C738" s="1">
        <v>800.22</v>
      </c>
      <c r="D738" s="1">
        <v>0</v>
      </c>
      <c r="E738" s="1">
        <v>800.22</v>
      </c>
      <c r="F738" s="1">
        <v>0</v>
      </c>
      <c r="G738" s="1">
        <v>800.22</v>
      </c>
      <c r="H738" s="1">
        <v>0</v>
      </c>
      <c r="I738" s="1">
        <v>800.22</v>
      </c>
      <c r="J738" s="1">
        <v>0</v>
      </c>
      <c r="K738" s="1">
        <v>800.22</v>
      </c>
      <c r="L738" s="1">
        <v>0</v>
      </c>
      <c r="M738" s="1">
        <v>800.22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800.22</v>
      </c>
      <c r="U738" s="1">
        <f>IF(Table14[[#This Row],[I_0]] &lt; INDEX(Table28[Filtro de ruido],1), 1, Table14[[#This Row],[I_10]] / Table14[[#This Row],[I_0]])</f>
        <v>1</v>
      </c>
      <c r="V738" s="1">
        <f>IF(Table14[[#This Row],[I_0]] &lt; INDEX(Table28[Filtro de ruido],1), 1, Table14[[#This Row],[I_20]] / Table14[[#This Row],[I_0]])</f>
        <v>1</v>
      </c>
      <c r="W738" s="1">
        <f>IF(Table14[[#This Row],[I_0]] &lt; INDEX(Table28[Filtro de ruido],1), 1, Table14[[#This Row],[I_30]] / Table14[[#This Row],[I_0]])</f>
        <v>1</v>
      </c>
      <c r="X738" s="1">
        <f>IF(Table14[[#This Row],[I_0]] &lt; INDEX(Table28[Filtro de ruido],1), 1, Table14[[#This Row],[I_40]] / Table14[[#This Row],[I_0]])</f>
        <v>1</v>
      </c>
      <c r="Y738" s="19">
        <f>IF(Table14[[#This Row],[I_0]] &lt; INDEX(Table28[Filtro de ruido],1), 1, Table14[[#This Row],[I_50]] / Table14[[#This Row],[I_0]])</f>
        <v>1</v>
      </c>
      <c r="AA738" s="1"/>
    </row>
    <row r="739" spans="1:27" x14ac:dyDescent="0.3">
      <c r="A739" s="18">
        <v>801.21</v>
      </c>
      <c r="B739" s="1">
        <v>0</v>
      </c>
      <c r="C739" s="1">
        <v>801.21</v>
      </c>
      <c r="D739" s="1">
        <v>0</v>
      </c>
      <c r="E739" s="1">
        <v>801.21</v>
      </c>
      <c r="F739" s="1">
        <v>0</v>
      </c>
      <c r="G739" s="1">
        <v>801.21</v>
      </c>
      <c r="H739" s="1">
        <v>0</v>
      </c>
      <c r="I739" s="1">
        <v>801.21</v>
      </c>
      <c r="J739" s="1">
        <v>0</v>
      </c>
      <c r="K739" s="1">
        <v>801.21</v>
      </c>
      <c r="L739" s="1">
        <v>0</v>
      </c>
      <c r="M739" s="1">
        <v>801.21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801.21</v>
      </c>
      <c r="U739" s="1">
        <f>IF(Table14[[#This Row],[I_0]] &lt; INDEX(Table28[Filtro de ruido],1), 1, Table14[[#This Row],[I_10]] / Table14[[#This Row],[I_0]])</f>
        <v>1</v>
      </c>
      <c r="V739" s="1">
        <f>IF(Table14[[#This Row],[I_0]] &lt; INDEX(Table28[Filtro de ruido],1), 1, Table14[[#This Row],[I_20]] / Table14[[#This Row],[I_0]])</f>
        <v>1</v>
      </c>
      <c r="W739" s="1">
        <f>IF(Table14[[#This Row],[I_0]] &lt; INDEX(Table28[Filtro de ruido],1), 1, Table14[[#This Row],[I_30]] / Table14[[#This Row],[I_0]])</f>
        <v>1</v>
      </c>
      <c r="X739" s="1">
        <f>IF(Table14[[#This Row],[I_0]] &lt; INDEX(Table28[Filtro de ruido],1), 1, Table14[[#This Row],[I_40]] / Table14[[#This Row],[I_0]])</f>
        <v>1</v>
      </c>
      <c r="Y739" s="19">
        <f>IF(Table14[[#This Row],[I_0]] &lt; INDEX(Table28[Filtro de ruido],1), 1, Table14[[#This Row],[I_50]] / Table14[[#This Row],[I_0]])</f>
        <v>1</v>
      </c>
      <c r="AA739" s="1"/>
    </row>
    <row r="740" spans="1:27" x14ac:dyDescent="0.3">
      <c r="A740" s="18">
        <v>802.2</v>
      </c>
      <c r="B740" s="1">
        <v>0</v>
      </c>
      <c r="C740" s="1">
        <v>802.2</v>
      </c>
      <c r="D740" s="1">
        <v>0</v>
      </c>
      <c r="E740" s="1">
        <v>802.2</v>
      </c>
      <c r="F740" s="1">
        <v>0</v>
      </c>
      <c r="G740" s="1">
        <v>802.2</v>
      </c>
      <c r="H740" s="1">
        <v>0</v>
      </c>
      <c r="I740" s="1">
        <v>802.2</v>
      </c>
      <c r="J740" s="1">
        <v>0</v>
      </c>
      <c r="K740" s="1">
        <v>802.2</v>
      </c>
      <c r="L740" s="1">
        <v>0</v>
      </c>
      <c r="M740" s="1">
        <v>802.2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802.2</v>
      </c>
      <c r="U740" s="1">
        <f>IF(Table14[[#This Row],[I_0]] &lt; INDEX(Table28[Filtro de ruido],1), 1, Table14[[#This Row],[I_10]] / Table14[[#This Row],[I_0]])</f>
        <v>1</v>
      </c>
      <c r="V740" s="1">
        <f>IF(Table14[[#This Row],[I_0]] &lt; INDEX(Table28[Filtro de ruido],1), 1, Table14[[#This Row],[I_20]] / Table14[[#This Row],[I_0]])</f>
        <v>1</v>
      </c>
      <c r="W740" s="1">
        <f>IF(Table14[[#This Row],[I_0]] &lt; INDEX(Table28[Filtro de ruido],1), 1, Table14[[#This Row],[I_30]] / Table14[[#This Row],[I_0]])</f>
        <v>1</v>
      </c>
      <c r="X740" s="1">
        <f>IF(Table14[[#This Row],[I_0]] &lt; INDEX(Table28[Filtro de ruido],1), 1, Table14[[#This Row],[I_40]] / Table14[[#This Row],[I_0]])</f>
        <v>1</v>
      </c>
      <c r="Y740" s="19">
        <f>IF(Table14[[#This Row],[I_0]] &lt; INDEX(Table28[Filtro de ruido],1), 1, Table14[[#This Row],[I_50]] / Table14[[#This Row],[I_0]])</f>
        <v>1</v>
      </c>
      <c r="AA740" s="1"/>
    </row>
    <row r="741" spans="1:27" x14ac:dyDescent="0.3">
      <c r="A741" s="18">
        <v>803.19</v>
      </c>
      <c r="B741" s="1">
        <v>0</v>
      </c>
      <c r="C741" s="1">
        <v>803.19</v>
      </c>
      <c r="D741" s="1">
        <v>0</v>
      </c>
      <c r="E741" s="1">
        <v>803.19</v>
      </c>
      <c r="F741" s="1">
        <v>0</v>
      </c>
      <c r="G741" s="1">
        <v>803.19</v>
      </c>
      <c r="H741" s="1">
        <v>0</v>
      </c>
      <c r="I741" s="1">
        <v>803.19</v>
      </c>
      <c r="J741" s="1">
        <v>0</v>
      </c>
      <c r="K741" s="1">
        <v>803.19</v>
      </c>
      <c r="L741" s="1">
        <v>0</v>
      </c>
      <c r="M741" s="1">
        <v>803.19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803.19</v>
      </c>
      <c r="U741" s="1">
        <f>IF(Table14[[#This Row],[I_0]] &lt; INDEX(Table28[Filtro de ruido],1), 1, Table14[[#This Row],[I_10]] / Table14[[#This Row],[I_0]])</f>
        <v>1</v>
      </c>
      <c r="V741" s="1">
        <f>IF(Table14[[#This Row],[I_0]] &lt; INDEX(Table28[Filtro de ruido],1), 1, Table14[[#This Row],[I_20]] / Table14[[#This Row],[I_0]])</f>
        <v>1</v>
      </c>
      <c r="W741" s="1">
        <f>IF(Table14[[#This Row],[I_0]] &lt; INDEX(Table28[Filtro de ruido],1), 1, Table14[[#This Row],[I_30]] / Table14[[#This Row],[I_0]])</f>
        <v>1</v>
      </c>
      <c r="X741" s="1">
        <f>IF(Table14[[#This Row],[I_0]] &lt; INDEX(Table28[Filtro de ruido],1), 1, Table14[[#This Row],[I_40]] / Table14[[#This Row],[I_0]])</f>
        <v>1</v>
      </c>
      <c r="Y741" s="19">
        <f>IF(Table14[[#This Row],[I_0]] &lt; INDEX(Table28[Filtro de ruido],1), 1, Table14[[#This Row],[I_50]] / Table14[[#This Row],[I_0]])</f>
        <v>1</v>
      </c>
      <c r="AA741" s="1"/>
    </row>
    <row r="742" spans="1:27" x14ac:dyDescent="0.3">
      <c r="A742" s="18">
        <v>804.19</v>
      </c>
      <c r="B742" s="1">
        <v>0</v>
      </c>
      <c r="C742" s="1">
        <v>804.19</v>
      </c>
      <c r="D742" s="1">
        <v>0</v>
      </c>
      <c r="E742" s="1">
        <v>804.19</v>
      </c>
      <c r="F742" s="1">
        <v>0</v>
      </c>
      <c r="G742" s="1">
        <v>804.19</v>
      </c>
      <c r="H742" s="1">
        <v>0</v>
      </c>
      <c r="I742" s="1">
        <v>804.19</v>
      </c>
      <c r="J742" s="1">
        <v>0</v>
      </c>
      <c r="K742" s="1">
        <v>804.19</v>
      </c>
      <c r="L742" s="1">
        <v>0</v>
      </c>
      <c r="M742" s="1">
        <v>804.19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804.19</v>
      </c>
      <c r="U742" s="1">
        <f>IF(Table14[[#This Row],[I_0]] &lt; INDEX(Table28[Filtro de ruido],1), 1, Table14[[#This Row],[I_10]] / Table14[[#This Row],[I_0]])</f>
        <v>1</v>
      </c>
      <c r="V742" s="1">
        <f>IF(Table14[[#This Row],[I_0]] &lt; INDEX(Table28[Filtro de ruido],1), 1, Table14[[#This Row],[I_20]] / Table14[[#This Row],[I_0]])</f>
        <v>1</v>
      </c>
      <c r="W742" s="1">
        <f>IF(Table14[[#This Row],[I_0]] &lt; INDEX(Table28[Filtro de ruido],1), 1, Table14[[#This Row],[I_30]] / Table14[[#This Row],[I_0]])</f>
        <v>1</v>
      </c>
      <c r="X742" s="1">
        <f>IF(Table14[[#This Row],[I_0]] &lt; INDEX(Table28[Filtro de ruido],1), 1, Table14[[#This Row],[I_40]] / Table14[[#This Row],[I_0]])</f>
        <v>1</v>
      </c>
      <c r="Y742" s="19">
        <f>IF(Table14[[#This Row],[I_0]] &lt; INDEX(Table28[Filtro de ruido],1), 1, Table14[[#This Row],[I_50]] / Table14[[#This Row],[I_0]])</f>
        <v>1</v>
      </c>
      <c r="AA742" s="1"/>
    </row>
    <row r="743" spans="1:27" x14ac:dyDescent="0.3">
      <c r="A743" s="18">
        <v>805.18</v>
      </c>
      <c r="B743" s="1">
        <v>0</v>
      </c>
      <c r="C743" s="1">
        <v>805.18</v>
      </c>
      <c r="D743" s="1">
        <v>0</v>
      </c>
      <c r="E743" s="1">
        <v>805.18</v>
      </c>
      <c r="F743" s="1">
        <v>0</v>
      </c>
      <c r="G743" s="1">
        <v>805.18</v>
      </c>
      <c r="H743" s="1">
        <v>0</v>
      </c>
      <c r="I743" s="1">
        <v>805.18</v>
      </c>
      <c r="J743" s="1">
        <v>0</v>
      </c>
      <c r="K743" s="1">
        <v>805.18</v>
      </c>
      <c r="L743" s="1">
        <v>0</v>
      </c>
      <c r="M743" s="1">
        <v>805.18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805.18</v>
      </c>
      <c r="U743" s="1">
        <f>IF(Table14[[#This Row],[I_0]] &lt; INDEX(Table28[Filtro de ruido],1), 1, Table14[[#This Row],[I_10]] / Table14[[#This Row],[I_0]])</f>
        <v>1</v>
      </c>
      <c r="V743" s="1">
        <f>IF(Table14[[#This Row],[I_0]] &lt; INDEX(Table28[Filtro de ruido],1), 1, Table14[[#This Row],[I_20]] / Table14[[#This Row],[I_0]])</f>
        <v>1</v>
      </c>
      <c r="W743" s="1">
        <f>IF(Table14[[#This Row],[I_0]] &lt; INDEX(Table28[Filtro de ruido],1), 1, Table14[[#This Row],[I_30]] / Table14[[#This Row],[I_0]])</f>
        <v>1</v>
      </c>
      <c r="X743" s="1">
        <f>IF(Table14[[#This Row],[I_0]] &lt; INDEX(Table28[Filtro de ruido],1), 1, Table14[[#This Row],[I_40]] / Table14[[#This Row],[I_0]])</f>
        <v>1</v>
      </c>
      <c r="Y743" s="19">
        <f>IF(Table14[[#This Row],[I_0]] &lt; INDEX(Table28[Filtro de ruido],1), 1, Table14[[#This Row],[I_50]] / Table14[[#This Row],[I_0]])</f>
        <v>1</v>
      </c>
      <c r="AA743" s="1"/>
    </row>
    <row r="744" spans="1:27" x14ac:dyDescent="0.3">
      <c r="A744" s="18">
        <v>806.17</v>
      </c>
      <c r="B744" s="1">
        <v>0</v>
      </c>
      <c r="C744" s="1">
        <v>806.17</v>
      </c>
      <c r="D744" s="1">
        <v>0</v>
      </c>
      <c r="E744" s="1">
        <v>806.17</v>
      </c>
      <c r="F744" s="1">
        <v>0</v>
      </c>
      <c r="G744" s="1">
        <v>806.17</v>
      </c>
      <c r="H744" s="1">
        <v>0</v>
      </c>
      <c r="I744" s="1">
        <v>806.17</v>
      </c>
      <c r="J744" s="1">
        <v>0</v>
      </c>
      <c r="K744" s="1">
        <v>806.17</v>
      </c>
      <c r="L744" s="1">
        <v>0</v>
      </c>
      <c r="M744" s="1">
        <v>806.17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806.17</v>
      </c>
      <c r="U744" s="1">
        <f>IF(Table14[[#This Row],[I_0]] &lt; INDEX(Table28[Filtro de ruido],1), 1, Table14[[#This Row],[I_10]] / Table14[[#This Row],[I_0]])</f>
        <v>1</v>
      </c>
      <c r="V744" s="1">
        <f>IF(Table14[[#This Row],[I_0]] &lt; INDEX(Table28[Filtro de ruido],1), 1, Table14[[#This Row],[I_20]] / Table14[[#This Row],[I_0]])</f>
        <v>1</v>
      </c>
      <c r="W744" s="1">
        <f>IF(Table14[[#This Row],[I_0]] &lt; INDEX(Table28[Filtro de ruido],1), 1, Table14[[#This Row],[I_30]] / Table14[[#This Row],[I_0]])</f>
        <v>1</v>
      </c>
      <c r="X744" s="1">
        <f>IF(Table14[[#This Row],[I_0]] &lt; INDEX(Table28[Filtro de ruido],1), 1, Table14[[#This Row],[I_40]] / Table14[[#This Row],[I_0]])</f>
        <v>1</v>
      </c>
      <c r="Y744" s="19">
        <f>IF(Table14[[#This Row],[I_0]] &lt; INDEX(Table28[Filtro de ruido],1), 1, Table14[[#This Row],[I_50]] / Table14[[#This Row],[I_0]])</f>
        <v>1</v>
      </c>
      <c r="AA744" s="1"/>
    </row>
    <row r="745" spans="1:27" x14ac:dyDescent="0.3">
      <c r="A745" s="18">
        <v>807.16</v>
      </c>
      <c r="B745" s="1">
        <v>0</v>
      </c>
      <c r="C745" s="1">
        <v>807.16</v>
      </c>
      <c r="D745" s="1">
        <v>0</v>
      </c>
      <c r="E745" s="1">
        <v>807.16</v>
      </c>
      <c r="F745" s="1">
        <v>0</v>
      </c>
      <c r="G745" s="1">
        <v>807.16</v>
      </c>
      <c r="H745" s="1">
        <v>0</v>
      </c>
      <c r="I745" s="1">
        <v>807.16</v>
      </c>
      <c r="J745" s="1">
        <v>0</v>
      </c>
      <c r="K745" s="1">
        <v>807.16</v>
      </c>
      <c r="L745" s="1">
        <v>0</v>
      </c>
      <c r="M745" s="1">
        <v>807.16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807.16</v>
      </c>
      <c r="U745" s="1">
        <f>IF(Table14[[#This Row],[I_0]] &lt; INDEX(Table28[Filtro de ruido],1), 1, Table14[[#This Row],[I_10]] / Table14[[#This Row],[I_0]])</f>
        <v>1</v>
      </c>
      <c r="V745" s="1">
        <f>IF(Table14[[#This Row],[I_0]] &lt; INDEX(Table28[Filtro de ruido],1), 1, Table14[[#This Row],[I_20]] / Table14[[#This Row],[I_0]])</f>
        <v>1</v>
      </c>
      <c r="W745" s="1">
        <f>IF(Table14[[#This Row],[I_0]] &lt; INDEX(Table28[Filtro de ruido],1), 1, Table14[[#This Row],[I_30]] / Table14[[#This Row],[I_0]])</f>
        <v>1</v>
      </c>
      <c r="X745" s="1">
        <f>IF(Table14[[#This Row],[I_0]] &lt; INDEX(Table28[Filtro de ruido],1), 1, Table14[[#This Row],[I_40]] / Table14[[#This Row],[I_0]])</f>
        <v>1</v>
      </c>
      <c r="Y745" s="19">
        <f>IF(Table14[[#This Row],[I_0]] &lt; INDEX(Table28[Filtro de ruido],1), 1, Table14[[#This Row],[I_50]] / Table14[[#This Row],[I_0]])</f>
        <v>1</v>
      </c>
      <c r="AA745" s="1"/>
    </row>
    <row r="746" spans="1:27" x14ac:dyDescent="0.3">
      <c r="A746" s="18">
        <v>808.15</v>
      </c>
      <c r="B746" s="1">
        <v>0</v>
      </c>
      <c r="C746" s="1">
        <v>808.15</v>
      </c>
      <c r="D746" s="1">
        <v>0</v>
      </c>
      <c r="E746" s="1">
        <v>808.15</v>
      </c>
      <c r="F746" s="1">
        <v>0</v>
      </c>
      <c r="G746" s="1">
        <v>808.15</v>
      </c>
      <c r="H746" s="1">
        <v>0</v>
      </c>
      <c r="I746" s="1">
        <v>808.15</v>
      </c>
      <c r="J746" s="1">
        <v>0</v>
      </c>
      <c r="K746" s="1">
        <v>808.15</v>
      </c>
      <c r="L746" s="1">
        <v>0</v>
      </c>
      <c r="M746" s="1">
        <v>808.15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808.15</v>
      </c>
      <c r="U746" s="1">
        <f>IF(Table14[[#This Row],[I_0]] &lt; INDEX(Table28[Filtro de ruido],1), 1, Table14[[#This Row],[I_10]] / Table14[[#This Row],[I_0]])</f>
        <v>1</v>
      </c>
      <c r="V746" s="1">
        <f>IF(Table14[[#This Row],[I_0]] &lt; INDEX(Table28[Filtro de ruido],1), 1, Table14[[#This Row],[I_20]] / Table14[[#This Row],[I_0]])</f>
        <v>1</v>
      </c>
      <c r="W746" s="1">
        <f>IF(Table14[[#This Row],[I_0]] &lt; INDEX(Table28[Filtro de ruido],1), 1, Table14[[#This Row],[I_30]] / Table14[[#This Row],[I_0]])</f>
        <v>1</v>
      </c>
      <c r="X746" s="1">
        <f>IF(Table14[[#This Row],[I_0]] &lt; INDEX(Table28[Filtro de ruido],1), 1, Table14[[#This Row],[I_40]] / Table14[[#This Row],[I_0]])</f>
        <v>1</v>
      </c>
      <c r="Y746" s="19">
        <f>IF(Table14[[#This Row],[I_0]] &lt; INDEX(Table28[Filtro de ruido],1), 1, Table14[[#This Row],[I_50]] / Table14[[#This Row],[I_0]])</f>
        <v>1</v>
      </c>
      <c r="AA746" s="1"/>
    </row>
    <row r="747" spans="1:27" x14ac:dyDescent="0.3">
      <c r="A747" s="18">
        <v>809.15</v>
      </c>
      <c r="B747" s="1">
        <v>0</v>
      </c>
      <c r="C747" s="1">
        <v>809.15</v>
      </c>
      <c r="D747" s="1">
        <v>0</v>
      </c>
      <c r="E747" s="1">
        <v>809.15</v>
      </c>
      <c r="F747" s="1">
        <v>0</v>
      </c>
      <c r="G747" s="1">
        <v>809.15</v>
      </c>
      <c r="H747" s="1">
        <v>0</v>
      </c>
      <c r="I747" s="1">
        <v>809.15</v>
      </c>
      <c r="J747" s="1">
        <v>0</v>
      </c>
      <c r="K747" s="1">
        <v>809.15</v>
      </c>
      <c r="L747" s="1">
        <v>0</v>
      </c>
      <c r="M747" s="1">
        <v>809.15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809.15</v>
      </c>
      <c r="U747" s="1">
        <f>IF(Table14[[#This Row],[I_0]] &lt; INDEX(Table28[Filtro de ruido],1), 1, Table14[[#This Row],[I_10]] / Table14[[#This Row],[I_0]])</f>
        <v>1</v>
      </c>
      <c r="V747" s="1">
        <f>IF(Table14[[#This Row],[I_0]] &lt; INDEX(Table28[Filtro de ruido],1), 1, Table14[[#This Row],[I_20]] / Table14[[#This Row],[I_0]])</f>
        <v>1</v>
      </c>
      <c r="W747" s="1">
        <f>IF(Table14[[#This Row],[I_0]] &lt; INDEX(Table28[Filtro de ruido],1), 1, Table14[[#This Row],[I_30]] / Table14[[#This Row],[I_0]])</f>
        <v>1</v>
      </c>
      <c r="X747" s="1">
        <f>IF(Table14[[#This Row],[I_0]] &lt; INDEX(Table28[Filtro de ruido],1), 1, Table14[[#This Row],[I_40]] / Table14[[#This Row],[I_0]])</f>
        <v>1</v>
      </c>
      <c r="Y747" s="19">
        <f>IF(Table14[[#This Row],[I_0]] &lt; INDEX(Table28[Filtro de ruido],1), 1, Table14[[#This Row],[I_50]] / Table14[[#This Row],[I_0]])</f>
        <v>1</v>
      </c>
      <c r="AA747" s="1"/>
    </row>
    <row r="748" spans="1:27" x14ac:dyDescent="0.3">
      <c r="A748" s="18">
        <v>810.14</v>
      </c>
      <c r="B748" s="1">
        <v>0</v>
      </c>
      <c r="C748" s="1">
        <v>810.14</v>
      </c>
      <c r="D748" s="1">
        <v>0</v>
      </c>
      <c r="E748" s="1">
        <v>810.14</v>
      </c>
      <c r="F748" s="1">
        <v>0</v>
      </c>
      <c r="G748" s="1">
        <v>810.14</v>
      </c>
      <c r="H748" s="1">
        <v>0</v>
      </c>
      <c r="I748" s="1">
        <v>810.14</v>
      </c>
      <c r="J748" s="1">
        <v>0</v>
      </c>
      <c r="K748" s="1">
        <v>810.14</v>
      </c>
      <c r="L748" s="1">
        <v>0</v>
      </c>
      <c r="M748" s="1">
        <v>810.14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810.14</v>
      </c>
      <c r="U748" s="1">
        <f>IF(Table14[[#This Row],[I_0]] &lt; INDEX(Table28[Filtro de ruido],1), 1, Table14[[#This Row],[I_10]] / Table14[[#This Row],[I_0]])</f>
        <v>1</v>
      </c>
      <c r="V748" s="1">
        <f>IF(Table14[[#This Row],[I_0]] &lt; INDEX(Table28[Filtro de ruido],1), 1, Table14[[#This Row],[I_20]] / Table14[[#This Row],[I_0]])</f>
        <v>1</v>
      </c>
      <c r="W748" s="1">
        <f>IF(Table14[[#This Row],[I_0]] &lt; INDEX(Table28[Filtro de ruido],1), 1, Table14[[#This Row],[I_30]] / Table14[[#This Row],[I_0]])</f>
        <v>1</v>
      </c>
      <c r="X748" s="1">
        <f>IF(Table14[[#This Row],[I_0]] &lt; INDEX(Table28[Filtro de ruido],1), 1, Table14[[#This Row],[I_40]] / Table14[[#This Row],[I_0]])</f>
        <v>1</v>
      </c>
      <c r="Y748" s="19">
        <f>IF(Table14[[#This Row],[I_0]] &lt; INDEX(Table28[Filtro de ruido],1), 1, Table14[[#This Row],[I_50]] / Table14[[#This Row],[I_0]])</f>
        <v>1</v>
      </c>
      <c r="AA748" s="1"/>
    </row>
    <row r="749" spans="1:27" x14ac:dyDescent="0.3">
      <c r="A749" s="18">
        <v>811.13</v>
      </c>
      <c r="B749" s="1">
        <v>0</v>
      </c>
      <c r="C749" s="1">
        <v>811.13</v>
      </c>
      <c r="D749" s="1">
        <v>0</v>
      </c>
      <c r="E749" s="1">
        <v>811.13</v>
      </c>
      <c r="F749" s="1">
        <v>0</v>
      </c>
      <c r="G749" s="1">
        <v>811.13</v>
      </c>
      <c r="H749" s="1">
        <v>0</v>
      </c>
      <c r="I749" s="1">
        <v>811.13</v>
      </c>
      <c r="J749" s="1">
        <v>0</v>
      </c>
      <c r="K749" s="1">
        <v>811.13</v>
      </c>
      <c r="L749" s="1">
        <v>0</v>
      </c>
      <c r="M749" s="1">
        <v>811.13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811.13</v>
      </c>
      <c r="U749" s="1">
        <f>IF(Table14[[#This Row],[I_0]] &lt; INDEX(Table28[Filtro de ruido],1), 1, Table14[[#This Row],[I_10]] / Table14[[#This Row],[I_0]])</f>
        <v>1</v>
      </c>
      <c r="V749" s="1">
        <f>IF(Table14[[#This Row],[I_0]] &lt; INDEX(Table28[Filtro de ruido],1), 1, Table14[[#This Row],[I_20]] / Table14[[#This Row],[I_0]])</f>
        <v>1</v>
      </c>
      <c r="W749" s="1">
        <f>IF(Table14[[#This Row],[I_0]] &lt; INDEX(Table28[Filtro de ruido],1), 1, Table14[[#This Row],[I_30]] / Table14[[#This Row],[I_0]])</f>
        <v>1</v>
      </c>
      <c r="X749" s="1">
        <f>IF(Table14[[#This Row],[I_0]] &lt; INDEX(Table28[Filtro de ruido],1), 1, Table14[[#This Row],[I_40]] / Table14[[#This Row],[I_0]])</f>
        <v>1</v>
      </c>
      <c r="Y749" s="19">
        <f>IF(Table14[[#This Row],[I_0]] &lt; INDEX(Table28[Filtro de ruido],1), 1, Table14[[#This Row],[I_50]] / Table14[[#This Row],[I_0]])</f>
        <v>1</v>
      </c>
      <c r="AA749" s="1"/>
    </row>
    <row r="750" spans="1:27" x14ac:dyDescent="0.3">
      <c r="A750" s="18">
        <v>812.12</v>
      </c>
      <c r="B750" s="1">
        <v>0</v>
      </c>
      <c r="C750" s="1">
        <v>812.12</v>
      </c>
      <c r="D750" s="1">
        <v>0</v>
      </c>
      <c r="E750" s="1">
        <v>812.12</v>
      </c>
      <c r="F750" s="1">
        <v>0</v>
      </c>
      <c r="G750" s="1">
        <v>812.12</v>
      </c>
      <c r="H750" s="1">
        <v>0</v>
      </c>
      <c r="I750" s="1">
        <v>812.12</v>
      </c>
      <c r="J750" s="1">
        <v>0</v>
      </c>
      <c r="K750" s="1">
        <v>812.12</v>
      </c>
      <c r="L750" s="1">
        <v>0</v>
      </c>
      <c r="M750" s="1">
        <v>812.12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812.12</v>
      </c>
      <c r="U750" s="1">
        <f>IF(Table14[[#This Row],[I_0]] &lt; INDEX(Table28[Filtro de ruido],1), 1, Table14[[#This Row],[I_10]] / Table14[[#This Row],[I_0]])</f>
        <v>1</v>
      </c>
      <c r="V750" s="1">
        <f>IF(Table14[[#This Row],[I_0]] &lt; INDEX(Table28[Filtro de ruido],1), 1, Table14[[#This Row],[I_20]] / Table14[[#This Row],[I_0]])</f>
        <v>1</v>
      </c>
      <c r="W750" s="1">
        <f>IF(Table14[[#This Row],[I_0]] &lt; INDEX(Table28[Filtro de ruido],1), 1, Table14[[#This Row],[I_30]] / Table14[[#This Row],[I_0]])</f>
        <v>1</v>
      </c>
      <c r="X750" s="1">
        <f>IF(Table14[[#This Row],[I_0]] &lt; INDEX(Table28[Filtro de ruido],1), 1, Table14[[#This Row],[I_40]] / Table14[[#This Row],[I_0]])</f>
        <v>1</v>
      </c>
      <c r="Y750" s="19">
        <f>IF(Table14[[#This Row],[I_0]] &lt; INDEX(Table28[Filtro de ruido],1), 1, Table14[[#This Row],[I_50]] / Table14[[#This Row],[I_0]])</f>
        <v>1</v>
      </c>
      <c r="AA750" s="1"/>
    </row>
    <row r="751" spans="1:27" x14ac:dyDescent="0.3">
      <c r="A751" s="18">
        <v>813.11</v>
      </c>
      <c r="B751" s="1">
        <v>0</v>
      </c>
      <c r="C751" s="1">
        <v>813.11</v>
      </c>
      <c r="D751" s="1">
        <v>0</v>
      </c>
      <c r="E751" s="1">
        <v>813.11</v>
      </c>
      <c r="F751" s="1">
        <v>0</v>
      </c>
      <c r="G751" s="1">
        <v>813.11</v>
      </c>
      <c r="H751" s="1">
        <v>0</v>
      </c>
      <c r="I751" s="1">
        <v>813.11</v>
      </c>
      <c r="J751" s="1">
        <v>0</v>
      </c>
      <c r="K751" s="1">
        <v>813.11</v>
      </c>
      <c r="L751" s="1">
        <v>0</v>
      </c>
      <c r="M751" s="1">
        <v>813.11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813.11</v>
      </c>
      <c r="U751" s="1">
        <f>IF(Table14[[#This Row],[I_0]] &lt; INDEX(Table28[Filtro de ruido],1), 1, Table14[[#This Row],[I_10]] / Table14[[#This Row],[I_0]])</f>
        <v>1</v>
      </c>
      <c r="V751" s="1">
        <f>IF(Table14[[#This Row],[I_0]] &lt; INDEX(Table28[Filtro de ruido],1), 1, Table14[[#This Row],[I_20]] / Table14[[#This Row],[I_0]])</f>
        <v>1</v>
      </c>
      <c r="W751" s="1">
        <f>IF(Table14[[#This Row],[I_0]] &lt; INDEX(Table28[Filtro de ruido],1), 1, Table14[[#This Row],[I_30]] / Table14[[#This Row],[I_0]])</f>
        <v>1</v>
      </c>
      <c r="X751" s="1">
        <f>IF(Table14[[#This Row],[I_0]] &lt; INDEX(Table28[Filtro de ruido],1), 1, Table14[[#This Row],[I_40]] / Table14[[#This Row],[I_0]])</f>
        <v>1</v>
      </c>
      <c r="Y751" s="19">
        <f>IF(Table14[[#This Row],[I_0]] &lt; INDEX(Table28[Filtro de ruido],1), 1, Table14[[#This Row],[I_50]] / Table14[[#This Row],[I_0]])</f>
        <v>1</v>
      </c>
      <c r="AA751" s="1"/>
    </row>
    <row r="752" spans="1:27" x14ac:dyDescent="0.3">
      <c r="A752" s="18">
        <v>814.1</v>
      </c>
      <c r="B752" s="1">
        <v>0</v>
      </c>
      <c r="C752" s="1">
        <v>814.1</v>
      </c>
      <c r="D752" s="1">
        <v>0</v>
      </c>
      <c r="E752" s="1">
        <v>814.1</v>
      </c>
      <c r="F752" s="1">
        <v>0</v>
      </c>
      <c r="G752" s="1">
        <v>814.1</v>
      </c>
      <c r="H752" s="1">
        <v>0</v>
      </c>
      <c r="I752" s="1">
        <v>814.1</v>
      </c>
      <c r="J752" s="1">
        <v>0</v>
      </c>
      <c r="K752" s="1">
        <v>814.1</v>
      </c>
      <c r="L752" s="1">
        <v>0</v>
      </c>
      <c r="M752" s="1">
        <v>814.1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814.1</v>
      </c>
      <c r="U752" s="1">
        <f>IF(Table14[[#This Row],[I_0]] &lt; INDEX(Table28[Filtro de ruido],1), 1, Table14[[#This Row],[I_10]] / Table14[[#This Row],[I_0]])</f>
        <v>1</v>
      </c>
      <c r="V752" s="1">
        <f>IF(Table14[[#This Row],[I_0]] &lt; INDEX(Table28[Filtro de ruido],1), 1, Table14[[#This Row],[I_20]] / Table14[[#This Row],[I_0]])</f>
        <v>1</v>
      </c>
      <c r="W752" s="1">
        <f>IF(Table14[[#This Row],[I_0]] &lt; INDEX(Table28[Filtro de ruido],1), 1, Table14[[#This Row],[I_30]] / Table14[[#This Row],[I_0]])</f>
        <v>1</v>
      </c>
      <c r="X752" s="1">
        <f>IF(Table14[[#This Row],[I_0]] &lt; INDEX(Table28[Filtro de ruido],1), 1, Table14[[#This Row],[I_40]] / Table14[[#This Row],[I_0]])</f>
        <v>1</v>
      </c>
      <c r="Y752" s="19">
        <f>IF(Table14[[#This Row],[I_0]] &lt; INDEX(Table28[Filtro de ruido],1), 1, Table14[[#This Row],[I_50]] / Table14[[#This Row],[I_0]])</f>
        <v>1</v>
      </c>
      <c r="AA752" s="1"/>
    </row>
    <row r="753" spans="1:27" x14ac:dyDescent="0.3">
      <c r="A753" s="18">
        <v>815.1</v>
      </c>
      <c r="B753" s="1">
        <v>0</v>
      </c>
      <c r="C753" s="1">
        <v>815.1</v>
      </c>
      <c r="D753" s="1">
        <v>0</v>
      </c>
      <c r="E753" s="1">
        <v>815.1</v>
      </c>
      <c r="F753" s="1">
        <v>0</v>
      </c>
      <c r="G753" s="1">
        <v>815.1</v>
      </c>
      <c r="H753" s="1">
        <v>0</v>
      </c>
      <c r="I753" s="1">
        <v>815.1</v>
      </c>
      <c r="J753" s="1">
        <v>0</v>
      </c>
      <c r="K753" s="1">
        <v>815.1</v>
      </c>
      <c r="L753" s="1">
        <v>0</v>
      </c>
      <c r="M753" s="1">
        <v>815.1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815.1</v>
      </c>
      <c r="U753" s="1">
        <f>IF(Table14[[#This Row],[I_0]] &lt; INDEX(Table28[Filtro de ruido],1), 1, Table14[[#This Row],[I_10]] / Table14[[#This Row],[I_0]])</f>
        <v>1</v>
      </c>
      <c r="V753" s="1">
        <f>IF(Table14[[#This Row],[I_0]] &lt; INDEX(Table28[Filtro de ruido],1), 1, Table14[[#This Row],[I_20]] / Table14[[#This Row],[I_0]])</f>
        <v>1</v>
      </c>
      <c r="W753" s="1">
        <f>IF(Table14[[#This Row],[I_0]] &lt; INDEX(Table28[Filtro de ruido],1), 1, Table14[[#This Row],[I_30]] / Table14[[#This Row],[I_0]])</f>
        <v>1</v>
      </c>
      <c r="X753" s="1">
        <f>IF(Table14[[#This Row],[I_0]] &lt; INDEX(Table28[Filtro de ruido],1), 1, Table14[[#This Row],[I_40]] / Table14[[#This Row],[I_0]])</f>
        <v>1</v>
      </c>
      <c r="Y753" s="19">
        <f>IF(Table14[[#This Row],[I_0]] &lt; INDEX(Table28[Filtro de ruido],1), 1, Table14[[#This Row],[I_50]] / Table14[[#This Row],[I_0]])</f>
        <v>1</v>
      </c>
      <c r="AA753" s="1"/>
    </row>
    <row r="754" spans="1:27" x14ac:dyDescent="0.3">
      <c r="A754" s="18">
        <v>816.09</v>
      </c>
      <c r="B754" s="1">
        <v>0</v>
      </c>
      <c r="C754" s="1">
        <v>816.09</v>
      </c>
      <c r="D754" s="1">
        <v>0</v>
      </c>
      <c r="E754" s="1">
        <v>816.09</v>
      </c>
      <c r="F754" s="1">
        <v>0</v>
      </c>
      <c r="G754" s="1">
        <v>816.09</v>
      </c>
      <c r="H754" s="1">
        <v>0</v>
      </c>
      <c r="I754" s="1">
        <v>816.09</v>
      </c>
      <c r="J754" s="1">
        <v>0</v>
      </c>
      <c r="K754" s="1">
        <v>816.09</v>
      </c>
      <c r="L754" s="1">
        <v>0</v>
      </c>
      <c r="M754" s="1">
        <v>816.09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816.09</v>
      </c>
      <c r="U754" s="1">
        <f>IF(Table14[[#This Row],[I_0]] &lt; INDEX(Table28[Filtro de ruido],1), 1, Table14[[#This Row],[I_10]] / Table14[[#This Row],[I_0]])</f>
        <v>1</v>
      </c>
      <c r="V754" s="1">
        <f>IF(Table14[[#This Row],[I_0]] &lt; INDEX(Table28[Filtro de ruido],1), 1, Table14[[#This Row],[I_20]] / Table14[[#This Row],[I_0]])</f>
        <v>1</v>
      </c>
      <c r="W754" s="1">
        <f>IF(Table14[[#This Row],[I_0]] &lt; INDEX(Table28[Filtro de ruido],1), 1, Table14[[#This Row],[I_30]] / Table14[[#This Row],[I_0]])</f>
        <v>1</v>
      </c>
      <c r="X754" s="1">
        <f>IF(Table14[[#This Row],[I_0]] &lt; INDEX(Table28[Filtro de ruido],1), 1, Table14[[#This Row],[I_40]] / Table14[[#This Row],[I_0]])</f>
        <v>1</v>
      </c>
      <c r="Y754" s="19">
        <f>IF(Table14[[#This Row],[I_0]] &lt; INDEX(Table28[Filtro de ruido],1), 1, Table14[[#This Row],[I_50]] / Table14[[#This Row],[I_0]])</f>
        <v>1</v>
      </c>
      <c r="AA754" s="1"/>
    </row>
    <row r="755" spans="1:27" x14ac:dyDescent="0.3">
      <c r="A755" s="18">
        <v>817.08</v>
      </c>
      <c r="B755" s="1">
        <v>0</v>
      </c>
      <c r="C755" s="1">
        <v>817.08</v>
      </c>
      <c r="D755" s="1">
        <v>0</v>
      </c>
      <c r="E755" s="1">
        <v>817.08</v>
      </c>
      <c r="F755" s="1">
        <v>0</v>
      </c>
      <c r="G755" s="1">
        <v>817.08</v>
      </c>
      <c r="H755" s="1">
        <v>0</v>
      </c>
      <c r="I755" s="1">
        <v>817.08</v>
      </c>
      <c r="J755" s="1">
        <v>0</v>
      </c>
      <c r="K755" s="1">
        <v>817.08</v>
      </c>
      <c r="L755" s="1">
        <v>0</v>
      </c>
      <c r="M755" s="1">
        <v>817.08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817.08</v>
      </c>
      <c r="U755" s="1">
        <f>IF(Table14[[#This Row],[I_0]] &lt; INDEX(Table28[Filtro de ruido],1), 1, Table14[[#This Row],[I_10]] / Table14[[#This Row],[I_0]])</f>
        <v>1</v>
      </c>
      <c r="V755" s="1">
        <f>IF(Table14[[#This Row],[I_0]] &lt; INDEX(Table28[Filtro de ruido],1), 1, Table14[[#This Row],[I_20]] / Table14[[#This Row],[I_0]])</f>
        <v>1</v>
      </c>
      <c r="W755" s="1">
        <f>IF(Table14[[#This Row],[I_0]] &lt; INDEX(Table28[Filtro de ruido],1), 1, Table14[[#This Row],[I_30]] / Table14[[#This Row],[I_0]])</f>
        <v>1</v>
      </c>
      <c r="X755" s="1">
        <f>IF(Table14[[#This Row],[I_0]] &lt; INDEX(Table28[Filtro de ruido],1), 1, Table14[[#This Row],[I_40]] / Table14[[#This Row],[I_0]])</f>
        <v>1</v>
      </c>
      <c r="Y755" s="19">
        <f>IF(Table14[[#This Row],[I_0]] &lt; INDEX(Table28[Filtro de ruido],1), 1, Table14[[#This Row],[I_50]] / Table14[[#This Row],[I_0]])</f>
        <v>1</v>
      </c>
      <c r="AA755" s="1"/>
    </row>
    <row r="756" spans="1:27" x14ac:dyDescent="0.3">
      <c r="A756" s="18">
        <v>818.07</v>
      </c>
      <c r="B756" s="1">
        <v>0</v>
      </c>
      <c r="C756" s="1">
        <v>818.07</v>
      </c>
      <c r="D756" s="1">
        <v>0</v>
      </c>
      <c r="E756" s="1">
        <v>818.07</v>
      </c>
      <c r="F756" s="1">
        <v>0</v>
      </c>
      <c r="G756" s="1">
        <v>818.07</v>
      </c>
      <c r="H756" s="1">
        <v>0</v>
      </c>
      <c r="I756" s="1">
        <v>818.07</v>
      </c>
      <c r="J756" s="1">
        <v>0</v>
      </c>
      <c r="K756" s="1">
        <v>818.07</v>
      </c>
      <c r="L756" s="1">
        <v>0</v>
      </c>
      <c r="M756" s="1">
        <v>818.07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818.07</v>
      </c>
      <c r="U756" s="1">
        <f>IF(Table14[[#This Row],[I_0]] &lt; INDEX(Table28[Filtro de ruido],1), 1, Table14[[#This Row],[I_10]] / Table14[[#This Row],[I_0]])</f>
        <v>1</v>
      </c>
      <c r="V756" s="1">
        <f>IF(Table14[[#This Row],[I_0]] &lt; INDEX(Table28[Filtro de ruido],1), 1, Table14[[#This Row],[I_20]] / Table14[[#This Row],[I_0]])</f>
        <v>1</v>
      </c>
      <c r="W756" s="1">
        <f>IF(Table14[[#This Row],[I_0]] &lt; INDEX(Table28[Filtro de ruido],1), 1, Table14[[#This Row],[I_30]] / Table14[[#This Row],[I_0]])</f>
        <v>1</v>
      </c>
      <c r="X756" s="1">
        <f>IF(Table14[[#This Row],[I_0]] &lt; INDEX(Table28[Filtro de ruido],1), 1, Table14[[#This Row],[I_40]] / Table14[[#This Row],[I_0]])</f>
        <v>1</v>
      </c>
      <c r="Y756" s="19">
        <f>IF(Table14[[#This Row],[I_0]] &lt; INDEX(Table28[Filtro de ruido],1), 1, Table14[[#This Row],[I_50]] / Table14[[#This Row],[I_0]])</f>
        <v>1</v>
      </c>
      <c r="AA756" s="1"/>
    </row>
    <row r="757" spans="1:27" x14ac:dyDescent="0.3">
      <c r="A757" s="18">
        <v>819.06</v>
      </c>
      <c r="B757" s="1">
        <v>0</v>
      </c>
      <c r="C757" s="1">
        <v>819.06</v>
      </c>
      <c r="D757" s="1">
        <v>0</v>
      </c>
      <c r="E757" s="1">
        <v>819.06</v>
      </c>
      <c r="F757" s="1">
        <v>0</v>
      </c>
      <c r="G757" s="1">
        <v>819.06</v>
      </c>
      <c r="H757" s="1">
        <v>0</v>
      </c>
      <c r="I757" s="1">
        <v>819.06</v>
      </c>
      <c r="J757" s="1">
        <v>0</v>
      </c>
      <c r="K757" s="1">
        <v>819.06</v>
      </c>
      <c r="L757" s="1">
        <v>0</v>
      </c>
      <c r="M757" s="1">
        <v>819.06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819.06</v>
      </c>
      <c r="U757" s="1">
        <f>IF(Table14[[#This Row],[I_0]] &lt; INDEX(Table28[Filtro de ruido],1), 1, Table14[[#This Row],[I_10]] / Table14[[#This Row],[I_0]])</f>
        <v>1</v>
      </c>
      <c r="V757" s="1">
        <f>IF(Table14[[#This Row],[I_0]] &lt; INDEX(Table28[Filtro de ruido],1), 1, Table14[[#This Row],[I_20]] / Table14[[#This Row],[I_0]])</f>
        <v>1</v>
      </c>
      <c r="W757" s="1">
        <f>IF(Table14[[#This Row],[I_0]] &lt; INDEX(Table28[Filtro de ruido],1), 1, Table14[[#This Row],[I_30]] / Table14[[#This Row],[I_0]])</f>
        <v>1</v>
      </c>
      <c r="X757" s="1">
        <f>IF(Table14[[#This Row],[I_0]] &lt; INDEX(Table28[Filtro de ruido],1), 1, Table14[[#This Row],[I_40]] / Table14[[#This Row],[I_0]])</f>
        <v>1</v>
      </c>
      <c r="Y757" s="19">
        <f>IF(Table14[[#This Row],[I_0]] &lt; INDEX(Table28[Filtro de ruido],1), 1, Table14[[#This Row],[I_50]] / Table14[[#This Row],[I_0]])</f>
        <v>1</v>
      </c>
      <c r="AA757" s="1"/>
    </row>
    <row r="758" spans="1:27" x14ac:dyDescent="0.3">
      <c r="A758" s="18">
        <v>820.05</v>
      </c>
      <c r="B758" s="1">
        <v>0</v>
      </c>
      <c r="C758" s="1">
        <v>820.05</v>
      </c>
      <c r="D758" s="1">
        <v>0</v>
      </c>
      <c r="E758" s="1">
        <v>820.05</v>
      </c>
      <c r="F758" s="1">
        <v>0</v>
      </c>
      <c r="G758" s="1">
        <v>820.05</v>
      </c>
      <c r="H758" s="1">
        <v>0</v>
      </c>
      <c r="I758" s="1">
        <v>820.05</v>
      </c>
      <c r="J758" s="1">
        <v>0</v>
      </c>
      <c r="K758" s="1">
        <v>820.05</v>
      </c>
      <c r="L758" s="1">
        <v>0</v>
      </c>
      <c r="M758" s="1">
        <v>820.05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820.05</v>
      </c>
      <c r="U758" s="1">
        <f>IF(Table14[[#This Row],[I_0]] &lt; INDEX(Table28[Filtro de ruido],1), 1, Table14[[#This Row],[I_10]] / Table14[[#This Row],[I_0]])</f>
        <v>1</v>
      </c>
      <c r="V758" s="1">
        <f>IF(Table14[[#This Row],[I_0]] &lt; INDEX(Table28[Filtro de ruido],1), 1, Table14[[#This Row],[I_20]] / Table14[[#This Row],[I_0]])</f>
        <v>1</v>
      </c>
      <c r="W758" s="1">
        <f>IF(Table14[[#This Row],[I_0]] &lt; INDEX(Table28[Filtro de ruido],1), 1, Table14[[#This Row],[I_30]] / Table14[[#This Row],[I_0]])</f>
        <v>1</v>
      </c>
      <c r="X758" s="1">
        <f>IF(Table14[[#This Row],[I_0]] &lt; INDEX(Table28[Filtro de ruido],1), 1, Table14[[#This Row],[I_40]] / Table14[[#This Row],[I_0]])</f>
        <v>1</v>
      </c>
      <c r="Y758" s="19">
        <f>IF(Table14[[#This Row],[I_0]] &lt; INDEX(Table28[Filtro de ruido],1), 1, Table14[[#This Row],[I_50]] / Table14[[#This Row],[I_0]])</f>
        <v>1</v>
      </c>
      <c r="AA758" s="1"/>
    </row>
    <row r="759" spans="1:27" x14ac:dyDescent="0.3">
      <c r="A759" s="18">
        <v>821.05</v>
      </c>
      <c r="B759" s="1">
        <v>0</v>
      </c>
      <c r="C759" s="1">
        <v>821.05</v>
      </c>
      <c r="D759" s="1">
        <v>0</v>
      </c>
      <c r="E759" s="1">
        <v>821.05</v>
      </c>
      <c r="F759" s="1">
        <v>0</v>
      </c>
      <c r="G759" s="1">
        <v>821.05</v>
      </c>
      <c r="H759" s="1">
        <v>0</v>
      </c>
      <c r="I759" s="1">
        <v>821.05</v>
      </c>
      <c r="J759" s="1">
        <v>0</v>
      </c>
      <c r="K759" s="1">
        <v>821.05</v>
      </c>
      <c r="L759" s="1">
        <v>0</v>
      </c>
      <c r="M759" s="1">
        <v>821.05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821.05</v>
      </c>
      <c r="U759" s="1">
        <f>IF(Table14[[#This Row],[I_0]] &lt; INDEX(Table28[Filtro de ruido],1), 1, Table14[[#This Row],[I_10]] / Table14[[#This Row],[I_0]])</f>
        <v>1</v>
      </c>
      <c r="V759" s="1">
        <f>IF(Table14[[#This Row],[I_0]] &lt; INDEX(Table28[Filtro de ruido],1), 1, Table14[[#This Row],[I_20]] / Table14[[#This Row],[I_0]])</f>
        <v>1</v>
      </c>
      <c r="W759" s="1">
        <f>IF(Table14[[#This Row],[I_0]] &lt; INDEX(Table28[Filtro de ruido],1), 1, Table14[[#This Row],[I_30]] / Table14[[#This Row],[I_0]])</f>
        <v>1</v>
      </c>
      <c r="X759" s="1">
        <f>IF(Table14[[#This Row],[I_0]] &lt; INDEX(Table28[Filtro de ruido],1), 1, Table14[[#This Row],[I_40]] / Table14[[#This Row],[I_0]])</f>
        <v>1</v>
      </c>
      <c r="Y759" s="19">
        <f>IF(Table14[[#This Row],[I_0]] &lt; INDEX(Table28[Filtro de ruido],1), 1, Table14[[#This Row],[I_50]] / Table14[[#This Row],[I_0]])</f>
        <v>1</v>
      </c>
      <c r="AA759" s="1"/>
    </row>
    <row r="760" spans="1:27" x14ac:dyDescent="0.3">
      <c r="A760" s="18">
        <v>822.04</v>
      </c>
      <c r="B760" s="1">
        <v>0</v>
      </c>
      <c r="C760" s="1">
        <v>822.04</v>
      </c>
      <c r="D760" s="1">
        <v>0</v>
      </c>
      <c r="E760" s="1">
        <v>822.04</v>
      </c>
      <c r="F760" s="1">
        <v>0</v>
      </c>
      <c r="G760" s="1">
        <v>822.04</v>
      </c>
      <c r="H760" s="1">
        <v>0</v>
      </c>
      <c r="I760" s="1">
        <v>822.04</v>
      </c>
      <c r="J760" s="1">
        <v>0</v>
      </c>
      <c r="K760" s="1">
        <v>822.04</v>
      </c>
      <c r="L760" s="1">
        <v>0</v>
      </c>
      <c r="M760" s="1">
        <v>822.04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822.04</v>
      </c>
      <c r="U760" s="1">
        <f>IF(Table14[[#This Row],[I_0]] &lt; INDEX(Table28[Filtro de ruido],1), 1, Table14[[#This Row],[I_10]] / Table14[[#This Row],[I_0]])</f>
        <v>1</v>
      </c>
      <c r="V760" s="1">
        <f>IF(Table14[[#This Row],[I_0]] &lt; INDEX(Table28[Filtro de ruido],1), 1, Table14[[#This Row],[I_20]] / Table14[[#This Row],[I_0]])</f>
        <v>1</v>
      </c>
      <c r="W760" s="1">
        <f>IF(Table14[[#This Row],[I_0]] &lt; INDEX(Table28[Filtro de ruido],1), 1, Table14[[#This Row],[I_30]] / Table14[[#This Row],[I_0]])</f>
        <v>1</v>
      </c>
      <c r="X760" s="1">
        <f>IF(Table14[[#This Row],[I_0]] &lt; INDEX(Table28[Filtro de ruido],1), 1, Table14[[#This Row],[I_40]] / Table14[[#This Row],[I_0]])</f>
        <v>1</v>
      </c>
      <c r="Y760" s="19">
        <f>IF(Table14[[#This Row],[I_0]] &lt; INDEX(Table28[Filtro de ruido],1), 1, Table14[[#This Row],[I_50]] / Table14[[#This Row],[I_0]])</f>
        <v>1</v>
      </c>
      <c r="AA760" s="1"/>
    </row>
    <row r="761" spans="1:27" x14ac:dyDescent="0.3">
      <c r="A761" s="18">
        <v>823.03</v>
      </c>
      <c r="B761" s="1">
        <v>0</v>
      </c>
      <c r="C761" s="1">
        <v>823.03</v>
      </c>
      <c r="D761" s="1">
        <v>0</v>
      </c>
      <c r="E761" s="1">
        <v>823.03</v>
      </c>
      <c r="F761" s="1">
        <v>0</v>
      </c>
      <c r="G761" s="1">
        <v>823.03</v>
      </c>
      <c r="H761" s="1">
        <v>0</v>
      </c>
      <c r="I761" s="1">
        <v>823.03</v>
      </c>
      <c r="J761" s="1">
        <v>0</v>
      </c>
      <c r="K761" s="1">
        <v>823.03</v>
      </c>
      <c r="L761" s="1">
        <v>0</v>
      </c>
      <c r="M761" s="1">
        <v>823.03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823.03</v>
      </c>
      <c r="U761" s="1">
        <f>IF(Table14[[#This Row],[I_0]] &lt; INDEX(Table28[Filtro de ruido],1), 1, Table14[[#This Row],[I_10]] / Table14[[#This Row],[I_0]])</f>
        <v>1</v>
      </c>
      <c r="V761" s="1">
        <f>IF(Table14[[#This Row],[I_0]] &lt; INDEX(Table28[Filtro de ruido],1), 1, Table14[[#This Row],[I_20]] / Table14[[#This Row],[I_0]])</f>
        <v>1</v>
      </c>
      <c r="W761" s="1">
        <f>IF(Table14[[#This Row],[I_0]] &lt; INDEX(Table28[Filtro de ruido],1), 1, Table14[[#This Row],[I_30]] / Table14[[#This Row],[I_0]])</f>
        <v>1</v>
      </c>
      <c r="X761" s="1">
        <f>IF(Table14[[#This Row],[I_0]] &lt; INDEX(Table28[Filtro de ruido],1), 1, Table14[[#This Row],[I_40]] / Table14[[#This Row],[I_0]])</f>
        <v>1</v>
      </c>
      <c r="Y761" s="19">
        <f>IF(Table14[[#This Row],[I_0]] &lt; INDEX(Table28[Filtro de ruido],1), 1, Table14[[#This Row],[I_50]] / Table14[[#This Row],[I_0]])</f>
        <v>1</v>
      </c>
      <c r="AA761" s="1"/>
    </row>
    <row r="762" spans="1:27" x14ac:dyDescent="0.3">
      <c r="A762" s="18">
        <v>824.02</v>
      </c>
      <c r="B762" s="1">
        <v>0</v>
      </c>
      <c r="C762" s="1">
        <v>824.02</v>
      </c>
      <c r="D762" s="1">
        <v>0</v>
      </c>
      <c r="E762" s="1">
        <v>824.02</v>
      </c>
      <c r="F762" s="1">
        <v>0</v>
      </c>
      <c r="G762" s="1">
        <v>824.02</v>
      </c>
      <c r="H762" s="1">
        <v>0</v>
      </c>
      <c r="I762" s="1">
        <v>824.02</v>
      </c>
      <c r="J762" s="1">
        <v>0</v>
      </c>
      <c r="K762" s="1">
        <v>824.02</v>
      </c>
      <c r="L762" s="1">
        <v>0</v>
      </c>
      <c r="M762" s="1">
        <v>824.02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824.02</v>
      </c>
      <c r="U762" s="1">
        <f>IF(Table14[[#This Row],[I_0]] &lt; INDEX(Table28[Filtro de ruido],1), 1, Table14[[#This Row],[I_10]] / Table14[[#This Row],[I_0]])</f>
        <v>1</v>
      </c>
      <c r="V762" s="1">
        <f>IF(Table14[[#This Row],[I_0]] &lt; INDEX(Table28[Filtro de ruido],1), 1, Table14[[#This Row],[I_20]] / Table14[[#This Row],[I_0]])</f>
        <v>1</v>
      </c>
      <c r="W762" s="1">
        <f>IF(Table14[[#This Row],[I_0]] &lt; INDEX(Table28[Filtro de ruido],1), 1, Table14[[#This Row],[I_30]] / Table14[[#This Row],[I_0]])</f>
        <v>1</v>
      </c>
      <c r="X762" s="1">
        <f>IF(Table14[[#This Row],[I_0]] &lt; INDEX(Table28[Filtro de ruido],1), 1, Table14[[#This Row],[I_40]] / Table14[[#This Row],[I_0]])</f>
        <v>1</v>
      </c>
      <c r="Y762" s="19">
        <f>IF(Table14[[#This Row],[I_0]] &lt; INDEX(Table28[Filtro de ruido],1), 1, Table14[[#This Row],[I_50]] / Table14[[#This Row],[I_0]])</f>
        <v>1</v>
      </c>
      <c r="AA762" s="1"/>
    </row>
    <row r="763" spans="1:27" x14ac:dyDescent="0.3">
      <c r="A763" s="18">
        <v>825.01</v>
      </c>
      <c r="B763" s="1">
        <v>0</v>
      </c>
      <c r="C763" s="1">
        <v>825.01</v>
      </c>
      <c r="D763" s="1">
        <v>0</v>
      </c>
      <c r="E763" s="1">
        <v>825.01</v>
      </c>
      <c r="F763" s="1">
        <v>0</v>
      </c>
      <c r="G763" s="1">
        <v>825.01</v>
      </c>
      <c r="H763" s="1">
        <v>0</v>
      </c>
      <c r="I763" s="1">
        <v>825.01</v>
      </c>
      <c r="J763" s="1">
        <v>0</v>
      </c>
      <c r="K763" s="1">
        <v>825.01</v>
      </c>
      <c r="L763" s="1">
        <v>0</v>
      </c>
      <c r="M763" s="1">
        <v>825.01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825.01</v>
      </c>
      <c r="U763" s="1">
        <f>IF(Table14[[#This Row],[I_0]] &lt; INDEX(Table28[Filtro de ruido],1), 1, Table14[[#This Row],[I_10]] / Table14[[#This Row],[I_0]])</f>
        <v>1</v>
      </c>
      <c r="V763" s="1">
        <f>IF(Table14[[#This Row],[I_0]] &lt; INDEX(Table28[Filtro de ruido],1), 1, Table14[[#This Row],[I_20]] / Table14[[#This Row],[I_0]])</f>
        <v>1</v>
      </c>
      <c r="W763" s="1">
        <f>IF(Table14[[#This Row],[I_0]] &lt; INDEX(Table28[Filtro de ruido],1), 1, Table14[[#This Row],[I_30]] / Table14[[#This Row],[I_0]])</f>
        <v>1</v>
      </c>
      <c r="X763" s="1">
        <f>IF(Table14[[#This Row],[I_0]] &lt; INDEX(Table28[Filtro de ruido],1), 1, Table14[[#This Row],[I_40]] / Table14[[#This Row],[I_0]])</f>
        <v>1</v>
      </c>
      <c r="Y763" s="19">
        <f>IF(Table14[[#This Row],[I_0]] &lt; INDEX(Table28[Filtro de ruido],1), 1, Table14[[#This Row],[I_50]] / Table14[[#This Row],[I_0]])</f>
        <v>1</v>
      </c>
      <c r="AA763" s="1"/>
    </row>
    <row r="764" spans="1:27" x14ac:dyDescent="0.3">
      <c r="A764" s="18">
        <v>826.01</v>
      </c>
      <c r="B764" s="1">
        <v>0</v>
      </c>
      <c r="C764" s="1">
        <v>826.01</v>
      </c>
      <c r="D764" s="1">
        <v>0</v>
      </c>
      <c r="E764" s="1">
        <v>826.01</v>
      </c>
      <c r="F764" s="1">
        <v>0</v>
      </c>
      <c r="G764" s="1">
        <v>826.01</v>
      </c>
      <c r="H764" s="1">
        <v>0</v>
      </c>
      <c r="I764" s="1">
        <v>826.01</v>
      </c>
      <c r="J764" s="1">
        <v>0</v>
      </c>
      <c r="K764" s="1">
        <v>826.01</v>
      </c>
      <c r="L764" s="1">
        <v>0</v>
      </c>
      <c r="M764" s="1">
        <v>826.01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826.01</v>
      </c>
      <c r="U764" s="1">
        <f>IF(Table14[[#This Row],[I_0]] &lt; INDEX(Table28[Filtro de ruido],1), 1, Table14[[#This Row],[I_10]] / Table14[[#This Row],[I_0]])</f>
        <v>1</v>
      </c>
      <c r="V764" s="1">
        <f>IF(Table14[[#This Row],[I_0]] &lt; INDEX(Table28[Filtro de ruido],1), 1, Table14[[#This Row],[I_20]] / Table14[[#This Row],[I_0]])</f>
        <v>1</v>
      </c>
      <c r="W764" s="1">
        <f>IF(Table14[[#This Row],[I_0]] &lt; INDEX(Table28[Filtro de ruido],1), 1, Table14[[#This Row],[I_30]] / Table14[[#This Row],[I_0]])</f>
        <v>1</v>
      </c>
      <c r="X764" s="1">
        <f>IF(Table14[[#This Row],[I_0]] &lt; INDEX(Table28[Filtro de ruido],1), 1, Table14[[#This Row],[I_40]] / Table14[[#This Row],[I_0]])</f>
        <v>1</v>
      </c>
      <c r="Y764" s="19">
        <f>IF(Table14[[#This Row],[I_0]] &lt; INDEX(Table28[Filtro de ruido],1), 1, Table14[[#This Row],[I_50]] / Table14[[#This Row],[I_0]])</f>
        <v>1</v>
      </c>
      <c r="AA764" s="1"/>
    </row>
    <row r="765" spans="1:27" x14ac:dyDescent="0.3">
      <c r="A765" s="18">
        <v>827</v>
      </c>
      <c r="B765" s="1">
        <v>0</v>
      </c>
      <c r="C765" s="1">
        <v>827</v>
      </c>
      <c r="D765" s="1">
        <v>0</v>
      </c>
      <c r="E765" s="1">
        <v>827</v>
      </c>
      <c r="F765" s="1">
        <v>0</v>
      </c>
      <c r="G765" s="1">
        <v>827</v>
      </c>
      <c r="H765" s="1">
        <v>0</v>
      </c>
      <c r="I765" s="1">
        <v>827</v>
      </c>
      <c r="J765" s="1">
        <v>0</v>
      </c>
      <c r="K765" s="1">
        <v>827</v>
      </c>
      <c r="L765" s="1">
        <v>0</v>
      </c>
      <c r="M765" s="1">
        <v>827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827</v>
      </c>
      <c r="U765" s="1">
        <f>IF(Table14[[#This Row],[I_0]] &lt; INDEX(Table28[Filtro de ruido],1), 1, Table14[[#This Row],[I_10]] / Table14[[#This Row],[I_0]])</f>
        <v>1</v>
      </c>
      <c r="V765" s="1">
        <f>IF(Table14[[#This Row],[I_0]] &lt; INDEX(Table28[Filtro de ruido],1), 1, Table14[[#This Row],[I_20]] / Table14[[#This Row],[I_0]])</f>
        <v>1</v>
      </c>
      <c r="W765" s="1">
        <f>IF(Table14[[#This Row],[I_0]] &lt; INDEX(Table28[Filtro de ruido],1), 1, Table14[[#This Row],[I_30]] / Table14[[#This Row],[I_0]])</f>
        <v>1</v>
      </c>
      <c r="X765" s="1">
        <f>IF(Table14[[#This Row],[I_0]] &lt; INDEX(Table28[Filtro de ruido],1), 1, Table14[[#This Row],[I_40]] / Table14[[#This Row],[I_0]])</f>
        <v>1</v>
      </c>
      <c r="Y765" s="19">
        <f>IF(Table14[[#This Row],[I_0]] &lt; INDEX(Table28[Filtro de ruido],1), 1, Table14[[#This Row],[I_50]] / Table14[[#This Row],[I_0]])</f>
        <v>1</v>
      </c>
      <c r="AA765" s="1"/>
    </row>
    <row r="766" spans="1:27" x14ac:dyDescent="0.3">
      <c r="A766" s="18">
        <v>827.99</v>
      </c>
      <c r="B766" s="1">
        <v>0</v>
      </c>
      <c r="C766" s="1">
        <v>827.99</v>
      </c>
      <c r="D766" s="1">
        <v>0</v>
      </c>
      <c r="E766" s="1">
        <v>827.99</v>
      </c>
      <c r="F766" s="1">
        <v>0</v>
      </c>
      <c r="G766" s="1">
        <v>827.99</v>
      </c>
      <c r="H766" s="1">
        <v>0</v>
      </c>
      <c r="I766" s="1">
        <v>827.99</v>
      </c>
      <c r="J766" s="1">
        <v>0</v>
      </c>
      <c r="K766" s="1">
        <v>827.99</v>
      </c>
      <c r="L766" s="1">
        <v>0</v>
      </c>
      <c r="M766" s="1">
        <v>827.99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827.99</v>
      </c>
      <c r="U766" s="1">
        <f>IF(Table14[[#This Row],[I_0]] &lt; INDEX(Table28[Filtro de ruido],1), 1, Table14[[#This Row],[I_10]] / Table14[[#This Row],[I_0]])</f>
        <v>1</v>
      </c>
      <c r="V766" s="1">
        <f>IF(Table14[[#This Row],[I_0]] &lt; INDEX(Table28[Filtro de ruido],1), 1, Table14[[#This Row],[I_20]] / Table14[[#This Row],[I_0]])</f>
        <v>1</v>
      </c>
      <c r="W766" s="1">
        <f>IF(Table14[[#This Row],[I_0]] &lt; INDEX(Table28[Filtro de ruido],1), 1, Table14[[#This Row],[I_30]] / Table14[[#This Row],[I_0]])</f>
        <v>1</v>
      </c>
      <c r="X766" s="1">
        <f>IF(Table14[[#This Row],[I_0]] &lt; INDEX(Table28[Filtro de ruido],1), 1, Table14[[#This Row],[I_40]] / Table14[[#This Row],[I_0]])</f>
        <v>1</v>
      </c>
      <c r="Y766" s="19">
        <f>IF(Table14[[#This Row],[I_0]] &lt; INDEX(Table28[Filtro de ruido],1), 1, Table14[[#This Row],[I_50]] / Table14[[#This Row],[I_0]])</f>
        <v>1</v>
      </c>
      <c r="AA766" s="1"/>
    </row>
    <row r="767" spans="1:27" x14ac:dyDescent="0.3">
      <c r="A767" s="18">
        <v>828.98</v>
      </c>
      <c r="B767" s="1">
        <v>0</v>
      </c>
      <c r="C767" s="1">
        <v>828.98</v>
      </c>
      <c r="D767" s="1">
        <v>0</v>
      </c>
      <c r="E767" s="1">
        <v>828.98</v>
      </c>
      <c r="F767" s="1">
        <v>0</v>
      </c>
      <c r="G767" s="1">
        <v>828.98</v>
      </c>
      <c r="H767" s="1">
        <v>0</v>
      </c>
      <c r="I767" s="1">
        <v>828.98</v>
      </c>
      <c r="J767" s="1">
        <v>0</v>
      </c>
      <c r="K767" s="1">
        <v>828.98</v>
      </c>
      <c r="L767" s="1">
        <v>0</v>
      </c>
      <c r="M767" s="1">
        <v>828.98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828.98</v>
      </c>
      <c r="U767" s="1">
        <f>IF(Table14[[#This Row],[I_0]] &lt; INDEX(Table28[Filtro de ruido],1), 1, Table14[[#This Row],[I_10]] / Table14[[#This Row],[I_0]])</f>
        <v>1</v>
      </c>
      <c r="V767" s="1">
        <f>IF(Table14[[#This Row],[I_0]] &lt; INDEX(Table28[Filtro de ruido],1), 1, Table14[[#This Row],[I_20]] / Table14[[#This Row],[I_0]])</f>
        <v>1</v>
      </c>
      <c r="W767" s="1">
        <f>IF(Table14[[#This Row],[I_0]] &lt; INDEX(Table28[Filtro de ruido],1), 1, Table14[[#This Row],[I_30]] / Table14[[#This Row],[I_0]])</f>
        <v>1</v>
      </c>
      <c r="X767" s="1">
        <f>IF(Table14[[#This Row],[I_0]] &lt; INDEX(Table28[Filtro de ruido],1), 1, Table14[[#This Row],[I_40]] / Table14[[#This Row],[I_0]])</f>
        <v>1</v>
      </c>
      <c r="Y767" s="19">
        <f>IF(Table14[[#This Row],[I_0]] &lt; INDEX(Table28[Filtro de ruido],1), 1, Table14[[#This Row],[I_50]] / Table14[[#This Row],[I_0]])</f>
        <v>1</v>
      </c>
      <c r="AA767" s="1"/>
    </row>
    <row r="768" spans="1:27" x14ac:dyDescent="0.3">
      <c r="A768" s="18">
        <v>829.97</v>
      </c>
      <c r="B768" s="1">
        <v>0</v>
      </c>
      <c r="C768" s="1">
        <v>829.97</v>
      </c>
      <c r="D768" s="1">
        <v>0</v>
      </c>
      <c r="E768" s="1">
        <v>829.97</v>
      </c>
      <c r="F768" s="1">
        <v>0</v>
      </c>
      <c r="G768" s="1">
        <v>829.97</v>
      </c>
      <c r="H768" s="1">
        <v>0</v>
      </c>
      <c r="I768" s="1">
        <v>829.97</v>
      </c>
      <c r="J768" s="1">
        <v>0</v>
      </c>
      <c r="K768" s="1">
        <v>829.97</v>
      </c>
      <c r="L768" s="1">
        <v>0</v>
      </c>
      <c r="M768" s="1">
        <v>829.97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829.97</v>
      </c>
      <c r="U768" s="1">
        <f>IF(Table14[[#This Row],[I_0]] &lt; INDEX(Table28[Filtro de ruido],1), 1, Table14[[#This Row],[I_10]] / Table14[[#This Row],[I_0]])</f>
        <v>1</v>
      </c>
      <c r="V768" s="1">
        <f>IF(Table14[[#This Row],[I_0]] &lt; INDEX(Table28[Filtro de ruido],1), 1, Table14[[#This Row],[I_20]] / Table14[[#This Row],[I_0]])</f>
        <v>1</v>
      </c>
      <c r="W768" s="1">
        <f>IF(Table14[[#This Row],[I_0]] &lt; INDEX(Table28[Filtro de ruido],1), 1, Table14[[#This Row],[I_30]] / Table14[[#This Row],[I_0]])</f>
        <v>1</v>
      </c>
      <c r="X768" s="1">
        <f>IF(Table14[[#This Row],[I_0]] &lt; INDEX(Table28[Filtro de ruido],1), 1, Table14[[#This Row],[I_40]] / Table14[[#This Row],[I_0]])</f>
        <v>1</v>
      </c>
      <c r="Y768" s="19">
        <f>IF(Table14[[#This Row],[I_0]] &lt; INDEX(Table28[Filtro de ruido],1), 1, Table14[[#This Row],[I_50]] / Table14[[#This Row],[I_0]])</f>
        <v>1</v>
      </c>
      <c r="AA768" s="1"/>
    </row>
    <row r="769" spans="1:27" x14ac:dyDescent="0.3">
      <c r="A769" s="18">
        <v>830.96</v>
      </c>
      <c r="B769" s="1">
        <v>0</v>
      </c>
      <c r="C769" s="1">
        <v>830.96</v>
      </c>
      <c r="D769" s="1">
        <v>0</v>
      </c>
      <c r="E769" s="1">
        <v>830.96</v>
      </c>
      <c r="F769" s="1">
        <v>0</v>
      </c>
      <c r="G769" s="1">
        <v>830.96</v>
      </c>
      <c r="H769" s="1">
        <v>0</v>
      </c>
      <c r="I769" s="1">
        <v>830.96</v>
      </c>
      <c r="J769" s="1">
        <v>0</v>
      </c>
      <c r="K769" s="1">
        <v>830.96</v>
      </c>
      <c r="L769" s="1">
        <v>0</v>
      </c>
      <c r="M769" s="1">
        <v>830.96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830.96</v>
      </c>
      <c r="U769" s="1">
        <f>IF(Table14[[#This Row],[I_0]] &lt; INDEX(Table28[Filtro de ruido],1), 1, Table14[[#This Row],[I_10]] / Table14[[#This Row],[I_0]])</f>
        <v>1</v>
      </c>
      <c r="V769" s="1">
        <f>IF(Table14[[#This Row],[I_0]] &lt; INDEX(Table28[Filtro de ruido],1), 1, Table14[[#This Row],[I_20]] / Table14[[#This Row],[I_0]])</f>
        <v>1</v>
      </c>
      <c r="W769" s="1">
        <f>IF(Table14[[#This Row],[I_0]] &lt; INDEX(Table28[Filtro de ruido],1), 1, Table14[[#This Row],[I_30]] / Table14[[#This Row],[I_0]])</f>
        <v>1</v>
      </c>
      <c r="X769" s="1">
        <f>IF(Table14[[#This Row],[I_0]] &lt; INDEX(Table28[Filtro de ruido],1), 1, Table14[[#This Row],[I_40]] / Table14[[#This Row],[I_0]])</f>
        <v>1</v>
      </c>
      <c r="Y769" s="19">
        <f>IF(Table14[[#This Row],[I_0]] &lt; INDEX(Table28[Filtro de ruido],1), 1, Table14[[#This Row],[I_50]] / Table14[[#This Row],[I_0]])</f>
        <v>1</v>
      </c>
      <c r="AA769" s="1"/>
    </row>
    <row r="770" spans="1:27" x14ac:dyDescent="0.3">
      <c r="A770" s="18">
        <v>831.96</v>
      </c>
      <c r="B770" s="1">
        <v>0</v>
      </c>
      <c r="C770" s="1">
        <v>831.96</v>
      </c>
      <c r="D770" s="1">
        <v>0</v>
      </c>
      <c r="E770" s="1">
        <v>831.96</v>
      </c>
      <c r="F770" s="1">
        <v>0</v>
      </c>
      <c r="G770" s="1">
        <v>831.96</v>
      </c>
      <c r="H770" s="1">
        <v>0</v>
      </c>
      <c r="I770" s="1">
        <v>831.96</v>
      </c>
      <c r="J770" s="1">
        <v>0</v>
      </c>
      <c r="K770" s="1">
        <v>831.96</v>
      </c>
      <c r="L770" s="1">
        <v>0</v>
      </c>
      <c r="M770" s="1">
        <v>831.96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831.96</v>
      </c>
      <c r="U770" s="1">
        <f>IF(Table14[[#This Row],[I_0]] &lt; INDEX(Table28[Filtro de ruido],1), 1, Table14[[#This Row],[I_10]] / Table14[[#This Row],[I_0]])</f>
        <v>1</v>
      </c>
      <c r="V770" s="1">
        <f>IF(Table14[[#This Row],[I_0]] &lt; INDEX(Table28[Filtro de ruido],1), 1, Table14[[#This Row],[I_20]] / Table14[[#This Row],[I_0]])</f>
        <v>1</v>
      </c>
      <c r="W770" s="1">
        <f>IF(Table14[[#This Row],[I_0]] &lt; INDEX(Table28[Filtro de ruido],1), 1, Table14[[#This Row],[I_30]] / Table14[[#This Row],[I_0]])</f>
        <v>1</v>
      </c>
      <c r="X770" s="1">
        <f>IF(Table14[[#This Row],[I_0]] &lt; INDEX(Table28[Filtro de ruido],1), 1, Table14[[#This Row],[I_40]] / Table14[[#This Row],[I_0]])</f>
        <v>1</v>
      </c>
      <c r="Y770" s="19">
        <f>IF(Table14[[#This Row],[I_0]] &lt; INDEX(Table28[Filtro de ruido],1), 1, Table14[[#This Row],[I_50]] / Table14[[#This Row],[I_0]])</f>
        <v>1</v>
      </c>
      <c r="AA770" s="1"/>
    </row>
    <row r="771" spans="1:27" x14ac:dyDescent="0.3">
      <c r="A771" s="18">
        <v>832.95</v>
      </c>
      <c r="B771" s="1">
        <v>0</v>
      </c>
      <c r="C771" s="1">
        <v>832.95</v>
      </c>
      <c r="D771" s="1">
        <v>0</v>
      </c>
      <c r="E771" s="1">
        <v>832.95</v>
      </c>
      <c r="F771" s="1">
        <v>0</v>
      </c>
      <c r="G771" s="1">
        <v>832.95</v>
      </c>
      <c r="H771" s="1">
        <v>0</v>
      </c>
      <c r="I771" s="1">
        <v>832.95</v>
      </c>
      <c r="J771" s="1">
        <v>0</v>
      </c>
      <c r="K771" s="1">
        <v>832.95</v>
      </c>
      <c r="L771" s="1">
        <v>0</v>
      </c>
      <c r="M771" s="1">
        <v>832.95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832.95</v>
      </c>
      <c r="U771" s="1">
        <f>IF(Table14[[#This Row],[I_0]] &lt; INDEX(Table28[Filtro de ruido],1), 1, Table14[[#This Row],[I_10]] / Table14[[#This Row],[I_0]])</f>
        <v>1</v>
      </c>
      <c r="V771" s="1">
        <f>IF(Table14[[#This Row],[I_0]] &lt; INDEX(Table28[Filtro de ruido],1), 1, Table14[[#This Row],[I_20]] / Table14[[#This Row],[I_0]])</f>
        <v>1</v>
      </c>
      <c r="W771" s="1">
        <f>IF(Table14[[#This Row],[I_0]] &lt; INDEX(Table28[Filtro de ruido],1), 1, Table14[[#This Row],[I_30]] / Table14[[#This Row],[I_0]])</f>
        <v>1</v>
      </c>
      <c r="X771" s="1">
        <f>IF(Table14[[#This Row],[I_0]] &lt; INDEX(Table28[Filtro de ruido],1), 1, Table14[[#This Row],[I_40]] / Table14[[#This Row],[I_0]])</f>
        <v>1</v>
      </c>
      <c r="Y771" s="19">
        <f>IF(Table14[[#This Row],[I_0]] &lt; INDEX(Table28[Filtro de ruido],1), 1, Table14[[#This Row],[I_50]] / Table14[[#This Row],[I_0]])</f>
        <v>1</v>
      </c>
      <c r="AA771" s="1"/>
    </row>
    <row r="772" spans="1:27" x14ac:dyDescent="0.3">
      <c r="A772" s="18">
        <v>833.94</v>
      </c>
      <c r="B772" s="1">
        <v>0</v>
      </c>
      <c r="C772" s="1">
        <v>833.94</v>
      </c>
      <c r="D772" s="1">
        <v>0</v>
      </c>
      <c r="E772" s="1">
        <v>833.94</v>
      </c>
      <c r="F772" s="1">
        <v>0</v>
      </c>
      <c r="G772" s="1">
        <v>833.94</v>
      </c>
      <c r="H772" s="1">
        <v>0</v>
      </c>
      <c r="I772" s="1">
        <v>833.94</v>
      </c>
      <c r="J772" s="1">
        <v>0</v>
      </c>
      <c r="K772" s="1">
        <v>833.94</v>
      </c>
      <c r="L772" s="1">
        <v>0</v>
      </c>
      <c r="M772" s="1">
        <v>833.94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833.94</v>
      </c>
      <c r="U772" s="1">
        <f>IF(Table14[[#This Row],[I_0]] &lt; INDEX(Table28[Filtro de ruido],1), 1, Table14[[#This Row],[I_10]] / Table14[[#This Row],[I_0]])</f>
        <v>1</v>
      </c>
      <c r="V772" s="1">
        <f>IF(Table14[[#This Row],[I_0]] &lt; INDEX(Table28[Filtro de ruido],1), 1, Table14[[#This Row],[I_20]] / Table14[[#This Row],[I_0]])</f>
        <v>1</v>
      </c>
      <c r="W772" s="1">
        <f>IF(Table14[[#This Row],[I_0]] &lt; INDEX(Table28[Filtro de ruido],1), 1, Table14[[#This Row],[I_30]] / Table14[[#This Row],[I_0]])</f>
        <v>1</v>
      </c>
      <c r="X772" s="1">
        <f>IF(Table14[[#This Row],[I_0]] &lt; INDEX(Table28[Filtro de ruido],1), 1, Table14[[#This Row],[I_40]] / Table14[[#This Row],[I_0]])</f>
        <v>1</v>
      </c>
      <c r="Y772" s="19">
        <f>IF(Table14[[#This Row],[I_0]] &lt; INDEX(Table28[Filtro de ruido],1), 1, Table14[[#This Row],[I_50]] / Table14[[#This Row],[I_0]])</f>
        <v>1</v>
      </c>
      <c r="AA772" s="1"/>
    </row>
    <row r="773" spans="1:27" x14ac:dyDescent="0.3">
      <c r="A773" s="18">
        <v>834.93</v>
      </c>
      <c r="B773" s="1">
        <v>0</v>
      </c>
      <c r="C773" s="1">
        <v>834.93</v>
      </c>
      <c r="D773" s="1">
        <v>0</v>
      </c>
      <c r="E773" s="1">
        <v>834.93</v>
      </c>
      <c r="F773" s="1">
        <v>0</v>
      </c>
      <c r="G773" s="1">
        <v>834.93</v>
      </c>
      <c r="H773" s="1">
        <v>0</v>
      </c>
      <c r="I773" s="1">
        <v>834.93</v>
      </c>
      <c r="J773" s="1">
        <v>0</v>
      </c>
      <c r="K773" s="1">
        <v>834.93</v>
      </c>
      <c r="L773" s="1">
        <v>0</v>
      </c>
      <c r="M773" s="1">
        <v>834.93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834.93</v>
      </c>
      <c r="U773" s="1">
        <f>IF(Table14[[#This Row],[I_0]] &lt; INDEX(Table28[Filtro de ruido],1), 1, Table14[[#This Row],[I_10]] / Table14[[#This Row],[I_0]])</f>
        <v>1</v>
      </c>
      <c r="V773" s="1">
        <f>IF(Table14[[#This Row],[I_0]] &lt; INDEX(Table28[Filtro de ruido],1), 1, Table14[[#This Row],[I_20]] / Table14[[#This Row],[I_0]])</f>
        <v>1</v>
      </c>
      <c r="W773" s="1">
        <f>IF(Table14[[#This Row],[I_0]] &lt; INDEX(Table28[Filtro de ruido],1), 1, Table14[[#This Row],[I_30]] / Table14[[#This Row],[I_0]])</f>
        <v>1</v>
      </c>
      <c r="X773" s="1">
        <f>IF(Table14[[#This Row],[I_0]] &lt; INDEX(Table28[Filtro de ruido],1), 1, Table14[[#This Row],[I_40]] / Table14[[#This Row],[I_0]])</f>
        <v>1</v>
      </c>
      <c r="Y773" s="19">
        <f>IF(Table14[[#This Row],[I_0]] &lt; INDEX(Table28[Filtro de ruido],1), 1, Table14[[#This Row],[I_50]] / Table14[[#This Row],[I_0]])</f>
        <v>1</v>
      </c>
      <c r="AA773" s="1"/>
    </row>
    <row r="774" spans="1:27" x14ac:dyDescent="0.3">
      <c r="A774" s="18">
        <v>835.92</v>
      </c>
      <c r="B774" s="1">
        <v>0</v>
      </c>
      <c r="C774" s="1">
        <v>835.92</v>
      </c>
      <c r="D774" s="1">
        <v>0</v>
      </c>
      <c r="E774" s="1">
        <v>835.92</v>
      </c>
      <c r="F774" s="1">
        <v>0</v>
      </c>
      <c r="G774" s="1">
        <v>835.92</v>
      </c>
      <c r="H774" s="1">
        <v>0</v>
      </c>
      <c r="I774" s="1">
        <v>835.92</v>
      </c>
      <c r="J774" s="1">
        <v>0</v>
      </c>
      <c r="K774" s="1">
        <v>835.92</v>
      </c>
      <c r="L774" s="1">
        <v>0</v>
      </c>
      <c r="M774" s="1">
        <v>835.92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835.92</v>
      </c>
      <c r="U774" s="1">
        <f>IF(Table14[[#This Row],[I_0]] &lt; INDEX(Table28[Filtro de ruido],1), 1, Table14[[#This Row],[I_10]] / Table14[[#This Row],[I_0]])</f>
        <v>1</v>
      </c>
      <c r="V774" s="1">
        <f>IF(Table14[[#This Row],[I_0]] &lt; INDEX(Table28[Filtro de ruido],1), 1, Table14[[#This Row],[I_20]] / Table14[[#This Row],[I_0]])</f>
        <v>1</v>
      </c>
      <c r="W774" s="1">
        <f>IF(Table14[[#This Row],[I_0]] &lt; INDEX(Table28[Filtro de ruido],1), 1, Table14[[#This Row],[I_30]] / Table14[[#This Row],[I_0]])</f>
        <v>1</v>
      </c>
      <c r="X774" s="1">
        <f>IF(Table14[[#This Row],[I_0]] &lt; INDEX(Table28[Filtro de ruido],1), 1, Table14[[#This Row],[I_40]] / Table14[[#This Row],[I_0]])</f>
        <v>1</v>
      </c>
      <c r="Y774" s="19">
        <f>IF(Table14[[#This Row],[I_0]] &lt; INDEX(Table28[Filtro de ruido],1), 1, Table14[[#This Row],[I_50]] / Table14[[#This Row],[I_0]])</f>
        <v>1</v>
      </c>
      <c r="AA774" s="1"/>
    </row>
    <row r="775" spans="1:27" x14ac:dyDescent="0.3">
      <c r="A775" s="18">
        <v>836.91</v>
      </c>
      <c r="B775" s="1">
        <v>0</v>
      </c>
      <c r="C775" s="1">
        <v>836.91</v>
      </c>
      <c r="D775" s="1">
        <v>0</v>
      </c>
      <c r="E775" s="1">
        <v>836.91</v>
      </c>
      <c r="F775" s="1">
        <v>0</v>
      </c>
      <c r="G775" s="1">
        <v>836.91</v>
      </c>
      <c r="H775" s="1">
        <v>0</v>
      </c>
      <c r="I775" s="1">
        <v>836.91</v>
      </c>
      <c r="J775" s="1">
        <v>0</v>
      </c>
      <c r="K775" s="1">
        <v>836.91</v>
      </c>
      <c r="L775" s="1">
        <v>0</v>
      </c>
      <c r="M775" s="1">
        <v>836.91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836.91</v>
      </c>
      <c r="U775" s="1">
        <f>IF(Table14[[#This Row],[I_0]] &lt; INDEX(Table28[Filtro de ruido],1), 1, Table14[[#This Row],[I_10]] / Table14[[#This Row],[I_0]])</f>
        <v>1</v>
      </c>
      <c r="V775" s="1">
        <f>IF(Table14[[#This Row],[I_0]] &lt; INDEX(Table28[Filtro de ruido],1), 1, Table14[[#This Row],[I_20]] / Table14[[#This Row],[I_0]])</f>
        <v>1</v>
      </c>
      <c r="W775" s="1">
        <f>IF(Table14[[#This Row],[I_0]] &lt; INDEX(Table28[Filtro de ruido],1), 1, Table14[[#This Row],[I_30]] / Table14[[#This Row],[I_0]])</f>
        <v>1</v>
      </c>
      <c r="X775" s="1">
        <f>IF(Table14[[#This Row],[I_0]] &lt; INDEX(Table28[Filtro de ruido],1), 1, Table14[[#This Row],[I_40]] / Table14[[#This Row],[I_0]])</f>
        <v>1</v>
      </c>
      <c r="Y775" s="19">
        <f>IF(Table14[[#This Row],[I_0]] &lt; INDEX(Table28[Filtro de ruido],1), 1, Table14[[#This Row],[I_50]] / Table14[[#This Row],[I_0]])</f>
        <v>1</v>
      </c>
      <c r="AA775" s="1"/>
    </row>
    <row r="776" spans="1:27" x14ac:dyDescent="0.3">
      <c r="A776" s="18">
        <v>837.91</v>
      </c>
      <c r="B776" s="1">
        <v>0</v>
      </c>
      <c r="C776" s="1">
        <v>837.91</v>
      </c>
      <c r="D776" s="1">
        <v>0</v>
      </c>
      <c r="E776" s="1">
        <v>837.91</v>
      </c>
      <c r="F776" s="1">
        <v>0</v>
      </c>
      <c r="G776" s="1">
        <v>837.91</v>
      </c>
      <c r="H776" s="1">
        <v>0</v>
      </c>
      <c r="I776" s="1">
        <v>837.91</v>
      </c>
      <c r="J776" s="1">
        <v>0</v>
      </c>
      <c r="K776" s="1">
        <v>837.91</v>
      </c>
      <c r="L776" s="1">
        <v>0</v>
      </c>
      <c r="M776" s="1">
        <v>837.91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837.91</v>
      </c>
      <c r="U776" s="1">
        <f>IF(Table14[[#This Row],[I_0]] &lt; INDEX(Table28[Filtro de ruido],1), 1, Table14[[#This Row],[I_10]] / Table14[[#This Row],[I_0]])</f>
        <v>1</v>
      </c>
      <c r="V776" s="1">
        <f>IF(Table14[[#This Row],[I_0]] &lt; INDEX(Table28[Filtro de ruido],1), 1, Table14[[#This Row],[I_20]] / Table14[[#This Row],[I_0]])</f>
        <v>1</v>
      </c>
      <c r="W776" s="1">
        <f>IF(Table14[[#This Row],[I_0]] &lt; INDEX(Table28[Filtro de ruido],1), 1, Table14[[#This Row],[I_30]] / Table14[[#This Row],[I_0]])</f>
        <v>1</v>
      </c>
      <c r="X776" s="1">
        <f>IF(Table14[[#This Row],[I_0]] &lt; INDEX(Table28[Filtro de ruido],1), 1, Table14[[#This Row],[I_40]] / Table14[[#This Row],[I_0]])</f>
        <v>1</v>
      </c>
      <c r="Y776" s="19">
        <f>IF(Table14[[#This Row],[I_0]] &lt; INDEX(Table28[Filtro de ruido],1), 1, Table14[[#This Row],[I_50]] / Table14[[#This Row],[I_0]])</f>
        <v>1</v>
      </c>
      <c r="AA776" s="1"/>
    </row>
    <row r="777" spans="1:27" x14ac:dyDescent="0.3">
      <c r="A777" s="18">
        <v>838.9</v>
      </c>
      <c r="B777" s="1">
        <v>0</v>
      </c>
      <c r="C777" s="1">
        <v>838.9</v>
      </c>
      <c r="D777" s="1">
        <v>0</v>
      </c>
      <c r="E777" s="1">
        <v>838.9</v>
      </c>
      <c r="F777" s="1">
        <v>0</v>
      </c>
      <c r="G777" s="1">
        <v>838.9</v>
      </c>
      <c r="H777" s="1">
        <v>0</v>
      </c>
      <c r="I777" s="1">
        <v>838.9</v>
      </c>
      <c r="J777" s="1">
        <v>0</v>
      </c>
      <c r="K777" s="1">
        <v>838.9</v>
      </c>
      <c r="L777" s="1">
        <v>0</v>
      </c>
      <c r="M777" s="1">
        <v>838.9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838.9</v>
      </c>
      <c r="U777" s="1">
        <f>IF(Table14[[#This Row],[I_0]] &lt; INDEX(Table28[Filtro de ruido],1), 1, Table14[[#This Row],[I_10]] / Table14[[#This Row],[I_0]])</f>
        <v>1</v>
      </c>
      <c r="V777" s="1">
        <f>IF(Table14[[#This Row],[I_0]] &lt; INDEX(Table28[Filtro de ruido],1), 1, Table14[[#This Row],[I_20]] / Table14[[#This Row],[I_0]])</f>
        <v>1</v>
      </c>
      <c r="W777" s="1">
        <f>IF(Table14[[#This Row],[I_0]] &lt; INDEX(Table28[Filtro de ruido],1), 1, Table14[[#This Row],[I_30]] / Table14[[#This Row],[I_0]])</f>
        <v>1</v>
      </c>
      <c r="X777" s="1">
        <f>IF(Table14[[#This Row],[I_0]] &lt; INDEX(Table28[Filtro de ruido],1), 1, Table14[[#This Row],[I_40]] / Table14[[#This Row],[I_0]])</f>
        <v>1</v>
      </c>
      <c r="Y777" s="19">
        <f>IF(Table14[[#This Row],[I_0]] &lt; INDEX(Table28[Filtro de ruido],1), 1, Table14[[#This Row],[I_50]] / Table14[[#This Row],[I_0]])</f>
        <v>1</v>
      </c>
      <c r="AA777" s="1"/>
    </row>
    <row r="778" spans="1:27" x14ac:dyDescent="0.3">
      <c r="A778" s="18">
        <v>839.89</v>
      </c>
      <c r="B778" s="1">
        <v>0</v>
      </c>
      <c r="C778" s="1">
        <v>839.89</v>
      </c>
      <c r="D778" s="1">
        <v>0</v>
      </c>
      <c r="E778" s="1">
        <v>839.89</v>
      </c>
      <c r="F778" s="1">
        <v>0</v>
      </c>
      <c r="G778" s="1">
        <v>839.89</v>
      </c>
      <c r="H778" s="1">
        <v>0</v>
      </c>
      <c r="I778" s="1">
        <v>839.89</v>
      </c>
      <c r="J778" s="1">
        <v>0</v>
      </c>
      <c r="K778" s="1">
        <v>839.89</v>
      </c>
      <c r="L778" s="1">
        <v>0</v>
      </c>
      <c r="M778" s="1">
        <v>839.89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839.89</v>
      </c>
      <c r="U778" s="1">
        <f>IF(Table14[[#This Row],[I_0]] &lt; INDEX(Table28[Filtro de ruido],1), 1, Table14[[#This Row],[I_10]] / Table14[[#This Row],[I_0]])</f>
        <v>1</v>
      </c>
      <c r="V778" s="1">
        <f>IF(Table14[[#This Row],[I_0]] &lt; INDEX(Table28[Filtro de ruido],1), 1, Table14[[#This Row],[I_20]] / Table14[[#This Row],[I_0]])</f>
        <v>1</v>
      </c>
      <c r="W778" s="1">
        <f>IF(Table14[[#This Row],[I_0]] &lt; INDEX(Table28[Filtro de ruido],1), 1, Table14[[#This Row],[I_30]] / Table14[[#This Row],[I_0]])</f>
        <v>1</v>
      </c>
      <c r="X778" s="1">
        <f>IF(Table14[[#This Row],[I_0]] &lt; INDEX(Table28[Filtro de ruido],1), 1, Table14[[#This Row],[I_40]] / Table14[[#This Row],[I_0]])</f>
        <v>1</v>
      </c>
      <c r="Y778" s="19">
        <f>IF(Table14[[#This Row],[I_0]] &lt; INDEX(Table28[Filtro de ruido],1), 1, Table14[[#This Row],[I_50]] / Table14[[#This Row],[I_0]])</f>
        <v>1</v>
      </c>
      <c r="AA778" s="1"/>
    </row>
    <row r="779" spans="1:27" x14ac:dyDescent="0.3">
      <c r="A779" s="18">
        <v>840.88</v>
      </c>
      <c r="B779" s="1">
        <v>0</v>
      </c>
      <c r="C779" s="1">
        <v>840.88</v>
      </c>
      <c r="D779" s="1">
        <v>0</v>
      </c>
      <c r="E779" s="1">
        <v>840.88</v>
      </c>
      <c r="F779" s="1">
        <v>0</v>
      </c>
      <c r="G779" s="1">
        <v>840.88</v>
      </c>
      <c r="H779" s="1">
        <v>0</v>
      </c>
      <c r="I779" s="1">
        <v>840.88</v>
      </c>
      <c r="J779" s="1">
        <v>0</v>
      </c>
      <c r="K779" s="1">
        <v>840.88</v>
      </c>
      <c r="L779" s="1">
        <v>0</v>
      </c>
      <c r="M779" s="1">
        <v>840.88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840.88</v>
      </c>
      <c r="U779" s="1">
        <f>IF(Table14[[#This Row],[I_0]] &lt; INDEX(Table28[Filtro de ruido],1), 1, Table14[[#This Row],[I_10]] / Table14[[#This Row],[I_0]])</f>
        <v>1</v>
      </c>
      <c r="V779" s="1">
        <f>IF(Table14[[#This Row],[I_0]] &lt; INDEX(Table28[Filtro de ruido],1), 1, Table14[[#This Row],[I_20]] / Table14[[#This Row],[I_0]])</f>
        <v>1</v>
      </c>
      <c r="W779" s="1">
        <f>IF(Table14[[#This Row],[I_0]] &lt; INDEX(Table28[Filtro de ruido],1), 1, Table14[[#This Row],[I_30]] / Table14[[#This Row],[I_0]])</f>
        <v>1</v>
      </c>
      <c r="X779" s="1">
        <f>IF(Table14[[#This Row],[I_0]] &lt; INDEX(Table28[Filtro de ruido],1), 1, Table14[[#This Row],[I_40]] / Table14[[#This Row],[I_0]])</f>
        <v>1</v>
      </c>
      <c r="Y779" s="19">
        <f>IF(Table14[[#This Row],[I_0]] &lt; INDEX(Table28[Filtro de ruido],1), 1, Table14[[#This Row],[I_50]] / Table14[[#This Row],[I_0]])</f>
        <v>1</v>
      </c>
      <c r="AA779" s="1"/>
    </row>
    <row r="780" spans="1:27" x14ac:dyDescent="0.3">
      <c r="A780" s="18">
        <v>841.87</v>
      </c>
      <c r="B780" s="1">
        <v>0</v>
      </c>
      <c r="C780" s="1">
        <v>841.87</v>
      </c>
      <c r="D780" s="1">
        <v>0</v>
      </c>
      <c r="E780" s="1">
        <v>841.87</v>
      </c>
      <c r="F780" s="1">
        <v>0</v>
      </c>
      <c r="G780" s="1">
        <v>841.87</v>
      </c>
      <c r="H780" s="1">
        <v>0</v>
      </c>
      <c r="I780" s="1">
        <v>841.87</v>
      </c>
      <c r="J780" s="1">
        <v>0</v>
      </c>
      <c r="K780" s="1">
        <v>841.87</v>
      </c>
      <c r="L780" s="1">
        <v>0</v>
      </c>
      <c r="M780" s="1">
        <v>841.87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841.87</v>
      </c>
      <c r="U780" s="1">
        <f>IF(Table14[[#This Row],[I_0]] &lt; INDEX(Table28[Filtro de ruido],1), 1, Table14[[#This Row],[I_10]] / Table14[[#This Row],[I_0]])</f>
        <v>1</v>
      </c>
      <c r="V780" s="1">
        <f>IF(Table14[[#This Row],[I_0]] &lt; INDEX(Table28[Filtro de ruido],1), 1, Table14[[#This Row],[I_20]] / Table14[[#This Row],[I_0]])</f>
        <v>1</v>
      </c>
      <c r="W780" s="1">
        <f>IF(Table14[[#This Row],[I_0]] &lt; INDEX(Table28[Filtro de ruido],1), 1, Table14[[#This Row],[I_30]] / Table14[[#This Row],[I_0]])</f>
        <v>1</v>
      </c>
      <c r="X780" s="1">
        <f>IF(Table14[[#This Row],[I_0]] &lt; INDEX(Table28[Filtro de ruido],1), 1, Table14[[#This Row],[I_40]] / Table14[[#This Row],[I_0]])</f>
        <v>1</v>
      </c>
      <c r="Y780" s="19">
        <f>IF(Table14[[#This Row],[I_0]] &lt; INDEX(Table28[Filtro de ruido],1), 1, Table14[[#This Row],[I_50]] / Table14[[#This Row],[I_0]])</f>
        <v>1</v>
      </c>
      <c r="AA780" s="1"/>
    </row>
    <row r="781" spans="1:27" x14ac:dyDescent="0.3">
      <c r="A781" s="18">
        <v>842.87</v>
      </c>
      <c r="B781" s="1">
        <v>0</v>
      </c>
      <c r="C781" s="1">
        <v>842.87</v>
      </c>
      <c r="D781" s="1">
        <v>0</v>
      </c>
      <c r="E781" s="1">
        <v>842.87</v>
      </c>
      <c r="F781" s="1">
        <v>0</v>
      </c>
      <c r="G781" s="1">
        <v>842.87</v>
      </c>
      <c r="H781" s="1">
        <v>0</v>
      </c>
      <c r="I781" s="1">
        <v>842.87</v>
      </c>
      <c r="J781" s="1">
        <v>0</v>
      </c>
      <c r="K781" s="1">
        <v>842.87</v>
      </c>
      <c r="L781" s="1">
        <v>0</v>
      </c>
      <c r="M781" s="1">
        <v>842.87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842.87</v>
      </c>
      <c r="U781" s="1">
        <f>IF(Table14[[#This Row],[I_0]] &lt; INDEX(Table28[Filtro de ruido],1), 1, Table14[[#This Row],[I_10]] / Table14[[#This Row],[I_0]])</f>
        <v>1</v>
      </c>
      <c r="V781" s="1">
        <f>IF(Table14[[#This Row],[I_0]] &lt; INDEX(Table28[Filtro de ruido],1), 1, Table14[[#This Row],[I_20]] / Table14[[#This Row],[I_0]])</f>
        <v>1</v>
      </c>
      <c r="W781" s="1">
        <f>IF(Table14[[#This Row],[I_0]] &lt; INDEX(Table28[Filtro de ruido],1), 1, Table14[[#This Row],[I_30]] / Table14[[#This Row],[I_0]])</f>
        <v>1</v>
      </c>
      <c r="X781" s="1">
        <f>IF(Table14[[#This Row],[I_0]] &lt; INDEX(Table28[Filtro de ruido],1), 1, Table14[[#This Row],[I_40]] / Table14[[#This Row],[I_0]])</f>
        <v>1</v>
      </c>
      <c r="Y781" s="19">
        <f>IF(Table14[[#This Row],[I_0]] &lt; INDEX(Table28[Filtro de ruido],1), 1, Table14[[#This Row],[I_50]] / Table14[[#This Row],[I_0]])</f>
        <v>1</v>
      </c>
      <c r="AA781" s="1"/>
    </row>
    <row r="782" spans="1:27" x14ac:dyDescent="0.3">
      <c r="A782" s="18">
        <v>843.86</v>
      </c>
      <c r="B782" s="1">
        <v>0</v>
      </c>
      <c r="C782" s="1">
        <v>843.86</v>
      </c>
      <c r="D782" s="1">
        <v>0</v>
      </c>
      <c r="E782" s="1">
        <v>843.86</v>
      </c>
      <c r="F782" s="1">
        <v>0</v>
      </c>
      <c r="G782" s="1">
        <v>843.86</v>
      </c>
      <c r="H782" s="1">
        <v>0</v>
      </c>
      <c r="I782" s="1">
        <v>843.86</v>
      </c>
      <c r="J782" s="1">
        <v>0</v>
      </c>
      <c r="K782" s="1">
        <v>843.86</v>
      </c>
      <c r="L782" s="1">
        <v>0</v>
      </c>
      <c r="M782" s="1">
        <v>843.86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843.86</v>
      </c>
      <c r="U782" s="1">
        <f>IF(Table14[[#This Row],[I_0]] &lt; INDEX(Table28[Filtro de ruido],1), 1, Table14[[#This Row],[I_10]] / Table14[[#This Row],[I_0]])</f>
        <v>1</v>
      </c>
      <c r="V782" s="1">
        <f>IF(Table14[[#This Row],[I_0]] &lt; INDEX(Table28[Filtro de ruido],1), 1, Table14[[#This Row],[I_20]] / Table14[[#This Row],[I_0]])</f>
        <v>1</v>
      </c>
      <c r="W782" s="1">
        <f>IF(Table14[[#This Row],[I_0]] &lt; INDEX(Table28[Filtro de ruido],1), 1, Table14[[#This Row],[I_30]] / Table14[[#This Row],[I_0]])</f>
        <v>1</v>
      </c>
      <c r="X782" s="1">
        <f>IF(Table14[[#This Row],[I_0]] &lt; INDEX(Table28[Filtro de ruido],1), 1, Table14[[#This Row],[I_40]] / Table14[[#This Row],[I_0]])</f>
        <v>1</v>
      </c>
      <c r="Y782" s="19">
        <f>IF(Table14[[#This Row],[I_0]] &lt; INDEX(Table28[Filtro de ruido],1), 1, Table14[[#This Row],[I_50]] / Table14[[#This Row],[I_0]])</f>
        <v>1</v>
      </c>
      <c r="AA782" s="1"/>
    </row>
    <row r="783" spans="1:27" x14ac:dyDescent="0.3">
      <c r="A783" s="18">
        <v>844.85</v>
      </c>
      <c r="B783" s="1">
        <v>0</v>
      </c>
      <c r="C783" s="1">
        <v>844.85</v>
      </c>
      <c r="D783" s="1">
        <v>0</v>
      </c>
      <c r="E783" s="1">
        <v>844.85</v>
      </c>
      <c r="F783" s="1">
        <v>0</v>
      </c>
      <c r="G783" s="1">
        <v>844.85</v>
      </c>
      <c r="H783" s="1">
        <v>0</v>
      </c>
      <c r="I783" s="1">
        <v>844.85</v>
      </c>
      <c r="J783" s="1">
        <v>0</v>
      </c>
      <c r="K783" s="1">
        <v>844.85</v>
      </c>
      <c r="L783" s="1">
        <v>0</v>
      </c>
      <c r="M783" s="1">
        <v>844.85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844.85</v>
      </c>
      <c r="U783" s="1">
        <f>IF(Table14[[#This Row],[I_0]] &lt; INDEX(Table28[Filtro de ruido],1), 1, Table14[[#This Row],[I_10]] / Table14[[#This Row],[I_0]])</f>
        <v>1</v>
      </c>
      <c r="V783" s="1">
        <f>IF(Table14[[#This Row],[I_0]] &lt; INDEX(Table28[Filtro de ruido],1), 1, Table14[[#This Row],[I_20]] / Table14[[#This Row],[I_0]])</f>
        <v>1</v>
      </c>
      <c r="W783" s="1">
        <f>IF(Table14[[#This Row],[I_0]] &lt; INDEX(Table28[Filtro de ruido],1), 1, Table14[[#This Row],[I_30]] / Table14[[#This Row],[I_0]])</f>
        <v>1</v>
      </c>
      <c r="X783" s="1">
        <f>IF(Table14[[#This Row],[I_0]] &lt; INDEX(Table28[Filtro de ruido],1), 1, Table14[[#This Row],[I_40]] / Table14[[#This Row],[I_0]])</f>
        <v>1</v>
      </c>
      <c r="Y783" s="19">
        <f>IF(Table14[[#This Row],[I_0]] &lt; INDEX(Table28[Filtro de ruido],1), 1, Table14[[#This Row],[I_50]] / Table14[[#This Row],[I_0]])</f>
        <v>1</v>
      </c>
      <c r="AA783" s="1"/>
    </row>
    <row r="784" spans="1:27" x14ac:dyDescent="0.3">
      <c r="A784" s="18">
        <v>845.84</v>
      </c>
      <c r="B784" s="1">
        <v>0</v>
      </c>
      <c r="C784" s="1">
        <v>845.84</v>
      </c>
      <c r="D784" s="1">
        <v>0</v>
      </c>
      <c r="E784" s="1">
        <v>845.84</v>
      </c>
      <c r="F784" s="1">
        <v>0</v>
      </c>
      <c r="G784" s="1">
        <v>845.84</v>
      </c>
      <c r="H784" s="1">
        <v>0</v>
      </c>
      <c r="I784" s="1">
        <v>845.84</v>
      </c>
      <c r="J784" s="1">
        <v>0</v>
      </c>
      <c r="K784" s="1">
        <v>845.84</v>
      </c>
      <c r="L784" s="1">
        <v>0</v>
      </c>
      <c r="M784" s="1">
        <v>845.84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845.84</v>
      </c>
      <c r="U784" s="1">
        <f>IF(Table14[[#This Row],[I_0]] &lt; INDEX(Table28[Filtro de ruido],1), 1, Table14[[#This Row],[I_10]] / Table14[[#This Row],[I_0]])</f>
        <v>1</v>
      </c>
      <c r="V784" s="1">
        <f>IF(Table14[[#This Row],[I_0]] &lt; INDEX(Table28[Filtro de ruido],1), 1, Table14[[#This Row],[I_20]] / Table14[[#This Row],[I_0]])</f>
        <v>1</v>
      </c>
      <c r="W784" s="1">
        <f>IF(Table14[[#This Row],[I_0]] &lt; INDEX(Table28[Filtro de ruido],1), 1, Table14[[#This Row],[I_30]] / Table14[[#This Row],[I_0]])</f>
        <v>1</v>
      </c>
      <c r="X784" s="1">
        <f>IF(Table14[[#This Row],[I_0]] &lt; INDEX(Table28[Filtro de ruido],1), 1, Table14[[#This Row],[I_40]] / Table14[[#This Row],[I_0]])</f>
        <v>1</v>
      </c>
      <c r="Y784" s="19">
        <f>IF(Table14[[#This Row],[I_0]] &lt; INDEX(Table28[Filtro de ruido],1), 1, Table14[[#This Row],[I_50]] / Table14[[#This Row],[I_0]])</f>
        <v>1</v>
      </c>
      <c r="AA784" s="1"/>
    </row>
    <row r="785" spans="1:27" x14ac:dyDescent="0.3">
      <c r="A785" s="18">
        <v>846.83</v>
      </c>
      <c r="B785" s="1">
        <v>0</v>
      </c>
      <c r="C785" s="1">
        <v>846.83</v>
      </c>
      <c r="D785" s="1">
        <v>0</v>
      </c>
      <c r="E785" s="1">
        <v>846.83</v>
      </c>
      <c r="F785" s="1">
        <v>0</v>
      </c>
      <c r="G785" s="1">
        <v>846.83</v>
      </c>
      <c r="H785" s="1">
        <v>0</v>
      </c>
      <c r="I785" s="1">
        <v>846.83</v>
      </c>
      <c r="J785" s="1">
        <v>0</v>
      </c>
      <c r="K785" s="1">
        <v>846.83</v>
      </c>
      <c r="L785" s="1">
        <v>0</v>
      </c>
      <c r="M785" s="1">
        <v>846.83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846.83</v>
      </c>
      <c r="U785" s="1">
        <f>IF(Table14[[#This Row],[I_0]] &lt; INDEX(Table28[Filtro de ruido],1), 1, Table14[[#This Row],[I_10]] / Table14[[#This Row],[I_0]])</f>
        <v>1</v>
      </c>
      <c r="V785" s="1">
        <f>IF(Table14[[#This Row],[I_0]] &lt; INDEX(Table28[Filtro de ruido],1), 1, Table14[[#This Row],[I_20]] / Table14[[#This Row],[I_0]])</f>
        <v>1</v>
      </c>
      <c r="W785" s="1">
        <f>IF(Table14[[#This Row],[I_0]] &lt; INDEX(Table28[Filtro de ruido],1), 1, Table14[[#This Row],[I_30]] / Table14[[#This Row],[I_0]])</f>
        <v>1</v>
      </c>
      <c r="X785" s="1">
        <f>IF(Table14[[#This Row],[I_0]] &lt; INDEX(Table28[Filtro de ruido],1), 1, Table14[[#This Row],[I_40]] / Table14[[#This Row],[I_0]])</f>
        <v>1</v>
      </c>
      <c r="Y785" s="19">
        <f>IF(Table14[[#This Row],[I_0]] &lt; INDEX(Table28[Filtro de ruido],1), 1, Table14[[#This Row],[I_50]] / Table14[[#This Row],[I_0]])</f>
        <v>1</v>
      </c>
      <c r="AA785" s="1"/>
    </row>
    <row r="786" spans="1:27" x14ac:dyDescent="0.3">
      <c r="A786" s="18">
        <v>847.82</v>
      </c>
      <c r="B786" s="1">
        <v>0</v>
      </c>
      <c r="C786" s="1">
        <v>847.82</v>
      </c>
      <c r="D786" s="1">
        <v>0</v>
      </c>
      <c r="E786" s="1">
        <v>847.82</v>
      </c>
      <c r="F786" s="1">
        <v>0</v>
      </c>
      <c r="G786" s="1">
        <v>847.82</v>
      </c>
      <c r="H786" s="1">
        <v>0</v>
      </c>
      <c r="I786" s="1">
        <v>847.82</v>
      </c>
      <c r="J786" s="1">
        <v>0</v>
      </c>
      <c r="K786" s="1">
        <v>847.82</v>
      </c>
      <c r="L786" s="1">
        <v>0</v>
      </c>
      <c r="M786" s="1">
        <v>847.82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847.82</v>
      </c>
      <c r="U786" s="1">
        <f>IF(Table14[[#This Row],[I_0]] &lt; INDEX(Table28[Filtro de ruido],1), 1, Table14[[#This Row],[I_10]] / Table14[[#This Row],[I_0]])</f>
        <v>1</v>
      </c>
      <c r="V786" s="1">
        <f>IF(Table14[[#This Row],[I_0]] &lt; INDEX(Table28[Filtro de ruido],1), 1, Table14[[#This Row],[I_20]] / Table14[[#This Row],[I_0]])</f>
        <v>1</v>
      </c>
      <c r="W786" s="1">
        <f>IF(Table14[[#This Row],[I_0]] &lt; INDEX(Table28[Filtro de ruido],1), 1, Table14[[#This Row],[I_30]] / Table14[[#This Row],[I_0]])</f>
        <v>1</v>
      </c>
      <c r="X786" s="1">
        <f>IF(Table14[[#This Row],[I_0]] &lt; INDEX(Table28[Filtro de ruido],1), 1, Table14[[#This Row],[I_40]] / Table14[[#This Row],[I_0]])</f>
        <v>1</v>
      </c>
      <c r="Y786" s="19">
        <f>IF(Table14[[#This Row],[I_0]] &lt; INDEX(Table28[Filtro de ruido],1), 1, Table14[[#This Row],[I_50]] / Table14[[#This Row],[I_0]])</f>
        <v>1</v>
      </c>
      <c r="AA786" s="1"/>
    </row>
    <row r="787" spans="1:27" x14ac:dyDescent="0.3">
      <c r="A787" s="18">
        <v>848.82</v>
      </c>
      <c r="B787" s="1">
        <v>0</v>
      </c>
      <c r="C787" s="1">
        <v>848.82</v>
      </c>
      <c r="D787" s="1">
        <v>0</v>
      </c>
      <c r="E787" s="1">
        <v>848.82</v>
      </c>
      <c r="F787" s="1">
        <v>0</v>
      </c>
      <c r="G787" s="1">
        <v>848.82</v>
      </c>
      <c r="H787" s="1">
        <v>0</v>
      </c>
      <c r="I787" s="1">
        <v>848.82</v>
      </c>
      <c r="J787" s="1">
        <v>0</v>
      </c>
      <c r="K787" s="1">
        <v>848.82</v>
      </c>
      <c r="L787" s="1">
        <v>0</v>
      </c>
      <c r="M787" s="1">
        <v>848.82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848.82</v>
      </c>
      <c r="U787" s="1">
        <f>IF(Table14[[#This Row],[I_0]] &lt; INDEX(Table28[Filtro de ruido],1), 1, Table14[[#This Row],[I_10]] / Table14[[#This Row],[I_0]])</f>
        <v>1</v>
      </c>
      <c r="V787" s="1">
        <f>IF(Table14[[#This Row],[I_0]] &lt; INDEX(Table28[Filtro de ruido],1), 1, Table14[[#This Row],[I_20]] / Table14[[#This Row],[I_0]])</f>
        <v>1</v>
      </c>
      <c r="W787" s="1">
        <f>IF(Table14[[#This Row],[I_0]] &lt; INDEX(Table28[Filtro de ruido],1), 1, Table14[[#This Row],[I_30]] / Table14[[#This Row],[I_0]])</f>
        <v>1</v>
      </c>
      <c r="X787" s="1">
        <f>IF(Table14[[#This Row],[I_0]] &lt; INDEX(Table28[Filtro de ruido],1), 1, Table14[[#This Row],[I_40]] / Table14[[#This Row],[I_0]])</f>
        <v>1</v>
      </c>
      <c r="Y787" s="19">
        <f>IF(Table14[[#This Row],[I_0]] &lt; INDEX(Table28[Filtro de ruido],1), 1, Table14[[#This Row],[I_50]] / Table14[[#This Row],[I_0]])</f>
        <v>1</v>
      </c>
      <c r="AA787" s="1"/>
    </row>
    <row r="788" spans="1:27" x14ac:dyDescent="0.3">
      <c r="A788" s="18">
        <v>849.81</v>
      </c>
      <c r="B788" s="1">
        <v>0</v>
      </c>
      <c r="C788" s="1">
        <v>849.81</v>
      </c>
      <c r="D788" s="1">
        <v>0</v>
      </c>
      <c r="E788" s="1">
        <v>849.81</v>
      </c>
      <c r="F788" s="1">
        <v>0</v>
      </c>
      <c r="G788" s="1">
        <v>849.81</v>
      </c>
      <c r="H788" s="1">
        <v>0</v>
      </c>
      <c r="I788" s="1">
        <v>849.81</v>
      </c>
      <c r="J788" s="1">
        <v>0</v>
      </c>
      <c r="K788" s="1">
        <v>849.81</v>
      </c>
      <c r="L788" s="1">
        <v>0</v>
      </c>
      <c r="M788" s="1">
        <v>849.81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849.81</v>
      </c>
      <c r="U788" s="1">
        <f>IF(Table14[[#This Row],[I_0]] &lt; INDEX(Table28[Filtro de ruido],1), 1, Table14[[#This Row],[I_10]] / Table14[[#This Row],[I_0]])</f>
        <v>1</v>
      </c>
      <c r="V788" s="1">
        <f>IF(Table14[[#This Row],[I_0]] &lt; INDEX(Table28[Filtro de ruido],1), 1, Table14[[#This Row],[I_20]] / Table14[[#This Row],[I_0]])</f>
        <v>1</v>
      </c>
      <c r="W788" s="1">
        <f>IF(Table14[[#This Row],[I_0]] &lt; INDEX(Table28[Filtro de ruido],1), 1, Table14[[#This Row],[I_30]] / Table14[[#This Row],[I_0]])</f>
        <v>1</v>
      </c>
      <c r="X788" s="1">
        <f>IF(Table14[[#This Row],[I_0]] &lt; INDEX(Table28[Filtro de ruido],1), 1, Table14[[#This Row],[I_40]] / Table14[[#This Row],[I_0]])</f>
        <v>1</v>
      </c>
      <c r="Y788" s="19">
        <f>IF(Table14[[#This Row],[I_0]] &lt; INDEX(Table28[Filtro de ruido],1), 1, Table14[[#This Row],[I_50]] / Table14[[#This Row],[I_0]])</f>
        <v>1</v>
      </c>
      <c r="AA788" s="1"/>
    </row>
    <row r="789" spans="1:27" x14ac:dyDescent="0.3">
      <c r="A789" s="18">
        <v>850.8</v>
      </c>
      <c r="B789" s="1">
        <v>0</v>
      </c>
      <c r="C789" s="1">
        <v>850.8</v>
      </c>
      <c r="D789" s="1">
        <v>0</v>
      </c>
      <c r="E789" s="1">
        <v>850.8</v>
      </c>
      <c r="F789" s="1">
        <v>0</v>
      </c>
      <c r="G789" s="1">
        <v>850.8</v>
      </c>
      <c r="H789" s="1">
        <v>0</v>
      </c>
      <c r="I789" s="1">
        <v>850.8</v>
      </c>
      <c r="J789" s="1">
        <v>0</v>
      </c>
      <c r="K789" s="1">
        <v>850.8</v>
      </c>
      <c r="L789" s="1">
        <v>0</v>
      </c>
      <c r="M789" s="1">
        <v>850.8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850.8</v>
      </c>
      <c r="U789" s="1">
        <f>IF(Table14[[#This Row],[I_0]] &lt; INDEX(Table28[Filtro de ruido],1), 1, Table14[[#This Row],[I_10]] / Table14[[#This Row],[I_0]])</f>
        <v>1</v>
      </c>
      <c r="V789" s="1">
        <f>IF(Table14[[#This Row],[I_0]] &lt; INDEX(Table28[Filtro de ruido],1), 1, Table14[[#This Row],[I_20]] / Table14[[#This Row],[I_0]])</f>
        <v>1</v>
      </c>
      <c r="W789" s="1">
        <f>IF(Table14[[#This Row],[I_0]] &lt; INDEX(Table28[Filtro de ruido],1), 1, Table14[[#This Row],[I_30]] / Table14[[#This Row],[I_0]])</f>
        <v>1</v>
      </c>
      <c r="X789" s="1">
        <f>IF(Table14[[#This Row],[I_0]] &lt; INDEX(Table28[Filtro de ruido],1), 1, Table14[[#This Row],[I_40]] / Table14[[#This Row],[I_0]])</f>
        <v>1</v>
      </c>
      <c r="Y789" s="19">
        <f>IF(Table14[[#This Row],[I_0]] &lt; INDEX(Table28[Filtro de ruido],1), 1, Table14[[#This Row],[I_50]] / Table14[[#This Row],[I_0]])</f>
        <v>1</v>
      </c>
      <c r="AA789" s="1"/>
    </row>
    <row r="790" spans="1:27" x14ac:dyDescent="0.3">
      <c r="A790" s="18">
        <v>851.79</v>
      </c>
      <c r="B790" s="1">
        <v>0</v>
      </c>
      <c r="C790" s="1">
        <v>851.79</v>
      </c>
      <c r="D790" s="1">
        <v>0</v>
      </c>
      <c r="E790" s="1">
        <v>851.79</v>
      </c>
      <c r="F790" s="1">
        <v>0</v>
      </c>
      <c r="G790" s="1">
        <v>851.79</v>
      </c>
      <c r="H790" s="1">
        <v>0</v>
      </c>
      <c r="I790" s="1">
        <v>851.79</v>
      </c>
      <c r="J790" s="1">
        <v>0</v>
      </c>
      <c r="K790" s="1">
        <v>851.79</v>
      </c>
      <c r="L790" s="1">
        <v>0</v>
      </c>
      <c r="M790" s="1">
        <v>851.79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851.79</v>
      </c>
      <c r="U790" s="1">
        <f>IF(Table14[[#This Row],[I_0]] &lt; INDEX(Table28[Filtro de ruido],1), 1, Table14[[#This Row],[I_10]] / Table14[[#This Row],[I_0]])</f>
        <v>1</v>
      </c>
      <c r="V790" s="1">
        <f>IF(Table14[[#This Row],[I_0]] &lt; INDEX(Table28[Filtro de ruido],1), 1, Table14[[#This Row],[I_20]] / Table14[[#This Row],[I_0]])</f>
        <v>1</v>
      </c>
      <c r="W790" s="1">
        <f>IF(Table14[[#This Row],[I_0]] &lt; INDEX(Table28[Filtro de ruido],1), 1, Table14[[#This Row],[I_30]] / Table14[[#This Row],[I_0]])</f>
        <v>1</v>
      </c>
      <c r="X790" s="1">
        <f>IF(Table14[[#This Row],[I_0]] &lt; INDEX(Table28[Filtro de ruido],1), 1, Table14[[#This Row],[I_40]] / Table14[[#This Row],[I_0]])</f>
        <v>1</v>
      </c>
      <c r="Y790" s="19">
        <f>IF(Table14[[#This Row],[I_0]] &lt; INDEX(Table28[Filtro de ruido],1), 1, Table14[[#This Row],[I_50]] / Table14[[#This Row],[I_0]])</f>
        <v>1</v>
      </c>
      <c r="AA790" s="1"/>
    </row>
    <row r="791" spans="1:27" x14ac:dyDescent="0.3">
      <c r="A791" s="18">
        <v>852.78</v>
      </c>
      <c r="B791" s="1">
        <v>0</v>
      </c>
      <c r="C791" s="1">
        <v>852.78</v>
      </c>
      <c r="D791" s="1">
        <v>0</v>
      </c>
      <c r="E791" s="1">
        <v>852.78</v>
      </c>
      <c r="F791" s="1">
        <v>0</v>
      </c>
      <c r="G791" s="1">
        <v>852.78</v>
      </c>
      <c r="H791" s="1">
        <v>0</v>
      </c>
      <c r="I791" s="1">
        <v>852.78</v>
      </c>
      <c r="J791" s="1">
        <v>0</v>
      </c>
      <c r="K791" s="1">
        <v>852.78</v>
      </c>
      <c r="L791" s="1">
        <v>0</v>
      </c>
      <c r="M791" s="1">
        <v>852.78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852.78</v>
      </c>
      <c r="U791" s="1">
        <f>IF(Table14[[#This Row],[I_0]] &lt; INDEX(Table28[Filtro de ruido],1), 1, Table14[[#This Row],[I_10]] / Table14[[#This Row],[I_0]])</f>
        <v>1</v>
      </c>
      <c r="V791" s="1">
        <f>IF(Table14[[#This Row],[I_0]] &lt; INDEX(Table28[Filtro de ruido],1), 1, Table14[[#This Row],[I_20]] / Table14[[#This Row],[I_0]])</f>
        <v>1</v>
      </c>
      <c r="W791" s="1">
        <f>IF(Table14[[#This Row],[I_0]] &lt; INDEX(Table28[Filtro de ruido],1), 1, Table14[[#This Row],[I_30]] / Table14[[#This Row],[I_0]])</f>
        <v>1</v>
      </c>
      <c r="X791" s="1">
        <f>IF(Table14[[#This Row],[I_0]] &lt; INDEX(Table28[Filtro de ruido],1), 1, Table14[[#This Row],[I_40]] / Table14[[#This Row],[I_0]])</f>
        <v>1</v>
      </c>
      <c r="Y791" s="19">
        <f>IF(Table14[[#This Row],[I_0]] &lt; INDEX(Table28[Filtro de ruido],1), 1, Table14[[#This Row],[I_50]] / Table14[[#This Row],[I_0]])</f>
        <v>1</v>
      </c>
      <c r="AA791" s="1"/>
    </row>
    <row r="792" spans="1:27" x14ac:dyDescent="0.3">
      <c r="A792" s="18">
        <v>853.77</v>
      </c>
      <c r="B792" s="1">
        <v>0</v>
      </c>
      <c r="C792" s="1">
        <v>853.77</v>
      </c>
      <c r="D792" s="1">
        <v>0</v>
      </c>
      <c r="E792" s="1">
        <v>853.77</v>
      </c>
      <c r="F792" s="1">
        <v>0</v>
      </c>
      <c r="G792" s="1">
        <v>853.77</v>
      </c>
      <c r="H792" s="1">
        <v>0</v>
      </c>
      <c r="I792" s="1">
        <v>853.77</v>
      </c>
      <c r="J792" s="1">
        <v>0</v>
      </c>
      <c r="K792" s="1">
        <v>853.77</v>
      </c>
      <c r="L792" s="1">
        <v>0</v>
      </c>
      <c r="M792" s="1">
        <v>853.77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853.77</v>
      </c>
      <c r="U792" s="1">
        <f>IF(Table14[[#This Row],[I_0]] &lt; INDEX(Table28[Filtro de ruido],1), 1, Table14[[#This Row],[I_10]] / Table14[[#This Row],[I_0]])</f>
        <v>1</v>
      </c>
      <c r="V792" s="1">
        <f>IF(Table14[[#This Row],[I_0]] &lt; INDEX(Table28[Filtro de ruido],1), 1, Table14[[#This Row],[I_20]] / Table14[[#This Row],[I_0]])</f>
        <v>1</v>
      </c>
      <c r="W792" s="1">
        <f>IF(Table14[[#This Row],[I_0]] &lt; INDEX(Table28[Filtro de ruido],1), 1, Table14[[#This Row],[I_30]] / Table14[[#This Row],[I_0]])</f>
        <v>1</v>
      </c>
      <c r="X792" s="1">
        <f>IF(Table14[[#This Row],[I_0]] &lt; INDEX(Table28[Filtro de ruido],1), 1, Table14[[#This Row],[I_40]] / Table14[[#This Row],[I_0]])</f>
        <v>1</v>
      </c>
      <c r="Y792" s="19">
        <f>IF(Table14[[#This Row],[I_0]] &lt; INDEX(Table28[Filtro de ruido],1), 1, Table14[[#This Row],[I_50]] / Table14[[#This Row],[I_0]])</f>
        <v>1</v>
      </c>
      <c r="AA792" s="1"/>
    </row>
    <row r="793" spans="1:27" x14ac:dyDescent="0.3">
      <c r="A793" s="18">
        <v>854.77</v>
      </c>
      <c r="B793" s="1">
        <v>0</v>
      </c>
      <c r="C793" s="1">
        <v>854.77</v>
      </c>
      <c r="D793" s="1">
        <v>0</v>
      </c>
      <c r="E793" s="1">
        <v>854.77</v>
      </c>
      <c r="F793" s="1">
        <v>0</v>
      </c>
      <c r="G793" s="1">
        <v>854.77</v>
      </c>
      <c r="H793" s="1">
        <v>0</v>
      </c>
      <c r="I793" s="1">
        <v>854.77</v>
      </c>
      <c r="J793" s="1">
        <v>0</v>
      </c>
      <c r="K793" s="1">
        <v>854.77</v>
      </c>
      <c r="L793" s="1">
        <v>0</v>
      </c>
      <c r="M793" s="1">
        <v>854.77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854.77</v>
      </c>
      <c r="U793" s="1">
        <f>IF(Table14[[#This Row],[I_0]] &lt; INDEX(Table28[Filtro de ruido],1), 1, Table14[[#This Row],[I_10]] / Table14[[#This Row],[I_0]])</f>
        <v>1</v>
      </c>
      <c r="V793" s="1">
        <f>IF(Table14[[#This Row],[I_0]] &lt; INDEX(Table28[Filtro de ruido],1), 1, Table14[[#This Row],[I_20]] / Table14[[#This Row],[I_0]])</f>
        <v>1</v>
      </c>
      <c r="W793" s="1">
        <f>IF(Table14[[#This Row],[I_0]] &lt; INDEX(Table28[Filtro de ruido],1), 1, Table14[[#This Row],[I_30]] / Table14[[#This Row],[I_0]])</f>
        <v>1</v>
      </c>
      <c r="X793" s="1">
        <f>IF(Table14[[#This Row],[I_0]] &lt; INDEX(Table28[Filtro de ruido],1), 1, Table14[[#This Row],[I_40]] / Table14[[#This Row],[I_0]])</f>
        <v>1</v>
      </c>
      <c r="Y793" s="19">
        <f>IF(Table14[[#This Row],[I_0]] &lt; INDEX(Table28[Filtro de ruido],1), 1, Table14[[#This Row],[I_50]] / Table14[[#This Row],[I_0]])</f>
        <v>1</v>
      </c>
      <c r="AA793" s="1"/>
    </row>
    <row r="794" spans="1:27" x14ac:dyDescent="0.3">
      <c r="A794" s="18">
        <v>855.76</v>
      </c>
      <c r="B794" s="1">
        <v>0</v>
      </c>
      <c r="C794" s="1">
        <v>855.76</v>
      </c>
      <c r="D794" s="1">
        <v>0</v>
      </c>
      <c r="E794" s="1">
        <v>855.76</v>
      </c>
      <c r="F794" s="1">
        <v>0</v>
      </c>
      <c r="G794" s="1">
        <v>855.76</v>
      </c>
      <c r="H794" s="1">
        <v>0</v>
      </c>
      <c r="I794" s="1">
        <v>855.76</v>
      </c>
      <c r="J794" s="1">
        <v>0</v>
      </c>
      <c r="K794" s="1">
        <v>855.76</v>
      </c>
      <c r="L794" s="1">
        <v>0</v>
      </c>
      <c r="M794" s="1">
        <v>855.76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855.76</v>
      </c>
      <c r="U794" s="1">
        <f>IF(Table14[[#This Row],[I_0]] &lt; INDEX(Table28[Filtro de ruido],1), 1, Table14[[#This Row],[I_10]] / Table14[[#This Row],[I_0]])</f>
        <v>1</v>
      </c>
      <c r="V794" s="1">
        <f>IF(Table14[[#This Row],[I_0]] &lt; INDEX(Table28[Filtro de ruido],1), 1, Table14[[#This Row],[I_20]] / Table14[[#This Row],[I_0]])</f>
        <v>1</v>
      </c>
      <c r="W794" s="1">
        <f>IF(Table14[[#This Row],[I_0]] &lt; INDEX(Table28[Filtro de ruido],1), 1, Table14[[#This Row],[I_30]] / Table14[[#This Row],[I_0]])</f>
        <v>1</v>
      </c>
      <c r="X794" s="1">
        <f>IF(Table14[[#This Row],[I_0]] &lt; INDEX(Table28[Filtro de ruido],1), 1, Table14[[#This Row],[I_40]] / Table14[[#This Row],[I_0]])</f>
        <v>1</v>
      </c>
      <c r="Y794" s="19">
        <f>IF(Table14[[#This Row],[I_0]] &lt; INDEX(Table28[Filtro de ruido],1), 1, Table14[[#This Row],[I_50]] / Table14[[#This Row],[I_0]])</f>
        <v>1</v>
      </c>
      <c r="AA794" s="1"/>
    </row>
    <row r="795" spans="1:27" x14ac:dyDescent="0.3">
      <c r="A795" s="18">
        <v>856.75</v>
      </c>
      <c r="B795" s="1">
        <v>0</v>
      </c>
      <c r="C795" s="1">
        <v>856.75</v>
      </c>
      <c r="D795" s="1">
        <v>0</v>
      </c>
      <c r="E795" s="1">
        <v>856.75</v>
      </c>
      <c r="F795" s="1">
        <v>0</v>
      </c>
      <c r="G795" s="1">
        <v>856.75</v>
      </c>
      <c r="H795" s="1">
        <v>0</v>
      </c>
      <c r="I795" s="1">
        <v>856.75</v>
      </c>
      <c r="J795" s="1">
        <v>0</v>
      </c>
      <c r="K795" s="1">
        <v>856.75</v>
      </c>
      <c r="L795" s="1">
        <v>0</v>
      </c>
      <c r="M795" s="1">
        <v>856.75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856.75</v>
      </c>
      <c r="U795" s="1">
        <f>IF(Table14[[#This Row],[I_0]] &lt; INDEX(Table28[Filtro de ruido],1), 1, Table14[[#This Row],[I_10]] / Table14[[#This Row],[I_0]])</f>
        <v>1</v>
      </c>
      <c r="V795" s="1">
        <f>IF(Table14[[#This Row],[I_0]] &lt; INDEX(Table28[Filtro de ruido],1), 1, Table14[[#This Row],[I_20]] / Table14[[#This Row],[I_0]])</f>
        <v>1</v>
      </c>
      <c r="W795" s="1">
        <f>IF(Table14[[#This Row],[I_0]] &lt; INDEX(Table28[Filtro de ruido],1), 1, Table14[[#This Row],[I_30]] / Table14[[#This Row],[I_0]])</f>
        <v>1</v>
      </c>
      <c r="X795" s="1">
        <f>IF(Table14[[#This Row],[I_0]] &lt; INDEX(Table28[Filtro de ruido],1), 1, Table14[[#This Row],[I_40]] / Table14[[#This Row],[I_0]])</f>
        <v>1</v>
      </c>
      <c r="Y795" s="19">
        <f>IF(Table14[[#This Row],[I_0]] &lt; INDEX(Table28[Filtro de ruido],1), 1, Table14[[#This Row],[I_50]] / Table14[[#This Row],[I_0]])</f>
        <v>1</v>
      </c>
      <c r="AA795" s="1"/>
    </row>
    <row r="796" spans="1:27" x14ac:dyDescent="0.3">
      <c r="A796" s="18">
        <v>857.74</v>
      </c>
      <c r="B796" s="1">
        <v>0</v>
      </c>
      <c r="C796" s="1">
        <v>857.74</v>
      </c>
      <c r="D796" s="1">
        <v>0</v>
      </c>
      <c r="E796" s="1">
        <v>857.74</v>
      </c>
      <c r="F796" s="1">
        <v>0</v>
      </c>
      <c r="G796" s="1">
        <v>857.74</v>
      </c>
      <c r="H796" s="1">
        <v>0</v>
      </c>
      <c r="I796" s="1">
        <v>857.74</v>
      </c>
      <c r="J796" s="1">
        <v>0</v>
      </c>
      <c r="K796" s="1">
        <v>857.74</v>
      </c>
      <c r="L796" s="1">
        <v>0</v>
      </c>
      <c r="M796" s="1">
        <v>857.74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857.74</v>
      </c>
      <c r="U796" s="1">
        <f>IF(Table14[[#This Row],[I_0]] &lt; INDEX(Table28[Filtro de ruido],1), 1, Table14[[#This Row],[I_10]] / Table14[[#This Row],[I_0]])</f>
        <v>1</v>
      </c>
      <c r="V796" s="1">
        <f>IF(Table14[[#This Row],[I_0]] &lt; INDEX(Table28[Filtro de ruido],1), 1, Table14[[#This Row],[I_20]] / Table14[[#This Row],[I_0]])</f>
        <v>1</v>
      </c>
      <c r="W796" s="1">
        <f>IF(Table14[[#This Row],[I_0]] &lt; INDEX(Table28[Filtro de ruido],1), 1, Table14[[#This Row],[I_30]] / Table14[[#This Row],[I_0]])</f>
        <v>1</v>
      </c>
      <c r="X796" s="1">
        <f>IF(Table14[[#This Row],[I_0]] &lt; INDEX(Table28[Filtro de ruido],1), 1, Table14[[#This Row],[I_40]] / Table14[[#This Row],[I_0]])</f>
        <v>1</v>
      </c>
      <c r="Y796" s="19">
        <f>IF(Table14[[#This Row],[I_0]] &lt; INDEX(Table28[Filtro de ruido],1), 1, Table14[[#This Row],[I_50]] / Table14[[#This Row],[I_0]])</f>
        <v>1</v>
      </c>
      <c r="AA796" s="1"/>
    </row>
    <row r="797" spans="1:27" x14ac:dyDescent="0.3">
      <c r="A797" s="18">
        <v>858.73</v>
      </c>
      <c r="B797" s="1">
        <v>0</v>
      </c>
      <c r="C797" s="1">
        <v>858.73</v>
      </c>
      <c r="D797" s="1">
        <v>0</v>
      </c>
      <c r="E797" s="1">
        <v>858.73</v>
      </c>
      <c r="F797" s="1">
        <v>0</v>
      </c>
      <c r="G797" s="1">
        <v>858.73</v>
      </c>
      <c r="H797" s="1">
        <v>0</v>
      </c>
      <c r="I797" s="1">
        <v>858.73</v>
      </c>
      <c r="J797" s="1">
        <v>0</v>
      </c>
      <c r="K797" s="1">
        <v>858.73</v>
      </c>
      <c r="L797" s="1">
        <v>0</v>
      </c>
      <c r="M797" s="1">
        <v>858.73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858.73</v>
      </c>
      <c r="U797" s="1">
        <f>IF(Table14[[#This Row],[I_0]] &lt; INDEX(Table28[Filtro de ruido],1), 1, Table14[[#This Row],[I_10]] / Table14[[#This Row],[I_0]])</f>
        <v>1</v>
      </c>
      <c r="V797" s="1">
        <f>IF(Table14[[#This Row],[I_0]] &lt; INDEX(Table28[Filtro de ruido],1), 1, Table14[[#This Row],[I_20]] / Table14[[#This Row],[I_0]])</f>
        <v>1</v>
      </c>
      <c r="W797" s="1">
        <f>IF(Table14[[#This Row],[I_0]] &lt; INDEX(Table28[Filtro de ruido],1), 1, Table14[[#This Row],[I_30]] / Table14[[#This Row],[I_0]])</f>
        <v>1</v>
      </c>
      <c r="X797" s="1">
        <f>IF(Table14[[#This Row],[I_0]] &lt; INDEX(Table28[Filtro de ruido],1), 1, Table14[[#This Row],[I_40]] / Table14[[#This Row],[I_0]])</f>
        <v>1</v>
      </c>
      <c r="Y797" s="19">
        <f>IF(Table14[[#This Row],[I_0]] &lt; INDEX(Table28[Filtro de ruido],1), 1, Table14[[#This Row],[I_50]] / Table14[[#This Row],[I_0]])</f>
        <v>1</v>
      </c>
      <c r="AA797" s="1"/>
    </row>
    <row r="798" spans="1:27" x14ac:dyDescent="0.3">
      <c r="A798" s="18">
        <v>859.73</v>
      </c>
      <c r="B798" s="1">
        <v>0</v>
      </c>
      <c r="C798" s="1">
        <v>859.73</v>
      </c>
      <c r="D798" s="1">
        <v>0</v>
      </c>
      <c r="E798" s="1">
        <v>859.73</v>
      </c>
      <c r="F798" s="1">
        <v>0</v>
      </c>
      <c r="G798" s="1">
        <v>859.73</v>
      </c>
      <c r="H798" s="1">
        <v>0</v>
      </c>
      <c r="I798" s="1">
        <v>859.73</v>
      </c>
      <c r="J798" s="1">
        <v>0</v>
      </c>
      <c r="K798" s="1">
        <v>859.73</v>
      </c>
      <c r="L798" s="1">
        <v>0</v>
      </c>
      <c r="M798" s="1">
        <v>859.73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859.73</v>
      </c>
      <c r="U798" s="1">
        <f>IF(Table14[[#This Row],[I_0]] &lt; INDEX(Table28[Filtro de ruido],1), 1, Table14[[#This Row],[I_10]] / Table14[[#This Row],[I_0]])</f>
        <v>1</v>
      </c>
      <c r="V798" s="1">
        <f>IF(Table14[[#This Row],[I_0]] &lt; INDEX(Table28[Filtro de ruido],1), 1, Table14[[#This Row],[I_20]] / Table14[[#This Row],[I_0]])</f>
        <v>1</v>
      </c>
      <c r="W798" s="1">
        <f>IF(Table14[[#This Row],[I_0]] &lt; INDEX(Table28[Filtro de ruido],1), 1, Table14[[#This Row],[I_30]] / Table14[[#This Row],[I_0]])</f>
        <v>1</v>
      </c>
      <c r="X798" s="1">
        <f>IF(Table14[[#This Row],[I_0]] &lt; INDEX(Table28[Filtro de ruido],1), 1, Table14[[#This Row],[I_40]] / Table14[[#This Row],[I_0]])</f>
        <v>1</v>
      </c>
      <c r="Y798" s="19">
        <f>IF(Table14[[#This Row],[I_0]] &lt; INDEX(Table28[Filtro de ruido],1), 1, Table14[[#This Row],[I_50]] / Table14[[#This Row],[I_0]])</f>
        <v>1</v>
      </c>
      <c r="AA798" s="1"/>
    </row>
    <row r="799" spans="1:27" x14ac:dyDescent="0.3">
      <c r="A799" s="18">
        <v>860.72</v>
      </c>
      <c r="B799" s="1">
        <v>0</v>
      </c>
      <c r="C799" s="1">
        <v>860.72</v>
      </c>
      <c r="D799" s="1">
        <v>0</v>
      </c>
      <c r="E799" s="1">
        <v>860.72</v>
      </c>
      <c r="F799" s="1">
        <v>0</v>
      </c>
      <c r="G799" s="1">
        <v>860.72</v>
      </c>
      <c r="H799" s="1">
        <v>0</v>
      </c>
      <c r="I799" s="1">
        <v>860.72</v>
      </c>
      <c r="J799" s="1">
        <v>0</v>
      </c>
      <c r="K799" s="1">
        <v>860.72</v>
      </c>
      <c r="L799" s="1">
        <v>0</v>
      </c>
      <c r="M799" s="1">
        <v>860.72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860.72</v>
      </c>
      <c r="U799" s="1">
        <f>IF(Table14[[#This Row],[I_0]] &lt; INDEX(Table28[Filtro de ruido],1), 1, Table14[[#This Row],[I_10]] / Table14[[#This Row],[I_0]])</f>
        <v>1</v>
      </c>
      <c r="V799" s="1">
        <f>IF(Table14[[#This Row],[I_0]] &lt; INDEX(Table28[Filtro de ruido],1), 1, Table14[[#This Row],[I_20]] / Table14[[#This Row],[I_0]])</f>
        <v>1</v>
      </c>
      <c r="W799" s="1">
        <f>IF(Table14[[#This Row],[I_0]] &lt; INDEX(Table28[Filtro de ruido],1), 1, Table14[[#This Row],[I_30]] / Table14[[#This Row],[I_0]])</f>
        <v>1</v>
      </c>
      <c r="X799" s="1">
        <f>IF(Table14[[#This Row],[I_0]] &lt; INDEX(Table28[Filtro de ruido],1), 1, Table14[[#This Row],[I_40]] / Table14[[#This Row],[I_0]])</f>
        <v>1</v>
      </c>
      <c r="Y799" s="19">
        <f>IF(Table14[[#This Row],[I_0]] &lt; INDEX(Table28[Filtro de ruido],1), 1, Table14[[#This Row],[I_50]] / Table14[[#This Row],[I_0]])</f>
        <v>1</v>
      </c>
      <c r="AA799" s="1"/>
    </row>
    <row r="800" spans="1:27" x14ac:dyDescent="0.3">
      <c r="A800" s="18">
        <v>861.71</v>
      </c>
      <c r="B800" s="1">
        <v>0</v>
      </c>
      <c r="C800" s="1">
        <v>861.71</v>
      </c>
      <c r="D800" s="1">
        <v>0</v>
      </c>
      <c r="E800" s="1">
        <v>861.71</v>
      </c>
      <c r="F800" s="1">
        <v>0</v>
      </c>
      <c r="G800" s="1">
        <v>861.71</v>
      </c>
      <c r="H800" s="1">
        <v>0</v>
      </c>
      <c r="I800" s="1">
        <v>861.71</v>
      </c>
      <c r="J800" s="1">
        <v>0</v>
      </c>
      <c r="K800" s="1">
        <v>861.71</v>
      </c>
      <c r="L800" s="1">
        <v>0</v>
      </c>
      <c r="M800" s="1">
        <v>861.71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861.71</v>
      </c>
      <c r="U800" s="1">
        <f>IF(Table14[[#This Row],[I_0]] &lt; INDEX(Table28[Filtro de ruido],1), 1, Table14[[#This Row],[I_10]] / Table14[[#This Row],[I_0]])</f>
        <v>1</v>
      </c>
      <c r="V800" s="1">
        <f>IF(Table14[[#This Row],[I_0]] &lt; INDEX(Table28[Filtro de ruido],1), 1, Table14[[#This Row],[I_20]] / Table14[[#This Row],[I_0]])</f>
        <v>1</v>
      </c>
      <c r="W800" s="1">
        <f>IF(Table14[[#This Row],[I_0]] &lt; INDEX(Table28[Filtro de ruido],1), 1, Table14[[#This Row],[I_30]] / Table14[[#This Row],[I_0]])</f>
        <v>1</v>
      </c>
      <c r="X800" s="1">
        <f>IF(Table14[[#This Row],[I_0]] &lt; INDEX(Table28[Filtro de ruido],1), 1, Table14[[#This Row],[I_40]] / Table14[[#This Row],[I_0]])</f>
        <v>1</v>
      </c>
      <c r="Y800" s="19">
        <f>IF(Table14[[#This Row],[I_0]] &lt; INDEX(Table28[Filtro de ruido],1), 1, Table14[[#This Row],[I_50]] / Table14[[#This Row],[I_0]])</f>
        <v>1</v>
      </c>
      <c r="AA800" s="1"/>
    </row>
    <row r="801" spans="1:27" x14ac:dyDescent="0.3">
      <c r="A801" s="18">
        <v>862.7</v>
      </c>
      <c r="B801" s="1">
        <v>0</v>
      </c>
      <c r="C801" s="1">
        <v>862.7</v>
      </c>
      <c r="D801" s="1">
        <v>0</v>
      </c>
      <c r="E801" s="1">
        <v>862.7</v>
      </c>
      <c r="F801" s="1">
        <v>0</v>
      </c>
      <c r="G801" s="1">
        <v>862.7</v>
      </c>
      <c r="H801" s="1">
        <v>0</v>
      </c>
      <c r="I801" s="1">
        <v>862.7</v>
      </c>
      <c r="J801" s="1">
        <v>0</v>
      </c>
      <c r="K801" s="1">
        <v>862.7</v>
      </c>
      <c r="L801" s="1">
        <v>0</v>
      </c>
      <c r="M801" s="1">
        <v>862.7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862.7</v>
      </c>
      <c r="U801" s="1">
        <f>IF(Table14[[#This Row],[I_0]] &lt; INDEX(Table28[Filtro de ruido],1), 1, Table14[[#This Row],[I_10]] / Table14[[#This Row],[I_0]])</f>
        <v>1</v>
      </c>
      <c r="V801" s="1">
        <f>IF(Table14[[#This Row],[I_0]] &lt; INDEX(Table28[Filtro de ruido],1), 1, Table14[[#This Row],[I_20]] / Table14[[#This Row],[I_0]])</f>
        <v>1</v>
      </c>
      <c r="W801" s="1">
        <f>IF(Table14[[#This Row],[I_0]] &lt; INDEX(Table28[Filtro de ruido],1), 1, Table14[[#This Row],[I_30]] / Table14[[#This Row],[I_0]])</f>
        <v>1</v>
      </c>
      <c r="X801" s="1">
        <f>IF(Table14[[#This Row],[I_0]] &lt; INDEX(Table28[Filtro de ruido],1), 1, Table14[[#This Row],[I_40]] / Table14[[#This Row],[I_0]])</f>
        <v>1</v>
      </c>
      <c r="Y801" s="19">
        <f>IF(Table14[[#This Row],[I_0]] &lt; INDEX(Table28[Filtro de ruido],1), 1, Table14[[#This Row],[I_50]] / Table14[[#This Row],[I_0]])</f>
        <v>1</v>
      </c>
      <c r="AA801" s="1"/>
    </row>
    <row r="802" spans="1:27" x14ac:dyDescent="0.3">
      <c r="A802" s="18">
        <v>863.69</v>
      </c>
      <c r="B802" s="1">
        <v>0</v>
      </c>
      <c r="C802" s="1">
        <v>863.69</v>
      </c>
      <c r="D802" s="1">
        <v>0</v>
      </c>
      <c r="E802" s="1">
        <v>863.69</v>
      </c>
      <c r="F802" s="1">
        <v>0</v>
      </c>
      <c r="G802" s="1">
        <v>863.69</v>
      </c>
      <c r="H802" s="1">
        <v>0</v>
      </c>
      <c r="I802" s="1">
        <v>863.69</v>
      </c>
      <c r="J802" s="1">
        <v>0</v>
      </c>
      <c r="K802" s="1">
        <v>863.69</v>
      </c>
      <c r="L802" s="1">
        <v>0</v>
      </c>
      <c r="M802" s="1">
        <v>863.69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863.69</v>
      </c>
      <c r="U802" s="1">
        <f>IF(Table14[[#This Row],[I_0]] &lt; INDEX(Table28[Filtro de ruido],1), 1, Table14[[#This Row],[I_10]] / Table14[[#This Row],[I_0]])</f>
        <v>1</v>
      </c>
      <c r="V802" s="1">
        <f>IF(Table14[[#This Row],[I_0]] &lt; INDEX(Table28[Filtro de ruido],1), 1, Table14[[#This Row],[I_20]] / Table14[[#This Row],[I_0]])</f>
        <v>1</v>
      </c>
      <c r="W802" s="1">
        <f>IF(Table14[[#This Row],[I_0]] &lt; INDEX(Table28[Filtro de ruido],1), 1, Table14[[#This Row],[I_30]] / Table14[[#This Row],[I_0]])</f>
        <v>1</v>
      </c>
      <c r="X802" s="1">
        <f>IF(Table14[[#This Row],[I_0]] &lt; INDEX(Table28[Filtro de ruido],1), 1, Table14[[#This Row],[I_40]] / Table14[[#This Row],[I_0]])</f>
        <v>1</v>
      </c>
      <c r="Y802" s="19">
        <f>IF(Table14[[#This Row],[I_0]] &lt; INDEX(Table28[Filtro de ruido],1), 1, Table14[[#This Row],[I_50]] / Table14[[#This Row],[I_0]])</f>
        <v>1</v>
      </c>
      <c r="AA802" s="1"/>
    </row>
    <row r="803" spans="1:27" x14ac:dyDescent="0.3">
      <c r="A803" s="18">
        <v>864.68</v>
      </c>
      <c r="B803" s="1">
        <v>0</v>
      </c>
      <c r="C803" s="1">
        <v>864.68</v>
      </c>
      <c r="D803" s="1">
        <v>0</v>
      </c>
      <c r="E803" s="1">
        <v>864.68</v>
      </c>
      <c r="F803" s="1">
        <v>0</v>
      </c>
      <c r="G803" s="1">
        <v>864.68</v>
      </c>
      <c r="H803" s="1">
        <v>0</v>
      </c>
      <c r="I803" s="1">
        <v>864.68</v>
      </c>
      <c r="J803" s="1">
        <v>0</v>
      </c>
      <c r="K803" s="1">
        <v>864.68</v>
      </c>
      <c r="L803" s="1">
        <v>0</v>
      </c>
      <c r="M803" s="1">
        <v>864.68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864.68</v>
      </c>
      <c r="U803" s="1">
        <f>IF(Table14[[#This Row],[I_0]] &lt; INDEX(Table28[Filtro de ruido],1), 1, Table14[[#This Row],[I_10]] / Table14[[#This Row],[I_0]])</f>
        <v>1</v>
      </c>
      <c r="V803" s="1">
        <f>IF(Table14[[#This Row],[I_0]] &lt; INDEX(Table28[Filtro de ruido],1), 1, Table14[[#This Row],[I_20]] / Table14[[#This Row],[I_0]])</f>
        <v>1</v>
      </c>
      <c r="W803" s="1">
        <f>IF(Table14[[#This Row],[I_0]] &lt; INDEX(Table28[Filtro de ruido],1), 1, Table14[[#This Row],[I_30]] / Table14[[#This Row],[I_0]])</f>
        <v>1</v>
      </c>
      <c r="X803" s="1">
        <f>IF(Table14[[#This Row],[I_0]] &lt; INDEX(Table28[Filtro de ruido],1), 1, Table14[[#This Row],[I_40]] / Table14[[#This Row],[I_0]])</f>
        <v>1</v>
      </c>
      <c r="Y803" s="19">
        <f>IF(Table14[[#This Row],[I_0]] &lt; INDEX(Table28[Filtro de ruido],1), 1, Table14[[#This Row],[I_50]] / Table14[[#This Row],[I_0]])</f>
        <v>1</v>
      </c>
      <c r="AA803" s="1"/>
    </row>
    <row r="804" spans="1:27" x14ac:dyDescent="0.3">
      <c r="A804" s="18">
        <v>865.68</v>
      </c>
      <c r="B804" s="1">
        <v>0</v>
      </c>
      <c r="C804" s="1">
        <v>865.68</v>
      </c>
      <c r="D804" s="1">
        <v>0</v>
      </c>
      <c r="E804" s="1">
        <v>865.68</v>
      </c>
      <c r="F804" s="1">
        <v>0</v>
      </c>
      <c r="G804" s="1">
        <v>865.68</v>
      </c>
      <c r="H804" s="1">
        <v>0</v>
      </c>
      <c r="I804" s="1">
        <v>865.68</v>
      </c>
      <c r="J804" s="1">
        <v>0</v>
      </c>
      <c r="K804" s="1">
        <v>865.68</v>
      </c>
      <c r="L804" s="1">
        <v>0</v>
      </c>
      <c r="M804" s="1">
        <v>865.68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865.68</v>
      </c>
      <c r="U804" s="1">
        <f>IF(Table14[[#This Row],[I_0]] &lt; INDEX(Table28[Filtro de ruido],1), 1, Table14[[#This Row],[I_10]] / Table14[[#This Row],[I_0]])</f>
        <v>1</v>
      </c>
      <c r="V804" s="1">
        <f>IF(Table14[[#This Row],[I_0]] &lt; INDEX(Table28[Filtro de ruido],1), 1, Table14[[#This Row],[I_20]] / Table14[[#This Row],[I_0]])</f>
        <v>1</v>
      </c>
      <c r="W804" s="1">
        <f>IF(Table14[[#This Row],[I_0]] &lt; INDEX(Table28[Filtro de ruido],1), 1, Table14[[#This Row],[I_30]] / Table14[[#This Row],[I_0]])</f>
        <v>1</v>
      </c>
      <c r="X804" s="1">
        <f>IF(Table14[[#This Row],[I_0]] &lt; INDEX(Table28[Filtro de ruido],1), 1, Table14[[#This Row],[I_40]] / Table14[[#This Row],[I_0]])</f>
        <v>1</v>
      </c>
      <c r="Y804" s="19">
        <f>IF(Table14[[#This Row],[I_0]] &lt; INDEX(Table28[Filtro de ruido],1), 1, Table14[[#This Row],[I_50]] / Table14[[#This Row],[I_0]])</f>
        <v>1</v>
      </c>
      <c r="AA804" s="1"/>
    </row>
    <row r="805" spans="1:27" x14ac:dyDescent="0.3">
      <c r="A805" s="18">
        <v>866.67</v>
      </c>
      <c r="B805" s="1">
        <v>0</v>
      </c>
      <c r="C805" s="1">
        <v>866.67</v>
      </c>
      <c r="D805" s="1">
        <v>0</v>
      </c>
      <c r="E805" s="1">
        <v>866.67</v>
      </c>
      <c r="F805" s="1">
        <v>0</v>
      </c>
      <c r="G805" s="1">
        <v>866.67</v>
      </c>
      <c r="H805" s="1">
        <v>0</v>
      </c>
      <c r="I805" s="1">
        <v>866.67</v>
      </c>
      <c r="J805" s="1">
        <v>0</v>
      </c>
      <c r="K805" s="1">
        <v>866.67</v>
      </c>
      <c r="L805" s="1">
        <v>0</v>
      </c>
      <c r="M805" s="1">
        <v>866.67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866.67</v>
      </c>
      <c r="U805" s="1">
        <f>IF(Table14[[#This Row],[I_0]] &lt; INDEX(Table28[Filtro de ruido],1), 1, Table14[[#This Row],[I_10]] / Table14[[#This Row],[I_0]])</f>
        <v>1</v>
      </c>
      <c r="V805" s="1">
        <f>IF(Table14[[#This Row],[I_0]] &lt; INDEX(Table28[Filtro de ruido],1), 1, Table14[[#This Row],[I_20]] / Table14[[#This Row],[I_0]])</f>
        <v>1</v>
      </c>
      <c r="W805" s="1">
        <f>IF(Table14[[#This Row],[I_0]] &lt; INDEX(Table28[Filtro de ruido],1), 1, Table14[[#This Row],[I_30]] / Table14[[#This Row],[I_0]])</f>
        <v>1</v>
      </c>
      <c r="X805" s="1">
        <f>IF(Table14[[#This Row],[I_0]] &lt; INDEX(Table28[Filtro de ruido],1), 1, Table14[[#This Row],[I_40]] / Table14[[#This Row],[I_0]])</f>
        <v>1</v>
      </c>
      <c r="Y805" s="19">
        <f>IF(Table14[[#This Row],[I_0]] &lt; INDEX(Table28[Filtro de ruido],1), 1, Table14[[#This Row],[I_50]] / Table14[[#This Row],[I_0]])</f>
        <v>1</v>
      </c>
      <c r="AA805" s="1"/>
    </row>
    <row r="806" spans="1:27" x14ac:dyDescent="0.3">
      <c r="A806" s="18">
        <v>867.66</v>
      </c>
      <c r="B806" s="1">
        <v>0</v>
      </c>
      <c r="C806" s="1">
        <v>867.66</v>
      </c>
      <c r="D806" s="1">
        <v>0</v>
      </c>
      <c r="E806" s="1">
        <v>867.66</v>
      </c>
      <c r="F806" s="1">
        <v>0</v>
      </c>
      <c r="G806" s="1">
        <v>867.66</v>
      </c>
      <c r="H806" s="1">
        <v>0</v>
      </c>
      <c r="I806" s="1">
        <v>867.66</v>
      </c>
      <c r="J806" s="1">
        <v>0</v>
      </c>
      <c r="K806" s="1">
        <v>867.66</v>
      </c>
      <c r="L806" s="1">
        <v>0</v>
      </c>
      <c r="M806" s="1">
        <v>867.66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867.66</v>
      </c>
      <c r="U806" s="1">
        <f>IF(Table14[[#This Row],[I_0]] &lt; INDEX(Table28[Filtro de ruido],1), 1, Table14[[#This Row],[I_10]] / Table14[[#This Row],[I_0]])</f>
        <v>1</v>
      </c>
      <c r="V806" s="1">
        <f>IF(Table14[[#This Row],[I_0]] &lt; INDEX(Table28[Filtro de ruido],1), 1, Table14[[#This Row],[I_20]] / Table14[[#This Row],[I_0]])</f>
        <v>1</v>
      </c>
      <c r="W806" s="1">
        <f>IF(Table14[[#This Row],[I_0]] &lt; INDEX(Table28[Filtro de ruido],1), 1, Table14[[#This Row],[I_30]] / Table14[[#This Row],[I_0]])</f>
        <v>1</v>
      </c>
      <c r="X806" s="1">
        <f>IF(Table14[[#This Row],[I_0]] &lt; INDEX(Table28[Filtro de ruido],1), 1, Table14[[#This Row],[I_40]] / Table14[[#This Row],[I_0]])</f>
        <v>1</v>
      </c>
      <c r="Y806" s="19">
        <f>IF(Table14[[#This Row],[I_0]] &lt; INDEX(Table28[Filtro de ruido],1), 1, Table14[[#This Row],[I_50]] / Table14[[#This Row],[I_0]])</f>
        <v>1</v>
      </c>
      <c r="AA806" s="1"/>
    </row>
    <row r="807" spans="1:27" x14ac:dyDescent="0.3">
      <c r="A807" s="18">
        <v>868.65</v>
      </c>
      <c r="B807" s="1">
        <v>0</v>
      </c>
      <c r="C807" s="1">
        <v>868.65</v>
      </c>
      <c r="D807" s="1">
        <v>0</v>
      </c>
      <c r="E807" s="1">
        <v>868.65</v>
      </c>
      <c r="F807" s="1">
        <v>0</v>
      </c>
      <c r="G807" s="1">
        <v>868.65</v>
      </c>
      <c r="H807" s="1">
        <v>0</v>
      </c>
      <c r="I807" s="1">
        <v>868.65</v>
      </c>
      <c r="J807" s="1">
        <v>0</v>
      </c>
      <c r="K807" s="1">
        <v>868.65</v>
      </c>
      <c r="L807" s="1">
        <v>0</v>
      </c>
      <c r="M807" s="1">
        <v>868.65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868.65</v>
      </c>
      <c r="U807" s="1">
        <f>IF(Table14[[#This Row],[I_0]] &lt; INDEX(Table28[Filtro de ruido],1), 1, Table14[[#This Row],[I_10]] / Table14[[#This Row],[I_0]])</f>
        <v>1</v>
      </c>
      <c r="V807" s="1">
        <f>IF(Table14[[#This Row],[I_0]] &lt; INDEX(Table28[Filtro de ruido],1), 1, Table14[[#This Row],[I_20]] / Table14[[#This Row],[I_0]])</f>
        <v>1</v>
      </c>
      <c r="W807" s="1">
        <f>IF(Table14[[#This Row],[I_0]] &lt; INDEX(Table28[Filtro de ruido],1), 1, Table14[[#This Row],[I_30]] / Table14[[#This Row],[I_0]])</f>
        <v>1</v>
      </c>
      <c r="X807" s="1">
        <f>IF(Table14[[#This Row],[I_0]] &lt; INDEX(Table28[Filtro de ruido],1), 1, Table14[[#This Row],[I_40]] / Table14[[#This Row],[I_0]])</f>
        <v>1</v>
      </c>
      <c r="Y807" s="19">
        <f>IF(Table14[[#This Row],[I_0]] &lt; INDEX(Table28[Filtro de ruido],1), 1, Table14[[#This Row],[I_50]] / Table14[[#This Row],[I_0]])</f>
        <v>1</v>
      </c>
      <c r="AA807" s="1"/>
    </row>
    <row r="808" spans="1:27" x14ac:dyDescent="0.3">
      <c r="A808" s="18">
        <v>869.64</v>
      </c>
      <c r="B808" s="1">
        <v>0</v>
      </c>
      <c r="C808" s="1">
        <v>869.64</v>
      </c>
      <c r="D808" s="1">
        <v>0</v>
      </c>
      <c r="E808" s="1">
        <v>869.64</v>
      </c>
      <c r="F808" s="1">
        <v>0</v>
      </c>
      <c r="G808" s="1">
        <v>869.64</v>
      </c>
      <c r="H808" s="1">
        <v>0</v>
      </c>
      <c r="I808" s="1">
        <v>869.64</v>
      </c>
      <c r="J808" s="1">
        <v>0</v>
      </c>
      <c r="K808" s="1">
        <v>869.64</v>
      </c>
      <c r="L808" s="1">
        <v>0</v>
      </c>
      <c r="M808" s="1">
        <v>869.64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869.64</v>
      </c>
      <c r="U808" s="1">
        <f>IF(Table14[[#This Row],[I_0]] &lt; INDEX(Table28[Filtro de ruido],1), 1, Table14[[#This Row],[I_10]] / Table14[[#This Row],[I_0]])</f>
        <v>1</v>
      </c>
      <c r="V808" s="1">
        <f>IF(Table14[[#This Row],[I_0]] &lt; INDEX(Table28[Filtro de ruido],1), 1, Table14[[#This Row],[I_20]] / Table14[[#This Row],[I_0]])</f>
        <v>1</v>
      </c>
      <c r="W808" s="1">
        <f>IF(Table14[[#This Row],[I_0]] &lt; INDEX(Table28[Filtro de ruido],1), 1, Table14[[#This Row],[I_30]] / Table14[[#This Row],[I_0]])</f>
        <v>1</v>
      </c>
      <c r="X808" s="1">
        <f>IF(Table14[[#This Row],[I_0]] &lt; INDEX(Table28[Filtro de ruido],1), 1, Table14[[#This Row],[I_40]] / Table14[[#This Row],[I_0]])</f>
        <v>1</v>
      </c>
      <c r="Y808" s="19">
        <f>IF(Table14[[#This Row],[I_0]] &lt; INDEX(Table28[Filtro de ruido],1), 1, Table14[[#This Row],[I_50]] / Table14[[#This Row],[I_0]])</f>
        <v>1</v>
      </c>
      <c r="AA808" s="1"/>
    </row>
    <row r="809" spans="1:27" x14ac:dyDescent="0.3">
      <c r="A809" s="18">
        <v>870.63</v>
      </c>
      <c r="B809" s="1">
        <v>0</v>
      </c>
      <c r="C809" s="1">
        <v>870.63</v>
      </c>
      <c r="D809" s="1">
        <v>0</v>
      </c>
      <c r="E809" s="1">
        <v>870.63</v>
      </c>
      <c r="F809" s="1">
        <v>0</v>
      </c>
      <c r="G809" s="1">
        <v>870.63</v>
      </c>
      <c r="H809" s="1">
        <v>0</v>
      </c>
      <c r="I809" s="1">
        <v>870.63</v>
      </c>
      <c r="J809" s="1">
        <v>0</v>
      </c>
      <c r="K809" s="1">
        <v>870.63</v>
      </c>
      <c r="L809" s="1">
        <v>0</v>
      </c>
      <c r="M809" s="1">
        <v>870.63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870.63</v>
      </c>
      <c r="U809" s="1">
        <f>IF(Table14[[#This Row],[I_0]] &lt; INDEX(Table28[Filtro de ruido],1), 1, Table14[[#This Row],[I_10]] / Table14[[#This Row],[I_0]])</f>
        <v>1</v>
      </c>
      <c r="V809" s="1">
        <f>IF(Table14[[#This Row],[I_0]] &lt; INDEX(Table28[Filtro de ruido],1), 1, Table14[[#This Row],[I_20]] / Table14[[#This Row],[I_0]])</f>
        <v>1</v>
      </c>
      <c r="W809" s="1">
        <f>IF(Table14[[#This Row],[I_0]] &lt; INDEX(Table28[Filtro de ruido],1), 1, Table14[[#This Row],[I_30]] / Table14[[#This Row],[I_0]])</f>
        <v>1</v>
      </c>
      <c r="X809" s="1">
        <f>IF(Table14[[#This Row],[I_0]] &lt; INDEX(Table28[Filtro de ruido],1), 1, Table14[[#This Row],[I_40]] / Table14[[#This Row],[I_0]])</f>
        <v>1</v>
      </c>
      <c r="Y809" s="19">
        <f>IF(Table14[[#This Row],[I_0]] &lt; INDEX(Table28[Filtro de ruido],1), 1, Table14[[#This Row],[I_50]] / Table14[[#This Row],[I_0]])</f>
        <v>1</v>
      </c>
      <c r="AA809" s="1"/>
    </row>
    <row r="810" spans="1:27" x14ac:dyDescent="0.3">
      <c r="A810" s="18">
        <v>871.63</v>
      </c>
      <c r="B810" s="1">
        <v>0</v>
      </c>
      <c r="C810" s="1">
        <v>871.63</v>
      </c>
      <c r="D810" s="1">
        <v>0</v>
      </c>
      <c r="E810" s="1">
        <v>871.63</v>
      </c>
      <c r="F810" s="1">
        <v>0</v>
      </c>
      <c r="G810" s="1">
        <v>871.63</v>
      </c>
      <c r="H810" s="1">
        <v>0</v>
      </c>
      <c r="I810" s="1">
        <v>871.63</v>
      </c>
      <c r="J810" s="1">
        <v>0</v>
      </c>
      <c r="K810" s="1">
        <v>871.63</v>
      </c>
      <c r="L810" s="1">
        <v>0</v>
      </c>
      <c r="M810" s="1">
        <v>871.63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871.63</v>
      </c>
      <c r="U810" s="1">
        <f>IF(Table14[[#This Row],[I_0]] &lt; INDEX(Table28[Filtro de ruido],1), 1, Table14[[#This Row],[I_10]] / Table14[[#This Row],[I_0]])</f>
        <v>1</v>
      </c>
      <c r="V810" s="1">
        <f>IF(Table14[[#This Row],[I_0]] &lt; INDEX(Table28[Filtro de ruido],1), 1, Table14[[#This Row],[I_20]] / Table14[[#This Row],[I_0]])</f>
        <v>1</v>
      </c>
      <c r="W810" s="1">
        <f>IF(Table14[[#This Row],[I_0]] &lt; INDEX(Table28[Filtro de ruido],1), 1, Table14[[#This Row],[I_30]] / Table14[[#This Row],[I_0]])</f>
        <v>1</v>
      </c>
      <c r="X810" s="1">
        <f>IF(Table14[[#This Row],[I_0]] &lt; INDEX(Table28[Filtro de ruido],1), 1, Table14[[#This Row],[I_40]] / Table14[[#This Row],[I_0]])</f>
        <v>1</v>
      </c>
      <c r="Y810" s="19">
        <f>IF(Table14[[#This Row],[I_0]] &lt; INDEX(Table28[Filtro de ruido],1), 1, Table14[[#This Row],[I_50]] / Table14[[#This Row],[I_0]])</f>
        <v>1</v>
      </c>
      <c r="AA810" s="1"/>
    </row>
    <row r="811" spans="1:27" x14ac:dyDescent="0.3">
      <c r="A811" s="18">
        <v>872.62</v>
      </c>
      <c r="B811" s="1">
        <v>0</v>
      </c>
      <c r="C811" s="1">
        <v>872.62</v>
      </c>
      <c r="D811" s="1">
        <v>0</v>
      </c>
      <c r="E811" s="1">
        <v>872.62</v>
      </c>
      <c r="F811" s="1">
        <v>0</v>
      </c>
      <c r="G811" s="1">
        <v>872.62</v>
      </c>
      <c r="H811" s="1">
        <v>0</v>
      </c>
      <c r="I811" s="1">
        <v>872.62</v>
      </c>
      <c r="J811" s="1">
        <v>0</v>
      </c>
      <c r="K811" s="1">
        <v>872.62</v>
      </c>
      <c r="L811" s="1">
        <v>0</v>
      </c>
      <c r="M811" s="1">
        <v>872.62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872.62</v>
      </c>
      <c r="U811" s="1">
        <f>IF(Table14[[#This Row],[I_0]] &lt; INDEX(Table28[Filtro de ruido],1), 1, Table14[[#This Row],[I_10]] / Table14[[#This Row],[I_0]])</f>
        <v>1</v>
      </c>
      <c r="V811" s="1">
        <f>IF(Table14[[#This Row],[I_0]] &lt; INDEX(Table28[Filtro de ruido],1), 1, Table14[[#This Row],[I_20]] / Table14[[#This Row],[I_0]])</f>
        <v>1</v>
      </c>
      <c r="W811" s="1">
        <f>IF(Table14[[#This Row],[I_0]] &lt; INDEX(Table28[Filtro de ruido],1), 1, Table14[[#This Row],[I_30]] / Table14[[#This Row],[I_0]])</f>
        <v>1</v>
      </c>
      <c r="X811" s="1">
        <f>IF(Table14[[#This Row],[I_0]] &lt; INDEX(Table28[Filtro de ruido],1), 1, Table14[[#This Row],[I_40]] / Table14[[#This Row],[I_0]])</f>
        <v>1</v>
      </c>
      <c r="Y811" s="19">
        <f>IF(Table14[[#This Row],[I_0]] &lt; INDEX(Table28[Filtro de ruido],1), 1, Table14[[#This Row],[I_50]] / Table14[[#This Row],[I_0]])</f>
        <v>1</v>
      </c>
      <c r="AA811" s="1"/>
    </row>
    <row r="812" spans="1:27" x14ac:dyDescent="0.3">
      <c r="A812" s="18">
        <v>873.61</v>
      </c>
      <c r="B812" s="1">
        <v>0</v>
      </c>
      <c r="C812" s="1">
        <v>873.61</v>
      </c>
      <c r="D812" s="1">
        <v>0</v>
      </c>
      <c r="E812" s="1">
        <v>873.61</v>
      </c>
      <c r="F812" s="1">
        <v>0</v>
      </c>
      <c r="G812" s="1">
        <v>873.61</v>
      </c>
      <c r="H812" s="1">
        <v>0</v>
      </c>
      <c r="I812" s="1">
        <v>873.61</v>
      </c>
      <c r="J812" s="1">
        <v>0</v>
      </c>
      <c r="K812" s="1">
        <v>873.61</v>
      </c>
      <c r="L812" s="1">
        <v>0</v>
      </c>
      <c r="M812" s="1">
        <v>873.61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873.61</v>
      </c>
      <c r="U812" s="1">
        <f>IF(Table14[[#This Row],[I_0]] &lt; INDEX(Table28[Filtro de ruido],1), 1, Table14[[#This Row],[I_10]] / Table14[[#This Row],[I_0]])</f>
        <v>1</v>
      </c>
      <c r="V812" s="1">
        <f>IF(Table14[[#This Row],[I_0]] &lt; INDEX(Table28[Filtro de ruido],1), 1, Table14[[#This Row],[I_20]] / Table14[[#This Row],[I_0]])</f>
        <v>1</v>
      </c>
      <c r="W812" s="1">
        <f>IF(Table14[[#This Row],[I_0]] &lt; INDEX(Table28[Filtro de ruido],1), 1, Table14[[#This Row],[I_30]] / Table14[[#This Row],[I_0]])</f>
        <v>1</v>
      </c>
      <c r="X812" s="1">
        <f>IF(Table14[[#This Row],[I_0]] &lt; INDEX(Table28[Filtro de ruido],1), 1, Table14[[#This Row],[I_40]] / Table14[[#This Row],[I_0]])</f>
        <v>1</v>
      </c>
      <c r="Y812" s="19">
        <f>IF(Table14[[#This Row],[I_0]] &lt; INDEX(Table28[Filtro de ruido],1), 1, Table14[[#This Row],[I_50]] / Table14[[#This Row],[I_0]])</f>
        <v>1</v>
      </c>
      <c r="AA812" s="1"/>
    </row>
    <row r="813" spans="1:27" x14ac:dyDescent="0.3">
      <c r="A813" s="18">
        <v>874.6</v>
      </c>
      <c r="B813" s="1">
        <v>0</v>
      </c>
      <c r="C813" s="1">
        <v>874.6</v>
      </c>
      <c r="D813" s="1">
        <v>0</v>
      </c>
      <c r="E813" s="1">
        <v>874.6</v>
      </c>
      <c r="F813" s="1">
        <v>0</v>
      </c>
      <c r="G813" s="1">
        <v>874.6</v>
      </c>
      <c r="H813" s="1">
        <v>0</v>
      </c>
      <c r="I813" s="1">
        <v>874.6</v>
      </c>
      <c r="J813" s="1">
        <v>0</v>
      </c>
      <c r="K813" s="1">
        <v>874.6</v>
      </c>
      <c r="L813" s="1">
        <v>0</v>
      </c>
      <c r="M813" s="1">
        <v>874.6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874.6</v>
      </c>
      <c r="U813" s="1">
        <f>IF(Table14[[#This Row],[I_0]] &lt; INDEX(Table28[Filtro de ruido],1), 1, Table14[[#This Row],[I_10]] / Table14[[#This Row],[I_0]])</f>
        <v>1</v>
      </c>
      <c r="V813" s="1">
        <f>IF(Table14[[#This Row],[I_0]] &lt; INDEX(Table28[Filtro de ruido],1), 1, Table14[[#This Row],[I_20]] / Table14[[#This Row],[I_0]])</f>
        <v>1</v>
      </c>
      <c r="W813" s="1">
        <f>IF(Table14[[#This Row],[I_0]] &lt; INDEX(Table28[Filtro de ruido],1), 1, Table14[[#This Row],[I_30]] / Table14[[#This Row],[I_0]])</f>
        <v>1</v>
      </c>
      <c r="X813" s="1">
        <f>IF(Table14[[#This Row],[I_0]] &lt; INDEX(Table28[Filtro de ruido],1), 1, Table14[[#This Row],[I_40]] / Table14[[#This Row],[I_0]])</f>
        <v>1</v>
      </c>
      <c r="Y813" s="19">
        <f>IF(Table14[[#This Row],[I_0]] &lt; INDEX(Table28[Filtro de ruido],1), 1, Table14[[#This Row],[I_50]] / Table14[[#This Row],[I_0]])</f>
        <v>1</v>
      </c>
      <c r="AA813" s="1"/>
    </row>
    <row r="814" spans="1:27" x14ac:dyDescent="0.3">
      <c r="A814" s="18">
        <v>875.59</v>
      </c>
      <c r="B814" s="1">
        <v>0</v>
      </c>
      <c r="C814" s="1">
        <v>875.59</v>
      </c>
      <c r="D814" s="1">
        <v>0</v>
      </c>
      <c r="E814" s="1">
        <v>875.59</v>
      </c>
      <c r="F814" s="1">
        <v>0</v>
      </c>
      <c r="G814" s="1">
        <v>875.59</v>
      </c>
      <c r="H814" s="1">
        <v>0</v>
      </c>
      <c r="I814" s="1">
        <v>875.59</v>
      </c>
      <c r="J814" s="1">
        <v>0</v>
      </c>
      <c r="K814" s="1">
        <v>875.59</v>
      </c>
      <c r="L814" s="1">
        <v>0</v>
      </c>
      <c r="M814" s="1">
        <v>875.59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875.59</v>
      </c>
      <c r="U814" s="1">
        <f>IF(Table14[[#This Row],[I_0]] &lt; INDEX(Table28[Filtro de ruido],1), 1, Table14[[#This Row],[I_10]] / Table14[[#This Row],[I_0]])</f>
        <v>1</v>
      </c>
      <c r="V814" s="1">
        <f>IF(Table14[[#This Row],[I_0]] &lt; INDEX(Table28[Filtro de ruido],1), 1, Table14[[#This Row],[I_20]] / Table14[[#This Row],[I_0]])</f>
        <v>1</v>
      </c>
      <c r="W814" s="1">
        <f>IF(Table14[[#This Row],[I_0]] &lt; INDEX(Table28[Filtro de ruido],1), 1, Table14[[#This Row],[I_30]] / Table14[[#This Row],[I_0]])</f>
        <v>1</v>
      </c>
      <c r="X814" s="1">
        <f>IF(Table14[[#This Row],[I_0]] &lt; INDEX(Table28[Filtro de ruido],1), 1, Table14[[#This Row],[I_40]] / Table14[[#This Row],[I_0]])</f>
        <v>1</v>
      </c>
      <c r="Y814" s="19">
        <f>IF(Table14[[#This Row],[I_0]] &lt; INDEX(Table28[Filtro de ruido],1), 1, Table14[[#This Row],[I_50]] / Table14[[#This Row],[I_0]])</f>
        <v>1</v>
      </c>
      <c r="AA814" s="1"/>
    </row>
    <row r="815" spans="1:27" x14ac:dyDescent="0.3">
      <c r="A815" s="18">
        <v>876.59</v>
      </c>
      <c r="B815" s="1">
        <v>0</v>
      </c>
      <c r="C815" s="1">
        <v>876.59</v>
      </c>
      <c r="D815" s="1">
        <v>0</v>
      </c>
      <c r="E815" s="1">
        <v>876.59</v>
      </c>
      <c r="F815" s="1">
        <v>0</v>
      </c>
      <c r="G815" s="1">
        <v>876.59</v>
      </c>
      <c r="H815" s="1">
        <v>0</v>
      </c>
      <c r="I815" s="1">
        <v>876.59</v>
      </c>
      <c r="J815" s="1">
        <v>0</v>
      </c>
      <c r="K815" s="1">
        <v>876.59</v>
      </c>
      <c r="L815" s="1">
        <v>0</v>
      </c>
      <c r="M815" s="1">
        <v>876.59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876.59</v>
      </c>
      <c r="U815" s="1">
        <f>IF(Table14[[#This Row],[I_0]] &lt; INDEX(Table28[Filtro de ruido],1), 1, Table14[[#This Row],[I_10]] / Table14[[#This Row],[I_0]])</f>
        <v>1</v>
      </c>
      <c r="V815" s="1">
        <f>IF(Table14[[#This Row],[I_0]] &lt; INDEX(Table28[Filtro de ruido],1), 1, Table14[[#This Row],[I_20]] / Table14[[#This Row],[I_0]])</f>
        <v>1</v>
      </c>
      <c r="W815" s="1">
        <f>IF(Table14[[#This Row],[I_0]] &lt; INDEX(Table28[Filtro de ruido],1), 1, Table14[[#This Row],[I_30]] / Table14[[#This Row],[I_0]])</f>
        <v>1</v>
      </c>
      <c r="X815" s="1">
        <f>IF(Table14[[#This Row],[I_0]] &lt; INDEX(Table28[Filtro de ruido],1), 1, Table14[[#This Row],[I_40]] / Table14[[#This Row],[I_0]])</f>
        <v>1</v>
      </c>
      <c r="Y815" s="19">
        <f>IF(Table14[[#This Row],[I_0]] &lt; INDEX(Table28[Filtro de ruido],1), 1, Table14[[#This Row],[I_50]] / Table14[[#This Row],[I_0]])</f>
        <v>1</v>
      </c>
      <c r="AA815" s="1"/>
    </row>
    <row r="816" spans="1:27" x14ac:dyDescent="0.3">
      <c r="A816" s="18">
        <v>877.58</v>
      </c>
      <c r="B816" s="1">
        <v>0</v>
      </c>
      <c r="C816" s="1">
        <v>877.58</v>
      </c>
      <c r="D816" s="1">
        <v>0</v>
      </c>
      <c r="E816" s="1">
        <v>877.58</v>
      </c>
      <c r="F816" s="1">
        <v>0</v>
      </c>
      <c r="G816" s="1">
        <v>877.58</v>
      </c>
      <c r="H816" s="1">
        <v>0</v>
      </c>
      <c r="I816" s="1">
        <v>877.58</v>
      </c>
      <c r="J816" s="1">
        <v>0</v>
      </c>
      <c r="K816" s="1">
        <v>877.58</v>
      </c>
      <c r="L816" s="1">
        <v>0</v>
      </c>
      <c r="M816" s="1">
        <v>877.58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877.58</v>
      </c>
      <c r="U816" s="1">
        <f>IF(Table14[[#This Row],[I_0]] &lt; INDEX(Table28[Filtro de ruido],1), 1, Table14[[#This Row],[I_10]] / Table14[[#This Row],[I_0]])</f>
        <v>1</v>
      </c>
      <c r="V816" s="1">
        <f>IF(Table14[[#This Row],[I_0]] &lt; INDEX(Table28[Filtro de ruido],1), 1, Table14[[#This Row],[I_20]] / Table14[[#This Row],[I_0]])</f>
        <v>1</v>
      </c>
      <c r="W816" s="1">
        <f>IF(Table14[[#This Row],[I_0]] &lt; INDEX(Table28[Filtro de ruido],1), 1, Table14[[#This Row],[I_30]] / Table14[[#This Row],[I_0]])</f>
        <v>1</v>
      </c>
      <c r="X816" s="1">
        <f>IF(Table14[[#This Row],[I_0]] &lt; INDEX(Table28[Filtro de ruido],1), 1, Table14[[#This Row],[I_40]] / Table14[[#This Row],[I_0]])</f>
        <v>1</v>
      </c>
      <c r="Y816" s="19">
        <f>IF(Table14[[#This Row],[I_0]] &lt; INDEX(Table28[Filtro de ruido],1), 1, Table14[[#This Row],[I_50]] / Table14[[#This Row],[I_0]])</f>
        <v>1</v>
      </c>
      <c r="AA816" s="1"/>
    </row>
    <row r="817" spans="1:27" x14ac:dyDescent="0.3">
      <c r="A817" s="18">
        <v>878.57</v>
      </c>
      <c r="B817" s="1">
        <v>0</v>
      </c>
      <c r="C817" s="1">
        <v>878.57</v>
      </c>
      <c r="D817" s="1">
        <v>0</v>
      </c>
      <c r="E817" s="1">
        <v>878.57</v>
      </c>
      <c r="F817" s="1">
        <v>0</v>
      </c>
      <c r="G817" s="1">
        <v>878.57</v>
      </c>
      <c r="H817" s="1">
        <v>0</v>
      </c>
      <c r="I817" s="1">
        <v>878.57</v>
      </c>
      <c r="J817" s="1">
        <v>0</v>
      </c>
      <c r="K817" s="1">
        <v>878.57</v>
      </c>
      <c r="L817" s="1">
        <v>0</v>
      </c>
      <c r="M817" s="1">
        <v>878.57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878.57</v>
      </c>
      <c r="U817" s="1">
        <f>IF(Table14[[#This Row],[I_0]] &lt; INDEX(Table28[Filtro de ruido],1), 1, Table14[[#This Row],[I_10]] / Table14[[#This Row],[I_0]])</f>
        <v>1</v>
      </c>
      <c r="V817" s="1">
        <f>IF(Table14[[#This Row],[I_0]] &lt; INDEX(Table28[Filtro de ruido],1), 1, Table14[[#This Row],[I_20]] / Table14[[#This Row],[I_0]])</f>
        <v>1</v>
      </c>
      <c r="W817" s="1">
        <f>IF(Table14[[#This Row],[I_0]] &lt; INDEX(Table28[Filtro de ruido],1), 1, Table14[[#This Row],[I_30]] / Table14[[#This Row],[I_0]])</f>
        <v>1</v>
      </c>
      <c r="X817" s="1">
        <f>IF(Table14[[#This Row],[I_0]] &lt; INDEX(Table28[Filtro de ruido],1), 1, Table14[[#This Row],[I_40]] / Table14[[#This Row],[I_0]])</f>
        <v>1</v>
      </c>
      <c r="Y817" s="19">
        <f>IF(Table14[[#This Row],[I_0]] &lt; INDEX(Table28[Filtro de ruido],1), 1, Table14[[#This Row],[I_50]] / Table14[[#This Row],[I_0]])</f>
        <v>1</v>
      </c>
      <c r="AA817" s="1"/>
    </row>
    <row r="818" spans="1:27" x14ac:dyDescent="0.3">
      <c r="A818" s="18">
        <v>879.56</v>
      </c>
      <c r="B818" s="1">
        <v>0</v>
      </c>
      <c r="C818" s="1">
        <v>879.56</v>
      </c>
      <c r="D818" s="1">
        <v>0</v>
      </c>
      <c r="E818" s="1">
        <v>879.56</v>
      </c>
      <c r="F818" s="1">
        <v>0</v>
      </c>
      <c r="G818" s="1">
        <v>879.56</v>
      </c>
      <c r="H818" s="1">
        <v>0</v>
      </c>
      <c r="I818" s="1">
        <v>879.56</v>
      </c>
      <c r="J818" s="1">
        <v>0</v>
      </c>
      <c r="K818" s="1">
        <v>879.56</v>
      </c>
      <c r="L818" s="1">
        <v>0</v>
      </c>
      <c r="M818" s="1">
        <v>879.56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879.56</v>
      </c>
      <c r="U818" s="1">
        <f>IF(Table14[[#This Row],[I_0]] &lt; INDEX(Table28[Filtro de ruido],1), 1, Table14[[#This Row],[I_10]] / Table14[[#This Row],[I_0]])</f>
        <v>1</v>
      </c>
      <c r="V818" s="1">
        <f>IF(Table14[[#This Row],[I_0]] &lt; INDEX(Table28[Filtro de ruido],1), 1, Table14[[#This Row],[I_20]] / Table14[[#This Row],[I_0]])</f>
        <v>1</v>
      </c>
      <c r="W818" s="1">
        <f>IF(Table14[[#This Row],[I_0]] &lt; INDEX(Table28[Filtro de ruido],1), 1, Table14[[#This Row],[I_30]] / Table14[[#This Row],[I_0]])</f>
        <v>1</v>
      </c>
      <c r="X818" s="1">
        <f>IF(Table14[[#This Row],[I_0]] &lt; INDEX(Table28[Filtro de ruido],1), 1, Table14[[#This Row],[I_40]] / Table14[[#This Row],[I_0]])</f>
        <v>1</v>
      </c>
      <c r="Y818" s="19">
        <f>IF(Table14[[#This Row],[I_0]] &lt; INDEX(Table28[Filtro de ruido],1), 1, Table14[[#This Row],[I_50]] / Table14[[#This Row],[I_0]])</f>
        <v>1</v>
      </c>
      <c r="AA818" s="1"/>
    </row>
    <row r="819" spans="1:27" x14ac:dyDescent="0.3">
      <c r="A819" s="18">
        <v>880.55</v>
      </c>
      <c r="B819" s="1">
        <v>0</v>
      </c>
      <c r="C819" s="1">
        <v>880.55</v>
      </c>
      <c r="D819" s="1">
        <v>0</v>
      </c>
      <c r="E819" s="1">
        <v>880.55</v>
      </c>
      <c r="F819" s="1">
        <v>0</v>
      </c>
      <c r="G819" s="1">
        <v>880.55</v>
      </c>
      <c r="H819" s="1">
        <v>0</v>
      </c>
      <c r="I819" s="1">
        <v>880.55</v>
      </c>
      <c r="J819" s="1">
        <v>0</v>
      </c>
      <c r="K819" s="1">
        <v>880.55</v>
      </c>
      <c r="L819" s="1">
        <v>0</v>
      </c>
      <c r="M819" s="1">
        <v>880.55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880.55</v>
      </c>
      <c r="U819" s="1">
        <f>IF(Table14[[#This Row],[I_0]] &lt; INDEX(Table28[Filtro de ruido],1), 1, Table14[[#This Row],[I_10]] / Table14[[#This Row],[I_0]])</f>
        <v>1</v>
      </c>
      <c r="V819" s="1">
        <f>IF(Table14[[#This Row],[I_0]] &lt; INDEX(Table28[Filtro de ruido],1), 1, Table14[[#This Row],[I_20]] / Table14[[#This Row],[I_0]])</f>
        <v>1</v>
      </c>
      <c r="W819" s="1">
        <f>IF(Table14[[#This Row],[I_0]] &lt; INDEX(Table28[Filtro de ruido],1), 1, Table14[[#This Row],[I_30]] / Table14[[#This Row],[I_0]])</f>
        <v>1</v>
      </c>
      <c r="X819" s="1">
        <f>IF(Table14[[#This Row],[I_0]] &lt; INDEX(Table28[Filtro de ruido],1), 1, Table14[[#This Row],[I_40]] / Table14[[#This Row],[I_0]])</f>
        <v>1</v>
      </c>
      <c r="Y819" s="19">
        <f>IF(Table14[[#This Row],[I_0]] &lt; INDEX(Table28[Filtro de ruido],1), 1, Table14[[#This Row],[I_50]] / Table14[[#This Row],[I_0]])</f>
        <v>1</v>
      </c>
      <c r="AA819" s="1"/>
    </row>
    <row r="820" spans="1:27" x14ac:dyDescent="0.3">
      <c r="A820" s="18">
        <v>881.54</v>
      </c>
      <c r="B820" s="1">
        <v>0</v>
      </c>
      <c r="C820" s="1">
        <v>881.54</v>
      </c>
      <c r="D820" s="1">
        <v>0</v>
      </c>
      <c r="E820" s="1">
        <v>881.54</v>
      </c>
      <c r="F820" s="1">
        <v>0</v>
      </c>
      <c r="G820" s="1">
        <v>881.54</v>
      </c>
      <c r="H820" s="1">
        <v>0</v>
      </c>
      <c r="I820" s="1">
        <v>881.54</v>
      </c>
      <c r="J820" s="1">
        <v>0</v>
      </c>
      <c r="K820" s="1">
        <v>881.54</v>
      </c>
      <c r="L820" s="1">
        <v>0</v>
      </c>
      <c r="M820" s="1">
        <v>881.54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881.54</v>
      </c>
      <c r="U820" s="1">
        <f>IF(Table14[[#This Row],[I_0]] &lt; INDEX(Table28[Filtro de ruido],1), 1, Table14[[#This Row],[I_10]] / Table14[[#This Row],[I_0]])</f>
        <v>1</v>
      </c>
      <c r="V820" s="1">
        <f>IF(Table14[[#This Row],[I_0]] &lt; INDEX(Table28[Filtro de ruido],1), 1, Table14[[#This Row],[I_20]] / Table14[[#This Row],[I_0]])</f>
        <v>1</v>
      </c>
      <c r="W820" s="1">
        <f>IF(Table14[[#This Row],[I_0]] &lt; INDEX(Table28[Filtro de ruido],1), 1, Table14[[#This Row],[I_30]] / Table14[[#This Row],[I_0]])</f>
        <v>1</v>
      </c>
      <c r="X820" s="1">
        <f>IF(Table14[[#This Row],[I_0]] &lt; INDEX(Table28[Filtro de ruido],1), 1, Table14[[#This Row],[I_40]] / Table14[[#This Row],[I_0]])</f>
        <v>1</v>
      </c>
      <c r="Y820" s="19">
        <f>IF(Table14[[#This Row],[I_0]] &lt; INDEX(Table28[Filtro de ruido],1), 1, Table14[[#This Row],[I_50]] / Table14[[#This Row],[I_0]])</f>
        <v>1</v>
      </c>
      <c r="AA820" s="1"/>
    </row>
    <row r="821" spans="1:27" x14ac:dyDescent="0.3">
      <c r="A821" s="18">
        <v>882.54</v>
      </c>
      <c r="B821" s="1">
        <v>0</v>
      </c>
      <c r="C821" s="1">
        <v>882.54</v>
      </c>
      <c r="D821" s="1">
        <v>0</v>
      </c>
      <c r="E821" s="1">
        <v>882.54</v>
      </c>
      <c r="F821" s="1">
        <v>0</v>
      </c>
      <c r="G821" s="1">
        <v>882.54</v>
      </c>
      <c r="H821" s="1">
        <v>0</v>
      </c>
      <c r="I821" s="1">
        <v>882.54</v>
      </c>
      <c r="J821" s="1">
        <v>0</v>
      </c>
      <c r="K821" s="1">
        <v>882.54</v>
      </c>
      <c r="L821" s="1">
        <v>0</v>
      </c>
      <c r="M821" s="1">
        <v>882.54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882.54</v>
      </c>
      <c r="U821" s="1">
        <f>IF(Table14[[#This Row],[I_0]] &lt; INDEX(Table28[Filtro de ruido],1), 1, Table14[[#This Row],[I_10]] / Table14[[#This Row],[I_0]])</f>
        <v>1</v>
      </c>
      <c r="V821" s="1">
        <f>IF(Table14[[#This Row],[I_0]] &lt; INDEX(Table28[Filtro de ruido],1), 1, Table14[[#This Row],[I_20]] / Table14[[#This Row],[I_0]])</f>
        <v>1</v>
      </c>
      <c r="W821" s="1">
        <f>IF(Table14[[#This Row],[I_0]] &lt; INDEX(Table28[Filtro de ruido],1), 1, Table14[[#This Row],[I_30]] / Table14[[#This Row],[I_0]])</f>
        <v>1</v>
      </c>
      <c r="X821" s="1">
        <f>IF(Table14[[#This Row],[I_0]] &lt; INDEX(Table28[Filtro de ruido],1), 1, Table14[[#This Row],[I_40]] / Table14[[#This Row],[I_0]])</f>
        <v>1</v>
      </c>
      <c r="Y821" s="19">
        <f>IF(Table14[[#This Row],[I_0]] &lt; INDEX(Table28[Filtro de ruido],1), 1, Table14[[#This Row],[I_50]] / Table14[[#This Row],[I_0]])</f>
        <v>1</v>
      </c>
      <c r="AA821" s="1"/>
    </row>
    <row r="822" spans="1:27" x14ac:dyDescent="0.3">
      <c r="A822" s="18">
        <v>883.53</v>
      </c>
      <c r="B822" s="1">
        <v>0</v>
      </c>
      <c r="C822" s="1">
        <v>883.53</v>
      </c>
      <c r="D822" s="1">
        <v>0</v>
      </c>
      <c r="E822" s="1">
        <v>883.53</v>
      </c>
      <c r="F822" s="1">
        <v>0</v>
      </c>
      <c r="G822" s="1">
        <v>883.53</v>
      </c>
      <c r="H822" s="1">
        <v>0</v>
      </c>
      <c r="I822" s="1">
        <v>883.53</v>
      </c>
      <c r="J822" s="1">
        <v>0</v>
      </c>
      <c r="K822" s="1">
        <v>883.53</v>
      </c>
      <c r="L822" s="1">
        <v>0</v>
      </c>
      <c r="M822" s="1">
        <v>883.53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883.53</v>
      </c>
      <c r="U822" s="1">
        <f>IF(Table14[[#This Row],[I_0]] &lt; INDEX(Table28[Filtro de ruido],1), 1, Table14[[#This Row],[I_10]] / Table14[[#This Row],[I_0]])</f>
        <v>1</v>
      </c>
      <c r="V822" s="1">
        <f>IF(Table14[[#This Row],[I_0]] &lt; INDEX(Table28[Filtro de ruido],1), 1, Table14[[#This Row],[I_20]] / Table14[[#This Row],[I_0]])</f>
        <v>1</v>
      </c>
      <c r="W822" s="1">
        <f>IF(Table14[[#This Row],[I_0]] &lt; INDEX(Table28[Filtro de ruido],1), 1, Table14[[#This Row],[I_30]] / Table14[[#This Row],[I_0]])</f>
        <v>1</v>
      </c>
      <c r="X822" s="1">
        <f>IF(Table14[[#This Row],[I_0]] &lt; INDEX(Table28[Filtro de ruido],1), 1, Table14[[#This Row],[I_40]] / Table14[[#This Row],[I_0]])</f>
        <v>1</v>
      </c>
      <c r="Y822" s="19">
        <f>IF(Table14[[#This Row],[I_0]] &lt; INDEX(Table28[Filtro de ruido],1), 1, Table14[[#This Row],[I_50]] / Table14[[#This Row],[I_0]])</f>
        <v>1</v>
      </c>
      <c r="AA822" s="1"/>
    </row>
    <row r="823" spans="1:27" x14ac:dyDescent="0.3">
      <c r="A823" s="18">
        <v>884.52</v>
      </c>
      <c r="B823" s="1">
        <v>0</v>
      </c>
      <c r="C823" s="1">
        <v>884.52</v>
      </c>
      <c r="D823" s="1">
        <v>0</v>
      </c>
      <c r="E823" s="1">
        <v>884.52</v>
      </c>
      <c r="F823" s="1">
        <v>0</v>
      </c>
      <c r="G823" s="1">
        <v>884.52</v>
      </c>
      <c r="H823" s="1">
        <v>0</v>
      </c>
      <c r="I823" s="1">
        <v>884.52</v>
      </c>
      <c r="J823" s="1">
        <v>0</v>
      </c>
      <c r="K823" s="1">
        <v>884.52</v>
      </c>
      <c r="L823" s="1">
        <v>0</v>
      </c>
      <c r="M823" s="1">
        <v>884.52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884.52</v>
      </c>
      <c r="U823" s="1">
        <f>IF(Table14[[#This Row],[I_0]] &lt; INDEX(Table28[Filtro de ruido],1), 1, Table14[[#This Row],[I_10]] / Table14[[#This Row],[I_0]])</f>
        <v>1</v>
      </c>
      <c r="V823" s="1">
        <f>IF(Table14[[#This Row],[I_0]] &lt; INDEX(Table28[Filtro de ruido],1), 1, Table14[[#This Row],[I_20]] / Table14[[#This Row],[I_0]])</f>
        <v>1</v>
      </c>
      <c r="W823" s="1">
        <f>IF(Table14[[#This Row],[I_0]] &lt; INDEX(Table28[Filtro de ruido],1), 1, Table14[[#This Row],[I_30]] / Table14[[#This Row],[I_0]])</f>
        <v>1</v>
      </c>
      <c r="X823" s="1">
        <f>IF(Table14[[#This Row],[I_0]] &lt; INDEX(Table28[Filtro de ruido],1), 1, Table14[[#This Row],[I_40]] / Table14[[#This Row],[I_0]])</f>
        <v>1</v>
      </c>
      <c r="Y823" s="19">
        <f>IF(Table14[[#This Row],[I_0]] &lt; INDEX(Table28[Filtro de ruido],1), 1, Table14[[#This Row],[I_50]] / Table14[[#This Row],[I_0]])</f>
        <v>1</v>
      </c>
      <c r="AA823" s="1"/>
    </row>
    <row r="824" spans="1:27" x14ac:dyDescent="0.3">
      <c r="A824" s="18">
        <v>885.51</v>
      </c>
      <c r="B824" s="1">
        <v>0</v>
      </c>
      <c r="C824" s="1">
        <v>885.51</v>
      </c>
      <c r="D824" s="1">
        <v>0</v>
      </c>
      <c r="E824" s="1">
        <v>885.51</v>
      </c>
      <c r="F824" s="1">
        <v>0</v>
      </c>
      <c r="G824" s="1">
        <v>885.51</v>
      </c>
      <c r="H824" s="1">
        <v>0</v>
      </c>
      <c r="I824" s="1">
        <v>885.51</v>
      </c>
      <c r="J824" s="1">
        <v>0</v>
      </c>
      <c r="K824" s="1">
        <v>885.51</v>
      </c>
      <c r="L824" s="1">
        <v>0</v>
      </c>
      <c r="M824" s="1">
        <v>885.51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885.51</v>
      </c>
      <c r="U824" s="1">
        <f>IF(Table14[[#This Row],[I_0]] &lt; INDEX(Table28[Filtro de ruido],1), 1, Table14[[#This Row],[I_10]] / Table14[[#This Row],[I_0]])</f>
        <v>1</v>
      </c>
      <c r="V824" s="1">
        <f>IF(Table14[[#This Row],[I_0]] &lt; INDEX(Table28[Filtro de ruido],1), 1, Table14[[#This Row],[I_20]] / Table14[[#This Row],[I_0]])</f>
        <v>1</v>
      </c>
      <c r="W824" s="1">
        <f>IF(Table14[[#This Row],[I_0]] &lt; INDEX(Table28[Filtro de ruido],1), 1, Table14[[#This Row],[I_30]] / Table14[[#This Row],[I_0]])</f>
        <v>1</v>
      </c>
      <c r="X824" s="1">
        <f>IF(Table14[[#This Row],[I_0]] &lt; INDEX(Table28[Filtro de ruido],1), 1, Table14[[#This Row],[I_40]] / Table14[[#This Row],[I_0]])</f>
        <v>1</v>
      </c>
      <c r="Y824" s="19">
        <f>IF(Table14[[#This Row],[I_0]] &lt; INDEX(Table28[Filtro de ruido],1), 1, Table14[[#This Row],[I_50]] / Table14[[#This Row],[I_0]])</f>
        <v>1</v>
      </c>
      <c r="AA824" s="1"/>
    </row>
    <row r="825" spans="1:27" x14ac:dyDescent="0.3">
      <c r="A825" s="18">
        <v>886.5</v>
      </c>
      <c r="B825" s="1">
        <v>0</v>
      </c>
      <c r="C825" s="1">
        <v>886.5</v>
      </c>
      <c r="D825" s="1">
        <v>0</v>
      </c>
      <c r="E825" s="1">
        <v>886.5</v>
      </c>
      <c r="F825" s="1">
        <v>0</v>
      </c>
      <c r="G825" s="1">
        <v>886.5</v>
      </c>
      <c r="H825" s="1">
        <v>0</v>
      </c>
      <c r="I825" s="1">
        <v>886.5</v>
      </c>
      <c r="J825" s="1">
        <v>0</v>
      </c>
      <c r="K825" s="1">
        <v>886.5</v>
      </c>
      <c r="L825" s="1">
        <v>0</v>
      </c>
      <c r="M825" s="1">
        <v>886.5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886.5</v>
      </c>
      <c r="U825" s="1">
        <f>IF(Table14[[#This Row],[I_0]] &lt; INDEX(Table28[Filtro de ruido],1), 1, Table14[[#This Row],[I_10]] / Table14[[#This Row],[I_0]])</f>
        <v>1</v>
      </c>
      <c r="V825" s="1">
        <f>IF(Table14[[#This Row],[I_0]] &lt; INDEX(Table28[Filtro de ruido],1), 1, Table14[[#This Row],[I_20]] / Table14[[#This Row],[I_0]])</f>
        <v>1</v>
      </c>
      <c r="W825" s="1">
        <f>IF(Table14[[#This Row],[I_0]] &lt; INDEX(Table28[Filtro de ruido],1), 1, Table14[[#This Row],[I_30]] / Table14[[#This Row],[I_0]])</f>
        <v>1</v>
      </c>
      <c r="X825" s="1">
        <f>IF(Table14[[#This Row],[I_0]] &lt; INDEX(Table28[Filtro de ruido],1), 1, Table14[[#This Row],[I_40]] / Table14[[#This Row],[I_0]])</f>
        <v>1</v>
      </c>
      <c r="Y825" s="19">
        <f>IF(Table14[[#This Row],[I_0]] &lt; INDEX(Table28[Filtro de ruido],1), 1, Table14[[#This Row],[I_50]] / Table14[[#This Row],[I_0]])</f>
        <v>1</v>
      </c>
      <c r="AA825" s="1"/>
    </row>
    <row r="826" spans="1:27" x14ac:dyDescent="0.3">
      <c r="A826" s="18">
        <v>887.49</v>
      </c>
      <c r="B826" s="1">
        <v>0</v>
      </c>
      <c r="C826" s="1">
        <v>887.49</v>
      </c>
      <c r="D826" s="1">
        <v>0</v>
      </c>
      <c r="E826" s="1">
        <v>887.49</v>
      </c>
      <c r="F826" s="1">
        <v>0</v>
      </c>
      <c r="G826" s="1">
        <v>887.49</v>
      </c>
      <c r="H826" s="1">
        <v>0</v>
      </c>
      <c r="I826" s="1">
        <v>887.49</v>
      </c>
      <c r="J826" s="1">
        <v>0</v>
      </c>
      <c r="K826" s="1">
        <v>887.49</v>
      </c>
      <c r="L826" s="1">
        <v>0</v>
      </c>
      <c r="M826" s="1">
        <v>887.49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887.49</v>
      </c>
      <c r="U826" s="1">
        <f>IF(Table14[[#This Row],[I_0]] &lt; INDEX(Table28[Filtro de ruido],1), 1, Table14[[#This Row],[I_10]] / Table14[[#This Row],[I_0]])</f>
        <v>1</v>
      </c>
      <c r="V826" s="1">
        <f>IF(Table14[[#This Row],[I_0]] &lt; INDEX(Table28[Filtro de ruido],1), 1, Table14[[#This Row],[I_20]] / Table14[[#This Row],[I_0]])</f>
        <v>1</v>
      </c>
      <c r="W826" s="1">
        <f>IF(Table14[[#This Row],[I_0]] &lt; INDEX(Table28[Filtro de ruido],1), 1, Table14[[#This Row],[I_30]] / Table14[[#This Row],[I_0]])</f>
        <v>1</v>
      </c>
      <c r="X826" s="1">
        <f>IF(Table14[[#This Row],[I_0]] &lt; INDEX(Table28[Filtro de ruido],1), 1, Table14[[#This Row],[I_40]] / Table14[[#This Row],[I_0]])</f>
        <v>1</v>
      </c>
      <c r="Y826" s="19">
        <f>IF(Table14[[#This Row],[I_0]] &lt; INDEX(Table28[Filtro de ruido],1), 1, Table14[[#This Row],[I_50]] / Table14[[#This Row],[I_0]])</f>
        <v>1</v>
      </c>
      <c r="AA826" s="1"/>
    </row>
    <row r="827" spans="1:27" x14ac:dyDescent="0.3">
      <c r="A827" s="18">
        <v>888.49</v>
      </c>
      <c r="B827" s="1">
        <v>0</v>
      </c>
      <c r="C827" s="1">
        <v>888.49</v>
      </c>
      <c r="D827" s="1">
        <v>0</v>
      </c>
      <c r="E827" s="1">
        <v>888.49</v>
      </c>
      <c r="F827" s="1">
        <v>0</v>
      </c>
      <c r="G827" s="1">
        <v>888.49</v>
      </c>
      <c r="H827" s="1">
        <v>0</v>
      </c>
      <c r="I827" s="1">
        <v>888.49</v>
      </c>
      <c r="J827" s="1">
        <v>0</v>
      </c>
      <c r="K827" s="1">
        <v>888.49</v>
      </c>
      <c r="L827" s="1">
        <v>0</v>
      </c>
      <c r="M827" s="1">
        <v>888.49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888.49</v>
      </c>
      <c r="U827" s="1">
        <f>IF(Table14[[#This Row],[I_0]] &lt; INDEX(Table28[Filtro de ruido],1), 1, Table14[[#This Row],[I_10]] / Table14[[#This Row],[I_0]])</f>
        <v>1</v>
      </c>
      <c r="V827" s="1">
        <f>IF(Table14[[#This Row],[I_0]] &lt; INDEX(Table28[Filtro de ruido],1), 1, Table14[[#This Row],[I_20]] / Table14[[#This Row],[I_0]])</f>
        <v>1</v>
      </c>
      <c r="W827" s="1">
        <f>IF(Table14[[#This Row],[I_0]] &lt; INDEX(Table28[Filtro de ruido],1), 1, Table14[[#This Row],[I_30]] / Table14[[#This Row],[I_0]])</f>
        <v>1</v>
      </c>
      <c r="X827" s="1">
        <f>IF(Table14[[#This Row],[I_0]] &lt; INDEX(Table28[Filtro de ruido],1), 1, Table14[[#This Row],[I_40]] / Table14[[#This Row],[I_0]])</f>
        <v>1</v>
      </c>
      <c r="Y827" s="19">
        <f>IF(Table14[[#This Row],[I_0]] &lt; INDEX(Table28[Filtro de ruido],1), 1, Table14[[#This Row],[I_50]] / Table14[[#This Row],[I_0]])</f>
        <v>1</v>
      </c>
      <c r="AA827" s="1"/>
    </row>
    <row r="828" spans="1:27" x14ac:dyDescent="0.3">
      <c r="A828" s="18">
        <v>889.48</v>
      </c>
      <c r="B828" s="1">
        <v>0</v>
      </c>
      <c r="C828" s="1">
        <v>889.48</v>
      </c>
      <c r="D828" s="1">
        <v>0</v>
      </c>
      <c r="E828" s="1">
        <v>889.48</v>
      </c>
      <c r="F828" s="1">
        <v>0</v>
      </c>
      <c r="G828" s="1">
        <v>889.48</v>
      </c>
      <c r="H828" s="1">
        <v>0</v>
      </c>
      <c r="I828" s="1">
        <v>889.48</v>
      </c>
      <c r="J828" s="1">
        <v>0</v>
      </c>
      <c r="K828" s="1">
        <v>889.48</v>
      </c>
      <c r="L828" s="1">
        <v>0</v>
      </c>
      <c r="M828" s="1">
        <v>889.48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889.48</v>
      </c>
      <c r="U828" s="1">
        <f>IF(Table14[[#This Row],[I_0]] &lt; INDEX(Table28[Filtro de ruido],1), 1, Table14[[#This Row],[I_10]] / Table14[[#This Row],[I_0]])</f>
        <v>1</v>
      </c>
      <c r="V828" s="1">
        <f>IF(Table14[[#This Row],[I_0]] &lt; INDEX(Table28[Filtro de ruido],1), 1, Table14[[#This Row],[I_20]] / Table14[[#This Row],[I_0]])</f>
        <v>1</v>
      </c>
      <c r="W828" s="1">
        <f>IF(Table14[[#This Row],[I_0]] &lt; INDEX(Table28[Filtro de ruido],1), 1, Table14[[#This Row],[I_30]] / Table14[[#This Row],[I_0]])</f>
        <v>1</v>
      </c>
      <c r="X828" s="1">
        <f>IF(Table14[[#This Row],[I_0]] &lt; INDEX(Table28[Filtro de ruido],1), 1, Table14[[#This Row],[I_40]] / Table14[[#This Row],[I_0]])</f>
        <v>1</v>
      </c>
      <c r="Y828" s="19">
        <f>IF(Table14[[#This Row],[I_0]] &lt; INDEX(Table28[Filtro de ruido],1), 1, Table14[[#This Row],[I_50]] / Table14[[#This Row],[I_0]])</f>
        <v>1</v>
      </c>
      <c r="AA828" s="1"/>
    </row>
    <row r="829" spans="1:27" x14ac:dyDescent="0.3">
      <c r="A829" s="18">
        <v>890.47</v>
      </c>
      <c r="B829" s="1">
        <v>0</v>
      </c>
      <c r="C829" s="1">
        <v>890.47</v>
      </c>
      <c r="D829" s="1">
        <v>0</v>
      </c>
      <c r="E829" s="1">
        <v>890.47</v>
      </c>
      <c r="F829" s="1">
        <v>0</v>
      </c>
      <c r="G829" s="1">
        <v>890.47</v>
      </c>
      <c r="H829" s="1">
        <v>0</v>
      </c>
      <c r="I829" s="1">
        <v>890.47</v>
      </c>
      <c r="J829" s="1">
        <v>0</v>
      </c>
      <c r="K829" s="1">
        <v>890.47</v>
      </c>
      <c r="L829" s="1">
        <v>0</v>
      </c>
      <c r="M829" s="1">
        <v>890.47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890.47</v>
      </c>
      <c r="U829" s="1">
        <f>IF(Table14[[#This Row],[I_0]] &lt; INDEX(Table28[Filtro de ruido],1), 1, Table14[[#This Row],[I_10]] / Table14[[#This Row],[I_0]])</f>
        <v>1</v>
      </c>
      <c r="V829" s="1">
        <f>IF(Table14[[#This Row],[I_0]] &lt; INDEX(Table28[Filtro de ruido],1), 1, Table14[[#This Row],[I_20]] / Table14[[#This Row],[I_0]])</f>
        <v>1</v>
      </c>
      <c r="W829" s="1">
        <f>IF(Table14[[#This Row],[I_0]] &lt; INDEX(Table28[Filtro de ruido],1), 1, Table14[[#This Row],[I_30]] / Table14[[#This Row],[I_0]])</f>
        <v>1</v>
      </c>
      <c r="X829" s="1">
        <f>IF(Table14[[#This Row],[I_0]] &lt; INDEX(Table28[Filtro de ruido],1), 1, Table14[[#This Row],[I_40]] / Table14[[#This Row],[I_0]])</f>
        <v>1</v>
      </c>
      <c r="Y829" s="19">
        <f>IF(Table14[[#This Row],[I_0]] &lt; INDEX(Table28[Filtro de ruido],1), 1, Table14[[#This Row],[I_50]] / Table14[[#This Row],[I_0]])</f>
        <v>1</v>
      </c>
      <c r="AA829" s="1"/>
    </row>
    <row r="830" spans="1:27" x14ac:dyDescent="0.3">
      <c r="A830" s="18">
        <v>891.46</v>
      </c>
      <c r="B830" s="1">
        <v>0</v>
      </c>
      <c r="C830" s="1">
        <v>891.46</v>
      </c>
      <c r="D830" s="1">
        <v>0</v>
      </c>
      <c r="E830" s="1">
        <v>891.46</v>
      </c>
      <c r="F830" s="1">
        <v>0</v>
      </c>
      <c r="G830" s="1">
        <v>891.46</v>
      </c>
      <c r="H830" s="1">
        <v>0</v>
      </c>
      <c r="I830" s="1">
        <v>891.46</v>
      </c>
      <c r="J830" s="1">
        <v>0</v>
      </c>
      <c r="K830" s="1">
        <v>891.46</v>
      </c>
      <c r="L830" s="1">
        <v>0</v>
      </c>
      <c r="M830" s="1">
        <v>891.46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891.46</v>
      </c>
      <c r="U830" s="1">
        <f>IF(Table14[[#This Row],[I_0]] &lt; INDEX(Table28[Filtro de ruido],1), 1, Table14[[#This Row],[I_10]] / Table14[[#This Row],[I_0]])</f>
        <v>1</v>
      </c>
      <c r="V830" s="1">
        <f>IF(Table14[[#This Row],[I_0]] &lt; INDEX(Table28[Filtro de ruido],1), 1, Table14[[#This Row],[I_20]] / Table14[[#This Row],[I_0]])</f>
        <v>1</v>
      </c>
      <c r="W830" s="1">
        <f>IF(Table14[[#This Row],[I_0]] &lt; INDEX(Table28[Filtro de ruido],1), 1, Table14[[#This Row],[I_30]] / Table14[[#This Row],[I_0]])</f>
        <v>1</v>
      </c>
      <c r="X830" s="1">
        <f>IF(Table14[[#This Row],[I_0]] &lt; INDEX(Table28[Filtro de ruido],1), 1, Table14[[#This Row],[I_40]] / Table14[[#This Row],[I_0]])</f>
        <v>1</v>
      </c>
      <c r="Y830" s="19">
        <f>IF(Table14[[#This Row],[I_0]] &lt; INDEX(Table28[Filtro de ruido],1), 1, Table14[[#This Row],[I_50]] / Table14[[#This Row],[I_0]])</f>
        <v>1</v>
      </c>
      <c r="AA830" s="1"/>
    </row>
    <row r="831" spans="1:27" x14ac:dyDescent="0.3">
      <c r="A831" s="18">
        <v>892.45</v>
      </c>
      <c r="B831" s="1">
        <v>0</v>
      </c>
      <c r="C831" s="1">
        <v>892.45</v>
      </c>
      <c r="D831" s="1">
        <v>0</v>
      </c>
      <c r="E831" s="1">
        <v>892.45</v>
      </c>
      <c r="F831" s="1">
        <v>0</v>
      </c>
      <c r="G831" s="1">
        <v>892.45</v>
      </c>
      <c r="H831" s="1">
        <v>0</v>
      </c>
      <c r="I831" s="1">
        <v>892.45</v>
      </c>
      <c r="J831" s="1">
        <v>0</v>
      </c>
      <c r="K831" s="1">
        <v>892.45</v>
      </c>
      <c r="L831" s="1">
        <v>0</v>
      </c>
      <c r="M831" s="1">
        <v>892.45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892.45</v>
      </c>
      <c r="U831" s="1">
        <f>IF(Table14[[#This Row],[I_0]] &lt; INDEX(Table28[Filtro de ruido],1), 1, Table14[[#This Row],[I_10]] / Table14[[#This Row],[I_0]])</f>
        <v>1</v>
      </c>
      <c r="V831" s="1">
        <f>IF(Table14[[#This Row],[I_0]] &lt; INDEX(Table28[Filtro de ruido],1), 1, Table14[[#This Row],[I_20]] / Table14[[#This Row],[I_0]])</f>
        <v>1</v>
      </c>
      <c r="W831" s="1">
        <f>IF(Table14[[#This Row],[I_0]] &lt; INDEX(Table28[Filtro de ruido],1), 1, Table14[[#This Row],[I_30]] / Table14[[#This Row],[I_0]])</f>
        <v>1</v>
      </c>
      <c r="X831" s="1">
        <f>IF(Table14[[#This Row],[I_0]] &lt; INDEX(Table28[Filtro de ruido],1), 1, Table14[[#This Row],[I_40]] / Table14[[#This Row],[I_0]])</f>
        <v>1</v>
      </c>
      <c r="Y831" s="19">
        <f>IF(Table14[[#This Row],[I_0]] &lt; INDEX(Table28[Filtro de ruido],1), 1, Table14[[#This Row],[I_50]] / Table14[[#This Row],[I_0]])</f>
        <v>1</v>
      </c>
      <c r="AA831" s="1"/>
    </row>
    <row r="832" spans="1:27" x14ac:dyDescent="0.3">
      <c r="A832" s="18">
        <v>893.45</v>
      </c>
      <c r="B832" s="1">
        <v>0</v>
      </c>
      <c r="C832" s="1">
        <v>893.45</v>
      </c>
      <c r="D832" s="1">
        <v>0</v>
      </c>
      <c r="E832" s="1">
        <v>893.45</v>
      </c>
      <c r="F832" s="1">
        <v>0</v>
      </c>
      <c r="G832" s="1">
        <v>893.45</v>
      </c>
      <c r="H832" s="1">
        <v>0</v>
      </c>
      <c r="I832" s="1">
        <v>893.45</v>
      </c>
      <c r="J832" s="1">
        <v>0</v>
      </c>
      <c r="K832" s="1">
        <v>893.45</v>
      </c>
      <c r="L832" s="1">
        <v>0</v>
      </c>
      <c r="M832" s="1">
        <v>893.45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893.45</v>
      </c>
      <c r="U832" s="1">
        <f>IF(Table14[[#This Row],[I_0]] &lt; INDEX(Table28[Filtro de ruido],1), 1, Table14[[#This Row],[I_10]] / Table14[[#This Row],[I_0]])</f>
        <v>1</v>
      </c>
      <c r="V832" s="1">
        <f>IF(Table14[[#This Row],[I_0]] &lt; INDEX(Table28[Filtro de ruido],1), 1, Table14[[#This Row],[I_20]] / Table14[[#This Row],[I_0]])</f>
        <v>1</v>
      </c>
      <c r="W832" s="1">
        <f>IF(Table14[[#This Row],[I_0]] &lt; INDEX(Table28[Filtro de ruido],1), 1, Table14[[#This Row],[I_30]] / Table14[[#This Row],[I_0]])</f>
        <v>1</v>
      </c>
      <c r="X832" s="1">
        <f>IF(Table14[[#This Row],[I_0]] &lt; INDEX(Table28[Filtro de ruido],1), 1, Table14[[#This Row],[I_40]] / Table14[[#This Row],[I_0]])</f>
        <v>1</v>
      </c>
      <c r="Y832" s="19">
        <f>IF(Table14[[#This Row],[I_0]] &lt; INDEX(Table28[Filtro de ruido],1), 1, Table14[[#This Row],[I_50]] / Table14[[#This Row],[I_0]])</f>
        <v>1</v>
      </c>
      <c r="AA832" s="1"/>
    </row>
    <row r="833" spans="1:27" x14ac:dyDescent="0.3">
      <c r="A833" s="18">
        <v>894.44</v>
      </c>
      <c r="B833" s="1">
        <v>0</v>
      </c>
      <c r="C833" s="1">
        <v>894.44</v>
      </c>
      <c r="D833" s="1">
        <v>0</v>
      </c>
      <c r="E833" s="1">
        <v>894.44</v>
      </c>
      <c r="F833" s="1">
        <v>0</v>
      </c>
      <c r="G833" s="1">
        <v>894.44</v>
      </c>
      <c r="H833" s="1">
        <v>0</v>
      </c>
      <c r="I833" s="1">
        <v>894.44</v>
      </c>
      <c r="J833" s="1">
        <v>0</v>
      </c>
      <c r="K833" s="1">
        <v>894.44</v>
      </c>
      <c r="L833" s="1">
        <v>0</v>
      </c>
      <c r="M833" s="1">
        <v>894.44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894.44</v>
      </c>
      <c r="U833" s="1">
        <f>IF(Table14[[#This Row],[I_0]] &lt; INDEX(Table28[Filtro de ruido],1), 1, Table14[[#This Row],[I_10]] / Table14[[#This Row],[I_0]])</f>
        <v>1</v>
      </c>
      <c r="V833" s="1">
        <f>IF(Table14[[#This Row],[I_0]] &lt; INDEX(Table28[Filtro de ruido],1), 1, Table14[[#This Row],[I_20]] / Table14[[#This Row],[I_0]])</f>
        <v>1</v>
      </c>
      <c r="W833" s="1">
        <f>IF(Table14[[#This Row],[I_0]] &lt; INDEX(Table28[Filtro de ruido],1), 1, Table14[[#This Row],[I_30]] / Table14[[#This Row],[I_0]])</f>
        <v>1</v>
      </c>
      <c r="X833" s="1">
        <f>IF(Table14[[#This Row],[I_0]] &lt; INDEX(Table28[Filtro de ruido],1), 1, Table14[[#This Row],[I_40]] / Table14[[#This Row],[I_0]])</f>
        <v>1</v>
      </c>
      <c r="Y833" s="19">
        <f>IF(Table14[[#This Row],[I_0]] &lt; INDEX(Table28[Filtro de ruido],1), 1, Table14[[#This Row],[I_50]] / Table14[[#This Row],[I_0]])</f>
        <v>1</v>
      </c>
      <c r="AA833" s="1"/>
    </row>
    <row r="834" spans="1:27" x14ac:dyDescent="0.3">
      <c r="A834" s="18">
        <v>895.43</v>
      </c>
      <c r="B834" s="1">
        <v>0</v>
      </c>
      <c r="C834" s="1">
        <v>895.43</v>
      </c>
      <c r="D834" s="1">
        <v>0</v>
      </c>
      <c r="E834" s="1">
        <v>895.43</v>
      </c>
      <c r="F834" s="1">
        <v>0</v>
      </c>
      <c r="G834" s="1">
        <v>895.43</v>
      </c>
      <c r="H834" s="1">
        <v>0</v>
      </c>
      <c r="I834" s="1">
        <v>895.43</v>
      </c>
      <c r="J834" s="1">
        <v>0</v>
      </c>
      <c r="K834" s="1">
        <v>895.43</v>
      </c>
      <c r="L834" s="1">
        <v>0</v>
      </c>
      <c r="M834" s="1">
        <v>895.43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895.43</v>
      </c>
      <c r="U834" s="1">
        <f>IF(Table14[[#This Row],[I_0]] &lt; INDEX(Table28[Filtro de ruido],1), 1, Table14[[#This Row],[I_10]] / Table14[[#This Row],[I_0]])</f>
        <v>1</v>
      </c>
      <c r="V834" s="1">
        <f>IF(Table14[[#This Row],[I_0]] &lt; INDEX(Table28[Filtro de ruido],1), 1, Table14[[#This Row],[I_20]] / Table14[[#This Row],[I_0]])</f>
        <v>1</v>
      </c>
      <c r="W834" s="1">
        <f>IF(Table14[[#This Row],[I_0]] &lt; INDEX(Table28[Filtro de ruido],1), 1, Table14[[#This Row],[I_30]] / Table14[[#This Row],[I_0]])</f>
        <v>1</v>
      </c>
      <c r="X834" s="1">
        <f>IF(Table14[[#This Row],[I_0]] &lt; INDEX(Table28[Filtro de ruido],1), 1, Table14[[#This Row],[I_40]] / Table14[[#This Row],[I_0]])</f>
        <v>1</v>
      </c>
      <c r="Y834" s="19">
        <f>IF(Table14[[#This Row],[I_0]] &lt; INDEX(Table28[Filtro de ruido],1), 1, Table14[[#This Row],[I_50]] / Table14[[#This Row],[I_0]])</f>
        <v>1</v>
      </c>
      <c r="AA834" s="1"/>
    </row>
    <row r="835" spans="1:27" x14ac:dyDescent="0.3">
      <c r="A835" s="18">
        <v>896.42</v>
      </c>
      <c r="B835" s="1">
        <v>0</v>
      </c>
      <c r="C835" s="1">
        <v>896.42</v>
      </c>
      <c r="D835" s="1">
        <v>0</v>
      </c>
      <c r="E835" s="1">
        <v>896.42</v>
      </c>
      <c r="F835" s="1">
        <v>0</v>
      </c>
      <c r="G835" s="1">
        <v>896.42</v>
      </c>
      <c r="H835" s="1">
        <v>0</v>
      </c>
      <c r="I835" s="1">
        <v>896.42</v>
      </c>
      <c r="J835" s="1">
        <v>0</v>
      </c>
      <c r="K835" s="1">
        <v>896.42</v>
      </c>
      <c r="L835" s="1">
        <v>0</v>
      </c>
      <c r="M835" s="1">
        <v>896.42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896.42</v>
      </c>
      <c r="U835" s="1">
        <f>IF(Table14[[#This Row],[I_0]] &lt; INDEX(Table28[Filtro de ruido],1), 1, Table14[[#This Row],[I_10]] / Table14[[#This Row],[I_0]])</f>
        <v>1</v>
      </c>
      <c r="V835" s="1">
        <f>IF(Table14[[#This Row],[I_0]] &lt; INDEX(Table28[Filtro de ruido],1), 1, Table14[[#This Row],[I_20]] / Table14[[#This Row],[I_0]])</f>
        <v>1</v>
      </c>
      <c r="W835" s="1">
        <f>IF(Table14[[#This Row],[I_0]] &lt; INDEX(Table28[Filtro de ruido],1), 1, Table14[[#This Row],[I_30]] / Table14[[#This Row],[I_0]])</f>
        <v>1</v>
      </c>
      <c r="X835" s="1">
        <f>IF(Table14[[#This Row],[I_0]] &lt; INDEX(Table28[Filtro de ruido],1), 1, Table14[[#This Row],[I_40]] / Table14[[#This Row],[I_0]])</f>
        <v>1</v>
      </c>
      <c r="Y835" s="19">
        <f>IF(Table14[[#This Row],[I_0]] &lt; INDEX(Table28[Filtro de ruido],1), 1, Table14[[#This Row],[I_50]] / Table14[[#This Row],[I_0]])</f>
        <v>1</v>
      </c>
      <c r="AA835" s="1"/>
    </row>
    <row r="836" spans="1:27" x14ac:dyDescent="0.3">
      <c r="A836" s="18">
        <v>897.41</v>
      </c>
      <c r="B836" s="1">
        <v>0</v>
      </c>
      <c r="C836" s="1">
        <v>897.41</v>
      </c>
      <c r="D836" s="1">
        <v>0</v>
      </c>
      <c r="E836" s="1">
        <v>897.41</v>
      </c>
      <c r="F836" s="1">
        <v>0</v>
      </c>
      <c r="G836" s="1">
        <v>897.41</v>
      </c>
      <c r="H836" s="1">
        <v>0</v>
      </c>
      <c r="I836" s="1">
        <v>897.41</v>
      </c>
      <c r="J836" s="1">
        <v>0</v>
      </c>
      <c r="K836" s="1">
        <v>897.41</v>
      </c>
      <c r="L836" s="1">
        <v>0</v>
      </c>
      <c r="M836" s="1">
        <v>897.41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897.41</v>
      </c>
      <c r="U836" s="1">
        <f>IF(Table14[[#This Row],[I_0]] &lt; INDEX(Table28[Filtro de ruido],1), 1, Table14[[#This Row],[I_10]] / Table14[[#This Row],[I_0]])</f>
        <v>1</v>
      </c>
      <c r="V836" s="1">
        <f>IF(Table14[[#This Row],[I_0]] &lt; INDEX(Table28[Filtro de ruido],1), 1, Table14[[#This Row],[I_20]] / Table14[[#This Row],[I_0]])</f>
        <v>1</v>
      </c>
      <c r="W836" s="1">
        <f>IF(Table14[[#This Row],[I_0]] &lt; INDEX(Table28[Filtro de ruido],1), 1, Table14[[#This Row],[I_30]] / Table14[[#This Row],[I_0]])</f>
        <v>1</v>
      </c>
      <c r="X836" s="1">
        <f>IF(Table14[[#This Row],[I_0]] &lt; INDEX(Table28[Filtro de ruido],1), 1, Table14[[#This Row],[I_40]] / Table14[[#This Row],[I_0]])</f>
        <v>1</v>
      </c>
      <c r="Y836" s="19">
        <f>IF(Table14[[#This Row],[I_0]] &lt; INDEX(Table28[Filtro de ruido],1), 1, Table14[[#This Row],[I_50]] / Table14[[#This Row],[I_0]])</f>
        <v>1</v>
      </c>
      <c r="AA836" s="1"/>
    </row>
    <row r="837" spans="1:27" x14ac:dyDescent="0.3">
      <c r="A837" s="18">
        <v>898.4</v>
      </c>
      <c r="B837" s="1">
        <v>0</v>
      </c>
      <c r="C837" s="1">
        <v>898.4</v>
      </c>
      <c r="D837" s="1">
        <v>0</v>
      </c>
      <c r="E837" s="1">
        <v>898.4</v>
      </c>
      <c r="F837" s="1">
        <v>0</v>
      </c>
      <c r="G837" s="1">
        <v>898.4</v>
      </c>
      <c r="H837" s="1">
        <v>0</v>
      </c>
      <c r="I837" s="1">
        <v>898.4</v>
      </c>
      <c r="J837" s="1">
        <v>0</v>
      </c>
      <c r="K837" s="1">
        <v>898.4</v>
      </c>
      <c r="L837" s="1">
        <v>0</v>
      </c>
      <c r="M837" s="1">
        <v>898.4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898.4</v>
      </c>
      <c r="U837" s="1">
        <f>IF(Table14[[#This Row],[I_0]] &lt; INDEX(Table28[Filtro de ruido],1), 1, Table14[[#This Row],[I_10]] / Table14[[#This Row],[I_0]])</f>
        <v>1</v>
      </c>
      <c r="V837" s="1">
        <f>IF(Table14[[#This Row],[I_0]] &lt; INDEX(Table28[Filtro de ruido],1), 1, Table14[[#This Row],[I_20]] / Table14[[#This Row],[I_0]])</f>
        <v>1</v>
      </c>
      <c r="W837" s="1">
        <f>IF(Table14[[#This Row],[I_0]] &lt; INDEX(Table28[Filtro de ruido],1), 1, Table14[[#This Row],[I_30]] / Table14[[#This Row],[I_0]])</f>
        <v>1</v>
      </c>
      <c r="X837" s="1">
        <f>IF(Table14[[#This Row],[I_0]] &lt; INDEX(Table28[Filtro de ruido],1), 1, Table14[[#This Row],[I_40]] / Table14[[#This Row],[I_0]])</f>
        <v>1</v>
      </c>
      <c r="Y837" s="19">
        <f>IF(Table14[[#This Row],[I_0]] &lt; INDEX(Table28[Filtro de ruido],1), 1, Table14[[#This Row],[I_50]] / Table14[[#This Row],[I_0]])</f>
        <v>1</v>
      </c>
      <c r="AA837" s="1"/>
    </row>
    <row r="838" spans="1:27" x14ac:dyDescent="0.3">
      <c r="A838" s="18">
        <v>899.4</v>
      </c>
      <c r="B838" s="1">
        <v>0</v>
      </c>
      <c r="C838" s="1">
        <v>899.4</v>
      </c>
      <c r="D838" s="1">
        <v>0</v>
      </c>
      <c r="E838" s="1">
        <v>899.4</v>
      </c>
      <c r="F838" s="1">
        <v>0</v>
      </c>
      <c r="G838" s="1">
        <v>899.4</v>
      </c>
      <c r="H838" s="1">
        <v>0</v>
      </c>
      <c r="I838" s="1">
        <v>899.4</v>
      </c>
      <c r="J838" s="1">
        <v>0</v>
      </c>
      <c r="K838" s="1">
        <v>899.4</v>
      </c>
      <c r="L838" s="1">
        <v>0</v>
      </c>
      <c r="M838" s="1">
        <v>899.4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899.4</v>
      </c>
      <c r="U838" s="1">
        <f>IF(Table14[[#This Row],[I_0]] &lt; INDEX(Table28[Filtro de ruido],1), 1, Table14[[#This Row],[I_10]] / Table14[[#This Row],[I_0]])</f>
        <v>1</v>
      </c>
      <c r="V838" s="1">
        <f>IF(Table14[[#This Row],[I_0]] &lt; INDEX(Table28[Filtro de ruido],1), 1, Table14[[#This Row],[I_20]] / Table14[[#This Row],[I_0]])</f>
        <v>1</v>
      </c>
      <c r="W838" s="1">
        <f>IF(Table14[[#This Row],[I_0]] &lt; INDEX(Table28[Filtro de ruido],1), 1, Table14[[#This Row],[I_30]] / Table14[[#This Row],[I_0]])</f>
        <v>1</v>
      </c>
      <c r="X838" s="1">
        <f>IF(Table14[[#This Row],[I_0]] &lt; INDEX(Table28[Filtro de ruido],1), 1, Table14[[#This Row],[I_40]] / Table14[[#This Row],[I_0]])</f>
        <v>1</v>
      </c>
      <c r="Y838" s="19">
        <f>IF(Table14[[#This Row],[I_0]] &lt; INDEX(Table28[Filtro de ruido],1), 1, Table14[[#This Row],[I_50]] / Table14[[#This Row],[I_0]])</f>
        <v>1</v>
      </c>
      <c r="AA838" s="1"/>
    </row>
    <row r="839" spans="1:27" x14ac:dyDescent="0.3">
      <c r="A839" s="18">
        <v>900.39</v>
      </c>
      <c r="B839" s="1">
        <v>0</v>
      </c>
      <c r="C839" s="1">
        <v>900.39</v>
      </c>
      <c r="D839" s="1">
        <v>0</v>
      </c>
      <c r="E839" s="1">
        <v>900.39</v>
      </c>
      <c r="F839" s="1">
        <v>0</v>
      </c>
      <c r="G839" s="1">
        <v>900.39</v>
      </c>
      <c r="H839" s="1">
        <v>0</v>
      </c>
      <c r="I839" s="1">
        <v>900.39</v>
      </c>
      <c r="J839" s="1">
        <v>0</v>
      </c>
      <c r="K839" s="1">
        <v>900.39</v>
      </c>
      <c r="L839" s="1">
        <v>0</v>
      </c>
      <c r="M839" s="1">
        <v>900.39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900.39</v>
      </c>
      <c r="U839" s="1">
        <f>IF(Table14[[#This Row],[I_0]] &lt; INDEX(Table28[Filtro de ruido],1), 1, Table14[[#This Row],[I_10]] / Table14[[#This Row],[I_0]])</f>
        <v>1</v>
      </c>
      <c r="V839" s="1">
        <f>IF(Table14[[#This Row],[I_0]] &lt; INDEX(Table28[Filtro de ruido],1), 1, Table14[[#This Row],[I_20]] / Table14[[#This Row],[I_0]])</f>
        <v>1</v>
      </c>
      <c r="W839" s="1">
        <f>IF(Table14[[#This Row],[I_0]] &lt; INDEX(Table28[Filtro de ruido],1), 1, Table14[[#This Row],[I_30]] / Table14[[#This Row],[I_0]])</f>
        <v>1</v>
      </c>
      <c r="X839" s="1">
        <f>IF(Table14[[#This Row],[I_0]] &lt; INDEX(Table28[Filtro de ruido],1), 1, Table14[[#This Row],[I_40]] / Table14[[#This Row],[I_0]])</f>
        <v>1</v>
      </c>
      <c r="Y839" s="19">
        <f>IF(Table14[[#This Row],[I_0]] &lt; INDEX(Table28[Filtro de ruido],1), 1, Table14[[#This Row],[I_50]] / Table14[[#This Row],[I_0]])</f>
        <v>1</v>
      </c>
      <c r="AA839" s="1"/>
    </row>
    <row r="840" spans="1:27" x14ac:dyDescent="0.3">
      <c r="A840" s="18">
        <v>901.38</v>
      </c>
      <c r="B840" s="1">
        <v>0</v>
      </c>
      <c r="C840" s="1">
        <v>901.38</v>
      </c>
      <c r="D840" s="1">
        <v>0</v>
      </c>
      <c r="E840" s="1">
        <v>901.38</v>
      </c>
      <c r="F840" s="1">
        <v>0</v>
      </c>
      <c r="G840" s="1">
        <v>901.38</v>
      </c>
      <c r="H840" s="1">
        <v>0</v>
      </c>
      <c r="I840" s="1">
        <v>901.38</v>
      </c>
      <c r="J840" s="1">
        <v>0</v>
      </c>
      <c r="K840" s="1">
        <v>901.38</v>
      </c>
      <c r="L840" s="1">
        <v>0</v>
      </c>
      <c r="M840" s="1">
        <v>901.38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901.38</v>
      </c>
      <c r="U840" s="1">
        <f>IF(Table14[[#This Row],[I_0]] &lt; INDEX(Table28[Filtro de ruido],1), 1, Table14[[#This Row],[I_10]] / Table14[[#This Row],[I_0]])</f>
        <v>1</v>
      </c>
      <c r="V840" s="1">
        <f>IF(Table14[[#This Row],[I_0]] &lt; INDEX(Table28[Filtro de ruido],1), 1, Table14[[#This Row],[I_20]] / Table14[[#This Row],[I_0]])</f>
        <v>1</v>
      </c>
      <c r="W840" s="1">
        <f>IF(Table14[[#This Row],[I_0]] &lt; INDEX(Table28[Filtro de ruido],1), 1, Table14[[#This Row],[I_30]] / Table14[[#This Row],[I_0]])</f>
        <v>1</v>
      </c>
      <c r="X840" s="1">
        <f>IF(Table14[[#This Row],[I_0]] &lt; INDEX(Table28[Filtro de ruido],1), 1, Table14[[#This Row],[I_40]] / Table14[[#This Row],[I_0]])</f>
        <v>1</v>
      </c>
      <c r="Y840" s="19">
        <f>IF(Table14[[#This Row],[I_0]] &lt; INDEX(Table28[Filtro de ruido],1), 1, Table14[[#This Row],[I_50]] / Table14[[#This Row],[I_0]])</f>
        <v>1</v>
      </c>
      <c r="AA840" s="1"/>
    </row>
    <row r="841" spans="1:27" x14ac:dyDescent="0.3">
      <c r="A841" s="18">
        <v>902.37</v>
      </c>
      <c r="B841" s="1">
        <v>0</v>
      </c>
      <c r="C841" s="1">
        <v>902.37</v>
      </c>
      <c r="D841" s="1">
        <v>0</v>
      </c>
      <c r="E841" s="1">
        <v>902.37</v>
      </c>
      <c r="F841" s="1">
        <v>0</v>
      </c>
      <c r="G841" s="1">
        <v>902.37</v>
      </c>
      <c r="H841" s="1">
        <v>0</v>
      </c>
      <c r="I841" s="1">
        <v>902.37</v>
      </c>
      <c r="J841" s="1">
        <v>0</v>
      </c>
      <c r="K841" s="1">
        <v>902.37</v>
      </c>
      <c r="L841" s="1">
        <v>0</v>
      </c>
      <c r="M841" s="1">
        <v>902.37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902.37</v>
      </c>
      <c r="U841" s="1">
        <f>IF(Table14[[#This Row],[I_0]] &lt; INDEX(Table28[Filtro de ruido],1), 1, Table14[[#This Row],[I_10]] / Table14[[#This Row],[I_0]])</f>
        <v>1</v>
      </c>
      <c r="V841" s="1">
        <f>IF(Table14[[#This Row],[I_0]] &lt; INDEX(Table28[Filtro de ruido],1), 1, Table14[[#This Row],[I_20]] / Table14[[#This Row],[I_0]])</f>
        <v>1</v>
      </c>
      <c r="W841" s="1">
        <f>IF(Table14[[#This Row],[I_0]] &lt; INDEX(Table28[Filtro de ruido],1), 1, Table14[[#This Row],[I_30]] / Table14[[#This Row],[I_0]])</f>
        <v>1</v>
      </c>
      <c r="X841" s="1">
        <f>IF(Table14[[#This Row],[I_0]] &lt; INDEX(Table28[Filtro de ruido],1), 1, Table14[[#This Row],[I_40]] / Table14[[#This Row],[I_0]])</f>
        <v>1</v>
      </c>
      <c r="Y841" s="19">
        <f>IF(Table14[[#This Row],[I_0]] &lt; INDEX(Table28[Filtro de ruido],1), 1, Table14[[#This Row],[I_50]] / Table14[[#This Row],[I_0]])</f>
        <v>1</v>
      </c>
      <c r="AA841" s="1"/>
    </row>
    <row r="842" spans="1:27" x14ac:dyDescent="0.3">
      <c r="A842" s="18">
        <v>903.36</v>
      </c>
      <c r="B842" s="1">
        <v>0</v>
      </c>
      <c r="C842" s="1">
        <v>903.36</v>
      </c>
      <c r="D842" s="1">
        <v>0</v>
      </c>
      <c r="E842" s="1">
        <v>903.36</v>
      </c>
      <c r="F842" s="1">
        <v>0</v>
      </c>
      <c r="G842" s="1">
        <v>903.36</v>
      </c>
      <c r="H842" s="1">
        <v>0</v>
      </c>
      <c r="I842" s="1">
        <v>903.36</v>
      </c>
      <c r="J842" s="1">
        <v>0</v>
      </c>
      <c r="K842" s="1">
        <v>903.36</v>
      </c>
      <c r="L842" s="1">
        <v>0</v>
      </c>
      <c r="M842" s="1">
        <v>903.36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903.36</v>
      </c>
      <c r="U842" s="1">
        <f>IF(Table14[[#This Row],[I_0]] &lt; INDEX(Table28[Filtro de ruido],1), 1, Table14[[#This Row],[I_10]] / Table14[[#This Row],[I_0]])</f>
        <v>1</v>
      </c>
      <c r="V842" s="1">
        <f>IF(Table14[[#This Row],[I_0]] &lt; INDEX(Table28[Filtro de ruido],1), 1, Table14[[#This Row],[I_20]] / Table14[[#This Row],[I_0]])</f>
        <v>1</v>
      </c>
      <c r="W842" s="1">
        <f>IF(Table14[[#This Row],[I_0]] &lt; INDEX(Table28[Filtro de ruido],1), 1, Table14[[#This Row],[I_30]] / Table14[[#This Row],[I_0]])</f>
        <v>1</v>
      </c>
      <c r="X842" s="1">
        <f>IF(Table14[[#This Row],[I_0]] &lt; INDEX(Table28[Filtro de ruido],1), 1, Table14[[#This Row],[I_40]] / Table14[[#This Row],[I_0]])</f>
        <v>1</v>
      </c>
      <c r="Y842" s="19">
        <f>IF(Table14[[#This Row],[I_0]] &lt; INDEX(Table28[Filtro de ruido],1), 1, Table14[[#This Row],[I_50]] / Table14[[#This Row],[I_0]])</f>
        <v>1</v>
      </c>
      <c r="AA842" s="1"/>
    </row>
    <row r="843" spans="1:27" x14ac:dyDescent="0.3">
      <c r="A843" s="18">
        <v>904.35</v>
      </c>
      <c r="B843" s="1">
        <v>0</v>
      </c>
      <c r="C843" s="1">
        <v>904.35</v>
      </c>
      <c r="D843" s="1">
        <v>0</v>
      </c>
      <c r="E843" s="1">
        <v>904.35</v>
      </c>
      <c r="F843" s="1">
        <v>0</v>
      </c>
      <c r="G843" s="1">
        <v>904.35</v>
      </c>
      <c r="H843" s="1">
        <v>0</v>
      </c>
      <c r="I843" s="1">
        <v>904.35</v>
      </c>
      <c r="J843" s="1">
        <v>0</v>
      </c>
      <c r="K843" s="1">
        <v>904.35</v>
      </c>
      <c r="L843" s="1">
        <v>0</v>
      </c>
      <c r="M843" s="1">
        <v>904.35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904.35</v>
      </c>
      <c r="U843" s="1">
        <f>IF(Table14[[#This Row],[I_0]] &lt; INDEX(Table28[Filtro de ruido],1), 1, Table14[[#This Row],[I_10]] / Table14[[#This Row],[I_0]])</f>
        <v>1</v>
      </c>
      <c r="V843" s="1">
        <f>IF(Table14[[#This Row],[I_0]] &lt; INDEX(Table28[Filtro de ruido],1), 1, Table14[[#This Row],[I_20]] / Table14[[#This Row],[I_0]])</f>
        <v>1</v>
      </c>
      <c r="W843" s="1">
        <f>IF(Table14[[#This Row],[I_0]] &lt; INDEX(Table28[Filtro de ruido],1), 1, Table14[[#This Row],[I_30]] / Table14[[#This Row],[I_0]])</f>
        <v>1</v>
      </c>
      <c r="X843" s="1">
        <f>IF(Table14[[#This Row],[I_0]] &lt; INDEX(Table28[Filtro de ruido],1), 1, Table14[[#This Row],[I_40]] / Table14[[#This Row],[I_0]])</f>
        <v>1</v>
      </c>
      <c r="Y843" s="19">
        <f>IF(Table14[[#This Row],[I_0]] &lt; INDEX(Table28[Filtro de ruido],1), 1, Table14[[#This Row],[I_50]] / Table14[[#This Row],[I_0]])</f>
        <v>1</v>
      </c>
      <c r="AA843" s="1"/>
    </row>
    <row r="844" spans="1:27" x14ac:dyDescent="0.3">
      <c r="A844" s="18">
        <v>905.35</v>
      </c>
      <c r="B844" s="1">
        <v>0</v>
      </c>
      <c r="C844" s="1">
        <v>905.35</v>
      </c>
      <c r="D844" s="1">
        <v>0</v>
      </c>
      <c r="E844" s="1">
        <v>905.35</v>
      </c>
      <c r="F844" s="1">
        <v>0</v>
      </c>
      <c r="G844" s="1">
        <v>905.35</v>
      </c>
      <c r="H844" s="1">
        <v>0</v>
      </c>
      <c r="I844" s="1">
        <v>905.35</v>
      </c>
      <c r="J844" s="1">
        <v>0</v>
      </c>
      <c r="K844" s="1">
        <v>905.35</v>
      </c>
      <c r="L844" s="1">
        <v>0</v>
      </c>
      <c r="M844" s="1">
        <v>905.35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905.35</v>
      </c>
      <c r="U844" s="1">
        <f>IF(Table14[[#This Row],[I_0]] &lt; INDEX(Table28[Filtro de ruido],1), 1, Table14[[#This Row],[I_10]] / Table14[[#This Row],[I_0]])</f>
        <v>1</v>
      </c>
      <c r="V844" s="1">
        <f>IF(Table14[[#This Row],[I_0]] &lt; INDEX(Table28[Filtro de ruido],1), 1, Table14[[#This Row],[I_20]] / Table14[[#This Row],[I_0]])</f>
        <v>1</v>
      </c>
      <c r="W844" s="1">
        <f>IF(Table14[[#This Row],[I_0]] &lt; INDEX(Table28[Filtro de ruido],1), 1, Table14[[#This Row],[I_30]] / Table14[[#This Row],[I_0]])</f>
        <v>1</v>
      </c>
      <c r="X844" s="1">
        <f>IF(Table14[[#This Row],[I_0]] &lt; INDEX(Table28[Filtro de ruido],1), 1, Table14[[#This Row],[I_40]] / Table14[[#This Row],[I_0]])</f>
        <v>1</v>
      </c>
      <c r="Y844" s="19">
        <f>IF(Table14[[#This Row],[I_0]] &lt; INDEX(Table28[Filtro de ruido],1), 1, Table14[[#This Row],[I_50]] / Table14[[#This Row],[I_0]])</f>
        <v>1</v>
      </c>
      <c r="AA844" s="1"/>
    </row>
    <row r="845" spans="1:27" x14ac:dyDescent="0.3">
      <c r="A845" s="18">
        <v>906.34</v>
      </c>
      <c r="B845" s="1">
        <v>0</v>
      </c>
      <c r="C845" s="1">
        <v>906.34</v>
      </c>
      <c r="D845" s="1">
        <v>0</v>
      </c>
      <c r="E845" s="1">
        <v>906.34</v>
      </c>
      <c r="F845" s="1">
        <v>0</v>
      </c>
      <c r="G845" s="1">
        <v>906.34</v>
      </c>
      <c r="H845" s="1">
        <v>0</v>
      </c>
      <c r="I845" s="1">
        <v>906.34</v>
      </c>
      <c r="J845" s="1">
        <v>0</v>
      </c>
      <c r="K845" s="1">
        <v>906.34</v>
      </c>
      <c r="L845" s="1">
        <v>0</v>
      </c>
      <c r="M845" s="1">
        <v>906.34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906.34</v>
      </c>
      <c r="U845" s="1">
        <f>IF(Table14[[#This Row],[I_0]] &lt; INDEX(Table28[Filtro de ruido],1), 1, Table14[[#This Row],[I_10]] / Table14[[#This Row],[I_0]])</f>
        <v>1</v>
      </c>
      <c r="V845" s="1">
        <f>IF(Table14[[#This Row],[I_0]] &lt; INDEX(Table28[Filtro de ruido],1), 1, Table14[[#This Row],[I_20]] / Table14[[#This Row],[I_0]])</f>
        <v>1</v>
      </c>
      <c r="W845" s="1">
        <f>IF(Table14[[#This Row],[I_0]] &lt; INDEX(Table28[Filtro de ruido],1), 1, Table14[[#This Row],[I_30]] / Table14[[#This Row],[I_0]])</f>
        <v>1</v>
      </c>
      <c r="X845" s="1">
        <f>IF(Table14[[#This Row],[I_0]] &lt; INDEX(Table28[Filtro de ruido],1), 1, Table14[[#This Row],[I_40]] / Table14[[#This Row],[I_0]])</f>
        <v>1</v>
      </c>
      <c r="Y845" s="19">
        <f>IF(Table14[[#This Row],[I_0]] &lt; INDEX(Table28[Filtro de ruido],1), 1, Table14[[#This Row],[I_50]] / Table14[[#This Row],[I_0]])</f>
        <v>1</v>
      </c>
      <c r="AA845" s="1"/>
    </row>
    <row r="846" spans="1:27" x14ac:dyDescent="0.3">
      <c r="A846" s="18">
        <v>907.33</v>
      </c>
      <c r="B846" s="1">
        <v>0</v>
      </c>
      <c r="C846" s="1">
        <v>907.33</v>
      </c>
      <c r="D846" s="1">
        <v>0</v>
      </c>
      <c r="E846" s="1">
        <v>907.33</v>
      </c>
      <c r="F846" s="1">
        <v>0</v>
      </c>
      <c r="G846" s="1">
        <v>907.33</v>
      </c>
      <c r="H846" s="1">
        <v>0</v>
      </c>
      <c r="I846" s="1">
        <v>907.33</v>
      </c>
      <c r="J846" s="1">
        <v>0</v>
      </c>
      <c r="K846" s="1">
        <v>907.33</v>
      </c>
      <c r="L846" s="1">
        <v>0</v>
      </c>
      <c r="M846" s="1">
        <v>907.33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907.33</v>
      </c>
      <c r="U846" s="1">
        <f>IF(Table14[[#This Row],[I_0]] &lt; INDEX(Table28[Filtro de ruido],1), 1, Table14[[#This Row],[I_10]] / Table14[[#This Row],[I_0]])</f>
        <v>1</v>
      </c>
      <c r="V846" s="1">
        <f>IF(Table14[[#This Row],[I_0]] &lt; INDEX(Table28[Filtro de ruido],1), 1, Table14[[#This Row],[I_20]] / Table14[[#This Row],[I_0]])</f>
        <v>1</v>
      </c>
      <c r="W846" s="1">
        <f>IF(Table14[[#This Row],[I_0]] &lt; INDEX(Table28[Filtro de ruido],1), 1, Table14[[#This Row],[I_30]] / Table14[[#This Row],[I_0]])</f>
        <v>1</v>
      </c>
      <c r="X846" s="1">
        <f>IF(Table14[[#This Row],[I_0]] &lt; INDEX(Table28[Filtro de ruido],1), 1, Table14[[#This Row],[I_40]] / Table14[[#This Row],[I_0]])</f>
        <v>1</v>
      </c>
      <c r="Y846" s="19">
        <f>IF(Table14[[#This Row],[I_0]] &lt; INDEX(Table28[Filtro de ruido],1), 1, Table14[[#This Row],[I_50]] / Table14[[#This Row],[I_0]])</f>
        <v>1</v>
      </c>
      <c r="AA846" s="1"/>
    </row>
    <row r="847" spans="1:27" x14ac:dyDescent="0.3">
      <c r="A847" s="18">
        <v>908.32</v>
      </c>
      <c r="B847" s="1">
        <v>0</v>
      </c>
      <c r="C847" s="1">
        <v>908.32</v>
      </c>
      <c r="D847" s="1">
        <v>0</v>
      </c>
      <c r="E847" s="1">
        <v>908.32</v>
      </c>
      <c r="F847" s="1">
        <v>0</v>
      </c>
      <c r="G847" s="1">
        <v>908.32</v>
      </c>
      <c r="H847" s="1">
        <v>0</v>
      </c>
      <c r="I847" s="1">
        <v>908.32</v>
      </c>
      <c r="J847" s="1">
        <v>0</v>
      </c>
      <c r="K847" s="1">
        <v>908.32</v>
      </c>
      <c r="L847" s="1">
        <v>0</v>
      </c>
      <c r="M847" s="1">
        <v>908.32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908.32</v>
      </c>
      <c r="U847" s="1">
        <f>IF(Table14[[#This Row],[I_0]] &lt; INDEX(Table28[Filtro de ruido],1), 1, Table14[[#This Row],[I_10]] / Table14[[#This Row],[I_0]])</f>
        <v>1</v>
      </c>
      <c r="V847" s="1">
        <f>IF(Table14[[#This Row],[I_0]] &lt; INDEX(Table28[Filtro de ruido],1), 1, Table14[[#This Row],[I_20]] / Table14[[#This Row],[I_0]])</f>
        <v>1</v>
      </c>
      <c r="W847" s="1">
        <f>IF(Table14[[#This Row],[I_0]] &lt; INDEX(Table28[Filtro de ruido],1), 1, Table14[[#This Row],[I_30]] / Table14[[#This Row],[I_0]])</f>
        <v>1</v>
      </c>
      <c r="X847" s="1">
        <f>IF(Table14[[#This Row],[I_0]] &lt; INDEX(Table28[Filtro de ruido],1), 1, Table14[[#This Row],[I_40]] / Table14[[#This Row],[I_0]])</f>
        <v>1</v>
      </c>
      <c r="Y847" s="19">
        <f>IF(Table14[[#This Row],[I_0]] &lt; INDEX(Table28[Filtro de ruido],1), 1, Table14[[#This Row],[I_50]] / Table14[[#This Row],[I_0]])</f>
        <v>1</v>
      </c>
      <c r="AA847" s="1"/>
    </row>
    <row r="848" spans="1:27" x14ac:dyDescent="0.3">
      <c r="A848" s="18">
        <v>909.31</v>
      </c>
      <c r="B848" s="1">
        <v>0</v>
      </c>
      <c r="C848" s="1">
        <v>909.31</v>
      </c>
      <c r="D848" s="1">
        <v>0</v>
      </c>
      <c r="E848" s="1">
        <v>909.31</v>
      </c>
      <c r="F848" s="1">
        <v>0</v>
      </c>
      <c r="G848" s="1">
        <v>909.31</v>
      </c>
      <c r="H848" s="1">
        <v>0</v>
      </c>
      <c r="I848" s="1">
        <v>909.31</v>
      </c>
      <c r="J848" s="1">
        <v>0</v>
      </c>
      <c r="K848" s="1">
        <v>909.31</v>
      </c>
      <c r="L848" s="1">
        <v>0</v>
      </c>
      <c r="M848" s="1">
        <v>909.31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909.31</v>
      </c>
      <c r="U848" s="1">
        <f>IF(Table14[[#This Row],[I_0]] &lt; INDEX(Table28[Filtro de ruido],1), 1, Table14[[#This Row],[I_10]] / Table14[[#This Row],[I_0]])</f>
        <v>1</v>
      </c>
      <c r="V848" s="1">
        <f>IF(Table14[[#This Row],[I_0]] &lt; INDEX(Table28[Filtro de ruido],1), 1, Table14[[#This Row],[I_20]] / Table14[[#This Row],[I_0]])</f>
        <v>1</v>
      </c>
      <c r="W848" s="1">
        <f>IF(Table14[[#This Row],[I_0]] &lt; INDEX(Table28[Filtro de ruido],1), 1, Table14[[#This Row],[I_30]] / Table14[[#This Row],[I_0]])</f>
        <v>1</v>
      </c>
      <c r="X848" s="1">
        <f>IF(Table14[[#This Row],[I_0]] &lt; INDEX(Table28[Filtro de ruido],1), 1, Table14[[#This Row],[I_40]] / Table14[[#This Row],[I_0]])</f>
        <v>1</v>
      </c>
      <c r="Y848" s="19">
        <f>IF(Table14[[#This Row],[I_0]] &lt; INDEX(Table28[Filtro de ruido],1), 1, Table14[[#This Row],[I_50]] / Table14[[#This Row],[I_0]])</f>
        <v>1</v>
      </c>
      <c r="AA848" s="1"/>
    </row>
    <row r="849" spans="1:27" x14ac:dyDescent="0.3">
      <c r="A849" s="18">
        <v>910.31</v>
      </c>
      <c r="B849" s="1">
        <v>0</v>
      </c>
      <c r="C849" s="1">
        <v>910.31</v>
      </c>
      <c r="D849" s="1">
        <v>0</v>
      </c>
      <c r="E849" s="1">
        <v>910.31</v>
      </c>
      <c r="F849" s="1">
        <v>0</v>
      </c>
      <c r="G849" s="1">
        <v>910.31</v>
      </c>
      <c r="H849" s="1">
        <v>0</v>
      </c>
      <c r="I849" s="1">
        <v>910.31</v>
      </c>
      <c r="J849" s="1">
        <v>0</v>
      </c>
      <c r="K849" s="1">
        <v>910.31</v>
      </c>
      <c r="L849" s="1">
        <v>0</v>
      </c>
      <c r="M849" s="1">
        <v>910.31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910.31</v>
      </c>
      <c r="U849" s="1">
        <f>IF(Table14[[#This Row],[I_0]] &lt; INDEX(Table28[Filtro de ruido],1), 1, Table14[[#This Row],[I_10]] / Table14[[#This Row],[I_0]])</f>
        <v>1</v>
      </c>
      <c r="V849" s="1">
        <f>IF(Table14[[#This Row],[I_0]] &lt; INDEX(Table28[Filtro de ruido],1), 1, Table14[[#This Row],[I_20]] / Table14[[#This Row],[I_0]])</f>
        <v>1</v>
      </c>
      <c r="W849" s="1">
        <f>IF(Table14[[#This Row],[I_0]] &lt; INDEX(Table28[Filtro de ruido],1), 1, Table14[[#This Row],[I_30]] / Table14[[#This Row],[I_0]])</f>
        <v>1</v>
      </c>
      <c r="X849" s="1">
        <f>IF(Table14[[#This Row],[I_0]] &lt; INDEX(Table28[Filtro de ruido],1), 1, Table14[[#This Row],[I_40]] / Table14[[#This Row],[I_0]])</f>
        <v>1</v>
      </c>
      <c r="Y849" s="19">
        <f>IF(Table14[[#This Row],[I_0]] &lt; INDEX(Table28[Filtro de ruido],1), 1, Table14[[#This Row],[I_50]] / Table14[[#This Row],[I_0]])</f>
        <v>1</v>
      </c>
      <c r="AA849" s="1"/>
    </row>
    <row r="850" spans="1:27" x14ac:dyDescent="0.3">
      <c r="A850" s="18">
        <v>911.3</v>
      </c>
      <c r="B850" s="1">
        <v>0</v>
      </c>
      <c r="C850" s="1">
        <v>911.3</v>
      </c>
      <c r="D850" s="1">
        <v>0</v>
      </c>
      <c r="E850" s="1">
        <v>911.3</v>
      </c>
      <c r="F850" s="1">
        <v>0</v>
      </c>
      <c r="G850" s="1">
        <v>911.3</v>
      </c>
      <c r="H850" s="1">
        <v>0</v>
      </c>
      <c r="I850" s="1">
        <v>911.3</v>
      </c>
      <c r="J850" s="1">
        <v>0</v>
      </c>
      <c r="K850" s="1">
        <v>911.3</v>
      </c>
      <c r="L850" s="1">
        <v>0</v>
      </c>
      <c r="M850" s="1">
        <v>911.3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911.3</v>
      </c>
      <c r="U850" s="1">
        <f>IF(Table14[[#This Row],[I_0]] &lt; INDEX(Table28[Filtro de ruido],1), 1, Table14[[#This Row],[I_10]] / Table14[[#This Row],[I_0]])</f>
        <v>1</v>
      </c>
      <c r="V850" s="1">
        <f>IF(Table14[[#This Row],[I_0]] &lt; INDEX(Table28[Filtro de ruido],1), 1, Table14[[#This Row],[I_20]] / Table14[[#This Row],[I_0]])</f>
        <v>1</v>
      </c>
      <c r="W850" s="1">
        <f>IF(Table14[[#This Row],[I_0]] &lt; INDEX(Table28[Filtro de ruido],1), 1, Table14[[#This Row],[I_30]] / Table14[[#This Row],[I_0]])</f>
        <v>1</v>
      </c>
      <c r="X850" s="1">
        <f>IF(Table14[[#This Row],[I_0]] &lt; INDEX(Table28[Filtro de ruido],1), 1, Table14[[#This Row],[I_40]] / Table14[[#This Row],[I_0]])</f>
        <v>1</v>
      </c>
      <c r="Y850" s="19">
        <f>IF(Table14[[#This Row],[I_0]] &lt; INDEX(Table28[Filtro de ruido],1), 1, Table14[[#This Row],[I_50]] / Table14[[#This Row],[I_0]])</f>
        <v>1</v>
      </c>
      <c r="AA850" s="1"/>
    </row>
    <row r="851" spans="1:27" x14ac:dyDescent="0.3">
      <c r="A851" s="18">
        <v>912.29</v>
      </c>
      <c r="B851" s="1">
        <v>0</v>
      </c>
      <c r="C851" s="1">
        <v>912.29</v>
      </c>
      <c r="D851" s="1">
        <v>0</v>
      </c>
      <c r="E851" s="1">
        <v>912.29</v>
      </c>
      <c r="F851" s="1">
        <v>0</v>
      </c>
      <c r="G851" s="1">
        <v>912.29</v>
      </c>
      <c r="H851" s="1">
        <v>0</v>
      </c>
      <c r="I851" s="1">
        <v>912.29</v>
      </c>
      <c r="J851" s="1">
        <v>0</v>
      </c>
      <c r="K851" s="1">
        <v>912.29</v>
      </c>
      <c r="L851" s="1">
        <v>0</v>
      </c>
      <c r="M851" s="1">
        <v>912.29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912.29</v>
      </c>
      <c r="U851" s="1">
        <f>IF(Table14[[#This Row],[I_0]] &lt; INDEX(Table28[Filtro de ruido],1), 1, Table14[[#This Row],[I_10]] / Table14[[#This Row],[I_0]])</f>
        <v>1</v>
      </c>
      <c r="V851" s="1">
        <f>IF(Table14[[#This Row],[I_0]] &lt; INDEX(Table28[Filtro de ruido],1), 1, Table14[[#This Row],[I_20]] / Table14[[#This Row],[I_0]])</f>
        <v>1</v>
      </c>
      <c r="W851" s="1">
        <f>IF(Table14[[#This Row],[I_0]] &lt; INDEX(Table28[Filtro de ruido],1), 1, Table14[[#This Row],[I_30]] / Table14[[#This Row],[I_0]])</f>
        <v>1</v>
      </c>
      <c r="X851" s="1">
        <f>IF(Table14[[#This Row],[I_0]] &lt; INDEX(Table28[Filtro de ruido],1), 1, Table14[[#This Row],[I_40]] / Table14[[#This Row],[I_0]])</f>
        <v>1</v>
      </c>
      <c r="Y851" s="19">
        <f>IF(Table14[[#This Row],[I_0]] &lt; INDEX(Table28[Filtro de ruido],1), 1, Table14[[#This Row],[I_50]] / Table14[[#This Row],[I_0]])</f>
        <v>1</v>
      </c>
      <c r="AA851" s="1"/>
    </row>
    <row r="852" spans="1:27" x14ac:dyDescent="0.3">
      <c r="A852" s="18">
        <v>913.28</v>
      </c>
      <c r="B852" s="1">
        <v>0</v>
      </c>
      <c r="C852" s="1">
        <v>913.28</v>
      </c>
      <c r="D852" s="1">
        <v>0</v>
      </c>
      <c r="E852" s="1">
        <v>913.28</v>
      </c>
      <c r="F852" s="1">
        <v>0</v>
      </c>
      <c r="G852" s="1">
        <v>913.28</v>
      </c>
      <c r="H852" s="1">
        <v>0</v>
      </c>
      <c r="I852" s="1">
        <v>913.28</v>
      </c>
      <c r="J852" s="1">
        <v>0</v>
      </c>
      <c r="K852" s="1">
        <v>913.28</v>
      </c>
      <c r="L852" s="1">
        <v>0</v>
      </c>
      <c r="M852" s="1">
        <v>913.28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913.28</v>
      </c>
      <c r="U852" s="1">
        <f>IF(Table14[[#This Row],[I_0]] &lt; INDEX(Table28[Filtro de ruido],1), 1, Table14[[#This Row],[I_10]] / Table14[[#This Row],[I_0]])</f>
        <v>1</v>
      </c>
      <c r="V852" s="1">
        <f>IF(Table14[[#This Row],[I_0]] &lt; INDEX(Table28[Filtro de ruido],1), 1, Table14[[#This Row],[I_20]] / Table14[[#This Row],[I_0]])</f>
        <v>1</v>
      </c>
      <c r="W852" s="1">
        <f>IF(Table14[[#This Row],[I_0]] &lt; INDEX(Table28[Filtro de ruido],1), 1, Table14[[#This Row],[I_30]] / Table14[[#This Row],[I_0]])</f>
        <v>1</v>
      </c>
      <c r="X852" s="1">
        <f>IF(Table14[[#This Row],[I_0]] &lt; INDEX(Table28[Filtro de ruido],1), 1, Table14[[#This Row],[I_40]] / Table14[[#This Row],[I_0]])</f>
        <v>1</v>
      </c>
      <c r="Y852" s="19">
        <f>IF(Table14[[#This Row],[I_0]] &lt; INDEX(Table28[Filtro de ruido],1), 1, Table14[[#This Row],[I_50]] / Table14[[#This Row],[I_0]])</f>
        <v>1</v>
      </c>
      <c r="AA852" s="1"/>
    </row>
    <row r="853" spans="1:27" x14ac:dyDescent="0.3">
      <c r="A853" s="18">
        <v>914.27</v>
      </c>
      <c r="B853" s="1">
        <v>0</v>
      </c>
      <c r="C853" s="1">
        <v>914.27</v>
      </c>
      <c r="D853" s="1">
        <v>0</v>
      </c>
      <c r="E853" s="1">
        <v>914.27</v>
      </c>
      <c r="F853" s="1">
        <v>0</v>
      </c>
      <c r="G853" s="1">
        <v>914.27</v>
      </c>
      <c r="H853" s="1">
        <v>0</v>
      </c>
      <c r="I853" s="1">
        <v>914.27</v>
      </c>
      <c r="J853" s="1">
        <v>0</v>
      </c>
      <c r="K853" s="1">
        <v>914.27</v>
      </c>
      <c r="L853" s="1">
        <v>0</v>
      </c>
      <c r="M853" s="1">
        <v>914.27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914.27</v>
      </c>
      <c r="U853" s="1">
        <f>IF(Table14[[#This Row],[I_0]] &lt; INDEX(Table28[Filtro de ruido],1), 1, Table14[[#This Row],[I_10]] / Table14[[#This Row],[I_0]])</f>
        <v>1</v>
      </c>
      <c r="V853" s="1">
        <f>IF(Table14[[#This Row],[I_0]] &lt; INDEX(Table28[Filtro de ruido],1), 1, Table14[[#This Row],[I_20]] / Table14[[#This Row],[I_0]])</f>
        <v>1</v>
      </c>
      <c r="W853" s="1">
        <f>IF(Table14[[#This Row],[I_0]] &lt; INDEX(Table28[Filtro de ruido],1), 1, Table14[[#This Row],[I_30]] / Table14[[#This Row],[I_0]])</f>
        <v>1</v>
      </c>
      <c r="X853" s="1">
        <f>IF(Table14[[#This Row],[I_0]] &lt; INDEX(Table28[Filtro de ruido],1), 1, Table14[[#This Row],[I_40]] / Table14[[#This Row],[I_0]])</f>
        <v>1</v>
      </c>
      <c r="Y853" s="19">
        <f>IF(Table14[[#This Row],[I_0]] &lt; INDEX(Table28[Filtro de ruido],1), 1, Table14[[#This Row],[I_50]] / Table14[[#This Row],[I_0]])</f>
        <v>1</v>
      </c>
      <c r="AA853" s="1"/>
    </row>
    <row r="854" spans="1:27" x14ac:dyDescent="0.3">
      <c r="A854" s="18">
        <v>915.26</v>
      </c>
      <c r="B854" s="1">
        <v>0</v>
      </c>
      <c r="C854" s="1">
        <v>915.26</v>
      </c>
      <c r="D854" s="1">
        <v>0</v>
      </c>
      <c r="E854" s="1">
        <v>915.26</v>
      </c>
      <c r="F854" s="1">
        <v>0</v>
      </c>
      <c r="G854" s="1">
        <v>915.26</v>
      </c>
      <c r="H854" s="1">
        <v>0</v>
      </c>
      <c r="I854" s="1">
        <v>915.26</v>
      </c>
      <c r="J854" s="1">
        <v>0</v>
      </c>
      <c r="K854" s="1">
        <v>915.26</v>
      </c>
      <c r="L854" s="1">
        <v>0</v>
      </c>
      <c r="M854" s="1">
        <v>915.26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915.26</v>
      </c>
      <c r="U854" s="1">
        <f>IF(Table14[[#This Row],[I_0]] &lt; INDEX(Table28[Filtro de ruido],1), 1, Table14[[#This Row],[I_10]] / Table14[[#This Row],[I_0]])</f>
        <v>1</v>
      </c>
      <c r="V854" s="1">
        <f>IF(Table14[[#This Row],[I_0]] &lt; INDEX(Table28[Filtro de ruido],1), 1, Table14[[#This Row],[I_20]] / Table14[[#This Row],[I_0]])</f>
        <v>1</v>
      </c>
      <c r="W854" s="1">
        <f>IF(Table14[[#This Row],[I_0]] &lt; INDEX(Table28[Filtro de ruido],1), 1, Table14[[#This Row],[I_30]] / Table14[[#This Row],[I_0]])</f>
        <v>1</v>
      </c>
      <c r="X854" s="1">
        <f>IF(Table14[[#This Row],[I_0]] &lt; INDEX(Table28[Filtro de ruido],1), 1, Table14[[#This Row],[I_40]] / Table14[[#This Row],[I_0]])</f>
        <v>1</v>
      </c>
      <c r="Y854" s="19">
        <f>IF(Table14[[#This Row],[I_0]] &lt; INDEX(Table28[Filtro de ruido],1), 1, Table14[[#This Row],[I_50]] / Table14[[#This Row],[I_0]])</f>
        <v>1</v>
      </c>
      <c r="AA854" s="1"/>
    </row>
    <row r="855" spans="1:27" x14ac:dyDescent="0.3">
      <c r="A855" s="18">
        <v>916.26</v>
      </c>
      <c r="B855" s="1">
        <v>0</v>
      </c>
      <c r="C855" s="1">
        <v>916.26</v>
      </c>
      <c r="D855" s="1">
        <v>0</v>
      </c>
      <c r="E855" s="1">
        <v>916.26</v>
      </c>
      <c r="F855" s="1">
        <v>0</v>
      </c>
      <c r="G855" s="1">
        <v>916.26</v>
      </c>
      <c r="H855" s="1">
        <v>0</v>
      </c>
      <c r="I855" s="1">
        <v>916.26</v>
      </c>
      <c r="J855" s="1">
        <v>0</v>
      </c>
      <c r="K855" s="1">
        <v>916.26</v>
      </c>
      <c r="L855" s="1">
        <v>0</v>
      </c>
      <c r="M855" s="1">
        <v>916.26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916.26</v>
      </c>
      <c r="U855" s="1">
        <f>IF(Table14[[#This Row],[I_0]] &lt; INDEX(Table28[Filtro de ruido],1), 1, Table14[[#This Row],[I_10]] / Table14[[#This Row],[I_0]])</f>
        <v>1</v>
      </c>
      <c r="V855" s="1">
        <f>IF(Table14[[#This Row],[I_0]] &lt; INDEX(Table28[Filtro de ruido],1), 1, Table14[[#This Row],[I_20]] / Table14[[#This Row],[I_0]])</f>
        <v>1</v>
      </c>
      <c r="W855" s="1">
        <f>IF(Table14[[#This Row],[I_0]] &lt; INDEX(Table28[Filtro de ruido],1), 1, Table14[[#This Row],[I_30]] / Table14[[#This Row],[I_0]])</f>
        <v>1</v>
      </c>
      <c r="X855" s="1">
        <f>IF(Table14[[#This Row],[I_0]] &lt; INDEX(Table28[Filtro de ruido],1), 1, Table14[[#This Row],[I_40]] / Table14[[#This Row],[I_0]])</f>
        <v>1</v>
      </c>
      <c r="Y855" s="19">
        <f>IF(Table14[[#This Row],[I_0]] &lt; INDEX(Table28[Filtro de ruido],1), 1, Table14[[#This Row],[I_50]] / Table14[[#This Row],[I_0]])</f>
        <v>1</v>
      </c>
      <c r="AA855" s="1"/>
    </row>
    <row r="856" spans="1:27" x14ac:dyDescent="0.3">
      <c r="A856" s="18">
        <v>917.25</v>
      </c>
      <c r="B856" s="1">
        <v>0</v>
      </c>
      <c r="C856" s="1">
        <v>917.25</v>
      </c>
      <c r="D856" s="1">
        <v>0</v>
      </c>
      <c r="E856" s="1">
        <v>917.25</v>
      </c>
      <c r="F856" s="1">
        <v>0</v>
      </c>
      <c r="G856" s="1">
        <v>917.25</v>
      </c>
      <c r="H856" s="1">
        <v>0</v>
      </c>
      <c r="I856" s="1">
        <v>917.25</v>
      </c>
      <c r="J856" s="1">
        <v>0</v>
      </c>
      <c r="K856" s="1">
        <v>917.25</v>
      </c>
      <c r="L856" s="1">
        <v>0</v>
      </c>
      <c r="M856" s="1">
        <v>917.25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917.25</v>
      </c>
      <c r="U856" s="1">
        <f>IF(Table14[[#This Row],[I_0]] &lt; INDEX(Table28[Filtro de ruido],1), 1, Table14[[#This Row],[I_10]] / Table14[[#This Row],[I_0]])</f>
        <v>1</v>
      </c>
      <c r="V856" s="1">
        <f>IF(Table14[[#This Row],[I_0]] &lt; INDEX(Table28[Filtro de ruido],1), 1, Table14[[#This Row],[I_20]] / Table14[[#This Row],[I_0]])</f>
        <v>1</v>
      </c>
      <c r="W856" s="1">
        <f>IF(Table14[[#This Row],[I_0]] &lt; INDEX(Table28[Filtro de ruido],1), 1, Table14[[#This Row],[I_30]] / Table14[[#This Row],[I_0]])</f>
        <v>1</v>
      </c>
      <c r="X856" s="1">
        <f>IF(Table14[[#This Row],[I_0]] &lt; INDEX(Table28[Filtro de ruido],1), 1, Table14[[#This Row],[I_40]] / Table14[[#This Row],[I_0]])</f>
        <v>1</v>
      </c>
      <c r="Y856" s="19">
        <f>IF(Table14[[#This Row],[I_0]] &lt; INDEX(Table28[Filtro de ruido],1), 1, Table14[[#This Row],[I_50]] / Table14[[#This Row],[I_0]])</f>
        <v>1</v>
      </c>
      <c r="AA856" s="1"/>
    </row>
    <row r="857" spans="1:27" x14ac:dyDescent="0.3">
      <c r="A857" s="18">
        <v>918.24</v>
      </c>
      <c r="B857" s="1">
        <v>0</v>
      </c>
      <c r="C857" s="1">
        <v>918.24</v>
      </c>
      <c r="D857" s="1">
        <v>0</v>
      </c>
      <c r="E857" s="1">
        <v>918.24</v>
      </c>
      <c r="F857" s="1">
        <v>0</v>
      </c>
      <c r="G857" s="1">
        <v>918.24</v>
      </c>
      <c r="H857" s="1">
        <v>0</v>
      </c>
      <c r="I857" s="1">
        <v>918.24</v>
      </c>
      <c r="J857" s="1">
        <v>0</v>
      </c>
      <c r="K857" s="1">
        <v>918.24</v>
      </c>
      <c r="L857" s="1">
        <v>0</v>
      </c>
      <c r="M857" s="1">
        <v>918.24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918.24</v>
      </c>
      <c r="U857" s="1">
        <f>IF(Table14[[#This Row],[I_0]] &lt; INDEX(Table28[Filtro de ruido],1), 1, Table14[[#This Row],[I_10]] / Table14[[#This Row],[I_0]])</f>
        <v>1</v>
      </c>
      <c r="V857" s="1">
        <f>IF(Table14[[#This Row],[I_0]] &lt; INDEX(Table28[Filtro de ruido],1), 1, Table14[[#This Row],[I_20]] / Table14[[#This Row],[I_0]])</f>
        <v>1</v>
      </c>
      <c r="W857" s="1">
        <f>IF(Table14[[#This Row],[I_0]] &lt; INDEX(Table28[Filtro de ruido],1), 1, Table14[[#This Row],[I_30]] / Table14[[#This Row],[I_0]])</f>
        <v>1</v>
      </c>
      <c r="X857" s="1">
        <f>IF(Table14[[#This Row],[I_0]] &lt; INDEX(Table28[Filtro de ruido],1), 1, Table14[[#This Row],[I_40]] / Table14[[#This Row],[I_0]])</f>
        <v>1</v>
      </c>
      <c r="Y857" s="19">
        <f>IF(Table14[[#This Row],[I_0]] &lt; INDEX(Table28[Filtro de ruido],1), 1, Table14[[#This Row],[I_50]] / Table14[[#This Row],[I_0]])</f>
        <v>1</v>
      </c>
      <c r="AA857" s="1"/>
    </row>
    <row r="858" spans="1:27" x14ac:dyDescent="0.3">
      <c r="A858" s="18">
        <v>919.23</v>
      </c>
      <c r="B858" s="1">
        <v>0</v>
      </c>
      <c r="C858" s="1">
        <v>919.23</v>
      </c>
      <c r="D858" s="1">
        <v>0</v>
      </c>
      <c r="E858" s="1">
        <v>919.23</v>
      </c>
      <c r="F858" s="1">
        <v>0</v>
      </c>
      <c r="G858" s="1">
        <v>919.23</v>
      </c>
      <c r="H858" s="1">
        <v>0</v>
      </c>
      <c r="I858" s="1">
        <v>919.23</v>
      </c>
      <c r="J858" s="1">
        <v>0</v>
      </c>
      <c r="K858" s="1">
        <v>919.23</v>
      </c>
      <c r="L858" s="1">
        <v>0</v>
      </c>
      <c r="M858" s="1">
        <v>919.23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919.23</v>
      </c>
      <c r="U858" s="1">
        <f>IF(Table14[[#This Row],[I_0]] &lt; INDEX(Table28[Filtro de ruido],1), 1, Table14[[#This Row],[I_10]] / Table14[[#This Row],[I_0]])</f>
        <v>1</v>
      </c>
      <c r="V858" s="1">
        <f>IF(Table14[[#This Row],[I_0]] &lt; INDEX(Table28[Filtro de ruido],1), 1, Table14[[#This Row],[I_20]] / Table14[[#This Row],[I_0]])</f>
        <v>1</v>
      </c>
      <c r="W858" s="1">
        <f>IF(Table14[[#This Row],[I_0]] &lt; INDEX(Table28[Filtro de ruido],1), 1, Table14[[#This Row],[I_30]] / Table14[[#This Row],[I_0]])</f>
        <v>1</v>
      </c>
      <c r="X858" s="1">
        <f>IF(Table14[[#This Row],[I_0]] &lt; INDEX(Table28[Filtro de ruido],1), 1, Table14[[#This Row],[I_40]] / Table14[[#This Row],[I_0]])</f>
        <v>1</v>
      </c>
      <c r="Y858" s="19">
        <f>IF(Table14[[#This Row],[I_0]] &lt; INDEX(Table28[Filtro de ruido],1), 1, Table14[[#This Row],[I_50]] / Table14[[#This Row],[I_0]])</f>
        <v>1</v>
      </c>
      <c r="AA858" s="1"/>
    </row>
    <row r="859" spans="1:27" x14ac:dyDescent="0.3">
      <c r="A859" s="18">
        <v>920.22</v>
      </c>
      <c r="B859" s="1">
        <v>0</v>
      </c>
      <c r="C859" s="1">
        <v>920.22</v>
      </c>
      <c r="D859" s="1">
        <v>0</v>
      </c>
      <c r="E859" s="1">
        <v>920.22</v>
      </c>
      <c r="F859" s="1">
        <v>0</v>
      </c>
      <c r="G859" s="1">
        <v>920.22</v>
      </c>
      <c r="H859" s="1">
        <v>0</v>
      </c>
      <c r="I859" s="1">
        <v>920.22</v>
      </c>
      <c r="J859" s="1">
        <v>0</v>
      </c>
      <c r="K859" s="1">
        <v>920.22</v>
      </c>
      <c r="L859" s="1">
        <v>0</v>
      </c>
      <c r="M859" s="1">
        <v>920.22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920.22</v>
      </c>
      <c r="U859" s="1">
        <f>IF(Table14[[#This Row],[I_0]] &lt; INDEX(Table28[Filtro de ruido],1), 1, Table14[[#This Row],[I_10]] / Table14[[#This Row],[I_0]])</f>
        <v>1</v>
      </c>
      <c r="V859" s="1">
        <f>IF(Table14[[#This Row],[I_0]] &lt; INDEX(Table28[Filtro de ruido],1), 1, Table14[[#This Row],[I_20]] / Table14[[#This Row],[I_0]])</f>
        <v>1</v>
      </c>
      <c r="W859" s="1">
        <f>IF(Table14[[#This Row],[I_0]] &lt; INDEX(Table28[Filtro de ruido],1), 1, Table14[[#This Row],[I_30]] / Table14[[#This Row],[I_0]])</f>
        <v>1</v>
      </c>
      <c r="X859" s="1">
        <f>IF(Table14[[#This Row],[I_0]] &lt; INDEX(Table28[Filtro de ruido],1), 1, Table14[[#This Row],[I_40]] / Table14[[#This Row],[I_0]])</f>
        <v>1</v>
      </c>
      <c r="Y859" s="19">
        <f>IF(Table14[[#This Row],[I_0]] &lt; INDEX(Table28[Filtro de ruido],1), 1, Table14[[#This Row],[I_50]] / Table14[[#This Row],[I_0]])</f>
        <v>1</v>
      </c>
      <c r="AA859" s="1"/>
    </row>
    <row r="860" spans="1:27" x14ac:dyDescent="0.3">
      <c r="A860" s="18">
        <v>921.21</v>
      </c>
      <c r="B860" s="1">
        <v>0</v>
      </c>
      <c r="C860" s="1">
        <v>921.21</v>
      </c>
      <c r="D860" s="1">
        <v>0</v>
      </c>
      <c r="E860" s="1">
        <v>921.21</v>
      </c>
      <c r="F860" s="1">
        <v>0</v>
      </c>
      <c r="G860" s="1">
        <v>921.21</v>
      </c>
      <c r="H860" s="1">
        <v>0</v>
      </c>
      <c r="I860" s="1">
        <v>921.21</v>
      </c>
      <c r="J860" s="1">
        <v>0</v>
      </c>
      <c r="K860" s="1">
        <v>921.21</v>
      </c>
      <c r="L860" s="1">
        <v>0</v>
      </c>
      <c r="M860" s="1">
        <v>921.21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921.21</v>
      </c>
      <c r="U860" s="1">
        <f>IF(Table14[[#This Row],[I_0]] &lt; INDEX(Table28[Filtro de ruido],1), 1, Table14[[#This Row],[I_10]] / Table14[[#This Row],[I_0]])</f>
        <v>1</v>
      </c>
      <c r="V860" s="1">
        <f>IF(Table14[[#This Row],[I_0]] &lt; INDEX(Table28[Filtro de ruido],1), 1, Table14[[#This Row],[I_20]] / Table14[[#This Row],[I_0]])</f>
        <v>1</v>
      </c>
      <c r="W860" s="1">
        <f>IF(Table14[[#This Row],[I_0]] &lt; INDEX(Table28[Filtro de ruido],1), 1, Table14[[#This Row],[I_30]] / Table14[[#This Row],[I_0]])</f>
        <v>1</v>
      </c>
      <c r="X860" s="1">
        <f>IF(Table14[[#This Row],[I_0]] &lt; INDEX(Table28[Filtro de ruido],1), 1, Table14[[#This Row],[I_40]] / Table14[[#This Row],[I_0]])</f>
        <v>1</v>
      </c>
      <c r="Y860" s="19">
        <f>IF(Table14[[#This Row],[I_0]] &lt; INDEX(Table28[Filtro de ruido],1), 1, Table14[[#This Row],[I_50]] / Table14[[#This Row],[I_0]])</f>
        <v>1</v>
      </c>
      <c r="AA860" s="1"/>
    </row>
    <row r="861" spans="1:27" x14ac:dyDescent="0.3">
      <c r="A861" s="18">
        <v>922.21</v>
      </c>
      <c r="B861" s="1">
        <v>0</v>
      </c>
      <c r="C861" s="1">
        <v>922.21</v>
      </c>
      <c r="D861" s="1">
        <v>0</v>
      </c>
      <c r="E861" s="1">
        <v>922.21</v>
      </c>
      <c r="F861" s="1">
        <v>0</v>
      </c>
      <c r="G861" s="1">
        <v>922.21</v>
      </c>
      <c r="H861" s="1">
        <v>0</v>
      </c>
      <c r="I861" s="1">
        <v>922.21</v>
      </c>
      <c r="J861" s="1">
        <v>0</v>
      </c>
      <c r="K861" s="1">
        <v>922.21</v>
      </c>
      <c r="L861" s="1">
        <v>0</v>
      </c>
      <c r="M861" s="1">
        <v>922.21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922.21</v>
      </c>
      <c r="U861" s="1">
        <f>IF(Table14[[#This Row],[I_0]] &lt; INDEX(Table28[Filtro de ruido],1), 1, Table14[[#This Row],[I_10]] / Table14[[#This Row],[I_0]])</f>
        <v>1</v>
      </c>
      <c r="V861" s="1">
        <f>IF(Table14[[#This Row],[I_0]] &lt; INDEX(Table28[Filtro de ruido],1), 1, Table14[[#This Row],[I_20]] / Table14[[#This Row],[I_0]])</f>
        <v>1</v>
      </c>
      <c r="W861" s="1">
        <f>IF(Table14[[#This Row],[I_0]] &lt; INDEX(Table28[Filtro de ruido],1), 1, Table14[[#This Row],[I_30]] / Table14[[#This Row],[I_0]])</f>
        <v>1</v>
      </c>
      <c r="X861" s="1">
        <f>IF(Table14[[#This Row],[I_0]] &lt; INDEX(Table28[Filtro de ruido],1), 1, Table14[[#This Row],[I_40]] / Table14[[#This Row],[I_0]])</f>
        <v>1</v>
      </c>
      <c r="Y861" s="19">
        <f>IF(Table14[[#This Row],[I_0]] &lt; INDEX(Table28[Filtro de ruido],1), 1, Table14[[#This Row],[I_50]] / Table14[[#This Row],[I_0]])</f>
        <v>1</v>
      </c>
      <c r="AA861" s="1"/>
    </row>
    <row r="862" spans="1:27" x14ac:dyDescent="0.3">
      <c r="A862" s="18">
        <v>923.2</v>
      </c>
      <c r="B862" s="1">
        <v>0</v>
      </c>
      <c r="C862" s="1">
        <v>923.2</v>
      </c>
      <c r="D862" s="1">
        <v>0</v>
      </c>
      <c r="E862" s="1">
        <v>923.2</v>
      </c>
      <c r="F862" s="1">
        <v>0</v>
      </c>
      <c r="G862" s="1">
        <v>923.2</v>
      </c>
      <c r="H862" s="1">
        <v>0</v>
      </c>
      <c r="I862" s="1">
        <v>923.2</v>
      </c>
      <c r="J862" s="1">
        <v>0</v>
      </c>
      <c r="K862" s="1">
        <v>923.2</v>
      </c>
      <c r="L862" s="1">
        <v>0</v>
      </c>
      <c r="M862" s="1">
        <v>923.2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923.2</v>
      </c>
      <c r="U862" s="1">
        <f>IF(Table14[[#This Row],[I_0]] &lt; INDEX(Table28[Filtro de ruido],1), 1, Table14[[#This Row],[I_10]] / Table14[[#This Row],[I_0]])</f>
        <v>1</v>
      </c>
      <c r="V862" s="1">
        <f>IF(Table14[[#This Row],[I_0]] &lt; INDEX(Table28[Filtro de ruido],1), 1, Table14[[#This Row],[I_20]] / Table14[[#This Row],[I_0]])</f>
        <v>1</v>
      </c>
      <c r="W862" s="1">
        <f>IF(Table14[[#This Row],[I_0]] &lt; INDEX(Table28[Filtro de ruido],1), 1, Table14[[#This Row],[I_30]] / Table14[[#This Row],[I_0]])</f>
        <v>1</v>
      </c>
      <c r="X862" s="1">
        <f>IF(Table14[[#This Row],[I_0]] &lt; INDEX(Table28[Filtro de ruido],1), 1, Table14[[#This Row],[I_40]] / Table14[[#This Row],[I_0]])</f>
        <v>1</v>
      </c>
      <c r="Y862" s="19">
        <f>IF(Table14[[#This Row],[I_0]] &lt; INDEX(Table28[Filtro de ruido],1), 1, Table14[[#This Row],[I_50]] / Table14[[#This Row],[I_0]])</f>
        <v>1</v>
      </c>
      <c r="AA862" s="1"/>
    </row>
    <row r="863" spans="1:27" x14ac:dyDescent="0.3">
      <c r="A863" s="18">
        <v>924.19</v>
      </c>
      <c r="B863" s="1">
        <v>0</v>
      </c>
      <c r="C863" s="1">
        <v>924.19</v>
      </c>
      <c r="D863" s="1">
        <v>0</v>
      </c>
      <c r="E863" s="1">
        <v>924.19</v>
      </c>
      <c r="F863" s="1">
        <v>0</v>
      </c>
      <c r="G863" s="1">
        <v>924.19</v>
      </c>
      <c r="H863" s="1">
        <v>0</v>
      </c>
      <c r="I863" s="1">
        <v>924.19</v>
      </c>
      <c r="J863" s="1">
        <v>0</v>
      </c>
      <c r="K863" s="1">
        <v>924.19</v>
      </c>
      <c r="L863" s="1">
        <v>0</v>
      </c>
      <c r="M863" s="1">
        <v>924.19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924.19</v>
      </c>
      <c r="U863" s="1">
        <f>IF(Table14[[#This Row],[I_0]] &lt; INDEX(Table28[Filtro de ruido],1), 1, Table14[[#This Row],[I_10]] / Table14[[#This Row],[I_0]])</f>
        <v>1</v>
      </c>
      <c r="V863" s="1">
        <f>IF(Table14[[#This Row],[I_0]] &lt; INDEX(Table28[Filtro de ruido],1), 1, Table14[[#This Row],[I_20]] / Table14[[#This Row],[I_0]])</f>
        <v>1</v>
      </c>
      <c r="W863" s="1">
        <f>IF(Table14[[#This Row],[I_0]] &lt; INDEX(Table28[Filtro de ruido],1), 1, Table14[[#This Row],[I_30]] / Table14[[#This Row],[I_0]])</f>
        <v>1</v>
      </c>
      <c r="X863" s="1">
        <f>IF(Table14[[#This Row],[I_0]] &lt; INDEX(Table28[Filtro de ruido],1), 1, Table14[[#This Row],[I_40]] / Table14[[#This Row],[I_0]])</f>
        <v>1</v>
      </c>
      <c r="Y863" s="19">
        <f>IF(Table14[[#This Row],[I_0]] &lt; INDEX(Table28[Filtro de ruido],1), 1, Table14[[#This Row],[I_50]] / Table14[[#This Row],[I_0]])</f>
        <v>1</v>
      </c>
      <c r="AA863" s="1"/>
    </row>
    <row r="864" spans="1:27" x14ac:dyDescent="0.3">
      <c r="A864" s="18">
        <v>925.18</v>
      </c>
      <c r="B864" s="1">
        <v>0</v>
      </c>
      <c r="C864" s="1">
        <v>925.18</v>
      </c>
      <c r="D864" s="1">
        <v>0</v>
      </c>
      <c r="E864" s="1">
        <v>925.18</v>
      </c>
      <c r="F864" s="1">
        <v>0</v>
      </c>
      <c r="G864" s="1">
        <v>925.18</v>
      </c>
      <c r="H864" s="1">
        <v>0</v>
      </c>
      <c r="I864" s="1">
        <v>925.18</v>
      </c>
      <c r="J864" s="1">
        <v>0</v>
      </c>
      <c r="K864" s="1">
        <v>925.18</v>
      </c>
      <c r="L864" s="1">
        <v>0</v>
      </c>
      <c r="M864" s="1">
        <v>925.18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925.18</v>
      </c>
      <c r="U864" s="1">
        <f>IF(Table14[[#This Row],[I_0]] &lt; INDEX(Table28[Filtro de ruido],1), 1, Table14[[#This Row],[I_10]] / Table14[[#This Row],[I_0]])</f>
        <v>1</v>
      </c>
      <c r="V864" s="1">
        <f>IF(Table14[[#This Row],[I_0]] &lt; INDEX(Table28[Filtro de ruido],1), 1, Table14[[#This Row],[I_20]] / Table14[[#This Row],[I_0]])</f>
        <v>1</v>
      </c>
      <c r="W864" s="1">
        <f>IF(Table14[[#This Row],[I_0]] &lt; INDEX(Table28[Filtro de ruido],1), 1, Table14[[#This Row],[I_30]] / Table14[[#This Row],[I_0]])</f>
        <v>1</v>
      </c>
      <c r="X864" s="1">
        <f>IF(Table14[[#This Row],[I_0]] &lt; INDEX(Table28[Filtro de ruido],1), 1, Table14[[#This Row],[I_40]] / Table14[[#This Row],[I_0]])</f>
        <v>1</v>
      </c>
      <c r="Y864" s="19">
        <f>IF(Table14[[#This Row],[I_0]] &lt; INDEX(Table28[Filtro de ruido],1), 1, Table14[[#This Row],[I_50]] / Table14[[#This Row],[I_0]])</f>
        <v>1</v>
      </c>
      <c r="AA864" s="1"/>
    </row>
    <row r="865" spans="1:27" x14ac:dyDescent="0.3">
      <c r="A865" s="18">
        <v>926.17</v>
      </c>
      <c r="B865" s="1">
        <v>0</v>
      </c>
      <c r="C865" s="1">
        <v>926.17</v>
      </c>
      <c r="D865" s="1">
        <v>0</v>
      </c>
      <c r="E865" s="1">
        <v>926.17</v>
      </c>
      <c r="F865" s="1">
        <v>0</v>
      </c>
      <c r="G865" s="1">
        <v>926.17</v>
      </c>
      <c r="H865" s="1">
        <v>0</v>
      </c>
      <c r="I865" s="1">
        <v>926.17</v>
      </c>
      <c r="J865" s="1">
        <v>0</v>
      </c>
      <c r="K865" s="1">
        <v>926.17</v>
      </c>
      <c r="L865" s="1">
        <v>0</v>
      </c>
      <c r="M865" s="1">
        <v>926.17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926.17</v>
      </c>
      <c r="U865" s="1">
        <f>IF(Table14[[#This Row],[I_0]] &lt; INDEX(Table28[Filtro de ruido],1), 1, Table14[[#This Row],[I_10]] / Table14[[#This Row],[I_0]])</f>
        <v>1</v>
      </c>
      <c r="V865" s="1">
        <f>IF(Table14[[#This Row],[I_0]] &lt; INDEX(Table28[Filtro de ruido],1), 1, Table14[[#This Row],[I_20]] / Table14[[#This Row],[I_0]])</f>
        <v>1</v>
      </c>
      <c r="W865" s="1">
        <f>IF(Table14[[#This Row],[I_0]] &lt; INDEX(Table28[Filtro de ruido],1), 1, Table14[[#This Row],[I_30]] / Table14[[#This Row],[I_0]])</f>
        <v>1</v>
      </c>
      <c r="X865" s="1">
        <f>IF(Table14[[#This Row],[I_0]] &lt; INDEX(Table28[Filtro de ruido],1), 1, Table14[[#This Row],[I_40]] / Table14[[#This Row],[I_0]])</f>
        <v>1</v>
      </c>
      <c r="Y865" s="19">
        <f>IF(Table14[[#This Row],[I_0]] &lt; INDEX(Table28[Filtro de ruido],1), 1, Table14[[#This Row],[I_50]] / Table14[[#This Row],[I_0]])</f>
        <v>1</v>
      </c>
      <c r="AA865" s="1"/>
    </row>
    <row r="866" spans="1:27" x14ac:dyDescent="0.3">
      <c r="A866" s="18">
        <v>927.17</v>
      </c>
      <c r="B866" s="1">
        <v>0</v>
      </c>
      <c r="C866" s="1">
        <v>927.17</v>
      </c>
      <c r="D866" s="1">
        <v>0</v>
      </c>
      <c r="E866" s="1">
        <v>927.17</v>
      </c>
      <c r="F866" s="1">
        <v>0</v>
      </c>
      <c r="G866" s="1">
        <v>927.17</v>
      </c>
      <c r="H866" s="1">
        <v>0</v>
      </c>
      <c r="I866" s="1">
        <v>927.17</v>
      </c>
      <c r="J866" s="1">
        <v>0</v>
      </c>
      <c r="K866" s="1">
        <v>927.17</v>
      </c>
      <c r="L866" s="1">
        <v>0</v>
      </c>
      <c r="M866" s="1">
        <v>927.17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927.17</v>
      </c>
      <c r="U866" s="1">
        <f>IF(Table14[[#This Row],[I_0]] &lt; INDEX(Table28[Filtro de ruido],1), 1, Table14[[#This Row],[I_10]] / Table14[[#This Row],[I_0]])</f>
        <v>1</v>
      </c>
      <c r="V866" s="1">
        <f>IF(Table14[[#This Row],[I_0]] &lt; INDEX(Table28[Filtro de ruido],1), 1, Table14[[#This Row],[I_20]] / Table14[[#This Row],[I_0]])</f>
        <v>1</v>
      </c>
      <c r="W866" s="1">
        <f>IF(Table14[[#This Row],[I_0]] &lt; INDEX(Table28[Filtro de ruido],1), 1, Table14[[#This Row],[I_30]] / Table14[[#This Row],[I_0]])</f>
        <v>1</v>
      </c>
      <c r="X866" s="1">
        <f>IF(Table14[[#This Row],[I_0]] &lt; INDEX(Table28[Filtro de ruido],1), 1, Table14[[#This Row],[I_40]] / Table14[[#This Row],[I_0]])</f>
        <v>1</v>
      </c>
      <c r="Y866" s="19">
        <f>IF(Table14[[#This Row],[I_0]] &lt; INDEX(Table28[Filtro de ruido],1), 1, Table14[[#This Row],[I_50]] / Table14[[#This Row],[I_0]])</f>
        <v>1</v>
      </c>
      <c r="AA866" s="1"/>
    </row>
    <row r="867" spans="1:27" x14ac:dyDescent="0.3">
      <c r="A867" s="18">
        <v>928.16</v>
      </c>
      <c r="B867" s="1">
        <v>0</v>
      </c>
      <c r="C867" s="1">
        <v>928.16</v>
      </c>
      <c r="D867" s="1">
        <v>0</v>
      </c>
      <c r="E867" s="1">
        <v>928.16</v>
      </c>
      <c r="F867" s="1">
        <v>0</v>
      </c>
      <c r="G867" s="1">
        <v>928.16</v>
      </c>
      <c r="H867" s="1">
        <v>0</v>
      </c>
      <c r="I867" s="1">
        <v>928.16</v>
      </c>
      <c r="J867" s="1">
        <v>0</v>
      </c>
      <c r="K867" s="1">
        <v>928.16</v>
      </c>
      <c r="L867" s="1">
        <v>0</v>
      </c>
      <c r="M867" s="1">
        <v>928.16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928.16</v>
      </c>
      <c r="U867" s="1">
        <f>IF(Table14[[#This Row],[I_0]] &lt; INDEX(Table28[Filtro de ruido],1), 1, Table14[[#This Row],[I_10]] / Table14[[#This Row],[I_0]])</f>
        <v>1</v>
      </c>
      <c r="V867" s="1">
        <f>IF(Table14[[#This Row],[I_0]] &lt; INDEX(Table28[Filtro de ruido],1), 1, Table14[[#This Row],[I_20]] / Table14[[#This Row],[I_0]])</f>
        <v>1</v>
      </c>
      <c r="W867" s="1">
        <f>IF(Table14[[#This Row],[I_0]] &lt; INDEX(Table28[Filtro de ruido],1), 1, Table14[[#This Row],[I_30]] / Table14[[#This Row],[I_0]])</f>
        <v>1</v>
      </c>
      <c r="X867" s="1">
        <f>IF(Table14[[#This Row],[I_0]] &lt; INDEX(Table28[Filtro de ruido],1), 1, Table14[[#This Row],[I_40]] / Table14[[#This Row],[I_0]])</f>
        <v>1</v>
      </c>
      <c r="Y867" s="19">
        <f>IF(Table14[[#This Row],[I_0]] &lt; INDEX(Table28[Filtro de ruido],1), 1, Table14[[#This Row],[I_50]] / Table14[[#This Row],[I_0]])</f>
        <v>1</v>
      </c>
      <c r="AA867" s="1"/>
    </row>
    <row r="868" spans="1:27" x14ac:dyDescent="0.3">
      <c r="A868" s="18">
        <v>929.15</v>
      </c>
      <c r="B868" s="1">
        <v>0</v>
      </c>
      <c r="C868" s="1">
        <v>929.15</v>
      </c>
      <c r="D868" s="1">
        <v>0</v>
      </c>
      <c r="E868" s="1">
        <v>929.15</v>
      </c>
      <c r="F868" s="1">
        <v>0</v>
      </c>
      <c r="G868" s="1">
        <v>929.15</v>
      </c>
      <c r="H868" s="1">
        <v>0</v>
      </c>
      <c r="I868" s="1">
        <v>929.15</v>
      </c>
      <c r="J868" s="1">
        <v>0</v>
      </c>
      <c r="K868" s="1">
        <v>929.15</v>
      </c>
      <c r="L868" s="1">
        <v>0</v>
      </c>
      <c r="M868" s="1">
        <v>929.15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929.15</v>
      </c>
      <c r="U868" s="1">
        <f>IF(Table14[[#This Row],[I_0]] &lt; INDEX(Table28[Filtro de ruido],1), 1, Table14[[#This Row],[I_10]] / Table14[[#This Row],[I_0]])</f>
        <v>1</v>
      </c>
      <c r="V868" s="1">
        <f>IF(Table14[[#This Row],[I_0]] &lt; INDEX(Table28[Filtro de ruido],1), 1, Table14[[#This Row],[I_20]] / Table14[[#This Row],[I_0]])</f>
        <v>1</v>
      </c>
      <c r="W868" s="1">
        <f>IF(Table14[[#This Row],[I_0]] &lt; INDEX(Table28[Filtro de ruido],1), 1, Table14[[#This Row],[I_30]] / Table14[[#This Row],[I_0]])</f>
        <v>1</v>
      </c>
      <c r="X868" s="1">
        <f>IF(Table14[[#This Row],[I_0]] &lt; INDEX(Table28[Filtro de ruido],1), 1, Table14[[#This Row],[I_40]] / Table14[[#This Row],[I_0]])</f>
        <v>1</v>
      </c>
      <c r="Y868" s="19">
        <f>IF(Table14[[#This Row],[I_0]] &lt; INDEX(Table28[Filtro de ruido],1), 1, Table14[[#This Row],[I_50]] / Table14[[#This Row],[I_0]])</f>
        <v>1</v>
      </c>
      <c r="AA868" s="1"/>
    </row>
    <row r="869" spans="1:27" x14ac:dyDescent="0.3">
      <c r="A869" s="18">
        <v>930.14</v>
      </c>
      <c r="B869" s="1">
        <v>0</v>
      </c>
      <c r="C869" s="1">
        <v>930.14</v>
      </c>
      <c r="D869" s="1">
        <v>0</v>
      </c>
      <c r="E869" s="1">
        <v>930.14</v>
      </c>
      <c r="F869" s="1">
        <v>0</v>
      </c>
      <c r="G869" s="1">
        <v>930.14</v>
      </c>
      <c r="H869" s="1">
        <v>0</v>
      </c>
      <c r="I869" s="1">
        <v>930.14</v>
      </c>
      <c r="J869" s="1">
        <v>0</v>
      </c>
      <c r="K869" s="1">
        <v>930.14</v>
      </c>
      <c r="L869" s="1">
        <v>0</v>
      </c>
      <c r="M869" s="1">
        <v>930.14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930.14</v>
      </c>
      <c r="U869" s="1">
        <f>IF(Table14[[#This Row],[I_0]] &lt; INDEX(Table28[Filtro de ruido],1), 1, Table14[[#This Row],[I_10]] / Table14[[#This Row],[I_0]])</f>
        <v>1</v>
      </c>
      <c r="V869" s="1">
        <f>IF(Table14[[#This Row],[I_0]] &lt; INDEX(Table28[Filtro de ruido],1), 1, Table14[[#This Row],[I_20]] / Table14[[#This Row],[I_0]])</f>
        <v>1</v>
      </c>
      <c r="W869" s="1">
        <f>IF(Table14[[#This Row],[I_0]] &lt; INDEX(Table28[Filtro de ruido],1), 1, Table14[[#This Row],[I_30]] / Table14[[#This Row],[I_0]])</f>
        <v>1</v>
      </c>
      <c r="X869" s="1">
        <f>IF(Table14[[#This Row],[I_0]] &lt; INDEX(Table28[Filtro de ruido],1), 1, Table14[[#This Row],[I_40]] / Table14[[#This Row],[I_0]])</f>
        <v>1</v>
      </c>
      <c r="Y869" s="19">
        <f>IF(Table14[[#This Row],[I_0]] &lt; INDEX(Table28[Filtro de ruido],1), 1, Table14[[#This Row],[I_50]] / Table14[[#This Row],[I_0]])</f>
        <v>1</v>
      </c>
      <c r="AA869" s="1"/>
    </row>
    <row r="870" spans="1:27" x14ac:dyDescent="0.3">
      <c r="A870" s="18">
        <v>931.13</v>
      </c>
      <c r="B870" s="1">
        <v>0</v>
      </c>
      <c r="C870" s="1">
        <v>931.13</v>
      </c>
      <c r="D870" s="1">
        <v>0</v>
      </c>
      <c r="E870" s="1">
        <v>931.13</v>
      </c>
      <c r="F870" s="1">
        <v>0</v>
      </c>
      <c r="G870" s="1">
        <v>931.13</v>
      </c>
      <c r="H870" s="1">
        <v>0</v>
      </c>
      <c r="I870" s="1">
        <v>931.13</v>
      </c>
      <c r="J870" s="1">
        <v>0</v>
      </c>
      <c r="K870" s="1">
        <v>931.13</v>
      </c>
      <c r="L870" s="1">
        <v>0</v>
      </c>
      <c r="M870" s="1">
        <v>931.13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931.13</v>
      </c>
      <c r="U870" s="1">
        <f>IF(Table14[[#This Row],[I_0]] &lt; INDEX(Table28[Filtro de ruido],1), 1, Table14[[#This Row],[I_10]] / Table14[[#This Row],[I_0]])</f>
        <v>1</v>
      </c>
      <c r="V870" s="1">
        <f>IF(Table14[[#This Row],[I_0]] &lt; INDEX(Table28[Filtro de ruido],1), 1, Table14[[#This Row],[I_20]] / Table14[[#This Row],[I_0]])</f>
        <v>1</v>
      </c>
      <c r="W870" s="1">
        <f>IF(Table14[[#This Row],[I_0]] &lt; INDEX(Table28[Filtro de ruido],1), 1, Table14[[#This Row],[I_30]] / Table14[[#This Row],[I_0]])</f>
        <v>1</v>
      </c>
      <c r="X870" s="1">
        <f>IF(Table14[[#This Row],[I_0]] &lt; INDEX(Table28[Filtro de ruido],1), 1, Table14[[#This Row],[I_40]] / Table14[[#This Row],[I_0]])</f>
        <v>1</v>
      </c>
      <c r="Y870" s="19">
        <f>IF(Table14[[#This Row],[I_0]] &lt; INDEX(Table28[Filtro de ruido],1), 1, Table14[[#This Row],[I_50]] / Table14[[#This Row],[I_0]])</f>
        <v>1</v>
      </c>
      <c r="AA870" s="1"/>
    </row>
    <row r="871" spans="1:27" x14ac:dyDescent="0.3">
      <c r="A871" s="18">
        <v>932.12</v>
      </c>
      <c r="B871" s="1">
        <v>0</v>
      </c>
      <c r="C871" s="1">
        <v>932.12</v>
      </c>
      <c r="D871" s="1">
        <v>0</v>
      </c>
      <c r="E871" s="1">
        <v>932.12</v>
      </c>
      <c r="F871" s="1">
        <v>0</v>
      </c>
      <c r="G871" s="1">
        <v>932.12</v>
      </c>
      <c r="H871" s="1">
        <v>0</v>
      </c>
      <c r="I871" s="1">
        <v>932.12</v>
      </c>
      <c r="J871" s="1">
        <v>0</v>
      </c>
      <c r="K871" s="1">
        <v>932.12</v>
      </c>
      <c r="L871" s="1">
        <v>0</v>
      </c>
      <c r="M871" s="1">
        <v>932.12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932.12</v>
      </c>
      <c r="U871" s="1">
        <f>IF(Table14[[#This Row],[I_0]] &lt; INDEX(Table28[Filtro de ruido],1), 1, Table14[[#This Row],[I_10]] / Table14[[#This Row],[I_0]])</f>
        <v>1</v>
      </c>
      <c r="V871" s="1">
        <f>IF(Table14[[#This Row],[I_0]] &lt; INDEX(Table28[Filtro de ruido],1), 1, Table14[[#This Row],[I_20]] / Table14[[#This Row],[I_0]])</f>
        <v>1</v>
      </c>
      <c r="W871" s="1">
        <f>IF(Table14[[#This Row],[I_0]] &lt; INDEX(Table28[Filtro de ruido],1), 1, Table14[[#This Row],[I_30]] / Table14[[#This Row],[I_0]])</f>
        <v>1</v>
      </c>
      <c r="X871" s="1">
        <f>IF(Table14[[#This Row],[I_0]] &lt; INDEX(Table28[Filtro de ruido],1), 1, Table14[[#This Row],[I_40]] / Table14[[#This Row],[I_0]])</f>
        <v>1</v>
      </c>
      <c r="Y871" s="19">
        <f>IF(Table14[[#This Row],[I_0]] &lt; INDEX(Table28[Filtro de ruido],1), 1, Table14[[#This Row],[I_50]] / Table14[[#This Row],[I_0]])</f>
        <v>1</v>
      </c>
      <c r="AA871" s="1"/>
    </row>
    <row r="872" spans="1:27" x14ac:dyDescent="0.3">
      <c r="A872" s="18">
        <v>933.12</v>
      </c>
      <c r="B872" s="1">
        <v>0</v>
      </c>
      <c r="C872" s="1">
        <v>933.12</v>
      </c>
      <c r="D872" s="1">
        <v>0</v>
      </c>
      <c r="E872" s="1">
        <v>933.12</v>
      </c>
      <c r="F872" s="1">
        <v>0</v>
      </c>
      <c r="G872" s="1">
        <v>933.12</v>
      </c>
      <c r="H872" s="1">
        <v>0</v>
      </c>
      <c r="I872" s="1">
        <v>933.12</v>
      </c>
      <c r="J872" s="1">
        <v>0</v>
      </c>
      <c r="K872" s="1">
        <v>933.12</v>
      </c>
      <c r="L872" s="1">
        <v>0</v>
      </c>
      <c r="M872" s="1">
        <v>933.12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933.12</v>
      </c>
      <c r="U872" s="1">
        <f>IF(Table14[[#This Row],[I_0]] &lt; INDEX(Table28[Filtro de ruido],1), 1, Table14[[#This Row],[I_10]] / Table14[[#This Row],[I_0]])</f>
        <v>1</v>
      </c>
      <c r="V872" s="1">
        <f>IF(Table14[[#This Row],[I_0]] &lt; INDEX(Table28[Filtro de ruido],1), 1, Table14[[#This Row],[I_20]] / Table14[[#This Row],[I_0]])</f>
        <v>1</v>
      </c>
      <c r="W872" s="1">
        <f>IF(Table14[[#This Row],[I_0]] &lt; INDEX(Table28[Filtro de ruido],1), 1, Table14[[#This Row],[I_30]] / Table14[[#This Row],[I_0]])</f>
        <v>1</v>
      </c>
      <c r="X872" s="1">
        <f>IF(Table14[[#This Row],[I_0]] &lt; INDEX(Table28[Filtro de ruido],1), 1, Table14[[#This Row],[I_40]] / Table14[[#This Row],[I_0]])</f>
        <v>1</v>
      </c>
      <c r="Y872" s="19">
        <f>IF(Table14[[#This Row],[I_0]] &lt; INDEX(Table28[Filtro de ruido],1), 1, Table14[[#This Row],[I_50]] / Table14[[#This Row],[I_0]])</f>
        <v>1</v>
      </c>
      <c r="AA872" s="1"/>
    </row>
    <row r="873" spans="1:27" x14ac:dyDescent="0.3">
      <c r="A873" s="18">
        <v>934.11</v>
      </c>
      <c r="B873" s="1">
        <v>0</v>
      </c>
      <c r="C873" s="1">
        <v>934.11</v>
      </c>
      <c r="D873" s="1">
        <v>0</v>
      </c>
      <c r="E873" s="1">
        <v>934.11</v>
      </c>
      <c r="F873" s="1">
        <v>0</v>
      </c>
      <c r="G873" s="1">
        <v>934.11</v>
      </c>
      <c r="H873" s="1">
        <v>0</v>
      </c>
      <c r="I873" s="1">
        <v>934.11</v>
      </c>
      <c r="J873" s="1">
        <v>0</v>
      </c>
      <c r="K873" s="1">
        <v>934.11</v>
      </c>
      <c r="L873" s="1">
        <v>0</v>
      </c>
      <c r="M873" s="1">
        <v>934.11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934.11</v>
      </c>
      <c r="U873" s="1">
        <f>IF(Table14[[#This Row],[I_0]] &lt; INDEX(Table28[Filtro de ruido],1), 1, Table14[[#This Row],[I_10]] / Table14[[#This Row],[I_0]])</f>
        <v>1</v>
      </c>
      <c r="V873" s="1">
        <f>IF(Table14[[#This Row],[I_0]] &lt; INDEX(Table28[Filtro de ruido],1), 1, Table14[[#This Row],[I_20]] / Table14[[#This Row],[I_0]])</f>
        <v>1</v>
      </c>
      <c r="W873" s="1">
        <f>IF(Table14[[#This Row],[I_0]] &lt; INDEX(Table28[Filtro de ruido],1), 1, Table14[[#This Row],[I_30]] / Table14[[#This Row],[I_0]])</f>
        <v>1</v>
      </c>
      <c r="X873" s="1">
        <f>IF(Table14[[#This Row],[I_0]] &lt; INDEX(Table28[Filtro de ruido],1), 1, Table14[[#This Row],[I_40]] / Table14[[#This Row],[I_0]])</f>
        <v>1</v>
      </c>
      <c r="Y873" s="19">
        <f>IF(Table14[[#This Row],[I_0]] &lt; INDEX(Table28[Filtro de ruido],1), 1, Table14[[#This Row],[I_50]] / Table14[[#This Row],[I_0]])</f>
        <v>1</v>
      </c>
      <c r="AA873" s="1"/>
    </row>
    <row r="874" spans="1:27" x14ac:dyDescent="0.3">
      <c r="A874" s="18">
        <v>935.1</v>
      </c>
      <c r="B874" s="1">
        <v>0</v>
      </c>
      <c r="C874" s="1">
        <v>935.1</v>
      </c>
      <c r="D874" s="1">
        <v>0</v>
      </c>
      <c r="E874" s="1">
        <v>935.1</v>
      </c>
      <c r="F874" s="1">
        <v>0</v>
      </c>
      <c r="G874" s="1">
        <v>935.1</v>
      </c>
      <c r="H874" s="1">
        <v>0</v>
      </c>
      <c r="I874" s="1">
        <v>935.1</v>
      </c>
      <c r="J874" s="1">
        <v>0</v>
      </c>
      <c r="K874" s="1">
        <v>935.1</v>
      </c>
      <c r="L874" s="1">
        <v>0</v>
      </c>
      <c r="M874" s="1">
        <v>935.1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935.1</v>
      </c>
      <c r="U874" s="1">
        <f>IF(Table14[[#This Row],[I_0]] &lt; INDEX(Table28[Filtro de ruido],1), 1, Table14[[#This Row],[I_10]] / Table14[[#This Row],[I_0]])</f>
        <v>1</v>
      </c>
      <c r="V874" s="1">
        <f>IF(Table14[[#This Row],[I_0]] &lt; INDEX(Table28[Filtro de ruido],1), 1, Table14[[#This Row],[I_20]] / Table14[[#This Row],[I_0]])</f>
        <v>1</v>
      </c>
      <c r="W874" s="1">
        <f>IF(Table14[[#This Row],[I_0]] &lt; INDEX(Table28[Filtro de ruido],1), 1, Table14[[#This Row],[I_30]] / Table14[[#This Row],[I_0]])</f>
        <v>1</v>
      </c>
      <c r="X874" s="1">
        <f>IF(Table14[[#This Row],[I_0]] &lt; INDEX(Table28[Filtro de ruido],1), 1, Table14[[#This Row],[I_40]] / Table14[[#This Row],[I_0]])</f>
        <v>1</v>
      </c>
      <c r="Y874" s="19">
        <f>IF(Table14[[#This Row],[I_0]] &lt; INDEX(Table28[Filtro de ruido],1), 1, Table14[[#This Row],[I_50]] / Table14[[#This Row],[I_0]])</f>
        <v>1</v>
      </c>
      <c r="AA874" s="1"/>
    </row>
    <row r="875" spans="1:27" x14ac:dyDescent="0.3">
      <c r="A875" s="18">
        <v>936.09</v>
      </c>
      <c r="B875" s="1">
        <v>0</v>
      </c>
      <c r="C875" s="1">
        <v>936.09</v>
      </c>
      <c r="D875" s="1">
        <v>0</v>
      </c>
      <c r="E875" s="1">
        <v>936.09</v>
      </c>
      <c r="F875" s="1">
        <v>0</v>
      </c>
      <c r="G875" s="1">
        <v>936.09</v>
      </c>
      <c r="H875" s="1">
        <v>0</v>
      </c>
      <c r="I875" s="1">
        <v>936.09</v>
      </c>
      <c r="J875" s="1">
        <v>0</v>
      </c>
      <c r="K875" s="1">
        <v>936.09</v>
      </c>
      <c r="L875" s="1">
        <v>0</v>
      </c>
      <c r="M875" s="1">
        <v>936.09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936.09</v>
      </c>
      <c r="U875" s="1">
        <f>IF(Table14[[#This Row],[I_0]] &lt; INDEX(Table28[Filtro de ruido],1), 1, Table14[[#This Row],[I_10]] / Table14[[#This Row],[I_0]])</f>
        <v>1</v>
      </c>
      <c r="V875" s="1">
        <f>IF(Table14[[#This Row],[I_0]] &lt; INDEX(Table28[Filtro de ruido],1), 1, Table14[[#This Row],[I_20]] / Table14[[#This Row],[I_0]])</f>
        <v>1</v>
      </c>
      <c r="W875" s="1">
        <f>IF(Table14[[#This Row],[I_0]] &lt; INDEX(Table28[Filtro de ruido],1), 1, Table14[[#This Row],[I_30]] / Table14[[#This Row],[I_0]])</f>
        <v>1</v>
      </c>
      <c r="X875" s="1">
        <f>IF(Table14[[#This Row],[I_0]] &lt; INDEX(Table28[Filtro de ruido],1), 1, Table14[[#This Row],[I_40]] / Table14[[#This Row],[I_0]])</f>
        <v>1</v>
      </c>
      <c r="Y875" s="19">
        <f>IF(Table14[[#This Row],[I_0]] &lt; INDEX(Table28[Filtro de ruido],1), 1, Table14[[#This Row],[I_50]] / Table14[[#This Row],[I_0]])</f>
        <v>1</v>
      </c>
      <c r="AA875" s="1"/>
    </row>
    <row r="876" spans="1:27" x14ac:dyDescent="0.3">
      <c r="A876" s="18">
        <v>937.08</v>
      </c>
      <c r="B876" s="1">
        <v>0</v>
      </c>
      <c r="C876" s="1">
        <v>937.08</v>
      </c>
      <c r="D876" s="1">
        <v>0</v>
      </c>
      <c r="E876" s="1">
        <v>937.08</v>
      </c>
      <c r="F876" s="1">
        <v>0</v>
      </c>
      <c r="G876" s="1">
        <v>937.08</v>
      </c>
      <c r="H876" s="1">
        <v>0</v>
      </c>
      <c r="I876" s="1">
        <v>937.08</v>
      </c>
      <c r="J876" s="1">
        <v>0</v>
      </c>
      <c r="K876" s="1">
        <v>937.08</v>
      </c>
      <c r="L876" s="1">
        <v>0</v>
      </c>
      <c r="M876" s="1">
        <v>937.08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937.08</v>
      </c>
      <c r="U876" s="1">
        <f>IF(Table14[[#This Row],[I_0]] &lt; INDEX(Table28[Filtro de ruido],1), 1, Table14[[#This Row],[I_10]] / Table14[[#This Row],[I_0]])</f>
        <v>1</v>
      </c>
      <c r="V876" s="1">
        <f>IF(Table14[[#This Row],[I_0]] &lt; INDEX(Table28[Filtro de ruido],1), 1, Table14[[#This Row],[I_20]] / Table14[[#This Row],[I_0]])</f>
        <v>1</v>
      </c>
      <c r="W876" s="1">
        <f>IF(Table14[[#This Row],[I_0]] &lt; INDEX(Table28[Filtro de ruido],1), 1, Table14[[#This Row],[I_30]] / Table14[[#This Row],[I_0]])</f>
        <v>1</v>
      </c>
      <c r="X876" s="1">
        <f>IF(Table14[[#This Row],[I_0]] &lt; INDEX(Table28[Filtro de ruido],1), 1, Table14[[#This Row],[I_40]] / Table14[[#This Row],[I_0]])</f>
        <v>1</v>
      </c>
      <c r="Y876" s="19">
        <f>IF(Table14[[#This Row],[I_0]] &lt; INDEX(Table28[Filtro de ruido],1), 1, Table14[[#This Row],[I_50]] / Table14[[#This Row],[I_0]])</f>
        <v>1</v>
      </c>
      <c r="AA876" s="1"/>
    </row>
    <row r="877" spans="1:27" x14ac:dyDescent="0.3">
      <c r="A877" s="18">
        <v>938.07</v>
      </c>
      <c r="B877" s="1">
        <v>0</v>
      </c>
      <c r="C877" s="1">
        <v>938.07</v>
      </c>
      <c r="D877" s="1">
        <v>0</v>
      </c>
      <c r="E877" s="1">
        <v>938.07</v>
      </c>
      <c r="F877" s="1">
        <v>0</v>
      </c>
      <c r="G877" s="1">
        <v>938.07</v>
      </c>
      <c r="H877" s="1">
        <v>0</v>
      </c>
      <c r="I877" s="1">
        <v>938.07</v>
      </c>
      <c r="J877" s="1">
        <v>0</v>
      </c>
      <c r="K877" s="1">
        <v>938.07</v>
      </c>
      <c r="L877" s="1">
        <v>0</v>
      </c>
      <c r="M877" s="1">
        <v>938.07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938.07</v>
      </c>
      <c r="U877" s="1">
        <f>IF(Table14[[#This Row],[I_0]] &lt; INDEX(Table28[Filtro de ruido],1), 1, Table14[[#This Row],[I_10]] / Table14[[#This Row],[I_0]])</f>
        <v>1</v>
      </c>
      <c r="V877" s="1">
        <f>IF(Table14[[#This Row],[I_0]] &lt; INDEX(Table28[Filtro de ruido],1), 1, Table14[[#This Row],[I_20]] / Table14[[#This Row],[I_0]])</f>
        <v>1</v>
      </c>
      <c r="W877" s="1">
        <f>IF(Table14[[#This Row],[I_0]] &lt; INDEX(Table28[Filtro de ruido],1), 1, Table14[[#This Row],[I_30]] / Table14[[#This Row],[I_0]])</f>
        <v>1</v>
      </c>
      <c r="X877" s="1">
        <f>IF(Table14[[#This Row],[I_0]] &lt; INDEX(Table28[Filtro de ruido],1), 1, Table14[[#This Row],[I_40]] / Table14[[#This Row],[I_0]])</f>
        <v>1</v>
      </c>
      <c r="Y877" s="19">
        <f>IF(Table14[[#This Row],[I_0]] &lt; INDEX(Table28[Filtro de ruido],1), 1, Table14[[#This Row],[I_50]] / Table14[[#This Row],[I_0]])</f>
        <v>1</v>
      </c>
      <c r="AA877" s="1"/>
    </row>
    <row r="878" spans="1:27" x14ac:dyDescent="0.3">
      <c r="A878" s="18">
        <v>939.07</v>
      </c>
      <c r="B878" s="1">
        <v>0</v>
      </c>
      <c r="C878" s="1">
        <v>939.07</v>
      </c>
      <c r="D878" s="1">
        <v>0</v>
      </c>
      <c r="E878" s="1">
        <v>939.07</v>
      </c>
      <c r="F878" s="1">
        <v>0</v>
      </c>
      <c r="G878" s="1">
        <v>939.07</v>
      </c>
      <c r="H878" s="1">
        <v>0</v>
      </c>
      <c r="I878" s="1">
        <v>939.07</v>
      </c>
      <c r="J878" s="1">
        <v>0</v>
      </c>
      <c r="K878" s="1">
        <v>939.07</v>
      </c>
      <c r="L878" s="1">
        <v>0</v>
      </c>
      <c r="M878" s="1">
        <v>939.07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939.07</v>
      </c>
      <c r="U878" s="1">
        <f>IF(Table14[[#This Row],[I_0]] &lt; INDEX(Table28[Filtro de ruido],1), 1, Table14[[#This Row],[I_10]] / Table14[[#This Row],[I_0]])</f>
        <v>1</v>
      </c>
      <c r="V878" s="1">
        <f>IF(Table14[[#This Row],[I_0]] &lt; INDEX(Table28[Filtro de ruido],1), 1, Table14[[#This Row],[I_20]] / Table14[[#This Row],[I_0]])</f>
        <v>1</v>
      </c>
      <c r="W878" s="1">
        <f>IF(Table14[[#This Row],[I_0]] &lt; INDEX(Table28[Filtro de ruido],1), 1, Table14[[#This Row],[I_30]] / Table14[[#This Row],[I_0]])</f>
        <v>1</v>
      </c>
      <c r="X878" s="1">
        <f>IF(Table14[[#This Row],[I_0]] &lt; INDEX(Table28[Filtro de ruido],1), 1, Table14[[#This Row],[I_40]] / Table14[[#This Row],[I_0]])</f>
        <v>1</v>
      </c>
      <c r="Y878" s="19">
        <f>IF(Table14[[#This Row],[I_0]] &lt; INDEX(Table28[Filtro de ruido],1), 1, Table14[[#This Row],[I_50]] / Table14[[#This Row],[I_0]])</f>
        <v>1</v>
      </c>
      <c r="AA878" s="1"/>
    </row>
    <row r="879" spans="1:27" x14ac:dyDescent="0.3">
      <c r="A879" s="18">
        <v>940.06</v>
      </c>
      <c r="B879" s="1">
        <v>0</v>
      </c>
      <c r="C879" s="1">
        <v>940.06</v>
      </c>
      <c r="D879" s="1">
        <v>0</v>
      </c>
      <c r="E879" s="1">
        <v>940.06</v>
      </c>
      <c r="F879" s="1">
        <v>0</v>
      </c>
      <c r="G879" s="1">
        <v>940.06</v>
      </c>
      <c r="H879" s="1">
        <v>0</v>
      </c>
      <c r="I879" s="1">
        <v>940.06</v>
      </c>
      <c r="J879" s="1">
        <v>0</v>
      </c>
      <c r="K879" s="1">
        <v>940.06</v>
      </c>
      <c r="L879" s="1">
        <v>0</v>
      </c>
      <c r="M879" s="1">
        <v>940.06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940.06</v>
      </c>
      <c r="U879" s="1">
        <f>IF(Table14[[#This Row],[I_0]] &lt; INDEX(Table28[Filtro de ruido],1), 1, Table14[[#This Row],[I_10]] / Table14[[#This Row],[I_0]])</f>
        <v>1</v>
      </c>
      <c r="V879" s="1">
        <f>IF(Table14[[#This Row],[I_0]] &lt; INDEX(Table28[Filtro de ruido],1), 1, Table14[[#This Row],[I_20]] / Table14[[#This Row],[I_0]])</f>
        <v>1</v>
      </c>
      <c r="W879" s="1">
        <f>IF(Table14[[#This Row],[I_0]] &lt; INDEX(Table28[Filtro de ruido],1), 1, Table14[[#This Row],[I_30]] / Table14[[#This Row],[I_0]])</f>
        <v>1</v>
      </c>
      <c r="X879" s="1">
        <f>IF(Table14[[#This Row],[I_0]] &lt; INDEX(Table28[Filtro de ruido],1), 1, Table14[[#This Row],[I_40]] / Table14[[#This Row],[I_0]])</f>
        <v>1</v>
      </c>
      <c r="Y879" s="19">
        <f>IF(Table14[[#This Row],[I_0]] &lt; INDEX(Table28[Filtro de ruido],1), 1, Table14[[#This Row],[I_50]] / Table14[[#This Row],[I_0]])</f>
        <v>1</v>
      </c>
      <c r="AA879" s="1"/>
    </row>
    <row r="880" spans="1:27" x14ac:dyDescent="0.3">
      <c r="A880" s="18">
        <v>941.05</v>
      </c>
      <c r="B880" s="1">
        <v>0</v>
      </c>
      <c r="C880" s="1">
        <v>941.05</v>
      </c>
      <c r="D880" s="1">
        <v>0</v>
      </c>
      <c r="E880" s="1">
        <v>941.05</v>
      </c>
      <c r="F880" s="1">
        <v>0</v>
      </c>
      <c r="G880" s="1">
        <v>941.05</v>
      </c>
      <c r="H880" s="1">
        <v>0</v>
      </c>
      <c r="I880" s="1">
        <v>941.05</v>
      </c>
      <c r="J880" s="1">
        <v>0</v>
      </c>
      <c r="K880" s="1">
        <v>941.05</v>
      </c>
      <c r="L880" s="1">
        <v>0</v>
      </c>
      <c r="M880" s="1">
        <v>941.05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941.05</v>
      </c>
      <c r="U880" s="1">
        <f>IF(Table14[[#This Row],[I_0]] &lt; INDEX(Table28[Filtro de ruido],1), 1, Table14[[#This Row],[I_10]] / Table14[[#This Row],[I_0]])</f>
        <v>1</v>
      </c>
      <c r="V880" s="1">
        <f>IF(Table14[[#This Row],[I_0]] &lt; INDEX(Table28[Filtro de ruido],1), 1, Table14[[#This Row],[I_20]] / Table14[[#This Row],[I_0]])</f>
        <v>1</v>
      </c>
      <c r="W880" s="1">
        <f>IF(Table14[[#This Row],[I_0]] &lt; INDEX(Table28[Filtro de ruido],1), 1, Table14[[#This Row],[I_30]] / Table14[[#This Row],[I_0]])</f>
        <v>1</v>
      </c>
      <c r="X880" s="1">
        <f>IF(Table14[[#This Row],[I_0]] &lt; INDEX(Table28[Filtro de ruido],1), 1, Table14[[#This Row],[I_40]] / Table14[[#This Row],[I_0]])</f>
        <v>1</v>
      </c>
      <c r="Y880" s="19">
        <f>IF(Table14[[#This Row],[I_0]] &lt; INDEX(Table28[Filtro de ruido],1), 1, Table14[[#This Row],[I_50]] / Table14[[#This Row],[I_0]])</f>
        <v>1</v>
      </c>
      <c r="AA880" s="1"/>
    </row>
    <row r="881" spans="1:27" x14ac:dyDescent="0.3">
      <c r="A881" s="18">
        <v>942.04</v>
      </c>
      <c r="B881" s="1">
        <v>0</v>
      </c>
      <c r="C881" s="1">
        <v>942.04</v>
      </c>
      <c r="D881" s="1">
        <v>0</v>
      </c>
      <c r="E881" s="1">
        <v>942.04</v>
      </c>
      <c r="F881" s="1">
        <v>0</v>
      </c>
      <c r="G881" s="1">
        <v>942.04</v>
      </c>
      <c r="H881" s="1">
        <v>0</v>
      </c>
      <c r="I881" s="1">
        <v>942.04</v>
      </c>
      <c r="J881" s="1">
        <v>0</v>
      </c>
      <c r="K881" s="1">
        <v>942.04</v>
      </c>
      <c r="L881" s="1">
        <v>0</v>
      </c>
      <c r="M881" s="1">
        <v>942.04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942.04</v>
      </c>
      <c r="U881" s="1">
        <f>IF(Table14[[#This Row],[I_0]] &lt; INDEX(Table28[Filtro de ruido],1), 1, Table14[[#This Row],[I_10]] / Table14[[#This Row],[I_0]])</f>
        <v>1</v>
      </c>
      <c r="V881" s="1">
        <f>IF(Table14[[#This Row],[I_0]] &lt; INDEX(Table28[Filtro de ruido],1), 1, Table14[[#This Row],[I_20]] / Table14[[#This Row],[I_0]])</f>
        <v>1</v>
      </c>
      <c r="W881" s="1">
        <f>IF(Table14[[#This Row],[I_0]] &lt; INDEX(Table28[Filtro de ruido],1), 1, Table14[[#This Row],[I_30]] / Table14[[#This Row],[I_0]])</f>
        <v>1</v>
      </c>
      <c r="X881" s="1">
        <f>IF(Table14[[#This Row],[I_0]] &lt; INDEX(Table28[Filtro de ruido],1), 1, Table14[[#This Row],[I_40]] / Table14[[#This Row],[I_0]])</f>
        <v>1</v>
      </c>
      <c r="Y881" s="19">
        <f>IF(Table14[[#This Row],[I_0]] &lt; INDEX(Table28[Filtro de ruido],1), 1, Table14[[#This Row],[I_50]] / Table14[[#This Row],[I_0]])</f>
        <v>1</v>
      </c>
      <c r="AA881" s="1"/>
    </row>
    <row r="882" spans="1:27" x14ac:dyDescent="0.3">
      <c r="A882" s="18">
        <v>943.03</v>
      </c>
      <c r="B882" s="1">
        <v>0</v>
      </c>
      <c r="C882" s="1">
        <v>943.03</v>
      </c>
      <c r="D882" s="1">
        <v>0</v>
      </c>
      <c r="E882" s="1">
        <v>943.03</v>
      </c>
      <c r="F882" s="1">
        <v>0</v>
      </c>
      <c r="G882" s="1">
        <v>943.03</v>
      </c>
      <c r="H882" s="1">
        <v>0</v>
      </c>
      <c r="I882" s="1">
        <v>943.03</v>
      </c>
      <c r="J882" s="1">
        <v>0</v>
      </c>
      <c r="K882" s="1">
        <v>943.03</v>
      </c>
      <c r="L882" s="1">
        <v>0</v>
      </c>
      <c r="M882" s="1">
        <v>943.03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943.03</v>
      </c>
      <c r="U882" s="1">
        <f>IF(Table14[[#This Row],[I_0]] &lt; INDEX(Table28[Filtro de ruido],1), 1, Table14[[#This Row],[I_10]] / Table14[[#This Row],[I_0]])</f>
        <v>1</v>
      </c>
      <c r="V882" s="1">
        <f>IF(Table14[[#This Row],[I_0]] &lt; INDEX(Table28[Filtro de ruido],1), 1, Table14[[#This Row],[I_20]] / Table14[[#This Row],[I_0]])</f>
        <v>1</v>
      </c>
      <c r="W882" s="1">
        <f>IF(Table14[[#This Row],[I_0]] &lt; INDEX(Table28[Filtro de ruido],1), 1, Table14[[#This Row],[I_30]] / Table14[[#This Row],[I_0]])</f>
        <v>1</v>
      </c>
      <c r="X882" s="1">
        <f>IF(Table14[[#This Row],[I_0]] &lt; INDEX(Table28[Filtro de ruido],1), 1, Table14[[#This Row],[I_40]] / Table14[[#This Row],[I_0]])</f>
        <v>1</v>
      </c>
      <c r="Y882" s="19">
        <f>IF(Table14[[#This Row],[I_0]] &lt; INDEX(Table28[Filtro de ruido],1), 1, Table14[[#This Row],[I_50]] / Table14[[#This Row],[I_0]])</f>
        <v>1</v>
      </c>
      <c r="AA882" s="1"/>
    </row>
    <row r="883" spans="1:27" x14ac:dyDescent="0.3">
      <c r="A883" s="18">
        <v>944.03</v>
      </c>
      <c r="B883" s="1">
        <v>0</v>
      </c>
      <c r="C883" s="1">
        <v>944.03</v>
      </c>
      <c r="D883" s="1">
        <v>0</v>
      </c>
      <c r="E883" s="1">
        <v>944.03</v>
      </c>
      <c r="F883" s="1">
        <v>0</v>
      </c>
      <c r="G883" s="1">
        <v>944.03</v>
      </c>
      <c r="H883" s="1">
        <v>0</v>
      </c>
      <c r="I883" s="1">
        <v>944.03</v>
      </c>
      <c r="J883" s="1">
        <v>0</v>
      </c>
      <c r="K883" s="1">
        <v>944.03</v>
      </c>
      <c r="L883" s="1">
        <v>0</v>
      </c>
      <c r="M883" s="1">
        <v>944.03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944.03</v>
      </c>
      <c r="U883" s="1">
        <f>IF(Table14[[#This Row],[I_0]] &lt; INDEX(Table28[Filtro de ruido],1), 1, Table14[[#This Row],[I_10]] / Table14[[#This Row],[I_0]])</f>
        <v>1</v>
      </c>
      <c r="V883" s="1">
        <f>IF(Table14[[#This Row],[I_0]] &lt; INDEX(Table28[Filtro de ruido],1), 1, Table14[[#This Row],[I_20]] / Table14[[#This Row],[I_0]])</f>
        <v>1</v>
      </c>
      <c r="W883" s="1">
        <f>IF(Table14[[#This Row],[I_0]] &lt; INDEX(Table28[Filtro de ruido],1), 1, Table14[[#This Row],[I_30]] / Table14[[#This Row],[I_0]])</f>
        <v>1</v>
      </c>
      <c r="X883" s="1">
        <f>IF(Table14[[#This Row],[I_0]] &lt; INDEX(Table28[Filtro de ruido],1), 1, Table14[[#This Row],[I_40]] / Table14[[#This Row],[I_0]])</f>
        <v>1</v>
      </c>
      <c r="Y883" s="19">
        <f>IF(Table14[[#This Row],[I_0]] &lt; INDEX(Table28[Filtro de ruido],1), 1, Table14[[#This Row],[I_50]] / Table14[[#This Row],[I_0]])</f>
        <v>1</v>
      </c>
      <c r="AA883" s="1"/>
    </row>
    <row r="884" spans="1:27" x14ac:dyDescent="0.3">
      <c r="A884" s="18">
        <v>945.02</v>
      </c>
      <c r="B884" s="1">
        <v>0</v>
      </c>
      <c r="C884" s="1">
        <v>945.02</v>
      </c>
      <c r="D884" s="1">
        <v>0</v>
      </c>
      <c r="E884" s="1">
        <v>945.02</v>
      </c>
      <c r="F884" s="1">
        <v>0</v>
      </c>
      <c r="G884" s="1">
        <v>945.02</v>
      </c>
      <c r="H884" s="1">
        <v>0</v>
      </c>
      <c r="I884" s="1">
        <v>945.02</v>
      </c>
      <c r="J884" s="1">
        <v>0</v>
      </c>
      <c r="K884" s="1">
        <v>945.02</v>
      </c>
      <c r="L884" s="1">
        <v>0</v>
      </c>
      <c r="M884" s="1">
        <v>945.02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945.02</v>
      </c>
      <c r="U884" s="1">
        <f>IF(Table14[[#This Row],[I_0]] &lt; INDEX(Table28[Filtro de ruido],1), 1, Table14[[#This Row],[I_10]] / Table14[[#This Row],[I_0]])</f>
        <v>1</v>
      </c>
      <c r="V884" s="1">
        <f>IF(Table14[[#This Row],[I_0]] &lt; INDEX(Table28[Filtro de ruido],1), 1, Table14[[#This Row],[I_20]] / Table14[[#This Row],[I_0]])</f>
        <v>1</v>
      </c>
      <c r="W884" s="1">
        <f>IF(Table14[[#This Row],[I_0]] &lt; INDEX(Table28[Filtro de ruido],1), 1, Table14[[#This Row],[I_30]] / Table14[[#This Row],[I_0]])</f>
        <v>1</v>
      </c>
      <c r="X884" s="1">
        <f>IF(Table14[[#This Row],[I_0]] &lt; INDEX(Table28[Filtro de ruido],1), 1, Table14[[#This Row],[I_40]] / Table14[[#This Row],[I_0]])</f>
        <v>1</v>
      </c>
      <c r="Y884" s="19">
        <f>IF(Table14[[#This Row],[I_0]] &lt; INDEX(Table28[Filtro de ruido],1), 1, Table14[[#This Row],[I_50]] / Table14[[#This Row],[I_0]])</f>
        <v>1</v>
      </c>
      <c r="AA884" s="1"/>
    </row>
    <row r="885" spans="1:27" x14ac:dyDescent="0.3">
      <c r="A885" s="18">
        <v>946.01</v>
      </c>
      <c r="B885" s="1">
        <v>0</v>
      </c>
      <c r="C885" s="1">
        <v>946.01</v>
      </c>
      <c r="D885" s="1">
        <v>0</v>
      </c>
      <c r="E885" s="1">
        <v>946.01</v>
      </c>
      <c r="F885" s="1">
        <v>0</v>
      </c>
      <c r="G885" s="1">
        <v>946.01</v>
      </c>
      <c r="H885" s="1">
        <v>0</v>
      </c>
      <c r="I885" s="1">
        <v>946.01</v>
      </c>
      <c r="J885" s="1">
        <v>0</v>
      </c>
      <c r="K885" s="1">
        <v>946.01</v>
      </c>
      <c r="L885" s="1">
        <v>0</v>
      </c>
      <c r="M885" s="1">
        <v>946.01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946.01</v>
      </c>
      <c r="U885" s="1">
        <f>IF(Table14[[#This Row],[I_0]] &lt; INDEX(Table28[Filtro de ruido],1), 1, Table14[[#This Row],[I_10]] / Table14[[#This Row],[I_0]])</f>
        <v>1</v>
      </c>
      <c r="V885" s="1">
        <f>IF(Table14[[#This Row],[I_0]] &lt; INDEX(Table28[Filtro de ruido],1), 1, Table14[[#This Row],[I_20]] / Table14[[#This Row],[I_0]])</f>
        <v>1</v>
      </c>
      <c r="W885" s="1">
        <f>IF(Table14[[#This Row],[I_0]] &lt; INDEX(Table28[Filtro de ruido],1), 1, Table14[[#This Row],[I_30]] / Table14[[#This Row],[I_0]])</f>
        <v>1</v>
      </c>
      <c r="X885" s="1">
        <f>IF(Table14[[#This Row],[I_0]] &lt; INDEX(Table28[Filtro de ruido],1), 1, Table14[[#This Row],[I_40]] / Table14[[#This Row],[I_0]])</f>
        <v>1</v>
      </c>
      <c r="Y885" s="19">
        <f>IF(Table14[[#This Row],[I_0]] &lt; INDEX(Table28[Filtro de ruido],1), 1, Table14[[#This Row],[I_50]] / Table14[[#This Row],[I_0]])</f>
        <v>1</v>
      </c>
      <c r="AA885" s="1"/>
    </row>
    <row r="886" spans="1:27" x14ac:dyDescent="0.3">
      <c r="A886" s="18">
        <v>947</v>
      </c>
      <c r="B886" s="1">
        <v>0</v>
      </c>
      <c r="C886" s="1">
        <v>947</v>
      </c>
      <c r="D886" s="1">
        <v>0</v>
      </c>
      <c r="E886" s="1">
        <v>947</v>
      </c>
      <c r="F886" s="1">
        <v>0</v>
      </c>
      <c r="G886" s="1">
        <v>947</v>
      </c>
      <c r="H886" s="1">
        <v>0</v>
      </c>
      <c r="I886" s="1">
        <v>947</v>
      </c>
      <c r="J886" s="1">
        <v>0</v>
      </c>
      <c r="K886" s="1">
        <v>947</v>
      </c>
      <c r="L886" s="1">
        <v>0</v>
      </c>
      <c r="M886" s="1">
        <v>947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947</v>
      </c>
      <c r="U886" s="1">
        <f>IF(Table14[[#This Row],[I_0]] &lt; INDEX(Table28[Filtro de ruido],1), 1, Table14[[#This Row],[I_10]] / Table14[[#This Row],[I_0]])</f>
        <v>1</v>
      </c>
      <c r="V886" s="1">
        <f>IF(Table14[[#This Row],[I_0]] &lt; INDEX(Table28[Filtro de ruido],1), 1, Table14[[#This Row],[I_20]] / Table14[[#This Row],[I_0]])</f>
        <v>1</v>
      </c>
      <c r="W886" s="1">
        <f>IF(Table14[[#This Row],[I_0]] &lt; INDEX(Table28[Filtro de ruido],1), 1, Table14[[#This Row],[I_30]] / Table14[[#This Row],[I_0]])</f>
        <v>1</v>
      </c>
      <c r="X886" s="1">
        <f>IF(Table14[[#This Row],[I_0]] &lt; INDEX(Table28[Filtro de ruido],1), 1, Table14[[#This Row],[I_40]] / Table14[[#This Row],[I_0]])</f>
        <v>1</v>
      </c>
      <c r="Y886" s="19">
        <f>IF(Table14[[#This Row],[I_0]] &lt; INDEX(Table28[Filtro de ruido],1), 1, Table14[[#This Row],[I_50]] / Table14[[#This Row],[I_0]])</f>
        <v>1</v>
      </c>
      <c r="AA886" s="1"/>
    </row>
    <row r="887" spans="1:27" x14ac:dyDescent="0.3">
      <c r="A887" s="18">
        <v>947.99</v>
      </c>
      <c r="B887" s="1">
        <v>0</v>
      </c>
      <c r="C887" s="1">
        <v>947.99</v>
      </c>
      <c r="D887" s="1">
        <v>0</v>
      </c>
      <c r="E887" s="1">
        <v>947.99</v>
      </c>
      <c r="F887" s="1">
        <v>0</v>
      </c>
      <c r="G887" s="1">
        <v>947.99</v>
      </c>
      <c r="H887" s="1">
        <v>0</v>
      </c>
      <c r="I887" s="1">
        <v>947.99</v>
      </c>
      <c r="J887" s="1">
        <v>0</v>
      </c>
      <c r="K887" s="1">
        <v>947.99</v>
      </c>
      <c r="L887" s="1">
        <v>0</v>
      </c>
      <c r="M887" s="1">
        <v>947.99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947.99</v>
      </c>
      <c r="U887" s="1">
        <f>IF(Table14[[#This Row],[I_0]] &lt; INDEX(Table28[Filtro de ruido],1), 1, Table14[[#This Row],[I_10]] / Table14[[#This Row],[I_0]])</f>
        <v>1</v>
      </c>
      <c r="V887" s="1">
        <f>IF(Table14[[#This Row],[I_0]] &lt; INDEX(Table28[Filtro de ruido],1), 1, Table14[[#This Row],[I_20]] / Table14[[#This Row],[I_0]])</f>
        <v>1</v>
      </c>
      <c r="W887" s="1">
        <f>IF(Table14[[#This Row],[I_0]] &lt; INDEX(Table28[Filtro de ruido],1), 1, Table14[[#This Row],[I_30]] / Table14[[#This Row],[I_0]])</f>
        <v>1</v>
      </c>
      <c r="X887" s="1">
        <f>IF(Table14[[#This Row],[I_0]] &lt; INDEX(Table28[Filtro de ruido],1), 1, Table14[[#This Row],[I_40]] / Table14[[#This Row],[I_0]])</f>
        <v>1</v>
      </c>
      <c r="Y887" s="19">
        <f>IF(Table14[[#This Row],[I_0]] &lt; INDEX(Table28[Filtro de ruido],1), 1, Table14[[#This Row],[I_50]] / Table14[[#This Row],[I_0]])</f>
        <v>1</v>
      </c>
      <c r="AA887" s="1"/>
    </row>
    <row r="888" spans="1:27" x14ac:dyDescent="0.3">
      <c r="A888" s="18">
        <v>948.98</v>
      </c>
      <c r="B888" s="1">
        <v>0</v>
      </c>
      <c r="C888" s="1">
        <v>948.98</v>
      </c>
      <c r="D888" s="1">
        <v>0</v>
      </c>
      <c r="E888" s="1">
        <v>948.98</v>
      </c>
      <c r="F888" s="1">
        <v>0</v>
      </c>
      <c r="G888" s="1">
        <v>948.98</v>
      </c>
      <c r="H888" s="1">
        <v>0</v>
      </c>
      <c r="I888" s="1">
        <v>948.98</v>
      </c>
      <c r="J888" s="1">
        <v>0</v>
      </c>
      <c r="K888" s="1">
        <v>948.98</v>
      </c>
      <c r="L888" s="1">
        <v>0</v>
      </c>
      <c r="M888" s="1">
        <v>948.98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948.98</v>
      </c>
      <c r="U888" s="1">
        <f>IF(Table14[[#This Row],[I_0]] &lt; INDEX(Table28[Filtro de ruido],1), 1, Table14[[#This Row],[I_10]] / Table14[[#This Row],[I_0]])</f>
        <v>1</v>
      </c>
      <c r="V888" s="1">
        <f>IF(Table14[[#This Row],[I_0]] &lt; INDEX(Table28[Filtro de ruido],1), 1, Table14[[#This Row],[I_20]] / Table14[[#This Row],[I_0]])</f>
        <v>1</v>
      </c>
      <c r="W888" s="1">
        <f>IF(Table14[[#This Row],[I_0]] &lt; INDEX(Table28[Filtro de ruido],1), 1, Table14[[#This Row],[I_30]] / Table14[[#This Row],[I_0]])</f>
        <v>1</v>
      </c>
      <c r="X888" s="1">
        <f>IF(Table14[[#This Row],[I_0]] &lt; INDEX(Table28[Filtro de ruido],1), 1, Table14[[#This Row],[I_40]] / Table14[[#This Row],[I_0]])</f>
        <v>1</v>
      </c>
      <c r="Y888" s="19">
        <f>IF(Table14[[#This Row],[I_0]] &lt; INDEX(Table28[Filtro de ruido],1), 1, Table14[[#This Row],[I_50]] / Table14[[#This Row],[I_0]])</f>
        <v>1</v>
      </c>
      <c r="AA888" s="1"/>
    </row>
    <row r="889" spans="1:27" x14ac:dyDescent="0.3">
      <c r="A889" s="18">
        <v>949.98</v>
      </c>
      <c r="B889" s="1">
        <v>0</v>
      </c>
      <c r="C889" s="1">
        <v>949.98</v>
      </c>
      <c r="D889" s="1">
        <v>0</v>
      </c>
      <c r="E889" s="1">
        <v>949.98</v>
      </c>
      <c r="F889" s="1">
        <v>0</v>
      </c>
      <c r="G889" s="1">
        <v>949.98</v>
      </c>
      <c r="H889" s="1">
        <v>0</v>
      </c>
      <c r="I889" s="1">
        <v>949.98</v>
      </c>
      <c r="J889" s="1">
        <v>0</v>
      </c>
      <c r="K889" s="1">
        <v>949.98</v>
      </c>
      <c r="L889" s="1">
        <v>0</v>
      </c>
      <c r="M889" s="1">
        <v>949.98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949.98</v>
      </c>
      <c r="U889" s="1">
        <f>IF(Table14[[#This Row],[I_0]] &lt; INDEX(Table28[Filtro de ruido],1), 1, Table14[[#This Row],[I_10]] / Table14[[#This Row],[I_0]])</f>
        <v>1</v>
      </c>
      <c r="V889" s="1">
        <f>IF(Table14[[#This Row],[I_0]] &lt; INDEX(Table28[Filtro de ruido],1), 1, Table14[[#This Row],[I_20]] / Table14[[#This Row],[I_0]])</f>
        <v>1</v>
      </c>
      <c r="W889" s="1">
        <f>IF(Table14[[#This Row],[I_0]] &lt; INDEX(Table28[Filtro de ruido],1), 1, Table14[[#This Row],[I_30]] / Table14[[#This Row],[I_0]])</f>
        <v>1</v>
      </c>
      <c r="X889" s="1">
        <f>IF(Table14[[#This Row],[I_0]] &lt; INDEX(Table28[Filtro de ruido],1), 1, Table14[[#This Row],[I_40]] / Table14[[#This Row],[I_0]])</f>
        <v>1</v>
      </c>
      <c r="Y889" s="19">
        <f>IF(Table14[[#This Row],[I_0]] &lt; INDEX(Table28[Filtro de ruido],1), 1, Table14[[#This Row],[I_50]] / Table14[[#This Row],[I_0]])</f>
        <v>1</v>
      </c>
      <c r="AA889" s="1"/>
    </row>
    <row r="890" spans="1:27" x14ac:dyDescent="0.3">
      <c r="A890" s="18">
        <v>950.97</v>
      </c>
      <c r="B890" s="1">
        <v>0</v>
      </c>
      <c r="C890" s="1">
        <v>950.97</v>
      </c>
      <c r="D890" s="1">
        <v>0</v>
      </c>
      <c r="E890" s="1">
        <v>950.97</v>
      </c>
      <c r="F890" s="1">
        <v>0</v>
      </c>
      <c r="G890" s="1">
        <v>950.97</v>
      </c>
      <c r="H890" s="1">
        <v>0</v>
      </c>
      <c r="I890" s="1">
        <v>950.97</v>
      </c>
      <c r="J890" s="1">
        <v>0</v>
      </c>
      <c r="K890" s="1">
        <v>950.97</v>
      </c>
      <c r="L890" s="1">
        <v>0</v>
      </c>
      <c r="M890" s="1">
        <v>950.97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950.97</v>
      </c>
      <c r="U890" s="1">
        <f>IF(Table14[[#This Row],[I_0]] &lt; INDEX(Table28[Filtro de ruido],1), 1, Table14[[#This Row],[I_10]] / Table14[[#This Row],[I_0]])</f>
        <v>1</v>
      </c>
      <c r="V890" s="1">
        <f>IF(Table14[[#This Row],[I_0]] &lt; INDEX(Table28[Filtro de ruido],1), 1, Table14[[#This Row],[I_20]] / Table14[[#This Row],[I_0]])</f>
        <v>1</v>
      </c>
      <c r="W890" s="1">
        <f>IF(Table14[[#This Row],[I_0]] &lt; INDEX(Table28[Filtro de ruido],1), 1, Table14[[#This Row],[I_30]] / Table14[[#This Row],[I_0]])</f>
        <v>1</v>
      </c>
      <c r="X890" s="1">
        <f>IF(Table14[[#This Row],[I_0]] &lt; INDEX(Table28[Filtro de ruido],1), 1, Table14[[#This Row],[I_40]] / Table14[[#This Row],[I_0]])</f>
        <v>1</v>
      </c>
      <c r="Y890" s="19">
        <f>IF(Table14[[#This Row],[I_0]] &lt; INDEX(Table28[Filtro de ruido],1), 1, Table14[[#This Row],[I_50]] / Table14[[#This Row],[I_0]])</f>
        <v>1</v>
      </c>
      <c r="AA890" s="1"/>
    </row>
    <row r="891" spans="1:27" x14ac:dyDescent="0.3">
      <c r="A891" s="18">
        <v>951.96</v>
      </c>
      <c r="B891" s="1">
        <v>0</v>
      </c>
      <c r="C891" s="1">
        <v>951.96</v>
      </c>
      <c r="D891" s="1">
        <v>0</v>
      </c>
      <c r="E891" s="1">
        <v>951.96</v>
      </c>
      <c r="F891" s="1">
        <v>0</v>
      </c>
      <c r="G891" s="1">
        <v>951.96</v>
      </c>
      <c r="H891" s="1">
        <v>0</v>
      </c>
      <c r="I891" s="1">
        <v>951.96</v>
      </c>
      <c r="J891" s="1">
        <v>0</v>
      </c>
      <c r="K891" s="1">
        <v>951.96</v>
      </c>
      <c r="L891" s="1">
        <v>0</v>
      </c>
      <c r="M891" s="1">
        <v>951.96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951.96</v>
      </c>
      <c r="U891" s="1">
        <f>IF(Table14[[#This Row],[I_0]] &lt; INDEX(Table28[Filtro de ruido],1), 1, Table14[[#This Row],[I_10]] / Table14[[#This Row],[I_0]])</f>
        <v>1</v>
      </c>
      <c r="V891" s="1">
        <f>IF(Table14[[#This Row],[I_0]] &lt; INDEX(Table28[Filtro de ruido],1), 1, Table14[[#This Row],[I_20]] / Table14[[#This Row],[I_0]])</f>
        <v>1</v>
      </c>
      <c r="W891" s="1">
        <f>IF(Table14[[#This Row],[I_0]] &lt; INDEX(Table28[Filtro de ruido],1), 1, Table14[[#This Row],[I_30]] / Table14[[#This Row],[I_0]])</f>
        <v>1</v>
      </c>
      <c r="X891" s="1">
        <f>IF(Table14[[#This Row],[I_0]] &lt; INDEX(Table28[Filtro de ruido],1), 1, Table14[[#This Row],[I_40]] / Table14[[#This Row],[I_0]])</f>
        <v>1</v>
      </c>
      <c r="Y891" s="19">
        <f>IF(Table14[[#This Row],[I_0]] &lt; INDEX(Table28[Filtro de ruido],1), 1, Table14[[#This Row],[I_50]] / Table14[[#This Row],[I_0]])</f>
        <v>1</v>
      </c>
      <c r="AA891" s="1"/>
    </row>
    <row r="892" spans="1:27" x14ac:dyDescent="0.3">
      <c r="A892" s="18">
        <v>952.95</v>
      </c>
      <c r="B892" s="1">
        <v>0</v>
      </c>
      <c r="C892" s="1">
        <v>952.95</v>
      </c>
      <c r="D892" s="1">
        <v>0</v>
      </c>
      <c r="E892" s="1">
        <v>952.95</v>
      </c>
      <c r="F892" s="1">
        <v>0</v>
      </c>
      <c r="G892" s="1">
        <v>952.95</v>
      </c>
      <c r="H892" s="1">
        <v>0</v>
      </c>
      <c r="I892" s="1">
        <v>952.95</v>
      </c>
      <c r="J892" s="1">
        <v>0</v>
      </c>
      <c r="K892" s="1">
        <v>952.95</v>
      </c>
      <c r="L892" s="1">
        <v>0</v>
      </c>
      <c r="M892" s="1">
        <v>952.95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952.95</v>
      </c>
      <c r="U892" s="1">
        <f>IF(Table14[[#This Row],[I_0]] &lt; INDEX(Table28[Filtro de ruido],1), 1, Table14[[#This Row],[I_10]] / Table14[[#This Row],[I_0]])</f>
        <v>1</v>
      </c>
      <c r="V892" s="1">
        <f>IF(Table14[[#This Row],[I_0]] &lt; INDEX(Table28[Filtro de ruido],1), 1, Table14[[#This Row],[I_20]] / Table14[[#This Row],[I_0]])</f>
        <v>1</v>
      </c>
      <c r="W892" s="1">
        <f>IF(Table14[[#This Row],[I_0]] &lt; INDEX(Table28[Filtro de ruido],1), 1, Table14[[#This Row],[I_30]] / Table14[[#This Row],[I_0]])</f>
        <v>1</v>
      </c>
      <c r="X892" s="1">
        <f>IF(Table14[[#This Row],[I_0]] &lt; INDEX(Table28[Filtro de ruido],1), 1, Table14[[#This Row],[I_40]] / Table14[[#This Row],[I_0]])</f>
        <v>1</v>
      </c>
      <c r="Y892" s="19">
        <f>IF(Table14[[#This Row],[I_0]] &lt; INDEX(Table28[Filtro de ruido],1), 1, Table14[[#This Row],[I_50]] / Table14[[#This Row],[I_0]])</f>
        <v>1</v>
      </c>
      <c r="AA892" s="1"/>
    </row>
    <row r="893" spans="1:27" x14ac:dyDescent="0.3">
      <c r="A893" s="18">
        <v>953.94</v>
      </c>
      <c r="B893" s="1">
        <v>0</v>
      </c>
      <c r="C893" s="1">
        <v>953.94</v>
      </c>
      <c r="D893" s="1">
        <v>0</v>
      </c>
      <c r="E893" s="1">
        <v>953.94</v>
      </c>
      <c r="F893" s="1">
        <v>0</v>
      </c>
      <c r="G893" s="1">
        <v>953.94</v>
      </c>
      <c r="H893" s="1">
        <v>0</v>
      </c>
      <c r="I893" s="1">
        <v>953.94</v>
      </c>
      <c r="J893" s="1">
        <v>0</v>
      </c>
      <c r="K893" s="1">
        <v>953.94</v>
      </c>
      <c r="L893" s="1">
        <v>0</v>
      </c>
      <c r="M893" s="1">
        <v>953.94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953.94</v>
      </c>
      <c r="U893" s="1">
        <f>IF(Table14[[#This Row],[I_0]] &lt; INDEX(Table28[Filtro de ruido],1), 1, Table14[[#This Row],[I_10]] / Table14[[#This Row],[I_0]])</f>
        <v>1</v>
      </c>
      <c r="V893" s="1">
        <f>IF(Table14[[#This Row],[I_0]] &lt; INDEX(Table28[Filtro de ruido],1), 1, Table14[[#This Row],[I_20]] / Table14[[#This Row],[I_0]])</f>
        <v>1</v>
      </c>
      <c r="W893" s="1">
        <f>IF(Table14[[#This Row],[I_0]] &lt; INDEX(Table28[Filtro de ruido],1), 1, Table14[[#This Row],[I_30]] / Table14[[#This Row],[I_0]])</f>
        <v>1</v>
      </c>
      <c r="X893" s="1">
        <f>IF(Table14[[#This Row],[I_0]] &lt; INDEX(Table28[Filtro de ruido],1), 1, Table14[[#This Row],[I_40]] / Table14[[#This Row],[I_0]])</f>
        <v>1</v>
      </c>
      <c r="Y893" s="19">
        <f>IF(Table14[[#This Row],[I_0]] &lt; INDEX(Table28[Filtro de ruido],1), 1, Table14[[#This Row],[I_50]] / Table14[[#This Row],[I_0]])</f>
        <v>1</v>
      </c>
      <c r="AA893" s="1"/>
    </row>
    <row r="894" spans="1:27" x14ac:dyDescent="0.3">
      <c r="A894" s="18">
        <v>954.93</v>
      </c>
      <c r="B894" s="1">
        <v>0</v>
      </c>
      <c r="C894" s="1">
        <v>954.93</v>
      </c>
      <c r="D894" s="1">
        <v>0</v>
      </c>
      <c r="E894" s="1">
        <v>954.93</v>
      </c>
      <c r="F894" s="1">
        <v>0</v>
      </c>
      <c r="G894" s="1">
        <v>954.93</v>
      </c>
      <c r="H894" s="1">
        <v>0</v>
      </c>
      <c r="I894" s="1">
        <v>954.93</v>
      </c>
      <c r="J894" s="1">
        <v>0</v>
      </c>
      <c r="K894" s="1">
        <v>954.93</v>
      </c>
      <c r="L894" s="1">
        <v>0</v>
      </c>
      <c r="M894" s="1">
        <v>954.93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954.93</v>
      </c>
      <c r="U894" s="1">
        <f>IF(Table14[[#This Row],[I_0]] &lt; INDEX(Table28[Filtro de ruido],1), 1, Table14[[#This Row],[I_10]] / Table14[[#This Row],[I_0]])</f>
        <v>1</v>
      </c>
      <c r="V894" s="1">
        <f>IF(Table14[[#This Row],[I_0]] &lt; INDEX(Table28[Filtro de ruido],1), 1, Table14[[#This Row],[I_20]] / Table14[[#This Row],[I_0]])</f>
        <v>1</v>
      </c>
      <c r="W894" s="1">
        <f>IF(Table14[[#This Row],[I_0]] &lt; INDEX(Table28[Filtro de ruido],1), 1, Table14[[#This Row],[I_30]] / Table14[[#This Row],[I_0]])</f>
        <v>1</v>
      </c>
      <c r="X894" s="1">
        <f>IF(Table14[[#This Row],[I_0]] &lt; INDEX(Table28[Filtro de ruido],1), 1, Table14[[#This Row],[I_40]] / Table14[[#This Row],[I_0]])</f>
        <v>1</v>
      </c>
      <c r="Y894" s="19">
        <f>IF(Table14[[#This Row],[I_0]] &lt; INDEX(Table28[Filtro de ruido],1), 1, Table14[[#This Row],[I_50]] / Table14[[#This Row],[I_0]])</f>
        <v>1</v>
      </c>
      <c r="AA894" s="1"/>
    </row>
    <row r="895" spans="1:27" x14ac:dyDescent="0.3">
      <c r="A895" s="18">
        <v>955.93</v>
      </c>
      <c r="B895" s="1">
        <v>0</v>
      </c>
      <c r="C895" s="1">
        <v>955.93</v>
      </c>
      <c r="D895" s="1">
        <v>0</v>
      </c>
      <c r="E895" s="1">
        <v>955.93</v>
      </c>
      <c r="F895" s="1">
        <v>0</v>
      </c>
      <c r="G895" s="1">
        <v>955.93</v>
      </c>
      <c r="H895" s="1">
        <v>0</v>
      </c>
      <c r="I895" s="1">
        <v>955.93</v>
      </c>
      <c r="J895" s="1">
        <v>0</v>
      </c>
      <c r="K895" s="1">
        <v>955.93</v>
      </c>
      <c r="L895" s="1">
        <v>0</v>
      </c>
      <c r="M895" s="1">
        <v>955.93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955.93</v>
      </c>
      <c r="U895" s="1">
        <f>IF(Table14[[#This Row],[I_0]] &lt; INDEX(Table28[Filtro de ruido],1), 1, Table14[[#This Row],[I_10]] / Table14[[#This Row],[I_0]])</f>
        <v>1</v>
      </c>
      <c r="V895" s="1">
        <f>IF(Table14[[#This Row],[I_0]] &lt; INDEX(Table28[Filtro de ruido],1), 1, Table14[[#This Row],[I_20]] / Table14[[#This Row],[I_0]])</f>
        <v>1</v>
      </c>
      <c r="W895" s="1">
        <f>IF(Table14[[#This Row],[I_0]] &lt; INDEX(Table28[Filtro de ruido],1), 1, Table14[[#This Row],[I_30]] / Table14[[#This Row],[I_0]])</f>
        <v>1</v>
      </c>
      <c r="X895" s="1">
        <f>IF(Table14[[#This Row],[I_0]] &lt; INDEX(Table28[Filtro de ruido],1), 1, Table14[[#This Row],[I_40]] / Table14[[#This Row],[I_0]])</f>
        <v>1</v>
      </c>
      <c r="Y895" s="19">
        <f>IF(Table14[[#This Row],[I_0]] &lt; INDEX(Table28[Filtro de ruido],1), 1, Table14[[#This Row],[I_50]] / Table14[[#This Row],[I_0]])</f>
        <v>1</v>
      </c>
      <c r="AA895" s="1"/>
    </row>
    <row r="896" spans="1:27" x14ac:dyDescent="0.3">
      <c r="A896" s="18">
        <v>956.92</v>
      </c>
      <c r="B896" s="1">
        <v>0</v>
      </c>
      <c r="C896" s="1">
        <v>956.92</v>
      </c>
      <c r="D896" s="1">
        <v>0</v>
      </c>
      <c r="E896" s="1">
        <v>956.92</v>
      </c>
      <c r="F896" s="1">
        <v>0</v>
      </c>
      <c r="G896" s="1">
        <v>956.92</v>
      </c>
      <c r="H896" s="1">
        <v>0</v>
      </c>
      <c r="I896" s="1">
        <v>956.92</v>
      </c>
      <c r="J896" s="1">
        <v>0</v>
      </c>
      <c r="K896" s="1">
        <v>956.92</v>
      </c>
      <c r="L896" s="1">
        <v>0</v>
      </c>
      <c r="M896" s="1">
        <v>956.92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956.92</v>
      </c>
      <c r="U896" s="1">
        <f>IF(Table14[[#This Row],[I_0]] &lt; INDEX(Table28[Filtro de ruido],1), 1, Table14[[#This Row],[I_10]] / Table14[[#This Row],[I_0]])</f>
        <v>1</v>
      </c>
      <c r="V896" s="1">
        <f>IF(Table14[[#This Row],[I_0]] &lt; INDEX(Table28[Filtro de ruido],1), 1, Table14[[#This Row],[I_20]] / Table14[[#This Row],[I_0]])</f>
        <v>1</v>
      </c>
      <c r="W896" s="1">
        <f>IF(Table14[[#This Row],[I_0]] &lt; INDEX(Table28[Filtro de ruido],1), 1, Table14[[#This Row],[I_30]] / Table14[[#This Row],[I_0]])</f>
        <v>1</v>
      </c>
      <c r="X896" s="1">
        <f>IF(Table14[[#This Row],[I_0]] &lt; INDEX(Table28[Filtro de ruido],1), 1, Table14[[#This Row],[I_40]] / Table14[[#This Row],[I_0]])</f>
        <v>1</v>
      </c>
      <c r="Y896" s="19">
        <f>IF(Table14[[#This Row],[I_0]] &lt; INDEX(Table28[Filtro de ruido],1), 1, Table14[[#This Row],[I_50]] / Table14[[#This Row],[I_0]])</f>
        <v>1</v>
      </c>
      <c r="AA896" s="1"/>
    </row>
    <row r="897" spans="1:27" x14ac:dyDescent="0.3">
      <c r="A897" s="18">
        <v>957.91</v>
      </c>
      <c r="B897" s="1">
        <v>0</v>
      </c>
      <c r="C897" s="1">
        <v>957.91</v>
      </c>
      <c r="D897" s="1">
        <v>0</v>
      </c>
      <c r="E897" s="1">
        <v>957.91</v>
      </c>
      <c r="F897" s="1">
        <v>0</v>
      </c>
      <c r="G897" s="1">
        <v>957.91</v>
      </c>
      <c r="H897" s="1">
        <v>0</v>
      </c>
      <c r="I897" s="1">
        <v>957.91</v>
      </c>
      <c r="J897" s="1">
        <v>0</v>
      </c>
      <c r="K897" s="1">
        <v>957.91</v>
      </c>
      <c r="L897" s="1">
        <v>0</v>
      </c>
      <c r="M897" s="1">
        <v>957.91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957.91</v>
      </c>
      <c r="U897" s="1">
        <f>IF(Table14[[#This Row],[I_0]] &lt; INDEX(Table28[Filtro de ruido],1), 1, Table14[[#This Row],[I_10]] / Table14[[#This Row],[I_0]])</f>
        <v>1</v>
      </c>
      <c r="V897" s="1">
        <f>IF(Table14[[#This Row],[I_0]] &lt; INDEX(Table28[Filtro de ruido],1), 1, Table14[[#This Row],[I_20]] / Table14[[#This Row],[I_0]])</f>
        <v>1</v>
      </c>
      <c r="W897" s="1">
        <f>IF(Table14[[#This Row],[I_0]] &lt; INDEX(Table28[Filtro de ruido],1), 1, Table14[[#This Row],[I_30]] / Table14[[#This Row],[I_0]])</f>
        <v>1</v>
      </c>
      <c r="X897" s="1">
        <f>IF(Table14[[#This Row],[I_0]] &lt; INDEX(Table28[Filtro de ruido],1), 1, Table14[[#This Row],[I_40]] / Table14[[#This Row],[I_0]])</f>
        <v>1</v>
      </c>
      <c r="Y897" s="19">
        <f>IF(Table14[[#This Row],[I_0]] &lt; INDEX(Table28[Filtro de ruido],1), 1, Table14[[#This Row],[I_50]] / Table14[[#This Row],[I_0]])</f>
        <v>1</v>
      </c>
      <c r="AA897" s="1"/>
    </row>
    <row r="898" spans="1:27" x14ac:dyDescent="0.3">
      <c r="A898" s="18">
        <v>958.9</v>
      </c>
      <c r="B898" s="1">
        <v>0</v>
      </c>
      <c r="C898" s="1">
        <v>958.9</v>
      </c>
      <c r="D898" s="1">
        <v>0</v>
      </c>
      <c r="E898" s="1">
        <v>958.9</v>
      </c>
      <c r="F898" s="1">
        <v>0</v>
      </c>
      <c r="G898" s="1">
        <v>958.9</v>
      </c>
      <c r="H898" s="1">
        <v>0</v>
      </c>
      <c r="I898" s="1">
        <v>958.9</v>
      </c>
      <c r="J898" s="1">
        <v>0</v>
      </c>
      <c r="K898" s="1">
        <v>958.9</v>
      </c>
      <c r="L898" s="1">
        <v>0</v>
      </c>
      <c r="M898" s="1">
        <v>958.9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958.9</v>
      </c>
      <c r="U898" s="1">
        <f>IF(Table14[[#This Row],[I_0]] &lt; INDEX(Table28[Filtro de ruido],1), 1, Table14[[#This Row],[I_10]] / Table14[[#This Row],[I_0]])</f>
        <v>1</v>
      </c>
      <c r="V898" s="1">
        <f>IF(Table14[[#This Row],[I_0]] &lt; INDEX(Table28[Filtro de ruido],1), 1, Table14[[#This Row],[I_20]] / Table14[[#This Row],[I_0]])</f>
        <v>1</v>
      </c>
      <c r="W898" s="1">
        <f>IF(Table14[[#This Row],[I_0]] &lt; INDEX(Table28[Filtro de ruido],1), 1, Table14[[#This Row],[I_30]] / Table14[[#This Row],[I_0]])</f>
        <v>1</v>
      </c>
      <c r="X898" s="1">
        <f>IF(Table14[[#This Row],[I_0]] &lt; INDEX(Table28[Filtro de ruido],1), 1, Table14[[#This Row],[I_40]] / Table14[[#This Row],[I_0]])</f>
        <v>1</v>
      </c>
      <c r="Y898" s="19">
        <f>IF(Table14[[#This Row],[I_0]] &lt; INDEX(Table28[Filtro de ruido],1), 1, Table14[[#This Row],[I_50]] / Table14[[#This Row],[I_0]])</f>
        <v>1</v>
      </c>
      <c r="AA898" s="1"/>
    </row>
    <row r="899" spans="1:27" x14ac:dyDescent="0.3">
      <c r="A899" s="18">
        <v>959.89</v>
      </c>
      <c r="B899" s="1">
        <v>0</v>
      </c>
      <c r="C899" s="1">
        <v>959.89</v>
      </c>
      <c r="D899" s="1">
        <v>0</v>
      </c>
      <c r="E899" s="1">
        <v>959.89</v>
      </c>
      <c r="F899" s="1">
        <v>0</v>
      </c>
      <c r="G899" s="1">
        <v>959.89</v>
      </c>
      <c r="H899" s="1">
        <v>0</v>
      </c>
      <c r="I899" s="1">
        <v>959.89</v>
      </c>
      <c r="J899" s="1">
        <v>0</v>
      </c>
      <c r="K899" s="1">
        <v>959.89</v>
      </c>
      <c r="L899" s="1">
        <v>0</v>
      </c>
      <c r="M899" s="1">
        <v>959.89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959.89</v>
      </c>
      <c r="U899" s="1">
        <f>IF(Table14[[#This Row],[I_0]] &lt; INDEX(Table28[Filtro de ruido],1), 1, Table14[[#This Row],[I_10]] / Table14[[#This Row],[I_0]])</f>
        <v>1</v>
      </c>
      <c r="V899" s="1">
        <f>IF(Table14[[#This Row],[I_0]] &lt; INDEX(Table28[Filtro de ruido],1), 1, Table14[[#This Row],[I_20]] / Table14[[#This Row],[I_0]])</f>
        <v>1</v>
      </c>
      <c r="W899" s="1">
        <f>IF(Table14[[#This Row],[I_0]] &lt; INDEX(Table28[Filtro de ruido],1), 1, Table14[[#This Row],[I_30]] / Table14[[#This Row],[I_0]])</f>
        <v>1</v>
      </c>
      <c r="X899" s="1">
        <f>IF(Table14[[#This Row],[I_0]] &lt; INDEX(Table28[Filtro de ruido],1), 1, Table14[[#This Row],[I_40]] / Table14[[#This Row],[I_0]])</f>
        <v>1</v>
      </c>
      <c r="Y899" s="19">
        <f>IF(Table14[[#This Row],[I_0]] &lt; INDEX(Table28[Filtro de ruido],1), 1, Table14[[#This Row],[I_50]] / Table14[[#This Row],[I_0]])</f>
        <v>1</v>
      </c>
      <c r="AA899" s="1"/>
    </row>
    <row r="900" spans="1:27" x14ac:dyDescent="0.3">
      <c r="A900" s="18">
        <v>960.89</v>
      </c>
      <c r="B900" s="1">
        <v>0</v>
      </c>
      <c r="C900" s="1">
        <v>960.89</v>
      </c>
      <c r="D900" s="1">
        <v>0</v>
      </c>
      <c r="E900" s="1">
        <v>960.89</v>
      </c>
      <c r="F900" s="1">
        <v>0</v>
      </c>
      <c r="G900" s="1">
        <v>960.89</v>
      </c>
      <c r="H900" s="1">
        <v>0</v>
      </c>
      <c r="I900" s="1">
        <v>960.89</v>
      </c>
      <c r="J900" s="1">
        <v>0</v>
      </c>
      <c r="K900" s="1">
        <v>960.89</v>
      </c>
      <c r="L900" s="1">
        <v>0</v>
      </c>
      <c r="M900" s="1">
        <v>960.89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960.89</v>
      </c>
      <c r="U900" s="1">
        <f>IF(Table14[[#This Row],[I_0]] &lt; INDEX(Table28[Filtro de ruido],1), 1, Table14[[#This Row],[I_10]] / Table14[[#This Row],[I_0]])</f>
        <v>1</v>
      </c>
      <c r="V900" s="1">
        <f>IF(Table14[[#This Row],[I_0]] &lt; INDEX(Table28[Filtro de ruido],1), 1, Table14[[#This Row],[I_20]] / Table14[[#This Row],[I_0]])</f>
        <v>1</v>
      </c>
      <c r="W900" s="1">
        <f>IF(Table14[[#This Row],[I_0]] &lt; INDEX(Table28[Filtro de ruido],1), 1, Table14[[#This Row],[I_30]] / Table14[[#This Row],[I_0]])</f>
        <v>1</v>
      </c>
      <c r="X900" s="1">
        <f>IF(Table14[[#This Row],[I_0]] &lt; INDEX(Table28[Filtro de ruido],1), 1, Table14[[#This Row],[I_40]] / Table14[[#This Row],[I_0]])</f>
        <v>1</v>
      </c>
      <c r="Y900" s="19">
        <f>IF(Table14[[#This Row],[I_0]] &lt; INDEX(Table28[Filtro de ruido],1), 1, Table14[[#This Row],[I_50]] / Table14[[#This Row],[I_0]])</f>
        <v>1</v>
      </c>
      <c r="AA900" s="1"/>
    </row>
    <row r="901" spans="1:27" x14ac:dyDescent="0.3">
      <c r="A901" s="18">
        <v>961.88</v>
      </c>
      <c r="B901" s="1">
        <v>0</v>
      </c>
      <c r="C901" s="1">
        <v>961.88</v>
      </c>
      <c r="D901" s="1">
        <v>0</v>
      </c>
      <c r="E901" s="1">
        <v>961.88</v>
      </c>
      <c r="F901" s="1">
        <v>0</v>
      </c>
      <c r="G901" s="1">
        <v>961.88</v>
      </c>
      <c r="H901" s="1">
        <v>0</v>
      </c>
      <c r="I901" s="1">
        <v>961.88</v>
      </c>
      <c r="J901" s="1">
        <v>0</v>
      </c>
      <c r="K901" s="1">
        <v>961.88</v>
      </c>
      <c r="L901" s="1">
        <v>0</v>
      </c>
      <c r="M901" s="1">
        <v>961.88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961.88</v>
      </c>
      <c r="U901" s="1">
        <f>IF(Table14[[#This Row],[I_0]] &lt; INDEX(Table28[Filtro de ruido],1), 1, Table14[[#This Row],[I_10]] / Table14[[#This Row],[I_0]])</f>
        <v>1</v>
      </c>
      <c r="V901" s="1">
        <f>IF(Table14[[#This Row],[I_0]] &lt; INDEX(Table28[Filtro de ruido],1), 1, Table14[[#This Row],[I_20]] / Table14[[#This Row],[I_0]])</f>
        <v>1</v>
      </c>
      <c r="W901" s="1">
        <f>IF(Table14[[#This Row],[I_0]] &lt; INDEX(Table28[Filtro de ruido],1), 1, Table14[[#This Row],[I_30]] / Table14[[#This Row],[I_0]])</f>
        <v>1</v>
      </c>
      <c r="X901" s="1">
        <f>IF(Table14[[#This Row],[I_0]] &lt; INDEX(Table28[Filtro de ruido],1), 1, Table14[[#This Row],[I_40]] / Table14[[#This Row],[I_0]])</f>
        <v>1</v>
      </c>
      <c r="Y901" s="19">
        <f>IF(Table14[[#This Row],[I_0]] &lt; INDEX(Table28[Filtro de ruido],1), 1, Table14[[#This Row],[I_50]] / Table14[[#This Row],[I_0]])</f>
        <v>1</v>
      </c>
      <c r="AA901" s="1"/>
    </row>
    <row r="902" spans="1:27" x14ac:dyDescent="0.3">
      <c r="A902" s="18">
        <v>962.87</v>
      </c>
      <c r="B902" s="1">
        <v>0</v>
      </c>
      <c r="C902" s="1">
        <v>962.87</v>
      </c>
      <c r="D902" s="1">
        <v>0</v>
      </c>
      <c r="E902" s="1">
        <v>962.87</v>
      </c>
      <c r="F902" s="1">
        <v>0</v>
      </c>
      <c r="G902" s="1">
        <v>962.87</v>
      </c>
      <c r="H902" s="1">
        <v>0</v>
      </c>
      <c r="I902" s="1">
        <v>962.87</v>
      </c>
      <c r="J902" s="1">
        <v>0</v>
      </c>
      <c r="K902" s="1">
        <v>962.87</v>
      </c>
      <c r="L902" s="1">
        <v>0</v>
      </c>
      <c r="M902" s="1">
        <v>962.87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962.87</v>
      </c>
      <c r="U902" s="1">
        <f>IF(Table14[[#This Row],[I_0]] &lt; INDEX(Table28[Filtro de ruido],1), 1, Table14[[#This Row],[I_10]] / Table14[[#This Row],[I_0]])</f>
        <v>1</v>
      </c>
      <c r="V902" s="1">
        <f>IF(Table14[[#This Row],[I_0]] &lt; INDEX(Table28[Filtro de ruido],1), 1, Table14[[#This Row],[I_20]] / Table14[[#This Row],[I_0]])</f>
        <v>1</v>
      </c>
      <c r="W902" s="1">
        <f>IF(Table14[[#This Row],[I_0]] &lt; INDEX(Table28[Filtro de ruido],1), 1, Table14[[#This Row],[I_30]] / Table14[[#This Row],[I_0]])</f>
        <v>1</v>
      </c>
      <c r="X902" s="1">
        <f>IF(Table14[[#This Row],[I_0]] &lt; INDEX(Table28[Filtro de ruido],1), 1, Table14[[#This Row],[I_40]] / Table14[[#This Row],[I_0]])</f>
        <v>1</v>
      </c>
      <c r="Y902" s="19">
        <f>IF(Table14[[#This Row],[I_0]] &lt; INDEX(Table28[Filtro de ruido],1), 1, Table14[[#This Row],[I_50]] / Table14[[#This Row],[I_0]])</f>
        <v>1</v>
      </c>
      <c r="AA902" s="1"/>
    </row>
    <row r="903" spans="1:27" x14ac:dyDescent="0.3">
      <c r="A903" s="18">
        <v>963.86</v>
      </c>
      <c r="B903" s="1">
        <v>0</v>
      </c>
      <c r="C903" s="1">
        <v>963.86</v>
      </c>
      <c r="D903" s="1">
        <v>0</v>
      </c>
      <c r="E903" s="1">
        <v>963.86</v>
      </c>
      <c r="F903" s="1">
        <v>0</v>
      </c>
      <c r="G903" s="1">
        <v>963.86</v>
      </c>
      <c r="H903" s="1">
        <v>0</v>
      </c>
      <c r="I903" s="1">
        <v>963.86</v>
      </c>
      <c r="J903" s="1">
        <v>0</v>
      </c>
      <c r="K903" s="1">
        <v>963.86</v>
      </c>
      <c r="L903" s="1">
        <v>0</v>
      </c>
      <c r="M903" s="1">
        <v>963.86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963.86</v>
      </c>
      <c r="U903" s="1">
        <f>IF(Table14[[#This Row],[I_0]] &lt; INDEX(Table28[Filtro de ruido],1), 1, Table14[[#This Row],[I_10]] / Table14[[#This Row],[I_0]])</f>
        <v>1</v>
      </c>
      <c r="V903" s="1">
        <f>IF(Table14[[#This Row],[I_0]] &lt; INDEX(Table28[Filtro de ruido],1), 1, Table14[[#This Row],[I_20]] / Table14[[#This Row],[I_0]])</f>
        <v>1</v>
      </c>
      <c r="W903" s="1">
        <f>IF(Table14[[#This Row],[I_0]] &lt; INDEX(Table28[Filtro de ruido],1), 1, Table14[[#This Row],[I_30]] / Table14[[#This Row],[I_0]])</f>
        <v>1</v>
      </c>
      <c r="X903" s="1">
        <f>IF(Table14[[#This Row],[I_0]] &lt; INDEX(Table28[Filtro de ruido],1), 1, Table14[[#This Row],[I_40]] / Table14[[#This Row],[I_0]])</f>
        <v>1</v>
      </c>
      <c r="Y903" s="19">
        <f>IF(Table14[[#This Row],[I_0]] &lt; INDEX(Table28[Filtro de ruido],1), 1, Table14[[#This Row],[I_50]] / Table14[[#This Row],[I_0]])</f>
        <v>1</v>
      </c>
      <c r="AA903" s="1"/>
    </row>
    <row r="904" spans="1:27" x14ac:dyDescent="0.3">
      <c r="A904" s="18">
        <v>964.85</v>
      </c>
      <c r="B904" s="1">
        <v>0</v>
      </c>
      <c r="C904" s="1">
        <v>964.85</v>
      </c>
      <c r="D904" s="1">
        <v>0</v>
      </c>
      <c r="E904" s="1">
        <v>964.85</v>
      </c>
      <c r="F904" s="1">
        <v>0</v>
      </c>
      <c r="G904" s="1">
        <v>964.85</v>
      </c>
      <c r="H904" s="1">
        <v>0</v>
      </c>
      <c r="I904" s="1">
        <v>964.85</v>
      </c>
      <c r="J904" s="1">
        <v>0</v>
      </c>
      <c r="K904" s="1">
        <v>964.85</v>
      </c>
      <c r="L904" s="1">
        <v>0</v>
      </c>
      <c r="M904" s="1">
        <v>964.85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964.85</v>
      </c>
      <c r="U904" s="1">
        <f>IF(Table14[[#This Row],[I_0]] &lt; INDEX(Table28[Filtro de ruido],1), 1, Table14[[#This Row],[I_10]] / Table14[[#This Row],[I_0]])</f>
        <v>1</v>
      </c>
      <c r="V904" s="1">
        <f>IF(Table14[[#This Row],[I_0]] &lt; INDEX(Table28[Filtro de ruido],1), 1, Table14[[#This Row],[I_20]] / Table14[[#This Row],[I_0]])</f>
        <v>1</v>
      </c>
      <c r="W904" s="1">
        <f>IF(Table14[[#This Row],[I_0]] &lt; INDEX(Table28[Filtro de ruido],1), 1, Table14[[#This Row],[I_30]] / Table14[[#This Row],[I_0]])</f>
        <v>1</v>
      </c>
      <c r="X904" s="1">
        <f>IF(Table14[[#This Row],[I_0]] &lt; INDEX(Table28[Filtro de ruido],1), 1, Table14[[#This Row],[I_40]] / Table14[[#This Row],[I_0]])</f>
        <v>1</v>
      </c>
      <c r="Y904" s="19">
        <f>IF(Table14[[#This Row],[I_0]] &lt; INDEX(Table28[Filtro de ruido],1), 1, Table14[[#This Row],[I_50]] / Table14[[#This Row],[I_0]])</f>
        <v>1</v>
      </c>
      <c r="AA904" s="1"/>
    </row>
    <row r="905" spans="1:27" x14ac:dyDescent="0.3">
      <c r="A905" s="18">
        <v>965.84</v>
      </c>
      <c r="B905" s="1">
        <v>0</v>
      </c>
      <c r="C905" s="1">
        <v>965.84</v>
      </c>
      <c r="D905" s="1">
        <v>0</v>
      </c>
      <c r="E905" s="1">
        <v>965.84</v>
      </c>
      <c r="F905" s="1">
        <v>0</v>
      </c>
      <c r="G905" s="1">
        <v>965.84</v>
      </c>
      <c r="H905" s="1">
        <v>0</v>
      </c>
      <c r="I905" s="1">
        <v>965.84</v>
      </c>
      <c r="J905" s="1">
        <v>0</v>
      </c>
      <c r="K905" s="1">
        <v>965.84</v>
      </c>
      <c r="L905" s="1">
        <v>0</v>
      </c>
      <c r="M905" s="1">
        <v>965.84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965.84</v>
      </c>
      <c r="U905" s="1">
        <f>IF(Table14[[#This Row],[I_0]] &lt; INDEX(Table28[Filtro de ruido],1), 1, Table14[[#This Row],[I_10]] / Table14[[#This Row],[I_0]])</f>
        <v>1</v>
      </c>
      <c r="V905" s="1">
        <f>IF(Table14[[#This Row],[I_0]] &lt; INDEX(Table28[Filtro de ruido],1), 1, Table14[[#This Row],[I_20]] / Table14[[#This Row],[I_0]])</f>
        <v>1</v>
      </c>
      <c r="W905" s="1">
        <f>IF(Table14[[#This Row],[I_0]] &lt; INDEX(Table28[Filtro de ruido],1), 1, Table14[[#This Row],[I_30]] / Table14[[#This Row],[I_0]])</f>
        <v>1</v>
      </c>
      <c r="X905" s="1">
        <f>IF(Table14[[#This Row],[I_0]] &lt; INDEX(Table28[Filtro de ruido],1), 1, Table14[[#This Row],[I_40]] / Table14[[#This Row],[I_0]])</f>
        <v>1</v>
      </c>
      <c r="Y905" s="19">
        <f>IF(Table14[[#This Row],[I_0]] &lt; INDEX(Table28[Filtro de ruido],1), 1, Table14[[#This Row],[I_50]] / Table14[[#This Row],[I_0]])</f>
        <v>1</v>
      </c>
      <c r="AA905" s="1"/>
    </row>
    <row r="906" spans="1:27" x14ac:dyDescent="0.3">
      <c r="A906" s="18">
        <v>966.84</v>
      </c>
      <c r="B906" s="1">
        <v>0</v>
      </c>
      <c r="C906" s="1">
        <v>966.84</v>
      </c>
      <c r="D906" s="1">
        <v>0</v>
      </c>
      <c r="E906" s="1">
        <v>966.84</v>
      </c>
      <c r="F906" s="1">
        <v>0</v>
      </c>
      <c r="G906" s="1">
        <v>966.84</v>
      </c>
      <c r="H906" s="1">
        <v>0</v>
      </c>
      <c r="I906" s="1">
        <v>966.84</v>
      </c>
      <c r="J906" s="1">
        <v>0</v>
      </c>
      <c r="K906" s="1">
        <v>966.84</v>
      </c>
      <c r="L906" s="1">
        <v>0</v>
      </c>
      <c r="M906" s="1">
        <v>966.84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966.84</v>
      </c>
      <c r="U906" s="1">
        <f>IF(Table14[[#This Row],[I_0]] &lt; INDEX(Table28[Filtro de ruido],1), 1, Table14[[#This Row],[I_10]] / Table14[[#This Row],[I_0]])</f>
        <v>1</v>
      </c>
      <c r="V906" s="1">
        <f>IF(Table14[[#This Row],[I_0]] &lt; INDEX(Table28[Filtro de ruido],1), 1, Table14[[#This Row],[I_20]] / Table14[[#This Row],[I_0]])</f>
        <v>1</v>
      </c>
      <c r="W906" s="1">
        <f>IF(Table14[[#This Row],[I_0]] &lt; INDEX(Table28[Filtro de ruido],1), 1, Table14[[#This Row],[I_30]] / Table14[[#This Row],[I_0]])</f>
        <v>1</v>
      </c>
      <c r="X906" s="1">
        <f>IF(Table14[[#This Row],[I_0]] &lt; INDEX(Table28[Filtro de ruido],1), 1, Table14[[#This Row],[I_40]] / Table14[[#This Row],[I_0]])</f>
        <v>1</v>
      </c>
      <c r="Y906" s="19">
        <f>IF(Table14[[#This Row],[I_0]] &lt; INDEX(Table28[Filtro de ruido],1), 1, Table14[[#This Row],[I_50]] / Table14[[#This Row],[I_0]])</f>
        <v>1</v>
      </c>
      <c r="AA906" s="1"/>
    </row>
    <row r="907" spans="1:27" x14ac:dyDescent="0.3">
      <c r="A907" s="18">
        <v>967.83</v>
      </c>
      <c r="B907" s="1">
        <v>0</v>
      </c>
      <c r="C907" s="1">
        <v>967.83</v>
      </c>
      <c r="D907" s="1">
        <v>0</v>
      </c>
      <c r="E907" s="1">
        <v>967.83</v>
      </c>
      <c r="F907" s="1">
        <v>0</v>
      </c>
      <c r="G907" s="1">
        <v>967.83</v>
      </c>
      <c r="H907" s="1">
        <v>0</v>
      </c>
      <c r="I907" s="1">
        <v>967.83</v>
      </c>
      <c r="J907" s="1">
        <v>0</v>
      </c>
      <c r="K907" s="1">
        <v>967.83</v>
      </c>
      <c r="L907" s="1">
        <v>0</v>
      </c>
      <c r="M907" s="1">
        <v>967.83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967.83</v>
      </c>
      <c r="U907" s="1">
        <f>IF(Table14[[#This Row],[I_0]] &lt; INDEX(Table28[Filtro de ruido],1), 1, Table14[[#This Row],[I_10]] / Table14[[#This Row],[I_0]])</f>
        <v>1</v>
      </c>
      <c r="V907" s="1">
        <f>IF(Table14[[#This Row],[I_0]] &lt; INDEX(Table28[Filtro de ruido],1), 1, Table14[[#This Row],[I_20]] / Table14[[#This Row],[I_0]])</f>
        <v>1</v>
      </c>
      <c r="W907" s="1">
        <f>IF(Table14[[#This Row],[I_0]] &lt; INDEX(Table28[Filtro de ruido],1), 1, Table14[[#This Row],[I_30]] / Table14[[#This Row],[I_0]])</f>
        <v>1</v>
      </c>
      <c r="X907" s="1">
        <f>IF(Table14[[#This Row],[I_0]] &lt; INDEX(Table28[Filtro de ruido],1), 1, Table14[[#This Row],[I_40]] / Table14[[#This Row],[I_0]])</f>
        <v>1</v>
      </c>
      <c r="Y907" s="19">
        <f>IF(Table14[[#This Row],[I_0]] &lt; INDEX(Table28[Filtro de ruido],1), 1, Table14[[#This Row],[I_50]] / Table14[[#This Row],[I_0]])</f>
        <v>1</v>
      </c>
      <c r="AA907" s="1"/>
    </row>
    <row r="908" spans="1:27" x14ac:dyDescent="0.3">
      <c r="A908" s="18">
        <v>968.82</v>
      </c>
      <c r="B908" s="1">
        <v>0</v>
      </c>
      <c r="C908" s="1">
        <v>968.82</v>
      </c>
      <c r="D908" s="1">
        <v>0</v>
      </c>
      <c r="E908" s="1">
        <v>968.82</v>
      </c>
      <c r="F908" s="1">
        <v>0</v>
      </c>
      <c r="G908" s="1">
        <v>968.82</v>
      </c>
      <c r="H908" s="1">
        <v>0</v>
      </c>
      <c r="I908" s="1">
        <v>968.82</v>
      </c>
      <c r="J908" s="1">
        <v>0</v>
      </c>
      <c r="K908" s="1">
        <v>968.82</v>
      </c>
      <c r="L908" s="1">
        <v>0</v>
      </c>
      <c r="M908" s="1">
        <v>968.82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968.82</v>
      </c>
      <c r="U908" s="1">
        <f>IF(Table14[[#This Row],[I_0]] &lt; INDEX(Table28[Filtro de ruido],1), 1, Table14[[#This Row],[I_10]] / Table14[[#This Row],[I_0]])</f>
        <v>1</v>
      </c>
      <c r="V908" s="1">
        <f>IF(Table14[[#This Row],[I_0]] &lt; INDEX(Table28[Filtro de ruido],1), 1, Table14[[#This Row],[I_20]] / Table14[[#This Row],[I_0]])</f>
        <v>1</v>
      </c>
      <c r="W908" s="1">
        <f>IF(Table14[[#This Row],[I_0]] &lt; INDEX(Table28[Filtro de ruido],1), 1, Table14[[#This Row],[I_30]] / Table14[[#This Row],[I_0]])</f>
        <v>1</v>
      </c>
      <c r="X908" s="1">
        <f>IF(Table14[[#This Row],[I_0]] &lt; INDEX(Table28[Filtro de ruido],1), 1, Table14[[#This Row],[I_40]] / Table14[[#This Row],[I_0]])</f>
        <v>1</v>
      </c>
      <c r="Y908" s="19">
        <f>IF(Table14[[#This Row],[I_0]] &lt; INDEX(Table28[Filtro de ruido],1), 1, Table14[[#This Row],[I_50]] / Table14[[#This Row],[I_0]])</f>
        <v>1</v>
      </c>
      <c r="AA908" s="1"/>
    </row>
    <row r="909" spans="1:27" x14ac:dyDescent="0.3">
      <c r="A909" s="18">
        <v>969.81</v>
      </c>
      <c r="B909" s="1">
        <v>0</v>
      </c>
      <c r="C909" s="1">
        <v>969.81</v>
      </c>
      <c r="D909" s="1">
        <v>0</v>
      </c>
      <c r="E909" s="1">
        <v>969.81</v>
      </c>
      <c r="F909" s="1">
        <v>0</v>
      </c>
      <c r="G909" s="1">
        <v>969.81</v>
      </c>
      <c r="H909" s="1">
        <v>0</v>
      </c>
      <c r="I909" s="1">
        <v>969.81</v>
      </c>
      <c r="J909" s="1">
        <v>0</v>
      </c>
      <c r="K909" s="1">
        <v>969.81</v>
      </c>
      <c r="L909" s="1">
        <v>0</v>
      </c>
      <c r="M909" s="1">
        <v>969.81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969.81</v>
      </c>
      <c r="U909" s="1">
        <f>IF(Table14[[#This Row],[I_0]] &lt; INDEX(Table28[Filtro de ruido],1), 1, Table14[[#This Row],[I_10]] / Table14[[#This Row],[I_0]])</f>
        <v>1</v>
      </c>
      <c r="V909" s="1">
        <f>IF(Table14[[#This Row],[I_0]] &lt; INDEX(Table28[Filtro de ruido],1), 1, Table14[[#This Row],[I_20]] / Table14[[#This Row],[I_0]])</f>
        <v>1</v>
      </c>
      <c r="W909" s="1">
        <f>IF(Table14[[#This Row],[I_0]] &lt; INDEX(Table28[Filtro de ruido],1), 1, Table14[[#This Row],[I_30]] / Table14[[#This Row],[I_0]])</f>
        <v>1</v>
      </c>
      <c r="X909" s="1">
        <f>IF(Table14[[#This Row],[I_0]] &lt; INDEX(Table28[Filtro de ruido],1), 1, Table14[[#This Row],[I_40]] / Table14[[#This Row],[I_0]])</f>
        <v>1</v>
      </c>
      <c r="Y909" s="19">
        <f>IF(Table14[[#This Row],[I_0]] &lt; INDEX(Table28[Filtro de ruido],1), 1, Table14[[#This Row],[I_50]] / Table14[[#This Row],[I_0]])</f>
        <v>1</v>
      </c>
      <c r="AA909" s="1"/>
    </row>
    <row r="910" spans="1:27" x14ac:dyDescent="0.3">
      <c r="A910" s="18">
        <v>970.8</v>
      </c>
      <c r="B910" s="1">
        <v>0</v>
      </c>
      <c r="C910" s="1">
        <v>970.8</v>
      </c>
      <c r="D910" s="1">
        <v>0</v>
      </c>
      <c r="E910" s="1">
        <v>970.8</v>
      </c>
      <c r="F910" s="1">
        <v>0</v>
      </c>
      <c r="G910" s="1">
        <v>970.8</v>
      </c>
      <c r="H910" s="1">
        <v>0</v>
      </c>
      <c r="I910" s="1">
        <v>970.8</v>
      </c>
      <c r="J910" s="1">
        <v>0</v>
      </c>
      <c r="K910" s="1">
        <v>970.8</v>
      </c>
      <c r="L910" s="1">
        <v>0</v>
      </c>
      <c r="M910" s="1">
        <v>970.8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970.8</v>
      </c>
      <c r="U910" s="1">
        <f>IF(Table14[[#This Row],[I_0]] &lt; INDEX(Table28[Filtro de ruido],1), 1, Table14[[#This Row],[I_10]] / Table14[[#This Row],[I_0]])</f>
        <v>1</v>
      </c>
      <c r="V910" s="1">
        <f>IF(Table14[[#This Row],[I_0]] &lt; INDEX(Table28[Filtro de ruido],1), 1, Table14[[#This Row],[I_20]] / Table14[[#This Row],[I_0]])</f>
        <v>1</v>
      </c>
      <c r="W910" s="1">
        <f>IF(Table14[[#This Row],[I_0]] &lt; INDEX(Table28[Filtro de ruido],1), 1, Table14[[#This Row],[I_30]] / Table14[[#This Row],[I_0]])</f>
        <v>1</v>
      </c>
      <c r="X910" s="1">
        <f>IF(Table14[[#This Row],[I_0]] &lt; INDEX(Table28[Filtro de ruido],1), 1, Table14[[#This Row],[I_40]] / Table14[[#This Row],[I_0]])</f>
        <v>1</v>
      </c>
      <c r="Y910" s="19">
        <f>IF(Table14[[#This Row],[I_0]] &lt; INDEX(Table28[Filtro de ruido],1), 1, Table14[[#This Row],[I_50]] / Table14[[#This Row],[I_0]])</f>
        <v>1</v>
      </c>
      <c r="AA910" s="1"/>
    </row>
    <row r="911" spans="1:27" x14ac:dyDescent="0.3">
      <c r="A911" s="18">
        <v>971.79</v>
      </c>
      <c r="B911" s="1">
        <v>0</v>
      </c>
      <c r="C911" s="1">
        <v>971.79</v>
      </c>
      <c r="D911" s="1">
        <v>0</v>
      </c>
      <c r="E911" s="1">
        <v>971.79</v>
      </c>
      <c r="F911" s="1">
        <v>0</v>
      </c>
      <c r="G911" s="1">
        <v>971.79</v>
      </c>
      <c r="H911" s="1">
        <v>0</v>
      </c>
      <c r="I911" s="1">
        <v>971.79</v>
      </c>
      <c r="J911" s="1">
        <v>0</v>
      </c>
      <c r="K911" s="1">
        <v>971.79</v>
      </c>
      <c r="L911" s="1">
        <v>0</v>
      </c>
      <c r="M911" s="1">
        <v>971.79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971.79</v>
      </c>
      <c r="U911" s="1">
        <f>IF(Table14[[#This Row],[I_0]] &lt; INDEX(Table28[Filtro de ruido],1), 1, Table14[[#This Row],[I_10]] / Table14[[#This Row],[I_0]])</f>
        <v>1</v>
      </c>
      <c r="V911" s="1">
        <f>IF(Table14[[#This Row],[I_0]] &lt; INDEX(Table28[Filtro de ruido],1), 1, Table14[[#This Row],[I_20]] / Table14[[#This Row],[I_0]])</f>
        <v>1</v>
      </c>
      <c r="W911" s="1">
        <f>IF(Table14[[#This Row],[I_0]] &lt; INDEX(Table28[Filtro de ruido],1), 1, Table14[[#This Row],[I_30]] / Table14[[#This Row],[I_0]])</f>
        <v>1</v>
      </c>
      <c r="X911" s="1">
        <f>IF(Table14[[#This Row],[I_0]] &lt; INDEX(Table28[Filtro de ruido],1), 1, Table14[[#This Row],[I_40]] / Table14[[#This Row],[I_0]])</f>
        <v>1</v>
      </c>
      <c r="Y911" s="19">
        <f>IF(Table14[[#This Row],[I_0]] &lt; INDEX(Table28[Filtro de ruido],1), 1, Table14[[#This Row],[I_50]] / Table14[[#This Row],[I_0]])</f>
        <v>1</v>
      </c>
      <c r="AA911" s="1"/>
    </row>
    <row r="912" spans="1:27" x14ac:dyDescent="0.3">
      <c r="A912" s="18">
        <v>972.79</v>
      </c>
      <c r="B912" s="1">
        <v>0</v>
      </c>
      <c r="C912" s="1">
        <v>972.79</v>
      </c>
      <c r="D912" s="1">
        <v>0</v>
      </c>
      <c r="E912" s="1">
        <v>972.79</v>
      </c>
      <c r="F912" s="1">
        <v>0</v>
      </c>
      <c r="G912" s="1">
        <v>972.79</v>
      </c>
      <c r="H912" s="1">
        <v>0</v>
      </c>
      <c r="I912" s="1">
        <v>972.79</v>
      </c>
      <c r="J912" s="1">
        <v>0</v>
      </c>
      <c r="K912" s="1">
        <v>972.79</v>
      </c>
      <c r="L912" s="1">
        <v>0</v>
      </c>
      <c r="M912" s="1">
        <v>972.79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972.79</v>
      </c>
      <c r="U912" s="1">
        <f>IF(Table14[[#This Row],[I_0]] &lt; INDEX(Table28[Filtro de ruido],1), 1, Table14[[#This Row],[I_10]] / Table14[[#This Row],[I_0]])</f>
        <v>1</v>
      </c>
      <c r="V912" s="1">
        <f>IF(Table14[[#This Row],[I_0]] &lt; INDEX(Table28[Filtro de ruido],1), 1, Table14[[#This Row],[I_20]] / Table14[[#This Row],[I_0]])</f>
        <v>1</v>
      </c>
      <c r="W912" s="1">
        <f>IF(Table14[[#This Row],[I_0]] &lt; INDEX(Table28[Filtro de ruido],1), 1, Table14[[#This Row],[I_30]] / Table14[[#This Row],[I_0]])</f>
        <v>1</v>
      </c>
      <c r="X912" s="1">
        <f>IF(Table14[[#This Row],[I_0]] &lt; INDEX(Table28[Filtro de ruido],1), 1, Table14[[#This Row],[I_40]] / Table14[[#This Row],[I_0]])</f>
        <v>1</v>
      </c>
      <c r="Y912" s="19">
        <f>IF(Table14[[#This Row],[I_0]] &lt; INDEX(Table28[Filtro de ruido],1), 1, Table14[[#This Row],[I_50]] / Table14[[#This Row],[I_0]])</f>
        <v>1</v>
      </c>
      <c r="AA912" s="1"/>
    </row>
    <row r="913" spans="1:27" x14ac:dyDescent="0.3">
      <c r="A913" s="18">
        <v>973.78</v>
      </c>
      <c r="B913" s="1">
        <v>0</v>
      </c>
      <c r="C913" s="1">
        <v>973.78</v>
      </c>
      <c r="D913" s="1">
        <v>0</v>
      </c>
      <c r="E913" s="1">
        <v>973.78</v>
      </c>
      <c r="F913" s="1">
        <v>0</v>
      </c>
      <c r="G913" s="1">
        <v>973.78</v>
      </c>
      <c r="H913" s="1">
        <v>0</v>
      </c>
      <c r="I913" s="1">
        <v>973.78</v>
      </c>
      <c r="J913" s="1">
        <v>0</v>
      </c>
      <c r="K913" s="1">
        <v>973.78</v>
      </c>
      <c r="L913" s="1">
        <v>0</v>
      </c>
      <c r="M913" s="1">
        <v>973.78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973.78</v>
      </c>
      <c r="U913" s="1">
        <f>IF(Table14[[#This Row],[I_0]] &lt; INDEX(Table28[Filtro de ruido],1), 1, Table14[[#This Row],[I_10]] / Table14[[#This Row],[I_0]])</f>
        <v>1</v>
      </c>
      <c r="V913" s="1">
        <f>IF(Table14[[#This Row],[I_0]] &lt; INDEX(Table28[Filtro de ruido],1), 1, Table14[[#This Row],[I_20]] / Table14[[#This Row],[I_0]])</f>
        <v>1</v>
      </c>
      <c r="W913" s="1">
        <f>IF(Table14[[#This Row],[I_0]] &lt; INDEX(Table28[Filtro de ruido],1), 1, Table14[[#This Row],[I_30]] / Table14[[#This Row],[I_0]])</f>
        <v>1</v>
      </c>
      <c r="X913" s="1">
        <f>IF(Table14[[#This Row],[I_0]] &lt; INDEX(Table28[Filtro de ruido],1), 1, Table14[[#This Row],[I_40]] / Table14[[#This Row],[I_0]])</f>
        <v>1</v>
      </c>
      <c r="Y913" s="19">
        <f>IF(Table14[[#This Row],[I_0]] &lt; INDEX(Table28[Filtro de ruido],1), 1, Table14[[#This Row],[I_50]] / Table14[[#This Row],[I_0]])</f>
        <v>1</v>
      </c>
      <c r="AA913" s="1"/>
    </row>
    <row r="914" spans="1:27" x14ac:dyDescent="0.3">
      <c r="A914" s="18">
        <v>974.77</v>
      </c>
      <c r="B914" s="1">
        <v>0</v>
      </c>
      <c r="C914" s="1">
        <v>974.77</v>
      </c>
      <c r="D914" s="1">
        <v>0</v>
      </c>
      <c r="E914" s="1">
        <v>974.77</v>
      </c>
      <c r="F914" s="1">
        <v>0</v>
      </c>
      <c r="G914" s="1">
        <v>974.77</v>
      </c>
      <c r="H914" s="1">
        <v>0</v>
      </c>
      <c r="I914" s="1">
        <v>974.77</v>
      </c>
      <c r="J914" s="1">
        <v>0</v>
      </c>
      <c r="K914" s="1">
        <v>974.77</v>
      </c>
      <c r="L914" s="1">
        <v>0</v>
      </c>
      <c r="M914" s="1">
        <v>974.77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974.77</v>
      </c>
      <c r="U914" s="1">
        <f>IF(Table14[[#This Row],[I_0]] &lt; INDEX(Table28[Filtro de ruido],1), 1, Table14[[#This Row],[I_10]] / Table14[[#This Row],[I_0]])</f>
        <v>1</v>
      </c>
      <c r="V914" s="1">
        <f>IF(Table14[[#This Row],[I_0]] &lt; INDEX(Table28[Filtro de ruido],1), 1, Table14[[#This Row],[I_20]] / Table14[[#This Row],[I_0]])</f>
        <v>1</v>
      </c>
      <c r="W914" s="1">
        <f>IF(Table14[[#This Row],[I_0]] &lt; INDEX(Table28[Filtro de ruido],1), 1, Table14[[#This Row],[I_30]] / Table14[[#This Row],[I_0]])</f>
        <v>1</v>
      </c>
      <c r="X914" s="1">
        <f>IF(Table14[[#This Row],[I_0]] &lt; INDEX(Table28[Filtro de ruido],1), 1, Table14[[#This Row],[I_40]] / Table14[[#This Row],[I_0]])</f>
        <v>1</v>
      </c>
      <c r="Y914" s="19">
        <f>IF(Table14[[#This Row],[I_0]] &lt; INDEX(Table28[Filtro de ruido],1), 1, Table14[[#This Row],[I_50]] / Table14[[#This Row],[I_0]])</f>
        <v>1</v>
      </c>
      <c r="AA914" s="1"/>
    </row>
    <row r="915" spans="1:27" x14ac:dyDescent="0.3">
      <c r="A915" s="18">
        <v>975.76</v>
      </c>
      <c r="B915" s="1">
        <v>0</v>
      </c>
      <c r="C915" s="1">
        <v>975.76</v>
      </c>
      <c r="D915" s="1">
        <v>0</v>
      </c>
      <c r="E915" s="1">
        <v>975.76</v>
      </c>
      <c r="F915" s="1">
        <v>0</v>
      </c>
      <c r="G915" s="1">
        <v>975.76</v>
      </c>
      <c r="H915" s="1">
        <v>0</v>
      </c>
      <c r="I915" s="1">
        <v>975.76</v>
      </c>
      <c r="J915" s="1">
        <v>0</v>
      </c>
      <c r="K915" s="1">
        <v>975.76</v>
      </c>
      <c r="L915" s="1">
        <v>0</v>
      </c>
      <c r="M915" s="1">
        <v>975.76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975.76</v>
      </c>
      <c r="U915" s="1">
        <f>IF(Table14[[#This Row],[I_0]] &lt; INDEX(Table28[Filtro de ruido],1), 1, Table14[[#This Row],[I_10]] / Table14[[#This Row],[I_0]])</f>
        <v>1</v>
      </c>
      <c r="V915" s="1">
        <f>IF(Table14[[#This Row],[I_0]] &lt; INDEX(Table28[Filtro de ruido],1), 1, Table14[[#This Row],[I_20]] / Table14[[#This Row],[I_0]])</f>
        <v>1</v>
      </c>
      <c r="W915" s="1">
        <f>IF(Table14[[#This Row],[I_0]] &lt; INDEX(Table28[Filtro de ruido],1), 1, Table14[[#This Row],[I_30]] / Table14[[#This Row],[I_0]])</f>
        <v>1</v>
      </c>
      <c r="X915" s="1">
        <f>IF(Table14[[#This Row],[I_0]] &lt; INDEX(Table28[Filtro de ruido],1), 1, Table14[[#This Row],[I_40]] / Table14[[#This Row],[I_0]])</f>
        <v>1</v>
      </c>
      <c r="Y915" s="19">
        <f>IF(Table14[[#This Row],[I_0]] &lt; INDEX(Table28[Filtro de ruido],1), 1, Table14[[#This Row],[I_50]] / Table14[[#This Row],[I_0]])</f>
        <v>1</v>
      </c>
      <c r="AA915" s="1"/>
    </row>
    <row r="916" spans="1:27" x14ac:dyDescent="0.3">
      <c r="A916" s="18">
        <v>976.75</v>
      </c>
      <c r="B916" s="1">
        <v>0</v>
      </c>
      <c r="C916" s="1">
        <v>976.75</v>
      </c>
      <c r="D916" s="1">
        <v>0</v>
      </c>
      <c r="E916" s="1">
        <v>976.75</v>
      </c>
      <c r="F916" s="1">
        <v>0</v>
      </c>
      <c r="G916" s="1">
        <v>976.75</v>
      </c>
      <c r="H916" s="1">
        <v>0</v>
      </c>
      <c r="I916" s="1">
        <v>976.75</v>
      </c>
      <c r="J916" s="1">
        <v>0</v>
      </c>
      <c r="K916" s="1">
        <v>976.75</v>
      </c>
      <c r="L916" s="1">
        <v>0</v>
      </c>
      <c r="M916" s="1">
        <v>976.75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976.75</v>
      </c>
      <c r="U916" s="1">
        <f>IF(Table14[[#This Row],[I_0]] &lt; INDEX(Table28[Filtro de ruido],1), 1, Table14[[#This Row],[I_10]] / Table14[[#This Row],[I_0]])</f>
        <v>1</v>
      </c>
      <c r="V916" s="1">
        <f>IF(Table14[[#This Row],[I_0]] &lt; INDEX(Table28[Filtro de ruido],1), 1, Table14[[#This Row],[I_20]] / Table14[[#This Row],[I_0]])</f>
        <v>1</v>
      </c>
      <c r="W916" s="1">
        <f>IF(Table14[[#This Row],[I_0]] &lt; INDEX(Table28[Filtro de ruido],1), 1, Table14[[#This Row],[I_30]] / Table14[[#This Row],[I_0]])</f>
        <v>1</v>
      </c>
      <c r="X916" s="1">
        <f>IF(Table14[[#This Row],[I_0]] &lt; INDEX(Table28[Filtro de ruido],1), 1, Table14[[#This Row],[I_40]] / Table14[[#This Row],[I_0]])</f>
        <v>1</v>
      </c>
      <c r="Y916" s="19">
        <f>IF(Table14[[#This Row],[I_0]] &lt; INDEX(Table28[Filtro de ruido],1), 1, Table14[[#This Row],[I_50]] / Table14[[#This Row],[I_0]])</f>
        <v>1</v>
      </c>
      <c r="AA916" s="1"/>
    </row>
    <row r="917" spans="1:27" x14ac:dyDescent="0.3">
      <c r="A917" s="18">
        <v>977.75</v>
      </c>
      <c r="B917" s="1">
        <v>0</v>
      </c>
      <c r="C917" s="1">
        <v>977.75</v>
      </c>
      <c r="D917" s="1">
        <v>0</v>
      </c>
      <c r="E917" s="1">
        <v>977.75</v>
      </c>
      <c r="F917" s="1">
        <v>0</v>
      </c>
      <c r="G917" s="1">
        <v>977.75</v>
      </c>
      <c r="H917" s="1">
        <v>0</v>
      </c>
      <c r="I917" s="1">
        <v>977.75</v>
      </c>
      <c r="J917" s="1">
        <v>0</v>
      </c>
      <c r="K917" s="1">
        <v>977.75</v>
      </c>
      <c r="L917" s="1">
        <v>0</v>
      </c>
      <c r="M917" s="1">
        <v>977.75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977.75</v>
      </c>
      <c r="U917" s="1">
        <f>IF(Table14[[#This Row],[I_0]] &lt; INDEX(Table28[Filtro de ruido],1), 1, Table14[[#This Row],[I_10]] / Table14[[#This Row],[I_0]])</f>
        <v>1</v>
      </c>
      <c r="V917" s="1">
        <f>IF(Table14[[#This Row],[I_0]] &lt; INDEX(Table28[Filtro de ruido],1), 1, Table14[[#This Row],[I_20]] / Table14[[#This Row],[I_0]])</f>
        <v>1</v>
      </c>
      <c r="W917" s="1">
        <f>IF(Table14[[#This Row],[I_0]] &lt; INDEX(Table28[Filtro de ruido],1), 1, Table14[[#This Row],[I_30]] / Table14[[#This Row],[I_0]])</f>
        <v>1</v>
      </c>
      <c r="X917" s="1">
        <f>IF(Table14[[#This Row],[I_0]] &lt; INDEX(Table28[Filtro de ruido],1), 1, Table14[[#This Row],[I_40]] / Table14[[#This Row],[I_0]])</f>
        <v>1</v>
      </c>
      <c r="Y917" s="19">
        <f>IF(Table14[[#This Row],[I_0]] &lt; INDEX(Table28[Filtro de ruido],1), 1, Table14[[#This Row],[I_50]] / Table14[[#This Row],[I_0]])</f>
        <v>1</v>
      </c>
      <c r="AA917" s="1"/>
    </row>
    <row r="918" spans="1:27" x14ac:dyDescent="0.3">
      <c r="A918" s="18">
        <v>978.74</v>
      </c>
      <c r="B918" s="1">
        <v>0</v>
      </c>
      <c r="C918" s="1">
        <v>978.74</v>
      </c>
      <c r="D918" s="1">
        <v>0</v>
      </c>
      <c r="E918" s="1">
        <v>978.74</v>
      </c>
      <c r="F918" s="1">
        <v>0</v>
      </c>
      <c r="G918" s="1">
        <v>978.74</v>
      </c>
      <c r="H918" s="1">
        <v>0</v>
      </c>
      <c r="I918" s="1">
        <v>978.74</v>
      </c>
      <c r="J918" s="1">
        <v>0</v>
      </c>
      <c r="K918" s="1">
        <v>978.74</v>
      </c>
      <c r="L918" s="1">
        <v>0</v>
      </c>
      <c r="M918" s="1">
        <v>978.74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978.74</v>
      </c>
      <c r="U918" s="1">
        <f>IF(Table14[[#This Row],[I_0]] &lt; INDEX(Table28[Filtro de ruido],1), 1, Table14[[#This Row],[I_10]] / Table14[[#This Row],[I_0]])</f>
        <v>1</v>
      </c>
      <c r="V918" s="1">
        <f>IF(Table14[[#This Row],[I_0]] &lt; INDEX(Table28[Filtro de ruido],1), 1, Table14[[#This Row],[I_20]] / Table14[[#This Row],[I_0]])</f>
        <v>1</v>
      </c>
      <c r="W918" s="1">
        <f>IF(Table14[[#This Row],[I_0]] &lt; INDEX(Table28[Filtro de ruido],1), 1, Table14[[#This Row],[I_30]] / Table14[[#This Row],[I_0]])</f>
        <v>1</v>
      </c>
      <c r="X918" s="1">
        <f>IF(Table14[[#This Row],[I_0]] &lt; INDEX(Table28[Filtro de ruido],1), 1, Table14[[#This Row],[I_40]] / Table14[[#This Row],[I_0]])</f>
        <v>1</v>
      </c>
      <c r="Y918" s="19">
        <f>IF(Table14[[#This Row],[I_0]] &lt; INDEX(Table28[Filtro de ruido],1), 1, Table14[[#This Row],[I_50]] / Table14[[#This Row],[I_0]])</f>
        <v>1</v>
      </c>
      <c r="AA918" s="1"/>
    </row>
    <row r="919" spans="1:27" x14ac:dyDescent="0.3">
      <c r="A919" s="18">
        <v>979.73</v>
      </c>
      <c r="B919" s="1">
        <v>0</v>
      </c>
      <c r="C919" s="1">
        <v>979.73</v>
      </c>
      <c r="D919" s="1">
        <v>0</v>
      </c>
      <c r="E919" s="1">
        <v>979.73</v>
      </c>
      <c r="F919" s="1">
        <v>0</v>
      </c>
      <c r="G919" s="1">
        <v>979.73</v>
      </c>
      <c r="H919" s="1">
        <v>0</v>
      </c>
      <c r="I919" s="1">
        <v>979.73</v>
      </c>
      <c r="J919" s="1">
        <v>0</v>
      </c>
      <c r="K919" s="1">
        <v>979.73</v>
      </c>
      <c r="L919" s="1">
        <v>0</v>
      </c>
      <c r="M919" s="1">
        <v>979.73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979.73</v>
      </c>
      <c r="U919" s="1">
        <f>IF(Table14[[#This Row],[I_0]] &lt; INDEX(Table28[Filtro de ruido],1), 1, Table14[[#This Row],[I_10]] / Table14[[#This Row],[I_0]])</f>
        <v>1</v>
      </c>
      <c r="V919" s="1">
        <f>IF(Table14[[#This Row],[I_0]] &lt; INDEX(Table28[Filtro de ruido],1), 1, Table14[[#This Row],[I_20]] / Table14[[#This Row],[I_0]])</f>
        <v>1</v>
      </c>
      <c r="W919" s="1">
        <f>IF(Table14[[#This Row],[I_0]] &lt; INDEX(Table28[Filtro de ruido],1), 1, Table14[[#This Row],[I_30]] / Table14[[#This Row],[I_0]])</f>
        <v>1</v>
      </c>
      <c r="X919" s="1">
        <f>IF(Table14[[#This Row],[I_0]] &lt; INDEX(Table28[Filtro de ruido],1), 1, Table14[[#This Row],[I_40]] / Table14[[#This Row],[I_0]])</f>
        <v>1</v>
      </c>
      <c r="Y919" s="19">
        <f>IF(Table14[[#This Row],[I_0]] &lt; INDEX(Table28[Filtro de ruido],1), 1, Table14[[#This Row],[I_50]] / Table14[[#This Row],[I_0]])</f>
        <v>1</v>
      </c>
      <c r="AA919" s="1"/>
    </row>
    <row r="920" spans="1:27" x14ac:dyDescent="0.3">
      <c r="A920" s="18">
        <v>980.72</v>
      </c>
      <c r="B920" s="1">
        <v>0</v>
      </c>
      <c r="C920" s="1">
        <v>980.72</v>
      </c>
      <c r="D920" s="1">
        <v>0</v>
      </c>
      <c r="E920" s="1">
        <v>980.72</v>
      </c>
      <c r="F920" s="1">
        <v>0</v>
      </c>
      <c r="G920" s="1">
        <v>980.72</v>
      </c>
      <c r="H920" s="1">
        <v>0</v>
      </c>
      <c r="I920" s="1">
        <v>980.72</v>
      </c>
      <c r="J920" s="1">
        <v>0</v>
      </c>
      <c r="K920" s="1">
        <v>980.72</v>
      </c>
      <c r="L920" s="1">
        <v>0</v>
      </c>
      <c r="M920" s="1">
        <v>980.72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980.72</v>
      </c>
      <c r="U920" s="1">
        <f>IF(Table14[[#This Row],[I_0]] &lt; INDEX(Table28[Filtro de ruido],1), 1, Table14[[#This Row],[I_10]] / Table14[[#This Row],[I_0]])</f>
        <v>1</v>
      </c>
      <c r="V920" s="1">
        <f>IF(Table14[[#This Row],[I_0]] &lt; INDEX(Table28[Filtro de ruido],1), 1, Table14[[#This Row],[I_20]] / Table14[[#This Row],[I_0]])</f>
        <v>1</v>
      </c>
      <c r="W920" s="1">
        <f>IF(Table14[[#This Row],[I_0]] &lt; INDEX(Table28[Filtro de ruido],1), 1, Table14[[#This Row],[I_30]] / Table14[[#This Row],[I_0]])</f>
        <v>1</v>
      </c>
      <c r="X920" s="1">
        <f>IF(Table14[[#This Row],[I_0]] &lt; INDEX(Table28[Filtro de ruido],1), 1, Table14[[#This Row],[I_40]] / Table14[[#This Row],[I_0]])</f>
        <v>1</v>
      </c>
      <c r="Y920" s="19">
        <f>IF(Table14[[#This Row],[I_0]] &lt; INDEX(Table28[Filtro de ruido],1), 1, Table14[[#This Row],[I_50]] / Table14[[#This Row],[I_0]])</f>
        <v>1</v>
      </c>
      <c r="AA920" s="1"/>
    </row>
    <row r="921" spans="1:27" x14ac:dyDescent="0.3">
      <c r="A921" s="18">
        <v>981.71</v>
      </c>
      <c r="B921" s="1">
        <v>0</v>
      </c>
      <c r="C921" s="1">
        <v>981.71</v>
      </c>
      <c r="D921" s="1">
        <v>0</v>
      </c>
      <c r="E921" s="1">
        <v>981.71</v>
      </c>
      <c r="F921" s="1">
        <v>0</v>
      </c>
      <c r="G921" s="1">
        <v>981.71</v>
      </c>
      <c r="H921" s="1">
        <v>0</v>
      </c>
      <c r="I921" s="1">
        <v>981.71</v>
      </c>
      <c r="J921" s="1">
        <v>0</v>
      </c>
      <c r="K921" s="1">
        <v>981.71</v>
      </c>
      <c r="L921" s="1">
        <v>0</v>
      </c>
      <c r="M921" s="1">
        <v>981.71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981.71</v>
      </c>
      <c r="U921" s="1">
        <f>IF(Table14[[#This Row],[I_0]] &lt; INDEX(Table28[Filtro de ruido],1), 1, Table14[[#This Row],[I_10]] / Table14[[#This Row],[I_0]])</f>
        <v>1</v>
      </c>
      <c r="V921" s="1">
        <f>IF(Table14[[#This Row],[I_0]] &lt; INDEX(Table28[Filtro de ruido],1), 1, Table14[[#This Row],[I_20]] / Table14[[#This Row],[I_0]])</f>
        <v>1</v>
      </c>
      <c r="W921" s="1">
        <f>IF(Table14[[#This Row],[I_0]] &lt; INDEX(Table28[Filtro de ruido],1), 1, Table14[[#This Row],[I_30]] / Table14[[#This Row],[I_0]])</f>
        <v>1</v>
      </c>
      <c r="X921" s="1">
        <f>IF(Table14[[#This Row],[I_0]] &lt; INDEX(Table28[Filtro de ruido],1), 1, Table14[[#This Row],[I_40]] / Table14[[#This Row],[I_0]])</f>
        <v>1</v>
      </c>
      <c r="Y921" s="19">
        <f>IF(Table14[[#This Row],[I_0]] &lt; INDEX(Table28[Filtro de ruido],1), 1, Table14[[#This Row],[I_50]] / Table14[[#This Row],[I_0]])</f>
        <v>1</v>
      </c>
      <c r="AA921" s="1"/>
    </row>
    <row r="922" spans="1:27" x14ac:dyDescent="0.3">
      <c r="A922" s="18">
        <v>982.7</v>
      </c>
      <c r="B922" s="1">
        <v>0</v>
      </c>
      <c r="C922" s="1">
        <v>982.7</v>
      </c>
      <c r="D922" s="1">
        <v>0</v>
      </c>
      <c r="E922" s="1">
        <v>982.7</v>
      </c>
      <c r="F922" s="1">
        <v>0</v>
      </c>
      <c r="G922" s="1">
        <v>982.7</v>
      </c>
      <c r="H922" s="1">
        <v>0</v>
      </c>
      <c r="I922" s="1">
        <v>982.7</v>
      </c>
      <c r="J922" s="1">
        <v>0</v>
      </c>
      <c r="K922" s="1">
        <v>982.7</v>
      </c>
      <c r="L922" s="1">
        <v>0</v>
      </c>
      <c r="M922" s="1">
        <v>982.7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982.7</v>
      </c>
      <c r="U922" s="1">
        <f>IF(Table14[[#This Row],[I_0]] &lt; INDEX(Table28[Filtro de ruido],1), 1, Table14[[#This Row],[I_10]] / Table14[[#This Row],[I_0]])</f>
        <v>1</v>
      </c>
      <c r="V922" s="1">
        <f>IF(Table14[[#This Row],[I_0]] &lt; INDEX(Table28[Filtro de ruido],1), 1, Table14[[#This Row],[I_20]] / Table14[[#This Row],[I_0]])</f>
        <v>1</v>
      </c>
      <c r="W922" s="1">
        <f>IF(Table14[[#This Row],[I_0]] &lt; INDEX(Table28[Filtro de ruido],1), 1, Table14[[#This Row],[I_30]] / Table14[[#This Row],[I_0]])</f>
        <v>1</v>
      </c>
      <c r="X922" s="1">
        <f>IF(Table14[[#This Row],[I_0]] &lt; INDEX(Table28[Filtro de ruido],1), 1, Table14[[#This Row],[I_40]] / Table14[[#This Row],[I_0]])</f>
        <v>1</v>
      </c>
      <c r="Y922" s="19">
        <f>IF(Table14[[#This Row],[I_0]] &lt; INDEX(Table28[Filtro de ruido],1), 1, Table14[[#This Row],[I_50]] / Table14[[#This Row],[I_0]])</f>
        <v>1</v>
      </c>
      <c r="AA922" s="1"/>
    </row>
    <row r="923" spans="1:27" x14ac:dyDescent="0.3">
      <c r="A923" s="18">
        <v>983.7</v>
      </c>
      <c r="B923" s="1">
        <v>0</v>
      </c>
      <c r="C923" s="1">
        <v>983.7</v>
      </c>
      <c r="D923" s="1">
        <v>0</v>
      </c>
      <c r="E923" s="1">
        <v>983.7</v>
      </c>
      <c r="F923" s="1">
        <v>0</v>
      </c>
      <c r="G923" s="1">
        <v>983.7</v>
      </c>
      <c r="H923" s="1">
        <v>0</v>
      </c>
      <c r="I923" s="1">
        <v>983.7</v>
      </c>
      <c r="J923" s="1">
        <v>0</v>
      </c>
      <c r="K923" s="1">
        <v>983.7</v>
      </c>
      <c r="L923" s="1">
        <v>0</v>
      </c>
      <c r="M923" s="1">
        <v>983.7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983.7</v>
      </c>
      <c r="U923" s="1">
        <f>IF(Table14[[#This Row],[I_0]] &lt; INDEX(Table28[Filtro de ruido],1), 1, Table14[[#This Row],[I_10]] / Table14[[#This Row],[I_0]])</f>
        <v>1</v>
      </c>
      <c r="V923" s="1">
        <f>IF(Table14[[#This Row],[I_0]] &lt; INDEX(Table28[Filtro de ruido],1), 1, Table14[[#This Row],[I_20]] / Table14[[#This Row],[I_0]])</f>
        <v>1</v>
      </c>
      <c r="W923" s="1">
        <f>IF(Table14[[#This Row],[I_0]] &lt; INDEX(Table28[Filtro de ruido],1), 1, Table14[[#This Row],[I_30]] / Table14[[#This Row],[I_0]])</f>
        <v>1</v>
      </c>
      <c r="X923" s="1">
        <f>IF(Table14[[#This Row],[I_0]] &lt; INDEX(Table28[Filtro de ruido],1), 1, Table14[[#This Row],[I_40]] / Table14[[#This Row],[I_0]])</f>
        <v>1</v>
      </c>
      <c r="Y923" s="19">
        <f>IF(Table14[[#This Row],[I_0]] &lt; INDEX(Table28[Filtro de ruido],1), 1, Table14[[#This Row],[I_50]] / Table14[[#This Row],[I_0]])</f>
        <v>1</v>
      </c>
      <c r="AA923" s="1"/>
    </row>
    <row r="924" spans="1:27" x14ac:dyDescent="0.3">
      <c r="A924" s="18">
        <v>984.69</v>
      </c>
      <c r="B924" s="1">
        <v>0</v>
      </c>
      <c r="C924" s="1">
        <v>984.69</v>
      </c>
      <c r="D924" s="1">
        <v>0</v>
      </c>
      <c r="E924" s="1">
        <v>984.69</v>
      </c>
      <c r="F924" s="1">
        <v>0</v>
      </c>
      <c r="G924" s="1">
        <v>984.69</v>
      </c>
      <c r="H924" s="1">
        <v>0</v>
      </c>
      <c r="I924" s="1">
        <v>984.69</v>
      </c>
      <c r="J924" s="1">
        <v>0</v>
      </c>
      <c r="K924" s="1">
        <v>984.69</v>
      </c>
      <c r="L924" s="1">
        <v>0</v>
      </c>
      <c r="M924" s="1">
        <v>984.69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984.69</v>
      </c>
      <c r="U924" s="1">
        <f>IF(Table14[[#This Row],[I_0]] &lt; INDEX(Table28[Filtro de ruido],1), 1, Table14[[#This Row],[I_10]] / Table14[[#This Row],[I_0]])</f>
        <v>1</v>
      </c>
      <c r="V924" s="1">
        <f>IF(Table14[[#This Row],[I_0]] &lt; INDEX(Table28[Filtro de ruido],1), 1, Table14[[#This Row],[I_20]] / Table14[[#This Row],[I_0]])</f>
        <v>1</v>
      </c>
      <c r="W924" s="1">
        <f>IF(Table14[[#This Row],[I_0]] &lt; INDEX(Table28[Filtro de ruido],1), 1, Table14[[#This Row],[I_30]] / Table14[[#This Row],[I_0]])</f>
        <v>1</v>
      </c>
      <c r="X924" s="1">
        <f>IF(Table14[[#This Row],[I_0]] &lt; INDEX(Table28[Filtro de ruido],1), 1, Table14[[#This Row],[I_40]] / Table14[[#This Row],[I_0]])</f>
        <v>1</v>
      </c>
      <c r="Y924" s="19">
        <f>IF(Table14[[#This Row],[I_0]] &lt; INDEX(Table28[Filtro de ruido],1), 1, Table14[[#This Row],[I_50]] / Table14[[#This Row],[I_0]])</f>
        <v>1</v>
      </c>
      <c r="AA924" s="1"/>
    </row>
    <row r="925" spans="1:27" x14ac:dyDescent="0.3">
      <c r="A925" s="18">
        <v>985.68</v>
      </c>
      <c r="B925" s="1">
        <v>0</v>
      </c>
      <c r="C925" s="1">
        <v>985.68</v>
      </c>
      <c r="D925" s="1">
        <v>0</v>
      </c>
      <c r="E925" s="1">
        <v>985.68</v>
      </c>
      <c r="F925" s="1">
        <v>0</v>
      </c>
      <c r="G925" s="1">
        <v>985.68</v>
      </c>
      <c r="H925" s="1">
        <v>0</v>
      </c>
      <c r="I925" s="1">
        <v>985.68</v>
      </c>
      <c r="J925" s="1">
        <v>0</v>
      </c>
      <c r="K925" s="1">
        <v>985.68</v>
      </c>
      <c r="L925" s="1">
        <v>0</v>
      </c>
      <c r="M925" s="1">
        <v>985.68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985.68</v>
      </c>
      <c r="U925" s="1">
        <f>IF(Table14[[#This Row],[I_0]] &lt; INDEX(Table28[Filtro de ruido],1), 1, Table14[[#This Row],[I_10]] / Table14[[#This Row],[I_0]])</f>
        <v>1</v>
      </c>
      <c r="V925" s="1">
        <f>IF(Table14[[#This Row],[I_0]] &lt; INDEX(Table28[Filtro de ruido],1), 1, Table14[[#This Row],[I_20]] / Table14[[#This Row],[I_0]])</f>
        <v>1</v>
      </c>
      <c r="W925" s="1">
        <f>IF(Table14[[#This Row],[I_0]] &lt; INDEX(Table28[Filtro de ruido],1), 1, Table14[[#This Row],[I_30]] / Table14[[#This Row],[I_0]])</f>
        <v>1</v>
      </c>
      <c r="X925" s="1">
        <f>IF(Table14[[#This Row],[I_0]] &lt; INDEX(Table28[Filtro de ruido],1), 1, Table14[[#This Row],[I_40]] / Table14[[#This Row],[I_0]])</f>
        <v>1</v>
      </c>
      <c r="Y925" s="19">
        <f>IF(Table14[[#This Row],[I_0]] &lt; INDEX(Table28[Filtro de ruido],1), 1, Table14[[#This Row],[I_50]] / Table14[[#This Row],[I_0]])</f>
        <v>1</v>
      </c>
      <c r="AA925" s="1"/>
    </row>
    <row r="926" spans="1:27" x14ac:dyDescent="0.3">
      <c r="A926" s="18">
        <v>986.67</v>
      </c>
      <c r="B926" s="1">
        <v>0</v>
      </c>
      <c r="C926" s="1">
        <v>986.67</v>
      </c>
      <c r="D926" s="1">
        <v>0</v>
      </c>
      <c r="E926" s="1">
        <v>986.67</v>
      </c>
      <c r="F926" s="1">
        <v>0</v>
      </c>
      <c r="G926" s="1">
        <v>986.67</v>
      </c>
      <c r="H926" s="1">
        <v>0</v>
      </c>
      <c r="I926" s="1">
        <v>986.67</v>
      </c>
      <c r="J926" s="1">
        <v>0</v>
      </c>
      <c r="K926" s="1">
        <v>986.67</v>
      </c>
      <c r="L926" s="1">
        <v>0</v>
      </c>
      <c r="M926" s="1">
        <v>986.67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986.67</v>
      </c>
      <c r="U926" s="1">
        <f>IF(Table14[[#This Row],[I_0]] &lt; INDEX(Table28[Filtro de ruido],1), 1, Table14[[#This Row],[I_10]] / Table14[[#This Row],[I_0]])</f>
        <v>1</v>
      </c>
      <c r="V926" s="1">
        <f>IF(Table14[[#This Row],[I_0]] &lt; INDEX(Table28[Filtro de ruido],1), 1, Table14[[#This Row],[I_20]] / Table14[[#This Row],[I_0]])</f>
        <v>1</v>
      </c>
      <c r="W926" s="1">
        <f>IF(Table14[[#This Row],[I_0]] &lt; INDEX(Table28[Filtro de ruido],1), 1, Table14[[#This Row],[I_30]] / Table14[[#This Row],[I_0]])</f>
        <v>1</v>
      </c>
      <c r="X926" s="1">
        <f>IF(Table14[[#This Row],[I_0]] &lt; INDEX(Table28[Filtro de ruido],1), 1, Table14[[#This Row],[I_40]] / Table14[[#This Row],[I_0]])</f>
        <v>1</v>
      </c>
      <c r="Y926" s="19">
        <f>IF(Table14[[#This Row],[I_0]] &lt; INDEX(Table28[Filtro de ruido],1), 1, Table14[[#This Row],[I_50]] / Table14[[#This Row],[I_0]])</f>
        <v>1</v>
      </c>
      <c r="AA926" s="1"/>
    </row>
    <row r="927" spans="1:27" x14ac:dyDescent="0.3">
      <c r="A927" s="18">
        <v>987.66</v>
      </c>
      <c r="B927" s="1">
        <v>0</v>
      </c>
      <c r="C927" s="1">
        <v>987.66</v>
      </c>
      <c r="D927" s="1">
        <v>0</v>
      </c>
      <c r="E927" s="1">
        <v>987.66</v>
      </c>
      <c r="F927" s="1">
        <v>0</v>
      </c>
      <c r="G927" s="1">
        <v>987.66</v>
      </c>
      <c r="H927" s="1">
        <v>0</v>
      </c>
      <c r="I927" s="1">
        <v>987.66</v>
      </c>
      <c r="J927" s="1">
        <v>0</v>
      </c>
      <c r="K927" s="1">
        <v>987.66</v>
      </c>
      <c r="L927" s="1">
        <v>0</v>
      </c>
      <c r="M927" s="1">
        <v>987.66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987.66</v>
      </c>
      <c r="U927" s="1">
        <f>IF(Table14[[#This Row],[I_0]] &lt; INDEX(Table28[Filtro de ruido],1), 1, Table14[[#This Row],[I_10]] / Table14[[#This Row],[I_0]])</f>
        <v>1</v>
      </c>
      <c r="V927" s="1">
        <f>IF(Table14[[#This Row],[I_0]] &lt; INDEX(Table28[Filtro de ruido],1), 1, Table14[[#This Row],[I_20]] / Table14[[#This Row],[I_0]])</f>
        <v>1</v>
      </c>
      <c r="W927" s="1">
        <f>IF(Table14[[#This Row],[I_0]] &lt; INDEX(Table28[Filtro de ruido],1), 1, Table14[[#This Row],[I_30]] / Table14[[#This Row],[I_0]])</f>
        <v>1</v>
      </c>
      <c r="X927" s="1">
        <f>IF(Table14[[#This Row],[I_0]] &lt; INDEX(Table28[Filtro de ruido],1), 1, Table14[[#This Row],[I_40]] / Table14[[#This Row],[I_0]])</f>
        <v>1</v>
      </c>
      <c r="Y927" s="19">
        <f>IF(Table14[[#This Row],[I_0]] &lt; INDEX(Table28[Filtro de ruido],1), 1, Table14[[#This Row],[I_50]] / Table14[[#This Row],[I_0]])</f>
        <v>1</v>
      </c>
      <c r="AA927" s="1"/>
    </row>
    <row r="928" spans="1:27" x14ac:dyDescent="0.3">
      <c r="A928" s="18">
        <v>988.65</v>
      </c>
      <c r="B928" s="1">
        <v>0</v>
      </c>
      <c r="C928" s="1">
        <v>988.65</v>
      </c>
      <c r="D928" s="1">
        <v>0</v>
      </c>
      <c r="E928" s="1">
        <v>988.65</v>
      </c>
      <c r="F928" s="1">
        <v>0</v>
      </c>
      <c r="G928" s="1">
        <v>988.65</v>
      </c>
      <c r="H928" s="1">
        <v>0</v>
      </c>
      <c r="I928" s="1">
        <v>988.65</v>
      </c>
      <c r="J928" s="1">
        <v>0</v>
      </c>
      <c r="K928" s="1">
        <v>988.65</v>
      </c>
      <c r="L928" s="1">
        <v>0</v>
      </c>
      <c r="M928" s="1">
        <v>988.65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988.65</v>
      </c>
      <c r="U928" s="1">
        <f>IF(Table14[[#This Row],[I_0]] &lt; INDEX(Table28[Filtro de ruido],1), 1, Table14[[#This Row],[I_10]] / Table14[[#This Row],[I_0]])</f>
        <v>1</v>
      </c>
      <c r="V928" s="1">
        <f>IF(Table14[[#This Row],[I_0]] &lt; INDEX(Table28[Filtro de ruido],1), 1, Table14[[#This Row],[I_20]] / Table14[[#This Row],[I_0]])</f>
        <v>1</v>
      </c>
      <c r="W928" s="1">
        <f>IF(Table14[[#This Row],[I_0]] &lt; INDEX(Table28[Filtro de ruido],1), 1, Table14[[#This Row],[I_30]] / Table14[[#This Row],[I_0]])</f>
        <v>1</v>
      </c>
      <c r="X928" s="1">
        <f>IF(Table14[[#This Row],[I_0]] &lt; INDEX(Table28[Filtro de ruido],1), 1, Table14[[#This Row],[I_40]] / Table14[[#This Row],[I_0]])</f>
        <v>1</v>
      </c>
      <c r="Y928" s="19">
        <f>IF(Table14[[#This Row],[I_0]] &lt; INDEX(Table28[Filtro de ruido],1), 1, Table14[[#This Row],[I_50]] / Table14[[#This Row],[I_0]])</f>
        <v>1</v>
      </c>
      <c r="AA928" s="1"/>
    </row>
    <row r="929" spans="1:27" x14ac:dyDescent="0.3">
      <c r="A929" s="18">
        <v>989.65</v>
      </c>
      <c r="B929" s="1">
        <v>0</v>
      </c>
      <c r="C929" s="1">
        <v>989.65</v>
      </c>
      <c r="D929" s="1">
        <v>0</v>
      </c>
      <c r="E929" s="1">
        <v>989.65</v>
      </c>
      <c r="F929" s="1">
        <v>0</v>
      </c>
      <c r="G929" s="1">
        <v>989.65</v>
      </c>
      <c r="H929" s="1">
        <v>0</v>
      </c>
      <c r="I929" s="1">
        <v>989.65</v>
      </c>
      <c r="J929" s="1">
        <v>0</v>
      </c>
      <c r="K929" s="1">
        <v>989.65</v>
      </c>
      <c r="L929" s="1">
        <v>0</v>
      </c>
      <c r="M929" s="1">
        <v>989.65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989.65</v>
      </c>
      <c r="U929" s="1">
        <f>IF(Table14[[#This Row],[I_0]] &lt; INDEX(Table28[Filtro de ruido],1), 1, Table14[[#This Row],[I_10]] / Table14[[#This Row],[I_0]])</f>
        <v>1</v>
      </c>
      <c r="V929" s="1">
        <f>IF(Table14[[#This Row],[I_0]] &lt; INDEX(Table28[Filtro de ruido],1), 1, Table14[[#This Row],[I_20]] / Table14[[#This Row],[I_0]])</f>
        <v>1</v>
      </c>
      <c r="W929" s="1">
        <f>IF(Table14[[#This Row],[I_0]] &lt; INDEX(Table28[Filtro de ruido],1), 1, Table14[[#This Row],[I_30]] / Table14[[#This Row],[I_0]])</f>
        <v>1</v>
      </c>
      <c r="X929" s="1">
        <f>IF(Table14[[#This Row],[I_0]] &lt; INDEX(Table28[Filtro de ruido],1), 1, Table14[[#This Row],[I_40]] / Table14[[#This Row],[I_0]])</f>
        <v>1</v>
      </c>
      <c r="Y929" s="19">
        <f>IF(Table14[[#This Row],[I_0]] &lt; INDEX(Table28[Filtro de ruido],1), 1, Table14[[#This Row],[I_50]] / Table14[[#This Row],[I_0]])</f>
        <v>1</v>
      </c>
      <c r="AA929" s="1"/>
    </row>
    <row r="930" spans="1:27" x14ac:dyDescent="0.3">
      <c r="A930" s="18">
        <v>990.64</v>
      </c>
      <c r="B930" s="1">
        <v>0</v>
      </c>
      <c r="C930" s="1">
        <v>990.64</v>
      </c>
      <c r="D930" s="1">
        <v>0</v>
      </c>
      <c r="E930" s="1">
        <v>990.64</v>
      </c>
      <c r="F930" s="1">
        <v>0</v>
      </c>
      <c r="G930" s="1">
        <v>990.64</v>
      </c>
      <c r="H930" s="1">
        <v>0</v>
      </c>
      <c r="I930" s="1">
        <v>990.64</v>
      </c>
      <c r="J930" s="1">
        <v>0</v>
      </c>
      <c r="K930" s="1">
        <v>990.64</v>
      </c>
      <c r="L930" s="1">
        <v>0</v>
      </c>
      <c r="M930" s="1">
        <v>990.64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990.64</v>
      </c>
      <c r="U930" s="1">
        <f>IF(Table14[[#This Row],[I_0]] &lt; INDEX(Table28[Filtro de ruido],1), 1, Table14[[#This Row],[I_10]] / Table14[[#This Row],[I_0]])</f>
        <v>1</v>
      </c>
      <c r="V930" s="1">
        <f>IF(Table14[[#This Row],[I_0]] &lt; INDEX(Table28[Filtro de ruido],1), 1, Table14[[#This Row],[I_20]] / Table14[[#This Row],[I_0]])</f>
        <v>1</v>
      </c>
      <c r="W930" s="1">
        <f>IF(Table14[[#This Row],[I_0]] &lt; INDEX(Table28[Filtro de ruido],1), 1, Table14[[#This Row],[I_30]] / Table14[[#This Row],[I_0]])</f>
        <v>1</v>
      </c>
      <c r="X930" s="1">
        <f>IF(Table14[[#This Row],[I_0]] &lt; INDEX(Table28[Filtro de ruido],1), 1, Table14[[#This Row],[I_40]] / Table14[[#This Row],[I_0]])</f>
        <v>1</v>
      </c>
      <c r="Y930" s="19">
        <f>IF(Table14[[#This Row],[I_0]] &lt; INDEX(Table28[Filtro de ruido],1), 1, Table14[[#This Row],[I_50]] / Table14[[#This Row],[I_0]])</f>
        <v>1</v>
      </c>
      <c r="AA930" s="1"/>
    </row>
    <row r="931" spans="1:27" x14ac:dyDescent="0.3">
      <c r="A931" s="18">
        <v>991.63</v>
      </c>
      <c r="B931" s="1">
        <v>0</v>
      </c>
      <c r="C931" s="1">
        <v>991.63</v>
      </c>
      <c r="D931" s="1">
        <v>0</v>
      </c>
      <c r="E931" s="1">
        <v>991.63</v>
      </c>
      <c r="F931" s="1">
        <v>0</v>
      </c>
      <c r="G931" s="1">
        <v>991.63</v>
      </c>
      <c r="H931" s="1">
        <v>0</v>
      </c>
      <c r="I931" s="1">
        <v>991.63</v>
      </c>
      <c r="J931" s="1">
        <v>0</v>
      </c>
      <c r="K931" s="1">
        <v>991.63</v>
      </c>
      <c r="L931" s="1">
        <v>0</v>
      </c>
      <c r="M931" s="1">
        <v>991.63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991.63</v>
      </c>
      <c r="U931" s="1">
        <f>IF(Table14[[#This Row],[I_0]] &lt; INDEX(Table28[Filtro de ruido],1), 1, Table14[[#This Row],[I_10]] / Table14[[#This Row],[I_0]])</f>
        <v>1</v>
      </c>
      <c r="V931" s="1">
        <f>IF(Table14[[#This Row],[I_0]] &lt; INDEX(Table28[Filtro de ruido],1), 1, Table14[[#This Row],[I_20]] / Table14[[#This Row],[I_0]])</f>
        <v>1</v>
      </c>
      <c r="W931" s="1">
        <f>IF(Table14[[#This Row],[I_0]] &lt; INDEX(Table28[Filtro de ruido],1), 1, Table14[[#This Row],[I_30]] / Table14[[#This Row],[I_0]])</f>
        <v>1</v>
      </c>
      <c r="X931" s="1">
        <f>IF(Table14[[#This Row],[I_0]] &lt; INDEX(Table28[Filtro de ruido],1), 1, Table14[[#This Row],[I_40]] / Table14[[#This Row],[I_0]])</f>
        <v>1</v>
      </c>
      <c r="Y931" s="19">
        <f>IF(Table14[[#This Row],[I_0]] &lt; INDEX(Table28[Filtro de ruido],1), 1, Table14[[#This Row],[I_50]] / Table14[[#This Row],[I_0]])</f>
        <v>1</v>
      </c>
      <c r="AA931" s="1"/>
    </row>
    <row r="932" spans="1:27" x14ac:dyDescent="0.3">
      <c r="A932" s="18">
        <v>992.62</v>
      </c>
      <c r="B932" s="1">
        <v>0</v>
      </c>
      <c r="C932" s="1">
        <v>992.62</v>
      </c>
      <c r="D932" s="1">
        <v>0</v>
      </c>
      <c r="E932" s="1">
        <v>992.62</v>
      </c>
      <c r="F932" s="1">
        <v>0</v>
      </c>
      <c r="G932" s="1">
        <v>992.62</v>
      </c>
      <c r="H932" s="1">
        <v>0</v>
      </c>
      <c r="I932" s="1">
        <v>992.62</v>
      </c>
      <c r="J932" s="1">
        <v>0</v>
      </c>
      <c r="K932" s="1">
        <v>992.62</v>
      </c>
      <c r="L932" s="1">
        <v>0</v>
      </c>
      <c r="M932" s="1">
        <v>992.62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992.62</v>
      </c>
      <c r="U932" s="1">
        <f>IF(Table14[[#This Row],[I_0]] &lt; INDEX(Table28[Filtro de ruido],1), 1, Table14[[#This Row],[I_10]] / Table14[[#This Row],[I_0]])</f>
        <v>1</v>
      </c>
      <c r="V932" s="1">
        <f>IF(Table14[[#This Row],[I_0]] &lt; INDEX(Table28[Filtro de ruido],1), 1, Table14[[#This Row],[I_20]] / Table14[[#This Row],[I_0]])</f>
        <v>1</v>
      </c>
      <c r="W932" s="1">
        <f>IF(Table14[[#This Row],[I_0]] &lt; INDEX(Table28[Filtro de ruido],1), 1, Table14[[#This Row],[I_30]] / Table14[[#This Row],[I_0]])</f>
        <v>1</v>
      </c>
      <c r="X932" s="1">
        <f>IF(Table14[[#This Row],[I_0]] &lt; INDEX(Table28[Filtro de ruido],1), 1, Table14[[#This Row],[I_40]] / Table14[[#This Row],[I_0]])</f>
        <v>1</v>
      </c>
      <c r="Y932" s="19">
        <f>IF(Table14[[#This Row],[I_0]] &lt; INDEX(Table28[Filtro de ruido],1), 1, Table14[[#This Row],[I_50]] / Table14[[#This Row],[I_0]])</f>
        <v>1</v>
      </c>
      <c r="AA932" s="1"/>
    </row>
    <row r="933" spans="1:27" x14ac:dyDescent="0.3">
      <c r="A933" s="18">
        <v>993.61</v>
      </c>
      <c r="B933" s="1">
        <v>0</v>
      </c>
      <c r="C933" s="1">
        <v>993.61</v>
      </c>
      <c r="D933" s="1">
        <v>0</v>
      </c>
      <c r="E933" s="1">
        <v>993.61</v>
      </c>
      <c r="F933" s="1">
        <v>0</v>
      </c>
      <c r="G933" s="1">
        <v>993.61</v>
      </c>
      <c r="H933" s="1">
        <v>0</v>
      </c>
      <c r="I933" s="1">
        <v>993.61</v>
      </c>
      <c r="J933" s="1">
        <v>0</v>
      </c>
      <c r="K933" s="1">
        <v>993.61</v>
      </c>
      <c r="L933" s="1">
        <v>0</v>
      </c>
      <c r="M933" s="1">
        <v>993.61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993.61</v>
      </c>
      <c r="U933" s="1">
        <f>IF(Table14[[#This Row],[I_0]] &lt; INDEX(Table28[Filtro de ruido],1), 1, Table14[[#This Row],[I_10]] / Table14[[#This Row],[I_0]])</f>
        <v>1</v>
      </c>
      <c r="V933" s="1">
        <f>IF(Table14[[#This Row],[I_0]] &lt; INDEX(Table28[Filtro de ruido],1), 1, Table14[[#This Row],[I_20]] / Table14[[#This Row],[I_0]])</f>
        <v>1</v>
      </c>
      <c r="W933" s="1">
        <f>IF(Table14[[#This Row],[I_0]] &lt; INDEX(Table28[Filtro de ruido],1), 1, Table14[[#This Row],[I_30]] / Table14[[#This Row],[I_0]])</f>
        <v>1</v>
      </c>
      <c r="X933" s="1">
        <f>IF(Table14[[#This Row],[I_0]] &lt; INDEX(Table28[Filtro de ruido],1), 1, Table14[[#This Row],[I_40]] / Table14[[#This Row],[I_0]])</f>
        <v>1</v>
      </c>
      <c r="Y933" s="19">
        <f>IF(Table14[[#This Row],[I_0]] &lt; INDEX(Table28[Filtro de ruido],1), 1, Table14[[#This Row],[I_50]] / Table14[[#This Row],[I_0]])</f>
        <v>1</v>
      </c>
      <c r="AA933" s="1"/>
    </row>
    <row r="934" spans="1:27" x14ac:dyDescent="0.3">
      <c r="A934" s="18">
        <v>994.61</v>
      </c>
      <c r="B934" s="1">
        <v>0</v>
      </c>
      <c r="C934" s="1">
        <v>994.61</v>
      </c>
      <c r="D934" s="1">
        <v>0</v>
      </c>
      <c r="E934" s="1">
        <v>994.61</v>
      </c>
      <c r="F934" s="1">
        <v>0</v>
      </c>
      <c r="G934" s="1">
        <v>994.61</v>
      </c>
      <c r="H934" s="1">
        <v>0</v>
      </c>
      <c r="I934" s="1">
        <v>994.61</v>
      </c>
      <c r="J934" s="1">
        <v>0</v>
      </c>
      <c r="K934" s="1">
        <v>994.61</v>
      </c>
      <c r="L934" s="1">
        <v>0</v>
      </c>
      <c r="M934" s="1">
        <v>994.61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994.61</v>
      </c>
      <c r="U934" s="1">
        <f>IF(Table14[[#This Row],[I_0]] &lt; INDEX(Table28[Filtro de ruido],1), 1, Table14[[#This Row],[I_10]] / Table14[[#This Row],[I_0]])</f>
        <v>1</v>
      </c>
      <c r="V934" s="1">
        <f>IF(Table14[[#This Row],[I_0]] &lt; INDEX(Table28[Filtro de ruido],1), 1, Table14[[#This Row],[I_20]] / Table14[[#This Row],[I_0]])</f>
        <v>1</v>
      </c>
      <c r="W934" s="1">
        <f>IF(Table14[[#This Row],[I_0]] &lt; INDEX(Table28[Filtro de ruido],1), 1, Table14[[#This Row],[I_30]] / Table14[[#This Row],[I_0]])</f>
        <v>1</v>
      </c>
      <c r="X934" s="1">
        <f>IF(Table14[[#This Row],[I_0]] &lt; INDEX(Table28[Filtro de ruido],1), 1, Table14[[#This Row],[I_40]] / Table14[[#This Row],[I_0]])</f>
        <v>1</v>
      </c>
      <c r="Y934" s="19">
        <f>IF(Table14[[#This Row],[I_0]] &lt; INDEX(Table28[Filtro de ruido],1), 1, Table14[[#This Row],[I_50]] / Table14[[#This Row],[I_0]])</f>
        <v>1</v>
      </c>
      <c r="AA934" s="1"/>
    </row>
    <row r="935" spans="1:27" x14ac:dyDescent="0.3">
      <c r="A935" s="18">
        <v>995.6</v>
      </c>
      <c r="B935" s="1">
        <v>0</v>
      </c>
      <c r="C935" s="1">
        <v>995.6</v>
      </c>
      <c r="D935" s="1">
        <v>0</v>
      </c>
      <c r="E935" s="1">
        <v>995.6</v>
      </c>
      <c r="F935" s="1">
        <v>0</v>
      </c>
      <c r="G935" s="1">
        <v>995.6</v>
      </c>
      <c r="H935" s="1">
        <v>0</v>
      </c>
      <c r="I935" s="1">
        <v>995.6</v>
      </c>
      <c r="J935" s="1">
        <v>0</v>
      </c>
      <c r="K935" s="1">
        <v>995.6</v>
      </c>
      <c r="L935" s="1">
        <v>0</v>
      </c>
      <c r="M935" s="1">
        <v>995.6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995.6</v>
      </c>
      <c r="U935" s="1">
        <f>IF(Table14[[#This Row],[I_0]] &lt; INDEX(Table28[Filtro de ruido],1), 1, Table14[[#This Row],[I_10]] / Table14[[#This Row],[I_0]])</f>
        <v>1</v>
      </c>
      <c r="V935" s="1">
        <f>IF(Table14[[#This Row],[I_0]] &lt; INDEX(Table28[Filtro de ruido],1), 1, Table14[[#This Row],[I_20]] / Table14[[#This Row],[I_0]])</f>
        <v>1</v>
      </c>
      <c r="W935" s="1">
        <f>IF(Table14[[#This Row],[I_0]] &lt; INDEX(Table28[Filtro de ruido],1), 1, Table14[[#This Row],[I_30]] / Table14[[#This Row],[I_0]])</f>
        <v>1</v>
      </c>
      <c r="X935" s="1">
        <f>IF(Table14[[#This Row],[I_0]] &lt; INDEX(Table28[Filtro de ruido],1), 1, Table14[[#This Row],[I_40]] / Table14[[#This Row],[I_0]])</f>
        <v>1</v>
      </c>
      <c r="Y935" s="19">
        <f>IF(Table14[[#This Row],[I_0]] &lt; INDEX(Table28[Filtro de ruido],1), 1, Table14[[#This Row],[I_50]] / Table14[[#This Row],[I_0]])</f>
        <v>1</v>
      </c>
      <c r="AA935" s="1"/>
    </row>
    <row r="936" spans="1:27" x14ac:dyDescent="0.3">
      <c r="A936" s="18">
        <v>996.59</v>
      </c>
      <c r="B936" s="1">
        <v>0</v>
      </c>
      <c r="C936" s="1">
        <v>996.59</v>
      </c>
      <c r="D936" s="1">
        <v>0</v>
      </c>
      <c r="E936" s="1">
        <v>996.59</v>
      </c>
      <c r="F936" s="1">
        <v>0</v>
      </c>
      <c r="G936" s="1">
        <v>996.59</v>
      </c>
      <c r="H936" s="1">
        <v>0</v>
      </c>
      <c r="I936" s="1">
        <v>996.59</v>
      </c>
      <c r="J936" s="1">
        <v>0</v>
      </c>
      <c r="K936" s="1">
        <v>996.59</v>
      </c>
      <c r="L936" s="1">
        <v>0</v>
      </c>
      <c r="M936" s="1">
        <v>996.59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996.59</v>
      </c>
      <c r="U936" s="1">
        <f>IF(Table14[[#This Row],[I_0]] &lt; INDEX(Table28[Filtro de ruido],1), 1, Table14[[#This Row],[I_10]] / Table14[[#This Row],[I_0]])</f>
        <v>1</v>
      </c>
      <c r="V936" s="1">
        <f>IF(Table14[[#This Row],[I_0]] &lt; INDEX(Table28[Filtro de ruido],1), 1, Table14[[#This Row],[I_20]] / Table14[[#This Row],[I_0]])</f>
        <v>1</v>
      </c>
      <c r="W936" s="1">
        <f>IF(Table14[[#This Row],[I_0]] &lt; INDEX(Table28[Filtro de ruido],1), 1, Table14[[#This Row],[I_30]] / Table14[[#This Row],[I_0]])</f>
        <v>1</v>
      </c>
      <c r="X936" s="1">
        <f>IF(Table14[[#This Row],[I_0]] &lt; INDEX(Table28[Filtro de ruido],1), 1, Table14[[#This Row],[I_40]] / Table14[[#This Row],[I_0]])</f>
        <v>1</v>
      </c>
      <c r="Y936" s="19">
        <f>IF(Table14[[#This Row],[I_0]] &lt; INDEX(Table28[Filtro de ruido],1), 1, Table14[[#This Row],[I_50]] / Table14[[#This Row],[I_0]])</f>
        <v>1</v>
      </c>
      <c r="AA936" s="1"/>
    </row>
    <row r="937" spans="1:27" x14ac:dyDescent="0.3">
      <c r="A937" s="18">
        <v>997.58</v>
      </c>
      <c r="B937" s="1">
        <v>0</v>
      </c>
      <c r="C937" s="1">
        <v>997.58</v>
      </c>
      <c r="D937" s="1">
        <v>0</v>
      </c>
      <c r="E937" s="1">
        <v>997.58</v>
      </c>
      <c r="F937" s="1">
        <v>0</v>
      </c>
      <c r="G937" s="1">
        <v>997.58</v>
      </c>
      <c r="H937" s="1">
        <v>0</v>
      </c>
      <c r="I937" s="1">
        <v>997.58</v>
      </c>
      <c r="J937" s="1">
        <v>0</v>
      </c>
      <c r="K937" s="1">
        <v>997.58</v>
      </c>
      <c r="L937" s="1">
        <v>0</v>
      </c>
      <c r="M937" s="1">
        <v>997.58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997.58</v>
      </c>
      <c r="U937" s="1">
        <f>IF(Table14[[#This Row],[I_0]] &lt; INDEX(Table28[Filtro de ruido],1), 1, Table14[[#This Row],[I_10]] / Table14[[#This Row],[I_0]])</f>
        <v>1</v>
      </c>
      <c r="V937" s="1">
        <f>IF(Table14[[#This Row],[I_0]] &lt; INDEX(Table28[Filtro de ruido],1), 1, Table14[[#This Row],[I_20]] / Table14[[#This Row],[I_0]])</f>
        <v>1</v>
      </c>
      <c r="W937" s="1">
        <f>IF(Table14[[#This Row],[I_0]] &lt; INDEX(Table28[Filtro de ruido],1), 1, Table14[[#This Row],[I_30]] / Table14[[#This Row],[I_0]])</f>
        <v>1</v>
      </c>
      <c r="X937" s="1">
        <f>IF(Table14[[#This Row],[I_0]] &lt; INDEX(Table28[Filtro de ruido],1), 1, Table14[[#This Row],[I_40]] / Table14[[#This Row],[I_0]])</f>
        <v>1</v>
      </c>
      <c r="Y937" s="19">
        <f>IF(Table14[[#This Row],[I_0]] &lt; INDEX(Table28[Filtro de ruido],1), 1, Table14[[#This Row],[I_50]] / Table14[[#This Row],[I_0]])</f>
        <v>1</v>
      </c>
      <c r="AA937" s="1"/>
    </row>
    <row r="938" spans="1:27" x14ac:dyDescent="0.3">
      <c r="A938" s="18">
        <v>998.57</v>
      </c>
      <c r="B938" s="1">
        <v>0</v>
      </c>
      <c r="C938" s="1">
        <v>998.57</v>
      </c>
      <c r="D938" s="1">
        <v>0</v>
      </c>
      <c r="E938" s="1">
        <v>998.57</v>
      </c>
      <c r="F938" s="1">
        <v>0</v>
      </c>
      <c r="G938" s="1">
        <v>998.57</v>
      </c>
      <c r="H938" s="1">
        <v>0</v>
      </c>
      <c r="I938" s="1">
        <v>998.57</v>
      </c>
      <c r="J938" s="1">
        <v>0</v>
      </c>
      <c r="K938" s="1">
        <v>998.57</v>
      </c>
      <c r="L938" s="1">
        <v>0</v>
      </c>
      <c r="M938" s="1">
        <v>998.57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998.57</v>
      </c>
      <c r="U938" s="1">
        <f>IF(Table14[[#This Row],[I_0]] &lt; INDEX(Table28[Filtro de ruido],1), 1, Table14[[#This Row],[I_10]] / Table14[[#This Row],[I_0]])</f>
        <v>1</v>
      </c>
      <c r="V938" s="1">
        <f>IF(Table14[[#This Row],[I_0]] &lt; INDEX(Table28[Filtro de ruido],1), 1, Table14[[#This Row],[I_20]] / Table14[[#This Row],[I_0]])</f>
        <v>1</v>
      </c>
      <c r="W938" s="1">
        <f>IF(Table14[[#This Row],[I_0]] &lt; INDEX(Table28[Filtro de ruido],1), 1, Table14[[#This Row],[I_30]] / Table14[[#This Row],[I_0]])</f>
        <v>1</v>
      </c>
      <c r="X938" s="1">
        <f>IF(Table14[[#This Row],[I_0]] &lt; INDEX(Table28[Filtro de ruido],1), 1, Table14[[#This Row],[I_40]] / Table14[[#This Row],[I_0]])</f>
        <v>1</v>
      </c>
      <c r="Y938" s="19">
        <f>IF(Table14[[#This Row],[I_0]] &lt; INDEX(Table28[Filtro de ruido],1), 1, Table14[[#This Row],[I_50]] / Table14[[#This Row],[I_0]])</f>
        <v>1</v>
      </c>
      <c r="AA938" s="1"/>
    </row>
    <row r="939" spans="1:27" x14ac:dyDescent="0.3">
      <c r="A939" s="18">
        <v>999.56</v>
      </c>
      <c r="B939" s="1">
        <v>0</v>
      </c>
      <c r="C939" s="1">
        <v>999.56</v>
      </c>
      <c r="D939" s="1">
        <v>0</v>
      </c>
      <c r="E939" s="1">
        <v>999.56</v>
      </c>
      <c r="F939" s="1">
        <v>0</v>
      </c>
      <c r="G939" s="1">
        <v>999.56</v>
      </c>
      <c r="H939" s="1">
        <v>0</v>
      </c>
      <c r="I939" s="1">
        <v>999.56</v>
      </c>
      <c r="J939" s="1">
        <v>0</v>
      </c>
      <c r="K939" s="1">
        <v>999.56</v>
      </c>
      <c r="L939" s="1">
        <v>0</v>
      </c>
      <c r="M939" s="1">
        <v>999.56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999.56</v>
      </c>
      <c r="U939" s="1">
        <f>IF(Table14[[#This Row],[I_0]] &lt; INDEX(Table28[Filtro de ruido],1), 1, Table14[[#This Row],[I_10]] / Table14[[#This Row],[I_0]])</f>
        <v>1</v>
      </c>
      <c r="V939" s="1">
        <f>IF(Table14[[#This Row],[I_0]] &lt; INDEX(Table28[Filtro de ruido],1), 1, Table14[[#This Row],[I_20]] / Table14[[#This Row],[I_0]])</f>
        <v>1</v>
      </c>
      <c r="W939" s="1">
        <f>IF(Table14[[#This Row],[I_0]] &lt; INDEX(Table28[Filtro de ruido],1), 1, Table14[[#This Row],[I_30]] / Table14[[#This Row],[I_0]])</f>
        <v>1</v>
      </c>
      <c r="X939" s="1">
        <f>IF(Table14[[#This Row],[I_0]] &lt; INDEX(Table28[Filtro de ruido],1), 1, Table14[[#This Row],[I_40]] / Table14[[#This Row],[I_0]])</f>
        <v>1</v>
      </c>
      <c r="Y939" s="19">
        <f>IF(Table14[[#This Row],[I_0]] &lt; INDEX(Table28[Filtro de ruido],1), 1, Table14[[#This Row],[I_50]] / Table14[[#This Row],[I_0]])</f>
        <v>1</v>
      </c>
      <c r="AA939" s="1"/>
    </row>
    <row r="940" spans="1:27" x14ac:dyDescent="0.3">
      <c r="A940" s="18">
        <v>1000.56</v>
      </c>
      <c r="B940" s="1">
        <v>0</v>
      </c>
      <c r="C940" s="1">
        <v>1000.56</v>
      </c>
      <c r="D940" s="1">
        <v>0</v>
      </c>
      <c r="E940" s="1">
        <v>1000.56</v>
      </c>
      <c r="F940" s="1">
        <v>0</v>
      </c>
      <c r="G940" s="1">
        <v>1000.56</v>
      </c>
      <c r="H940" s="1">
        <v>0</v>
      </c>
      <c r="I940" s="1">
        <v>1000.56</v>
      </c>
      <c r="J940" s="1">
        <v>0</v>
      </c>
      <c r="K940" s="1">
        <v>1000.56</v>
      </c>
      <c r="L940" s="1">
        <v>0</v>
      </c>
      <c r="M940" s="1">
        <v>1000.56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1000.56</v>
      </c>
      <c r="U940" s="1">
        <f>IF(Table14[[#This Row],[I_0]] &lt; INDEX(Table28[Filtro de ruido],1), 1, Table14[[#This Row],[I_10]] / Table14[[#This Row],[I_0]])</f>
        <v>1</v>
      </c>
      <c r="V940" s="1">
        <f>IF(Table14[[#This Row],[I_0]] &lt; INDEX(Table28[Filtro de ruido],1), 1, Table14[[#This Row],[I_20]] / Table14[[#This Row],[I_0]])</f>
        <v>1</v>
      </c>
      <c r="W940" s="1">
        <f>IF(Table14[[#This Row],[I_0]] &lt; INDEX(Table28[Filtro de ruido],1), 1, Table14[[#This Row],[I_30]] / Table14[[#This Row],[I_0]])</f>
        <v>1</v>
      </c>
      <c r="X940" s="1">
        <f>IF(Table14[[#This Row],[I_0]] &lt; INDEX(Table28[Filtro de ruido],1), 1, Table14[[#This Row],[I_40]] / Table14[[#This Row],[I_0]])</f>
        <v>1</v>
      </c>
      <c r="Y940" s="19">
        <f>IF(Table14[[#This Row],[I_0]] &lt; INDEX(Table28[Filtro de ruido],1), 1, Table14[[#This Row],[I_50]] / Table14[[#This Row],[I_0]])</f>
        <v>1</v>
      </c>
      <c r="AA940" s="1"/>
    </row>
    <row r="941" spans="1:27" x14ac:dyDescent="0.3">
      <c r="A941" s="18">
        <v>1001.55</v>
      </c>
      <c r="B941" s="1">
        <v>0</v>
      </c>
      <c r="C941" s="1">
        <v>1001.55</v>
      </c>
      <c r="D941" s="1">
        <v>0</v>
      </c>
      <c r="E941" s="1">
        <v>1001.55</v>
      </c>
      <c r="F941" s="1">
        <v>0</v>
      </c>
      <c r="G941" s="1">
        <v>1001.55</v>
      </c>
      <c r="H941" s="1">
        <v>0</v>
      </c>
      <c r="I941" s="1">
        <v>1001.55</v>
      </c>
      <c r="J941" s="1">
        <v>0</v>
      </c>
      <c r="K941" s="1">
        <v>1001.55</v>
      </c>
      <c r="L941" s="1">
        <v>0</v>
      </c>
      <c r="M941" s="1">
        <v>1001.55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1001.55</v>
      </c>
      <c r="U941" s="1">
        <f>IF(Table14[[#This Row],[I_0]] &lt; INDEX(Table28[Filtro de ruido],1), 1, Table14[[#This Row],[I_10]] / Table14[[#This Row],[I_0]])</f>
        <v>1</v>
      </c>
      <c r="V941" s="1">
        <f>IF(Table14[[#This Row],[I_0]] &lt; INDEX(Table28[Filtro de ruido],1), 1, Table14[[#This Row],[I_20]] / Table14[[#This Row],[I_0]])</f>
        <v>1</v>
      </c>
      <c r="W941" s="1">
        <f>IF(Table14[[#This Row],[I_0]] &lt; INDEX(Table28[Filtro de ruido],1), 1, Table14[[#This Row],[I_30]] / Table14[[#This Row],[I_0]])</f>
        <v>1</v>
      </c>
      <c r="X941" s="1">
        <f>IF(Table14[[#This Row],[I_0]] &lt; INDEX(Table28[Filtro de ruido],1), 1, Table14[[#This Row],[I_40]] / Table14[[#This Row],[I_0]])</f>
        <v>1</v>
      </c>
      <c r="Y941" s="19">
        <f>IF(Table14[[#This Row],[I_0]] &lt; INDEX(Table28[Filtro de ruido],1), 1, Table14[[#This Row],[I_50]] / Table14[[#This Row],[I_0]])</f>
        <v>1</v>
      </c>
      <c r="AA941" s="1"/>
    </row>
    <row r="942" spans="1:27" x14ac:dyDescent="0.3">
      <c r="A942" s="18">
        <v>1002.54</v>
      </c>
      <c r="B942" s="1">
        <v>0</v>
      </c>
      <c r="C942" s="1">
        <v>1002.54</v>
      </c>
      <c r="D942" s="1">
        <v>0</v>
      </c>
      <c r="E942" s="1">
        <v>1002.54</v>
      </c>
      <c r="F942" s="1">
        <v>0</v>
      </c>
      <c r="G942" s="1">
        <v>1002.54</v>
      </c>
      <c r="H942" s="1">
        <v>0</v>
      </c>
      <c r="I942" s="1">
        <v>1002.54</v>
      </c>
      <c r="J942" s="1">
        <v>0</v>
      </c>
      <c r="K942" s="1">
        <v>1002.54</v>
      </c>
      <c r="L942" s="1">
        <v>0</v>
      </c>
      <c r="M942" s="1">
        <v>1002.54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1002.54</v>
      </c>
      <c r="U942" s="1">
        <f>IF(Table14[[#This Row],[I_0]] &lt; INDEX(Table28[Filtro de ruido],1), 1, Table14[[#This Row],[I_10]] / Table14[[#This Row],[I_0]])</f>
        <v>1</v>
      </c>
      <c r="V942" s="1">
        <f>IF(Table14[[#This Row],[I_0]] &lt; INDEX(Table28[Filtro de ruido],1), 1, Table14[[#This Row],[I_20]] / Table14[[#This Row],[I_0]])</f>
        <v>1</v>
      </c>
      <c r="W942" s="1">
        <f>IF(Table14[[#This Row],[I_0]] &lt; INDEX(Table28[Filtro de ruido],1), 1, Table14[[#This Row],[I_30]] / Table14[[#This Row],[I_0]])</f>
        <v>1</v>
      </c>
      <c r="X942" s="1">
        <f>IF(Table14[[#This Row],[I_0]] &lt; INDEX(Table28[Filtro de ruido],1), 1, Table14[[#This Row],[I_40]] / Table14[[#This Row],[I_0]])</f>
        <v>1</v>
      </c>
      <c r="Y942" s="19">
        <f>IF(Table14[[#This Row],[I_0]] &lt; INDEX(Table28[Filtro de ruido],1), 1, Table14[[#This Row],[I_50]] / Table14[[#This Row],[I_0]])</f>
        <v>1</v>
      </c>
      <c r="AA942" s="1"/>
    </row>
    <row r="943" spans="1:27" x14ac:dyDescent="0.3">
      <c r="A943" s="18">
        <v>1003.53</v>
      </c>
      <c r="B943" s="1">
        <v>0</v>
      </c>
      <c r="C943" s="1">
        <v>1003.53</v>
      </c>
      <c r="D943" s="1">
        <v>0</v>
      </c>
      <c r="E943" s="1">
        <v>1003.53</v>
      </c>
      <c r="F943" s="1">
        <v>0</v>
      </c>
      <c r="G943" s="1">
        <v>1003.53</v>
      </c>
      <c r="H943" s="1">
        <v>0</v>
      </c>
      <c r="I943" s="1">
        <v>1003.53</v>
      </c>
      <c r="J943" s="1">
        <v>0</v>
      </c>
      <c r="K943" s="1">
        <v>1003.53</v>
      </c>
      <c r="L943" s="1">
        <v>0</v>
      </c>
      <c r="M943" s="1">
        <v>1003.53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1003.53</v>
      </c>
      <c r="U943" s="1">
        <f>IF(Table14[[#This Row],[I_0]] &lt; INDEX(Table28[Filtro de ruido],1), 1, Table14[[#This Row],[I_10]] / Table14[[#This Row],[I_0]])</f>
        <v>1</v>
      </c>
      <c r="V943" s="1">
        <f>IF(Table14[[#This Row],[I_0]] &lt; INDEX(Table28[Filtro de ruido],1), 1, Table14[[#This Row],[I_20]] / Table14[[#This Row],[I_0]])</f>
        <v>1</v>
      </c>
      <c r="W943" s="1">
        <f>IF(Table14[[#This Row],[I_0]] &lt; INDEX(Table28[Filtro de ruido],1), 1, Table14[[#This Row],[I_30]] / Table14[[#This Row],[I_0]])</f>
        <v>1</v>
      </c>
      <c r="X943" s="1">
        <f>IF(Table14[[#This Row],[I_0]] &lt; INDEX(Table28[Filtro de ruido],1), 1, Table14[[#This Row],[I_40]] / Table14[[#This Row],[I_0]])</f>
        <v>1</v>
      </c>
      <c r="Y943" s="19">
        <f>IF(Table14[[#This Row],[I_0]] &lt; INDEX(Table28[Filtro de ruido],1), 1, Table14[[#This Row],[I_50]] / Table14[[#This Row],[I_0]])</f>
        <v>1</v>
      </c>
      <c r="AA943" s="1"/>
    </row>
    <row r="944" spans="1:27" x14ac:dyDescent="0.3">
      <c r="A944" s="18">
        <v>1004.52</v>
      </c>
      <c r="B944" s="1">
        <v>0</v>
      </c>
      <c r="C944" s="1">
        <v>1004.52</v>
      </c>
      <c r="D944" s="1">
        <v>0</v>
      </c>
      <c r="E944" s="1">
        <v>1004.52</v>
      </c>
      <c r="F944" s="1">
        <v>0</v>
      </c>
      <c r="G944" s="1">
        <v>1004.52</v>
      </c>
      <c r="H944" s="1">
        <v>0</v>
      </c>
      <c r="I944" s="1">
        <v>1004.52</v>
      </c>
      <c r="J944" s="1">
        <v>0</v>
      </c>
      <c r="K944" s="1">
        <v>1004.52</v>
      </c>
      <c r="L944" s="1">
        <v>0</v>
      </c>
      <c r="M944" s="1">
        <v>1004.52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1004.52</v>
      </c>
      <c r="U944" s="1">
        <f>IF(Table14[[#This Row],[I_0]] &lt; INDEX(Table28[Filtro de ruido],1), 1, Table14[[#This Row],[I_10]] / Table14[[#This Row],[I_0]])</f>
        <v>1</v>
      </c>
      <c r="V944" s="1">
        <f>IF(Table14[[#This Row],[I_0]] &lt; INDEX(Table28[Filtro de ruido],1), 1, Table14[[#This Row],[I_20]] / Table14[[#This Row],[I_0]])</f>
        <v>1</v>
      </c>
      <c r="W944" s="1">
        <f>IF(Table14[[#This Row],[I_0]] &lt; INDEX(Table28[Filtro de ruido],1), 1, Table14[[#This Row],[I_30]] / Table14[[#This Row],[I_0]])</f>
        <v>1</v>
      </c>
      <c r="X944" s="1">
        <f>IF(Table14[[#This Row],[I_0]] &lt; INDEX(Table28[Filtro de ruido],1), 1, Table14[[#This Row],[I_40]] / Table14[[#This Row],[I_0]])</f>
        <v>1</v>
      </c>
      <c r="Y944" s="19">
        <f>IF(Table14[[#This Row],[I_0]] &lt; INDEX(Table28[Filtro de ruido],1), 1, Table14[[#This Row],[I_50]] / Table14[[#This Row],[I_0]])</f>
        <v>1</v>
      </c>
      <c r="AA944" s="1"/>
    </row>
    <row r="945" spans="1:27" x14ac:dyDescent="0.3">
      <c r="A945" s="18">
        <v>1005.51</v>
      </c>
      <c r="B945" s="1">
        <v>0</v>
      </c>
      <c r="C945" s="1">
        <v>1005.51</v>
      </c>
      <c r="D945" s="1">
        <v>0</v>
      </c>
      <c r="E945" s="1">
        <v>1005.51</v>
      </c>
      <c r="F945" s="1">
        <v>0</v>
      </c>
      <c r="G945" s="1">
        <v>1005.51</v>
      </c>
      <c r="H945" s="1">
        <v>0</v>
      </c>
      <c r="I945" s="1">
        <v>1005.51</v>
      </c>
      <c r="J945" s="1">
        <v>0</v>
      </c>
      <c r="K945" s="1">
        <v>1005.51</v>
      </c>
      <c r="L945" s="1">
        <v>0</v>
      </c>
      <c r="M945" s="1">
        <v>1005.51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1005.51</v>
      </c>
      <c r="U945" s="1">
        <f>IF(Table14[[#This Row],[I_0]] &lt; INDEX(Table28[Filtro de ruido],1), 1, Table14[[#This Row],[I_10]] / Table14[[#This Row],[I_0]])</f>
        <v>1</v>
      </c>
      <c r="V945" s="1">
        <f>IF(Table14[[#This Row],[I_0]] &lt; INDEX(Table28[Filtro de ruido],1), 1, Table14[[#This Row],[I_20]] / Table14[[#This Row],[I_0]])</f>
        <v>1</v>
      </c>
      <c r="W945" s="1">
        <f>IF(Table14[[#This Row],[I_0]] &lt; INDEX(Table28[Filtro de ruido],1), 1, Table14[[#This Row],[I_30]] / Table14[[#This Row],[I_0]])</f>
        <v>1</v>
      </c>
      <c r="X945" s="1">
        <f>IF(Table14[[#This Row],[I_0]] &lt; INDEX(Table28[Filtro de ruido],1), 1, Table14[[#This Row],[I_40]] / Table14[[#This Row],[I_0]])</f>
        <v>1</v>
      </c>
      <c r="Y945" s="19">
        <f>IF(Table14[[#This Row],[I_0]] &lt; INDEX(Table28[Filtro de ruido],1), 1, Table14[[#This Row],[I_50]] / Table14[[#This Row],[I_0]])</f>
        <v>1</v>
      </c>
      <c r="AA945" s="1"/>
    </row>
    <row r="946" spans="1:27" x14ac:dyDescent="0.3">
      <c r="A946" s="18">
        <v>1006.51</v>
      </c>
      <c r="B946" s="1">
        <v>0</v>
      </c>
      <c r="C946" s="1">
        <v>1006.51</v>
      </c>
      <c r="D946" s="1">
        <v>0</v>
      </c>
      <c r="E946" s="1">
        <v>1006.51</v>
      </c>
      <c r="F946" s="1">
        <v>0</v>
      </c>
      <c r="G946" s="1">
        <v>1006.51</v>
      </c>
      <c r="H946" s="1">
        <v>0</v>
      </c>
      <c r="I946" s="1">
        <v>1006.51</v>
      </c>
      <c r="J946" s="1">
        <v>0</v>
      </c>
      <c r="K946" s="1">
        <v>1006.51</v>
      </c>
      <c r="L946" s="1">
        <v>0</v>
      </c>
      <c r="M946" s="1">
        <v>1006.51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1006.51</v>
      </c>
      <c r="U946" s="1">
        <f>IF(Table14[[#This Row],[I_0]] &lt; INDEX(Table28[Filtro de ruido],1), 1, Table14[[#This Row],[I_10]] / Table14[[#This Row],[I_0]])</f>
        <v>1</v>
      </c>
      <c r="V946" s="1">
        <f>IF(Table14[[#This Row],[I_0]] &lt; INDEX(Table28[Filtro de ruido],1), 1, Table14[[#This Row],[I_20]] / Table14[[#This Row],[I_0]])</f>
        <v>1</v>
      </c>
      <c r="W946" s="1">
        <f>IF(Table14[[#This Row],[I_0]] &lt; INDEX(Table28[Filtro de ruido],1), 1, Table14[[#This Row],[I_30]] / Table14[[#This Row],[I_0]])</f>
        <v>1</v>
      </c>
      <c r="X946" s="1">
        <f>IF(Table14[[#This Row],[I_0]] &lt; INDEX(Table28[Filtro de ruido],1), 1, Table14[[#This Row],[I_40]] / Table14[[#This Row],[I_0]])</f>
        <v>1</v>
      </c>
      <c r="Y946" s="19">
        <f>IF(Table14[[#This Row],[I_0]] &lt; INDEX(Table28[Filtro de ruido],1), 1, Table14[[#This Row],[I_50]] / Table14[[#This Row],[I_0]])</f>
        <v>1</v>
      </c>
      <c r="AA946" s="1"/>
    </row>
    <row r="947" spans="1:27" x14ac:dyDescent="0.3">
      <c r="A947" s="18">
        <v>1007.5</v>
      </c>
      <c r="B947" s="1">
        <v>0</v>
      </c>
      <c r="C947" s="1">
        <v>1007.5</v>
      </c>
      <c r="D947" s="1">
        <v>0</v>
      </c>
      <c r="E947" s="1">
        <v>1007.5</v>
      </c>
      <c r="F947" s="1">
        <v>0</v>
      </c>
      <c r="G947" s="1">
        <v>1007.5</v>
      </c>
      <c r="H947" s="1">
        <v>0</v>
      </c>
      <c r="I947" s="1">
        <v>1007.5</v>
      </c>
      <c r="J947" s="1">
        <v>0</v>
      </c>
      <c r="K947" s="1">
        <v>1007.5</v>
      </c>
      <c r="L947" s="1">
        <v>0</v>
      </c>
      <c r="M947" s="1">
        <v>1007.5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1007.5</v>
      </c>
      <c r="U947" s="1">
        <f>IF(Table14[[#This Row],[I_0]] &lt; INDEX(Table28[Filtro de ruido],1), 1, Table14[[#This Row],[I_10]] / Table14[[#This Row],[I_0]])</f>
        <v>1</v>
      </c>
      <c r="V947" s="1">
        <f>IF(Table14[[#This Row],[I_0]] &lt; INDEX(Table28[Filtro de ruido],1), 1, Table14[[#This Row],[I_20]] / Table14[[#This Row],[I_0]])</f>
        <v>1</v>
      </c>
      <c r="W947" s="1">
        <f>IF(Table14[[#This Row],[I_0]] &lt; INDEX(Table28[Filtro de ruido],1), 1, Table14[[#This Row],[I_30]] / Table14[[#This Row],[I_0]])</f>
        <v>1</v>
      </c>
      <c r="X947" s="1">
        <f>IF(Table14[[#This Row],[I_0]] &lt; INDEX(Table28[Filtro de ruido],1), 1, Table14[[#This Row],[I_40]] / Table14[[#This Row],[I_0]])</f>
        <v>1</v>
      </c>
      <c r="Y947" s="19">
        <f>IF(Table14[[#This Row],[I_0]] &lt; INDEX(Table28[Filtro de ruido],1), 1, Table14[[#This Row],[I_50]] / Table14[[#This Row],[I_0]])</f>
        <v>1</v>
      </c>
      <c r="AA947" s="1"/>
    </row>
    <row r="948" spans="1:27" x14ac:dyDescent="0.3">
      <c r="A948" s="18">
        <v>1008.49</v>
      </c>
      <c r="B948" s="1">
        <v>0</v>
      </c>
      <c r="C948" s="1">
        <v>1008.49</v>
      </c>
      <c r="D948" s="1">
        <v>0</v>
      </c>
      <c r="E948" s="1">
        <v>1008.49</v>
      </c>
      <c r="F948" s="1">
        <v>0</v>
      </c>
      <c r="G948" s="1">
        <v>1008.49</v>
      </c>
      <c r="H948" s="1">
        <v>0</v>
      </c>
      <c r="I948" s="1">
        <v>1008.49</v>
      </c>
      <c r="J948" s="1">
        <v>0</v>
      </c>
      <c r="K948" s="1">
        <v>1008.49</v>
      </c>
      <c r="L948" s="1">
        <v>0</v>
      </c>
      <c r="M948" s="1">
        <v>1008.49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1008.49</v>
      </c>
      <c r="U948" s="1">
        <f>IF(Table14[[#This Row],[I_0]] &lt; INDEX(Table28[Filtro de ruido],1), 1, Table14[[#This Row],[I_10]] / Table14[[#This Row],[I_0]])</f>
        <v>1</v>
      </c>
      <c r="V948" s="1">
        <f>IF(Table14[[#This Row],[I_0]] &lt; INDEX(Table28[Filtro de ruido],1), 1, Table14[[#This Row],[I_20]] / Table14[[#This Row],[I_0]])</f>
        <v>1</v>
      </c>
      <c r="W948" s="1">
        <f>IF(Table14[[#This Row],[I_0]] &lt; INDEX(Table28[Filtro de ruido],1), 1, Table14[[#This Row],[I_30]] / Table14[[#This Row],[I_0]])</f>
        <v>1</v>
      </c>
      <c r="X948" s="1">
        <f>IF(Table14[[#This Row],[I_0]] &lt; INDEX(Table28[Filtro de ruido],1), 1, Table14[[#This Row],[I_40]] / Table14[[#This Row],[I_0]])</f>
        <v>1</v>
      </c>
      <c r="Y948" s="19">
        <f>IF(Table14[[#This Row],[I_0]] &lt; INDEX(Table28[Filtro de ruido],1), 1, Table14[[#This Row],[I_50]] / Table14[[#This Row],[I_0]])</f>
        <v>1</v>
      </c>
      <c r="AA948" s="1"/>
    </row>
    <row r="949" spans="1:27" x14ac:dyDescent="0.3">
      <c r="A949" s="18">
        <v>1009.48</v>
      </c>
      <c r="B949" s="1">
        <v>0</v>
      </c>
      <c r="C949" s="1">
        <v>1009.48</v>
      </c>
      <c r="D949" s="1">
        <v>0</v>
      </c>
      <c r="E949" s="1">
        <v>1009.48</v>
      </c>
      <c r="F949" s="1">
        <v>0</v>
      </c>
      <c r="G949" s="1">
        <v>1009.48</v>
      </c>
      <c r="H949" s="1">
        <v>0</v>
      </c>
      <c r="I949" s="1">
        <v>1009.48</v>
      </c>
      <c r="J949" s="1">
        <v>0</v>
      </c>
      <c r="K949" s="1">
        <v>1009.48</v>
      </c>
      <c r="L949" s="1">
        <v>0</v>
      </c>
      <c r="M949" s="1">
        <v>1009.48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1009.48</v>
      </c>
      <c r="U949" s="1">
        <f>IF(Table14[[#This Row],[I_0]] &lt; INDEX(Table28[Filtro de ruido],1), 1, Table14[[#This Row],[I_10]] / Table14[[#This Row],[I_0]])</f>
        <v>1</v>
      </c>
      <c r="V949" s="1">
        <f>IF(Table14[[#This Row],[I_0]] &lt; INDEX(Table28[Filtro de ruido],1), 1, Table14[[#This Row],[I_20]] / Table14[[#This Row],[I_0]])</f>
        <v>1</v>
      </c>
      <c r="W949" s="1">
        <f>IF(Table14[[#This Row],[I_0]] &lt; INDEX(Table28[Filtro de ruido],1), 1, Table14[[#This Row],[I_30]] / Table14[[#This Row],[I_0]])</f>
        <v>1</v>
      </c>
      <c r="X949" s="1">
        <f>IF(Table14[[#This Row],[I_0]] &lt; INDEX(Table28[Filtro de ruido],1), 1, Table14[[#This Row],[I_40]] / Table14[[#This Row],[I_0]])</f>
        <v>1</v>
      </c>
      <c r="Y949" s="19">
        <f>IF(Table14[[#This Row],[I_0]] &lt; INDEX(Table28[Filtro de ruido],1), 1, Table14[[#This Row],[I_50]] / Table14[[#This Row],[I_0]])</f>
        <v>1</v>
      </c>
      <c r="AA949" s="1"/>
    </row>
    <row r="950" spans="1:27" x14ac:dyDescent="0.3">
      <c r="A950" s="18">
        <v>1010.47</v>
      </c>
      <c r="B950" s="1">
        <v>0</v>
      </c>
      <c r="C950" s="1">
        <v>1010.47</v>
      </c>
      <c r="D950" s="1">
        <v>0</v>
      </c>
      <c r="E950" s="1">
        <v>1010.47</v>
      </c>
      <c r="F950" s="1">
        <v>0</v>
      </c>
      <c r="G950" s="1">
        <v>1010.47</v>
      </c>
      <c r="H950" s="1">
        <v>0</v>
      </c>
      <c r="I950" s="1">
        <v>1010.47</v>
      </c>
      <c r="J950" s="1">
        <v>0</v>
      </c>
      <c r="K950" s="1">
        <v>1010.47</v>
      </c>
      <c r="L950" s="1">
        <v>0</v>
      </c>
      <c r="M950" s="1">
        <v>1010.47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1010.47</v>
      </c>
      <c r="U950" s="1">
        <f>IF(Table14[[#This Row],[I_0]] &lt; INDEX(Table28[Filtro de ruido],1), 1, Table14[[#This Row],[I_10]] / Table14[[#This Row],[I_0]])</f>
        <v>1</v>
      </c>
      <c r="V950" s="1">
        <f>IF(Table14[[#This Row],[I_0]] &lt; INDEX(Table28[Filtro de ruido],1), 1, Table14[[#This Row],[I_20]] / Table14[[#This Row],[I_0]])</f>
        <v>1</v>
      </c>
      <c r="W950" s="1">
        <f>IF(Table14[[#This Row],[I_0]] &lt; INDEX(Table28[Filtro de ruido],1), 1, Table14[[#This Row],[I_30]] / Table14[[#This Row],[I_0]])</f>
        <v>1</v>
      </c>
      <c r="X950" s="1">
        <f>IF(Table14[[#This Row],[I_0]] &lt; INDEX(Table28[Filtro de ruido],1), 1, Table14[[#This Row],[I_40]] / Table14[[#This Row],[I_0]])</f>
        <v>1</v>
      </c>
      <c r="Y950" s="19">
        <f>IF(Table14[[#This Row],[I_0]] &lt; INDEX(Table28[Filtro de ruido],1), 1, Table14[[#This Row],[I_50]] / Table14[[#This Row],[I_0]])</f>
        <v>1</v>
      </c>
      <c r="AA950" s="1"/>
    </row>
    <row r="951" spans="1:27" x14ac:dyDescent="0.3">
      <c r="A951" s="18">
        <v>1011.47</v>
      </c>
      <c r="B951" s="1">
        <v>0</v>
      </c>
      <c r="C951" s="1">
        <v>1011.47</v>
      </c>
      <c r="D951" s="1">
        <v>0</v>
      </c>
      <c r="E951" s="1">
        <v>1011.47</v>
      </c>
      <c r="F951" s="1">
        <v>0</v>
      </c>
      <c r="G951" s="1">
        <v>1011.47</v>
      </c>
      <c r="H951" s="1">
        <v>0</v>
      </c>
      <c r="I951" s="1">
        <v>1011.47</v>
      </c>
      <c r="J951" s="1">
        <v>0</v>
      </c>
      <c r="K951" s="1">
        <v>1011.47</v>
      </c>
      <c r="L951" s="1">
        <v>0</v>
      </c>
      <c r="M951" s="1">
        <v>1011.47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1011.47</v>
      </c>
      <c r="U951" s="1">
        <f>IF(Table14[[#This Row],[I_0]] &lt; INDEX(Table28[Filtro de ruido],1), 1, Table14[[#This Row],[I_10]] / Table14[[#This Row],[I_0]])</f>
        <v>1</v>
      </c>
      <c r="V951" s="1">
        <f>IF(Table14[[#This Row],[I_0]] &lt; INDEX(Table28[Filtro de ruido],1), 1, Table14[[#This Row],[I_20]] / Table14[[#This Row],[I_0]])</f>
        <v>1</v>
      </c>
      <c r="W951" s="1">
        <f>IF(Table14[[#This Row],[I_0]] &lt; INDEX(Table28[Filtro de ruido],1), 1, Table14[[#This Row],[I_30]] / Table14[[#This Row],[I_0]])</f>
        <v>1</v>
      </c>
      <c r="X951" s="1">
        <f>IF(Table14[[#This Row],[I_0]] &lt; INDEX(Table28[Filtro de ruido],1), 1, Table14[[#This Row],[I_40]] / Table14[[#This Row],[I_0]])</f>
        <v>1</v>
      </c>
      <c r="Y951" s="19">
        <f>IF(Table14[[#This Row],[I_0]] &lt; INDEX(Table28[Filtro de ruido],1), 1, Table14[[#This Row],[I_50]] / Table14[[#This Row],[I_0]])</f>
        <v>1</v>
      </c>
      <c r="AA951" s="1"/>
    </row>
    <row r="952" spans="1:27" x14ac:dyDescent="0.3">
      <c r="A952" s="18">
        <v>1012.46</v>
      </c>
      <c r="B952" s="1">
        <v>0</v>
      </c>
      <c r="C952" s="1">
        <v>1012.46</v>
      </c>
      <c r="D952" s="1">
        <v>0</v>
      </c>
      <c r="E952" s="1">
        <v>1012.46</v>
      </c>
      <c r="F952" s="1">
        <v>0</v>
      </c>
      <c r="G952" s="1">
        <v>1012.46</v>
      </c>
      <c r="H952" s="1">
        <v>0</v>
      </c>
      <c r="I952" s="1">
        <v>1012.46</v>
      </c>
      <c r="J952" s="1">
        <v>0</v>
      </c>
      <c r="K952" s="1">
        <v>1012.46</v>
      </c>
      <c r="L952" s="1">
        <v>0</v>
      </c>
      <c r="M952" s="1">
        <v>1012.46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1012.46</v>
      </c>
      <c r="U952" s="1">
        <f>IF(Table14[[#This Row],[I_0]] &lt; INDEX(Table28[Filtro de ruido],1), 1, Table14[[#This Row],[I_10]] / Table14[[#This Row],[I_0]])</f>
        <v>1</v>
      </c>
      <c r="V952" s="1">
        <f>IF(Table14[[#This Row],[I_0]] &lt; INDEX(Table28[Filtro de ruido],1), 1, Table14[[#This Row],[I_20]] / Table14[[#This Row],[I_0]])</f>
        <v>1</v>
      </c>
      <c r="W952" s="1">
        <f>IF(Table14[[#This Row],[I_0]] &lt; INDEX(Table28[Filtro de ruido],1), 1, Table14[[#This Row],[I_30]] / Table14[[#This Row],[I_0]])</f>
        <v>1</v>
      </c>
      <c r="X952" s="1">
        <f>IF(Table14[[#This Row],[I_0]] &lt; INDEX(Table28[Filtro de ruido],1), 1, Table14[[#This Row],[I_40]] / Table14[[#This Row],[I_0]])</f>
        <v>1</v>
      </c>
      <c r="Y952" s="19">
        <f>IF(Table14[[#This Row],[I_0]] &lt; INDEX(Table28[Filtro de ruido],1), 1, Table14[[#This Row],[I_50]] / Table14[[#This Row],[I_0]])</f>
        <v>1</v>
      </c>
      <c r="AA952" s="1"/>
    </row>
    <row r="953" spans="1:27" x14ac:dyDescent="0.3">
      <c r="A953" s="18">
        <v>1013.45</v>
      </c>
      <c r="B953" s="1">
        <v>0</v>
      </c>
      <c r="C953" s="1">
        <v>1013.45</v>
      </c>
      <c r="D953" s="1">
        <v>0</v>
      </c>
      <c r="E953" s="1">
        <v>1013.45</v>
      </c>
      <c r="F953" s="1">
        <v>0</v>
      </c>
      <c r="G953" s="1">
        <v>1013.45</v>
      </c>
      <c r="H953" s="1">
        <v>0</v>
      </c>
      <c r="I953" s="1">
        <v>1013.45</v>
      </c>
      <c r="J953" s="1">
        <v>0</v>
      </c>
      <c r="K953" s="1">
        <v>1013.45</v>
      </c>
      <c r="L953" s="1">
        <v>0</v>
      </c>
      <c r="M953" s="1">
        <v>1013.45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1013.45</v>
      </c>
      <c r="U953" s="1">
        <f>IF(Table14[[#This Row],[I_0]] &lt; INDEX(Table28[Filtro de ruido],1), 1, Table14[[#This Row],[I_10]] / Table14[[#This Row],[I_0]])</f>
        <v>1</v>
      </c>
      <c r="V953" s="1">
        <f>IF(Table14[[#This Row],[I_0]] &lt; INDEX(Table28[Filtro de ruido],1), 1, Table14[[#This Row],[I_20]] / Table14[[#This Row],[I_0]])</f>
        <v>1</v>
      </c>
      <c r="W953" s="1">
        <f>IF(Table14[[#This Row],[I_0]] &lt; INDEX(Table28[Filtro de ruido],1), 1, Table14[[#This Row],[I_30]] / Table14[[#This Row],[I_0]])</f>
        <v>1</v>
      </c>
      <c r="X953" s="1">
        <f>IF(Table14[[#This Row],[I_0]] &lt; INDEX(Table28[Filtro de ruido],1), 1, Table14[[#This Row],[I_40]] / Table14[[#This Row],[I_0]])</f>
        <v>1</v>
      </c>
      <c r="Y953" s="19">
        <f>IF(Table14[[#This Row],[I_0]] &lt; INDEX(Table28[Filtro de ruido],1), 1, Table14[[#This Row],[I_50]] / Table14[[#This Row],[I_0]])</f>
        <v>1</v>
      </c>
      <c r="AA953" s="1"/>
    </row>
    <row r="954" spans="1:27" x14ac:dyDescent="0.3">
      <c r="A954" s="18">
        <v>1014.44</v>
      </c>
      <c r="B954" s="1">
        <v>0</v>
      </c>
      <c r="C954" s="1">
        <v>1014.44</v>
      </c>
      <c r="D954" s="1">
        <v>0</v>
      </c>
      <c r="E954" s="1">
        <v>1014.44</v>
      </c>
      <c r="F954" s="1">
        <v>0</v>
      </c>
      <c r="G954" s="1">
        <v>1014.44</v>
      </c>
      <c r="H954" s="1">
        <v>0</v>
      </c>
      <c r="I954" s="1">
        <v>1014.44</v>
      </c>
      <c r="J954" s="1">
        <v>0</v>
      </c>
      <c r="K954" s="1">
        <v>1014.44</v>
      </c>
      <c r="L954" s="1">
        <v>0</v>
      </c>
      <c r="M954" s="1">
        <v>1014.44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1014.44</v>
      </c>
      <c r="U954" s="1">
        <f>IF(Table14[[#This Row],[I_0]] &lt; INDEX(Table28[Filtro de ruido],1), 1, Table14[[#This Row],[I_10]] / Table14[[#This Row],[I_0]])</f>
        <v>1</v>
      </c>
      <c r="V954" s="1">
        <f>IF(Table14[[#This Row],[I_0]] &lt; INDEX(Table28[Filtro de ruido],1), 1, Table14[[#This Row],[I_20]] / Table14[[#This Row],[I_0]])</f>
        <v>1</v>
      </c>
      <c r="W954" s="1">
        <f>IF(Table14[[#This Row],[I_0]] &lt; INDEX(Table28[Filtro de ruido],1), 1, Table14[[#This Row],[I_30]] / Table14[[#This Row],[I_0]])</f>
        <v>1</v>
      </c>
      <c r="X954" s="1">
        <f>IF(Table14[[#This Row],[I_0]] &lt; INDEX(Table28[Filtro de ruido],1), 1, Table14[[#This Row],[I_40]] / Table14[[#This Row],[I_0]])</f>
        <v>1</v>
      </c>
      <c r="Y954" s="19">
        <f>IF(Table14[[#This Row],[I_0]] &lt; INDEX(Table28[Filtro de ruido],1), 1, Table14[[#This Row],[I_50]] / Table14[[#This Row],[I_0]])</f>
        <v>1</v>
      </c>
      <c r="AA954" s="1"/>
    </row>
    <row r="955" spans="1:27" x14ac:dyDescent="0.3">
      <c r="A955" s="18">
        <v>1015.43</v>
      </c>
      <c r="B955" s="1">
        <v>0</v>
      </c>
      <c r="C955" s="1">
        <v>1015.43</v>
      </c>
      <c r="D955" s="1">
        <v>0</v>
      </c>
      <c r="E955" s="1">
        <v>1015.43</v>
      </c>
      <c r="F955" s="1">
        <v>0</v>
      </c>
      <c r="G955" s="1">
        <v>1015.43</v>
      </c>
      <c r="H955" s="1">
        <v>0</v>
      </c>
      <c r="I955" s="1">
        <v>1015.43</v>
      </c>
      <c r="J955" s="1">
        <v>0</v>
      </c>
      <c r="K955" s="1">
        <v>1015.43</v>
      </c>
      <c r="L955" s="1">
        <v>0</v>
      </c>
      <c r="M955" s="1">
        <v>1015.43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1015.43</v>
      </c>
      <c r="U955" s="1">
        <f>IF(Table14[[#This Row],[I_0]] &lt; INDEX(Table28[Filtro de ruido],1), 1, Table14[[#This Row],[I_10]] / Table14[[#This Row],[I_0]])</f>
        <v>1</v>
      </c>
      <c r="V955" s="1">
        <f>IF(Table14[[#This Row],[I_0]] &lt; INDEX(Table28[Filtro de ruido],1), 1, Table14[[#This Row],[I_20]] / Table14[[#This Row],[I_0]])</f>
        <v>1</v>
      </c>
      <c r="W955" s="1">
        <f>IF(Table14[[#This Row],[I_0]] &lt; INDEX(Table28[Filtro de ruido],1), 1, Table14[[#This Row],[I_30]] / Table14[[#This Row],[I_0]])</f>
        <v>1</v>
      </c>
      <c r="X955" s="1">
        <f>IF(Table14[[#This Row],[I_0]] &lt; INDEX(Table28[Filtro de ruido],1), 1, Table14[[#This Row],[I_40]] / Table14[[#This Row],[I_0]])</f>
        <v>1</v>
      </c>
      <c r="Y955" s="19">
        <f>IF(Table14[[#This Row],[I_0]] &lt; INDEX(Table28[Filtro de ruido],1), 1, Table14[[#This Row],[I_50]] / Table14[[#This Row],[I_0]])</f>
        <v>1</v>
      </c>
      <c r="AA955" s="1"/>
    </row>
    <row r="956" spans="1:27" x14ac:dyDescent="0.3">
      <c r="A956" s="18">
        <v>1016.42</v>
      </c>
      <c r="B956" s="1">
        <v>0</v>
      </c>
      <c r="C956" s="1">
        <v>1016.42</v>
      </c>
      <c r="D956" s="1">
        <v>0</v>
      </c>
      <c r="E956" s="1">
        <v>1016.42</v>
      </c>
      <c r="F956" s="1">
        <v>0</v>
      </c>
      <c r="G956" s="1">
        <v>1016.42</v>
      </c>
      <c r="H956" s="1">
        <v>0</v>
      </c>
      <c r="I956" s="1">
        <v>1016.42</v>
      </c>
      <c r="J956" s="1">
        <v>0</v>
      </c>
      <c r="K956" s="1">
        <v>1016.42</v>
      </c>
      <c r="L956" s="1">
        <v>0</v>
      </c>
      <c r="M956" s="1">
        <v>1016.42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1016.42</v>
      </c>
      <c r="U956" s="1">
        <f>IF(Table14[[#This Row],[I_0]] &lt; INDEX(Table28[Filtro de ruido],1), 1, Table14[[#This Row],[I_10]] / Table14[[#This Row],[I_0]])</f>
        <v>1</v>
      </c>
      <c r="V956" s="1">
        <f>IF(Table14[[#This Row],[I_0]] &lt; INDEX(Table28[Filtro de ruido],1), 1, Table14[[#This Row],[I_20]] / Table14[[#This Row],[I_0]])</f>
        <v>1</v>
      </c>
      <c r="W956" s="1">
        <f>IF(Table14[[#This Row],[I_0]] &lt; INDEX(Table28[Filtro de ruido],1), 1, Table14[[#This Row],[I_30]] / Table14[[#This Row],[I_0]])</f>
        <v>1</v>
      </c>
      <c r="X956" s="1">
        <f>IF(Table14[[#This Row],[I_0]] &lt; INDEX(Table28[Filtro de ruido],1), 1, Table14[[#This Row],[I_40]] / Table14[[#This Row],[I_0]])</f>
        <v>1</v>
      </c>
      <c r="Y956" s="19">
        <f>IF(Table14[[#This Row],[I_0]] &lt; INDEX(Table28[Filtro de ruido],1), 1, Table14[[#This Row],[I_50]] / Table14[[#This Row],[I_0]])</f>
        <v>1</v>
      </c>
      <c r="AA956" s="1"/>
    </row>
    <row r="957" spans="1:27" x14ac:dyDescent="0.3">
      <c r="A957" s="18">
        <v>1017.42</v>
      </c>
      <c r="B957" s="1">
        <v>0</v>
      </c>
      <c r="C957" s="1">
        <v>1017.42</v>
      </c>
      <c r="D957" s="1">
        <v>0</v>
      </c>
      <c r="E957" s="1">
        <v>1017.42</v>
      </c>
      <c r="F957" s="1">
        <v>0</v>
      </c>
      <c r="G957" s="1">
        <v>1017.42</v>
      </c>
      <c r="H957" s="1">
        <v>0</v>
      </c>
      <c r="I957" s="1">
        <v>1017.42</v>
      </c>
      <c r="J957" s="1">
        <v>0</v>
      </c>
      <c r="K957" s="1">
        <v>1017.42</v>
      </c>
      <c r="L957" s="1">
        <v>0</v>
      </c>
      <c r="M957" s="1">
        <v>1017.42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1017.42</v>
      </c>
      <c r="U957" s="1">
        <f>IF(Table14[[#This Row],[I_0]] &lt; INDEX(Table28[Filtro de ruido],1), 1, Table14[[#This Row],[I_10]] / Table14[[#This Row],[I_0]])</f>
        <v>1</v>
      </c>
      <c r="V957" s="1">
        <f>IF(Table14[[#This Row],[I_0]] &lt; INDEX(Table28[Filtro de ruido],1), 1, Table14[[#This Row],[I_20]] / Table14[[#This Row],[I_0]])</f>
        <v>1</v>
      </c>
      <c r="W957" s="1">
        <f>IF(Table14[[#This Row],[I_0]] &lt; INDEX(Table28[Filtro de ruido],1), 1, Table14[[#This Row],[I_30]] / Table14[[#This Row],[I_0]])</f>
        <v>1</v>
      </c>
      <c r="X957" s="1">
        <f>IF(Table14[[#This Row],[I_0]] &lt; INDEX(Table28[Filtro de ruido],1), 1, Table14[[#This Row],[I_40]] / Table14[[#This Row],[I_0]])</f>
        <v>1</v>
      </c>
      <c r="Y957" s="19">
        <f>IF(Table14[[#This Row],[I_0]] &lt; INDEX(Table28[Filtro de ruido],1), 1, Table14[[#This Row],[I_50]] / Table14[[#This Row],[I_0]])</f>
        <v>1</v>
      </c>
      <c r="AA957" s="1"/>
    </row>
    <row r="958" spans="1:27" x14ac:dyDescent="0.3">
      <c r="A958" s="18">
        <v>1018.41</v>
      </c>
      <c r="B958" s="1">
        <v>0</v>
      </c>
      <c r="C958" s="1">
        <v>1018.41</v>
      </c>
      <c r="D958" s="1">
        <v>0</v>
      </c>
      <c r="E958" s="1">
        <v>1018.41</v>
      </c>
      <c r="F958" s="1">
        <v>0</v>
      </c>
      <c r="G958" s="1">
        <v>1018.41</v>
      </c>
      <c r="H958" s="1">
        <v>0</v>
      </c>
      <c r="I958" s="1">
        <v>1018.41</v>
      </c>
      <c r="J958" s="1">
        <v>0</v>
      </c>
      <c r="K958" s="1">
        <v>1018.41</v>
      </c>
      <c r="L958" s="1">
        <v>0</v>
      </c>
      <c r="M958" s="1">
        <v>1018.41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1018.41</v>
      </c>
      <c r="U958" s="1">
        <f>IF(Table14[[#This Row],[I_0]] &lt; INDEX(Table28[Filtro de ruido],1), 1, Table14[[#This Row],[I_10]] / Table14[[#This Row],[I_0]])</f>
        <v>1</v>
      </c>
      <c r="V958" s="1">
        <f>IF(Table14[[#This Row],[I_0]] &lt; INDEX(Table28[Filtro de ruido],1), 1, Table14[[#This Row],[I_20]] / Table14[[#This Row],[I_0]])</f>
        <v>1</v>
      </c>
      <c r="W958" s="1">
        <f>IF(Table14[[#This Row],[I_0]] &lt; INDEX(Table28[Filtro de ruido],1), 1, Table14[[#This Row],[I_30]] / Table14[[#This Row],[I_0]])</f>
        <v>1</v>
      </c>
      <c r="X958" s="1">
        <f>IF(Table14[[#This Row],[I_0]] &lt; INDEX(Table28[Filtro de ruido],1), 1, Table14[[#This Row],[I_40]] / Table14[[#This Row],[I_0]])</f>
        <v>1</v>
      </c>
      <c r="Y958" s="19">
        <f>IF(Table14[[#This Row],[I_0]] &lt; INDEX(Table28[Filtro de ruido],1), 1, Table14[[#This Row],[I_50]] / Table14[[#This Row],[I_0]])</f>
        <v>1</v>
      </c>
      <c r="AA958" s="1"/>
    </row>
    <row r="959" spans="1:27" x14ac:dyDescent="0.3">
      <c r="A959" s="18">
        <v>1019.4</v>
      </c>
      <c r="B959" s="1">
        <v>0</v>
      </c>
      <c r="C959" s="1">
        <v>1019.4</v>
      </c>
      <c r="D959" s="1">
        <v>0</v>
      </c>
      <c r="E959" s="1">
        <v>1019.4</v>
      </c>
      <c r="F959" s="1">
        <v>0</v>
      </c>
      <c r="G959" s="1">
        <v>1019.4</v>
      </c>
      <c r="H959" s="1">
        <v>0</v>
      </c>
      <c r="I959" s="1">
        <v>1019.4</v>
      </c>
      <c r="J959" s="1">
        <v>0</v>
      </c>
      <c r="K959" s="1">
        <v>1019.4</v>
      </c>
      <c r="L959" s="1">
        <v>0</v>
      </c>
      <c r="M959" s="1">
        <v>1019.4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1019.4</v>
      </c>
      <c r="U959" s="1">
        <f>IF(Table14[[#This Row],[I_0]] &lt; INDEX(Table28[Filtro de ruido],1), 1, Table14[[#This Row],[I_10]] / Table14[[#This Row],[I_0]])</f>
        <v>1</v>
      </c>
      <c r="V959" s="1">
        <f>IF(Table14[[#This Row],[I_0]] &lt; INDEX(Table28[Filtro de ruido],1), 1, Table14[[#This Row],[I_20]] / Table14[[#This Row],[I_0]])</f>
        <v>1</v>
      </c>
      <c r="W959" s="1">
        <f>IF(Table14[[#This Row],[I_0]] &lt; INDEX(Table28[Filtro de ruido],1), 1, Table14[[#This Row],[I_30]] / Table14[[#This Row],[I_0]])</f>
        <v>1</v>
      </c>
      <c r="X959" s="1">
        <f>IF(Table14[[#This Row],[I_0]] &lt; INDEX(Table28[Filtro de ruido],1), 1, Table14[[#This Row],[I_40]] / Table14[[#This Row],[I_0]])</f>
        <v>1</v>
      </c>
      <c r="Y959" s="19">
        <f>IF(Table14[[#This Row],[I_0]] &lt; INDEX(Table28[Filtro de ruido],1), 1, Table14[[#This Row],[I_50]] / Table14[[#This Row],[I_0]])</f>
        <v>1</v>
      </c>
      <c r="AA959" s="1"/>
    </row>
    <row r="960" spans="1:27" x14ac:dyDescent="0.3">
      <c r="A960" s="18">
        <v>1020.39</v>
      </c>
      <c r="B960" s="1">
        <v>0</v>
      </c>
      <c r="C960" s="1">
        <v>1020.39</v>
      </c>
      <c r="D960" s="1">
        <v>0</v>
      </c>
      <c r="E960" s="1">
        <v>1020.39</v>
      </c>
      <c r="F960" s="1">
        <v>0</v>
      </c>
      <c r="G960" s="1">
        <v>1020.39</v>
      </c>
      <c r="H960" s="1">
        <v>0</v>
      </c>
      <c r="I960" s="1">
        <v>1020.39</v>
      </c>
      <c r="J960" s="1">
        <v>0</v>
      </c>
      <c r="K960" s="1">
        <v>1020.39</v>
      </c>
      <c r="L960" s="1">
        <v>0</v>
      </c>
      <c r="M960" s="1">
        <v>1020.39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1020.39</v>
      </c>
      <c r="U960" s="1">
        <f>IF(Table14[[#This Row],[I_0]] &lt; INDEX(Table28[Filtro de ruido],1), 1, Table14[[#This Row],[I_10]] / Table14[[#This Row],[I_0]])</f>
        <v>1</v>
      </c>
      <c r="V960" s="1">
        <f>IF(Table14[[#This Row],[I_0]] &lt; INDEX(Table28[Filtro de ruido],1), 1, Table14[[#This Row],[I_20]] / Table14[[#This Row],[I_0]])</f>
        <v>1</v>
      </c>
      <c r="W960" s="1">
        <f>IF(Table14[[#This Row],[I_0]] &lt; INDEX(Table28[Filtro de ruido],1), 1, Table14[[#This Row],[I_30]] / Table14[[#This Row],[I_0]])</f>
        <v>1</v>
      </c>
      <c r="X960" s="1">
        <f>IF(Table14[[#This Row],[I_0]] &lt; INDEX(Table28[Filtro de ruido],1), 1, Table14[[#This Row],[I_40]] / Table14[[#This Row],[I_0]])</f>
        <v>1</v>
      </c>
      <c r="Y960" s="19">
        <f>IF(Table14[[#This Row],[I_0]] &lt; INDEX(Table28[Filtro de ruido],1), 1, Table14[[#This Row],[I_50]] / Table14[[#This Row],[I_0]])</f>
        <v>1</v>
      </c>
      <c r="AA960" s="1"/>
    </row>
    <row r="961" spans="1:27" x14ac:dyDescent="0.3">
      <c r="A961" s="18">
        <v>1021.38</v>
      </c>
      <c r="B961" s="1">
        <v>0</v>
      </c>
      <c r="C961" s="1">
        <v>1021.38</v>
      </c>
      <c r="D961" s="1">
        <v>0</v>
      </c>
      <c r="E961" s="1">
        <v>1021.38</v>
      </c>
      <c r="F961" s="1">
        <v>0</v>
      </c>
      <c r="G961" s="1">
        <v>1021.38</v>
      </c>
      <c r="H961" s="1">
        <v>0</v>
      </c>
      <c r="I961" s="1">
        <v>1021.38</v>
      </c>
      <c r="J961" s="1">
        <v>0</v>
      </c>
      <c r="K961" s="1">
        <v>1021.38</v>
      </c>
      <c r="L961" s="1">
        <v>0</v>
      </c>
      <c r="M961" s="1">
        <v>1021.38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1021.38</v>
      </c>
      <c r="U961" s="1">
        <f>IF(Table14[[#This Row],[I_0]] &lt; INDEX(Table28[Filtro de ruido],1), 1, Table14[[#This Row],[I_10]] / Table14[[#This Row],[I_0]])</f>
        <v>1</v>
      </c>
      <c r="V961" s="1">
        <f>IF(Table14[[#This Row],[I_0]] &lt; INDEX(Table28[Filtro de ruido],1), 1, Table14[[#This Row],[I_20]] / Table14[[#This Row],[I_0]])</f>
        <v>1</v>
      </c>
      <c r="W961" s="1">
        <f>IF(Table14[[#This Row],[I_0]] &lt; INDEX(Table28[Filtro de ruido],1), 1, Table14[[#This Row],[I_30]] / Table14[[#This Row],[I_0]])</f>
        <v>1</v>
      </c>
      <c r="X961" s="1">
        <f>IF(Table14[[#This Row],[I_0]] &lt; INDEX(Table28[Filtro de ruido],1), 1, Table14[[#This Row],[I_40]] / Table14[[#This Row],[I_0]])</f>
        <v>1</v>
      </c>
      <c r="Y961" s="19">
        <f>IF(Table14[[#This Row],[I_0]] &lt; INDEX(Table28[Filtro de ruido],1), 1, Table14[[#This Row],[I_50]] / Table14[[#This Row],[I_0]])</f>
        <v>1</v>
      </c>
      <c r="AA961" s="1"/>
    </row>
    <row r="962" spans="1:27" x14ac:dyDescent="0.3">
      <c r="A962" s="18">
        <v>1022.37</v>
      </c>
      <c r="B962" s="1">
        <v>0</v>
      </c>
      <c r="C962" s="1">
        <v>1022.37</v>
      </c>
      <c r="D962" s="1">
        <v>0</v>
      </c>
      <c r="E962" s="1">
        <v>1022.37</v>
      </c>
      <c r="F962" s="1">
        <v>0</v>
      </c>
      <c r="G962" s="1">
        <v>1022.37</v>
      </c>
      <c r="H962" s="1">
        <v>0</v>
      </c>
      <c r="I962" s="1">
        <v>1022.37</v>
      </c>
      <c r="J962" s="1">
        <v>0</v>
      </c>
      <c r="K962" s="1">
        <v>1022.37</v>
      </c>
      <c r="L962" s="1">
        <v>0</v>
      </c>
      <c r="M962" s="1">
        <v>1022.37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1022.37</v>
      </c>
      <c r="U962" s="1">
        <f>IF(Table14[[#This Row],[I_0]] &lt; INDEX(Table28[Filtro de ruido],1), 1, Table14[[#This Row],[I_10]] / Table14[[#This Row],[I_0]])</f>
        <v>1</v>
      </c>
      <c r="V962" s="1">
        <f>IF(Table14[[#This Row],[I_0]] &lt; INDEX(Table28[Filtro de ruido],1), 1, Table14[[#This Row],[I_20]] / Table14[[#This Row],[I_0]])</f>
        <v>1</v>
      </c>
      <c r="W962" s="1">
        <f>IF(Table14[[#This Row],[I_0]] &lt; INDEX(Table28[Filtro de ruido],1), 1, Table14[[#This Row],[I_30]] / Table14[[#This Row],[I_0]])</f>
        <v>1</v>
      </c>
      <c r="X962" s="1">
        <f>IF(Table14[[#This Row],[I_0]] &lt; INDEX(Table28[Filtro de ruido],1), 1, Table14[[#This Row],[I_40]] / Table14[[#This Row],[I_0]])</f>
        <v>1</v>
      </c>
      <c r="Y962" s="19">
        <f>IF(Table14[[#This Row],[I_0]] &lt; INDEX(Table28[Filtro de ruido],1), 1, Table14[[#This Row],[I_50]] / Table14[[#This Row],[I_0]])</f>
        <v>1</v>
      </c>
      <c r="AA962" s="1"/>
    </row>
    <row r="963" spans="1:27" x14ac:dyDescent="0.3">
      <c r="A963" s="18">
        <v>1023.37</v>
      </c>
      <c r="B963" s="1">
        <v>0</v>
      </c>
      <c r="C963" s="1">
        <v>1023.37</v>
      </c>
      <c r="D963" s="1">
        <v>0</v>
      </c>
      <c r="E963" s="1">
        <v>1023.37</v>
      </c>
      <c r="F963" s="1">
        <v>0</v>
      </c>
      <c r="G963" s="1">
        <v>1023.37</v>
      </c>
      <c r="H963" s="1">
        <v>0</v>
      </c>
      <c r="I963" s="1">
        <v>1023.37</v>
      </c>
      <c r="J963" s="1">
        <v>0</v>
      </c>
      <c r="K963" s="1">
        <v>1023.37</v>
      </c>
      <c r="L963" s="1">
        <v>0</v>
      </c>
      <c r="M963" s="1">
        <v>1023.37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1023.37</v>
      </c>
      <c r="U963" s="1">
        <f>IF(Table14[[#This Row],[I_0]] &lt; INDEX(Table28[Filtro de ruido],1), 1, Table14[[#This Row],[I_10]] / Table14[[#This Row],[I_0]])</f>
        <v>1</v>
      </c>
      <c r="V963" s="1">
        <f>IF(Table14[[#This Row],[I_0]] &lt; INDEX(Table28[Filtro de ruido],1), 1, Table14[[#This Row],[I_20]] / Table14[[#This Row],[I_0]])</f>
        <v>1</v>
      </c>
      <c r="W963" s="1">
        <f>IF(Table14[[#This Row],[I_0]] &lt; INDEX(Table28[Filtro de ruido],1), 1, Table14[[#This Row],[I_30]] / Table14[[#This Row],[I_0]])</f>
        <v>1</v>
      </c>
      <c r="X963" s="1">
        <f>IF(Table14[[#This Row],[I_0]] &lt; INDEX(Table28[Filtro de ruido],1), 1, Table14[[#This Row],[I_40]] / Table14[[#This Row],[I_0]])</f>
        <v>1</v>
      </c>
      <c r="Y963" s="19">
        <f>IF(Table14[[#This Row],[I_0]] &lt; INDEX(Table28[Filtro de ruido],1), 1, Table14[[#This Row],[I_50]] / Table14[[#This Row],[I_0]])</f>
        <v>1</v>
      </c>
      <c r="AA963" s="1"/>
    </row>
    <row r="964" spans="1:27" x14ac:dyDescent="0.3">
      <c r="A964" s="18">
        <v>1024.3599999999999</v>
      </c>
      <c r="B964" s="1">
        <v>0</v>
      </c>
      <c r="C964" s="1">
        <v>1024.3599999999999</v>
      </c>
      <c r="D964" s="1">
        <v>0</v>
      </c>
      <c r="E964" s="1">
        <v>1024.3599999999999</v>
      </c>
      <c r="F964" s="1">
        <v>0</v>
      </c>
      <c r="G964" s="1">
        <v>1024.3599999999999</v>
      </c>
      <c r="H964" s="1">
        <v>0</v>
      </c>
      <c r="I964" s="1">
        <v>1024.3599999999999</v>
      </c>
      <c r="J964" s="1">
        <v>0</v>
      </c>
      <c r="K964" s="1">
        <v>1024.3599999999999</v>
      </c>
      <c r="L964" s="1">
        <v>0</v>
      </c>
      <c r="M964" s="1">
        <v>1024.3599999999999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1024.3599999999999</v>
      </c>
      <c r="U964" s="1">
        <f>IF(Table14[[#This Row],[I_0]] &lt; INDEX(Table28[Filtro de ruido],1), 1, Table14[[#This Row],[I_10]] / Table14[[#This Row],[I_0]])</f>
        <v>1</v>
      </c>
      <c r="V964" s="1">
        <f>IF(Table14[[#This Row],[I_0]] &lt; INDEX(Table28[Filtro de ruido],1), 1, Table14[[#This Row],[I_20]] / Table14[[#This Row],[I_0]])</f>
        <v>1</v>
      </c>
      <c r="W964" s="1">
        <f>IF(Table14[[#This Row],[I_0]] &lt; INDEX(Table28[Filtro de ruido],1), 1, Table14[[#This Row],[I_30]] / Table14[[#This Row],[I_0]])</f>
        <v>1</v>
      </c>
      <c r="X964" s="1">
        <f>IF(Table14[[#This Row],[I_0]] &lt; INDEX(Table28[Filtro de ruido],1), 1, Table14[[#This Row],[I_40]] / Table14[[#This Row],[I_0]])</f>
        <v>1</v>
      </c>
      <c r="Y964" s="19">
        <f>IF(Table14[[#This Row],[I_0]] &lt; INDEX(Table28[Filtro de ruido],1), 1, Table14[[#This Row],[I_50]] / Table14[[#This Row],[I_0]])</f>
        <v>1</v>
      </c>
      <c r="AA964" s="1"/>
    </row>
    <row r="965" spans="1:27" x14ac:dyDescent="0.3">
      <c r="A965" s="18">
        <v>1025.3499999999999</v>
      </c>
      <c r="B965" s="1">
        <v>0</v>
      </c>
      <c r="C965" s="1">
        <v>1025.3499999999999</v>
      </c>
      <c r="D965" s="1">
        <v>0</v>
      </c>
      <c r="E965" s="1">
        <v>1025.3499999999999</v>
      </c>
      <c r="F965" s="1">
        <v>0</v>
      </c>
      <c r="G965" s="1">
        <v>1025.3499999999999</v>
      </c>
      <c r="H965" s="1">
        <v>0</v>
      </c>
      <c r="I965" s="1">
        <v>1025.3499999999999</v>
      </c>
      <c r="J965" s="1">
        <v>0</v>
      </c>
      <c r="K965" s="1">
        <v>1025.3499999999999</v>
      </c>
      <c r="L965" s="1">
        <v>0</v>
      </c>
      <c r="M965" s="1">
        <v>1025.3499999999999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1025.3499999999999</v>
      </c>
      <c r="U965" s="1">
        <f>IF(Table14[[#This Row],[I_0]] &lt; INDEX(Table28[Filtro de ruido],1), 1, Table14[[#This Row],[I_10]] / Table14[[#This Row],[I_0]])</f>
        <v>1</v>
      </c>
      <c r="V965" s="1">
        <f>IF(Table14[[#This Row],[I_0]] &lt; INDEX(Table28[Filtro de ruido],1), 1, Table14[[#This Row],[I_20]] / Table14[[#This Row],[I_0]])</f>
        <v>1</v>
      </c>
      <c r="W965" s="1">
        <f>IF(Table14[[#This Row],[I_0]] &lt; INDEX(Table28[Filtro de ruido],1), 1, Table14[[#This Row],[I_30]] / Table14[[#This Row],[I_0]])</f>
        <v>1</v>
      </c>
      <c r="X965" s="1">
        <f>IF(Table14[[#This Row],[I_0]] &lt; INDEX(Table28[Filtro de ruido],1), 1, Table14[[#This Row],[I_40]] / Table14[[#This Row],[I_0]])</f>
        <v>1</v>
      </c>
      <c r="Y965" s="19">
        <f>IF(Table14[[#This Row],[I_0]] &lt; INDEX(Table28[Filtro de ruido],1), 1, Table14[[#This Row],[I_50]] / Table14[[#This Row],[I_0]])</f>
        <v>1</v>
      </c>
      <c r="AA965" s="1"/>
    </row>
    <row r="966" spans="1:27" x14ac:dyDescent="0.3">
      <c r="A966" s="18">
        <v>1026.3399999999999</v>
      </c>
      <c r="B966" s="1">
        <v>0</v>
      </c>
      <c r="C966" s="1">
        <v>1026.3399999999999</v>
      </c>
      <c r="D966" s="1">
        <v>0</v>
      </c>
      <c r="E966" s="1">
        <v>1026.3399999999999</v>
      </c>
      <c r="F966" s="1">
        <v>0</v>
      </c>
      <c r="G966" s="1">
        <v>1026.3399999999999</v>
      </c>
      <c r="H966" s="1">
        <v>0</v>
      </c>
      <c r="I966" s="1">
        <v>1026.3399999999999</v>
      </c>
      <c r="J966" s="1">
        <v>0</v>
      </c>
      <c r="K966" s="1">
        <v>1026.3399999999999</v>
      </c>
      <c r="L966" s="1">
        <v>0</v>
      </c>
      <c r="M966" s="1">
        <v>1026.3399999999999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1026.3399999999999</v>
      </c>
      <c r="U966" s="1">
        <f>IF(Table14[[#This Row],[I_0]] &lt; INDEX(Table28[Filtro de ruido],1), 1, Table14[[#This Row],[I_10]] / Table14[[#This Row],[I_0]])</f>
        <v>1</v>
      </c>
      <c r="V966" s="1">
        <f>IF(Table14[[#This Row],[I_0]] &lt; INDEX(Table28[Filtro de ruido],1), 1, Table14[[#This Row],[I_20]] / Table14[[#This Row],[I_0]])</f>
        <v>1</v>
      </c>
      <c r="W966" s="1">
        <f>IF(Table14[[#This Row],[I_0]] &lt; INDEX(Table28[Filtro de ruido],1), 1, Table14[[#This Row],[I_30]] / Table14[[#This Row],[I_0]])</f>
        <v>1</v>
      </c>
      <c r="X966" s="1">
        <f>IF(Table14[[#This Row],[I_0]] &lt; INDEX(Table28[Filtro de ruido],1), 1, Table14[[#This Row],[I_40]] / Table14[[#This Row],[I_0]])</f>
        <v>1</v>
      </c>
      <c r="Y966" s="19">
        <f>IF(Table14[[#This Row],[I_0]] &lt; INDEX(Table28[Filtro de ruido],1), 1, Table14[[#This Row],[I_50]] / Table14[[#This Row],[I_0]])</f>
        <v>1</v>
      </c>
      <c r="AA966" s="1"/>
    </row>
    <row r="967" spans="1:27" x14ac:dyDescent="0.3">
      <c r="A967" s="18">
        <v>1027.33</v>
      </c>
      <c r="B967" s="1">
        <v>0</v>
      </c>
      <c r="C967" s="1">
        <v>1027.33</v>
      </c>
      <c r="D967" s="1">
        <v>0</v>
      </c>
      <c r="E967" s="1">
        <v>1027.33</v>
      </c>
      <c r="F967" s="1">
        <v>0</v>
      </c>
      <c r="G967" s="1">
        <v>1027.33</v>
      </c>
      <c r="H967" s="1">
        <v>0</v>
      </c>
      <c r="I967" s="1">
        <v>1027.33</v>
      </c>
      <c r="J967" s="1">
        <v>0</v>
      </c>
      <c r="K967" s="1">
        <v>1027.33</v>
      </c>
      <c r="L967" s="1">
        <v>0</v>
      </c>
      <c r="M967" s="1">
        <v>1027.33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1027.33</v>
      </c>
      <c r="U967" s="1">
        <f>IF(Table14[[#This Row],[I_0]] &lt; INDEX(Table28[Filtro de ruido],1), 1, Table14[[#This Row],[I_10]] / Table14[[#This Row],[I_0]])</f>
        <v>1</v>
      </c>
      <c r="V967" s="1">
        <f>IF(Table14[[#This Row],[I_0]] &lt; INDEX(Table28[Filtro de ruido],1), 1, Table14[[#This Row],[I_20]] / Table14[[#This Row],[I_0]])</f>
        <v>1</v>
      </c>
      <c r="W967" s="1">
        <f>IF(Table14[[#This Row],[I_0]] &lt; INDEX(Table28[Filtro de ruido],1), 1, Table14[[#This Row],[I_30]] / Table14[[#This Row],[I_0]])</f>
        <v>1</v>
      </c>
      <c r="X967" s="1">
        <f>IF(Table14[[#This Row],[I_0]] &lt; INDEX(Table28[Filtro de ruido],1), 1, Table14[[#This Row],[I_40]] / Table14[[#This Row],[I_0]])</f>
        <v>1</v>
      </c>
      <c r="Y967" s="19">
        <f>IF(Table14[[#This Row],[I_0]] &lt; INDEX(Table28[Filtro de ruido],1), 1, Table14[[#This Row],[I_50]] / Table14[[#This Row],[I_0]])</f>
        <v>1</v>
      </c>
      <c r="AA967" s="1"/>
    </row>
    <row r="968" spans="1:27" x14ac:dyDescent="0.3">
      <c r="A968" s="18">
        <v>1028.33</v>
      </c>
      <c r="B968" s="1">
        <v>0</v>
      </c>
      <c r="C968" s="1">
        <v>1028.33</v>
      </c>
      <c r="D968" s="1">
        <v>0</v>
      </c>
      <c r="E968" s="1">
        <v>1028.33</v>
      </c>
      <c r="F968" s="1">
        <v>0</v>
      </c>
      <c r="G968" s="1">
        <v>1028.33</v>
      </c>
      <c r="H968" s="1">
        <v>0</v>
      </c>
      <c r="I968" s="1">
        <v>1028.33</v>
      </c>
      <c r="J968" s="1">
        <v>0</v>
      </c>
      <c r="K968" s="1">
        <v>1028.33</v>
      </c>
      <c r="L968" s="1">
        <v>0</v>
      </c>
      <c r="M968" s="1">
        <v>1028.33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1028.33</v>
      </c>
      <c r="U968" s="1">
        <f>IF(Table14[[#This Row],[I_0]] &lt; INDEX(Table28[Filtro de ruido],1), 1, Table14[[#This Row],[I_10]] / Table14[[#This Row],[I_0]])</f>
        <v>1</v>
      </c>
      <c r="V968" s="1">
        <f>IF(Table14[[#This Row],[I_0]] &lt; INDEX(Table28[Filtro de ruido],1), 1, Table14[[#This Row],[I_20]] / Table14[[#This Row],[I_0]])</f>
        <v>1</v>
      </c>
      <c r="W968" s="1">
        <f>IF(Table14[[#This Row],[I_0]] &lt; INDEX(Table28[Filtro de ruido],1), 1, Table14[[#This Row],[I_30]] / Table14[[#This Row],[I_0]])</f>
        <v>1</v>
      </c>
      <c r="X968" s="1">
        <f>IF(Table14[[#This Row],[I_0]] &lt; INDEX(Table28[Filtro de ruido],1), 1, Table14[[#This Row],[I_40]] / Table14[[#This Row],[I_0]])</f>
        <v>1</v>
      </c>
      <c r="Y968" s="19">
        <f>IF(Table14[[#This Row],[I_0]] &lt; INDEX(Table28[Filtro de ruido],1), 1, Table14[[#This Row],[I_50]] / Table14[[#This Row],[I_0]])</f>
        <v>1</v>
      </c>
      <c r="AA968" s="1"/>
    </row>
    <row r="969" spans="1:27" x14ac:dyDescent="0.3">
      <c r="A969" s="18">
        <v>1029.32</v>
      </c>
      <c r="B969" s="1">
        <v>0</v>
      </c>
      <c r="C969" s="1">
        <v>1029.32</v>
      </c>
      <c r="D969" s="1">
        <v>0</v>
      </c>
      <c r="E969" s="1">
        <v>1029.32</v>
      </c>
      <c r="F969" s="1">
        <v>0</v>
      </c>
      <c r="G969" s="1">
        <v>1029.32</v>
      </c>
      <c r="H969" s="1">
        <v>0</v>
      </c>
      <c r="I969" s="1">
        <v>1029.32</v>
      </c>
      <c r="J969" s="1">
        <v>0</v>
      </c>
      <c r="K969" s="1">
        <v>1029.32</v>
      </c>
      <c r="L969" s="1">
        <v>0</v>
      </c>
      <c r="M969" s="1">
        <v>1029.32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1029.32</v>
      </c>
      <c r="U969" s="1">
        <f>IF(Table14[[#This Row],[I_0]] &lt; INDEX(Table28[Filtro de ruido],1), 1, Table14[[#This Row],[I_10]] / Table14[[#This Row],[I_0]])</f>
        <v>1</v>
      </c>
      <c r="V969" s="1">
        <f>IF(Table14[[#This Row],[I_0]] &lt; INDEX(Table28[Filtro de ruido],1), 1, Table14[[#This Row],[I_20]] / Table14[[#This Row],[I_0]])</f>
        <v>1</v>
      </c>
      <c r="W969" s="1">
        <f>IF(Table14[[#This Row],[I_0]] &lt; INDEX(Table28[Filtro de ruido],1), 1, Table14[[#This Row],[I_30]] / Table14[[#This Row],[I_0]])</f>
        <v>1</v>
      </c>
      <c r="X969" s="1">
        <f>IF(Table14[[#This Row],[I_0]] &lt; INDEX(Table28[Filtro de ruido],1), 1, Table14[[#This Row],[I_40]] / Table14[[#This Row],[I_0]])</f>
        <v>1</v>
      </c>
      <c r="Y969" s="19">
        <f>IF(Table14[[#This Row],[I_0]] &lt; INDEX(Table28[Filtro de ruido],1), 1, Table14[[#This Row],[I_50]] / Table14[[#This Row],[I_0]])</f>
        <v>1</v>
      </c>
      <c r="AA969" s="1"/>
    </row>
    <row r="970" spans="1:27" x14ac:dyDescent="0.3">
      <c r="A970" s="18">
        <v>1030.31</v>
      </c>
      <c r="B970" s="1">
        <v>0</v>
      </c>
      <c r="C970" s="1">
        <v>1030.31</v>
      </c>
      <c r="D970" s="1">
        <v>0</v>
      </c>
      <c r="E970" s="1">
        <v>1030.31</v>
      </c>
      <c r="F970" s="1">
        <v>0</v>
      </c>
      <c r="G970" s="1">
        <v>1030.31</v>
      </c>
      <c r="H970" s="1">
        <v>0</v>
      </c>
      <c r="I970" s="1">
        <v>1030.31</v>
      </c>
      <c r="J970" s="1">
        <v>0</v>
      </c>
      <c r="K970" s="1">
        <v>1030.31</v>
      </c>
      <c r="L970" s="1">
        <v>0</v>
      </c>
      <c r="M970" s="1">
        <v>1030.31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1030.31</v>
      </c>
      <c r="U970" s="1">
        <f>IF(Table14[[#This Row],[I_0]] &lt; INDEX(Table28[Filtro de ruido],1), 1, Table14[[#This Row],[I_10]] / Table14[[#This Row],[I_0]])</f>
        <v>1</v>
      </c>
      <c r="V970" s="1">
        <f>IF(Table14[[#This Row],[I_0]] &lt; INDEX(Table28[Filtro de ruido],1), 1, Table14[[#This Row],[I_20]] / Table14[[#This Row],[I_0]])</f>
        <v>1</v>
      </c>
      <c r="W970" s="1">
        <f>IF(Table14[[#This Row],[I_0]] &lt; INDEX(Table28[Filtro de ruido],1), 1, Table14[[#This Row],[I_30]] / Table14[[#This Row],[I_0]])</f>
        <v>1</v>
      </c>
      <c r="X970" s="1">
        <f>IF(Table14[[#This Row],[I_0]] &lt; INDEX(Table28[Filtro de ruido],1), 1, Table14[[#This Row],[I_40]] / Table14[[#This Row],[I_0]])</f>
        <v>1</v>
      </c>
      <c r="Y970" s="19">
        <f>IF(Table14[[#This Row],[I_0]] &lt; INDEX(Table28[Filtro de ruido],1), 1, Table14[[#This Row],[I_50]] / Table14[[#This Row],[I_0]])</f>
        <v>1</v>
      </c>
      <c r="AA970" s="1"/>
    </row>
    <row r="971" spans="1:27" x14ac:dyDescent="0.3">
      <c r="A971" s="18">
        <v>1031.3</v>
      </c>
      <c r="B971" s="1">
        <v>0</v>
      </c>
      <c r="C971" s="1">
        <v>1031.3</v>
      </c>
      <c r="D971" s="1">
        <v>0</v>
      </c>
      <c r="E971" s="1">
        <v>1031.3</v>
      </c>
      <c r="F971" s="1">
        <v>0</v>
      </c>
      <c r="G971" s="1">
        <v>1031.3</v>
      </c>
      <c r="H971" s="1">
        <v>0</v>
      </c>
      <c r="I971" s="1">
        <v>1031.3</v>
      </c>
      <c r="J971" s="1">
        <v>0</v>
      </c>
      <c r="K971" s="1">
        <v>1031.3</v>
      </c>
      <c r="L971" s="1">
        <v>0</v>
      </c>
      <c r="M971" s="1">
        <v>1031.3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1031.3</v>
      </c>
      <c r="U971" s="1">
        <f>IF(Table14[[#This Row],[I_0]] &lt; INDEX(Table28[Filtro de ruido],1), 1, Table14[[#This Row],[I_10]] / Table14[[#This Row],[I_0]])</f>
        <v>1</v>
      </c>
      <c r="V971" s="1">
        <f>IF(Table14[[#This Row],[I_0]] &lt; INDEX(Table28[Filtro de ruido],1), 1, Table14[[#This Row],[I_20]] / Table14[[#This Row],[I_0]])</f>
        <v>1</v>
      </c>
      <c r="W971" s="1">
        <f>IF(Table14[[#This Row],[I_0]] &lt; INDEX(Table28[Filtro de ruido],1), 1, Table14[[#This Row],[I_30]] / Table14[[#This Row],[I_0]])</f>
        <v>1</v>
      </c>
      <c r="X971" s="1">
        <f>IF(Table14[[#This Row],[I_0]] &lt; INDEX(Table28[Filtro de ruido],1), 1, Table14[[#This Row],[I_40]] / Table14[[#This Row],[I_0]])</f>
        <v>1</v>
      </c>
      <c r="Y971" s="19">
        <f>IF(Table14[[#This Row],[I_0]] &lt; INDEX(Table28[Filtro de ruido],1), 1, Table14[[#This Row],[I_50]] / Table14[[#This Row],[I_0]])</f>
        <v>1</v>
      </c>
      <c r="AA971" s="1"/>
    </row>
    <row r="972" spans="1:27" x14ac:dyDescent="0.3">
      <c r="A972" s="18">
        <v>1032.29</v>
      </c>
      <c r="B972" s="1">
        <v>0</v>
      </c>
      <c r="C972" s="1">
        <v>1032.29</v>
      </c>
      <c r="D972" s="1">
        <v>0</v>
      </c>
      <c r="E972" s="1">
        <v>1032.29</v>
      </c>
      <c r="F972" s="1">
        <v>0</v>
      </c>
      <c r="G972" s="1">
        <v>1032.29</v>
      </c>
      <c r="H972" s="1">
        <v>0</v>
      </c>
      <c r="I972" s="1">
        <v>1032.29</v>
      </c>
      <c r="J972" s="1">
        <v>0</v>
      </c>
      <c r="K972" s="1">
        <v>1032.29</v>
      </c>
      <c r="L972" s="1">
        <v>0</v>
      </c>
      <c r="M972" s="1">
        <v>1032.29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1032.29</v>
      </c>
      <c r="U972" s="1">
        <f>IF(Table14[[#This Row],[I_0]] &lt; INDEX(Table28[Filtro de ruido],1), 1, Table14[[#This Row],[I_10]] / Table14[[#This Row],[I_0]])</f>
        <v>1</v>
      </c>
      <c r="V972" s="1">
        <f>IF(Table14[[#This Row],[I_0]] &lt; INDEX(Table28[Filtro de ruido],1), 1, Table14[[#This Row],[I_20]] / Table14[[#This Row],[I_0]])</f>
        <v>1</v>
      </c>
      <c r="W972" s="1">
        <f>IF(Table14[[#This Row],[I_0]] &lt; INDEX(Table28[Filtro de ruido],1), 1, Table14[[#This Row],[I_30]] / Table14[[#This Row],[I_0]])</f>
        <v>1</v>
      </c>
      <c r="X972" s="1">
        <f>IF(Table14[[#This Row],[I_0]] &lt; INDEX(Table28[Filtro de ruido],1), 1, Table14[[#This Row],[I_40]] / Table14[[#This Row],[I_0]])</f>
        <v>1</v>
      </c>
      <c r="Y972" s="19">
        <f>IF(Table14[[#This Row],[I_0]] &lt; INDEX(Table28[Filtro de ruido],1), 1, Table14[[#This Row],[I_50]] / Table14[[#This Row],[I_0]])</f>
        <v>1</v>
      </c>
      <c r="AA972" s="1"/>
    </row>
    <row r="973" spans="1:27" x14ac:dyDescent="0.3">
      <c r="A973" s="18">
        <v>1033.28</v>
      </c>
      <c r="B973" s="1">
        <v>0</v>
      </c>
      <c r="C973" s="1">
        <v>1033.28</v>
      </c>
      <c r="D973" s="1">
        <v>0</v>
      </c>
      <c r="E973" s="1">
        <v>1033.28</v>
      </c>
      <c r="F973" s="1">
        <v>0</v>
      </c>
      <c r="G973" s="1">
        <v>1033.28</v>
      </c>
      <c r="H973" s="1">
        <v>0</v>
      </c>
      <c r="I973" s="1">
        <v>1033.28</v>
      </c>
      <c r="J973" s="1">
        <v>0</v>
      </c>
      <c r="K973" s="1">
        <v>1033.28</v>
      </c>
      <c r="L973" s="1">
        <v>0</v>
      </c>
      <c r="M973" s="1">
        <v>1033.28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1033.28</v>
      </c>
      <c r="U973" s="1">
        <f>IF(Table14[[#This Row],[I_0]] &lt; INDEX(Table28[Filtro de ruido],1), 1, Table14[[#This Row],[I_10]] / Table14[[#This Row],[I_0]])</f>
        <v>1</v>
      </c>
      <c r="V973" s="1">
        <f>IF(Table14[[#This Row],[I_0]] &lt; INDEX(Table28[Filtro de ruido],1), 1, Table14[[#This Row],[I_20]] / Table14[[#This Row],[I_0]])</f>
        <v>1</v>
      </c>
      <c r="W973" s="1">
        <f>IF(Table14[[#This Row],[I_0]] &lt; INDEX(Table28[Filtro de ruido],1), 1, Table14[[#This Row],[I_30]] / Table14[[#This Row],[I_0]])</f>
        <v>1</v>
      </c>
      <c r="X973" s="1">
        <f>IF(Table14[[#This Row],[I_0]] &lt; INDEX(Table28[Filtro de ruido],1), 1, Table14[[#This Row],[I_40]] / Table14[[#This Row],[I_0]])</f>
        <v>1</v>
      </c>
      <c r="Y973" s="19">
        <f>IF(Table14[[#This Row],[I_0]] &lt; INDEX(Table28[Filtro de ruido],1), 1, Table14[[#This Row],[I_50]] / Table14[[#This Row],[I_0]])</f>
        <v>1</v>
      </c>
      <c r="AA973" s="1"/>
    </row>
    <row r="974" spans="1:27" x14ac:dyDescent="0.3">
      <c r="A974" s="18">
        <v>1034.28</v>
      </c>
      <c r="B974" s="1">
        <v>0</v>
      </c>
      <c r="C974" s="1">
        <v>1034.28</v>
      </c>
      <c r="D974" s="1">
        <v>0</v>
      </c>
      <c r="E974" s="1">
        <v>1034.28</v>
      </c>
      <c r="F974" s="1">
        <v>0</v>
      </c>
      <c r="G974" s="1">
        <v>1034.28</v>
      </c>
      <c r="H974" s="1">
        <v>0</v>
      </c>
      <c r="I974" s="1">
        <v>1034.28</v>
      </c>
      <c r="J974" s="1">
        <v>0</v>
      </c>
      <c r="K974" s="1">
        <v>1034.28</v>
      </c>
      <c r="L974" s="1">
        <v>0</v>
      </c>
      <c r="M974" s="1">
        <v>1034.28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1034.28</v>
      </c>
      <c r="U974" s="1">
        <f>IF(Table14[[#This Row],[I_0]] &lt; INDEX(Table28[Filtro de ruido],1), 1, Table14[[#This Row],[I_10]] / Table14[[#This Row],[I_0]])</f>
        <v>1</v>
      </c>
      <c r="V974" s="1">
        <f>IF(Table14[[#This Row],[I_0]] &lt; INDEX(Table28[Filtro de ruido],1), 1, Table14[[#This Row],[I_20]] / Table14[[#This Row],[I_0]])</f>
        <v>1</v>
      </c>
      <c r="W974" s="1">
        <f>IF(Table14[[#This Row],[I_0]] &lt; INDEX(Table28[Filtro de ruido],1), 1, Table14[[#This Row],[I_30]] / Table14[[#This Row],[I_0]])</f>
        <v>1</v>
      </c>
      <c r="X974" s="1">
        <f>IF(Table14[[#This Row],[I_0]] &lt; INDEX(Table28[Filtro de ruido],1), 1, Table14[[#This Row],[I_40]] / Table14[[#This Row],[I_0]])</f>
        <v>1</v>
      </c>
      <c r="Y974" s="19">
        <f>IF(Table14[[#This Row],[I_0]] &lt; INDEX(Table28[Filtro de ruido],1), 1, Table14[[#This Row],[I_50]] / Table14[[#This Row],[I_0]])</f>
        <v>1</v>
      </c>
      <c r="AA974" s="1"/>
    </row>
    <row r="975" spans="1:27" x14ac:dyDescent="0.3">
      <c r="A975" s="18">
        <v>1035.27</v>
      </c>
      <c r="B975" s="1">
        <v>0</v>
      </c>
      <c r="C975" s="1">
        <v>1035.27</v>
      </c>
      <c r="D975" s="1">
        <v>0</v>
      </c>
      <c r="E975" s="1">
        <v>1035.27</v>
      </c>
      <c r="F975" s="1">
        <v>0</v>
      </c>
      <c r="G975" s="1">
        <v>1035.27</v>
      </c>
      <c r="H975" s="1">
        <v>0</v>
      </c>
      <c r="I975" s="1">
        <v>1035.27</v>
      </c>
      <c r="J975" s="1">
        <v>0</v>
      </c>
      <c r="K975" s="1">
        <v>1035.27</v>
      </c>
      <c r="L975" s="1">
        <v>0</v>
      </c>
      <c r="M975" s="1">
        <v>1035.27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1035.27</v>
      </c>
      <c r="U975" s="1">
        <f>IF(Table14[[#This Row],[I_0]] &lt; INDEX(Table28[Filtro de ruido],1), 1, Table14[[#This Row],[I_10]] / Table14[[#This Row],[I_0]])</f>
        <v>1</v>
      </c>
      <c r="V975" s="1">
        <f>IF(Table14[[#This Row],[I_0]] &lt; INDEX(Table28[Filtro de ruido],1), 1, Table14[[#This Row],[I_20]] / Table14[[#This Row],[I_0]])</f>
        <v>1</v>
      </c>
      <c r="W975" s="1">
        <f>IF(Table14[[#This Row],[I_0]] &lt; INDEX(Table28[Filtro de ruido],1), 1, Table14[[#This Row],[I_30]] / Table14[[#This Row],[I_0]])</f>
        <v>1</v>
      </c>
      <c r="X975" s="1">
        <f>IF(Table14[[#This Row],[I_0]] &lt; INDEX(Table28[Filtro de ruido],1), 1, Table14[[#This Row],[I_40]] / Table14[[#This Row],[I_0]])</f>
        <v>1</v>
      </c>
      <c r="Y975" s="19">
        <f>IF(Table14[[#This Row],[I_0]] &lt; INDEX(Table28[Filtro de ruido],1), 1, Table14[[#This Row],[I_50]] / Table14[[#This Row],[I_0]])</f>
        <v>1</v>
      </c>
      <c r="AA975" s="1"/>
    </row>
    <row r="976" spans="1:27" x14ac:dyDescent="0.3">
      <c r="A976" s="18">
        <v>1036.26</v>
      </c>
      <c r="B976" s="1">
        <v>0</v>
      </c>
      <c r="C976" s="1">
        <v>1036.26</v>
      </c>
      <c r="D976" s="1">
        <v>0</v>
      </c>
      <c r="E976" s="1">
        <v>1036.26</v>
      </c>
      <c r="F976" s="1">
        <v>0</v>
      </c>
      <c r="G976" s="1">
        <v>1036.26</v>
      </c>
      <c r="H976" s="1">
        <v>0</v>
      </c>
      <c r="I976" s="1">
        <v>1036.26</v>
      </c>
      <c r="J976" s="1">
        <v>0</v>
      </c>
      <c r="K976" s="1">
        <v>1036.26</v>
      </c>
      <c r="L976" s="1">
        <v>0</v>
      </c>
      <c r="M976" s="1">
        <v>1036.26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1036.26</v>
      </c>
      <c r="U976" s="1">
        <f>IF(Table14[[#This Row],[I_0]] &lt; INDEX(Table28[Filtro de ruido],1), 1, Table14[[#This Row],[I_10]] / Table14[[#This Row],[I_0]])</f>
        <v>1</v>
      </c>
      <c r="V976" s="1">
        <f>IF(Table14[[#This Row],[I_0]] &lt; INDEX(Table28[Filtro de ruido],1), 1, Table14[[#This Row],[I_20]] / Table14[[#This Row],[I_0]])</f>
        <v>1</v>
      </c>
      <c r="W976" s="1">
        <f>IF(Table14[[#This Row],[I_0]] &lt; INDEX(Table28[Filtro de ruido],1), 1, Table14[[#This Row],[I_30]] / Table14[[#This Row],[I_0]])</f>
        <v>1</v>
      </c>
      <c r="X976" s="1">
        <f>IF(Table14[[#This Row],[I_0]] &lt; INDEX(Table28[Filtro de ruido],1), 1, Table14[[#This Row],[I_40]] / Table14[[#This Row],[I_0]])</f>
        <v>1</v>
      </c>
      <c r="Y976" s="19">
        <f>IF(Table14[[#This Row],[I_0]] &lt; INDEX(Table28[Filtro de ruido],1), 1, Table14[[#This Row],[I_50]] / Table14[[#This Row],[I_0]])</f>
        <v>1</v>
      </c>
      <c r="AA976" s="1"/>
    </row>
    <row r="977" spans="1:27" x14ac:dyDescent="0.3">
      <c r="A977" s="18">
        <v>1037.25</v>
      </c>
      <c r="B977" s="1">
        <v>0</v>
      </c>
      <c r="C977" s="1">
        <v>1037.25</v>
      </c>
      <c r="D977" s="1">
        <v>0</v>
      </c>
      <c r="E977" s="1">
        <v>1037.25</v>
      </c>
      <c r="F977" s="1">
        <v>0</v>
      </c>
      <c r="G977" s="1">
        <v>1037.25</v>
      </c>
      <c r="H977" s="1">
        <v>0</v>
      </c>
      <c r="I977" s="1">
        <v>1037.25</v>
      </c>
      <c r="J977" s="1">
        <v>0</v>
      </c>
      <c r="K977" s="1">
        <v>1037.25</v>
      </c>
      <c r="L977" s="1">
        <v>0</v>
      </c>
      <c r="M977" s="1">
        <v>1037.25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1037.25</v>
      </c>
      <c r="U977" s="1">
        <f>IF(Table14[[#This Row],[I_0]] &lt; INDEX(Table28[Filtro de ruido],1), 1, Table14[[#This Row],[I_10]] / Table14[[#This Row],[I_0]])</f>
        <v>1</v>
      </c>
      <c r="V977" s="1">
        <f>IF(Table14[[#This Row],[I_0]] &lt; INDEX(Table28[Filtro de ruido],1), 1, Table14[[#This Row],[I_20]] / Table14[[#This Row],[I_0]])</f>
        <v>1</v>
      </c>
      <c r="W977" s="1">
        <f>IF(Table14[[#This Row],[I_0]] &lt; INDEX(Table28[Filtro de ruido],1), 1, Table14[[#This Row],[I_30]] / Table14[[#This Row],[I_0]])</f>
        <v>1</v>
      </c>
      <c r="X977" s="1">
        <f>IF(Table14[[#This Row],[I_0]] &lt; INDEX(Table28[Filtro de ruido],1), 1, Table14[[#This Row],[I_40]] / Table14[[#This Row],[I_0]])</f>
        <v>1</v>
      </c>
      <c r="Y977" s="19">
        <f>IF(Table14[[#This Row],[I_0]] &lt; INDEX(Table28[Filtro de ruido],1), 1, Table14[[#This Row],[I_50]] / Table14[[#This Row],[I_0]])</f>
        <v>1</v>
      </c>
      <c r="AA977" s="1"/>
    </row>
    <row r="978" spans="1:27" x14ac:dyDescent="0.3">
      <c r="A978" s="18">
        <v>1038.24</v>
      </c>
      <c r="B978" s="1">
        <v>0</v>
      </c>
      <c r="C978" s="1">
        <v>1038.24</v>
      </c>
      <c r="D978" s="1">
        <v>0</v>
      </c>
      <c r="E978" s="1">
        <v>1038.24</v>
      </c>
      <c r="F978" s="1">
        <v>0</v>
      </c>
      <c r="G978" s="1">
        <v>1038.24</v>
      </c>
      <c r="H978" s="1">
        <v>0</v>
      </c>
      <c r="I978" s="1">
        <v>1038.24</v>
      </c>
      <c r="J978" s="1">
        <v>0</v>
      </c>
      <c r="K978" s="1">
        <v>1038.24</v>
      </c>
      <c r="L978" s="1">
        <v>0</v>
      </c>
      <c r="M978" s="1">
        <v>1038.24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1038.24</v>
      </c>
      <c r="U978" s="1">
        <f>IF(Table14[[#This Row],[I_0]] &lt; INDEX(Table28[Filtro de ruido],1), 1, Table14[[#This Row],[I_10]] / Table14[[#This Row],[I_0]])</f>
        <v>1</v>
      </c>
      <c r="V978" s="1">
        <f>IF(Table14[[#This Row],[I_0]] &lt; INDEX(Table28[Filtro de ruido],1), 1, Table14[[#This Row],[I_20]] / Table14[[#This Row],[I_0]])</f>
        <v>1</v>
      </c>
      <c r="W978" s="1">
        <f>IF(Table14[[#This Row],[I_0]] &lt; INDEX(Table28[Filtro de ruido],1), 1, Table14[[#This Row],[I_30]] / Table14[[#This Row],[I_0]])</f>
        <v>1</v>
      </c>
      <c r="X978" s="1">
        <f>IF(Table14[[#This Row],[I_0]] &lt; INDEX(Table28[Filtro de ruido],1), 1, Table14[[#This Row],[I_40]] / Table14[[#This Row],[I_0]])</f>
        <v>1</v>
      </c>
      <c r="Y978" s="19">
        <f>IF(Table14[[#This Row],[I_0]] &lt; INDEX(Table28[Filtro de ruido],1), 1, Table14[[#This Row],[I_50]] / Table14[[#This Row],[I_0]])</f>
        <v>1</v>
      </c>
      <c r="AA978" s="1"/>
    </row>
    <row r="979" spans="1:27" x14ac:dyDescent="0.3">
      <c r="A979" s="18">
        <v>1039.23</v>
      </c>
      <c r="B979" s="1">
        <v>0</v>
      </c>
      <c r="C979" s="1">
        <v>1039.23</v>
      </c>
      <c r="D979" s="1">
        <v>0</v>
      </c>
      <c r="E979" s="1">
        <v>1039.23</v>
      </c>
      <c r="F979" s="1">
        <v>0</v>
      </c>
      <c r="G979" s="1">
        <v>1039.23</v>
      </c>
      <c r="H979" s="1">
        <v>0</v>
      </c>
      <c r="I979" s="1">
        <v>1039.23</v>
      </c>
      <c r="J979" s="1">
        <v>0</v>
      </c>
      <c r="K979" s="1">
        <v>1039.23</v>
      </c>
      <c r="L979" s="1">
        <v>0</v>
      </c>
      <c r="M979" s="1">
        <v>1039.23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1039.23</v>
      </c>
      <c r="U979" s="1">
        <f>IF(Table14[[#This Row],[I_0]] &lt; INDEX(Table28[Filtro de ruido],1), 1, Table14[[#This Row],[I_10]] / Table14[[#This Row],[I_0]])</f>
        <v>1</v>
      </c>
      <c r="V979" s="1">
        <f>IF(Table14[[#This Row],[I_0]] &lt; INDEX(Table28[Filtro de ruido],1), 1, Table14[[#This Row],[I_20]] / Table14[[#This Row],[I_0]])</f>
        <v>1</v>
      </c>
      <c r="W979" s="1">
        <f>IF(Table14[[#This Row],[I_0]] &lt; INDEX(Table28[Filtro de ruido],1), 1, Table14[[#This Row],[I_30]] / Table14[[#This Row],[I_0]])</f>
        <v>1</v>
      </c>
      <c r="X979" s="1">
        <f>IF(Table14[[#This Row],[I_0]] &lt; INDEX(Table28[Filtro de ruido],1), 1, Table14[[#This Row],[I_40]] / Table14[[#This Row],[I_0]])</f>
        <v>1</v>
      </c>
      <c r="Y979" s="19">
        <f>IF(Table14[[#This Row],[I_0]] &lt; INDEX(Table28[Filtro de ruido],1), 1, Table14[[#This Row],[I_50]] / Table14[[#This Row],[I_0]])</f>
        <v>1</v>
      </c>
      <c r="AA979" s="1"/>
    </row>
    <row r="980" spans="1:27" x14ac:dyDescent="0.3">
      <c r="A980" s="18">
        <v>1040.23</v>
      </c>
      <c r="B980" s="1">
        <v>0</v>
      </c>
      <c r="C980" s="1">
        <v>1040.23</v>
      </c>
      <c r="D980" s="1">
        <v>0</v>
      </c>
      <c r="E980" s="1">
        <v>1040.23</v>
      </c>
      <c r="F980" s="1">
        <v>0</v>
      </c>
      <c r="G980" s="1">
        <v>1040.23</v>
      </c>
      <c r="H980" s="1">
        <v>0</v>
      </c>
      <c r="I980" s="1">
        <v>1040.23</v>
      </c>
      <c r="J980" s="1">
        <v>0</v>
      </c>
      <c r="K980" s="1">
        <v>1040.23</v>
      </c>
      <c r="L980" s="1">
        <v>0</v>
      </c>
      <c r="M980" s="1">
        <v>1040.23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1040.23</v>
      </c>
      <c r="U980" s="1">
        <f>IF(Table14[[#This Row],[I_0]] &lt; INDEX(Table28[Filtro de ruido],1), 1, Table14[[#This Row],[I_10]] / Table14[[#This Row],[I_0]])</f>
        <v>1</v>
      </c>
      <c r="V980" s="1">
        <f>IF(Table14[[#This Row],[I_0]] &lt; INDEX(Table28[Filtro de ruido],1), 1, Table14[[#This Row],[I_20]] / Table14[[#This Row],[I_0]])</f>
        <v>1</v>
      </c>
      <c r="W980" s="1">
        <f>IF(Table14[[#This Row],[I_0]] &lt; INDEX(Table28[Filtro de ruido],1), 1, Table14[[#This Row],[I_30]] / Table14[[#This Row],[I_0]])</f>
        <v>1</v>
      </c>
      <c r="X980" s="1">
        <f>IF(Table14[[#This Row],[I_0]] &lt; INDEX(Table28[Filtro de ruido],1), 1, Table14[[#This Row],[I_40]] / Table14[[#This Row],[I_0]])</f>
        <v>1</v>
      </c>
      <c r="Y980" s="19">
        <f>IF(Table14[[#This Row],[I_0]] &lt; INDEX(Table28[Filtro de ruido],1), 1, Table14[[#This Row],[I_50]] / Table14[[#This Row],[I_0]])</f>
        <v>1</v>
      </c>
      <c r="AA980" s="1"/>
    </row>
    <row r="981" spans="1:27" x14ac:dyDescent="0.3">
      <c r="A981" s="18">
        <v>1041.22</v>
      </c>
      <c r="B981" s="1">
        <v>0</v>
      </c>
      <c r="C981" s="1">
        <v>1041.22</v>
      </c>
      <c r="D981" s="1">
        <v>0</v>
      </c>
      <c r="E981" s="1">
        <v>1041.22</v>
      </c>
      <c r="F981" s="1">
        <v>0</v>
      </c>
      <c r="G981" s="1">
        <v>1041.22</v>
      </c>
      <c r="H981" s="1">
        <v>0</v>
      </c>
      <c r="I981" s="1">
        <v>1041.22</v>
      </c>
      <c r="J981" s="1">
        <v>0</v>
      </c>
      <c r="K981" s="1">
        <v>1041.22</v>
      </c>
      <c r="L981" s="1">
        <v>0</v>
      </c>
      <c r="M981" s="1">
        <v>1041.22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1041.22</v>
      </c>
      <c r="U981" s="1">
        <f>IF(Table14[[#This Row],[I_0]] &lt; INDEX(Table28[Filtro de ruido],1), 1, Table14[[#This Row],[I_10]] / Table14[[#This Row],[I_0]])</f>
        <v>1</v>
      </c>
      <c r="V981" s="1">
        <f>IF(Table14[[#This Row],[I_0]] &lt; INDEX(Table28[Filtro de ruido],1), 1, Table14[[#This Row],[I_20]] / Table14[[#This Row],[I_0]])</f>
        <v>1</v>
      </c>
      <c r="W981" s="1">
        <f>IF(Table14[[#This Row],[I_0]] &lt; INDEX(Table28[Filtro de ruido],1), 1, Table14[[#This Row],[I_30]] / Table14[[#This Row],[I_0]])</f>
        <v>1</v>
      </c>
      <c r="X981" s="1">
        <f>IF(Table14[[#This Row],[I_0]] &lt; INDEX(Table28[Filtro de ruido],1), 1, Table14[[#This Row],[I_40]] / Table14[[#This Row],[I_0]])</f>
        <v>1</v>
      </c>
      <c r="Y981" s="19">
        <f>IF(Table14[[#This Row],[I_0]] &lt; INDEX(Table28[Filtro de ruido],1), 1, Table14[[#This Row],[I_50]] / Table14[[#This Row],[I_0]])</f>
        <v>1</v>
      </c>
      <c r="AA981" s="1"/>
    </row>
    <row r="982" spans="1:27" x14ac:dyDescent="0.3">
      <c r="A982" s="18">
        <v>1042.21</v>
      </c>
      <c r="B982" s="1">
        <v>0</v>
      </c>
      <c r="C982" s="1">
        <v>1042.21</v>
      </c>
      <c r="D982" s="1">
        <v>0</v>
      </c>
      <c r="E982" s="1">
        <v>1042.21</v>
      </c>
      <c r="F982" s="1">
        <v>0</v>
      </c>
      <c r="G982" s="1">
        <v>1042.21</v>
      </c>
      <c r="H982" s="1">
        <v>0</v>
      </c>
      <c r="I982" s="1">
        <v>1042.21</v>
      </c>
      <c r="J982" s="1">
        <v>0</v>
      </c>
      <c r="K982" s="1">
        <v>1042.21</v>
      </c>
      <c r="L982" s="1">
        <v>0</v>
      </c>
      <c r="M982" s="1">
        <v>1042.21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1042.21</v>
      </c>
      <c r="U982" s="1">
        <f>IF(Table14[[#This Row],[I_0]] &lt; INDEX(Table28[Filtro de ruido],1), 1, Table14[[#This Row],[I_10]] / Table14[[#This Row],[I_0]])</f>
        <v>1</v>
      </c>
      <c r="V982" s="1">
        <f>IF(Table14[[#This Row],[I_0]] &lt; INDEX(Table28[Filtro de ruido],1), 1, Table14[[#This Row],[I_20]] / Table14[[#This Row],[I_0]])</f>
        <v>1</v>
      </c>
      <c r="W982" s="1">
        <f>IF(Table14[[#This Row],[I_0]] &lt; INDEX(Table28[Filtro de ruido],1), 1, Table14[[#This Row],[I_30]] / Table14[[#This Row],[I_0]])</f>
        <v>1</v>
      </c>
      <c r="X982" s="1">
        <f>IF(Table14[[#This Row],[I_0]] &lt; INDEX(Table28[Filtro de ruido],1), 1, Table14[[#This Row],[I_40]] / Table14[[#This Row],[I_0]])</f>
        <v>1</v>
      </c>
      <c r="Y982" s="19">
        <f>IF(Table14[[#This Row],[I_0]] &lt; INDEX(Table28[Filtro de ruido],1), 1, Table14[[#This Row],[I_50]] / Table14[[#This Row],[I_0]])</f>
        <v>1</v>
      </c>
      <c r="AA982" s="1"/>
    </row>
    <row r="983" spans="1:27" x14ac:dyDescent="0.3">
      <c r="A983" s="18">
        <v>1043.2</v>
      </c>
      <c r="B983" s="1">
        <v>0</v>
      </c>
      <c r="C983" s="1">
        <v>1043.2</v>
      </c>
      <c r="D983" s="1">
        <v>0</v>
      </c>
      <c r="E983" s="1">
        <v>1043.2</v>
      </c>
      <c r="F983" s="1">
        <v>0</v>
      </c>
      <c r="G983" s="1">
        <v>1043.2</v>
      </c>
      <c r="H983" s="1">
        <v>0</v>
      </c>
      <c r="I983" s="1">
        <v>1043.2</v>
      </c>
      <c r="J983" s="1">
        <v>0</v>
      </c>
      <c r="K983" s="1">
        <v>1043.2</v>
      </c>
      <c r="L983" s="1">
        <v>0</v>
      </c>
      <c r="M983" s="1">
        <v>1043.2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1043.2</v>
      </c>
      <c r="U983" s="1">
        <f>IF(Table14[[#This Row],[I_0]] &lt; INDEX(Table28[Filtro de ruido],1), 1, Table14[[#This Row],[I_10]] / Table14[[#This Row],[I_0]])</f>
        <v>1</v>
      </c>
      <c r="V983" s="1">
        <f>IF(Table14[[#This Row],[I_0]] &lt; INDEX(Table28[Filtro de ruido],1), 1, Table14[[#This Row],[I_20]] / Table14[[#This Row],[I_0]])</f>
        <v>1</v>
      </c>
      <c r="W983" s="1">
        <f>IF(Table14[[#This Row],[I_0]] &lt; INDEX(Table28[Filtro de ruido],1), 1, Table14[[#This Row],[I_30]] / Table14[[#This Row],[I_0]])</f>
        <v>1</v>
      </c>
      <c r="X983" s="1">
        <f>IF(Table14[[#This Row],[I_0]] &lt; INDEX(Table28[Filtro de ruido],1), 1, Table14[[#This Row],[I_40]] / Table14[[#This Row],[I_0]])</f>
        <v>1</v>
      </c>
      <c r="Y983" s="19">
        <f>IF(Table14[[#This Row],[I_0]] &lt; INDEX(Table28[Filtro de ruido],1), 1, Table14[[#This Row],[I_50]] / Table14[[#This Row],[I_0]])</f>
        <v>1</v>
      </c>
      <c r="AA983" s="1"/>
    </row>
    <row r="984" spans="1:27" x14ac:dyDescent="0.3">
      <c r="A984" s="18">
        <v>1044.19</v>
      </c>
      <c r="B984" s="1">
        <v>0</v>
      </c>
      <c r="C984" s="1">
        <v>1044.19</v>
      </c>
      <c r="D984" s="1">
        <v>0</v>
      </c>
      <c r="E984" s="1">
        <v>1044.19</v>
      </c>
      <c r="F984" s="1">
        <v>0</v>
      </c>
      <c r="G984" s="1">
        <v>1044.19</v>
      </c>
      <c r="H984" s="1">
        <v>0</v>
      </c>
      <c r="I984" s="1">
        <v>1044.19</v>
      </c>
      <c r="J984" s="1">
        <v>0</v>
      </c>
      <c r="K984" s="1">
        <v>1044.19</v>
      </c>
      <c r="L984" s="1">
        <v>0</v>
      </c>
      <c r="M984" s="1">
        <v>1044.19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1044.19</v>
      </c>
      <c r="U984" s="1">
        <f>IF(Table14[[#This Row],[I_0]] &lt; INDEX(Table28[Filtro de ruido],1), 1, Table14[[#This Row],[I_10]] / Table14[[#This Row],[I_0]])</f>
        <v>1</v>
      </c>
      <c r="V984" s="1">
        <f>IF(Table14[[#This Row],[I_0]] &lt; INDEX(Table28[Filtro de ruido],1), 1, Table14[[#This Row],[I_20]] / Table14[[#This Row],[I_0]])</f>
        <v>1</v>
      </c>
      <c r="W984" s="1">
        <f>IF(Table14[[#This Row],[I_0]] &lt; INDEX(Table28[Filtro de ruido],1), 1, Table14[[#This Row],[I_30]] / Table14[[#This Row],[I_0]])</f>
        <v>1</v>
      </c>
      <c r="X984" s="1">
        <f>IF(Table14[[#This Row],[I_0]] &lt; INDEX(Table28[Filtro de ruido],1), 1, Table14[[#This Row],[I_40]] / Table14[[#This Row],[I_0]])</f>
        <v>1</v>
      </c>
      <c r="Y984" s="19">
        <f>IF(Table14[[#This Row],[I_0]] &lt; INDEX(Table28[Filtro de ruido],1), 1, Table14[[#This Row],[I_50]] / Table14[[#This Row],[I_0]])</f>
        <v>1</v>
      </c>
      <c r="AA984" s="1"/>
    </row>
    <row r="985" spans="1:27" x14ac:dyDescent="0.3">
      <c r="A985" s="18">
        <v>1045.19</v>
      </c>
      <c r="B985" s="1">
        <v>0</v>
      </c>
      <c r="C985" s="1">
        <v>1045.19</v>
      </c>
      <c r="D985" s="1">
        <v>0</v>
      </c>
      <c r="E985" s="1">
        <v>1045.19</v>
      </c>
      <c r="F985" s="1">
        <v>0</v>
      </c>
      <c r="G985" s="1">
        <v>1045.19</v>
      </c>
      <c r="H985" s="1">
        <v>0</v>
      </c>
      <c r="I985" s="1">
        <v>1045.19</v>
      </c>
      <c r="J985" s="1">
        <v>0</v>
      </c>
      <c r="K985" s="1">
        <v>1045.19</v>
      </c>
      <c r="L985" s="1">
        <v>0</v>
      </c>
      <c r="M985" s="1">
        <v>1045.19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1045.19</v>
      </c>
      <c r="U985" s="1">
        <f>IF(Table14[[#This Row],[I_0]] &lt; INDEX(Table28[Filtro de ruido],1), 1, Table14[[#This Row],[I_10]] / Table14[[#This Row],[I_0]])</f>
        <v>1</v>
      </c>
      <c r="V985" s="1">
        <f>IF(Table14[[#This Row],[I_0]] &lt; INDEX(Table28[Filtro de ruido],1), 1, Table14[[#This Row],[I_20]] / Table14[[#This Row],[I_0]])</f>
        <v>1</v>
      </c>
      <c r="W985" s="1">
        <f>IF(Table14[[#This Row],[I_0]] &lt; INDEX(Table28[Filtro de ruido],1), 1, Table14[[#This Row],[I_30]] / Table14[[#This Row],[I_0]])</f>
        <v>1</v>
      </c>
      <c r="X985" s="1">
        <f>IF(Table14[[#This Row],[I_0]] &lt; INDEX(Table28[Filtro de ruido],1), 1, Table14[[#This Row],[I_40]] / Table14[[#This Row],[I_0]])</f>
        <v>1</v>
      </c>
      <c r="Y985" s="19">
        <f>IF(Table14[[#This Row],[I_0]] &lt; INDEX(Table28[Filtro de ruido],1), 1, Table14[[#This Row],[I_50]] / Table14[[#This Row],[I_0]])</f>
        <v>1</v>
      </c>
      <c r="AA985" s="1"/>
    </row>
    <row r="986" spans="1:27" x14ac:dyDescent="0.3">
      <c r="A986" s="18">
        <v>1046.18</v>
      </c>
      <c r="B986" s="1">
        <v>0</v>
      </c>
      <c r="C986" s="1">
        <v>1046.18</v>
      </c>
      <c r="D986" s="1">
        <v>0</v>
      </c>
      <c r="E986" s="1">
        <v>1046.18</v>
      </c>
      <c r="F986" s="1">
        <v>0</v>
      </c>
      <c r="G986" s="1">
        <v>1046.18</v>
      </c>
      <c r="H986" s="1">
        <v>0</v>
      </c>
      <c r="I986" s="1">
        <v>1046.18</v>
      </c>
      <c r="J986" s="1">
        <v>0</v>
      </c>
      <c r="K986" s="1">
        <v>1046.18</v>
      </c>
      <c r="L986" s="1">
        <v>0</v>
      </c>
      <c r="M986" s="1">
        <v>1046.18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1046.18</v>
      </c>
      <c r="U986" s="1">
        <f>IF(Table14[[#This Row],[I_0]] &lt; INDEX(Table28[Filtro de ruido],1), 1, Table14[[#This Row],[I_10]] / Table14[[#This Row],[I_0]])</f>
        <v>1</v>
      </c>
      <c r="V986" s="1">
        <f>IF(Table14[[#This Row],[I_0]] &lt; INDEX(Table28[Filtro de ruido],1), 1, Table14[[#This Row],[I_20]] / Table14[[#This Row],[I_0]])</f>
        <v>1</v>
      </c>
      <c r="W986" s="1">
        <f>IF(Table14[[#This Row],[I_0]] &lt; INDEX(Table28[Filtro de ruido],1), 1, Table14[[#This Row],[I_30]] / Table14[[#This Row],[I_0]])</f>
        <v>1</v>
      </c>
      <c r="X986" s="1">
        <f>IF(Table14[[#This Row],[I_0]] &lt; INDEX(Table28[Filtro de ruido],1), 1, Table14[[#This Row],[I_40]] / Table14[[#This Row],[I_0]])</f>
        <v>1</v>
      </c>
      <c r="Y986" s="19">
        <f>IF(Table14[[#This Row],[I_0]] &lt; INDEX(Table28[Filtro de ruido],1), 1, Table14[[#This Row],[I_50]] / Table14[[#This Row],[I_0]])</f>
        <v>1</v>
      </c>
      <c r="AA986" s="1"/>
    </row>
    <row r="987" spans="1:27" x14ac:dyDescent="0.3">
      <c r="A987" s="18">
        <v>1047.17</v>
      </c>
      <c r="B987" s="1">
        <v>0</v>
      </c>
      <c r="C987" s="1">
        <v>1047.17</v>
      </c>
      <c r="D987" s="1">
        <v>0</v>
      </c>
      <c r="E987" s="1">
        <v>1047.17</v>
      </c>
      <c r="F987" s="1">
        <v>0</v>
      </c>
      <c r="G987" s="1">
        <v>1047.17</v>
      </c>
      <c r="H987" s="1">
        <v>0</v>
      </c>
      <c r="I987" s="1">
        <v>1047.17</v>
      </c>
      <c r="J987" s="1">
        <v>0</v>
      </c>
      <c r="K987" s="1">
        <v>1047.17</v>
      </c>
      <c r="L987" s="1">
        <v>0</v>
      </c>
      <c r="M987" s="1">
        <v>1047.17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1047.17</v>
      </c>
      <c r="U987" s="1">
        <f>IF(Table14[[#This Row],[I_0]] &lt; INDEX(Table28[Filtro de ruido],1), 1, Table14[[#This Row],[I_10]] / Table14[[#This Row],[I_0]])</f>
        <v>1</v>
      </c>
      <c r="V987" s="1">
        <f>IF(Table14[[#This Row],[I_0]] &lt; INDEX(Table28[Filtro de ruido],1), 1, Table14[[#This Row],[I_20]] / Table14[[#This Row],[I_0]])</f>
        <v>1</v>
      </c>
      <c r="W987" s="1">
        <f>IF(Table14[[#This Row],[I_0]] &lt; INDEX(Table28[Filtro de ruido],1), 1, Table14[[#This Row],[I_30]] / Table14[[#This Row],[I_0]])</f>
        <v>1</v>
      </c>
      <c r="X987" s="1">
        <f>IF(Table14[[#This Row],[I_0]] &lt; INDEX(Table28[Filtro de ruido],1), 1, Table14[[#This Row],[I_40]] / Table14[[#This Row],[I_0]])</f>
        <v>1</v>
      </c>
      <c r="Y987" s="19">
        <f>IF(Table14[[#This Row],[I_0]] &lt; INDEX(Table28[Filtro de ruido],1), 1, Table14[[#This Row],[I_50]] / Table14[[#This Row],[I_0]])</f>
        <v>1</v>
      </c>
      <c r="AA987" s="1"/>
    </row>
    <row r="988" spans="1:27" x14ac:dyDescent="0.3">
      <c r="A988" s="18">
        <v>1048.1600000000001</v>
      </c>
      <c r="B988" s="1">
        <v>0</v>
      </c>
      <c r="C988" s="1">
        <v>1048.1600000000001</v>
      </c>
      <c r="D988" s="1">
        <v>0</v>
      </c>
      <c r="E988" s="1">
        <v>1048.1600000000001</v>
      </c>
      <c r="F988" s="1">
        <v>0</v>
      </c>
      <c r="G988" s="1">
        <v>1048.1600000000001</v>
      </c>
      <c r="H988" s="1">
        <v>0</v>
      </c>
      <c r="I988" s="1">
        <v>1048.1600000000001</v>
      </c>
      <c r="J988" s="1">
        <v>0</v>
      </c>
      <c r="K988" s="1">
        <v>1048.1600000000001</v>
      </c>
      <c r="L988" s="1">
        <v>0</v>
      </c>
      <c r="M988" s="1">
        <v>1048.1600000000001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1048.1600000000001</v>
      </c>
      <c r="U988" s="1">
        <f>IF(Table14[[#This Row],[I_0]] &lt; INDEX(Table28[Filtro de ruido],1), 1, Table14[[#This Row],[I_10]] / Table14[[#This Row],[I_0]])</f>
        <v>1</v>
      </c>
      <c r="V988" s="1">
        <f>IF(Table14[[#This Row],[I_0]] &lt; INDEX(Table28[Filtro de ruido],1), 1, Table14[[#This Row],[I_20]] / Table14[[#This Row],[I_0]])</f>
        <v>1</v>
      </c>
      <c r="W988" s="1">
        <f>IF(Table14[[#This Row],[I_0]] &lt; INDEX(Table28[Filtro de ruido],1), 1, Table14[[#This Row],[I_30]] / Table14[[#This Row],[I_0]])</f>
        <v>1</v>
      </c>
      <c r="X988" s="1">
        <f>IF(Table14[[#This Row],[I_0]] &lt; INDEX(Table28[Filtro de ruido],1), 1, Table14[[#This Row],[I_40]] / Table14[[#This Row],[I_0]])</f>
        <v>1</v>
      </c>
      <c r="Y988" s="19">
        <f>IF(Table14[[#This Row],[I_0]] &lt; INDEX(Table28[Filtro de ruido],1), 1, Table14[[#This Row],[I_50]] / Table14[[#This Row],[I_0]])</f>
        <v>1</v>
      </c>
      <c r="AA988" s="1"/>
    </row>
    <row r="989" spans="1:27" x14ac:dyDescent="0.3">
      <c r="A989" s="18">
        <v>1049.1500000000001</v>
      </c>
      <c r="B989" s="1">
        <v>0</v>
      </c>
      <c r="C989" s="1">
        <v>1049.1500000000001</v>
      </c>
      <c r="D989" s="1">
        <v>0</v>
      </c>
      <c r="E989" s="1">
        <v>1049.1500000000001</v>
      </c>
      <c r="F989" s="1">
        <v>0</v>
      </c>
      <c r="G989" s="1">
        <v>1049.1500000000001</v>
      </c>
      <c r="H989" s="1">
        <v>0</v>
      </c>
      <c r="I989" s="1">
        <v>1049.1500000000001</v>
      </c>
      <c r="J989" s="1">
        <v>0</v>
      </c>
      <c r="K989" s="1">
        <v>1049.1500000000001</v>
      </c>
      <c r="L989" s="1">
        <v>0</v>
      </c>
      <c r="M989" s="1">
        <v>1049.1500000000001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1049.1500000000001</v>
      </c>
      <c r="U989" s="1">
        <f>IF(Table14[[#This Row],[I_0]] &lt; INDEX(Table28[Filtro de ruido],1), 1, Table14[[#This Row],[I_10]] / Table14[[#This Row],[I_0]])</f>
        <v>1</v>
      </c>
      <c r="V989" s="1">
        <f>IF(Table14[[#This Row],[I_0]] &lt; INDEX(Table28[Filtro de ruido],1), 1, Table14[[#This Row],[I_20]] / Table14[[#This Row],[I_0]])</f>
        <v>1</v>
      </c>
      <c r="W989" s="1">
        <f>IF(Table14[[#This Row],[I_0]] &lt; INDEX(Table28[Filtro de ruido],1), 1, Table14[[#This Row],[I_30]] / Table14[[#This Row],[I_0]])</f>
        <v>1</v>
      </c>
      <c r="X989" s="1">
        <f>IF(Table14[[#This Row],[I_0]] &lt; INDEX(Table28[Filtro de ruido],1), 1, Table14[[#This Row],[I_40]] / Table14[[#This Row],[I_0]])</f>
        <v>1</v>
      </c>
      <c r="Y989" s="19">
        <f>IF(Table14[[#This Row],[I_0]] &lt; INDEX(Table28[Filtro de ruido],1), 1, Table14[[#This Row],[I_50]] / Table14[[#This Row],[I_0]])</f>
        <v>1</v>
      </c>
      <c r="AA989" s="1"/>
    </row>
    <row r="990" spans="1:27" x14ac:dyDescent="0.3">
      <c r="A990" s="18">
        <v>1050.1400000000001</v>
      </c>
      <c r="B990" s="1">
        <v>0</v>
      </c>
      <c r="C990" s="1">
        <v>1050.1400000000001</v>
      </c>
      <c r="D990" s="1">
        <v>0</v>
      </c>
      <c r="E990" s="1">
        <v>1050.1400000000001</v>
      </c>
      <c r="F990" s="1">
        <v>0</v>
      </c>
      <c r="G990" s="1">
        <v>1050.1400000000001</v>
      </c>
      <c r="H990" s="1">
        <v>0</v>
      </c>
      <c r="I990" s="1">
        <v>1050.1400000000001</v>
      </c>
      <c r="J990" s="1">
        <v>0</v>
      </c>
      <c r="K990" s="1">
        <v>1050.1400000000001</v>
      </c>
      <c r="L990" s="1">
        <v>0</v>
      </c>
      <c r="M990" s="1">
        <v>1050.1400000000001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1050.1400000000001</v>
      </c>
      <c r="U990" s="1">
        <f>IF(Table14[[#This Row],[I_0]] &lt; INDEX(Table28[Filtro de ruido],1), 1, Table14[[#This Row],[I_10]] / Table14[[#This Row],[I_0]])</f>
        <v>1</v>
      </c>
      <c r="V990" s="1">
        <f>IF(Table14[[#This Row],[I_0]] &lt; INDEX(Table28[Filtro de ruido],1), 1, Table14[[#This Row],[I_20]] / Table14[[#This Row],[I_0]])</f>
        <v>1</v>
      </c>
      <c r="W990" s="1">
        <f>IF(Table14[[#This Row],[I_0]] &lt; INDEX(Table28[Filtro de ruido],1), 1, Table14[[#This Row],[I_30]] / Table14[[#This Row],[I_0]])</f>
        <v>1</v>
      </c>
      <c r="X990" s="1">
        <f>IF(Table14[[#This Row],[I_0]] &lt; INDEX(Table28[Filtro de ruido],1), 1, Table14[[#This Row],[I_40]] / Table14[[#This Row],[I_0]])</f>
        <v>1</v>
      </c>
      <c r="Y990" s="19">
        <f>IF(Table14[[#This Row],[I_0]] &lt; INDEX(Table28[Filtro de ruido],1), 1, Table14[[#This Row],[I_50]] / Table14[[#This Row],[I_0]])</f>
        <v>1</v>
      </c>
      <c r="AA990" s="1"/>
    </row>
    <row r="991" spans="1:27" x14ac:dyDescent="0.3">
      <c r="A991" s="18">
        <v>1051.1400000000001</v>
      </c>
      <c r="B991" s="1">
        <v>0</v>
      </c>
      <c r="C991" s="1">
        <v>1051.1400000000001</v>
      </c>
      <c r="D991" s="1">
        <v>0</v>
      </c>
      <c r="E991" s="1">
        <v>1051.1400000000001</v>
      </c>
      <c r="F991" s="1">
        <v>0</v>
      </c>
      <c r="G991" s="1">
        <v>1051.1400000000001</v>
      </c>
      <c r="H991" s="1">
        <v>0</v>
      </c>
      <c r="I991" s="1">
        <v>1051.1400000000001</v>
      </c>
      <c r="J991" s="1">
        <v>0</v>
      </c>
      <c r="K991" s="1">
        <v>1051.1400000000001</v>
      </c>
      <c r="L991" s="1">
        <v>0</v>
      </c>
      <c r="M991" s="1">
        <v>1051.1400000000001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1051.1400000000001</v>
      </c>
      <c r="U991" s="1">
        <f>IF(Table14[[#This Row],[I_0]] &lt; INDEX(Table28[Filtro de ruido],1), 1, Table14[[#This Row],[I_10]] / Table14[[#This Row],[I_0]])</f>
        <v>1</v>
      </c>
      <c r="V991" s="1">
        <f>IF(Table14[[#This Row],[I_0]] &lt; INDEX(Table28[Filtro de ruido],1), 1, Table14[[#This Row],[I_20]] / Table14[[#This Row],[I_0]])</f>
        <v>1</v>
      </c>
      <c r="W991" s="1">
        <f>IF(Table14[[#This Row],[I_0]] &lt; INDEX(Table28[Filtro de ruido],1), 1, Table14[[#This Row],[I_30]] / Table14[[#This Row],[I_0]])</f>
        <v>1</v>
      </c>
      <c r="X991" s="1">
        <f>IF(Table14[[#This Row],[I_0]] &lt; INDEX(Table28[Filtro de ruido],1), 1, Table14[[#This Row],[I_40]] / Table14[[#This Row],[I_0]])</f>
        <v>1</v>
      </c>
      <c r="Y991" s="19">
        <f>IF(Table14[[#This Row],[I_0]] &lt; INDEX(Table28[Filtro de ruido],1), 1, Table14[[#This Row],[I_50]] / Table14[[#This Row],[I_0]])</f>
        <v>1</v>
      </c>
      <c r="AA991" s="1"/>
    </row>
    <row r="992" spans="1:27" x14ac:dyDescent="0.3">
      <c r="A992" s="18">
        <v>1052.1300000000001</v>
      </c>
      <c r="B992" s="1">
        <v>0</v>
      </c>
      <c r="C992" s="1">
        <v>1052.1300000000001</v>
      </c>
      <c r="D992" s="1">
        <v>0</v>
      </c>
      <c r="E992" s="1">
        <v>1052.1300000000001</v>
      </c>
      <c r="F992" s="1">
        <v>0</v>
      </c>
      <c r="G992" s="1">
        <v>1052.1300000000001</v>
      </c>
      <c r="H992" s="1">
        <v>0</v>
      </c>
      <c r="I992" s="1">
        <v>1052.1300000000001</v>
      </c>
      <c r="J992" s="1">
        <v>0</v>
      </c>
      <c r="K992" s="1">
        <v>1052.1300000000001</v>
      </c>
      <c r="L992" s="1">
        <v>0</v>
      </c>
      <c r="M992" s="1">
        <v>1052.1300000000001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1052.1300000000001</v>
      </c>
      <c r="U992" s="1">
        <f>IF(Table14[[#This Row],[I_0]] &lt; INDEX(Table28[Filtro de ruido],1), 1, Table14[[#This Row],[I_10]] / Table14[[#This Row],[I_0]])</f>
        <v>1</v>
      </c>
      <c r="V992" s="1">
        <f>IF(Table14[[#This Row],[I_0]] &lt; INDEX(Table28[Filtro de ruido],1), 1, Table14[[#This Row],[I_20]] / Table14[[#This Row],[I_0]])</f>
        <v>1</v>
      </c>
      <c r="W992" s="1">
        <f>IF(Table14[[#This Row],[I_0]] &lt; INDEX(Table28[Filtro de ruido],1), 1, Table14[[#This Row],[I_30]] / Table14[[#This Row],[I_0]])</f>
        <v>1</v>
      </c>
      <c r="X992" s="1">
        <f>IF(Table14[[#This Row],[I_0]] &lt; INDEX(Table28[Filtro de ruido],1), 1, Table14[[#This Row],[I_40]] / Table14[[#This Row],[I_0]])</f>
        <v>1</v>
      </c>
      <c r="Y992" s="19">
        <f>IF(Table14[[#This Row],[I_0]] &lt; INDEX(Table28[Filtro de ruido],1), 1, Table14[[#This Row],[I_50]] / Table14[[#This Row],[I_0]])</f>
        <v>1</v>
      </c>
      <c r="AA992" s="1"/>
    </row>
    <row r="993" spans="1:27" x14ac:dyDescent="0.3">
      <c r="A993" s="18">
        <v>1053.1199999999999</v>
      </c>
      <c r="B993" s="1">
        <v>0</v>
      </c>
      <c r="C993" s="1">
        <v>1053.1199999999999</v>
      </c>
      <c r="D993" s="1">
        <v>0</v>
      </c>
      <c r="E993" s="1">
        <v>1053.1199999999999</v>
      </c>
      <c r="F993" s="1">
        <v>0</v>
      </c>
      <c r="G993" s="1">
        <v>1053.1199999999999</v>
      </c>
      <c r="H993" s="1">
        <v>0</v>
      </c>
      <c r="I993" s="1">
        <v>1053.1199999999999</v>
      </c>
      <c r="J993" s="1">
        <v>0</v>
      </c>
      <c r="K993" s="1">
        <v>1053.1199999999999</v>
      </c>
      <c r="L993" s="1">
        <v>0</v>
      </c>
      <c r="M993" s="1">
        <v>1053.1199999999999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1053.1199999999999</v>
      </c>
      <c r="U993" s="1">
        <f>IF(Table14[[#This Row],[I_0]] &lt; INDEX(Table28[Filtro de ruido],1), 1, Table14[[#This Row],[I_10]] / Table14[[#This Row],[I_0]])</f>
        <v>1</v>
      </c>
      <c r="V993" s="1">
        <f>IF(Table14[[#This Row],[I_0]] &lt; INDEX(Table28[Filtro de ruido],1), 1, Table14[[#This Row],[I_20]] / Table14[[#This Row],[I_0]])</f>
        <v>1</v>
      </c>
      <c r="W993" s="1">
        <f>IF(Table14[[#This Row],[I_0]] &lt; INDEX(Table28[Filtro de ruido],1), 1, Table14[[#This Row],[I_30]] / Table14[[#This Row],[I_0]])</f>
        <v>1</v>
      </c>
      <c r="X993" s="1">
        <f>IF(Table14[[#This Row],[I_0]] &lt; INDEX(Table28[Filtro de ruido],1), 1, Table14[[#This Row],[I_40]] / Table14[[#This Row],[I_0]])</f>
        <v>1</v>
      </c>
      <c r="Y993" s="19">
        <f>IF(Table14[[#This Row],[I_0]] &lt; INDEX(Table28[Filtro de ruido],1), 1, Table14[[#This Row],[I_50]] / Table14[[#This Row],[I_0]])</f>
        <v>1</v>
      </c>
      <c r="AA993" s="1"/>
    </row>
    <row r="994" spans="1:27" x14ac:dyDescent="0.3">
      <c r="A994" s="18">
        <v>1054.1099999999999</v>
      </c>
      <c r="B994" s="1">
        <v>0</v>
      </c>
      <c r="C994" s="1">
        <v>1054.1099999999999</v>
      </c>
      <c r="D994" s="1">
        <v>0</v>
      </c>
      <c r="E994" s="1">
        <v>1054.1099999999999</v>
      </c>
      <c r="F994" s="1">
        <v>0</v>
      </c>
      <c r="G994" s="1">
        <v>1054.1099999999999</v>
      </c>
      <c r="H994" s="1">
        <v>0</v>
      </c>
      <c r="I994" s="1">
        <v>1054.1099999999999</v>
      </c>
      <c r="J994" s="1">
        <v>0</v>
      </c>
      <c r="K994" s="1">
        <v>1054.1099999999999</v>
      </c>
      <c r="L994" s="1">
        <v>0</v>
      </c>
      <c r="M994" s="1">
        <v>1054.1099999999999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1054.1099999999999</v>
      </c>
      <c r="U994" s="1">
        <f>IF(Table14[[#This Row],[I_0]] &lt; INDEX(Table28[Filtro de ruido],1), 1, Table14[[#This Row],[I_10]] / Table14[[#This Row],[I_0]])</f>
        <v>1</v>
      </c>
      <c r="V994" s="1">
        <f>IF(Table14[[#This Row],[I_0]] &lt; INDEX(Table28[Filtro de ruido],1), 1, Table14[[#This Row],[I_20]] / Table14[[#This Row],[I_0]])</f>
        <v>1</v>
      </c>
      <c r="W994" s="1">
        <f>IF(Table14[[#This Row],[I_0]] &lt; INDEX(Table28[Filtro de ruido],1), 1, Table14[[#This Row],[I_30]] / Table14[[#This Row],[I_0]])</f>
        <v>1</v>
      </c>
      <c r="X994" s="1">
        <f>IF(Table14[[#This Row],[I_0]] &lt; INDEX(Table28[Filtro de ruido],1), 1, Table14[[#This Row],[I_40]] / Table14[[#This Row],[I_0]])</f>
        <v>1</v>
      </c>
      <c r="Y994" s="19">
        <f>IF(Table14[[#This Row],[I_0]] &lt; INDEX(Table28[Filtro de ruido],1), 1, Table14[[#This Row],[I_50]] / Table14[[#This Row],[I_0]])</f>
        <v>1</v>
      </c>
      <c r="AA994" s="1"/>
    </row>
    <row r="995" spans="1:27" x14ac:dyDescent="0.3">
      <c r="A995" s="18">
        <v>1055.0999999999999</v>
      </c>
      <c r="B995" s="1">
        <v>0</v>
      </c>
      <c r="C995" s="1">
        <v>1055.0999999999999</v>
      </c>
      <c r="D995" s="1">
        <v>0</v>
      </c>
      <c r="E995" s="1">
        <v>1055.0999999999999</v>
      </c>
      <c r="F995" s="1">
        <v>0</v>
      </c>
      <c r="G995" s="1">
        <v>1055.0999999999999</v>
      </c>
      <c r="H995" s="1">
        <v>0</v>
      </c>
      <c r="I995" s="1">
        <v>1055.0999999999999</v>
      </c>
      <c r="J995" s="1">
        <v>0</v>
      </c>
      <c r="K995" s="1">
        <v>1055.0999999999999</v>
      </c>
      <c r="L995" s="1">
        <v>0</v>
      </c>
      <c r="M995" s="1">
        <v>1055.0999999999999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1055.0999999999999</v>
      </c>
      <c r="U995" s="1">
        <f>IF(Table14[[#This Row],[I_0]] &lt; INDEX(Table28[Filtro de ruido],1), 1, Table14[[#This Row],[I_10]] / Table14[[#This Row],[I_0]])</f>
        <v>1</v>
      </c>
      <c r="V995" s="1">
        <f>IF(Table14[[#This Row],[I_0]] &lt; INDEX(Table28[Filtro de ruido],1), 1, Table14[[#This Row],[I_20]] / Table14[[#This Row],[I_0]])</f>
        <v>1</v>
      </c>
      <c r="W995" s="1">
        <f>IF(Table14[[#This Row],[I_0]] &lt; INDEX(Table28[Filtro de ruido],1), 1, Table14[[#This Row],[I_30]] / Table14[[#This Row],[I_0]])</f>
        <v>1</v>
      </c>
      <c r="X995" s="1">
        <f>IF(Table14[[#This Row],[I_0]] &lt; INDEX(Table28[Filtro de ruido],1), 1, Table14[[#This Row],[I_40]] / Table14[[#This Row],[I_0]])</f>
        <v>1</v>
      </c>
      <c r="Y995" s="19">
        <f>IF(Table14[[#This Row],[I_0]] &lt; INDEX(Table28[Filtro de ruido],1), 1, Table14[[#This Row],[I_50]] / Table14[[#This Row],[I_0]])</f>
        <v>1</v>
      </c>
      <c r="AA995" s="1"/>
    </row>
    <row r="996" spans="1:27" x14ac:dyDescent="0.3">
      <c r="A996" s="18">
        <v>1056.0899999999999</v>
      </c>
      <c r="B996" s="1">
        <v>0</v>
      </c>
      <c r="C996" s="1">
        <v>1056.0899999999999</v>
      </c>
      <c r="D996" s="1">
        <v>0</v>
      </c>
      <c r="E996" s="1">
        <v>1056.0899999999999</v>
      </c>
      <c r="F996" s="1">
        <v>0</v>
      </c>
      <c r="G996" s="1">
        <v>1056.0899999999999</v>
      </c>
      <c r="H996" s="1">
        <v>0</v>
      </c>
      <c r="I996" s="1">
        <v>1056.0899999999999</v>
      </c>
      <c r="J996" s="1">
        <v>0</v>
      </c>
      <c r="K996" s="1">
        <v>1056.0899999999999</v>
      </c>
      <c r="L996" s="1">
        <v>0</v>
      </c>
      <c r="M996" s="1">
        <v>1056.0899999999999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1056.0899999999999</v>
      </c>
      <c r="U996" s="1">
        <f>IF(Table14[[#This Row],[I_0]] &lt; INDEX(Table28[Filtro de ruido],1), 1, Table14[[#This Row],[I_10]] / Table14[[#This Row],[I_0]])</f>
        <v>1</v>
      </c>
      <c r="V996" s="1">
        <f>IF(Table14[[#This Row],[I_0]] &lt; INDEX(Table28[Filtro de ruido],1), 1, Table14[[#This Row],[I_20]] / Table14[[#This Row],[I_0]])</f>
        <v>1</v>
      </c>
      <c r="W996" s="1">
        <f>IF(Table14[[#This Row],[I_0]] &lt; INDEX(Table28[Filtro de ruido],1), 1, Table14[[#This Row],[I_30]] / Table14[[#This Row],[I_0]])</f>
        <v>1</v>
      </c>
      <c r="X996" s="1">
        <f>IF(Table14[[#This Row],[I_0]] &lt; INDEX(Table28[Filtro de ruido],1), 1, Table14[[#This Row],[I_40]] / Table14[[#This Row],[I_0]])</f>
        <v>1</v>
      </c>
      <c r="Y996" s="19">
        <f>IF(Table14[[#This Row],[I_0]] &lt; INDEX(Table28[Filtro de ruido],1), 1, Table14[[#This Row],[I_50]] / Table14[[#This Row],[I_0]])</f>
        <v>1</v>
      </c>
      <c r="AA996" s="1"/>
    </row>
    <row r="997" spans="1:27" x14ac:dyDescent="0.3">
      <c r="A997" s="18">
        <v>1057.0899999999999</v>
      </c>
      <c r="B997" s="1">
        <v>0</v>
      </c>
      <c r="C997" s="1">
        <v>1057.0899999999999</v>
      </c>
      <c r="D997" s="1">
        <v>0</v>
      </c>
      <c r="E997" s="1">
        <v>1057.0899999999999</v>
      </c>
      <c r="F997" s="1">
        <v>0</v>
      </c>
      <c r="G997" s="1">
        <v>1057.0899999999999</v>
      </c>
      <c r="H997" s="1">
        <v>0</v>
      </c>
      <c r="I997" s="1">
        <v>1057.0899999999999</v>
      </c>
      <c r="J997" s="1">
        <v>0</v>
      </c>
      <c r="K997" s="1">
        <v>1057.0899999999999</v>
      </c>
      <c r="L997" s="1">
        <v>0</v>
      </c>
      <c r="M997" s="1">
        <v>1057.0899999999999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1057.0899999999999</v>
      </c>
      <c r="U997" s="1">
        <f>IF(Table14[[#This Row],[I_0]] &lt; INDEX(Table28[Filtro de ruido],1), 1, Table14[[#This Row],[I_10]] / Table14[[#This Row],[I_0]])</f>
        <v>1</v>
      </c>
      <c r="V997" s="1">
        <f>IF(Table14[[#This Row],[I_0]] &lt; INDEX(Table28[Filtro de ruido],1), 1, Table14[[#This Row],[I_20]] / Table14[[#This Row],[I_0]])</f>
        <v>1</v>
      </c>
      <c r="W997" s="1">
        <f>IF(Table14[[#This Row],[I_0]] &lt; INDEX(Table28[Filtro de ruido],1), 1, Table14[[#This Row],[I_30]] / Table14[[#This Row],[I_0]])</f>
        <v>1</v>
      </c>
      <c r="X997" s="1">
        <f>IF(Table14[[#This Row],[I_0]] &lt; INDEX(Table28[Filtro de ruido],1), 1, Table14[[#This Row],[I_40]] / Table14[[#This Row],[I_0]])</f>
        <v>1</v>
      </c>
      <c r="Y997" s="19">
        <f>IF(Table14[[#This Row],[I_0]] &lt; INDEX(Table28[Filtro de ruido],1), 1, Table14[[#This Row],[I_50]] / Table14[[#This Row],[I_0]])</f>
        <v>1</v>
      </c>
      <c r="AA997" s="1"/>
    </row>
    <row r="998" spans="1:27" x14ac:dyDescent="0.3">
      <c r="A998" s="18">
        <v>1058.08</v>
      </c>
      <c r="B998" s="1">
        <v>0</v>
      </c>
      <c r="C998" s="1">
        <v>1058.08</v>
      </c>
      <c r="D998" s="1">
        <v>0</v>
      </c>
      <c r="E998" s="1">
        <v>1058.08</v>
      </c>
      <c r="F998" s="1">
        <v>0</v>
      </c>
      <c r="G998" s="1">
        <v>1058.08</v>
      </c>
      <c r="H998" s="1">
        <v>0</v>
      </c>
      <c r="I998" s="1">
        <v>1058.08</v>
      </c>
      <c r="J998" s="1">
        <v>0</v>
      </c>
      <c r="K998" s="1">
        <v>1058.08</v>
      </c>
      <c r="L998" s="1">
        <v>0</v>
      </c>
      <c r="M998" s="1">
        <v>1058.08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1058.08</v>
      </c>
      <c r="U998" s="1">
        <f>IF(Table14[[#This Row],[I_0]] &lt; INDEX(Table28[Filtro de ruido],1), 1, Table14[[#This Row],[I_10]] / Table14[[#This Row],[I_0]])</f>
        <v>1</v>
      </c>
      <c r="V998" s="1">
        <f>IF(Table14[[#This Row],[I_0]] &lt; INDEX(Table28[Filtro de ruido],1), 1, Table14[[#This Row],[I_20]] / Table14[[#This Row],[I_0]])</f>
        <v>1</v>
      </c>
      <c r="W998" s="1">
        <f>IF(Table14[[#This Row],[I_0]] &lt; INDEX(Table28[Filtro de ruido],1), 1, Table14[[#This Row],[I_30]] / Table14[[#This Row],[I_0]])</f>
        <v>1</v>
      </c>
      <c r="X998" s="1">
        <f>IF(Table14[[#This Row],[I_0]] &lt; INDEX(Table28[Filtro de ruido],1), 1, Table14[[#This Row],[I_40]] / Table14[[#This Row],[I_0]])</f>
        <v>1</v>
      </c>
      <c r="Y998" s="19">
        <f>IF(Table14[[#This Row],[I_0]] &lt; INDEX(Table28[Filtro de ruido],1), 1, Table14[[#This Row],[I_50]] / Table14[[#This Row],[I_0]])</f>
        <v>1</v>
      </c>
      <c r="AA998" s="1"/>
    </row>
    <row r="999" spans="1:27" x14ac:dyDescent="0.3">
      <c r="A999" s="18">
        <v>1059.07</v>
      </c>
      <c r="B999" s="1">
        <v>0</v>
      </c>
      <c r="C999" s="1">
        <v>1059.07</v>
      </c>
      <c r="D999" s="1">
        <v>0</v>
      </c>
      <c r="E999" s="1">
        <v>1059.07</v>
      </c>
      <c r="F999" s="1">
        <v>0</v>
      </c>
      <c r="G999" s="1">
        <v>1059.07</v>
      </c>
      <c r="H999" s="1">
        <v>0</v>
      </c>
      <c r="I999" s="1">
        <v>1059.07</v>
      </c>
      <c r="J999" s="1">
        <v>0</v>
      </c>
      <c r="K999" s="1">
        <v>1059.07</v>
      </c>
      <c r="L999" s="1">
        <v>0</v>
      </c>
      <c r="M999" s="1">
        <v>1059.07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1059.07</v>
      </c>
      <c r="U999" s="1">
        <f>IF(Table14[[#This Row],[I_0]] &lt; INDEX(Table28[Filtro de ruido],1), 1, Table14[[#This Row],[I_10]] / Table14[[#This Row],[I_0]])</f>
        <v>1</v>
      </c>
      <c r="V999" s="1">
        <f>IF(Table14[[#This Row],[I_0]] &lt; INDEX(Table28[Filtro de ruido],1), 1, Table14[[#This Row],[I_20]] / Table14[[#This Row],[I_0]])</f>
        <v>1</v>
      </c>
      <c r="W999" s="1">
        <f>IF(Table14[[#This Row],[I_0]] &lt; INDEX(Table28[Filtro de ruido],1), 1, Table14[[#This Row],[I_30]] / Table14[[#This Row],[I_0]])</f>
        <v>1</v>
      </c>
      <c r="X999" s="1">
        <f>IF(Table14[[#This Row],[I_0]] &lt; INDEX(Table28[Filtro de ruido],1), 1, Table14[[#This Row],[I_40]] / Table14[[#This Row],[I_0]])</f>
        <v>1</v>
      </c>
      <c r="Y999" s="19">
        <f>IF(Table14[[#This Row],[I_0]] &lt; INDEX(Table28[Filtro de ruido],1), 1, Table14[[#This Row],[I_50]] / Table14[[#This Row],[I_0]])</f>
        <v>1</v>
      </c>
      <c r="AA999" s="1"/>
    </row>
    <row r="1000" spans="1:27" x14ac:dyDescent="0.3">
      <c r="A1000" s="18">
        <v>1060.06</v>
      </c>
      <c r="B1000" s="1">
        <v>0</v>
      </c>
      <c r="C1000" s="1">
        <v>1060.06</v>
      </c>
      <c r="D1000" s="1">
        <v>0</v>
      </c>
      <c r="E1000" s="1">
        <v>1060.06</v>
      </c>
      <c r="F1000" s="1">
        <v>0</v>
      </c>
      <c r="G1000" s="1">
        <v>1060.06</v>
      </c>
      <c r="H1000" s="1">
        <v>0</v>
      </c>
      <c r="I1000" s="1">
        <v>1060.06</v>
      </c>
      <c r="J1000" s="1">
        <v>0</v>
      </c>
      <c r="K1000" s="1">
        <v>1060.06</v>
      </c>
      <c r="L1000" s="1">
        <v>0</v>
      </c>
      <c r="M1000" s="1">
        <v>1060.06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1060.06</v>
      </c>
      <c r="U1000" s="1">
        <f>IF(Table14[[#This Row],[I_0]] &lt; INDEX(Table28[Filtro de ruido],1), 1, Table14[[#This Row],[I_10]] / Table14[[#This Row],[I_0]])</f>
        <v>1</v>
      </c>
      <c r="V1000" s="1">
        <f>IF(Table14[[#This Row],[I_0]] &lt; INDEX(Table28[Filtro de ruido],1), 1, Table14[[#This Row],[I_20]] / Table14[[#This Row],[I_0]])</f>
        <v>1</v>
      </c>
      <c r="W1000" s="1">
        <f>IF(Table14[[#This Row],[I_0]] &lt; INDEX(Table28[Filtro de ruido],1), 1, Table14[[#This Row],[I_30]] / Table14[[#This Row],[I_0]])</f>
        <v>1</v>
      </c>
      <c r="X1000" s="1">
        <f>IF(Table14[[#This Row],[I_0]] &lt; INDEX(Table28[Filtro de ruido],1), 1, Table14[[#This Row],[I_40]] / Table14[[#This Row],[I_0]])</f>
        <v>1</v>
      </c>
      <c r="Y1000" s="19">
        <f>IF(Table14[[#This Row],[I_0]] &lt; INDEX(Table28[Filtro de ruido],1), 1, Table14[[#This Row],[I_50]] / Table14[[#This Row],[I_0]])</f>
        <v>1</v>
      </c>
      <c r="AA1000" s="1"/>
    </row>
    <row r="1001" spans="1:27" x14ac:dyDescent="0.3">
      <c r="A1001" s="18">
        <v>1061.05</v>
      </c>
      <c r="B1001" s="1">
        <v>0</v>
      </c>
      <c r="C1001" s="1">
        <v>1061.05</v>
      </c>
      <c r="D1001" s="1">
        <v>0</v>
      </c>
      <c r="E1001" s="1">
        <v>1061.05</v>
      </c>
      <c r="F1001" s="1">
        <v>0</v>
      </c>
      <c r="G1001" s="1">
        <v>1061.05</v>
      </c>
      <c r="H1001" s="1">
        <v>0</v>
      </c>
      <c r="I1001" s="1">
        <v>1061.05</v>
      </c>
      <c r="J1001" s="1">
        <v>0</v>
      </c>
      <c r="K1001" s="1">
        <v>1061.05</v>
      </c>
      <c r="L1001" s="1">
        <v>0</v>
      </c>
      <c r="M1001" s="1">
        <v>1061.05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1061.05</v>
      </c>
      <c r="U1001" s="1">
        <f>IF(Table14[[#This Row],[I_0]] &lt; INDEX(Table28[Filtro de ruido],1), 1, Table14[[#This Row],[I_10]] / Table14[[#This Row],[I_0]])</f>
        <v>1</v>
      </c>
      <c r="V1001" s="1">
        <f>IF(Table14[[#This Row],[I_0]] &lt; INDEX(Table28[Filtro de ruido],1), 1, Table14[[#This Row],[I_20]] / Table14[[#This Row],[I_0]])</f>
        <v>1</v>
      </c>
      <c r="W1001" s="1">
        <f>IF(Table14[[#This Row],[I_0]] &lt; INDEX(Table28[Filtro de ruido],1), 1, Table14[[#This Row],[I_30]] / Table14[[#This Row],[I_0]])</f>
        <v>1</v>
      </c>
      <c r="X1001" s="1">
        <f>IF(Table14[[#This Row],[I_0]] &lt; INDEX(Table28[Filtro de ruido],1), 1, Table14[[#This Row],[I_40]] / Table14[[#This Row],[I_0]])</f>
        <v>1</v>
      </c>
      <c r="Y1001" s="19">
        <f>IF(Table14[[#This Row],[I_0]] &lt; INDEX(Table28[Filtro de ruido],1), 1, Table14[[#This Row],[I_50]] / Table14[[#This Row],[I_0]])</f>
        <v>1</v>
      </c>
      <c r="AA1001" s="1"/>
    </row>
    <row r="1002" spans="1:27" x14ac:dyDescent="0.3">
      <c r="A1002" s="18">
        <v>1062.05</v>
      </c>
      <c r="B1002" s="1">
        <v>0</v>
      </c>
      <c r="C1002" s="1">
        <v>1062.05</v>
      </c>
      <c r="D1002" s="1">
        <v>0</v>
      </c>
      <c r="E1002" s="1">
        <v>1062.05</v>
      </c>
      <c r="F1002" s="1">
        <v>0</v>
      </c>
      <c r="G1002" s="1">
        <v>1062.05</v>
      </c>
      <c r="H1002" s="1">
        <v>0</v>
      </c>
      <c r="I1002" s="1">
        <v>1062.05</v>
      </c>
      <c r="J1002" s="1">
        <v>0</v>
      </c>
      <c r="K1002" s="1">
        <v>1062.05</v>
      </c>
      <c r="L1002" s="1">
        <v>0</v>
      </c>
      <c r="M1002" s="1">
        <v>1062.05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1062.05</v>
      </c>
      <c r="U1002" s="1">
        <f>IF(Table14[[#This Row],[I_0]] &lt; INDEX(Table28[Filtro de ruido],1), 1, Table14[[#This Row],[I_10]] / Table14[[#This Row],[I_0]])</f>
        <v>1</v>
      </c>
      <c r="V1002" s="1">
        <f>IF(Table14[[#This Row],[I_0]] &lt; INDEX(Table28[Filtro de ruido],1), 1, Table14[[#This Row],[I_20]] / Table14[[#This Row],[I_0]])</f>
        <v>1</v>
      </c>
      <c r="W1002" s="1">
        <f>IF(Table14[[#This Row],[I_0]] &lt; INDEX(Table28[Filtro de ruido],1), 1, Table14[[#This Row],[I_30]] / Table14[[#This Row],[I_0]])</f>
        <v>1</v>
      </c>
      <c r="X1002" s="1">
        <f>IF(Table14[[#This Row],[I_0]] &lt; INDEX(Table28[Filtro de ruido],1), 1, Table14[[#This Row],[I_40]] / Table14[[#This Row],[I_0]])</f>
        <v>1</v>
      </c>
      <c r="Y1002" s="19">
        <f>IF(Table14[[#This Row],[I_0]] &lt; INDEX(Table28[Filtro de ruido],1), 1, Table14[[#This Row],[I_50]] / Table14[[#This Row],[I_0]])</f>
        <v>1</v>
      </c>
      <c r="AA1002" s="1"/>
    </row>
    <row r="1003" spans="1:27" x14ac:dyDescent="0.3">
      <c r="A1003" s="18">
        <v>1063.04</v>
      </c>
      <c r="B1003" s="1">
        <v>0</v>
      </c>
      <c r="C1003" s="1">
        <v>1063.04</v>
      </c>
      <c r="D1003" s="1">
        <v>0</v>
      </c>
      <c r="E1003" s="1">
        <v>1063.04</v>
      </c>
      <c r="F1003" s="1">
        <v>0</v>
      </c>
      <c r="G1003" s="1">
        <v>1063.04</v>
      </c>
      <c r="H1003" s="1">
        <v>0</v>
      </c>
      <c r="I1003" s="1">
        <v>1063.04</v>
      </c>
      <c r="J1003" s="1">
        <v>0</v>
      </c>
      <c r="K1003" s="1">
        <v>1063.04</v>
      </c>
      <c r="L1003" s="1">
        <v>0</v>
      </c>
      <c r="M1003" s="1">
        <v>1063.04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1063.04</v>
      </c>
      <c r="U1003" s="1">
        <f>IF(Table14[[#This Row],[I_0]] &lt; INDEX(Table28[Filtro de ruido],1), 1, Table14[[#This Row],[I_10]] / Table14[[#This Row],[I_0]])</f>
        <v>1</v>
      </c>
      <c r="V1003" s="1">
        <f>IF(Table14[[#This Row],[I_0]] &lt; INDEX(Table28[Filtro de ruido],1), 1, Table14[[#This Row],[I_20]] / Table14[[#This Row],[I_0]])</f>
        <v>1</v>
      </c>
      <c r="W1003" s="1">
        <f>IF(Table14[[#This Row],[I_0]] &lt; INDEX(Table28[Filtro de ruido],1), 1, Table14[[#This Row],[I_30]] / Table14[[#This Row],[I_0]])</f>
        <v>1</v>
      </c>
      <c r="X1003" s="1">
        <f>IF(Table14[[#This Row],[I_0]] &lt; INDEX(Table28[Filtro de ruido],1), 1, Table14[[#This Row],[I_40]] / Table14[[#This Row],[I_0]])</f>
        <v>1</v>
      </c>
      <c r="Y1003" s="19">
        <f>IF(Table14[[#This Row],[I_0]] &lt; INDEX(Table28[Filtro de ruido],1), 1, Table14[[#This Row],[I_50]] / Table14[[#This Row],[I_0]])</f>
        <v>1</v>
      </c>
      <c r="AA1003" s="1"/>
    </row>
    <row r="1004" spans="1:27" x14ac:dyDescent="0.3">
      <c r="A1004" s="18">
        <v>1064.03</v>
      </c>
      <c r="B1004" s="1">
        <v>0</v>
      </c>
      <c r="C1004" s="1">
        <v>1064.03</v>
      </c>
      <c r="D1004" s="1">
        <v>0</v>
      </c>
      <c r="E1004" s="1">
        <v>1064.03</v>
      </c>
      <c r="F1004" s="1">
        <v>0</v>
      </c>
      <c r="G1004" s="1">
        <v>1064.03</v>
      </c>
      <c r="H1004" s="1">
        <v>0</v>
      </c>
      <c r="I1004" s="1">
        <v>1064.03</v>
      </c>
      <c r="J1004" s="1">
        <v>0</v>
      </c>
      <c r="K1004" s="1">
        <v>1064.03</v>
      </c>
      <c r="L1004" s="1">
        <v>0</v>
      </c>
      <c r="M1004" s="1">
        <v>1064.03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1064.03</v>
      </c>
      <c r="U1004" s="1">
        <f>IF(Table14[[#This Row],[I_0]] &lt; INDEX(Table28[Filtro de ruido],1), 1, Table14[[#This Row],[I_10]] / Table14[[#This Row],[I_0]])</f>
        <v>1</v>
      </c>
      <c r="V1004" s="1">
        <f>IF(Table14[[#This Row],[I_0]] &lt; INDEX(Table28[Filtro de ruido],1), 1, Table14[[#This Row],[I_20]] / Table14[[#This Row],[I_0]])</f>
        <v>1</v>
      </c>
      <c r="W1004" s="1">
        <f>IF(Table14[[#This Row],[I_0]] &lt; INDEX(Table28[Filtro de ruido],1), 1, Table14[[#This Row],[I_30]] / Table14[[#This Row],[I_0]])</f>
        <v>1</v>
      </c>
      <c r="X1004" s="1">
        <f>IF(Table14[[#This Row],[I_0]] &lt; INDEX(Table28[Filtro de ruido],1), 1, Table14[[#This Row],[I_40]] / Table14[[#This Row],[I_0]])</f>
        <v>1</v>
      </c>
      <c r="Y1004" s="19">
        <f>IF(Table14[[#This Row],[I_0]] &lt; INDEX(Table28[Filtro de ruido],1), 1, Table14[[#This Row],[I_50]] / Table14[[#This Row],[I_0]])</f>
        <v>1</v>
      </c>
      <c r="AA1004" s="1"/>
    </row>
    <row r="1005" spans="1:27" x14ac:dyDescent="0.3">
      <c r="A1005" s="18">
        <v>1065.02</v>
      </c>
      <c r="B1005" s="1">
        <v>0</v>
      </c>
      <c r="C1005" s="1">
        <v>1065.02</v>
      </c>
      <c r="D1005" s="1">
        <v>0</v>
      </c>
      <c r="E1005" s="1">
        <v>1065.02</v>
      </c>
      <c r="F1005" s="1">
        <v>0</v>
      </c>
      <c r="G1005" s="1">
        <v>1065.02</v>
      </c>
      <c r="H1005" s="1">
        <v>0</v>
      </c>
      <c r="I1005" s="1">
        <v>1065.02</v>
      </c>
      <c r="J1005" s="1">
        <v>0</v>
      </c>
      <c r="K1005" s="1">
        <v>1065.02</v>
      </c>
      <c r="L1005" s="1">
        <v>0</v>
      </c>
      <c r="M1005" s="1">
        <v>1065.02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1065.02</v>
      </c>
      <c r="U1005" s="1">
        <f>IF(Table14[[#This Row],[I_0]] &lt; INDEX(Table28[Filtro de ruido],1), 1, Table14[[#This Row],[I_10]] / Table14[[#This Row],[I_0]])</f>
        <v>1</v>
      </c>
      <c r="V1005" s="1">
        <f>IF(Table14[[#This Row],[I_0]] &lt; INDEX(Table28[Filtro de ruido],1), 1, Table14[[#This Row],[I_20]] / Table14[[#This Row],[I_0]])</f>
        <v>1</v>
      </c>
      <c r="W1005" s="1">
        <f>IF(Table14[[#This Row],[I_0]] &lt; INDEX(Table28[Filtro de ruido],1), 1, Table14[[#This Row],[I_30]] / Table14[[#This Row],[I_0]])</f>
        <v>1</v>
      </c>
      <c r="X1005" s="1">
        <f>IF(Table14[[#This Row],[I_0]] &lt; INDEX(Table28[Filtro de ruido],1), 1, Table14[[#This Row],[I_40]] / Table14[[#This Row],[I_0]])</f>
        <v>1</v>
      </c>
      <c r="Y1005" s="19">
        <f>IF(Table14[[#This Row],[I_0]] &lt; INDEX(Table28[Filtro de ruido],1), 1, Table14[[#This Row],[I_50]] / Table14[[#This Row],[I_0]])</f>
        <v>1</v>
      </c>
      <c r="AA1005" s="1"/>
    </row>
    <row r="1006" spans="1:27" x14ac:dyDescent="0.3">
      <c r="A1006" s="18">
        <v>1066.01</v>
      </c>
      <c r="B1006" s="1">
        <v>0</v>
      </c>
      <c r="C1006" s="1">
        <v>1066.01</v>
      </c>
      <c r="D1006" s="1">
        <v>0</v>
      </c>
      <c r="E1006" s="1">
        <v>1066.01</v>
      </c>
      <c r="F1006" s="1">
        <v>0</v>
      </c>
      <c r="G1006" s="1">
        <v>1066.01</v>
      </c>
      <c r="H1006" s="1">
        <v>0</v>
      </c>
      <c r="I1006" s="1">
        <v>1066.01</v>
      </c>
      <c r="J1006" s="1">
        <v>0</v>
      </c>
      <c r="K1006" s="1">
        <v>1066.01</v>
      </c>
      <c r="L1006" s="1">
        <v>0</v>
      </c>
      <c r="M1006" s="1">
        <v>1066.01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1066.01</v>
      </c>
      <c r="U1006" s="1">
        <f>IF(Table14[[#This Row],[I_0]] &lt; INDEX(Table28[Filtro de ruido],1), 1, Table14[[#This Row],[I_10]] / Table14[[#This Row],[I_0]])</f>
        <v>1</v>
      </c>
      <c r="V1006" s="1">
        <f>IF(Table14[[#This Row],[I_0]] &lt; INDEX(Table28[Filtro de ruido],1), 1, Table14[[#This Row],[I_20]] / Table14[[#This Row],[I_0]])</f>
        <v>1</v>
      </c>
      <c r="W1006" s="1">
        <f>IF(Table14[[#This Row],[I_0]] &lt; INDEX(Table28[Filtro de ruido],1), 1, Table14[[#This Row],[I_30]] / Table14[[#This Row],[I_0]])</f>
        <v>1</v>
      </c>
      <c r="X1006" s="1">
        <f>IF(Table14[[#This Row],[I_0]] &lt; INDEX(Table28[Filtro de ruido],1), 1, Table14[[#This Row],[I_40]] / Table14[[#This Row],[I_0]])</f>
        <v>1</v>
      </c>
      <c r="Y1006" s="19">
        <f>IF(Table14[[#This Row],[I_0]] &lt; INDEX(Table28[Filtro de ruido],1), 1, Table14[[#This Row],[I_50]] / Table14[[#This Row],[I_0]])</f>
        <v>1</v>
      </c>
      <c r="AA1006" s="1"/>
    </row>
    <row r="1007" spans="1:27" x14ac:dyDescent="0.3">
      <c r="A1007" s="18">
        <v>1067</v>
      </c>
      <c r="B1007" s="1">
        <v>0</v>
      </c>
      <c r="C1007" s="1">
        <v>1067</v>
      </c>
      <c r="D1007" s="1">
        <v>0</v>
      </c>
      <c r="E1007" s="1">
        <v>1067</v>
      </c>
      <c r="F1007" s="1">
        <v>0</v>
      </c>
      <c r="G1007" s="1">
        <v>1067</v>
      </c>
      <c r="H1007" s="1">
        <v>0</v>
      </c>
      <c r="I1007" s="1">
        <v>1067</v>
      </c>
      <c r="J1007" s="1">
        <v>0</v>
      </c>
      <c r="K1007" s="1">
        <v>1067</v>
      </c>
      <c r="L1007" s="1">
        <v>0</v>
      </c>
      <c r="M1007" s="1">
        <v>1067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1067</v>
      </c>
      <c r="U1007" s="1">
        <f>IF(Table14[[#This Row],[I_0]] &lt; INDEX(Table28[Filtro de ruido],1), 1, Table14[[#This Row],[I_10]] / Table14[[#This Row],[I_0]])</f>
        <v>1</v>
      </c>
      <c r="V1007" s="1">
        <f>IF(Table14[[#This Row],[I_0]] &lt; INDEX(Table28[Filtro de ruido],1), 1, Table14[[#This Row],[I_20]] / Table14[[#This Row],[I_0]])</f>
        <v>1</v>
      </c>
      <c r="W1007" s="1">
        <f>IF(Table14[[#This Row],[I_0]] &lt; INDEX(Table28[Filtro de ruido],1), 1, Table14[[#This Row],[I_30]] / Table14[[#This Row],[I_0]])</f>
        <v>1</v>
      </c>
      <c r="X1007" s="1">
        <f>IF(Table14[[#This Row],[I_0]] &lt; INDEX(Table28[Filtro de ruido],1), 1, Table14[[#This Row],[I_40]] / Table14[[#This Row],[I_0]])</f>
        <v>1</v>
      </c>
      <c r="Y1007" s="19">
        <f>IF(Table14[[#This Row],[I_0]] &lt; INDEX(Table28[Filtro de ruido],1), 1, Table14[[#This Row],[I_50]] / Table14[[#This Row],[I_0]])</f>
        <v>1</v>
      </c>
      <c r="AA1007" s="1"/>
    </row>
    <row r="1008" spans="1:27" x14ac:dyDescent="0.3">
      <c r="A1008" s="18">
        <v>1068</v>
      </c>
      <c r="B1008" s="1">
        <v>0</v>
      </c>
      <c r="C1008" s="1">
        <v>1068</v>
      </c>
      <c r="D1008" s="1">
        <v>0</v>
      </c>
      <c r="E1008" s="1">
        <v>1068</v>
      </c>
      <c r="F1008" s="1">
        <v>0</v>
      </c>
      <c r="G1008" s="1">
        <v>1068</v>
      </c>
      <c r="H1008" s="1">
        <v>0</v>
      </c>
      <c r="I1008" s="1">
        <v>1068</v>
      </c>
      <c r="J1008" s="1">
        <v>0</v>
      </c>
      <c r="K1008" s="1">
        <v>1068</v>
      </c>
      <c r="L1008" s="1">
        <v>0</v>
      </c>
      <c r="M1008" s="1">
        <v>1068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1068</v>
      </c>
      <c r="U1008" s="1">
        <f>IF(Table14[[#This Row],[I_0]] &lt; INDEX(Table28[Filtro de ruido],1), 1, Table14[[#This Row],[I_10]] / Table14[[#This Row],[I_0]])</f>
        <v>1</v>
      </c>
      <c r="V1008" s="1">
        <f>IF(Table14[[#This Row],[I_0]] &lt; INDEX(Table28[Filtro de ruido],1), 1, Table14[[#This Row],[I_20]] / Table14[[#This Row],[I_0]])</f>
        <v>1</v>
      </c>
      <c r="W1008" s="1">
        <f>IF(Table14[[#This Row],[I_0]] &lt; INDEX(Table28[Filtro de ruido],1), 1, Table14[[#This Row],[I_30]] / Table14[[#This Row],[I_0]])</f>
        <v>1</v>
      </c>
      <c r="X1008" s="1">
        <f>IF(Table14[[#This Row],[I_0]] &lt; INDEX(Table28[Filtro de ruido],1), 1, Table14[[#This Row],[I_40]] / Table14[[#This Row],[I_0]])</f>
        <v>1</v>
      </c>
      <c r="Y1008" s="19">
        <f>IF(Table14[[#This Row],[I_0]] &lt; INDEX(Table28[Filtro de ruido],1), 1, Table14[[#This Row],[I_50]] / Table14[[#This Row],[I_0]])</f>
        <v>1</v>
      </c>
      <c r="AA1008" s="1"/>
    </row>
    <row r="1009" spans="1:27" x14ac:dyDescent="0.3">
      <c r="A1009" s="18">
        <v>1068.99</v>
      </c>
      <c r="B1009" s="1">
        <v>0</v>
      </c>
      <c r="C1009" s="1">
        <v>1068.99</v>
      </c>
      <c r="D1009" s="1">
        <v>0</v>
      </c>
      <c r="E1009" s="1">
        <v>1068.99</v>
      </c>
      <c r="F1009" s="1">
        <v>0</v>
      </c>
      <c r="G1009" s="1">
        <v>1068.99</v>
      </c>
      <c r="H1009" s="1">
        <v>0</v>
      </c>
      <c r="I1009" s="1">
        <v>1068.99</v>
      </c>
      <c r="J1009" s="1">
        <v>0</v>
      </c>
      <c r="K1009" s="1">
        <v>1068.99</v>
      </c>
      <c r="L1009" s="1">
        <v>0</v>
      </c>
      <c r="M1009" s="1">
        <v>1068.99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1068.99</v>
      </c>
      <c r="U1009" s="1">
        <f>IF(Table14[[#This Row],[I_0]] &lt; INDEX(Table28[Filtro de ruido],1), 1, Table14[[#This Row],[I_10]] / Table14[[#This Row],[I_0]])</f>
        <v>1</v>
      </c>
      <c r="V1009" s="1">
        <f>IF(Table14[[#This Row],[I_0]] &lt; INDEX(Table28[Filtro de ruido],1), 1, Table14[[#This Row],[I_20]] / Table14[[#This Row],[I_0]])</f>
        <v>1</v>
      </c>
      <c r="W1009" s="1">
        <f>IF(Table14[[#This Row],[I_0]] &lt; INDEX(Table28[Filtro de ruido],1), 1, Table14[[#This Row],[I_30]] / Table14[[#This Row],[I_0]])</f>
        <v>1</v>
      </c>
      <c r="X1009" s="1">
        <f>IF(Table14[[#This Row],[I_0]] &lt; INDEX(Table28[Filtro de ruido],1), 1, Table14[[#This Row],[I_40]] / Table14[[#This Row],[I_0]])</f>
        <v>1</v>
      </c>
      <c r="Y1009" s="19">
        <f>IF(Table14[[#This Row],[I_0]] &lt; INDEX(Table28[Filtro de ruido],1), 1, Table14[[#This Row],[I_50]] / Table14[[#This Row],[I_0]])</f>
        <v>1</v>
      </c>
      <c r="AA1009" s="1"/>
    </row>
    <row r="1010" spans="1:27" x14ac:dyDescent="0.3">
      <c r="A1010" s="18">
        <v>1069.98</v>
      </c>
      <c r="B1010" s="1">
        <v>0</v>
      </c>
      <c r="C1010" s="1">
        <v>1069.98</v>
      </c>
      <c r="D1010" s="1">
        <v>0</v>
      </c>
      <c r="E1010" s="1">
        <v>1069.98</v>
      </c>
      <c r="F1010" s="1">
        <v>0</v>
      </c>
      <c r="G1010" s="1">
        <v>1069.98</v>
      </c>
      <c r="H1010" s="1">
        <v>0</v>
      </c>
      <c r="I1010" s="1">
        <v>1069.98</v>
      </c>
      <c r="J1010" s="1">
        <v>0</v>
      </c>
      <c r="K1010" s="1">
        <v>1069.98</v>
      </c>
      <c r="L1010" s="1">
        <v>0</v>
      </c>
      <c r="M1010" s="1">
        <v>1069.98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1069.98</v>
      </c>
      <c r="U1010" s="1">
        <f>IF(Table14[[#This Row],[I_0]] &lt; INDEX(Table28[Filtro de ruido],1), 1, Table14[[#This Row],[I_10]] / Table14[[#This Row],[I_0]])</f>
        <v>1</v>
      </c>
      <c r="V1010" s="1">
        <f>IF(Table14[[#This Row],[I_0]] &lt; INDEX(Table28[Filtro de ruido],1), 1, Table14[[#This Row],[I_20]] / Table14[[#This Row],[I_0]])</f>
        <v>1</v>
      </c>
      <c r="W1010" s="1">
        <f>IF(Table14[[#This Row],[I_0]] &lt; INDEX(Table28[Filtro de ruido],1), 1, Table14[[#This Row],[I_30]] / Table14[[#This Row],[I_0]])</f>
        <v>1</v>
      </c>
      <c r="X1010" s="1">
        <f>IF(Table14[[#This Row],[I_0]] &lt; INDEX(Table28[Filtro de ruido],1), 1, Table14[[#This Row],[I_40]] / Table14[[#This Row],[I_0]])</f>
        <v>1</v>
      </c>
      <c r="Y1010" s="19">
        <f>IF(Table14[[#This Row],[I_0]] &lt; INDEX(Table28[Filtro de ruido],1), 1, Table14[[#This Row],[I_50]] / Table14[[#This Row],[I_0]])</f>
        <v>1</v>
      </c>
      <c r="AA1010" s="1"/>
    </row>
    <row r="1011" spans="1:27" x14ac:dyDescent="0.3">
      <c r="A1011" s="18">
        <v>1070.97</v>
      </c>
      <c r="B1011" s="1">
        <v>0</v>
      </c>
      <c r="C1011" s="1">
        <v>1070.97</v>
      </c>
      <c r="D1011" s="1">
        <v>0</v>
      </c>
      <c r="E1011" s="1">
        <v>1070.97</v>
      </c>
      <c r="F1011" s="1">
        <v>0</v>
      </c>
      <c r="G1011" s="1">
        <v>1070.97</v>
      </c>
      <c r="H1011" s="1">
        <v>0</v>
      </c>
      <c r="I1011" s="1">
        <v>1070.97</v>
      </c>
      <c r="J1011" s="1">
        <v>0</v>
      </c>
      <c r="K1011" s="1">
        <v>1070.97</v>
      </c>
      <c r="L1011" s="1">
        <v>0</v>
      </c>
      <c r="M1011" s="1">
        <v>1070.97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1070.97</v>
      </c>
      <c r="U1011" s="1">
        <f>IF(Table14[[#This Row],[I_0]] &lt; INDEX(Table28[Filtro de ruido],1), 1, Table14[[#This Row],[I_10]] / Table14[[#This Row],[I_0]])</f>
        <v>1</v>
      </c>
      <c r="V1011" s="1">
        <f>IF(Table14[[#This Row],[I_0]] &lt; INDEX(Table28[Filtro de ruido],1), 1, Table14[[#This Row],[I_20]] / Table14[[#This Row],[I_0]])</f>
        <v>1</v>
      </c>
      <c r="W1011" s="1">
        <f>IF(Table14[[#This Row],[I_0]] &lt; INDEX(Table28[Filtro de ruido],1), 1, Table14[[#This Row],[I_30]] / Table14[[#This Row],[I_0]])</f>
        <v>1</v>
      </c>
      <c r="X1011" s="1">
        <f>IF(Table14[[#This Row],[I_0]] &lt; INDEX(Table28[Filtro de ruido],1), 1, Table14[[#This Row],[I_40]] / Table14[[#This Row],[I_0]])</f>
        <v>1</v>
      </c>
      <c r="Y1011" s="19">
        <f>IF(Table14[[#This Row],[I_0]] &lt; INDEX(Table28[Filtro de ruido],1), 1, Table14[[#This Row],[I_50]] / Table14[[#This Row],[I_0]])</f>
        <v>1</v>
      </c>
      <c r="AA1011" s="1"/>
    </row>
    <row r="1012" spans="1:27" x14ac:dyDescent="0.3">
      <c r="A1012" s="18">
        <v>1071.96</v>
      </c>
      <c r="B1012" s="1">
        <v>0</v>
      </c>
      <c r="C1012" s="1">
        <v>1071.96</v>
      </c>
      <c r="D1012" s="1">
        <v>0</v>
      </c>
      <c r="E1012" s="1">
        <v>1071.96</v>
      </c>
      <c r="F1012" s="1">
        <v>0</v>
      </c>
      <c r="G1012" s="1">
        <v>1071.96</v>
      </c>
      <c r="H1012" s="1">
        <v>0</v>
      </c>
      <c r="I1012" s="1">
        <v>1071.96</v>
      </c>
      <c r="J1012" s="1">
        <v>0</v>
      </c>
      <c r="K1012" s="1">
        <v>1071.96</v>
      </c>
      <c r="L1012" s="1">
        <v>0</v>
      </c>
      <c r="M1012" s="1">
        <v>1071.96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1071.96</v>
      </c>
      <c r="U1012" s="1">
        <f>IF(Table14[[#This Row],[I_0]] &lt; INDEX(Table28[Filtro de ruido],1), 1, Table14[[#This Row],[I_10]] / Table14[[#This Row],[I_0]])</f>
        <v>1</v>
      </c>
      <c r="V1012" s="1">
        <f>IF(Table14[[#This Row],[I_0]] &lt; INDEX(Table28[Filtro de ruido],1), 1, Table14[[#This Row],[I_20]] / Table14[[#This Row],[I_0]])</f>
        <v>1</v>
      </c>
      <c r="W1012" s="1">
        <f>IF(Table14[[#This Row],[I_0]] &lt; INDEX(Table28[Filtro de ruido],1), 1, Table14[[#This Row],[I_30]] / Table14[[#This Row],[I_0]])</f>
        <v>1</v>
      </c>
      <c r="X1012" s="1">
        <f>IF(Table14[[#This Row],[I_0]] &lt; INDEX(Table28[Filtro de ruido],1), 1, Table14[[#This Row],[I_40]] / Table14[[#This Row],[I_0]])</f>
        <v>1</v>
      </c>
      <c r="Y1012" s="19">
        <f>IF(Table14[[#This Row],[I_0]] &lt; INDEX(Table28[Filtro de ruido],1), 1, Table14[[#This Row],[I_50]] / Table14[[#This Row],[I_0]])</f>
        <v>1</v>
      </c>
      <c r="AA1012" s="1"/>
    </row>
    <row r="1013" spans="1:27" x14ac:dyDescent="0.3">
      <c r="A1013" s="18">
        <v>1072.95</v>
      </c>
      <c r="B1013" s="1">
        <v>0</v>
      </c>
      <c r="C1013" s="1">
        <v>1072.95</v>
      </c>
      <c r="D1013" s="1">
        <v>0</v>
      </c>
      <c r="E1013" s="1">
        <v>1072.95</v>
      </c>
      <c r="F1013" s="1">
        <v>0</v>
      </c>
      <c r="G1013" s="1">
        <v>1072.95</v>
      </c>
      <c r="H1013" s="1">
        <v>0</v>
      </c>
      <c r="I1013" s="1">
        <v>1072.95</v>
      </c>
      <c r="J1013" s="1">
        <v>0</v>
      </c>
      <c r="K1013" s="1">
        <v>1072.95</v>
      </c>
      <c r="L1013" s="1">
        <v>0</v>
      </c>
      <c r="M1013" s="1">
        <v>1072.95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1072.95</v>
      </c>
      <c r="U1013" s="1">
        <f>IF(Table14[[#This Row],[I_0]] &lt; INDEX(Table28[Filtro de ruido],1), 1, Table14[[#This Row],[I_10]] / Table14[[#This Row],[I_0]])</f>
        <v>1</v>
      </c>
      <c r="V1013" s="1">
        <f>IF(Table14[[#This Row],[I_0]] &lt; INDEX(Table28[Filtro de ruido],1), 1, Table14[[#This Row],[I_20]] / Table14[[#This Row],[I_0]])</f>
        <v>1</v>
      </c>
      <c r="W1013" s="1">
        <f>IF(Table14[[#This Row],[I_0]] &lt; INDEX(Table28[Filtro de ruido],1), 1, Table14[[#This Row],[I_30]] / Table14[[#This Row],[I_0]])</f>
        <v>1</v>
      </c>
      <c r="X1013" s="1">
        <f>IF(Table14[[#This Row],[I_0]] &lt; INDEX(Table28[Filtro de ruido],1), 1, Table14[[#This Row],[I_40]] / Table14[[#This Row],[I_0]])</f>
        <v>1</v>
      </c>
      <c r="Y1013" s="19">
        <f>IF(Table14[[#This Row],[I_0]] &lt; INDEX(Table28[Filtro de ruido],1), 1, Table14[[#This Row],[I_50]] / Table14[[#This Row],[I_0]])</f>
        <v>1</v>
      </c>
      <c r="AA1013" s="1"/>
    </row>
    <row r="1014" spans="1:27" x14ac:dyDescent="0.3">
      <c r="A1014" s="18">
        <v>1073.95</v>
      </c>
      <c r="B1014" s="1">
        <v>0</v>
      </c>
      <c r="C1014" s="1">
        <v>1073.95</v>
      </c>
      <c r="D1014" s="1">
        <v>0</v>
      </c>
      <c r="E1014" s="1">
        <v>1073.95</v>
      </c>
      <c r="F1014" s="1">
        <v>0</v>
      </c>
      <c r="G1014" s="1">
        <v>1073.95</v>
      </c>
      <c r="H1014" s="1">
        <v>0</v>
      </c>
      <c r="I1014" s="1">
        <v>1073.95</v>
      </c>
      <c r="J1014" s="1">
        <v>0</v>
      </c>
      <c r="K1014" s="1">
        <v>1073.95</v>
      </c>
      <c r="L1014" s="1">
        <v>0</v>
      </c>
      <c r="M1014" s="1">
        <v>1073.95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1073.95</v>
      </c>
      <c r="U1014" s="1">
        <f>IF(Table14[[#This Row],[I_0]] &lt; INDEX(Table28[Filtro de ruido],1), 1, Table14[[#This Row],[I_10]] / Table14[[#This Row],[I_0]])</f>
        <v>1</v>
      </c>
      <c r="V1014" s="1">
        <f>IF(Table14[[#This Row],[I_0]] &lt; INDEX(Table28[Filtro de ruido],1), 1, Table14[[#This Row],[I_20]] / Table14[[#This Row],[I_0]])</f>
        <v>1</v>
      </c>
      <c r="W1014" s="1">
        <f>IF(Table14[[#This Row],[I_0]] &lt; INDEX(Table28[Filtro de ruido],1), 1, Table14[[#This Row],[I_30]] / Table14[[#This Row],[I_0]])</f>
        <v>1</v>
      </c>
      <c r="X1014" s="1">
        <f>IF(Table14[[#This Row],[I_0]] &lt; INDEX(Table28[Filtro de ruido],1), 1, Table14[[#This Row],[I_40]] / Table14[[#This Row],[I_0]])</f>
        <v>1</v>
      </c>
      <c r="Y1014" s="19">
        <f>IF(Table14[[#This Row],[I_0]] &lt; INDEX(Table28[Filtro de ruido],1), 1, Table14[[#This Row],[I_50]] / Table14[[#This Row],[I_0]])</f>
        <v>1</v>
      </c>
      <c r="AA1014" s="1"/>
    </row>
    <row r="1015" spans="1:27" x14ac:dyDescent="0.3">
      <c r="A1015" s="18">
        <v>1074.94</v>
      </c>
      <c r="B1015" s="1">
        <v>0</v>
      </c>
      <c r="C1015" s="1">
        <v>1074.94</v>
      </c>
      <c r="D1015" s="1">
        <v>0</v>
      </c>
      <c r="E1015" s="1">
        <v>1074.94</v>
      </c>
      <c r="F1015" s="1">
        <v>0</v>
      </c>
      <c r="G1015" s="1">
        <v>1074.94</v>
      </c>
      <c r="H1015" s="1">
        <v>0</v>
      </c>
      <c r="I1015" s="1">
        <v>1074.94</v>
      </c>
      <c r="J1015" s="1">
        <v>0</v>
      </c>
      <c r="K1015" s="1">
        <v>1074.94</v>
      </c>
      <c r="L1015" s="1">
        <v>0</v>
      </c>
      <c r="M1015" s="1">
        <v>1074.94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1074.94</v>
      </c>
      <c r="U1015" s="1">
        <f>IF(Table14[[#This Row],[I_0]] &lt; INDEX(Table28[Filtro de ruido],1), 1, Table14[[#This Row],[I_10]] / Table14[[#This Row],[I_0]])</f>
        <v>1</v>
      </c>
      <c r="V1015" s="1">
        <f>IF(Table14[[#This Row],[I_0]] &lt; INDEX(Table28[Filtro de ruido],1), 1, Table14[[#This Row],[I_20]] / Table14[[#This Row],[I_0]])</f>
        <v>1</v>
      </c>
      <c r="W1015" s="1">
        <f>IF(Table14[[#This Row],[I_0]] &lt; INDEX(Table28[Filtro de ruido],1), 1, Table14[[#This Row],[I_30]] / Table14[[#This Row],[I_0]])</f>
        <v>1</v>
      </c>
      <c r="X1015" s="1">
        <f>IF(Table14[[#This Row],[I_0]] &lt; INDEX(Table28[Filtro de ruido],1), 1, Table14[[#This Row],[I_40]] / Table14[[#This Row],[I_0]])</f>
        <v>1</v>
      </c>
      <c r="Y1015" s="19">
        <f>IF(Table14[[#This Row],[I_0]] &lt; INDEX(Table28[Filtro de ruido],1), 1, Table14[[#This Row],[I_50]] / Table14[[#This Row],[I_0]])</f>
        <v>1</v>
      </c>
      <c r="AA1015" s="1"/>
    </row>
    <row r="1016" spans="1:27" x14ac:dyDescent="0.3">
      <c r="A1016" s="18">
        <v>1075.93</v>
      </c>
      <c r="B1016" s="1">
        <v>0</v>
      </c>
      <c r="C1016" s="1">
        <v>1075.93</v>
      </c>
      <c r="D1016" s="1">
        <v>0</v>
      </c>
      <c r="E1016" s="1">
        <v>1075.93</v>
      </c>
      <c r="F1016" s="1">
        <v>0</v>
      </c>
      <c r="G1016" s="1">
        <v>1075.93</v>
      </c>
      <c r="H1016" s="1">
        <v>0</v>
      </c>
      <c r="I1016" s="1">
        <v>1075.93</v>
      </c>
      <c r="J1016" s="1">
        <v>0</v>
      </c>
      <c r="K1016" s="1">
        <v>1075.93</v>
      </c>
      <c r="L1016" s="1">
        <v>0</v>
      </c>
      <c r="M1016" s="1">
        <v>1075.93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1075.93</v>
      </c>
      <c r="U1016" s="1">
        <f>IF(Table14[[#This Row],[I_0]] &lt; INDEX(Table28[Filtro de ruido],1), 1, Table14[[#This Row],[I_10]] / Table14[[#This Row],[I_0]])</f>
        <v>1</v>
      </c>
      <c r="V1016" s="1">
        <f>IF(Table14[[#This Row],[I_0]] &lt; INDEX(Table28[Filtro de ruido],1), 1, Table14[[#This Row],[I_20]] / Table14[[#This Row],[I_0]])</f>
        <v>1</v>
      </c>
      <c r="W1016" s="1">
        <f>IF(Table14[[#This Row],[I_0]] &lt; INDEX(Table28[Filtro de ruido],1), 1, Table14[[#This Row],[I_30]] / Table14[[#This Row],[I_0]])</f>
        <v>1</v>
      </c>
      <c r="X1016" s="1">
        <f>IF(Table14[[#This Row],[I_0]] &lt; INDEX(Table28[Filtro de ruido],1), 1, Table14[[#This Row],[I_40]] / Table14[[#This Row],[I_0]])</f>
        <v>1</v>
      </c>
      <c r="Y1016" s="19">
        <f>IF(Table14[[#This Row],[I_0]] &lt; INDEX(Table28[Filtro de ruido],1), 1, Table14[[#This Row],[I_50]] / Table14[[#This Row],[I_0]])</f>
        <v>1</v>
      </c>
      <c r="AA1016" s="1"/>
    </row>
    <row r="1017" spans="1:27" x14ac:dyDescent="0.3">
      <c r="A1017" s="18">
        <v>1076.92</v>
      </c>
      <c r="B1017" s="1">
        <v>0</v>
      </c>
      <c r="C1017" s="1">
        <v>1076.92</v>
      </c>
      <c r="D1017" s="1">
        <v>0</v>
      </c>
      <c r="E1017" s="1">
        <v>1076.92</v>
      </c>
      <c r="F1017" s="1">
        <v>0</v>
      </c>
      <c r="G1017" s="1">
        <v>1076.92</v>
      </c>
      <c r="H1017" s="1">
        <v>0</v>
      </c>
      <c r="I1017" s="1">
        <v>1076.92</v>
      </c>
      <c r="J1017" s="1">
        <v>0</v>
      </c>
      <c r="K1017" s="1">
        <v>1076.92</v>
      </c>
      <c r="L1017" s="1">
        <v>0</v>
      </c>
      <c r="M1017" s="1">
        <v>1076.92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1076.92</v>
      </c>
      <c r="U1017" s="1">
        <f>IF(Table14[[#This Row],[I_0]] &lt; INDEX(Table28[Filtro de ruido],1), 1, Table14[[#This Row],[I_10]] / Table14[[#This Row],[I_0]])</f>
        <v>1</v>
      </c>
      <c r="V1017" s="1">
        <f>IF(Table14[[#This Row],[I_0]] &lt; INDEX(Table28[Filtro de ruido],1), 1, Table14[[#This Row],[I_20]] / Table14[[#This Row],[I_0]])</f>
        <v>1</v>
      </c>
      <c r="W1017" s="1">
        <f>IF(Table14[[#This Row],[I_0]] &lt; INDEX(Table28[Filtro de ruido],1), 1, Table14[[#This Row],[I_30]] / Table14[[#This Row],[I_0]])</f>
        <v>1</v>
      </c>
      <c r="X1017" s="1">
        <f>IF(Table14[[#This Row],[I_0]] &lt; INDEX(Table28[Filtro de ruido],1), 1, Table14[[#This Row],[I_40]] / Table14[[#This Row],[I_0]])</f>
        <v>1</v>
      </c>
      <c r="Y1017" s="19">
        <f>IF(Table14[[#This Row],[I_0]] &lt; INDEX(Table28[Filtro de ruido],1), 1, Table14[[#This Row],[I_50]] / Table14[[#This Row],[I_0]])</f>
        <v>1</v>
      </c>
      <c r="AA1017" s="1"/>
    </row>
    <row r="1018" spans="1:27" x14ac:dyDescent="0.3">
      <c r="A1018" s="18">
        <v>1077.9100000000001</v>
      </c>
      <c r="B1018" s="1">
        <v>0</v>
      </c>
      <c r="C1018" s="1">
        <v>1077.9100000000001</v>
      </c>
      <c r="D1018" s="1">
        <v>0</v>
      </c>
      <c r="E1018" s="1">
        <v>1077.9100000000001</v>
      </c>
      <c r="F1018" s="1">
        <v>0</v>
      </c>
      <c r="G1018" s="1">
        <v>1077.9100000000001</v>
      </c>
      <c r="H1018" s="1">
        <v>0</v>
      </c>
      <c r="I1018" s="1">
        <v>1077.9100000000001</v>
      </c>
      <c r="J1018" s="1">
        <v>0</v>
      </c>
      <c r="K1018" s="1">
        <v>1077.9100000000001</v>
      </c>
      <c r="L1018" s="1">
        <v>0</v>
      </c>
      <c r="M1018" s="1">
        <v>1077.9100000000001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1077.9100000000001</v>
      </c>
      <c r="U1018" s="1">
        <f>IF(Table14[[#This Row],[I_0]] &lt; INDEX(Table28[Filtro de ruido],1), 1, Table14[[#This Row],[I_10]] / Table14[[#This Row],[I_0]])</f>
        <v>1</v>
      </c>
      <c r="V1018" s="1">
        <f>IF(Table14[[#This Row],[I_0]] &lt; INDEX(Table28[Filtro de ruido],1), 1, Table14[[#This Row],[I_20]] / Table14[[#This Row],[I_0]])</f>
        <v>1</v>
      </c>
      <c r="W1018" s="1">
        <f>IF(Table14[[#This Row],[I_0]] &lt; INDEX(Table28[Filtro de ruido],1), 1, Table14[[#This Row],[I_30]] / Table14[[#This Row],[I_0]])</f>
        <v>1</v>
      </c>
      <c r="X1018" s="1">
        <f>IF(Table14[[#This Row],[I_0]] &lt; INDEX(Table28[Filtro de ruido],1), 1, Table14[[#This Row],[I_40]] / Table14[[#This Row],[I_0]])</f>
        <v>1</v>
      </c>
      <c r="Y1018" s="19">
        <f>IF(Table14[[#This Row],[I_0]] &lt; INDEX(Table28[Filtro de ruido],1), 1, Table14[[#This Row],[I_50]] / Table14[[#This Row],[I_0]])</f>
        <v>1</v>
      </c>
      <c r="AA1018" s="1"/>
    </row>
    <row r="1019" spans="1:27" x14ac:dyDescent="0.3">
      <c r="A1019" s="18">
        <v>1078.9000000000001</v>
      </c>
      <c r="B1019" s="1">
        <v>0</v>
      </c>
      <c r="C1019" s="1">
        <v>1078.9000000000001</v>
      </c>
      <c r="D1019" s="1">
        <v>0</v>
      </c>
      <c r="E1019" s="1">
        <v>1078.9000000000001</v>
      </c>
      <c r="F1019" s="1">
        <v>0</v>
      </c>
      <c r="G1019" s="1">
        <v>1078.9000000000001</v>
      </c>
      <c r="H1019" s="1">
        <v>0</v>
      </c>
      <c r="I1019" s="1">
        <v>1078.9000000000001</v>
      </c>
      <c r="J1019" s="1">
        <v>0</v>
      </c>
      <c r="K1019" s="1">
        <v>1078.9000000000001</v>
      </c>
      <c r="L1019" s="1">
        <v>0</v>
      </c>
      <c r="M1019" s="1">
        <v>1078.9000000000001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1078.9000000000001</v>
      </c>
      <c r="U1019" s="1">
        <f>IF(Table14[[#This Row],[I_0]] &lt; INDEX(Table28[Filtro de ruido],1), 1, Table14[[#This Row],[I_10]] / Table14[[#This Row],[I_0]])</f>
        <v>1</v>
      </c>
      <c r="V1019" s="1">
        <f>IF(Table14[[#This Row],[I_0]] &lt; INDEX(Table28[Filtro de ruido],1), 1, Table14[[#This Row],[I_20]] / Table14[[#This Row],[I_0]])</f>
        <v>1</v>
      </c>
      <c r="W1019" s="1">
        <f>IF(Table14[[#This Row],[I_0]] &lt; INDEX(Table28[Filtro de ruido],1), 1, Table14[[#This Row],[I_30]] / Table14[[#This Row],[I_0]])</f>
        <v>1</v>
      </c>
      <c r="X1019" s="1">
        <f>IF(Table14[[#This Row],[I_0]] &lt; INDEX(Table28[Filtro de ruido],1), 1, Table14[[#This Row],[I_40]] / Table14[[#This Row],[I_0]])</f>
        <v>1</v>
      </c>
      <c r="Y1019" s="19">
        <f>IF(Table14[[#This Row],[I_0]] &lt; INDEX(Table28[Filtro de ruido],1), 1, Table14[[#This Row],[I_50]] / Table14[[#This Row],[I_0]])</f>
        <v>1</v>
      </c>
      <c r="AA1019" s="1"/>
    </row>
    <row r="1020" spans="1:27" x14ac:dyDescent="0.3">
      <c r="A1020" s="18">
        <v>1079.9000000000001</v>
      </c>
      <c r="B1020" s="1">
        <v>0</v>
      </c>
      <c r="C1020" s="1">
        <v>1079.9000000000001</v>
      </c>
      <c r="D1020" s="1">
        <v>0</v>
      </c>
      <c r="E1020" s="1">
        <v>1079.9000000000001</v>
      </c>
      <c r="F1020" s="1">
        <v>0</v>
      </c>
      <c r="G1020" s="1">
        <v>1079.9000000000001</v>
      </c>
      <c r="H1020" s="1">
        <v>0</v>
      </c>
      <c r="I1020" s="1">
        <v>1079.9000000000001</v>
      </c>
      <c r="J1020" s="1">
        <v>0</v>
      </c>
      <c r="K1020" s="1">
        <v>1079.9000000000001</v>
      </c>
      <c r="L1020" s="1">
        <v>0</v>
      </c>
      <c r="M1020" s="1">
        <v>1079.9000000000001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1079.9000000000001</v>
      </c>
      <c r="U1020" s="1">
        <f>IF(Table14[[#This Row],[I_0]] &lt; INDEX(Table28[Filtro de ruido],1), 1, Table14[[#This Row],[I_10]] / Table14[[#This Row],[I_0]])</f>
        <v>1</v>
      </c>
      <c r="V1020" s="1">
        <f>IF(Table14[[#This Row],[I_0]] &lt; INDEX(Table28[Filtro de ruido],1), 1, Table14[[#This Row],[I_20]] / Table14[[#This Row],[I_0]])</f>
        <v>1</v>
      </c>
      <c r="W1020" s="1">
        <f>IF(Table14[[#This Row],[I_0]] &lt; INDEX(Table28[Filtro de ruido],1), 1, Table14[[#This Row],[I_30]] / Table14[[#This Row],[I_0]])</f>
        <v>1</v>
      </c>
      <c r="X1020" s="1">
        <f>IF(Table14[[#This Row],[I_0]] &lt; INDEX(Table28[Filtro de ruido],1), 1, Table14[[#This Row],[I_40]] / Table14[[#This Row],[I_0]])</f>
        <v>1</v>
      </c>
      <c r="Y1020" s="19">
        <f>IF(Table14[[#This Row],[I_0]] &lt; INDEX(Table28[Filtro de ruido],1), 1, Table14[[#This Row],[I_50]] / Table14[[#This Row],[I_0]])</f>
        <v>1</v>
      </c>
      <c r="AA1020" s="1"/>
    </row>
    <row r="1021" spans="1:27" x14ac:dyDescent="0.3">
      <c r="A1021" s="18">
        <v>1080.8900000000001</v>
      </c>
      <c r="B1021" s="1">
        <v>0</v>
      </c>
      <c r="C1021" s="1">
        <v>1080.8900000000001</v>
      </c>
      <c r="D1021" s="1">
        <v>0</v>
      </c>
      <c r="E1021" s="1">
        <v>1080.8900000000001</v>
      </c>
      <c r="F1021" s="1">
        <v>0</v>
      </c>
      <c r="G1021" s="1">
        <v>1080.8900000000001</v>
      </c>
      <c r="H1021" s="1">
        <v>0</v>
      </c>
      <c r="I1021" s="1">
        <v>1080.8900000000001</v>
      </c>
      <c r="J1021" s="1">
        <v>0</v>
      </c>
      <c r="K1021" s="1">
        <v>1080.8900000000001</v>
      </c>
      <c r="L1021" s="1">
        <v>0</v>
      </c>
      <c r="M1021" s="1">
        <v>1080.8900000000001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1080.8900000000001</v>
      </c>
      <c r="U1021" s="1">
        <f>IF(Table14[[#This Row],[I_0]] &lt; INDEX(Table28[Filtro de ruido],1), 1, Table14[[#This Row],[I_10]] / Table14[[#This Row],[I_0]])</f>
        <v>1</v>
      </c>
      <c r="V1021" s="1">
        <f>IF(Table14[[#This Row],[I_0]] &lt; INDEX(Table28[Filtro de ruido],1), 1, Table14[[#This Row],[I_20]] / Table14[[#This Row],[I_0]])</f>
        <v>1</v>
      </c>
      <c r="W1021" s="1">
        <f>IF(Table14[[#This Row],[I_0]] &lt; INDEX(Table28[Filtro de ruido],1), 1, Table14[[#This Row],[I_30]] / Table14[[#This Row],[I_0]])</f>
        <v>1</v>
      </c>
      <c r="X1021" s="1">
        <f>IF(Table14[[#This Row],[I_0]] &lt; INDEX(Table28[Filtro de ruido],1), 1, Table14[[#This Row],[I_40]] / Table14[[#This Row],[I_0]])</f>
        <v>1</v>
      </c>
      <c r="Y1021" s="19">
        <f>IF(Table14[[#This Row],[I_0]] &lt; INDEX(Table28[Filtro de ruido],1), 1, Table14[[#This Row],[I_50]] / Table14[[#This Row],[I_0]])</f>
        <v>1</v>
      </c>
      <c r="AA1021" s="1"/>
    </row>
    <row r="1022" spans="1:27" x14ac:dyDescent="0.3">
      <c r="A1022" s="18">
        <v>1081.8800000000001</v>
      </c>
      <c r="B1022" s="1">
        <v>0</v>
      </c>
      <c r="C1022" s="1">
        <v>1081.8800000000001</v>
      </c>
      <c r="D1022" s="1">
        <v>0</v>
      </c>
      <c r="E1022" s="1">
        <v>1081.8800000000001</v>
      </c>
      <c r="F1022" s="1">
        <v>0</v>
      </c>
      <c r="G1022" s="1">
        <v>1081.8800000000001</v>
      </c>
      <c r="H1022" s="1">
        <v>0</v>
      </c>
      <c r="I1022" s="1">
        <v>1081.8800000000001</v>
      </c>
      <c r="J1022" s="1">
        <v>0</v>
      </c>
      <c r="K1022" s="1">
        <v>1081.8800000000001</v>
      </c>
      <c r="L1022" s="1">
        <v>0</v>
      </c>
      <c r="M1022" s="1">
        <v>1081.8800000000001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1081.8800000000001</v>
      </c>
      <c r="U1022" s="1">
        <f>IF(Table14[[#This Row],[I_0]] &lt; INDEX(Table28[Filtro de ruido],1), 1, Table14[[#This Row],[I_10]] / Table14[[#This Row],[I_0]])</f>
        <v>1</v>
      </c>
      <c r="V1022" s="1">
        <f>IF(Table14[[#This Row],[I_0]] &lt; INDEX(Table28[Filtro de ruido],1), 1, Table14[[#This Row],[I_20]] / Table14[[#This Row],[I_0]])</f>
        <v>1</v>
      </c>
      <c r="W1022" s="1">
        <f>IF(Table14[[#This Row],[I_0]] &lt; INDEX(Table28[Filtro de ruido],1), 1, Table14[[#This Row],[I_30]] / Table14[[#This Row],[I_0]])</f>
        <v>1</v>
      </c>
      <c r="X1022" s="1">
        <f>IF(Table14[[#This Row],[I_0]] &lt; INDEX(Table28[Filtro de ruido],1), 1, Table14[[#This Row],[I_40]] / Table14[[#This Row],[I_0]])</f>
        <v>1</v>
      </c>
      <c r="Y1022" s="19">
        <f>IF(Table14[[#This Row],[I_0]] &lt; INDEX(Table28[Filtro de ruido],1), 1, Table14[[#This Row],[I_50]] / Table14[[#This Row],[I_0]])</f>
        <v>1</v>
      </c>
      <c r="AA1022" s="1"/>
    </row>
    <row r="1023" spans="1:27" x14ac:dyDescent="0.3">
      <c r="A1023" s="18">
        <v>1082.8699999999999</v>
      </c>
      <c r="B1023" s="1">
        <v>0</v>
      </c>
      <c r="C1023" s="1">
        <v>1082.8699999999999</v>
      </c>
      <c r="D1023" s="1">
        <v>0</v>
      </c>
      <c r="E1023" s="1">
        <v>1082.8699999999999</v>
      </c>
      <c r="F1023" s="1">
        <v>0</v>
      </c>
      <c r="G1023" s="1">
        <v>1082.8699999999999</v>
      </c>
      <c r="H1023" s="1">
        <v>0</v>
      </c>
      <c r="I1023" s="1">
        <v>1082.8699999999999</v>
      </c>
      <c r="J1023" s="1">
        <v>0</v>
      </c>
      <c r="K1023" s="1">
        <v>1082.8699999999999</v>
      </c>
      <c r="L1023" s="1">
        <v>0</v>
      </c>
      <c r="M1023" s="1">
        <v>1082.8699999999999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1082.8699999999999</v>
      </c>
      <c r="U1023" s="1">
        <f>IF(Table14[[#This Row],[I_0]] &lt; INDEX(Table28[Filtro de ruido],1), 1, Table14[[#This Row],[I_10]] / Table14[[#This Row],[I_0]])</f>
        <v>1</v>
      </c>
      <c r="V1023" s="1">
        <f>IF(Table14[[#This Row],[I_0]] &lt; INDEX(Table28[Filtro de ruido],1), 1, Table14[[#This Row],[I_20]] / Table14[[#This Row],[I_0]])</f>
        <v>1</v>
      </c>
      <c r="W1023" s="1">
        <f>IF(Table14[[#This Row],[I_0]] &lt; INDEX(Table28[Filtro de ruido],1), 1, Table14[[#This Row],[I_30]] / Table14[[#This Row],[I_0]])</f>
        <v>1</v>
      </c>
      <c r="X1023" s="1">
        <f>IF(Table14[[#This Row],[I_0]] &lt; INDEX(Table28[Filtro de ruido],1), 1, Table14[[#This Row],[I_40]] / Table14[[#This Row],[I_0]])</f>
        <v>1</v>
      </c>
      <c r="Y1023" s="19">
        <f>IF(Table14[[#This Row],[I_0]] &lt; INDEX(Table28[Filtro de ruido],1), 1, Table14[[#This Row],[I_50]] / Table14[[#This Row],[I_0]])</f>
        <v>1</v>
      </c>
      <c r="AA1023" s="1"/>
    </row>
    <row r="1024" spans="1:27" x14ac:dyDescent="0.3">
      <c r="A1024" s="18">
        <v>1083.8599999999999</v>
      </c>
      <c r="B1024" s="1">
        <v>0</v>
      </c>
      <c r="C1024" s="1">
        <v>1083.8599999999999</v>
      </c>
      <c r="D1024" s="1">
        <v>0</v>
      </c>
      <c r="E1024" s="1">
        <v>1083.8599999999999</v>
      </c>
      <c r="F1024" s="1">
        <v>0</v>
      </c>
      <c r="G1024" s="1">
        <v>1083.8599999999999</v>
      </c>
      <c r="H1024" s="1">
        <v>0</v>
      </c>
      <c r="I1024" s="1">
        <v>1083.8599999999999</v>
      </c>
      <c r="J1024" s="1">
        <v>0</v>
      </c>
      <c r="K1024" s="1">
        <v>1083.8599999999999</v>
      </c>
      <c r="L1024" s="1">
        <v>0</v>
      </c>
      <c r="M1024" s="1">
        <v>1083.8599999999999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1083.8599999999999</v>
      </c>
      <c r="U1024" s="1">
        <f>IF(Table14[[#This Row],[I_0]] &lt; INDEX(Table28[Filtro de ruido],1), 1, Table14[[#This Row],[I_10]] / Table14[[#This Row],[I_0]])</f>
        <v>1</v>
      </c>
      <c r="V1024" s="1">
        <f>IF(Table14[[#This Row],[I_0]] &lt; INDEX(Table28[Filtro de ruido],1), 1, Table14[[#This Row],[I_20]] / Table14[[#This Row],[I_0]])</f>
        <v>1</v>
      </c>
      <c r="W1024" s="1">
        <f>IF(Table14[[#This Row],[I_0]] &lt; INDEX(Table28[Filtro de ruido],1), 1, Table14[[#This Row],[I_30]] / Table14[[#This Row],[I_0]])</f>
        <v>1</v>
      </c>
      <c r="X1024" s="1">
        <f>IF(Table14[[#This Row],[I_0]] &lt; INDEX(Table28[Filtro de ruido],1), 1, Table14[[#This Row],[I_40]] / Table14[[#This Row],[I_0]])</f>
        <v>1</v>
      </c>
      <c r="Y1024" s="19">
        <f>IF(Table14[[#This Row],[I_0]] &lt; INDEX(Table28[Filtro de ruido],1), 1, Table14[[#This Row],[I_50]] / Table14[[#This Row],[I_0]])</f>
        <v>1</v>
      </c>
      <c r="AA1024" s="1"/>
    </row>
    <row r="1025" spans="1:27" x14ac:dyDescent="0.3">
      <c r="A1025" s="18">
        <v>1084.8599999999999</v>
      </c>
      <c r="B1025" s="1">
        <v>0</v>
      </c>
      <c r="C1025" s="1">
        <v>1084.8599999999999</v>
      </c>
      <c r="D1025" s="1">
        <v>0</v>
      </c>
      <c r="E1025" s="1">
        <v>1084.8599999999999</v>
      </c>
      <c r="F1025" s="1">
        <v>0</v>
      </c>
      <c r="G1025" s="1">
        <v>1084.8599999999999</v>
      </c>
      <c r="H1025" s="1">
        <v>0</v>
      </c>
      <c r="I1025" s="1">
        <v>1084.8599999999999</v>
      </c>
      <c r="J1025" s="1">
        <v>0</v>
      </c>
      <c r="K1025" s="1">
        <v>1084.8599999999999</v>
      </c>
      <c r="L1025" s="1">
        <v>0</v>
      </c>
      <c r="M1025" s="1">
        <v>1084.8599999999999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1084.8599999999999</v>
      </c>
      <c r="U1025" s="1">
        <f>IF(Table14[[#This Row],[I_0]] &lt; INDEX(Table28[Filtro de ruido],1), 1, Table14[[#This Row],[I_10]] / Table14[[#This Row],[I_0]])</f>
        <v>1</v>
      </c>
      <c r="V1025" s="1">
        <f>IF(Table14[[#This Row],[I_0]] &lt; INDEX(Table28[Filtro de ruido],1), 1, Table14[[#This Row],[I_20]] / Table14[[#This Row],[I_0]])</f>
        <v>1</v>
      </c>
      <c r="W1025" s="1">
        <f>IF(Table14[[#This Row],[I_0]] &lt; INDEX(Table28[Filtro de ruido],1), 1, Table14[[#This Row],[I_30]] / Table14[[#This Row],[I_0]])</f>
        <v>1</v>
      </c>
      <c r="X1025" s="1">
        <f>IF(Table14[[#This Row],[I_0]] &lt; INDEX(Table28[Filtro de ruido],1), 1, Table14[[#This Row],[I_40]] / Table14[[#This Row],[I_0]])</f>
        <v>1</v>
      </c>
      <c r="Y1025" s="19">
        <f>IF(Table14[[#This Row],[I_0]] &lt; INDEX(Table28[Filtro de ruido],1), 1, Table14[[#This Row],[I_50]] / Table14[[#This Row],[I_0]])</f>
        <v>1</v>
      </c>
      <c r="AA1025" s="1"/>
    </row>
    <row r="1026" spans="1:27" x14ac:dyDescent="0.3">
      <c r="A1026" s="18">
        <v>1085.8499999999999</v>
      </c>
      <c r="B1026" s="1">
        <v>0</v>
      </c>
      <c r="C1026" s="1">
        <v>1085.8499999999999</v>
      </c>
      <c r="D1026" s="1">
        <v>0</v>
      </c>
      <c r="E1026" s="1">
        <v>1085.8499999999999</v>
      </c>
      <c r="F1026" s="1">
        <v>0</v>
      </c>
      <c r="G1026" s="1">
        <v>1085.8499999999999</v>
      </c>
      <c r="H1026" s="1">
        <v>0</v>
      </c>
      <c r="I1026" s="1">
        <v>1085.8499999999999</v>
      </c>
      <c r="J1026" s="1">
        <v>0</v>
      </c>
      <c r="K1026" s="1">
        <v>1085.8499999999999</v>
      </c>
      <c r="L1026" s="1">
        <v>0</v>
      </c>
      <c r="M1026" s="1">
        <v>1085.8499999999999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1085.8499999999999</v>
      </c>
      <c r="U1026" s="1">
        <f>IF(Table14[[#This Row],[I_0]] &lt; INDEX(Table28[Filtro de ruido],1), 1, Table14[[#This Row],[I_10]] / Table14[[#This Row],[I_0]])</f>
        <v>1</v>
      </c>
      <c r="V1026" s="1">
        <f>IF(Table14[[#This Row],[I_0]] &lt; INDEX(Table28[Filtro de ruido],1), 1, Table14[[#This Row],[I_20]] / Table14[[#This Row],[I_0]])</f>
        <v>1</v>
      </c>
      <c r="W1026" s="1">
        <f>IF(Table14[[#This Row],[I_0]] &lt; INDEX(Table28[Filtro de ruido],1), 1, Table14[[#This Row],[I_30]] / Table14[[#This Row],[I_0]])</f>
        <v>1</v>
      </c>
      <c r="X1026" s="1">
        <f>IF(Table14[[#This Row],[I_0]] &lt; INDEX(Table28[Filtro de ruido],1), 1, Table14[[#This Row],[I_40]] / Table14[[#This Row],[I_0]])</f>
        <v>1</v>
      </c>
      <c r="Y1026" s="19">
        <f>IF(Table14[[#This Row],[I_0]] &lt; INDEX(Table28[Filtro de ruido],1), 1, Table14[[#This Row],[I_50]] / Table14[[#This Row],[I_0]])</f>
        <v>1</v>
      </c>
      <c r="AA1026" s="1"/>
    </row>
    <row r="1027" spans="1:27" x14ac:dyDescent="0.3">
      <c r="A1027" s="18">
        <v>1086.8399999999999</v>
      </c>
      <c r="B1027" s="1">
        <v>0</v>
      </c>
      <c r="C1027" s="1">
        <v>1086.8399999999999</v>
      </c>
      <c r="D1027" s="1">
        <v>0</v>
      </c>
      <c r="E1027" s="1">
        <v>1086.8399999999999</v>
      </c>
      <c r="F1027" s="1">
        <v>0</v>
      </c>
      <c r="G1027" s="1">
        <v>1086.8399999999999</v>
      </c>
      <c r="H1027" s="1">
        <v>0</v>
      </c>
      <c r="I1027" s="1">
        <v>1086.8399999999999</v>
      </c>
      <c r="J1027" s="1">
        <v>0</v>
      </c>
      <c r="K1027" s="1">
        <v>1086.8399999999999</v>
      </c>
      <c r="L1027" s="1">
        <v>0</v>
      </c>
      <c r="M1027" s="1">
        <v>1086.8399999999999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1086.8399999999999</v>
      </c>
      <c r="U1027" s="1">
        <f>IF(Table14[[#This Row],[I_0]] &lt; INDEX(Table28[Filtro de ruido],1), 1, Table14[[#This Row],[I_10]] / Table14[[#This Row],[I_0]])</f>
        <v>1</v>
      </c>
      <c r="V1027" s="1">
        <f>IF(Table14[[#This Row],[I_0]] &lt; INDEX(Table28[Filtro de ruido],1), 1, Table14[[#This Row],[I_20]] / Table14[[#This Row],[I_0]])</f>
        <v>1</v>
      </c>
      <c r="W1027" s="1">
        <f>IF(Table14[[#This Row],[I_0]] &lt; INDEX(Table28[Filtro de ruido],1), 1, Table14[[#This Row],[I_30]] / Table14[[#This Row],[I_0]])</f>
        <v>1</v>
      </c>
      <c r="X1027" s="1">
        <f>IF(Table14[[#This Row],[I_0]] &lt; INDEX(Table28[Filtro de ruido],1), 1, Table14[[#This Row],[I_40]] / Table14[[#This Row],[I_0]])</f>
        <v>1</v>
      </c>
      <c r="Y1027" s="19">
        <f>IF(Table14[[#This Row],[I_0]] &lt; INDEX(Table28[Filtro de ruido],1), 1, Table14[[#This Row],[I_50]] / Table14[[#This Row],[I_0]])</f>
        <v>1</v>
      </c>
      <c r="AA1027" s="1"/>
    </row>
    <row r="1028" spans="1:27" x14ac:dyDescent="0.3">
      <c r="A1028" s="18">
        <v>1087.83</v>
      </c>
      <c r="B1028" s="1">
        <v>0</v>
      </c>
      <c r="C1028" s="1">
        <v>1087.83</v>
      </c>
      <c r="D1028" s="1">
        <v>0</v>
      </c>
      <c r="E1028" s="1">
        <v>1087.83</v>
      </c>
      <c r="F1028" s="1">
        <v>0</v>
      </c>
      <c r="G1028" s="1">
        <v>1087.83</v>
      </c>
      <c r="H1028" s="1">
        <v>0</v>
      </c>
      <c r="I1028" s="1">
        <v>1087.83</v>
      </c>
      <c r="J1028" s="1">
        <v>0</v>
      </c>
      <c r="K1028" s="1">
        <v>1087.83</v>
      </c>
      <c r="L1028" s="1">
        <v>0</v>
      </c>
      <c r="M1028" s="1">
        <v>1087.83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1087.83</v>
      </c>
      <c r="U1028" s="1">
        <f>IF(Table14[[#This Row],[I_0]] &lt; INDEX(Table28[Filtro de ruido],1), 1, Table14[[#This Row],[I_10]] / Table14[[#This Row],[I_0]])</f>
        <v>1</v>
      </c>
      <c r="V1028" s="1">
        <f>IF(Table14[[#This Row],[I_0]] &lt; INDEX(Table28[Filtro de ruido],1), 1, Table14[[#This Row],[I_20]] / Table14[[#This Row],[I_0]])</f>
        <v>1</v>
      </c>
      <c r="W1028" s="1">
        <f>IF(Table14[[#This Row],[I_0]] &lt; INDEX(Table28[Filtro de ruido],1), 1, Table14[[#This Row],[I_30]] / Table14[[#This Row],[I_0]])</f>
        <v>1</v>
      </c>
      <c r="X1028" s="1">
        <f>IF(Table14[[#This Row],[I_0]] &lt; INDEX(Table28[Filtro de ruido],1), 1, Table14[[#This Row],[I_40]] / Table14[[#This Row],[I_0]])</f>
        <v>1</v>
      </c>
      <c r="Y1028" s="19">
        <f>IF(Table14[[#This Row],[I_0]] &lt; INDEX(Table28[Filtro de ruido],1), 1, Table14[[#This Row],[I_50]] / Table14[[#This Row],[I_0]])</f>
        <v>1</v>
      </c>
      <c r="AA1028" s="1"/>
    </row>
    <row r="1029" spans="1:27" x14ac:dyDescent="0.3">
      <c r="A1029" s="18">
        <v>1088.82</v>
      </c>
      <c r="B1029" s="1">
        <v>0</v>
      </c>
      <c r="C1029" s="1">
        <v>1088.82</v>
      </c>
      <c r="D1029" s="1">
        <v>0</v>
      </c>
      <c r="E1029" s="1">
        <v>1088.82</v>
      </c>
      <c r="F1029" s="1">
        <v>0</v>
      </c>
      <c r="G1029" s="1">
        <v>1088.82</v>
      </c>
      <c r="H1029" s="1">
        <v>0</v>
      </c>
      <c r="I1029" s="1">
        <v>1088.82</v>
      </c>
      <c r="J1029" s="1">
        <v>0</v>
      </c>
      <c r="K1029" s="1">
        <v>1088.82</v>
      </c>
      <c r="L1029" s="1">
        <v>0</v>
      </c>
      <c r="M1029" s="1">
        <v>1088.82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1088.82</v>
      </c>
      <c r="U1029" s="1">
        <f>IF(Table14[[#This Row],[I_0]] &lt; INDEX(Table28[Filtro de ruido],1), 1, Table14[[#This Row],[I_10]] / Table14[[#This Row],[I_0]])</f>
        <v>1</v>
      </c>
      <c r="V1029" s="1">
        <f>IF(Table14[[#This Row],[I_0]] &lt; INDEX(Table28[Filtro de ruido],1), 1, Table14[[#This Row],[I_20]] / Table14[[#This Row],[I_0]])</f>
        <v>1</v>
      </c>
      <c r="W1029" s="1">
        <f>IF(Table14[[#This Row],[I_0]] &lt; INDEX(Table28[Filtro de ruido],1), 1, Table14[[#This Row],[I_30]] / Table14[[#This Row],[I_0]])</f>
        <v>1</v>
      </c>
      <c r="X1029" s="1">
        <f>IF(Table14[[#This Row],[I_0]] &lt; INDEX(Table28[Filtro de ruido],1), 1, Table14[[#This Row],[I_40]] / Table14[[#This Row],[I_0]])</f>
        <v>1</v>
      </c>
      <c r="Y1029" s="19">
        <f>IF(Table14[[#This Row],[I_0]] &lt; INDEX(Table28[Filtro de ruido],1), 1, Table14[[#This Row],[I_50]] / Table14[[#This Row],[I_0]])</f>
        <v>1</v>
      </c>
      <c r="AA1029" s="1"/>
    </row>
    <row r="1030" spans="1:27" x14ac:dyDescent="0.3">
      <c r="A1030" s="18">
        <v>1089.81</v>
      </c>
      <c r="B1030" s="1">
        <v>0</v>
      </c>
      <c r="C1030" s="1">
        <v>1089.81</v>
      </c>
      <c r="D1030" s="1">
        <v>0</v>
      </c>
      <c r="E1030" s="1">
        <v>1089.81</v>
      </c>
      <c r="F1030" s="1">
        <v>0</v>
      </c>
      <c r="G1030" s="1">
        <v>1089.81</v>
      </c>
      <c r="H1030" s="1">
        <v>0</v>
      </c>
      <c r="I1030" s="1">
        <v>1089.81</v>
      </c>
      <c r="J1030" s="1">
        <v>0</v>
      </c>
      <c r="K1030" s="1">
        <v>1089.81</v>
      </c>
      <c r="L1030" s="1">
        <v>0</v>
      </c>
      <c r="M1030" s="1">
        <v>1089.81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1089.81</v>
      </c>
      <c r="U1030" s="1">
        <f>IF(Table14[[#This Row],[I_0]] &lt; INDEX(Table28[Filtro de ruido],1), 1, Table14[[#This Row],[I_10]] / Table14[[#This Row],[I_0]])</f>
        <v>1</v>
      </c>
      <c r="V1030" s="1">
        <f>IF(Table14[[#This Row],[I_0]] &lt; INDEX(Table28[Filtro de ruido],1), 1, Table14[[#This Row],[I_20]] / Table14[[#This Row],[I_0]])</f>
        <v>1</v>
      </c>
      <c r="W1030" s="1">
        <f>IF(Table14[[#This Row],[I_0]] &lt; INDEX(Table28[Filtro de ruido],1), 1, Table14[[#This Row],[I_30]] / Table14[[#This Row],[I_0]])</f>
        <v>1</v>
      </c>
      <c r="X1030" s="1">
        <f>IF(Table14[[#This Row],[I_0]] &lt; INDEX(Table28[Filtro de ruido],1), 1, Table14[[#This Row],[I_40]] / Table14[[#This Row],[I_0]])</f>
        <v>1</v>
      </c>
      <c r="Y1030" s="19">
        <f>IF(Table14[[#This Row],[I_0]] &lt; INDEX(Table28[Filtro de ruido],1), 1, Table14[[#This Row],[I_50]] / Table14[[#This Row],[I_0]])</f>
        <v>1</v>
      </c>
      <c r="AA1030" s="1"/>
    </row>
    <row r="1031" spans="1:27" x14ac:dyDescent="0.3">
      <c r="A1031" s="18">
        <v>1090.81</v>
      </c>
      <c r="B1031" s="1">
        <v>0</v>
      </c>
      <c r="C1031" s="1">
        <v>1090.81</v>
      </c>
      <c r="D1031" s="1">
        <v>0</v>
      </c>
      <c r="E1031" s="1">
        <v>1090.81</v>
      </c>
      <c r="F1031" s="1">
        <v>0</v>
      </c>
      <c r="G1031" s="1">
        <v>1090.81</v>
      </c>
      <c r="H1031" s="1">
        <v>0</v>
      </c>
      <c r="I1031" s="1">
        <v>1090.81</v>
      </c>
      <c r="J1031" s="1">
        <v>0</v>
      </c>
      <c r="K1031" s="1">
        <v>1090.81</v>
      </c>
      <c r="L1031" s="1">
        <v>0</v>
      </c>
      <c r="M1031" s="1">
        <v>1090.81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1090.81</v>
      </c>
      <c r="U1031" s="1">
        <f>IF(Table14[[#This Row],[I_0]] &lt; INDEX(Table28[Filtro de ruido],1), 1, Table14[[#This Row],[I_10]] / Table14[[#This Row],[I_0]])</f>
        <v>1</v>
      </c>
      <c r="V1031" s="1">
        <f>IF(Table14[[#This Row],[I_0]] &lt; INDEX(Table28[Filtro de ruido],1), 1, Table14[[#This Row],[I_20]] / Table14[[#This Row],[I_0]])</f>
        <v>1</v>
      </c>
      <c r="W1031" s="1">
        <f>IF(Table14[[#This Row],[I_0]] &lt; INDEX(Table28[Filtro de ruido],1), 1, Table14[[#This Row],[I_30]] / Table14[[#This Row],[I_0]])</f>
        <v>1</v>
      </c>
      <c r="X1031" s="1">
        <f>IF(Table14[[#This Row],[I_0]] &lt; INDEX(Table28[Filtro de ruido],1), 1, Table14[[#This Row],[I_40]] / Table14[[#This Row],[I_0]])</f>
        <v>1</v>
      </c>
      <c r="Y1031" s="19">
        <f>IF(Table14[[#This Row],[I_0]] &lt; INDEX(Table28[Filtro de ruido],1), 1, Table14[[#This Row],[I_50]] / Table14[[#This Row],[I_0]])</f>
        <v>1</v>
      </c>
      <c r="AA1031" s="1"/>
    </row>
    <row r="1032" spans="1:27" x14ac:dyDescent="0.3">
      <c r="A1032" s="18">
        <v>1091.8</v>
      </c>
      <c r="B1032" s="1">
        <v>0</v>
      </c>
      <c r="C1032" s="1">
        <v>1091.8</v>
      </c>
      <c r="D1032" s="1">
        <v>0</v>
      </c>
      <c r="E1032" s="1">
        <v>1091.8</v>
      </c>
      <c r="F1032" s="1">
        <v>0</v>
      </c>
      <c r="G1032" s="1">
        <v>1091.8</v>
      </c>
      <c r="H1032" s="1">
        <v>0</v>
      </c>
      <c r="I1032" s="1">
        <v>1091.8</v>
      </c>
      <c r="J1032" s="1">
        <v>0</v>
      </c>
      <c r="K1032" s="1">
        <v>1091.8</v>
      </c>
      <c r="L1032" s="1">
        <v>0</v>
      </c>
      <c r="M1032" s="1">
        <v>1091.8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1091.8</v>
      </c>
      <c r="U1032" s="1">
        <f>IF(Table14[[#This Row],[I_0]] &lt; INDEX(Table28[Filtro de ruido],1), 1, Table14[[#This Row],[I_10]] / Table14[[#This Row],[I_0]])</f>
        <v>1</v>
      </c>
      <c r="V1032" s="1">
        <f>IF(Table14[[#This Row],[I_0]] &lt; INDEX(Table28[Filtro de ruido],1), 1, Table14[[#This Row],[I_20]] / Table14[[#This Row],[I_0]])</f>
        <v>1</v>
      </c>
      <c r="W1032" s="1">
        <f>IF(Table14[[#This Row],[I_0]] &lt; INDEX(Table28[Filtro de ruido],1), 1, Table14[[#This Row],[I_30]] / Table14[[#This Row],[I_0]])</f>
        <v>1</v>
      </c>
      <c r="X1032" s="1">
        <f>IF(Table14[[#This Row],[I_0]] &lt; INDEX(Table28[Filtro de ruido],1), 1, Table14[[#This Row],[I_40]] / Table14[[#This Row],[I_0]])</f>
        <v>1</v>
      </c>
      <c r="Y1032" s="19">
        <f>IF(Table14[[#This Row],[I_0]] &lt; INDEX(Table28[Filtro de ruido],1), 1, Table14[[#This Row],[I_50]] / Table14[[#This Row],[I_0]])</f>
        <v>1</v>
      </c>
      <c r="AA1032" s="1"/>
    </row>
    <row r="1033" spans="1:27" x14ac:dyDescent="0.3">
      <c r="A1033" s="18">
        <v>1092.79</v>
      </c>
      <c r="B1033" s="1">
        <v>0</v>
      </c>
      <c r="C1033" s="1">
        <v>1092.79</v>
      </c>
      <c r="D1033" s="1">
        <v>0</v>
      </c>
      <c r="E1033" s="1">
        <v>1092.79</v>
      </c>
      <c r="F1033" s="1">
        <v>0</v>
      </c>
      <c r="G1033" s="1">
        <v>1092.79</v>
      </c>
      <c r="H1033" s="1">
        <v>0</v>
      </c>
      <c r="I1033" s="1">
        <v>1092.79</v>
      </c>
      <c r="J1033" s="1">
        <v>0</v>
      </c>
      <c r="K1033" s="1">
        <v>1092.79</v>
      </c>
      <c r="L1033" s="1">
        <v>0</v>
      </c>
      <c r="M1033" s="1">
        <v>1092.79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1092.79</v>
      </c>
      <c r="U1033" s="1">
        <f>IF(Table14[[#This Row],[I_0]] &lt; INDEX(Table28[Filtro de ruido],1), 1, Table14[[#This Row],[I_10]] / Table14[[#This Row],[I_0]])</f>
        <v>1</v>
      </c>
      <c r="V1033" s="1">
        <f>IF(Table14[[#This Row],[I_0]] &lt; INDEX(Table28[Filtro de ruido],1), 1, Table14[[#This Row],[I_20]] / Table14[[#This Row],[I_0]])</f>
        <v>1</v>
      </c>
      <c r="W1033" s="1">
        <f>IF(Table14[[#This Row],[I_0]] &lt; INDEX(Table28[Filtro de ruido],1), 1, Table14[[#This Row],[I_30]] / Table14[[#This Row],[I_0]])</f>
        <v>1</v>
      </c>
      <c r="X1033" s="1">
        <f>IF(Table14[[#This Row],[I_0]] &lt; INDEX(Table28[Filtro de ruido],1), 1, Table14[[#This Row],[I_40]] / Table14[[#This Row],[I_0]])</f>
        <v>1</v>
      </c>
      <c r="Y1033" s="19">
        <f>IF(Table14[[#This Row],[I_0]] &lt; INDEX(Table28[Filtro de ruido],1), 1, Table14[[#This Row],[I_50]] / Table14[[#This Row],[I_0]])</f>
        <v>1</v>
      </c>
      <c r="AA1033" s="1"/>
    </row>
    <row r="1034" spans="1:27" x14ac:dyDescent="0.3">
      <c r="A1034" s="18">
        <v>1093.78</v>
      </c>
      <c r="B1034" s="1">
        <v>0</v>
      </c>
      <c r="C1034" s="1">
        <v>1093.78</v>
      </c>
      <c r="D1034" s="1">
        <v>0</v>
      </c>
      <c r="E1034" s="1">
        <v>1093.78</v>
      </c>
      <c r="F1034" s="1">
        <v>0</v>
      </c>
      <c r="G1034" s="1">
        <v>1093.78</v>
      </c>
      <c r="H1034" s="1">
        <v>0</v>
      </c>
      <c r="I1034" s="1">
        <v>1093.78</v>
      </c>
      <c r="J1034" s="1">
        <v>0</v>
      </c>
      <c r="K1034" s="1">
        <v>1093.78</v>
      </c>
      <c r="L1034" s="1">
        <v>0</v>
      </c>
      <c r="M1034" s="1">
        <v>1093.78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1093.78</v>
      </c>
      <c r="U1034" s="1">
        <f>IF(Table14[[#This Row],[I_0]] &lt; INDEX(Table28[Filtro de ruido],1), 1, Table14[[#This Row],[I_10]] / Table14[[#This Row],[I_0]])</f>
        <v>1</v>
      </c>
      <c r="V1034" s="1">
        <f>IF(Table14[[#This Row],[I_0]] &lt; INDEX(Table28[Filtro de ruido],1), 1, Table14[[#This Row],[I_20]] / Table14[[#This Row],[I_0]])</f>
        <v>1</v>
      </c>
      <c r="W1034" s="1">
        <f>IF(Table14[[#This Row],[I_0]] &lt; INDEX(Table28[Filtro de ruido],1), 1, Table14[[#This Row],[I_30]] / Table14[[#This Row],[I_0]])</f>
        <v>1</v>
      </c>
      <c r="X1034" s="1">
        <f>IF(Table14[[#This Row],[I_0]] &lt; INDEX(Table28[Filtro de ruido],1), 1, Table14[[#This Row],[I_40]] / Table14[[#This Row],[I_0]])</f>
        <v>1</v>
      </c>
      <c r="Y1034" s="19">
        <f>IF(Table14[[#This Row],[I_0]] &lt; INDEX(Table28[Filtro de ruido],1), 1, Table14[[#This Row],[I_50]] / Table14[[#This Row],[I_0]])</f>
        <v>1</v>
      </c>
      <c r="AA1034" s="1"/>
    </row>
    <row r="1035" spans="1:27" x14ac:dyDescent="0.3">
      <c r="A1035" s="18">
        <v>1094.77</v>
      </c>
      <c r="B1035" s="1">
        <v>0</v>
      </c>
      <c r="C1035" s="1">
        <v>1094.77</v>
      </c>
      <c r="D1035" s="1">
        <v>0</v>
      </c>
      <c r="E1035" s="1">
        <v>1094.77</v>
      </c>
      <c r="F1035" s="1">
        <v>0</v>
      </c>
      <c r="G1035" s="1">
        <v>1094.77</v>
      </c>
      <c r="H1035" s="1">
        <v>0</v>
      </c>
      <c r="I1035" s="1">
        <v>1094.77</v>
      </c>
      <c r="J1035" s="1">
        <v>0</v>
      </c>
      <c r="K1035" s="1">
        <v>1094.77</v>
      </c>
      <c r="L1035" s="1">
        <v>0</v>
      </c>
      <c r="M1035" s="1">
        <v>1094.77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1094.77</v>
      </c>
      <c r="U1035" s="1">
        <f>IF(Table14[[#This Row],[I_0]] &lt; INDEX(Table28[Filtro de ruido],1), 1, Table14[[#This Row],[I_10]] / Table14[[#This Row],[I_0]])</f>
        <v>1</v>
      </c>
      <c r="V1035" s="1">
        <f>IF(Table14[[#This Row],[I_0]] &lt; INDEX(Table28[Filtro de ruido],1), 1, Table14[[#This Row],[I_20]] / Table14[[#This Row],[I_0]])</f>
        <v>1</v>
      </c>
      <c r="W1035" s="1">
        <f>IF(Table14[[#This Row],[I_0]] &lt; INDEX(Table28[Filtro de ruido],1), 1, Table14[[#This Row],[I_30]] / Table14[[#This Row],[I_0]])</f>
        <v>1</v>
      </c>
      <c r="X1035" s="1">
        <f>IF(Table14[[#This Row],[I_0]] &lt; INDEX(Table28[Filtro de ruido],1), 1, Table14[[#This Row],[I_40]] / Table14[[#This Row],[I_0]])</f>
        <v>1</v>
      </c>
      <c r="Y1035" s="19">
        <f>IF(Table14[[#This Row],[I_0]] &lt; INDEX(Table28[Filtro de ruido],1), 1, Table14[[#This Row],[I_50]] / Table14[[#This Row],[I_0]])</f>
        <v>1</v>
      </c>
      <c r="AA1035" s="1"/>
    </row>
    <row r="1036" spans="1:27" x14ac:dyDescent="0.3">
      <c r="A1036" s="18">
        <v>1095.76</v>
      </c>
      <c r="B1036" s="1">
        <v>0</v>
      </c>
      <c r="C1036" s="1">
        <v>1095.76</v>
      </c>
      <c r="D1036" s="1">
        <v>0</v>
      </c>
      <c r="E1036" s="1">
        <v>1095.76</v>
      </c>
      <c r="F1036" s="1">
        <v>0</v>
      </c>
      <c r="G1036" s="1">
        <v>1095.76</v>
      </c>
      <c r="H1036" s="1">
        <v>0</v>
      </c>
      <c r="I1036" s="1">
        <v>1095.76</v>
      </c>
      <c r="J1036" s="1">
        <v>0</v>
      </c>
      <c r="K1036" s="1">
        <v>1095.76</v>
      </c>
      <c r="L1036" s="1">
        <v>0</v>
      </c>
      <c r="M1036" s="1">
        <v>1095.76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1095.76</v>
      </c>
      <c r="U1036" s="1">
        <f>IF(Table14[[#This Row],[I_0]] &lt; INDEX(Table28[Filtro de ruido],1), 1, Table14[[#This Row],[I_10]] / Table14[[#This Row],[I_0]])</f>
        <v>1</v>
      </c>
      <c r="V1036" s="1">
        <f>IF(Table14[[#This Row],[I_0]] &lt; INDEX(Table28[Filtro de ruido],1), 1, Table14[[#This Row],[I_20]] / Table14[[#This Row],[I_0]])</f>
        <v>1</v>
      </c>
      <c r="W1036" s="1">
        <f>IF(Table14[[#This Row],[I_0]] &lt; INDEX(Table28[Filtro de ruido],1), 1, Table14[[#This Row],[I_30]] / Table14[[#This Row],[I_0]])</f>
        <v>1</v>
      </c>
      <c r="X1036" s="1">
        <f>IF(Table14[[#This Row],[I_0]] &lt; INDEX(Table28[Filtro de ruido],1), 1, Table14[[#This Row],[I_40]] / Table14[[#This Row],[I_0]])</f>
        <v>1</v>
      </c>
      <c r="Y1036" s="19">
        <f>IF(Table14[[#This Row],[I_0]] &lt; INDEX(Table28[Filtro de ruido],1), 1, Table14[[#This Row],[I_50]] / Table14[[#This Row],[I_0]])</f>
        <v>1</v>
      </c>
      <c r="AA1036" s="1"/>
    </row>
    <row r="1037" spans="1:27" x14ac:dyDescent="0.3">
      <c r="A1037" s="18">
        <v>1096.76</v>
      </c>
      <c r="B1037" s="1">
        <v>0</v>
      </c>
      <c r="C1037" s="1">
        <v>1096.76</v>
      </c>
      <c r="D1037" s="1">
        <v>0</v>
      </c>
      <c r="E1037" s="1">
        <v>1096.76</v>
      </c>
      <c r="F1037" s="1">
        <v>0</v>
      </c>
      <c r="G1037" s="1">
        <v>1096.76</v>
      </c>
      <c r="H1037" s="1">
        <v>0</v>
      </c>
      <c r="I1037" s="1">
        <v>1096.76</v>
      </c>
      <c r="J1037" s="1">
        <v>0</v>
      </c>
      <c r="K1037" s="1">
        <v>1096.76</v>
      </c>
      <c r="L1037" s="1">
        <v>0</v>
      </c>
      <c r="M1037" s="1">
        <v>1096.76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1096.76</v>
      </c>
      <c r="U1037" s="1">
        <f>IF(Table14[[#This Row],[I_0]] &lt; INDEX(Table28[Filtro de ruido],1), 1, Table14[[#This Row],[I_10]] / Table14[[#This Row],[I_0]])</f>
        <v>1</v>
      </c>
      <c r="V1037" s="1">
        <f>IF(Table14[[#This Row],[I_0]] &lt; INDEX(Table28[Filtro de ruido],1), 1, Table14[[#This Row],[I_20]] / Table14[[#This Row],[I_0]])</f>
        <v>1</v>
      </c>
      <c r="W1037" s="1">
        <f>IF(Table14[[#This Row],[I_0]] &lt; INDEX(Table28[Filtro de ruido],1), 1, Table14[[#This Row],[I_30]] / Table14[[#This Row],[I_0]])</f>
        <v>1</v>
      </c>
      <c r="X1037" s="1">
        <f>IF(Table14[[#This Row],[I_0]] &lt; INDEX(Table28[Filtro de ruido],1), 1, Table14[[#This Row],[I_40]] / Table14[[#This Row],[I_0]])</f>
        <v>1</v>
      </c>
      <c r="Y1037" s="19">
        <f>IF(Table14[[#This Row],[I_0]] &lt; INDEX(Table28[Filtro de ruido],1), 1, Table14[[#This Row],[I_50]] / Table14[[#This Row],[I_0]])</f>
        <v>1</v>
      </c>
      <c r="AA1037" s="1"/>
    </row>
    <row r="1038" spans="1:27" x14ac:dyDescent="0.3">
      <c r="A1038" s="18">
        <v>1097.75</v>
      </c>
      <c r="B1038" s="1">
        <v>0</v>
      </c>
      <c r="C1038" s="1">
        <v>1097.75</v>
      </c>
      <c r="D1038" s="1">
        <v>0</v>
      </c>
      <c r="E1038" s="1">
        <v>1097.75</v>
      </c>
      <c r="F1038" s="1">
        <v>0</v>
      </c>
      <c r="G1038" s="1">
        <v>1097.75</v>
      </c>
      <c r="H1038" s="1">
        <v>0</v>
      </c>
      <c r="I1038" s="1">
        <v>1097.75</v>
      </c>
      <c r="J1038" s="1">
        <v>0</v>
      </c>
      <c r="K1038" s="1">
        <v>1097.75</v>
      </c>
      <c r="L1038" s="1">
        <v>0</v>
      </c>
      <c r="M1038" s="1">
        <v>1097.75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1097.75</v>
      </c>
      <c r="U1038" s="1">
        <f>IF(Table14[[#This Row],[I_0]] &lt; INDEX(Table28[Filtro de ruido],1), 1, Table14[[#This Row],[I_10]] / Table14[[#This Row],[I_0]])</f>
        <v>1</v>
      </c>
      <c r="V1038" s="1">
        <f>IF(Table14[[#This Row],[I_0]] &lt; INDEX(Table28[Filtro de ruido],1), 1, Table14[[#This Row],[I_20]] / Table14[[#This Row],[I_0]])</f>
        <v>1</v>
      </c>
      <c r="W1038" s="1">
        <f>IF(Table14[[#This Row],[I_0]] &lt; INDEX(Table28[Filtro de ruido],1), 1, Table14[[#This Row],[I_30]] / Table14[[#This Row],[I_0]])</f>
        <v>1</v>
      </c>
      <c r="X1038" s="1">
        <f>IF(Table14[[#This Row],[I_0]] &lt; INDEX(Table28[Filtro de ruido],1), 1, Table14[[#This Row],[I_40]] / Table14[[#This Row],[I_0]])</f>
        <v>1</v>
      </c>
      <c r="Y1038" s="19">
        <f>IF(Table14[[#This Row],[I_0]] &lt; INDEX(Table28[Filtro de ruido],1), 1, Table14[[#This Row],[I_50]] / Table14[[#This Row],[I_0]])</f>
        <v>1</v>
      </c>
      <c r="AA1038" s="1"/>
    </row>
    <row r="1039" spans="1:27" x14ac:dyDescent="0.3">
      <c r="A1039" s="18">
        <v>1098.74</v>
      </c>
      <c r="B1039" s="1">
        <v>0</v>
      </c>
      <c r="C1039" s="1">
        <v>1098.74</v>
      </c>
      <c r="D1039" s="1">
        <v>0</v>
      </c>
      <c r="E1039" s="1">
        <v>1098.74</v>
      </c>
      <c r="F1039" s="1">
        <v>0</v>
      </c>
      <c r="G1039" s="1">
        <v>1098.74</v>
      </c>
      <c r="H1039" s="1">
        <v>0</v>
      </c>
      <c r="I1039" s="1">
        <v>1098.74</v>
      </c>
      <c r="J1039" s="1">
        <v>0</v>
      </c>
      <c r="K1039" s="1">
        <v>1098.74</v>
      </c>
      <c r="L1039" s="1">
        <v>0</v>
      </c>
      <c r="M1039" s="1">
        <v>1098.74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1098.74</v>
      </c>
      <c r="U1039" s="1">
        <f>IF(Table14[[#This Row],[I_0]] &lt; INDEX(Table28[Filtro de ruido],1), 1, Table14[[#This Row],[I_10]] / Table14[[#This Row],[I_0]])</f>
        <v>1</v>
      </c>
      <c r="V1039" s="1">
        <f>IF(Table14[[#This Row],[I_0]] &lt; INDEX(Table28[Filtro de ruido],1), 1, Table14[[#This Row],[I_20]] / Table14[[#This Row],[I_0]])</f>
        <v>1</v>
      </c>
      <c r="W1039" s="1">
        <f>IF(Table14[[#This Row],[I_0]] &lt; INDEX(Table28[Filtro de ruido],1), 1, Table14[[#This Row],[I_30]] / Table14[[#This Row],[I_0]])</f>
        <v>1</v>
      </c>
      <c r="X1039" s="1">
        <f>IF(Table14[[#This Row],[I_0]] &lt; INDEX(Table28[Filtro de ruido],1), 1, Table14[[#This Row],[I_40]] / Table14[[#This Row],[I_0]])</f>
        <v>1</v>
      </c>
      <c r="Y1039" s="19">
        <f>IF(Table14[[#This Row],[I_0]] &lt; INDEX(Table28[Filtro de ruido],1), 1, Table14[[#This Row],[I_50]] / Table14[[#This Row],[I_0]])</f>
        <v>1</v>
      </c>
      <c r="AA1039" s="1"/>
    </row>
    <row r="1040" spans="1:27" x14ac:dyDescent="0.3">
      <c r="A1040" s="18">
        <v>1099.73</v>
      </c>
      <c r="B1040" s="1">
        <v>0</v>
      </c>
      <c r="C1040" s="1">
        <v>1099.73</v>
      </c>
      <c r="D1040" s="1">
        <v>0</v>
      </c>
      <c r="E1040" s="1">
        <v>1099.73</v>
      </c>
      <c r="F1040" s="1">
        <v>0</v>
      </c>
      <c r="G1040" s="1">
        <v>1099.73</v>
      </c>
      <c r="H1040" s="1">
        <v>0</v>
      </c>
      <c r="I1040" s="1">
        <v>1099.73</v>
      </c>
      <c r="J1040" s="1">
        <v>0</v>
      </c>
      <c r="K1040" s="1">
        <v>1099.73</v>
      </c>
      <c r="L1040" s="1">
        <v>0</v>
      </c>
      <c r="M1040" s="1">
        <v>1099.73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1099.73</v>
      </c>
      <c r="U1040" s="1">
        <f>IF(Table14[[#This Row],[I_0]] &lt; INDEX(Table28[Filtro de ruido],1), 1, Table14[[#This Row],[I_10]] / Table14[[#This Row],[I_0]])</f>
        <v>1</v>
      </c>
      <c r="V1040" s="1">
        <f>IF(Table14[[#This Row],[I_0]] &lt; INDEX(Table28[Filtro de ruido],1), 1, Table14[[#This Row],[I_20]] / Table14[[#This Row],[I_0]])</f>
        <v>1</v>
      </c>
      <c r="W1040" s="1">
        <f>IF(Table14[[#This Row],[I_0]] &lt; INDEX(Table28[Filtro de ruido],1), 1, Table14[[#This Row],[I_30]] / Table14[[#This Row],[I_0]])</f>
        <v>1</v>
      </c>
      <c r="X1040" s="1">
        <f>IF(Table14[[#This Row],[I_0]] &lt; INDEX(Table28[Filtro de ruido],1), 1, Table14[[#This Row],[I_40]] / Table14[[#This Row],[I_0]])</f>
        <v>1</v>
      </c>
      <c r="Y1040" s="19">
        <f>IF(Table14[[#This Row],[I_0]] &lt; INDEX(Table28[Filtro de ruido],1), 1, Table14[[#This Row],[I_50]] / Table14[[#This Row],[I_0]])</f>
        <v>1</v>
      </c>
      <c r="AA1040" s="1"/>
    </row>
    <row r="1041" spans="1:27" x14ac:dyDescent="0.3">
      <c r="A1041" s="18">
        <v>1100.72</v>
      </c>
      <c r="B1041" s="1">
        <v>0</v>
      </c>
      <c r="C1041" s="1">
        <v>1100.72</v>
      </c>
      <c r="D1041" s="1">
        <v>0</v>
      </c>
      <c r="E1041" s="1">
        <v>1100.72</v>
      </c>
      <c r="F1041" s="1">
        <v>0</v>
      </c>
      <c r="G1041" s="1">
        <v>1100.72</v>
      </c>
      <c r="H1041" s="1">
        <v>0</v>
      </c>
      <c r="I1041" s="1">
        <v>1100.72</v>
      </c>
      <c r="J1041" s="1">
        <v>0</v>
      </c>
      <c r="K1041" s="1">
        <v>1100.72</v>
      </c>
      <c r="L1041" s="1">
        <v>0</v>
      </c>
      <c r="M1041" s="1">
        <v>1100.72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1100.72</v>
      </c>
      <c r="U1041" s="1">
        <f>IF(Table14[[#This Row],[I_0]] &lt; INDEX(Table28[Filtro de ruido],1), 1, Table14[[#This Row],[I_10]] / Table14[[#This Row],[I_0]])</f>
        <v>1</v>
      </c>
      <c r="V1041" s="1">
        <f>IF(Table14[[#This Row],[I_0]] &lt; INDEX(Table28[Filtro de ruido],1), 1, Table14[[#This Row],[I_20]] / Table14[[#This Row],[I_0]])</f>
        <v>1</v>
      </c>
      <c r="W1041" s="1">
        <f>IF(Table14[[#This Row],[I_0]] &lt; INDEX(Table28[Filtro de ruido],1), 1, Table14[[#This Row],[I_30]] / Table14[[#This Row],[I_0]])</f>
        <v>1</v>
      </c>
      <c r="X1041" s="1">
        <f>IF(Table14[[#This Row],[I_0]] &lt; INDEX(Table28[Filtro de ruido],1), 1, Table14[[#This Row],[I_40]] / Table14[[#This Row],[I_0]])</f>
        <v>1</v>
      </c>
      <c r="Y1041" s="19">
        <f>IF(Table14[[#This Row],[I_0]] &lt; INDEX(Table28[Filtro de ruido],1), 1, Table14[[#This Row],[I_50]] / Table14[[#This Row],[I_0]])</f>
        <v>1</v>
      </c>
      <c r="AA1041" s="1"/>
    </row>
    <row r="1042" spans="1:27" x14ac:dyDescent="0.3">
      <c r="A1042" s="18">
        <v>1101.72</v>
      </c>
      <c r="B1042" s="1">
        <v>0</v>
      </c>
      <c r="C1042" s="1">
        <v>1101.72</v>
      </c>
      <c r="D1042" s="1">
        <v>0</v>
      </c>
      <c r="E1042" s="1">
        <v>1101.72</v>
      </c>
      <c r="F1042" s="1">
        <v>0</v>
      </c>
      <c r="G1042" s="1">
        <v>1101.72</v>
      </c>
      <c r="H1042" s="1">
        <v>0</v>
      </c>
      <c r="I1042" s="1">
        <v>1101.72</v>
      </c>
      <c r="J1042" s="1">
        <v>0</v>
      </c>
      <c r="K1042" s="1">
        <v>1101.72</v>
      </c>
      <c r="L1042" s="1">
        <v>0</v>
      </c>
      <c r="M1042" s="1">
        <v>1101.72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1101.72</v>
      </c>
      <c r="U1042" s="1">
        <f>IF(Table14[[#This Row],[I_0]] &lt; INDEX(Table28[Filtro de ruido],1), 1, Table14[[#This Row],[I_10]] / Table14[[#This Row],[I_0]])</f>
        <v>1</v>
      </c>
      <c r="V1042" s="1">
        <f>IF(Table14[[#This Row],[I_0]] &lt; INDEX(Table28[Filtro de ruido],1), 1, Table14[[#This Row],[I_20]] / Table14[[#This Row],[I_0]])</f>
        <v>1</v>
      </c>
      <c r="W1042" s="1">
        <f>IF(Table14[[#This Row],[I_0]] &lt; INDEX(Table28[Filtro de ruido],1), 1, Table14[[#This Row],[I_30]] / Table14[[#This Row],[I_0]])</f>
        <v>1</v>
      </c>
      <c r="X1042" s="1">
        <f>IF(Table14[[#This Row],[I_0]] &lt; INDEX(Table28[Filtro de ruido],1), 1, Table14[[#This Row],[I_40]] / Table14[[#This Row],[I_0]])</f>
        <v>1</v>
      </c>
      <c r="Y1042" s="19">
        <f>IF(Table14[[#This Row],[I_0]] &lt; INDEX(Table28[Filtro de ruido],1), 1, Table14[[#This Row],[I_50]] / Table14[[#This Row],[I_0]])</f>
        <v>1</v>
      </c>
      <c r="AA1042" s="1"/>
    </row>
    <row r="1043" spans="1:27" x14ac:dyDescent="0.3">
      <c r="A1043" s="18">
        <v>1102.71</v>
      </c>
      <c r="B1043" s="1">
        <v>0</v>
      </c>
      <c r="C1043" s="1">
        <v>1102.71</v>
      </c>
      <c r="D1043" s="1">
        <v>0</v>
      </c>
      <c r="E1043" s="1">
        <v>1102.71</v>
      </c>
      <c r="F1043" s="1">
        <v>0</v>
      </c>
      <c r="G1043" s="1">
        <v>1102.71</v>
      </c>
      <c r="H1043" s="1">
        <v>0</v>
      </c>
      <c r="I1043" s="1">
        <v>1102.71</v>
      </c>
      <c r="J1043" s="1">
        <v>0</v>
      </c>
      <c r="K1043" s="1">
        <v>1102.71</v>
      </c>
      <c r="L1043" s="1">
        <v>0</v>
      </c>
      <c r="M1043" s="1">
        <v>1102.71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1102.71</v>
      </c>
      <c r="U1043" s="1">
        <f>IF(Table14[[#This Row],[I_0]] &lt; INDEX(Table28[Filtro de ruido],1), 1, Table14[[#This Row],[I_10]] / Table14[[#This Row],[I_0]])</f>
        <v>1</v>
      </c>
      <c r="V1043" s="1">
        <f>IF(Table14[[#This Row],[I_0]] &lt; INDEX(Table28[Filtro de ruido],1), 1, Table14[[#This Row],[I_20]] / Table14[[#This Row],[I_0]])</f>
        <v>1</v>
      </c>
      <c r="W1043" s="1">
        <f>IF(Table14[[#This Row],[I_0]] &lt; INDEX(Table28[Filtro de ruido],1), 1, Table14[[#This Row],[I_30]] / Table14[[#This Row],[I_0]])</f>
        <v>1</v>
      </c>
      <c r="X1043" s="1">
        <f>IF(Table14[[#This Row],[I_0]] &lt; INDEX(Table28[Filtro de ruido],1), 1, Table14[[#This Row],[I_40]] / Table14[[#This Row],[I_0]])</f>
        <v>1</v>
      </c>
      <c r="Y1043" s="19">
        <f>IF(Table14[[#This Row],[I_0]] &lt; INDEX(Table28[Filtro de ruido],1), 1, Table14[[#This Row],[I_50]] / Table14[[#This Row],[I_0]])</f>
        <v>1</v>
      </c>
      <c r="AA1043" s="1"/>
    </row>
    <row r="1044" spans="1:27" x14ac:dyDescent="0.3">
      <c r="A1044" s="18">
        <v>1103.7</v>
      </c>
      <c r="B1044" s="1">
        <v>0</v>
      </c>
      <c r="C1044" s="1">
        <v>1103.7</v>
      </c>
      <c r="D1044" s="1">
        <v>0</v>
      </c>
      <c r="E1044" s="1">
        <v>1103.7</v>
      </c>
      <c r="F1044" s="1">
        <v>0</v>
      </c>
      <c r="G1044" s="1">
        <v>1103.7</v>
      </c>
      <c r="H1044" s="1">
        <v>0</v>
      </c>
      <c r="I1044" s="1">
        <v>1103.7</v>
      </c>
      <c r="J1044" s="1">
        <v>0</v>
      </c>
      <c r="K1044" s="1">
        <v>1103.7</v>
      </c>
      <c r="L1044" s="1">
        <v>0</v>
      </c>
      <c r="M1044" s="1">
        <v>1103.7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1103.7</v>
      </c>
      <c r="U1044" s="1">
        <f>IF(Table14[[#This Row],[I_0]] &lt; INDEX(Table28[Filtro de ruido],1), 1, Table14[[#This Row],[I_10]] / Table14[[#This Row],[I_0]])</f>
        <v>1</v>
      </c>
      <c r="V1044" s="1">
        <f>IF(Table14[[#This Row],[I_0]] &lt; INDEX(Table28[Filtro de ruido],1), 1, Table14[[#This Row],[I_20]] / Table14[[#This Row],[I_0]])</f>
        <v>1</v>
      </c>
      <c r="W1044" s="1">
        <f>IF(Table14[[#This Row],[I_0]] &lt; INDEX(Table28[Filtro de ruido],1), 1, Table14[[#This Row],[I_30]] / Table14[[#This Row],[I_0]])</f>
        <v>1</v>
      </c>
      <c r="X1044" s="1">
        <f>IF(Table14[[#This Row],[I_0]] &lt; INDEX(Table28[Filtro de ruido],1), 1, Table14[[#This Row],[I_40]] / Table14[[#This Row],[I_0]])</f>
        <v>1</v>
      </c>
      <c r="Y1044" s="19">
        <f>IF(Table14[[#This Row],[I_0]] &lt; INDEX(Table28[Filtro de ruido],1), 1, Table14[[#This Row],[I_50]] / Table14[[#This Row],[I_0]])</f>
        <v>1</v>
      </c>
      <c r="AA1044" s="1"/>
    </row>
    <row r="1045" spans="1:27" x14ac:dyDescent="0.3">
      <c r="A1045" s="18">
        <v>1104.69</v>
      </c>
      <c r="B1045" s="1">
        <v>0</v>
      </c>
      <c r="C1045" s="1">
        <v>1104.69</v>
      </c>
      <c r="D1045" s="1">
        <v>0</v>
      </c>
      <c r="E1045" s="1">
        <v>1104.69</v>
      </c>
      <c r="F1045" s="1">
        <v>0</v>
      </c>
      <c r="G1045" s="1">
        <v>1104.69</v>
      </c>
      <c r="H1045" s="1">
        <v>0</v>
      </c>
      <c r="I1045" s="1">
        <v>1104.69</v>
      </c>
      <c r="J1045" s="1">
        <v>0</v>
      </c>
      <c r="K1045" s="1">
        <v>1104.69</v>
      </c>
      <c r="L1045" s="1">
        <v>0</v>
      </c>
      <c r="M1045" s="1">
        <v>1104.69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1104.69</v>
      </c>
      <c r="U1045" s="1">
        <f>IF(Table14[[#This Row],[I_0]] &lt; INDEX(Table28[Filtro de ruido],1), 1, Table14[[#This Row],[I_10]] / Table14[[#This Row],[I_0]])</f>
        <v>1</v>
      </c>
      <c r="V1045" s="1">
        <f>IF(Table14[[#This Row],[I_0]] &lt; INDEX(Table28[Filtro de ruido],1), 1, Table14[[#This Row],[I_20]] / Table14[[#This Row],[I_0]])</f>
        <v>1</v>
      </c>
      <c r="W1045" s="1">
        <f>IF(Table14[[#This Row],[I_0]] &lt; INDEX(Table28[Filtro de ruido],1), 1, Table14[[#This Row],[I_30]] / Table14[[#This Row],[I_0]])</f>
        <v>1</v>
      </c>
      <c r="X1045" s="1">
        <f>IF(Table14[[#This Row],[I_0]] &lt; INDEX(Table28[Filtro de ruido],1), 1, Table14[[#This Row],[I_40]] / Table14[[#This Row],[I_0]])</f>
        <v>1</v>
      </c>
      <c r="Y1045" s="19">
        <f>IF(Table14[[#This Row],[I_0]] &lt; INDEX(Table28[Filtro de ruido],1), 1, Table14[[#This Row],[I_50]] / Table14[[#This Row],[I_0]])</f>
        <v>1</v>
      </c>
      <c r="AA1045" s="1"/>
    </row>
    <row r="1046" spans="1:27" x14ac:dyDescent="0.3">
      <c r="A1046" s="18">
        <v>1105.68</v>
      </c>
      <c r="B1046" s="1">
        <v>0</v>
      </c>
      <c r="C1046" s="1">
        <v>1105.68</v>
      </c>
      <c r="D1046" s="1">
        <v>0</v>
      </c>
      <c r="E1046" s="1">
        <v>1105.68</v>
      </c>
      <c r="F1046" s="1">
        <v>0</v>
      </c>
      <c r="G1046" s="1">
        <v>1105.68</v>
      </c>
      <c r="H1046" s="1">
        <v>0</v>
      </c>
      <c r="I1046" s="1">
        <v>1105.68</v>
      </c>
      <c r="J1046" s="1">
        <v>0</v>
      </c>
      <c r="K1046" s="1">
        <v>1105.68</v>
      </c>
      <c r="L1046" s="1">
        <v>0</v>
      </c>
      <c r="M1046" s="1">
        <v>1105.68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1105.68</v>
      </c>
      <c r="U1046" s="1">
        <f>IF(Table14[[#This Row],[I_0]] &lt; INDEX(Table28[Filtro de ruido],1), 1, Table14[[#This Row],[I_10]] / Table14[[#This Row],[I_0]])</f>
        <v>1</v>
      </c>
      <c r="V1046" s="1">
        <f>IF(Table14[[#This Row],[I_0]] &lt; INDEX(Table28[Filtro de ruido],1), 1, Table14[[#This Row],[I_20]] / Table14[[#This Row],[I_0]])</f>
        <v>1</v>
      </c>
      <c r="W1046" s="1">
        <f>IF(Table14[[#This Row],[I_0]] &lt; INDEX(Table28[Filtro de ruido],1), 1, Table14[[#This Row],[I_30]] / Table14[[#This Row],[I_0]])</f>
        <v>1</v>
      </c>
      <c r="X1046" s="1">
        <f>IF(Table14[[#This Row],[I_0]] &lt; INDEX(Table28[Filtro de ruido],1), 1, Table14[[#This Row],[I_40]] / Table14[[#This Row],[I_0]])</f>
        <v>1</v>
      </c>
      <c r="Y1046" s="19">
        <f>IF(Table14[[#This Row],[I_0]] &lt; INDEX(Table28[Filtro de ruido],1), 1, Table14[[#This Row],[I_50]] / Table14[[#This Row],[I_0]])</f>
        <v>1</v>
      </c>
      <c r="AA1046" s="1"/>
    </row>
    <row r="1047" spans="1:27" x14ac:dyDescent="0.3">
      <c r="A1047" s="18">
        <v>1106.67</v>
      </c>
      <c r="B1047" s="1">
        <v>0</v>
      </c>
      <c r="C1047" s="1">
        <v>1106.67</v>
      </c>
      <c r="D1047" s="1">
        <v>0</v>
      </c>
      <c r="E1047" s="1">
        <v>1106.67</v>
      </c>
      <c r="F1047" s="1">
        <v>0</v>
      </c>
      <c r="G1047" s="1">
        <v>1106.67</v>
      </c>
      <c r="H1047" s="1">
        <v>0</v>
      </c>
      <c r="I1047" s="1">
        <v>1106.67</v>
      </c>
      <c r="J1047" s="1">
        <v>0</v>
      </c>
      <c r="K1047" s="1">
        <v>1106.67</v>
      </c>
      <c r="L1047" s="1">
        <v>0</v>
      </c>
      <c r="M1047" s="1">
        <v>1106.67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1106.67</v>
      </c>
      <c r="U1047" s="1">
        <f>IF(Table14[[#This Row],[I_0]] &lt; INDEX(Table28[Filtro de ruido],1), 1, Table14[[#This Row],[I_10]] / Table14[[#This Row],[I_0]])</f>
        <v>1</v>
      </c>
      <c r="V1047" s="1">
        <f>IF(Table14[[#This Row],[I_0]] &lt; INDEX(Table28[Filtro de ruido],1), 1, Table14[[#This Row],[I_20]] / Table14[[#This Row],[I_0]])</f>
        <v>1</v>
      </c>
      <c r="W1047" s="1">
        <f>IF(Table14[[#This Row],[I_0]] &lt; INDEX(Table28[Filtro de ruido],1), 1, Table14[[#This Row],[I_30]] / Table14[[#This Row],[I_0]])</f>
        <v>1</v>
      </c>
      <c r="X1047" s="1">
        <f>IF(Table14[[#This Row],[I_0]] &lt; INDEX(Table28[Filtro de ruido],1), 1, Table14[[#This Row],[I_40]] / Table14[[#This Row],[I_0]])</f>
        <v>1</v>
      </c>
      <c r="Y1047" s="19">
        <f>IF(Table14[[#This Row],[I_0]] &lt; INDEX(Table28[Filtro de ruido],1), 1, Table14[[#This Row],[I_50]] / Table14[[#This Row],[I_0]])</f>
        <v>1</v>
      </c>
      <c r="AA1047" s="1"/>
    </row>
    <row r="1048" spans="1:27" x14ac:dyDescent="0.3">
      <c r="A1048" s="18">
        <v>1107.67</v>
      </c>
      <c r="B1048" s="1">
        <v>0</v>
      </c>
      <c r="C1048" s="1">
        <v>1107.67</v>
      </c>
      <c r="D1048" s="1">
        <v>0</v>
      </c>
      <c r="E1048" s="1">
        <v>1107.67</v>
      </c>
      <c r="F1048" s="1">
        <v>0</v>
      </c>
      <c r="G1048" s="1">
        <v>1107.67</v>
      </c>
      <c r="H1048" s="1">
        <v>0</v>
      </c>
      <c r="I1048" s="1">
        <v>1107.67</v>
      </c>
      <c r="J1048" s="1">
        <v>0</v>
      </c>
      <c r="K1048" s="1">
        <v>1107.67</v>
      </c>
      <c r="L1048" s="1">
        <v>0</v>
      </c>
      <c r="M1048" s="1">
        <v>1107.67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1107.67</v>
      </c>
      <c r="U1048" s="1">
        <f>IF(Table14[[#This Row],[I_0]] &lt; INDEX(Table28[Filtro de ruido],1), 1, Table14[[#This Row],[I_10]] / Table14[[#This Row],[I_0]])</f>
        <v>1</v>
      </c>
      <c r="V1048" s="1">
        <f>IF(Table14[[#This Row],[I_0]] &lt; INDEX(Table28[Filtro de ruido],1), 1, Table14[[#This Row],[I_20]] / Table14[[#This Row],[I_0]])</f>
        <v>1</v>
      </c>
      <c r="W1048" s="1">
        <f>IF(Table14[[#This Row],[I_0]] &lt; INDEX(Table28[Filtro de ruido],1), 1, Table14[[#This Row],[I_30]] / Table14[[#This Row],[I_0]])</f>
        <v>1</v>
      </c>
      <c r="X1048" s="1">
        <f>IF(Table14[[#This Row],[I_0]] &lt; INDEX(Table28[Filtro de ruido],1), 1, Table14[[#This Row],[I_40]] / Table14[[#This Row],[I_0]])</f>
        <v>1</v>
      </c>
      <c r="Y1048" s="19">
        <f>IF(Table14[[#This Row],[I_0]] &lt; INDEX(Table28[Filtro de ruido],1), 1, Table14[[#This Row],[I_50]] / Table14[[#This Row],[I_0]])</f>
        <v>1</v>
      </c>
      <c r="AA1048" s="1"/>
    </row>
    <row r="1049" spans="1:27" x14ac:dyDescent="0.3">
      <c r="A1049" s="18">
        <v>1108.6600000000001</v>
      </c>
      <c r="B1049" s="1">
        <v>0</v>
      </c>
      <c r="C1049" s="1">
        <v>1108.6600000000001</v>
      </c>
      <c r="D1049" s="1">
        <v>0</v>
      </c>
      <c r="E1049" s="1">
        <v>1108.6600000000001</v>
      </c>
      <c r="F1049" s="1">
        <v>0</v>
      </c>
      <c r="G1049" s="1">
        <v>1108.6600000000001</v>
      </c>
      <c r="H1049" s="1">
        <v>0</v>
      </c>
      <c r="I1049" s="1">
        <v>1108.6600000000001</v>
      </c>
      <c r="J1049" s="1">
        <v>0</v>
      </c>
      <c r="K1049" s="1">
        <v>1108.6600000000001</v>
      </c>
      <c r="L1049" s="1">
        <v>0</v>
      </c>
      <c r="M1049" s="1">
        <v>1108.6600000000001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1108.6600000000001</v>
      </c>
      <c r="U1049" s="1">
        <f>IF(Table14[[#This Row],[I_0]] &lt; INDEX(Table28[Filtro de ruido],1), 1, Table14[[#This Row],[I_10]] / Table14[[#This Row],[I_0]])</f>
        <v>1</v>
      </c>
      <c r="V1049" s="1">
        <f>IF(Table14[[#This Row],[I_0]] &lt; INDEX(Table28[Filtro de ruido],1), 1, Table14[[#This Row],[I_20]] / Table14[[#This Row],[I_0]])</f>
        <v>1</v>
      </c>
      <c r="W1049" s="1">
        <f>IF(Table14[[#This Row],[I_0]] &lt; INDEX(Table28[Filtro de ruido],1), 1, Table14[[#This Row],[I_30]] / Table14[[#This Row],[I_0]])</f>
        <v>1</v>
      </c>
      <c r="X1049" s="1">
        <f>IF(Table14[[#This Row],[I_0]] &lt; INDEX(Table28[Filtro de ruido],1), 1, Table14[[#This Row],[I_40]] / Table14[[#This Row],[I_0]])</f>
        <v>1</v>
      </c>
      <c r="Y1049" s="19">
        <f>IF(Table14[[#This Row],[I_0]] &lt; INDEX(Table28[Filtro de ruido],1), 1, Table14[[#This Row],[I_50]] / Table14[[#This Row],[I_0]])</f>
        <v>1</v>
      </c>
      <c r="AA1049" s="1"/>
    </row>
    <row r="1050" spans="1:27" x14ac:dyDescent="0.3">
      <c r="A1050" s="18">
        <v>1109.6500000000001</v>
      </c>
      <c r="B1050" s="1">
        <v>0</v>
      </c>
      <c r="C1050" s="1">
        <v>1109.6500000000001</v>
      </c>
      <c r="D1050" s="1">
        <v>0</v>
      </c>
      <c r="E1050" s="1">
        <v>1109.6500000000001</v>
      </c>
      <c r="F1050" s="1">
        <v>0</v>
      </c>
      <c r="G1050" s="1">
        <v>1109.6500000000001</v>
      </c>
      <c r="H1050" s="1">
        <v>0</v>
      </c>
      <c r="I1050" s="1">
        <v>1109.6500000000001</v>
      </c>
      <c r="J1050" s="1">
        <v>0</v>
      </c>
      <c r="K1050" s="1">
        <v>1109.6500000000001</v>
      </c>
      <c r="L1050" s="1">
        <v>0</v>
      </c>
      <c r="M1050" s="1">
        <v>1109.6500000000001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1109.6500000000001</v>
      </c>
      <c r="U1050" s="1">
        <f>IF(Table14[[#This Row],[I_0]] &lt; INDEX(Table28[Filtro de ruido],1), 1, Table14[[#This Row],[I_10]] / Table14[[#This Row],[I_0]])</f>
        <v>1</v>
      </c>
      <c r="V1050" s="1">
        <f>IF(Table14[[#This Row],[I_0]] &lt; INDEX(Table28[Filtro de ruido],1), 1, Table14[[#This Row],[I_20]] / Table14[[#This Row],[I_0]])</f>
        <v>1</v>
      </c>
      <c r="W1050" s="1">
        <f>IF(Table14[[#This Row],[I_0]] &lt; INDEX(Table28[Filtro de ruido],1), 1, Table14[[#This Row],[I_30]] / Table14[[#This Row],[I_0]])</f>
        <v>1</v>
      </c>
      <c r="X1050" s="1">
        <f>IF(Table14[[#This Row],[I_0]] &lt; INDEX(Table28[Filtro de ruido],1), 1, Table14[[#This Row],[I_40]] / Table14[[#This Row],[I_0]])</f>
        <v>1</v>
      </c>
      <c r="Y1050" s="19">
        <f>IF(Table14[[#This Row],[I_0]] &lt; INDEX(Table28[Filtro de ruido],1), 1, Table14[[#This Row],[I_50]] / Table14[[#This Row],[I_0]])</f>
        <v>1</v>
      </c>
      <c r="AA1050" s="1"/>
    </row>
    <row r="1051" spans="1:27" x14ac:dyDescent="0.3">
      <c r="A1051" s="18">
        <v>1110.6400000000001</v>
      </c>
      <c r="B1051" s="1">
        <v>0</v>
      </c>
      <c r="C1051" s="1">
        <v>1110.6400000000001</v>
      </c>
      <c r="D1051" s="1">
        <v>0</v>
      </c>
      <c r="E1051" s="1">
        <v>1110.6400000000001</v>
      </c>
      <c r="F1051" s="1">
        <v>0</v>
      </c>
      <c r="G1051" s="1">
        <v>1110.6400000000001</v>
      </c>
      <c r="H1051" s="1">
        <v>0</v>
      </c>
      <c r="I1051" s="1">
        <v>1110.6400000000001</v>
      </c>
      <c r="J1051" s="1">
        <v>0</v>
      </c>
      <c r="K1051" s="1">
        <v>1110.6400000000001</v>
      </c>
      <c r="L1051" s="1">
        <v>0</v>
      </c>
      <c r="M1051" s="1">
        <v>1110.6400000000001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1110.6400000000001</v>
      </c>
      <c r="U1051" s="1">
        <f>IF(Table14[[#This Row],[I_0]] &lt; INDEX(Table28[Filtro de ruido],1), 1, Table14[[#This Row],[I_10]] / Table14[[#This Row],[I_0]])</f>
        <v>1</v>
      </c>
      <c r="V1051" s="1">
        <f>IF(Table14[[#This Row],[I_0]] &lt; INDEX(Table28[Filtro de ruido],1), 1, Table14[[#This Row],[I_20]] / Table14[[#This Row],[I_0]])</f>
        <v>1</v>
      </c>
      <c r="W1051" s="1">
        <f>IF(Table14[[#This Row],[I_0]] &lt; INDEX(Table28[Filtro de ruido],1), 1, Table14[[#This Row],[I_30]] / Table14[[#This Row],[I_0]])</f>
        <v>1</v>
      </c>
      <c r="X1051" s="1">
        <f>IF(Table14[[#This Row],[I_0]] &lt; INDEX(Table28[Filtro de ruido],1), 1, Table14[[#This Row],[I_40]] / Table14[[#This Row],[I_0]])</f>
        <v>1</v>
      </c>
      <c r="Y1051" s="19">
        <f>IF(Table14[[#This Row],[I_0]] &lt; INDEX(Table28[Filtro de ruido],1), 1, Table14[[#This Row],[I_50]] / Table14[[#This Row],[I_0]])</f>
        <v>1</v>
      </c>
      <c r="AA1051" s="1"/>
    </row>
    <row r="1052" spans="1:27" x14ac:dyDescent="0.3">
      <c r="A1052" s="18">
        <v>1111.6300000000001</v>
      </c>
      <c r="B1052" s="1">
        <v>0</v>
      </c>
      <c r="C1052" s="1">
        <v>1111.6300000000001</v>
      </c>
      <c r="D1052" s="1">
        <v>0</v>
      </c>
      <c r="E1052" s="1">
        <v>1111.6300000000001</v>
      </c>
      <c r="F1052" s="1">
        <v>0</v>
      </c>
      <c r="G1052" s="1">
        <v>1111.6300000000001</v>
      </c>
      <c r="H1052" s="1">
        <v>0</v>
      </c>
      <c r="I1052" s="1">
        <v>1111.6300000000001</v>
      </c>
      <c r="J1052" s="1">
        <v>0</v>
      </c>
      <c r="K1052" s="1">
        <v>1111.6300000000001</v>
      </c>
      <c r="L1052" s="1">
        <v>0</v>
      </c>
      <c r="M1052" s="1">
        <v>1111.6300000000001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1111.6300000000001</v>
      </c>
      <c r="U1052" s="1">
        <f>IF(Table14[[#This Row],[I_0]] &lt; INDEX(Table28[Filtro de ruido],1), 1, Table14[[#This Row],[I_10]] / Table14[[#This Row],[I_0]])</f>
        <v>1</v>
      </c>
      <c r="V1052" s="1">
        <f>IF(Table14[[#This Row],[I_0]] &lt; INDEX(Table28[Filtro de ruido],1), 1, Table14[[#This Row],[I_20]] / Table14[[#This Row],[I_0]])</f>
        <v>1</v>
      </c>
      <c r="W1052" s="1">
        <f>IF(Table14[[#This Row],[I_0]] &lt; INDEX(Table28[Filtro de ruido],1), 1, Table14[[#This Row],[I_30]] / Table14[[#This Row],[I_0]])</f>
        <v>1</v>
      </c>
      <c r="X1052" s="1">
        <f>IF(Table14[[#This Row],[I_0]] &lt; INDEX(Table28[Filtro de ruido],1), 1, Table14[[#This Row],[I_40]] / Table14[[#This Row],[I_0]])</f>
        <v>1</v>
      </c>
      <c r="Y1052" s="19">
        <f>IF(Table14[[#This Row],[I_0]] &lt; INDEX(Table28[Filtro de ruido],1), 1, Table14[[#This Row],[I_50]] / Table14[[#This Row],[I_0]])</f>
        <v>1</v>
      </c>
      <c r="AA1052" s="1"/>
    </row>
    <row r="1053" spans="1:27" x14ac:dyDescent="0.3">
      <c r="A1053" s="18">
        <v>1112.6199999999999</v>
      </c>
      <c r="B1053" s="1">
        <v>0</v>
      </c>
      <c r="C1053" s="1">
        <v>1112.6199999999999</v>
      </c>
      <c r="D1053" s="1">
        <v>0</v>
      </c>
      <c r="E1053" s="1">
        <v>1112.6199999999999</v>
      </c>
      <c r="F1053" s="1">
        <v>0</v>
      </c>
      <c r="G1053" s="1">
        <v>1112.6199999999999</v>
      </c>
      <c r="H1053" s="1">
        <v>0</v>
      </c>
      <c r="I1053" s="1">
        <v>1112.6199999999999</v>
      </c>
      <c r="J1053" s="1">
        <v>0</v>
      </c>
      <c r="K1053" s="1">
        <v>1112.6199999999999</v>
      </c>
      <c r="L1053" s="1">
        <v>0</v>
      </c>
      <c r="M1053" s="1">
        <v>1112.6199999999999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1112.6199999999999</v>
      </c>
      <c r="U1053" s="1">
        <f>IF(Table14[[#This Row],[I_0]] &lt; INDEX(Table28[Filtro de ruido],1), 1, Table14[[#This Row],[I_10]] / Table14[[#This Row],[I_0]])</f>
        <v>1</v>
      </c>
      <c r="V1053" s="1">
        <f>IF(Table14[[#This Row],[I_0]] &lt; INDEX(Table28[Filtro de ruido],1), 1, Table14[[#This Row],[I_20]] / Table14[[#This Row],[I_0]])</f>
        <v>1</v>
      </c>
      <c r="W1053" s="1">
        <f>IF(Table14[[#This Row],[I_0]] &lt; INDEX(Table28[Filtro de ruido],1), 1, Table14[[#This Row],[I_30]] / Table14[[#This Row],[I_0]])</f>
        <v>1</v>
      </c>
      <c r="X1053" s="1">
        <f>IF(Table14[[#This Row],[I_0]] &lt; INDEX(Table28[Filtro de ruido],1), 1, Table14[[#This Row],[I_40]] / Table14[[#This Row],[I_0]])</f>
        <v>1</v>
      </c>
      <c r="Y1053" s="19">
        <f>IF(Table14[[#This Row],[I_0]] &lt; INDEX(Table28[Filtro de ruido],1), 1, Table14[[#This Row],[I_50]] / Table14[[#This Row],[I_0]])</f>
        <v>1</v>
      </c>
      <c r="AA1053" s="1"/>
    </row>
    <row r="1054" spans="1:27" x14ac:dyDescent="0.3">
      <c r="A1054" s="18">
        <v>1113.6199999999999</v>
      </c>
      <c r="B1054" s="1">
        <v>0</v>
      </c>
      <c r="C1054" s="1">
        <v>1113.6199999999999</v>
      </c>
      <c r="D1054" s="1">
        <v>0</v>
      </c>
      <c r="E1054" s="1">
        <v>1113.6199999999999</v>
      </c>
      <c r="F1054" s="1">
        <v>0</v>
      </c>
      <c r="G1054" s="1">
        <v>1113.6199999999999</v>
      </c>
      <c r="H1054" s="1">
        <v>0</v>
      </c>
      <c r="I1054" s="1">
        <v>1113.6199999999999</v>
      </c>
      <c r="J1054" s="1">
        <v>0</v>
      </c>
      <c r="K1054" s="1">
        <v>1113.6199999999999</v>
      </c>
      <c r="L1054" s="1">
        <v>0</v>
      </c>
      <c r="M1054" s="1">
        <v>1113.6199999999999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1113.6199999999999</v>
      </c>
      <c r="U1054" s="1">
        <f>IF(Table14[[#This Row],[I_0]] &lt; INDEX(Table28[Filtro de ruido],1), 1, Table14[[#This Row],[I_10]] / Table14[[#This Row],[I_0]])</f>
        <v>1</v>
      </c>
      <c r="V1054" s="1">
        <f>IF(Table14[[#This Row],[I_0]] &lt; INDEX(Table28[Filtro de ruido],1), 1, Table14[[#This Row],[I_20]] / Table14[[#This Row],[I_0]])</f>
        <v>1</v>
      </c>
      <c r="W1054" s="1">
        <f>IF(Table14[[#This Row],[I_0]] &lt; INDEX(Table28[Filtro de ruido],1), 1, Table14[[#This Row],[I_30]] / Table14[[#This Row],[I_0]])</f>
        <v>1</v>
      </c>
      <c r="X1054" s="1">
        <f>IF(Table14[[#This Row],[I_0]] &lt; INDEX(Table28[Filtro de ruido],1), 1, Table14[[#This Row],[I_40]] / Table14[[#This Row],[I_0]])</f>
        <v>1</v>
      </c>
      <c r="Y1054" s="19">
        <f>IF(Table14[[#This Row],[I_0]] &lt; INDEX(Table28[Filtro de ruido],1), 1, Table14[[#This Row],[I_50]] / Table14[[#This Row],[I_0]])</f>
        <v>1</v>
      </c>
      <c r="AA1054" s="1"/>
    </row>
    <row r="1055" spans="1:27" x14ac:dyDescent="0.3">
      <c r="A1055" s="18">
        <v>1114.6099999999999</v>
      </c>
      <c r="B1055" s="1">
        <v>0</v>
      </c>
      <c r="C1055" s="1">
        <v>1114.6099999999999</v>
      </c>
      <c r="D1055" s="1">
        <v>0</v>
      </c>
      <c r="E1055" s="1">
        <v>1114.6099999999999</v>
      </c>
      <c r="F1055" s="1">
        <v>0</v>
      </c>
      <c r="G1055" s="1">
        <v>1114.6099999999999</v>
      </c>
      <c r="H1055" s="1">
        <v>0</v>
      </c>
      <c r="I1055" s="1">
        <v>1114.6099999999999</v>
      </c>
      <c r="J1055" s="1">
        <v>0</v>
      </c>
      <c r="K1055" s="1">
        <v>1114.6099999999999</v>
      </c>
      <c r="L1055" s="1">
        <v>0</v>
      </c>
      <c r="M1055" s="1">
        <v>1114.6099999999999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1114.6099999999999</v>
      </c>
      <c r="U1055" s="1">
        <f>IF(Table14[[#This Row],[I_0]] &lt; INDEX(Table28[Filtro de ruido],1), 1, Table14[[#This Row],[I_10]] / Table14[[#This Row],[I_0]])</f>
        <v>1</v>
      </c>
      <c r="V1055" s="1">
        <f>IF(Table14[[#This Row],[I_0]] &lt; INDEX(Table28[Filtro de ruido],1), 1, Table14[[#This Row],[I_20]] / Table14[[#This Row],[I_0]])</f>
        <v>1</v>
      </c>
      <c r="W1055" s="1">
        <f>IF(Table14[[#This Row],[I_0]] &lt; INDEX(Table28[Filtro de ruido],1), 1, Table14[[#This Row],[I_30]] / Table14[[#This Row],[I_0]])</f>
        <v>1</v>
      </c>
      <c r="X1055" s="1">
        <f>IF(Table14[[#This Row],[I_0]] &lt; INDEX(Table28[Filtro de ruido],1), 1, Table14[[#This Row],[I_40]] / Table14[[#This Row],[I_0]])</f>
        <v>1</v>
      </c>
      <c r="Y1055" s="19">
        <f>IF(Table14[[#This Row],[I_0]] &lt; INDEX(Table28[Filtro de ruido],1), 1, Table14[[#This Row],[I_50]] / Table14[[#This Row],[I_0]])</f>
        <v>1</v>
      </c>
      <c r="AA1055" s="1"/>
    </row>
    <row r="1056" spans="1:27" x14ac:dyDescent="0.3">
      <c r="A1056" s="18">
        <v>1115.5999999999999</v>
      </c>
      <c r="B1056" s="1">
        <v>0</v>
      </c>
      <c r="C1056" s="1">
        <v>1115.5999999999999</v>
      </c>
      <c r="D1056" s="1">
        <v>0</v>
      </c>
      <c r="E1056" s="1">
        <v>1115.5999999999999</v>
      </c>
      <c r="F1056" s="1">
        <v>0</v>
      </c>
      <c r="G1056" s="1">
        <v>1115.5999999999999</v>
      </c>
      <c r="H1056" s="1">
        <v>0</v>
      </c>
      <c r="I1056" s="1">
        <v>1115.5999999999999</v>
      </c>
      <c r="J1056" s="1">
        <v>0</v>
      </c>
      <c r="K1056" s="1">
        <v>1115.5999999999999</v>
      </c>
      <c r="L1056" s="1">
        <v>0</v>
      </c>
      <c r="M1056" s="1">
        <v>1115.5999999999999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1115.5999999999999</v>
      </c>
      <c r="U1056" s="1">
        <f>IF(Table14[[#This Row],[I_0]] &lt; INDEX(Table28[Filtro de ruido],1), 1, Table14[[#This Row],[I_10]] / Table14[[#This Row],[I_0]])</f>
        <v>1</v>
      </c>
      <c r="V1056" s="1">
        <f>IF(Table14[[#This Row],[I_0]] &lt; INDEX(Table28[Filtro de ruido],1), 1, Table14[[#This Row],[I_20]] / Table14[[#This Row],[I_0]])</f>
        <v>1</v>
      </c>
      <c r="W1056" s="1">
        <f>IF(Table14[[#This Row],[I_0]] &lt; INDEX(Table28[Filtro de ruido],1), 1, Table14[[#This Row],[I_30]] / Table14[[#This Row],[I_0]])</f>
        <v>1</v>
      </c>
      <c r="X1056" s="1">
        <f>IF(Table14[[#This Row],[I_0]] &lt; INDEX(Table28[Filtro de ruido],1), 1, Table14[[#This Row],[I_40]] / Table14[[#This Row],[I_0]])</f>
        <v>1</v>
      </c>
      <c r="Y1056" s="19">
        <f>IF(Table14[[#This Row],[I_0]] &lt; INDEX(Table28[Filtro de ruido],1), 1, Table14[[#This Row],[I_50]] / Table14[[#This Row],[I_0]])</f>
        <v>1</v>
      </c>
      <c r="AA1056" s="1"/>
    </row>
    <row r="1057" spans="1:27" x14ac:dyDescent="0.3">
      <c r="A1057" s="18">
        <v>1116.5899999999999</v>
      </c>
      <c r="B1057" s="1">
        <v>0</v>
      </c>
      <c r="C1057" s="1">
        <v>1116.5899999999999</v>
      </c>
      <c r="D1057" s="1">
        <v>0</v>
      </c>
      <c r="E1057" s="1">
        <v>1116.5899999999999</v>
      </c>
      <c r="F1057" s="1">
        <v>0</v>
      </c>
      <c r="G1057" s="1">
        <v>1116.5899999999999</v>
      </c>
      <c r="H1057" s="1">
        <v>0</v>
      </c>
      <c r="I1057" s="1">
        <v>1116.5899999999999</v>
      </c>
      <c r="J1057" s="1">
        <v>0</v>
      </c>
      <c r="K1057" s="1">
        <v>1116.5899999999999</v>
      </c>
      <c r="L1057" s="1">
        <v>0</v>
      </c>
      <c r="M1057" s="1">
        <v>1116.5899999999999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1116.5899999999999</v>
      </c>
      <c r="U1057" s="1">
        <f>IF(Table14[[#This Row],[I_0]] &lt; INDEX(Table28[Filtro de ruido],1), 1, Table14[[#This Row],[I_10]] / Table14[[#This Row],[I_0]])</f>
        <v>1</v>
      </c>
      <c r="V1057" s="1">
        <f>IF(Table14[[#This Row],[I_0]] &lt; INDEX(Table28[Filtro de ruido],1), 1, Table14[[#This Row],[I_20]] / Table14[[#This Row],[I_0]])</f>
        <v>1</v>
      </c>
      <c r="W1057" s="1">
        <f>IF(Table14[[#This Row],[I_0]] &lt; INDEX(Table28[Filtro de ruido],1), 1, Table14[[#This Row],[I_30]] / Table14[[#This Row],[I_0]])</f>
        <v>1</v>
      </c>
      <c r="X1057" s="1">
        <f>IF(Table14[[#This Row],[I_0]] &lt; INDEX(Table28[Filtro de ruido],1), 1, Table14[[#This Row],[I_40]] / Table14[[#This Row],[I_0]])</f>
        <v>1</v>
      </c>
      <c r="Y1057" s="19">
        <f>IF(Table14[[#This Row],[I_0]] &lt; INDEX(Table28[Filtro de ruido],1), 1, Table14[[#This Row],[I_50]] / Table14[[#This Row],[I_0]])</f>
        <v>1</v>
      </c>
      <c r="AA1057" s="1"/>
    </row>
    <row r="1058" spans="1:27" x14ac:dyDescent="0.3">
      <c r="A1058" s="18">
        <v>1117.58</v>
      </c>
      <c r="B1058" s="1">
        <v>0</v>
      </c>
      <c r="C1058" s="1">
        <v>1117.58</v>
      </c>
      <c r="D1058" s="1">
        <v>0</v>
      </c>
      <c r="E1058" s="1">
        <v>1117.58</v>
      </c>
      <c r="F1058" s="1">
        <v>0</v>
      </c>
      <c r="G1058" s="1">
        <v>1117.58</v>
      </c>
      <c r="H1058" s="1">
        <v>0</v>
      </c>
      <c r="I1058" s="1">
        <v>1117.58</v>
      </c>
      <c r="J1058" s="1">
        <v>0</v>
      </c>
      <c r="K1058" s="1">
        <v>1117.58</v>
      </c>
      <c r="L1058" s="1">
        <v>0</v>
      </c>
      <c r="M1058" s="1">
        <v>1117.58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1117.58</v>
      </c>
      <c r="U1058" s="1">
        <f>IF(Table14[[#This Row],[I_0]] &lt; INDEX(Table28[Filtro de ruido],1), 1, Table14[[#This Row],[I_10]] / Table14[[#This Row],[I_0]])</f>
        <v>1</v>
      </c>
      <c r="V1058" s="1">
        <f>IF(Table14[[#This Row],[I_0]] &lt; INDEX(Table28[Filtro de ruido],1), 1, Table14[[#This Row],[I_20]] / Table14[[#This Row],[I_0]])</f>
        <v>1</v>
      </c>
      <c r="W1058" s="1">
        <f>IF(Table14[[#This Row],[I_0]] &lt; INDEX(Table28[Filtro de ruido],1), 1, Table14[[#This Row],[I_30]] / Table14[[#This Row],[I_0]])</f>
        <v>1</v>
      </c>
      <c r="X1058" s="1">
        <f>IF(Table14[[#This Row],[I_0]] &lt; INDEX(Table28[Filtro de ruido],1), 1, Table14[[#This Row],[I_40]] / Table14[[#This Row],[I_0]])</f>
        <v>1</v>
      </c>
      <c r="Y1058" s="19">
        <f>IF(Table14[[#This Row],[I_0]] &lt; INDEX(Table28[Filtro de ruido],1), 1, Table14[[#This Row],[I_50]] / Table14[[#This Row],[I_0]])</f>
        <v>1</v>
      </c>
      <c r="AA1058" s="1"/>
    </row>
    <row r="1059" spans="1:27" x14ac:dyDescent="0.3">
      <c r="A1059" s="18">
        <v>1118.58</v>
      </c>
      <c r="B1059" s="1">
        <v>0</v>
      </c>
      <c r="C1059" s="1">
        <v>1118.58</v>
      </c>
      <c r="D1059" s="1">
        <v>0</v>
      </c>
      <c r="E1059" s="1">
        <v>1118.58</v>
      </c>
      <c r="F1059" s="1">
        <v>0</v>
      </c>
      <c r="G1059" s="1">
        <v>1118.58</v>
      </c>
      <c r="H1059" s="1">
        <v>0</v>
      </c>
      <c r="I1059" s="1">
        <v>1118.58</v>
      </c>
      <c r="J1059" s="1">
        <v>0</v>
      </c>
      <c r="K1059" s="1">
        <v>1118.58</v>
      </c>
      <c r="L1059" s="1">
        <v>0</v>
      </c>
      <c r="M1059" s="1">
        <v>1118.58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1118.58</v>
      </c>
      <c r="U1059" s="1">
        <f>IF(Table14[[#This Row],[I_0]] &lt; INDEX(Table28[Filtro de ruido],1), 1, Table14[[#This Row],[I_10]] / Table14[[#This Row],[I_0]])</f>
        <v>1</v>
      </c>
      <c r="V1059" s="1">
        <f>IF(Table14[[#This Row],[I_0]] &lt; INDEX(Table28[Filtro de ruido],1), 1, Table14[[#This Row],[I_20]] / Table14[[#This Row],[I_0]])</f>
        <v>1</v>
      </c>
      <c r="W1059" s="1">
        <f>IF(Table14[[#This Row],[I_0]] &lt; INDEX(Table28[Filtro de ruido],1), 1, Table14[[#This Row],[I_30]] / Table14[[#This Row],[I_0]])</f>
        <v>1</v>
      </c>
      <c r="X1059" s="1">
        <f>IF(Table14[[#This Row],[I_0]] &lt; INDEX(Table28[Filtro de ruido],1), 1, Table14[[#This Row],[I_40]] / Table14[[#This Row],[I_0]])</f>
        <v>1</v>
      </c>
      <c r="Y1059" s="19">
        <f>IF(Table14[[#This Row],[I_0]] &lt; INDEX(Table28[Filtro de ruido],1), 1, Table14[[#This Row],[I_50]] / Table14[[#This Row],[I_0]])</f>
        <v>1</v>
      </c>
      <c r="AA1059" s="1"/>
    </row>
    <row r="1060" spans="1:27" x14ac:dyDescent="0.3">
      <c r="A1060" s="18">
        <v>1119.57</v>
      </c>
      <c r="B1060" s="1">
        <v>0</v>
      </c>
      <c r="C1060" s="1">
        <v>1119.57</v>
      </c>
      <c r="D1060" s="1">
        <v>0</v>
      </c>
      <c r="E1060" s="1">
        <v>1119.57</v>
      </c>
      <c r="F1060" s="1">
        <v>0</v>
      </c>
      <c r="G1060" s="1">
        <v>1119.57</v>
      </c>
      <c r="H1060" s="1">
        <v>0</v>
      </c>
      <c r="I1060" s="1">
        <v>1119.57</v>
      </c>
      <c r="J1060" s="1">
        <v>0</v>
      </c>
      <c r="K1060" s="1">
        <v>1119.57</v>
      </c>
      <c r="L1060" s="1">
        <v>0</v>
      </c>
      <c r="M1060" s="1">
        <v>1119.57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1119.57</v>
      </c>
      <c r="U1060" s="1">
        <f>IF(Table14[[#This Row],[I_0]] &lt; INDEX(Table28[Filtro de ruido],1), 1, Table14[[#This Row],[I_10]] / Table14[[#This Row],[I_0]])</f>
        <v>1</v>
      </c>
      <c r="V1060" s="1">
        <f>IF(Table14[[#This Row],[I_0]] &lt; INDEX(Table28[Filtro de ruido],1), 1, Table14[[#This Row],[I_20]] / Table14[[#This Row],[I_0]])</f>
        <v>1</v>
      </c>
      <c r="W1060" s="1">
        <f>IF(Table14[[#This Row],[I_0]] &lt; INDEX(Table28[Filtro de ruido],1), 1, Table14[[#This Row],[I_30]] / Table14[[#This Row],[I_0]])</f>
        <v>1</v>
      </c>
      <c r="X1060" s="1">
        <f>IF(Table14[[#This Row],[I_0]] &lt; INDEX(Table28[Filtro de ruido],1), 1, Table14[[#This Row],[I_40]] / Table14[[#This Row],[I_0]])</f>
        <v>1</v>
      </c>
      <c r="Y1060" s="19">
        <f>IF(Table14[[#This Row],[I_0]] &lt; INDEX(Table28[Filtro de ruido],1), 1, Table14[[#This Row],[I_50]] / Table14[[#This Row],[I_0]])</f>
        <v>1</v>
      </c>
      <c r="AA1060" s="1"/>
    </row>
    <row r="1061" spans="1:27" x14ac:dyDescent="0.3">
      <c r="A1061" s="18">
        <v>1120.56</v>
      </c>
      <c r="B1061" s="1">
        <v>0</v>
      </c>
      <c r="C1061" s="1">
        <v>1120.56</v>
      </c>
      <c r="D1061" s="1">
        <v>0</v>
      </c>
      <c r="E1061" s="1">
        <v>1120.56</v>
      </c>
      <c r="F1061" s="1">
        <v>0</v>
      </c>
      <c r="G1061" s="1">
        <v>1120.56</v>
      </c>
      <c r="H1061" s="1">
        <v>0</v>
      </c>
      <c r="I1061" s="1">
        <v>1120.56</v>
      </c>
      <c r="J1061" s="1">
        <v>0</v>
      </c>
      <c r="K1061" s="1">
        <v>1120.56</v>
      </c>
      <c r="L1061" s="1">
        <v>0</v>
      </c>
      <c r="M1061" s="1">
        <v>1120.56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1120.56</v>
      </c>
      <c r="U1061" s="1">
        <f>IF(Table14[[#This Row],[I_0]] &lt; INDEX(Table28[Filtro de ruido],1), 1, Table14[[#This Row],[I_10]] / Table14[[#This Row],[I_0]])</f>
        <v>1</v>
      </c>
      <c r="V1061" s="1">
        <f>IF(Table14[[#This Row],[I_0]] &lt; INDEX(Table28[Filtro de ruido],1), 1, Table14[[#This Row],[I_20]] / Table14[[#This Row],[I_0]])</f>
        <v>1</v>
      </c>
      <c r="W1061" s="1">
        <f>IF(Table14[[#This Row],[I_0]] &lt; INDEX(Table28[Filtro de ruido],1), 1, Table14[[#This Row],[I_30]] / Table14[[#This Row],[I_0]])</f>
        <v>1</v>
      </c>
      <c r="X1061" s="1">
        <f>IF(Table14[[#This Row],[I_0]] &lt; INDEX(Table28[Filtro de ruido],1), 1, Table14[[#This Row],[I_40]] / Table14[[#This Row],[I_0]])</f>
        <v>1</v>
      </c>
      <c r="Y1061" s="19">
        <f>IF(Table14[[#This Row],[I_0]] &lt; INDEX(Table28[Filtro de ruido],1), 1, Table14[[#This Row],[I_50]] / Table14[[#This Row],[I_0]])</f>
        <v>1</v>
      </c>
      <c r="AA1061" s="1"/>
    </row>
    <row r="1062" spans="1:27" x14ac:dyDescent="0.3">
      <c r="A1062" s="18">
        <v>1121.55</v>
      </c>
      <c r="B1062" s="1">
        <v>0</v>
      </c>
      <c r="C1062" s="1">
        <v>1121.55</v>
      </c>
      <c r="D1062" s="1">
        <v>0</v>
      </c>
      <c r="E1062" s="1">
        <v>1121.55</v>
      </c>
      <c r="F1062" s="1">
        <v>0</v>
      </c>
      <c r="G1062" s="1">
        <v>1121.55</v>
      </c>
      <c r="H1062" s="1">
        <v>0</v>
      </c>
      <c r="I1062" s="1">
        <v>1121.55</v>
      </c>
      <c r="J1062" s="1">
        <v>0</v>
      </c>
      <c r="K1062" s="1">
        <v>1121.55</v>
      </c>
      <c r="L1062" s="1">
        <v>0</v>
      </c>
      <c r="M1062" s="1">
        <v>1121.55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1121.55</v>
      </c>
      <c r="U1062" s="1">
        <f>IF(Table14[[#This Row],[I_0]] &lt; INDEX(Table28[Filtro de ruido],1), 1, Table14[[#This Row],[I_10]] / Table14[[#This Row],[I_0]])</f>
        <v>1</v>
      </c>
      <c r="V1062" s="1">
        <f>IF(Table14[[#This Row],[I_0]] &lt; INDEX(Table28[Filtro de ruido],1), 1, Table14[[#This Row],[I_20]] / Table14[[#This Row],[I_0]])</f>
        <v>1</v>
      </c>
      <c r="W1062" s="1">
        <f>IF(Table14[[#This Row],[I_0]] &lt; INDEX(Table28[Filtro de ruido],1), 1, Table14[[#This Row],[I_30]] / Table14[[#This Row],[I_0]])</f>
        <v>1</v>
      </c>
      <c r="X1062" s="1">
        <f>IF(Table14[[#This Row],[I_0]] &lt; INDEX(Table28[Filtro de ruido],1), 1, Table14[[#This Row],[I_40]] / Table14[[#This Row],[I_0]])</f>
        <v>1</v>
      </c>
      <c r="Y1062" s="19">
        <f>IF(Table14[[#This Row],[I_0]] &lt; INDEX(Table28[Filtro de ruido],1), 1, Table14[[#This Row],[I_50]] / Table14[[#This Row],[I_0]])</f>
        <v>1</v>
      </c>
      <c r="AA1062" s="1"/>
    </row>
    <row r="1063" spans="1:27" x14ac:dyDescent="0.3">
      <c r="A1063" s="18">
        <v>1122.54</v>
      </c>
      <c r="B1063" s="1">
        <v>0</v>
      </c>
      <c r="C1063" s="1">
        <v>1122.54</v>
      </c>
      <c r="D1063" s="1">
        <v>0</v>
      </c>
      <c r="E1063" s="1">
        <v>1122.54</v>
      </c>
      <c r="F1063" s="1">
        <v>0</v>
      </c>
      <c r="G1063" s="1">
        <v>1122.54</v>
      </c>
      <c r="H1063" s="1">
        <v>0</v>
      </c>
      <c r="I1063" s="1">
        <v>1122.54</v>
      </c>
      <c r="J1063" s="1">
        <v>0</v>
      </c>
      <c r="K1063" s="1">
        <v>1122.54</v>
      </c>
      <c r="L1063" s="1">
        <v>0</v>
      </c>
      <c r="M1063" s="1">
        <v>1122.54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1122.54</v>
      </c>
      <c r="U1063" s="1">
        <f>IF(Table14[[#This Row],[I_0]] &lt; INDEX(Table28[Filtro de ruido],1), 1, Table14[[#This Row],[I_10]] / Table14[[#This Row],[I_0]])</f>
        <v>1</v>
      </c>
      <c r="V1063" s="1">
        <f>IF(Table14[[#This Row],[I_0]] &lt; INDEX(Table28[Filtro de ruido],1), 1, Table14[[#This Row],[I_20]] / Table14[[#This Row],[I_0]])</f>
        <v>1</v>
      </c>
      <c r="W1063" s="1">
        <f>IF(Table14[[#This Row],[I_0]] &lt; INDEX(Table28[Filtro de ruido],1), 1, Table14[[#This Row],[I_30]] / Table14[[#This Row],[I_0]])</f>
        <v>1</v>
      </c>
      <c r="X1063" s="1">
        <f>IF(Table14[[#This Row],[I_0]] &lt; INDEX(Table28[Filtro de ruido],1), 1, Table14[[#This Row],[I_40]] / Table14[[#This Row],[I_0]])</f>
        <v>1</v>
      </c>
      <c r="Y1063" s="19">
        <f>IF(Table14[[#This Row],[I_0]] &lt; INDEX(Table28[Filtro de ruido],1), 1, Table14[[#This Row],[I_50]] / Table14[[#This Row],[I_0]])</f>
        <v>1</v>
      </c>
      <c r="AA1063" s="1"/>
    </row>
    <row r="1064" spans="1:27" x14ac:dyDescent="0.3">
      <c r="A1064" s="18">
        <v>1123.53</v>
      </c>
      <c r="B1064" s="1">
        <v>0</v>
      </c>
      <c r="C1064" s="1">
        <v>1123.53</v>
      </c>
      <c r="D1064" s="1">
        <v>0</v>
      </c>
      <c r="E1064" s="1">
        <v>1123.53</v>
      </c>
      <c r="F1064" s="1">
        <v>0</v>
      </c>
      <c r="G1064" s="1">
        <v>1123.53</v>
      </c>
      <c r="H1064" s="1">
        <v>0</v>
      </c>
      <c r="I1064" s="1">
        <v>1123.53</v>
      </c>
      <c r="J1064" s="1">
        <v>0</v>
      </c>
      <c r="K1064" s="1">
        <v>1123.53</v>
      </c>
      <c r="L1064" s="1">
        <v>0</v>
      </c>
      <c r="M1064" s="1">
        <v>1123.53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1123.53</v>
      </c>
      <c r="U1064" s="1">
        <f>IF(Table14[[#This Row],[I_0]] &lt; INDEX(Table28[Filtro de ruido],1), 1, Table14[[#This Row],[I_10]] / Table14[[#This Row],[I_0]])</f>
        <v>1</v>
      </c>
      <c r="V1064" s="1">
        <f>IF(Table14[[#This Row],[I_0]] &lt; INDEX(Table28[Filtro de ruido],1), 1, Table14[[#This Row],[I_20]] / Table14[[#This Row],[I_0]])</f>
        <v>1</v>
      </c>
      <c r="W1064" s="1">
        <f>IF(Table14[[#This Row],[I_0]] &lt; INDEX(Table28[Filtro de ruido],1), 1, Table14[[#This Row],[I_30]] / Table14[[#This Row],[I_0]])</f>
        <v>1</v>
      </c>
      <c r="X1064" s="1">
        <f>IF(Table14[[#This Row],[I_0]] &lt; INDEX(Table28[Filtro de ruido],1), 1, Table14[[#This Row],[I_40]] / Table14[[#This Row],[I_0]])</f>
        <v>1</v>
      </c>
      <c r="Y1064" s="19">
        <f>IF(Table14[[#This Row],[I_0]] &lt; INDEX(Table28[Filtro de ruido],1), 1, Table14[[#This Row],[I_50]] / Table14[[#This Row],[I_0]])</f>
        <v>1</v>
      </c>
      <c r="AA1064" s="1"/>
    </row>
    <row r="1065" spans="1:27" x14ac:dyDescent="0.3">
      <c r="A1065" s="18">
        <v>1124.53</v>
      </c>
      <c r="B1065" s="1">
        <v>0</v>
      </c>
      <c r="C1065" s="1">
        <v>1124.53</v>
      </c>
      <c r="D1065" s="1">
        <v>0</v>
      </c>
      <c r="E1065" s="1">
        <v>1124.53</v>
      </c>
      <c r="F1065" s="1">
        <v>0</v>
      </c>
      <c r="G1065" s="1">
        <v>1124.53</v>
      </c>
      <c r="H1065" s="1">
        <v>0</v>
      </c>
      <c r="I1065" s="1">
        <v>1124.53</v>
      </c>
      <c r="J1065" s="1">
        <v>0</v>
      </c>
      <c r="K1065" s="1">
        <v>1124.53</v>
      </c>
      <c r="L1065" s="1">
        <v>0</v>
      </c>
      <c r="M1065" s="1">
        <v>1124.53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1124.53</v>
      </c>
      <c r="U1065" s="1">
        <f>IF(Table14[[#This Row],[I_0]] &lt; INDEX(Table28[Filtro de ruido],1), 1, Table14[[#This Row],[I_10]] / Table14[[#This Row],[I_0]])</f>
        <v>1</v>
      </c>
      <c r="V1065" s="1">
        <f>IF(Table14[[#This Row],[I_0]] &lt; INDEX(Table28[Filtro de ruido],1), 1, Table14[[#This Row],[I_20]] / Table14[[#This Row],[I_0]])</f>
        <v>1</v>
      </c>
      <c r="W1065" s="1">
        <f>IF(Table14[[#This Row],[I_0]] &lt; INDEX(Table28[Filtro de ruido],1), 1, Table14[[#This Row],[I_30]] / Table14[[#This Row],[I_0]])</f>
        <v>1</v>
      </c>
      <c r="X1065" s="1">
        <f>IF(Table14[[#This Row],[I_0]] &lt; INDEX(Table28[Filtro de ruido],1), 1, Table14[[#This Row],[I_40]] / Table14[[#This Row],[I_0]])</f>
        <v>1</v>
      </c>
      <c r="Y1065" s="19">
        <f>IF(Table14[[#This Row],[I_0]] &lt; INDEX(Table28[Filtro de ruido],1), 1, Table14[[#This Row],[I_50]] / Table14[[#This Row],[I_0]])</f>
        <v>1</v>
      </c>
      <c r="AA1065" s="1"/>
    </row>
    <row r="1066" spans="1:27" x14ac:dyDescent="0.3">
      <c r="A1066" s="18">
        <v>1125.52</v>
      </c>
      <c r="B1066" s="1">
        <v>0</v>
      </c>
      <c r="C1066" s="1">
        <v>1125.52</v>
      </c>
      <c r="D1066" s="1">
        <v>0</v>
      </c>
      <c r="E1066" s="1">
        <v>1125.52</v>
      </c>
      <c r="F1066" s="1">
        <v>0</v>
      </c>
      <c r="G1066" s="1">
        <v>1125.52</v>
      </c>
      <c r="H1066" s="1">
        <v>0</v>
      </c>
      <c r="I1066" s="1">
        <v>1125.52</v>
      </c>
      <c r="J1066" s="1">
        <v>0</v>
      </c>
      <c r="K1066" s="1">
        <v>1125.52</v>
      </c>
      <c r="L1066" s="1">
        <v>0</v>
      </c>
      <c r="M1066" s="1">
        <v>1125.52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1125.52</v>
      </c>
      <c r="U1066" s="1">
        <f>IF(Table14[[#This Row],[I_0]] &lt; INDEX(Table28[Filtro de ruido],1), 1, Table14[[#This Row],[I_10]] / Table14[[#This Row],[I_0]])</f>
        <v>1</v>
      </c>
      <c r="V1066" s="1">
        <f>IF(Table14[[#This Row],[I_0]] &lt; INDEX(Table28[Filtro de ruido],1), 1, Table14[[#This Row],[I_20]] / Table14[[#This Row],[I_0]])</f>
        <v>1</v>
      </c>
      <c r="W1066" s="1">
        <f>IF(Table14[[#This Row],[I_0]] &lt; INDEX(Table28[Filtro de ruido],1), 1, Table14[[#This Row],[I_30]] / Table14[[#This Row],[I_0]])</f>
        <v>1</v>
      </c>
      <c r="X1066" s="1">
        <f>IF(Table14[[#This Row],[I_0]] &lt; INDEX(Table28[Filtro de ruido],1), 1, Table14[[#This Row],[I_40]] / Table14[[#This Row],[I_0]])</f>
        <v>1</v>
      </c>
      <c r="Y1066" s="19">
        <f>IF(Table14[[#This Row],[I_0]] &lt; INDEX(Table28[Filtro de ruido],1), 1, Table14[[#This Row],[I_50]] / Table14[[#This Row],[I_0]])</f>
        <v>1</v>
      </c>
      <c r="AA1066" s="1"/>
    </row>
    <row r="1067" spans="1:27" x14ac:dyDescent="0.3">
      <c r="A1067" s="18">
        <v>1126.51</v>
      </c>
      <c r="B1067" s="1">
        <v>0</v>
      </c>
      <c r="C1067" s="1">
        <v>1126.51</v>
      </c>
      <c r="D1067" s="1">
        <v>0</v>
      </c>
      <c r="E1067" s="1">
        <v>1126.51</v>
      </c>
      <c r="F1067" s="1">
        <v>0</v>
      </c>
      <c r="G1067" s="1">
        <v>1126.51</v>
      </c>
      <c r="H1067" s="1">
        <v>0</v>
      </c>
      <c r="I1067" s="1">
        <v>1126.51</v>
      </c>
      <c r="J1067" s="1">
        <v>0</v>
      </c>
      <c r="K1067" s="1">
        <v>1126.51</v>
      </c>
      <c r="L1067" s="1">
        <v>0</v>
      </c>
      <c r="M1067" s="1">
        <v>1126.51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1126.51</v>
      </c>
      <c r="U1067" s="1">
        <f>IF(Table14[[#This Row],[I_0]] &lt; INDEX(Table28[Filtro de ruido],1), 1, Table14[[#This Row],[I_10]] / Table14[[#This Row],[I_0]])</f>
        <v>1</v>
      </c>
      <c r="V1067" s="1">
        <f>IF(Table14[[#This Row],[I_0]] &lt; INDEX(Table28[Filtro de ruido],1), 1, Table14[[#This Row],[I_20]] / Table14[[#This Row],[I_0]])</f>
        <v>1</v>
      </c>
      <c r="W1067" s="1">
        <f>IF(Table14[[#This Row],[I_0]] &lt; INDEX(Table28[Filtro de ruido],1), 1, Table14[[#This Row],[I_30]] / Table14[[#This Row],[I_0]])</f>
        <v>1</v>
      </c>
      <c r="X1067" s="1">
        <f>IF(Table14[[#This Row],[I_0]] &lt; INDEX(Table28[Filtro de ruido],1), 1, Table14[[#This Row],[I_40]] / Table14[[#This Row],[I_0]])</f>
        <v>1</v>
      </c>
      <c r="Y1067" s="19">
        <f>IF(Table14[[#This Row],[I_0]] &lt; INDEX(Table28[Filtro de ruido],1), 1, Table14[[#This Row],[I_50]] / Table14[[#This Row],[I_0]])</f>
        <v>1</v>
      </c>
      <c r="AA1067" s="1"/>
    </row>
    <row r="1068" spans="1:27" x14ac:dyDescent="0.3">
      <c r="A1068" s="18">
        <v>1127.5</v>
      </c>
      <c r="B1068" s="1">
        <v>0</v>
      </c>
      <c r="C1068" s="1">
        <v>1127.5</v>
      </c>
      <c r="D1068" s="1">
        <v>0</v>
      </c>
      <c r="E1068" s="1">
        <v>1127.5</v>
      </c>
      <c r="F1068" s="1">
        <v>0</v>
      </c>
      <c r="G1068" s="1">
        <v>1127.5</v>
      </c>
      <c r="H1068" s="1">
        <v>0</v>
      </c>
      <c r="I1068" s="1">
        <v>1127.5</v>
      </c>
      <c r="J1068" s="1">
        <v>0</v>
      </c>
      <c r="K1068" s="1">
        <v>1127.5</v>
      </c>
      <c r="L1068" s="1">
        <v>0</v>
      </c>
      <c r="M1068" s="1">
        <v>1127.5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1127.5</v>
      </c>
      <c r="U1068" s="1">
        <f>IF(Table14[[#This Row],[I_0]] &lt; INDEX(Table28[Filtro de ruido],1), 1, Table14[[#This Row],[I_10]] / Table14[[#This Row],[I_0]])</f>
        <v>1</v>
      </c>
      <c r="V1068" s="1">
        <f>IF(Table14[[#This Row],[I_0]] &lt; INDEX(Table28[Filtro de ruido],1), 1, Table14[[#This Row],[I_20]] / Table14[[#This Row],[I_0]])</f>
        <v>1</v>
      </c>
      <c r="W1068" s="1">
        <f>IF(Table14[[#This Row],[I_0]] &lt; INDEX(Table28[Filtro de ruido],1), 1, Table14[[#This Row],[I_30]] / Table14[[#This Row],[I_0]])</f>
        <v>1</v>
      </c>
      <c r="X1068" s="1">
        <f>IF(Table14[[#This Row],[I_0]] &lt; INDEX(Table28[Filtro de ruido],1), 1, Table14[[#This Row],[I_40]] / Table14[[#This Row],[I_0]])</f>
        <v>1</v>
      </c>
      <c r="Y1068" s="19">
        <f>IF(Table14[[#This Row],[I_0]] &lt; INDEX(Table28[Filtro de ruido],1), 1, Table14[[#This Row],[I_50]] / Table14[[#This Row],[I_0]])</f>
        <v>1</v>
      </c>
      <c r="AA1068" s="1"/>
    </row>
    <row r="1069" spans="1:27" x14ac:dyDescent="0.3">
      <c r="A1069" s="18">
        <v>1128.49</v>
      </c>
      <c r="B1069" s="1">
        <v>0</v>
      </c>
      <c r="C1069" s="1">
        <v>1128.49</v>
      </c>
      <c r="D1069" s="1">
        <v>0</v>
      </c>
      <c r="E1069" s="1">
        <v>1128.49</v>
      </c>
      <c r="F1069" s="1">
        <v>0</v>
      </c>
      <c r="G1069" s="1">
        <v>1128.49</v>
      </c>
      <c r="H1069" s="1">
        <v>0</v>
      </c>
      <c r="I1069" s="1">
        <v>1128.49</v>
      </c>
      <c r="J1069" s="1">
        <v>0</v>
      </c>
      <c r="K1069" s="1">
        <v>1128.49</v>
      </c>
      <c r="L1069" s="1">
        <v>0</v>
      </c>
      <c r="M1069" s="1">
        <v>1128.49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1128.49</v>
      </c>
      <c r="U1069" s="1">
        <f>IF(Table14[[#This Row],[I_0]] &lt; INDEX(Table28[Filtro de ruido],1), 1, Table14[[#This Row],[I_10]] / Table14[[#This Row],[I_0]])</f>
        <v>1</v>
      </c>
      <c r="V1069" s="1">
        <f>IF(Table14[[#This Row],[I_0]] &lt; INDEX(Table28[Filtro de ruido],1), 1, Table14[[#This Row],[I_20]] / Table14[[#This Row],[I_0]])</f>
        <v>1</v>
      </c>
      <c r="W1069" s="1">
        <f>IF(Table14[[#This Row],[I_0]] &lt; INDEX(Table28[Filtro de ruido],1), 1, Table14[[#This Row],[I_30]] / Table14[[#This Row],[I_0]])</f>
        <v>1</v>
      </c>
      <c r="X1069" s="1">
        <f>IF(Table14[[#This Row],[I_0]] &lt; INDEX(Table28[Filtro de ruido],1), 1, Table14[[#This Row],[I_40]] / Table14[[#This Row],[I_0]])</f>
        <v>1</v>
      </c>
      <c r="Y1069" s="19">
        <f>IF(Table14[[#This Row],[I_0]] &lt; INDEX(Table28[Filtro de ruido],1), 1, Table14[[#This Row],[I_50]] / Table14[[#This Row],[I_0]])</f>
        <v>1</v>
      </c>
      <c r="AA1069" s="1"/>
    </row>
    <row r="1070" spans="1:27" x14ac:dyDescent="0.3">
      <c r="A1070" s="18">
        <v>1129.48</v>
      </c>
      <c r="B1070" s="1">
        <v>0</v>
      </c>
      <c r="C1070" s="1">
        <v>1129.48</v>
      </c>
      <c r="D1070" s="1">
        <v>0</v>
      </c>
      <c r="E1070" s="1">
        <v>1129.48</v>
      </c>
      <c r="F1070" s="1">
        <v>0</v>
      </c>
      <c r="G1070" s="1">
        <v>1129.48</v>
      </c>
      <c r="H1070" s="1">
        <v>0</v>
      </c>
      <c r="I1070" s="1">
        <v>1129.48</v>
      </c>
      <c r="J1070" s="1">
        <v>0</v>
      </c>
      <c r="K1070" s="1">
        <v>1129.48</v>
      </c>
      <c r="L1070" s="1">
        <v>0</v>
      </c>
      <c r="M1070" s="1">
        <v>1129.48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1129.48</v>
      </c>
      <c r="U1070" s="1">
        <f>IF(Table14[[#This Row],[I_0]] &lt; INDEX(Table28[Filtro de ruido],1), 1, Table14[[#This Row],[I_10]] / Table14[[#This Row],[I_0]])</f>
        <v>1</v>
      </c>
      <c r="V1070" s="1">
        <f>IF(Table14[[#This Row],[I_0]] &lt; INDEX(Table28[Filtro de ruido],1), 1, Table14[[#This Row],[I_20]] / Table14[[#This Row],[I_0]])</f>
        <v>1</v>
      </c>
      <c r="W1070" s="1">
        <f>IF(Table14[[#This Row],[I_0]] &lt; INDEX(Table28[Filtro de ruido],1), 1, Table14[[#This Row],[I_30]] / Table14[[#This Row],[I_0]])</f>
        <v>1</v>
      </c>
      <c r="X1070" s="1">
        <f>IF(Table14[[#This Row],[I_0]] &lt; INDEX(Table28[Filtro de ruido],1), 1, Table14[[#This Row],[I_40]] / Table14[[#This Row],[I_0]])</f>
        <v>1</v>
      </c>
      <c r="Y1070" s="19">
        <f>IF(Table14[[#This Row],[I_0]] &lt; INDEX(Table28[Filtro de ruido],1), 1, Table14[[#This Row],[I_50]] / Table14[[#This Row],[I_0]])</f>
        <v>1</v>
      </c>
      <c r="AA1070" s="1"/>
    </row>
    <row r="1071" spans="1:27" x14ac:dyDescent="0.3">
      <c r="A1071" s="18">
        <v>1130.48</v>
      </c>
      <c r="B1071" s="1">
        <v>0</v>
      </c>
      <c r="C1071" s="1">
        <v>1130.48</v>
      </c>
      <c r="D1071" s="1">
        <v>0</v>
      </c>
      <c r="E1071" s="1">
        <v>1130.48</v>
      </c>
      <c r="F1071" s="1">
        <v>0</v>
      </c>
      <c r="G1071" s="1">
        <v>1130.48</v>
      </c>
      <c r="H1071" s="1">
        <v>0</v>
      </c>
      <c r="I1071" s="1">
        <v>1130.48</v>
      </c>
      <c r="J1071" s="1">
        <v>0</v>
      </c>
      <c r="K1071" s="1">
        <v>1130.48</v>
      </c>
      <c r="L1071" s="1">
        <v>0</v>
      </c>
      <c r="M1071" s="1">
        <v>1130.48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1130.48</v>
      </c>
      <c r="U1071" s="1">
        <f>IF(Table14[[#This Row],[I_0]] &lt; INDEX(Table28[Filtro de ruido],1), 1, Table14[[#This Row],[I_10]] / Table14[[#This Row],[I_0]])</f>
        <v>1</v>
      </c>
      <c r="V1071" s="1">
        <f>IF(Table14[[#This Row],[I_0]] &lt; INDEX(Table28[Filtro de ruido],1), 1, Table14[[#This Row],[I_20]] / Table14[[#This Row],[I_0]])</f>
        <v>1</v>
      </c>
      <c r="W1071" s="1">
        <f>IF(Table14[[#This Row],[I_0]] &lt; INDEX(Table28[Filtro de ruido],1), 1, Table14[[#This Row],[I_30]] / Table14[[#This Row],[I_0]])</f>
        <v>1</v>
      </c>
      <c r="X1071" s="1">
        <f>IF(Table14[[#This Row],[I_0]] &lt; INDEX(Table28[Filtro de ruido],1), 1, Table14[[#This Row],[I_40]] / Table14[[#This Row],[I_0]])</f>
        <v>1</v>
      </c>
      <c r="Y1071" s="19">
        <f>IF(Table14[[#This Row],[I_0]] &lt; INDEX(Table28[Filtro de ruido],1), 1, Table14[[#This Row],[I_50]] / Table14[[#This Row],[I_0]])</f>
        <v>1</v>
      </c>
      <c r="AA1071" s="1"/>
    </row>
    <row r="1072" spans="1:27" x14ac:dyDescent="0.3">
      <c r="A1072" s="18">
        <v>1131.47</v>
      </c>
      <c r="B1072" s="1">
        <v>0</v>
      </c>
      <c r="C1072" s="1">
        <v>1131.47</v>
      </c>
      <c r="D1072" s="1">
        <v>0</v>
      </c>
      <c r="E1072" s="1">
        <v>1131.47</v>
      </c>
      <c r="F1072" s="1">
        <v>0</v>
      </c>
      <c r="G1072" s="1">
        <v>1131.47</v>
      </c>
      <c r="H1072" s="1">
        <v>0</v>
      </c>
      <c r="I1072" s="1">
        <v>1131.47</v>
      </c>
      <c r="J1072" s="1">
        <v>0</v>
      </c>
      <c r="K1072" s="1">
        <v>1131.47</v>
      </c>
      <c r="L1072" s="1">
        <v>0</v>
      </c>
      <c r="M1072" s="1">
        <v>1131.47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1131.47</v>
      </c>
      <c r="U1072" s="1">
        <f>IF(Table14[[#This Row],[I_0]] &lt; INDEX(Table28[Filtro de ruido],1), 1, Table14[[#This Row],[I_10]] / Table14[[#This Row],[I_0]])</f>
        <v>1</v>
      </c>
      <c r="V1072" s="1">
        <f>IF(Table14[[#This Row],[I_0]] &lt; INDEX(Table28[Filtro de ruido],1), 1, Table14[[#This Row],[I_20]] / Table14[[#This Row],[I_0]])</f>
        <v>1</v>
      </c>
      <c r="W1072" s="1">
        <f>IF(Table14[[#This Row],[I_0]] &lt; INDEX(Table28[Filtro de ruido],1), 1, Table14[[#This Row],[I_30]] / Table14[[#This Row],[I_0]])</f>
        <v>1</v>
      </c>
      <c r="X1072" s="1">
        <f>IF(Table14[[#This Row],[I_0]] &lt; INDEX(Table28[Filtro de ruido],1), 1, Table14[[#This Row],[I_40]] / Table14[[#This Row],[I_0]])</f>
        <v>1</v>
      </c>
      <c r="Y1072" s="19">
        <f>IF(Table14[[#This Row],[I_0]] &lt; INDEX(Table28[Filtro de ruido],1), 1, Table14[[#This Row],[I_50]] / Table14[[#This Row],[I_0]])</f>
        <v>1</v>
      </c>
      <c r="AA1072" s="1"/>
    </row>
    <row r="1073" spans="1:27" x14ac:dyDescent="0.3">
      <c r="A1073" s="18">
        <v>1132.46</v>
      </c>
      <c r="B1073" s="1">
        <v>0</v>
      </c>
      <c r="C1073" s="1">
        <v>1132.46</v>
      </c>
      <c r="D1073" s="1">
        <v>0</v>
      </c>
      <c r="E1073" s="1">
        <v>1132.46</v>
      </c>
      <c r="F1073" s="1">
        <v>0</v>
      </c>
      <c r="G1073" s="1">
        <v>1132.46</v>
      </c>
      <c r="H1073" s="1">
        <v>0</v>
      </c>
      <c r="I1073" s="1">
        <v>1132.46</v>
      </c>
      <c r="J1073" s="1">
        <v>0</v>
      </c>
      <c r="K1073" s="1">
        <v>1132.46</v>
      </c>
      <c r="L1073" s="1">
        <v>0</v>
      </c>
      <c r="M1073" s="1">
        <v>1132.46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1132.46</v>
      </c>
      <c r="U1073" s="1">
        <f>IF(Table14[[#This Row],[I_0]] &lt; INDEX(Table28[Filtro de ruido],1), 1, Table14[[#This Row],[I_10]] / Table14[[#This Row],[I_0]])</f>
        <v>1</v>
      </c>
      <c r="V1073" s="1">
        <f>IF(Table14[[#This Row],[I_0]] &lt; INDEX(Table28[Filtro de ruido],1), 1, Table14[[#This Row],[I_20]] / Table14[[#This Row],[I_0]])</f>
        <v>1</v>
      </c>
      <c r="W1073" s="1">
        <f>IF(Table14[[#This Row],[I_0]] &lt; INDEX(Table28[Filtro de ruido],1), 1, Table14[[#This Row],[I_30]] / Table14[[#This Row],[I_0]])</f>
        <v>1</v>
      </c>
      <c r="X1073" s="1">
        <f>IF(Table14[[#This Row],[I_0]] &lt; INDEX(Table28[Filtro de ruido],1), 1, Table14[[#This Row],[I_40]] / Table14[[#This Row],[I_0]])</f>
        <v>1</v>
      </c>
      <c r="Y1073" s="19">
        <f>IF(Table14[[#This Row],[I_0]] &lt; INDEX(Table28[Filtro de ruido],1), 1, Table14[[#This Row],[I_50]] / Table14[[#This Row],[I_0]])</f>
        <v>1</v>
      </c>
      <c r="AA1073" s="1"/>
    </row>
    <row r="1074" spans="1:27" x14ac:dyDescent="0.3">
      <c r="A1074" s="18">
        <v>1133.45</v>
      </c>
      <c r="B1074" s="1">
        <v>0</v>
      </c>
      <c r="C1074" s="1">
        <v>1133.45</v>
      </c>
      <c r="D1074" s="1">
        <v>0</v>
      </c>
      <c r="E1074" s="1">
        <v>1133.45</v>
      </c>
      <c r="F1074" s="1">
        <v>0</v>
      </c>
      <c r="G1074" s="1">
        <v>1133.45</v>
      </c>
      <c r="H1074" s="1">
        <v>0</v>
      </c>
      <c r="I1074" s="1">
        <v>1133.45</v>
      </c>
      <c r="J1074" s="1">
        <v>0</v>
      </c>
      <c r="K1074" s="1">
        <v>1133.45</v>
      </c>
      <c r="L1074" s="1">
        <v>0</v>
      </c>
      <c r="M1074" s="1">
        <v>1133.45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1133.45</v>
      </c>
      <c r="U1074" s="1">
        <f>IF(Table14[[#This Row],[I_0]] &lt; INDEX(Table28[Filtro de ruido],1), 1, Table14[[#This Row],[I_10]] / Table14[[#This Row],[I_0]])</f>
        <v>1</v>
      </c>
      <c r="V1074" s="1">
        <f>IF(Table14[[#This Row],[I_0]] &lt; INDEX(Table28[Filtro de ruido],1), 1, Table14[[#This Row],[I_20]] / Table14[[#This Row],[I_0]])</f>
        <v>1</v>
      </c>
      <c r="W1074" s="1">
        <f>IF(Table14[[#This Row],[I_0]] &lt; INDEX(Table28[Filtro de ruido],1), 1, Table14[[#This Row],[I_30]] / Table14[[#This Row],[I_0]])</f>
        <v>1</v>
      </c>
      <c r="X1074" s="1">
        <f>IF(Table14[[#This Row],[I_0]] &lt; INDEX(Table28[Filtro de ruido],1), 1, Table14[[#This Row],[I_40]] / Table14[[#This Row],[I_0]])</f>
        <v>1</v>
      </c>
      <c r="Y1074" s="19">
        <f>IF(Table14[[#This Row],[I_0]] &lt; INDEX(Table28[Filtro de ruido],1), 1, Table14[[#This Row],[I_50]] / Table14[[#This Row],[I_0]])</f>
        <v>1</v>
      </c>
      <c r="AA1074" s="1"/>
    </row>
    <row r="1075" spans="1:27" x14ac:dyDescent="0.3">
      <c r="A1075" s="18">
        <v>1134.44</v>
      </c>
      <c r="B1075" s="1">
        <v>0</v>
      </c>
      <c r="C1075" s="1">
        <v>1134.44</v>
      </c>
      <c r="D1075" s="1">
        <v>0</v>
      </c>
      <c r="E1075" s="1">
        <v>1134.44</v>
      </c>
      <c r="F1075" s="1">
        <v>0</v>
      </c>
      <c r="G1075" s="1">
        <v>1134.44</v>
      </c>
      <c r="H1075" s="1">
        <v>0</v>
      </c>
      <c r="I1075" s="1">
        <v>1134.44</v>
      </c>
      <c r="J1075" s="1">
        <v>0</v>
      </c>
      <c r="K1075" s="1">
        <v>1134.44</v>
      </c>
      <c r="L1075" s="1">
        <v>0</v>
      </c>
      <c r="M1075" s="1">
        <v>1134.44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1134.44</v>
      </c>
      <c r="U1075" s="1">
        <f>IF(Table14[[#This Row],[I_0]] &lt; INDEX(Table28[Filtro de ruido],1), 1, Table14[[#This Row],[I_10]] / Table14[[#This Row],[I_0]])</f>
        <v>1</v>
      </c>
      <c r="V1075" s="1">
        <f>IF(Table14[[#This Row],[I_0]] &lt; INDEX(Table28[Filtro de ruido],1), 1, Table14[[#This Row],[I_20]] / Table14[[#This Row],[I_0]])</f>
        <v>1</v>
      </c>
      <c r="W1075" s="1">
        <f>IF(Table14[[#This Row],[I_0]] &lt; INDEX(Table28[Filtro de ruido],1), 1, Table14[[#This Row],[I_30]] / Table14[[#This Row],[I_0]])</f>
        <v>1</v>
      </c>
      <c r="X1075" s="1">
        <f>IF(Table14[[#This Row],[I_0]] &lt; INDEX(Table28[Filtro de ruido],1), 1, Table14[[#This Row],[I_40]] / Table14[[#This Row],[I_0]])</f>
        <v>1</v>
      </c>
      <c r="Y1075" s="19">
        <f>IF(Table14[[#This Row],[I_0]] &lt; INDEX(Table28[Filtro de ruido],1), 1, Table14[[#This Row],[I_50]] / Table14[[#This Row],[I_0]])</f>
        <v>1</v>
      </c>
      <c r="AA1075" s="1"/>
    </row>
    <row r="1076" spans="1:27" x14ac:dyDescent="0.3">
      <c r="A1076" s="18">
        <v>1135.44</v>
      </c>
      <c r="B1076" s="1">
        <v>0</v>
      </c>
      <c r="C1076" s="1">
        <v>1135.44</v>
      </c>
      <c r="D1076" s="1">
        <v>0</v>
      </c>
      <c r="E1076" s="1">
        <v>1135.44</v>
      </c>
      <c r="F1076" s="1">
        <v>0</v>
      </c>
      <c r="G1076" s="1">
        <v>1135.44</v>
      </c>
      <c r="H1076" s="1">
        <v>0</v>
      </c>
      <c r="I1076" s="1">
        <v>1135.44</v>
      </c>
      <c r="J1076" s="1">
        <v>0</v>
      </c>
      <c r="K1076" s="1">
        <v>1135.44</v>
      </c>
      <c r="L1076" s="1">
        <v>0</v>
      </c>
      <c r="M1076" s="1">
        <v>1135.44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1135.44</v>
      </c>
      <c r="U1076" s="1">
        <f>IF(Table14[[#This Row],[I_0]] &lt; INDEX(Table28[Filtro de ruido],1), 1, Table14[[#This Row],[I_10]] / Table14[[#This Row],[I_0]])</f>
        <v>1</v>
      </c>
      <c r="V1076" s="1">
        <f>IF(Table14[[#This Row],[I_0]] &lt; INDEX(Table28[Filtro de ruido],1), 1, Table14[[#This Row],[I_20]] / Table14[[#This Row],[I_0]])</f>
        <v>1</v>
      </c>
      <c r="W1076" s="1">
        <f>IF(Table14[[#This Row],[I_0]] &lt; INDEX(Table28[Filtro de ruido],1), 1, Table14[[#This Row],[I_30]] / Table14[[#This Row],[I_0]])</f>
        <v>1</v>
      </c>
      <c r="X1076" s="1">
        <f>IF(Table14[[#This Row],[I_0]] &lt; INDEX(Table28[Filtro de ruido],1), 1, Table14[[#This Row],[I_40]] / Table14[[#This Row],[I_0]])</f>
        <v>1</v>
      </c>
      <c r="Y1076" s="19">
        <f>IF(Table14[[#This Row],[I_0]] &lt; INDEX(Table28[Filtro de ruido],1), 1, Table14[[#This Row],[I_50]] / Table14[[#This Row],[I_0]])</f>
        <v>1</v>
      </c>
      <c r="AA1076" s="1"/>
    </row>
    <row r="1077" spans="1:27" x14ac:dyDescent="0.3">
      <c r="A1077" s="18">
        <v>1136.43</v>
      </c>
      <c r="B1077" s="1">
        <v>0</v>
      </c>
      <c r="C1077" s="1">
        <v>1136.43</v>
      </c>
      <c r="D1077" s="1">
        <v>0</v>
      </c>
      <c r="E1077" s="1">
        <v>1136.43</v>
      </c>
      <c r="F1077" s="1">
        <v>0</v>
      </c>
      <c r="G1077" s="1">
        <v>1136.43</v>
      </c>
      <c r="H1077" s="1">
        <v>0</v>
      </c>
      <c r="I1077" s="1">
        <v>1136.43</v>
      </c>
      <c r="J1077" s="1">
        <v>0</v>
      </c>
      <c r="K1077" s="1">
        <v>1136.43</v>
      </c>
      <c r="L1077" s="1">
        <v>0</v>
      </c>
      <c r="M1077" s="1">
        <v>1136.43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1136.43</v>
      </c>
      <c r="U1077" s="1">
        <f>IF(Table14[[#This Row],[I_0]] &lt; INDEX(Table28[Filtro de ruido],1), 1, Table14[[#This Row],[I_10]] / Table14[[#This Row],[I_0]])</f>
        <v>1</v>
      </c>
      <c r="V1077" s="1">
        <f>IF(Table14[[#This Row],[I_0]] &lt; INDEX(Table28[Filtro de ruido],1), 1, Table14[[#This Row],[I_20]] / Table14[[#This Row],[I_0]])</f>
        <v>1</v>
      </c>
      <c r="W1077" s="1">
        <f>IF(Table14[[#This Row],[I_0]] &lt; INDEX(Table28[Filtro de ruido],1), 1, Table14[[#This Row],[I_30]] / Table14[[#This Row],[I_0]])</f>
        <v>1</v>
      </c>
      <c r="X1077" s="1">
        <f>IF(Table14[[#This Row],[I_0]] &lt; INDEX(Table28[Filtro de ruido],1), 1, Table14[[#This Row],[I_40]] / Table14[[#This Row],[I_0]])</f>
        <v>1</v>
      </c>
      <c r="Y1077" s="19">
        <f>IF(Table14[[#This Row],[I_0]] &lt; INDEX(Table28[Filtro de ruido],1), 1, Table14[[#This Row],[I_50]] / Table14[[#This Row],[I_0]])</f>
        <v>1</v>
      </c>
      <c r="AA1077" s="1"/>
    </row>
    <row r="1078" spans="1:27" x14ac:dyDescent="0.3">
      <c r="A1078" s="18">
        <v>1137.42</v>
      </c>
      <c r="B1078" s="1">
        <v>0</v>
      </c>
      <c r="C1078" s="1">
        <v>1137.42</v>
      </c>
      <c r="D1078" s="1">
        <v>0</v>
      </c>
      <c r="E1078" s="1">
        <v>1137.42</v>
      </c>
      <c r="F1078" s="1">
        <v>0</v>
      </c>
      <c r="G1078" s="1">
        <v>1137.42</v>
      </c>
      <c r="H1078" s="1">
        <v>0</v>
      </c>
      <c r="I1078" s="1">
        <v>1137.42</v>
      </c>
      <c r="J1078" s="1">
        <v>0</v>
      </c>
      <c r="K1078" s="1">
        <v>1137.42</v>
      </c>
      <c r="L1078" s="1">
        <v>0</v>
      </c>
      <c r="M1078" s="1">
        <v>1137.42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1137.42</v>
      </c>
      <c r="U1078" s="1">
        <f>IF(Table14[[#This Row],[I_0]] &lt; INDEX(Table28[Filtro de ruido],1), 1, Table14[[#This Row],[I_10]] / Table14[[#This Row],[I_0]])</f>
        <v>1</v>
      </c>
      <c r="V1078" s="1">
        <f>IF(Table14[[#This Row],[I_0]] &lt; INDEX(Table28[Filtro de ruido],1), 1, Table14[[#This Row],[I_20]] / Table14[[#This Row],[I_0]])</f>
        <v>1</v>
      </c>
      <c r="W1078" s="1">
        <f>IF(Table14[[#This Row],[I_0]] &lt; INDEX(Table28[Filtro de ruido],1), 1, Table14[[#This Row],[I_30]] / Table14[[#This Row],[I_0]])</f>
        <v>1</v>
      </c>
      <c r="X1078" s="1">
        <f>IF(Table14[[#This Row],[I_0]] &lt; INDEX(Table28[Filtro de ruido],1), 1, Table14[[#This Row],[I_40]] / Table14[[#This Row],[I_0]])</f>
        <v>1</v>
      </c>
      <c r="Y1078" s="19">
        <f>IF(Table14[[#This Row],[I_0]] &lt; INDEX(Table28[Filtro de ruido],1), 1, Table14[[#This Row],[I_50]] / Table14[[#This Row],[I_0]])</f>
        <v>1</v>
      </c>
      <c r="AA1078" s="1"/>
    </row>
    <row r="1079" spans="1:27" x14ac:dyDescent="0.3">
      <c r="A1079" s="18">
        <v>1138.4100000000001</v>
      </c>
      <c r="B1079" s="1">
        <v>0</v>
      </c>
      <c r="C1079" s="1">
        <v>1138.4100000000001</v>
      </c>
      <c r="D1079" s="1">
        <v>0</v>
      </c>
      <c r="E1079" s="1">
        <v>1138.4100000000001</v>
      </c>
      <c r="F1079" s="1">
        <v>0</v>
      </c>
      <c r="G1079" s="1">
        <v>1138.4100000000001</v>
      </c>
      <c r="H1079" s="1">
        <v>0</v>
      </c>
      <c r="I1079" s="1">
        <v>1138.4100000000001</v>
      </c>
      <c r="J1079" s="1">
        <v>0</v>
      </c>
      <c r="K1079" s="1">
        <v>1138.4100000000001</v>
      </c>
      <c r="L1079" s="1">
        <v>0</v>
      </c>
      <c r="M1079" s="1">
        <v>1138.4100000000001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1138.4100000000001</v>
      </c>
      <c r="U1079" s="1">
        <f>IF(Table14[[#This Row],[I_0]] &lt; INDEX(Table28[Filtro de ruido],1), 1, Table14[[#This Row],[I_10]] / Table14[[#This Row],[I_0]])</f>
        <v>1</v>
      </c>
      <c r="V1079" s="1">
        <f>IF(Table14[[#This Row],[I_0]] &lt; INDEX(Table28[Filtro de ruido],1), 1, Table14[[#This Row],[I_20]] / Table14[[#This Row],[I_0]])</f>
        <v>1</v>
      </c>
      <c r="W1079" s="1">
        <f>IF(Table14[[#This Row],[I_0]] &lt; INDEX(Table28[Filtro de ruido],1), 1, Table14[[#This Row],[I_30]] / Table14[[#This Row],[I_0]])</f>
        <v>1</v>
      </c>
      <c r="X1079" s="1">
        <f>IF(Table14[[#This Row],[I_0]] &lt; INDEX(Table28[Filtro de ruido],1), 1, Table14[[#This Row],[I_40]] / Table14[[#This Row],[I_0]])</f>
        <v>1</v>
      </c>
      <c r="Y1079" s="19">
        <f>IF(Table14[[#This Row],[I_0]] &lt; INDEX(Table28[Filtro de ruido],1), 1, Table14[[#This Row],[I_50]] / Table14[[#This Row],[I_0]])</f>
        <v>1</v>
      </c>
      <c r="AA1079" s="1"/>
    </row>
    <row r="1080" spans="1:27" x14ac:dyDescent="0.3">
      <c r="A1080" s="18">
        <v>1139.4000000000001</v>
      </c>
      <c r="B1080" s="1">
        <v>0</v>
      </c>
      <c r="C1080" s="1">
        <v>1139.4000000000001</v>
      </c>
      <c r="D1080" s="1">
        <v>0</v>
      </c>
      <c r="E1080" s="1">
        <v>1139.4000000000001</v>
      </c>
      <c r="F1080" s="1">
        <v>0</v>
      </c>
      <c r="G1080" s="1">
        <v>1139.4000000000001</v>
      </c>
      <c r="H1080" s="1">
        <v>0</v>
      </c>
      <c r="I1080" s="1">
        <v>1139.4000000000001</v>
      </c>
      <c r="J1080" s="1">
        <v>0</v>
      </c>
      <c r="K1080" s="1">
        <v>1139.4000000000001</v>
      </c>
      <c r="L1080" s="1">
        <v>0</v>
      </c>
      <c r="M1080" s="1">
        <v>1139.4000000000001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1139.4000000000001</v>
      </c>
      <c r="U1080" s="1">
        <f>IF(Table14[[#This Row],[I_0]] &lt; INDEX(Table28[Filtro de ruido],1), 1, Table14[[#This Row],[I_10]] / Table14[[#This Row],[I_0]])</f>
        <v>1</v>
      </c>
      <c r="V1080" s="1">
        <f>IF(Table14[[#This Row],[I_0]] &lt; INDEX(Table28[Filtro de ruido],1), 1, Table14[[#This Row],[I_20]] / Table14[[#This Row],[I_0]])</f>
        <v>1</v>
      </c>
      <c r="W1080" s="1">
        <f>IF(Table14[[#This Row],[I_0]] &lt; INDEX(Table28[Filtro de ruido],1), 1, Table14[[#This Row],[I_30]] / Table14[[#This Row],[I_0]])</f>
        <v>1</v>
      </c>
      <c r="X1080" s="1">
        <f>IF(Table14[[#This Row],[I_0]] &lt; INDEX(Table28[Filtro de ruido],1), 1, Table14[[#This Row],[I_40]] / Table14[[#This Row],[I_0]])</f>
        <v>1</v>
      </c>
      <c r="Y1080" s="19">
        <f>IF(Table14[[#This Row],[I_0]] &lt; INDEX(Table28[Filtro de ruido],1), 1, Table14[[#This Row],[I_50]] / Table14[[#This Row],[I_0]])</f>
        <v>1</v>
      </c>
      <c r="AA1080" s="1"/>
    </row>
    <row r="1081" spans="1:27" x14ac:dyDescent="0.3">
      <c r="A1081" s="18">
        <v>1140.3900000000001</v>
      </c>
      <c r="B1081" s="1">
        <v>0</v>
      </c>
      <c r="C1081" s="1">
        <v>1140.3900000000001</v>
      </c>
      <c r="D1081" s="1">
        <v>0</v>
      </c>
      <c r="E1081" s="1">
        <v>1140.3900000000001</v>
      </c>
      <c r="F1081" s="1">
        <v>0</v>
      </c>
      <c r="G1081" s="1">
        <v>1140.3900000000001</v>
      </c>
      <c r="H1081" s="1">
        <v>0</v>
      </c>
      <c r="I1081" s="1">
        <v>1140.3900000000001</v>
      </c>
      <c r="J1081" s="1">
        <v>0</v>
      </c>
      <c r="K1081" s="1">
        <v>1140.3900000000001</v>
      </c>
      <c r="L1081" s="1">
        <v>0</v>
      </c>
      <c r="M1081" s="1">
        <v>1140.3900000000001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1140.3900000000001</v>
      </c>
      <c r="U1081" s="1">
        <f>IF(Table14[[#This Row],[I_0]] &lt; INDEX(Table28[Filtro de ruido],1), 1, Table14[[#This Row],[I_10]] / Table14[[#This Row],[I_0]])</f>
        <v>1</v>
      </c>
      <c r="V1081" s="1">
        <f>IF(Table14[[#This Row],[I_0]] &lt; INDEX(Table28[Filtro de ruido],1), 1, Table14[[#This Row],[I_20]] / Table14[[#This Row],[I_0]])</f>
        <v>1</v>
      </c>
      <c r="W1081" s="1">
        <f>IF(Table14[[#This Row],[I_0]] &lt; INDEX(Table28[Filtro de ruido],1), 1, Table14[[#This Row],[I_30]] / Table14[[#This Row],[I_0]])</f>
        <v>1</v>
      </c>
      <c r="X1081" s="1">
        <f>IF(Table14[[#This Row],[I_0]] &lt; INDEX(Table28[Filtro de ruido],1), 1, Table14[[#This Row],[I_40]] / Table14[[#This Row],[I_0]])</f>
        <v>1</v>
      </c>
      <c r="Y1081" s="19">
        <f>IF(Table14[[#This Row],[I_0]] &lt; INDEX(Table28[Filtro de ruido],1), 1, Table14[[#This Row],[I_50]] / Table14[[#This Row],[I_0]])</f>
        <v>1</v>
      </c>
      <c r="AA1081" s="1"/>
    </row>
    <row r="1082" spans="1:27" x14ac:dyDescent="0.3">
      <c r="A1082" s="18">
        <v>1141.3900000000001</v>
      </c>
      <c r="B1082" s="1">
        <v>0</v>
      </c>
      <c r="C1082" s="1">
        <v>1141.3900000000001</v>
      </c>
      <c r="D1082" s="1">
        <v>0</v>
      </c>
      <c r="E1082" s="1">
        <v>1141.3900000000001</v>
      </c>
      <c r="F1082" s="1">
        <v>0</v>
      </c>
      <c r="G1082" s="1">
        <v>1141.3900000000001</v>
      </c>
      <c r="H1082" s="1">
        <v>0</v>
      </c>
      <c r="I1082" s="1">
        <v>1141.3900000000001</v>
      </c>
      <c r="J1082" s="1">
        <v>0</v>
      </c>
      <c r="K1082" s="1">
        <v>1141.3900000000001</v>
      </c>
      <c r="L1082" s="1">
        <v>0</v>
      </c>
      <c r="M1082" s="1">
        <v>1141.3900000000001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1141.3900000000001</v>
      </c>
      <c r="U1082" s="1">
        <f>IF(Table14[[#This Row],[I_0]] &lt; INDEX(Table28[Filtro de ruido],1), 1, Table14[[#This Row],[I_10]] / Table14[[#This Row],[I_0]])</f>
        <v>1</v>
      </c>
      <c r="V1082" s="1">
        <f>IF(Table14[[#This Row],[I_0]] &lt; INDEX(Table28[Filtro de ruido],1), 1, Table14[[#This Row],[I_20]] / Table14[[#This Row],[I_0]])</f>
        <v>1</v>
      </c>
      <c r="W1082" s="1">
        <f>IF(Table14[[#This Row],[I_0]] &lt; INDEX(Table28[Filtro de ruido],1), 1, Table14[[#This Row],[I_30]] / Table14[[#This Row],[I_0]])</f>
        <v>1</v>
      </c>
      <c r="X1082" s="1">
        <f>IF(Table14[[#This Row],[I_0]] &lt; INDEX(Table28[Filtro de ruido],1), 1, Table14[[#This Row],[I_40]] / Table14[[#This Row],[I_0]])</f>
        <v>1</v>
      </c>
      <c r="Y1082" s="19">
        <f>IF(Table14[[#This Row],[I_0]] &lt; INDEX(Table28[Filtro de ruido],1), 1, Table14[[#This Row],[I_50]] / Table14[[#This Row],[I_0]])</f>
        <v>1</v>
      </c>
      <c r="AA1082" s="1"/>
    </row>
    <row r="1083" spans="1:27" x14ac:dyDescent="0.3">
      <c r="A1083" s="18">
        <v>1142.3800000000001</v>
      </c>
      <c r="B1083" s="1">
        <v>0</v>
      </c>
      <c r="C1083" s="1">
        <v>1142.3800000000001</v>
      </c>
      <c r="D1083" s="1">
        <v>0</v>
      </c>
      <c r="E1083" s="1">
        <v>1142.3800000000001</v>
      </c>
      <c r="F1083" s="1">
        <v>0</v>
      </c>
      <c r="G1083" s="1">
        <v>1142.3800000000001</v>
      </c>
      <c r="H1083" s="1">
        <v>0</v>
      </c>
      <c r="I1083" s="1">
        <v>1142.3800000000001</v>
      </c>
      <c r="J1083" s="1">
        <v>0</v>
      </c>
      <c r="K1083" s="1">
        <v>1142.3800000000001</v>
      </c>
      <c r="L1083" s="1">
        <v>0</v>
      </c>
      <c r="M1083" s="1">
        <v>1142.3800000000001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1142.3800000000001</v>
      </c>
      <c r="U1083" s="1">
        <f>IF(Table14[[#This Row],[I_0]] &lt; INDEX(Table28[Filtro de ruido],1), 1, Table14[[#This Row],[I_10]] / Table14[[#This Row],[I_0]])</f>
        <v>1</v>
      </c>
      <c r="V1083" s="1">
        <f>IF(Table14[[#This Row],[I_0]] &lt; INDEX(Table28[Filtro de ruido],1), 1, Table14[[#This Row],[I_20]] / Table14[[#This Row],[I_0]])</f>
        <v>1</v>
      </c>
      <c r="W1083" s="1">
        <f>IF(Table14[[#This Row],[I_0]] &lt; INDEX(Table28[Filtro de ruido],1), 1, Table14[[#This Row],[I_30]] / Table14[[#This Row],[I_0]])</f>
        <v>1</v>
      </c>
      <c r="X1083" s="1">
        <f>IF(Table14[[#This Row],[I_0]] &lt; INDEX(Table28[Filtro de ruido],1), 1, Table14[[#This Row],[I_40]] / Table14[[#This Row],[I_0]])</f>
        <v>1</v>
      </c>
      <c r="Y1083" s="19">
        <f>IF(Table14[[#This Row],[I_0]] &lt; INDEX(Table28[Filtro de ruido],1), 1, Table14[[#This Row],[I_50]] / Table14[[#This Row],[I_0]])</f>
        <v>1</v>
      </c>
      <c r="AA1083" s="1"/>
    </row>
    <row r="1084" spans="1:27" x14ac:dyDescent="0.3">
      <c r="A1084" s="18">
        <v>1143.3699999999999</v>
      </c>
      <c r="B1084" s="1">
        <v>0</v>
      </c>
      <c r="C1084" s="1">
        <v>1143.3699999999999</v>
      </c>
      <c r="D1084" s="1">
        <v>0</v>
      </c>
      <c r="E1084" s="1">
        <v>1143.3699999999999</v>
      </c>
      <c r="F1084" s="1">
        <v>0</v>
      </c>
      <c r="G1084" s="1">
        <v>1143.3699999999999</v>
      </c>
      <c r="H1084" s="1">
        <v>0</v>
      </c>
      <c r="I1084" s="1">
        <v>1143.3699999999999</v>
      </c>
      <c r="J1084" s="1">
        <v>0</v>
      </c>
      <c r="K1084" s="1">
        <v>1143.3699999999999</v>
      </c>
      <c r="L1084" s="1">
        <v>0</v>
      </c>
      <c r="M1084" s="1">
        <v>1143.3699999999999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1143.3699999999999</v>
      </c>
      <c r="U1084" s="1">
        <f>IF(Table14[[#This Row],[I_0]] &lt; INDEX(Table28[Filtro de ruido],1), 1, Table14[[#This Row],[I_10]] / Table14[[#This Row],[I_0]])</f>
        <v>1</v>
      </c>
      <c r="V1084" s="1">
        <f>IF(Table14[[#This Row],[I_0]] &lt; INDEX(Table28[Filtro de ruido],1), 1, Table14[[#This Row],[I_20]] / Table14[[#This Row],[I_0]])</f>
        <v>1</v>
      </c>
      <c r="W1084" s="1">
        <f>IF(Table14[[#This Row],[I_0]] &lt; INDEX(Table28[Filtro de ruido],1), 1, Table14[[#This Row],[I_30]] / Table14[[#This Row],[I_0]])</f>
        <v>1</v>
      </c>
      <c r="X1084" s="1">
        <f>IF(Table14[[#This Row],[I_0]] &lt; INDEX(Table28[Filtro de ruido],1), 1, Table14[[#This Row],[I_40]] / Table14[[#This Row],[I_0]])</f>
        <v>1</v>
      </c>
      <c r="Y1084" s="19">
        <f>IF(Table14[[#This Row],[I_0]] &lt; INDEX(Table28[Filtro de ruido],1), 1, Table14[[#This Row],[I_50]] / Table14[[#This Row],[I_0]])</f>
        <v>1</v>
      </c>
      <c r="AA1084" s="1"/>
    </row>
    <row r="1085" spans="1:27" x14ac:dyDescent="0.3">
      <c r="A1085" s="18">
        <v>1144.3599999999999</v>
      </c>
      <c r="B1085" s="1">
        <v>0</v>
      </c>
      <c r="C1085" s="1">
        <v>1144.3599999999999</v>
      </c>
      <c r="D1085" s="1">
        <v>0</v>
      </c>
      <c r="E1085" s="1">
        <v>1144.3599999999999</v>
      </c>
      <c r="F1085" s="1">
        <v>0</v>
      </c>
      <c r="G1085" s="1">
        <v>1144.3599999999999</v>
      </c>
      <c r="H1085" s="1">
        <v>0</v>
      </c>
      <c r="I1085" s="1">
        <v>1144.3599999999999</v>
      </c>
      <c r="J1085" s="1">
        <v>0</v>
      </c>
      <c r="K1085" s="1">
        <v>1144.3599999999999</v>
      </c>
      <c r="L1085" s="1">
        <v>0</v>
      </c>
      <c r="M1085" s="1">
        <v>1144.3599999999999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1144.3599999999999</v>
      </c>
      <c r="U1085" s="1">
        <f>IF(Table14[[#This Row],[I_0]] &lt; INDEX(Table28[Filtro de ruido],1), 1, Table14[[#This Row],[I_10]] / Table14[[#This Row],[I_0]])</f>
        <v>1</v>
      </c>
      <c r="V1085" s="1">
        <f>IF(Table14[[#This Row],[I_0]] &lt; INDEX(Table28[Filtro de ruido],1), 1, Table14[[#This Row],[I_20]] / Table14[[#This Row],[I_0]])</f>
        <v>1</v>
      </c>
      <c r="W1085" s="1">
        <f>IF(Table14[[#This Row],[I_0]] &lt; INDEX(Table28[Filtro de ruido],1), 1, Table14[[#This Row],[I_30]] / Table14[[#This Row],[I_0]])</f>
        <v>1</v>
      </c>
      <c r="X1085" s="1">
        <f>IF(Table14[[#This Row],[I_0]] &lt; INDEX(Table28[Filtro de ruido],1), 1, Table14[[#This Row],[I_40]] / Table14[[#This Row],[I_0]])</f>
        <v>1</v>
      </c>
      <c r="Y1085" s="19">
        <f>IF(Table14[[#This Row],[I_0]] &lt; INDEX(Table28[Filtro de ruido],1), 1, Table14[[#This Row],[I_50]] / Table14[[#This Row],[I_0]])</f>
        <v>1</v>
      </c>
      <c r="AA1085" s="1"/>
    </row>
    <row r="1086" spans="1:27" x14ac:dyDescent="0.3">
      <c r="A1086" s="18">
        <v>1145.3499999999999</v>
      </c>
      <c r="B1086" s="1">
        <v>0</v>
      </c>
      <c r="C1086" s="1">
        <v>1145.3499999999999</v>
      </c>
      <c r="D1086" s="1">
        <v>0</v>
      </c>
      <c r="E1086" s="1">
        <v>1145.3499999999999</v>
      </c>
      <c r="F1086" s="1">
        <v>0</v>
      </c>
      <c r="G1086" s="1">
        <v>1145.3499999999999</v>
      </c>
      <c r="H1086" s="1">
        <v>0</v>
      </c>
      <c r="I1086" s="1">
        <v>1145.3499999999999</v>
      </c>
      <c r="J1086" s="1">
        <v>0</v>
      </c>
      <c r="K1086" s="1">
        <v>1145.3499999999999</v>
      </c>
      <c r="L1086" s="1">
        <v>0</v>
      </c>
      <c r="M1086" s="1">
        <v>1145.3499999999999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1145.3499999999999</v>
      </c>
      <c r="U1086" s="1">
        <f>IF(Table14[[#This Row],[I_0]] &lt; INDEX(Table28[Filtro de ruido],1), 1, Table14[[#This Row],[I_10]] / Table14[[#This Row],[I_0]])</f>
        <v>1</v>
      </c>
      <c r="V1086" s="1">
        <f>IF(Table14[[#This Row],[I_0]] &lt; INDEX(Table28[Filtro de ruido],1), 1, Table14[[#This Row],[I_20]] / Table14[[#This Row],[I_0]])</f>
        <v>1</v>
      </c>
      <c r="W1086" s="1">
        <f>IF(Table14[[#This Row],[I_0]] &lt; INDEX(Table28[Filtro de ruido],1), 1, Table14[[#This Row],[I_30]] / Table14[[#This Row],[I_0]])</f>
        <v>1</v>
      </c>
      <c r="X1086" s="1">
        <f>IF(Table14[[#This Row],[I_0]] &lt; INDEX(Table28[Filtro de ruido],1), 1, Table14[[#This Row],[I_40]] / Table14[[#This Row],[I_0]])</f>
        <v>1</v>
      </c>
      <c r="Y1086" s="19">
        <f>IF(Table14[[#This Row],[I_0]] &lt; INDEX(Table28[Filtro de ruido],1), 1, Table14[[#This Row],[I_50]] / Table14[[#This Row],[I_0]])</f>
        <v>1</v>
      </c>
      <c r="AA1086" s="1"/>
    </row>
    <row r="1087" spans="1:27" x14ac:dyDescent="0.3">
      <c r="A1087" s="18">
        <v>1146.3399999999999</v>
      </c>
      <c r="B1087" s="1">
        <v>0</v>
      </c>
      <c r="C1087" s="1">
        <v>1146.3399999999999</v>
      </c>
      <c r="D1087" s="1">
        <v>0</v>
      </c>
      <c r="E1087" s="1">
        <v>1146.3399999999999</v>
      </c>
      <c r="F1087" s="1">
        <v>0</v>
      </c>
      <c r="G1087" s="1">
        <v>1146.3399999999999</v>
      </c>
      <c r="H1087" s="1">
        <v>0</v>
      </c>
      <c r="I1087" s="1">
        <v>1146.3399999999999</v>
      </c>
      <c r="J1087" s="1">
        <v>0</v>
      </c>
      <c r="K1087" s="1">
        <v>1146.3399999999999</v>
      </c>
      <c r="L1087" s="1">
        <v>0</v>
      </c>
      <c r="M1087" s="1">
        <v>1146.3399999999999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1146.3399999999999</v>
      </c>
      <c r="U1087" s="1">
        <f>IF(Table14[[#This Row],[I_0]] &lt; INDEX(Table28[Filtro de ruido],1), 1, Table14[[#This Row],[I_10]] / Table14[[#This Row],[I_0]])</f>
        <v>1</v>
      </c>
      <c r="V1087" s="1">
        <f>IF(Table14[[#This Row],[I_0]] &lt; INDEX(Table28[Filtro de ruido],1), 1, Table14[[#This Row],[I_20]] / Table14[[#This Row],[I_0]])</f>
        <v>1</v>
      </c>
      <c r="W1087" s="1">
        <f>IF(Table14[[#This Row],[I_0]] &lt; INDEX(Table28[Filtro de ruido],1), 1, Table14[[#This Row],[I_30]] / Table14[[#This Row],[I_0]])</f>
        <v>1</v>
      </c>
      <c r="X1087" s="1">
        <f>IF(Table14[[#This Row],[I_0]] &lt; INDEX(Table28[Filtro de ruido],1), 1, Table14[[#This Row],[I_40]] / Table14[[#This Row],[I_0]])</f>
        <v>1</v>
      </c>
      <c r="Y1087" s="19">
        <f>IF(Table14[[#This Row],[I_0]] &lt; INDEX(Table28[Filtro de ruido],1), 1, Table14[[#This Row],[I_50]] / Table14[[#This Row],[I_0]])</f>
        <v>1</v>
      </c>
      <c r="AA1087" s="1"/>
    </row>
    <row r="1088" spans="1:27" x14ac:dyDescent="0.3">
      <c r="A1088" s="18">
        <v>1147.3399999999999</v>
      </c>
      <c r="B1088" s="1">
        <v>0</v>
      </c>
      <c r="C1088" s="1">
        <v>1147.3399999999999</v>
      </c>
      <c r="D1088" s="1">
        <v>0</v>
      </c>
      <c r="E1088" s="1">
        <v>1147.3399999999999</v>
      </c>
      <c r="F1088" s="1">
        <v>0</v>
      </c>
      <c r="G1088" s="1">
        <v>1147.3399999999999</v>
      </c>
      <c r="H1088" s="1">
        <v>0</v>
      </c>
      <c r="I1088" s="1">
        <v>1147.3399999999999</v>
      </c>
      <c r="J1088" s="1">
        <v>0</v>
      </c>
      <c r="K1088" s="1">
        <v>1147.3399999999999</v>
      </c>
      <c r="L1088" s="1">
        <v>0</v>
      </c>
      <c r="M1088" s="1">
        <v>1147.3399999999999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1147.3399999999999</v>
      </c>
      <c r="U1088" s="1">
        <f>IF(Table14[[#This Row],[I_0]] &lt; INDEX(Table28[Filtro de ruido],1), 1, Table14[[#This Row],[I_10]] / Table14[[#This Row],[I_0]])</f>
        <v>1</v>
      </c>
      <c r="V1088" s="1">
        <f>IF(Table14[[#This Row],[I_0]] &lt; INDEX(Table28[Filtro de ruido],1), 1, Table14[[#This Row],[I_20]] / Table14[[#This Row],[I_0]])</f>
        <v>1</v>
      </c>
      <c r="W1088" s="1">
        <f>IF(Table14[[#This Row],[I_0]] &lt; INDEX(Table28[Filtro de ruido],1), 1, Table14[[#This Row],[I_30]] / Table14[[#This Row],[I_0]])</f>
        <v>1</v>
      </c>
      <c r="X1088" s="1">
        <f>IF(Table14[[#This Row],[I_0]] &lt; INDEX(Table28[Filtro de ruido],1), 1, Table14[[#This Row],[I_40]] / Table14[[#This Row],[I_0]])</f>
        <v>1</v>
      </c>
      <c r="Y1088" s="19">
        <f>IF(Table14[[#This Row],[I_0]] &lt; INDEX(Table28[Filtro de ruido],1), 1, Table14[[#This Row],[I_50]] / Table14[[#This Row],[I_0]])</f>
        <v>1</v>
      </c>
      <c r="AA1088" s="1"/>
    </row>
    <row r="1089" spans="1:27" x14ac:dyDescent="0.3">
      <c r="A1089" s="18">
        <v>1148.33</v>
      </c>
      <c r="B1089" s="1">
        <v>0</v>
      </c>
      <c r="C1089" s="1">
        <v>1148.33</v>
      </c>
      <c r="D1089" s="1">
        <v>0</v>
      </c>
      <c r="E1089" s="1">
        <v>1148.33</v>
      </c>
      <c r="F1089" s="1">
        <v>0</v>
      </c>
      <c r="G1089" s="1">
        <v>1148.33</v>
      </c>
      <c r="H1089" s="1">
        <v>0</v>
      </c>
      <c r="I1089" s="1">
        <v>1148.33</v>
      </c>
      <c r="J1089" s="1">
        <v>0</v>
      </c>
      <c r="K1089" s="1">
        <v>1148.33</v>
      </c>
      <c r="L1089" s="1">
        <v>0</v>
      </c>
      <c r="M1089" s="1">
        <v>1148.33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1148.33</v>
      </c>
      <c r="U1089" s="1">
        <f>IF(Table14[[#This Row],[I_0]] &lt; INDEX(Table28[Filtro de ruido],1), 1, Table14[[#This Row],[I_10]] / Table14[[#This Row],[I_0]])</f>
        <v>1</v>
      </c>
      <c r="V1089" s="1">
        <f>IF(Table14[[#This Row],[I_0]] &lt; INDEX(Table28[Filtro de ruido],1), 1, Table14[[#This Row],[I_20]] / Table14[[#This Row],[I_0]])</f>
        <v>1</v>
      </c>
      <c r="W1089" s="1">
        <f>IF(Table14[[#This Row],[I_0]] &lt; INDEX(Table28[Filtro de ruido],1), 1, Table14[[#This Row],[I_30]] / Table14[[#This Row],[I_0]])</f>
        <v>1</v>
      </c>
      <c r="X1089" s="1">
        <f>IF(Table14[[#This Row],[I_0]] &lt; INDEX(Table28[Filtro de ruido],1), 1, Table14[[#This Row],[I_40]] / Table14[[#This Row],[I_0]])</f>
        <v>1</v>
      </c>
      <c r="Y1089" s="19">
        <f>IF(Table14[[#This Row],[I_0]] &lt; INDEX(Table28[Filtro de ruido],1), 1, Table14[[#This Row],[I_50]] / Table14[[#This Row],[I_0]])</f>
        <v>1</v>
      </c>
      <c r="AA1089" s="1"/>
    </row>
    <row r="1090" spans="1:27" x14ac:dyDescent="0.3">
      <c r="A1090" s="18">
        <v>1149.32</v>
      </c>
      <c r="B1090" s="1">
        <v>0</v>
      </c>
      <c r="C1090" s="1">
        <v>1149.32</v>
      </c>
      <c r="D1090" s="1">
        <v>0</v>
      </c>
      <c r="E1090" s="1">
        <v>1149.32</v>
      </c>
      <c r="F1090" s="1">
        <v>0</v>
      </c>
      <c r="G1090" s="1">
        <v>1149.32</v>
      </c>
      <c r="H1090" s="1">
        <v>0</v>
      </c>
      <c r="I1090" s="1">
        <v>1149.32</v>
      </c>
      <c r="J1090" s="1">
        <v>0</v>
      </c>
      <c r="K1090" s="1">
        <v>1149.32</v>
      </c>
      <c r="L1090" s="1">
        <v>0</v>
      </c>
      <c r="M1090" s="1">
        <v>1149.32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1149.32</v>
      </c>
      <c r="U1090" s="1">
        <f>IF(Table14[[#This Row],[I_0]] &lt; INDEX(Table28[Filtro de ruido],1), 1, Table14[[#This Row],[I_10]] / Table14[[#This Row],[I_0]])</f>
        <v>1</v>
      </c>
      <c r="V1090" s="1">
        <f>IF(Table14[[#This Row],[I_0]] &lt; INDEX(Table28[Filtro de ruido],1), 1, Table14[[#This Row],[I_20]] / Table14[[#This Row],[I_0]])</f>
        <v>1</v>
      </c>
      <c r="W1090" s="1">
        <f>IF(Table14[[#This Row],[I_0]] &lt; INDEX(Table28[Filtro de ruido],1), 1, Table14[[#This Row],[I_30]] / Table14[[#This Row],[I_0]])</f>
        <v>1</v>
      </c>
      <c r="X1090" s="1">
        <f>IF(Table14[[#This Row],[I_0]] &lt; INDEX(Table28[Filtro de ruido],1), 1, Table14[[#This Row],[I_40]] / Table14[[#This Row],[I_0]])</f>
        <v>1</v>
      </c>
      <c r="Y1090" s="19">
        <f>IF(Table14[[#This Row],[I_0]] &lt; INDEX(Table28[Filtro de ruido],1), 1, Table14[[#This Row],[I_50]] / Table14[[#This Row],[I_0]])</f>
        <v>1</v>
      </c>
      <c r="AA1090" s="1"/>
    </row>
    <row r="1091" spans="1:27" x14ac:dyDescent="0.3">
      <c r="A1091" s="18">
        <v>1150.31</v>
      </c>
      <c r="B1091" s="1">
        <v>0</v>
      </c>
      <c r="C1091" s="1">
        <v>1150.31</v>
      </c>
      <c r="D1091" s="1">
        <v>0</v>
      </c>
      <c r="E1091" s="1">
        <v>1150.31</v>
      </c>
      <c r="F1091" s="1">
        <v>0</v>
      </c>
      <c r="G1091" s="1">
        <v>1150.31</v>
      </c>
      <c r="H1091" s="1">
        <v>0</v>
      </c>
      <c r="I1091" s="1">
        <v>1150.31</v>
      </c>
      <c r="J1091" s="1">
        <v>0</v>
      </c>
      <c r="K1091" s="1">
        <v>1150.31</v>
      </c>
      <c r="L1091" s="1">
        <v>0</v>
      </c>
      <c r="M1091" s="1">
        <v>1150.31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1150.31</v>
      </c>
      <c r="U1091" s="1">
        <f>IF(Table14[[#This Row],[I_0]] &lt; INDEX(Table28[Filtro de ruido],1), 1, Table14[[#This Row],[I_10]] / Table14[[#This Row],[I_0]])</f>
        <v>1</v>
      </c>
      <c r="V1091" s="1">
        <f>IF(Table14[[#This Row],[I_0]] &lt; INDEX(Table28[Filtro de ruido],1), 1, Table14[[#This Row],[I_20]] / Table14[[#This Row],[I_0]])</f>
        <v>1</v>
      </c>
      <c r="W1091" s="1">
        <f>IF(Table14[[#This Row],[I_0]] &lt; INDEX(Table28[Filtro de ruido],1), 1, Table14[[#This Row],[I_30]] / Table14[[#This Row],[I_0]])</f>
        <v>1</v>
      </c>
      <c r="X1091" s="1">
        <f>IF(Table14[[#This Row],[I_0]] &lt; INDEX(Table28[Filtro de ruido],1), 1, Table14[[#This Row],[I_40]] / Table14[[#This Row],[I_0]])</f>
        <v>1</v>
      </c>
      <c r="Y1091" s="19">
        <f>IF(Table14[[#This Row],[I_0]] &lt; INDEX(Table28[Filtro de ruido],1), 1, Table14[[#This Row],[I_50]] / Table14[[#This Row],[I_0]])</f>
        <v>1</v>
      </c>
      <c r="AA1091" s="1"/>
    </row>
    <row r="1092" spans="1:27" x14ac:dyDescent="0.3">
      <c r="A1092" s="18">
        <v>1151.3</v>
      </c>
      <c r="B1092" s="1">
        <v>0</v>
      </c>
      <c r="C1092" s="1">
        <v>1151.3</v>
      </c>
      <c r="D1092" s="1">
        <v>0</v>
      </c>
      <c r="E1092" s="1">
        <v>1151.3</v>
      </c>
      <c r="F1092" s="1">
        <v>0</v>
      </c>
      <c r="G1092" s="1">
        <v>1151.3</v>
      </c>
      <c r="H1092" s="1">
        <v>0</v>
      </c>
      <c r="I1092" s="1">
        <v>1151.3</v>
      </c>
      <c r="J1092" s="1">
        <v>0</v>
      </c>
      <c r="K1092" s="1">
        <v>1151.3</v>
      </c>
      <c r="L1092" s="1">
        <v>0</v>
      </c>
      <c r="M1092" s="1">
        <v>1151.3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1151.3</v>
      </c>
      <c r="U1092" s="1">
        <f>IF(Table14[[#This Row],[I_0]] &lt; INDEX(Table28[Filtro de ruido],1), 1, Table14[[#This Row],[I_10]] / Table14[[#This Row],[I_0]])</f>
        <v>1</v>
      </c>
      <c r="V1092" s="1">
        <f>IF(Table14[[#This Row],[I_0]] &lt; INDEX(Table28[Filtro de ruido],1), 1, Table14[[#This Row],[I_20]] / Table14[[#This Row],[I_0]])</f>
        <v>1</v>
      </c>
      <c r="W1092" s="1">
        <f>IF(Table14[[#This Row],[I_0]] &lt; INDEX(Table28[Filtro de ruido],1), 1, Table14[[#This Row],[I_30]] / Table14[[#This Row],[I_0]])</f>
        <v>1</v>
      </c>
      <c r="X1092" s="1">
        <f>IF(Table14[[#This Row],[I_0]] &lt; INDEX(Table28[Filtro de ruido],1), 1, Table14[[#This Row],[I_40]] / Table14[[#This Row],[I_0]])</f>
        <v>1</v>
      </c>
      <c r="Y1092" s="19">
        <f>IF(Table14[[#This Row],[I_0]] &lt; INDEX(Table28[Filtro de ruido],1), 1, Table14[[#This Row],[I_50]] / Table14[[#This Row],[I_0]])</f>
        <v>1</v>
      </c>
      <c r="AA1092" s="1"/>
    </row>
    <row r="1093" spans="1:27" x14ac:dyDescent="0.3">
      <c r="A1093" s="18">
        <v>1152.3</v>
      </c>
      <c r="B1093" s="1">
        <v>0</v>
      </c>
      <c r="C1093" s="1">
        <v>1152.3</v>
      </c>
      <c r="D1093" s="1">
        <v>0</v>
      </c>
      <c r="E1093" s="1">
        <v>1152.3</v>
      </c>
      <c r="F1093" s="1">
        <v>0</v>
      </c>
      <c r="G1093" s="1">
        <v>1152.3</v>
      </c>
      <c r="H1093" s="1">
        <v>0</v>
      </c>
      <c r="I1093" s="1">
        <v>1152.3</v>
      </c>
      <c r="J1093" s="1">
        <v>0</v>
      </c>
      <c r="K1093" s="1">
        <v>1152.3</v>
      </c>
      <c r="L1093" s="1">
        <v>0</v>
      </c>
      <c r="M1093" s="1">
        <v>1152.3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1152.3</v>
      </c>
      <c r="U1093" s="1">
        <f>IF(Table14[[#This Row],[I_0]] &lt; INDEX(Table28[Filtro de ruido],1), 1, Table14[[#This Row],[I_10]] / Table14[[#This Row],[I_0]])</f>
        <v>1</v>
      </c>
      <c r="V1093" s="1">
        <f>IF(Table14[[#This Row],[I_0]] &lt; INDEX(Table28[Filtro de ruido],1), 1, Table14[[#This Row],[I_20]] / Table14[[#This Row],[I_0]])</f>
        <v>1</v>
      </c>
      <c r="W1093" s="1">
        <f>IF(Table14[[#This Row],[I_0]] &lt; INDEX(Table28[Filtro de ruido],1), 1, Table14[[#This Row],[I_30]] / Table14[[#This Row],[I_0]])</f>
        <v>1</v>
      </c>
      <c r="X1093" s="1">
        <f>IF(Table14[[#This Row],[I_0]] &lt; INDEX(Table28[Filtro de ruido],1), 1, Table14[[#This Row],[I_40]] / Table14[[#This Row],[I_0]])</f>
        <v>1</v>
      </c>
      <c r="Y1093" s="19">
        <f>IF(Table14[[#This Row],[I_0]] &lt; INDEX(Table28[Filtro de ruido],1), 1, Table14[[#This Row],[I_50]] / Table14[[#This Row],[I_0]])</f>
        <v>1</v>
      </c>
      <c r="AA1093" s="1"/>
    </row>
    <row r="1094" spans="1:27" x14ac:dyDescent="0.3">
      <c r="A1094" s="18">
        <v>1153.29</v>
      </c>
      <c r="B1094" s="1">
        <v>0</v>
      </c>
      <c r="C1094" s="1">
        <v>1153.29</v>
      </c>
      <c r="D1094" s="1">
        <v>0</v>
      </c>
      <c r="E1094" s="1">
        <v>1153.29</v>
      </c>
      <c r="F1094" s="1">
        <v>0</v>
      </c>
      <c r="G1094" s="1">
        <v>1153.29</v>
      </c>
      <c r="H1094" s="1">
        <v>0</v>
      </c>
      <c r="I1094" s="1">
        <v>1153.29</v>
      </c>
      <c r="J1094" s="1">
        <v>0</v>
      </c>
      <c r="K1094" s="1">
        <v>1153.29</v>
      </c>
      <c r="L1094" s="1">
        <v>0</v>
      </c>
      <c r="M1094" s="1">
        <v>1153.29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1153.29</v>
      </c>
      <c r="U1094" s="1">
        <f>IF(Table14[[#This Row],[I_0]] &lt; INDEX(Table28[Filtro de ruido],1), 1, Table14[[#This Row],[I_10]] / Table14[[#This Row],[I_0]])</f>
        <v>1</v>
      </c>
      <c r="V1094" s="1">
        <f>IF(Table14[[#This Row],[I_0]] &lt; INDEX(Table28[Filtro de ruido],1), 1, Table14[[#This Row],[I_20]] / Table14[[#This Row],[I_0]])</f>
        <v>1</v>
      </c>
      <c r="W1094" s="1">
        <f>IF(Table14[[#This Row],[I_0]] &lt; INDEX(Table28[Filtro de ruido],1), 1, Table14[[#This Row],[I_30]] / Table14[[#This Row],[I_0]])</f>
        <v>1</v>
      </c>
      <c r="X1094" s="1">
        <f>IF(Table14[[#This Row],[I_0]] &lt; INDEX(Table28[Filtro de ruido],1), 1, Table14[[#This Row],[I_40]] / Table14[[#This Row],[I_0]])</f>
        <v>1</v>
      </c>
      <c r="Y1094" s="19">
        <f>IF(Table14[[#This Row],[I_0]] &lt; INDEX(Table28[Filtro de ruido],1), 1, Table14[[#This Row],[I_50]] / Table14[[#This Row],[I_0]])</f>
        <v>1</v>
      </c>
      <c r="AA1094" s="1"/>
    </row>
    <row r="1095" spans="1:27" x14ac:dyDescent="0.3">
      <c r="A1095" s="18">
        <v>1154.28</v>
      </c>
      <c r="B1095" s="1">
        <v>0</v>
      </c>
      <c r="C1095" s="1">
        <v>1154.28</v>
      </c>
      <c r="D1095" s="1">
        <v>0</v>
      </c>
      <c r="E1095" s="1">
        <v>1154.28</v>
      </c>
      <c r="F1095" s="1">
        <v>0</v>
      </c>
      <c r="G1095" s="1">
        <v>1154.28</v>
      </c>
      <c r="H1095" s="1">
        <v>0</v>
      </c>
      <c r="I1095" s="1">
        <v>1154.28</v>
      </c>
      <c r="J1095" s="1">
        <v>0</v>
      </c>
      <c r="K1095" s="1">
        <v>1154.28</v>
      </c>
      <c r="L1095" s="1">
        <v>0</v>
      </c>
      <c r="M1095" s="1">
        <v>1154.28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1154.28</v>
      </c>
      <c r="U1095" s="1">
        <f>IF(Table14[[#This Row],[I_0]] &lt; INDEX(Table28[Filtro de ruido],1), 1, Table14[[#This Row],[I_10]] / Table14[[#This Row],[I_0]])</f>
        <v>1</v>
      </c>
      <c r="V1095" s="1">
        <f>IF(Table14[[#This Row],[I_0]] &lt; INDEX(Table28[Filtro de ruido],1), 1, Table14[[#This Row],[I_20]] / Table14[[#This Row],[I_0]])</f>
        <v>1</v>
      </c>
      <c r="W1095" s="1">
        <f>IF(Table14[[#This Row],[I_0]] &lt; INDEX(Table28[Filtro de ruido],1), 1, Table14[[#This Row],[I_30]] / Table14[[#This Row],[I_0]])</f>
        <v>1</v>
      </c>
      <c r="X1095" s="1">
        <f>IF(Table14[[#This Row],[I_0]] &lt; INDEX(Table28[Filtro de ruido],1), 1, Table14[[#This Row],[I_40]] / Table14[[#This Row],[I_0]])</f>
        <v>1</v>
      </c>
      <c r="Y1095" s="19">
        <f>IF(Table14[[#This Row],[I_0]] &lt; INDEX(Table28[Filtro de ruido],1), 1, Table14[[#This Row],[I_50]] / Table14[[#This Row],[I_0]])</f>
        <v>1</v>
      </c>
      <c r="AA1095" s="1"/>
    </row>
    <row r="1096" spans="1:27" x14ac:dyDescent="0.3">
      <c r="A1096" s="18">
        <v>1155.27</v>
      </c>
      <c r="B1096" s="1">
        <v>0</v>
      </c>
      <c r="C1096" s="1">
        <v>1155.27</v>
      </c>
      <c r="D1096" s="1">
        <v>0</v>
      </c>
      <c r="E1096" s="1">
        <v>1155.27</v>
      </c>
      <c r="F1096" s="1">
        <v>0</v>
      </c>
      <c r="G1096" s="1">
        <v>1155.27</v>
      </c>
      <c r="H1096" s="1">
        <v>0</v>
      </c>
      <c r="I1096" s="1">
        <v>1155.27</v>
      </c>
      <c r="J1096" s="1">
        <v>0</v>
      </c>
      <c r="K1096" s="1">
        <v>1155.27</v>
      </c>
      <c r="L1096" s="1">
        <v>0</v>
      </c>
      <c r="M1096" s="1">
        <v>1155.27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1155.27</v>
      </c>
      <c r="U1096" s="1">
        <f>IF(Table14[[#This Row],[I_0]] &lt; INDEX(Table28[Filtro de ruido],1), 1, Table14[[#This Row],[I_10]] / Table14[[#This Row],[I_0]])</f>
        <v>1</v>
      </c>
      <c r="V1096" s="1">
        <f>IF(Table14[[#This Row],[I_0]] &lt; INDEX(Table28[Filtro de ruido],1), 1, Table14[[#This Row],[I_20]] / Table14[[#This Row],[I_0]])</f>
        <v>1</v>
      </c>
      <c r="W1096" s="1">
        <f>IF(Table14[[#This Row],[I_0]] &lt; INDEX(Table28[Filtro de ruido],1), 1, Table14[[#This Row],[I_30]] / Table14[[#This Row],[I_0]])</f>
        <v>1</v>
      </c>
      <c r="X1096" s="1">
        <f>IF(Table14[[#This Row],[I_0]] &lt; INDEX(Table28[Filtro de ruido],1), 1, Table14[[#This Row],[I_40]] / Table14[[#This Row],[I_0]])</f>
        <v>1</v>
      </c>
      <c r="Y1096" s="19">
        <f>IF(Table14[[#This Row],[I_0]] &lt; INDEX(Table28[Filtro de ruido],1), 1, Table14[[#This Row],[I_50]] / Table14[[#This Row],[I_0]])</f>
        <v>1</v>
      </c>
      <c r="AA1096" s="1"/>
    </row>
    <row r="1097" spans="1:27" x14ac:dyDescent="0.3">
      <c r="A1097" s="18">
        <v>1156.26</v>
      </c>
      <c r="B1097" s="1">
        <v>0</v>
      </c>
      <c r="C1097" s="1">
        <v>1156.26</v>
      </c>
      <c r="D1097" s="1">
        <v>0</v>
      </c>
      <c r="E1097" s="1">
        <v>1156.26</v>
      </c>
      <c r="F1097" s="1">
        <v>0</v>
      </c>
      <c r="G1097" s="1">
        <v>1156.26</v>
      </c>
      <c r="H1097" s="1">
        <v>0</v>
      </c>
      <c r="I1097" s="1">
        <v>1156.26</v>
      </c>
      <c r="J1097" s="1">
        <v>0</v>
      </c>
      <c r="K1097" s="1">
        <v>1156.26</v>
      </c>
      <c r="L1097" s="1">
        <v>0</v>
      </c>
      <c r="M1097" s="1">
        <v>1156.26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1156.26</v>
      </c>
      <c r="U1097" s="1">
        <f>IF(Table14[[#This Row],[I_0]] &lt; INDEX(Table28[Filtro de ruido],1), 1, Table14[[#This Row],[I_10]] / Table14[[#This Row],[I_0]])</f>
        <v>1</v>
      </c>
      <c r="V1097" s="1">
        <f>IF(Table14[[#This Row],[I_0]] &lt; INDEX(Table28[Filtro de ruido],1), 1, Table14[[#This Row],[I_20]] / Table14[[#This Row],[I_0]])</f>
        <v>1</v>
      </c>
      <c r="W1097" s="1">
        <f>IF(Table14[[#This Row],[I_0]] &lt; INDEX(Table28[Filtro de ruido],1), 1, Table14[[#This Row],[I_30]] / Table14[[#This Row],[I_0]])</f>
        <v>1</v>
      </c>
      <c r="X1097" s="1">
        <f>IF(Table14[[#This Row],[I_0]] &lt; INDEX(Table28[Filtro de ruido],1), 1, Table14[[#This Row],[I_40]] / Table14[[#This Row],[I_0]])</f>
        <v>1</v>
      </c>
      <c r="Y1097" s="19">
        <f>IF(Table14[[#This Row],[I_0]] &lt; INDEX(Table28[Filtro de ruido],1), 1, Table14[[#This Row],[I_50]] / Table14[[#This Row],[I_0]])</f>
        <v>1</v>
      </c>
      <c r="AA1097" s="1"/>
    </row>
    <row r="1098" spans="1:27" x14ac:dyDescent="0.3">
      <c r="A1098" s="18">
        <v>1157.25</v>
      </c>
      <c r="B1098" s="1">
        <v>0</v>
      </c>
      <c r="C1098" s="1">
        <v>1157.25</v>
      </c>
      <c r="D1098" s="1">
        <v>0</v>
      </c>
      <c r="E1098" s="1">
        <v>1157.25</v>
      </c>
      <c r="F1098" s="1">
        <v>0</v>
      </c>
      <c r="G1098" s="1">
        <v>1157.25</v>
      </c>
      <c r="H1098" s="1">
        <v>0</v>
      </c>
      <c r="I1098" s="1">
        <v>1157.25</v>
      </c>
      <c r="J1098" s="1">
        <v>0</v>
      </c>
      <c r="K1098" s="1">
        <v>1157.25</v>
      </c>
      <c r="L1098" s="1">
        <v>0</v>
      </c>
      <c r="M1098" s="1">
        <v>1157.25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1157.25</v>
      </c>
      <c r="U1098" s="1">
        <f>IF(Table14[[#This Row],[I_0]] &lt; INDEX(Table28[Filtro de ruido],1), 1, Table14[[#This Row],[I_10]] / Table14[[#This Row],[I_0]])</f>
        <v>1</v>
      </c>
      <c r="V1098" s="1">
        <f>IF(Table14[[#This Row],[I_0]] &lt; INDEX(Table28[Filtro de ruido],1), 1, Table14[[#This Row],[I_20]] / Table14[[#This Row],[I_0]])</f>
        <v>1</v>
      </c>
      <c r="W1098" s="1">
        <f>IF(Table14[[#This Row],[I_0]] &lt; INDEX(Table28[Filtro de ruido],1), 1, Table14[[#This Row],[I_30]] / Table14[[#This Row],[I_0]])</f>
        <v>1</v>
      </c>
      <c r="X1098" s="1">
        <f>IF(Table14[[#This Row],[I_0]] &lt; INDEX(Table28[Filtro de ruido],1), 1, Table14[[#This Row],[I_40]] / Table14[[#This Row],[I_0]])</f>
        <v>1</v>
      </c>
      <c r="Y1098" s="19">
        <f>IF(Table14[[#This Row],[I_0]] &lt; INDEX(Table28[Filtro de ruido],1), 1, Table14[[#This Row],[I_50]] / Table14[[#This Row],[I_0]])</f>
        <v>1</v>
      </c>
      <c r="AA1098" s="1"/>
    </row>
    <row r="1099" spans="1:27" x14ac:dyDescent="0.3">
      <c r="A1099" s="18">
        <v>1158.25</v>
      </c>
      <c r="B1099" s="1">
        <v>0</v>
      </c>
      <c r="C1099" s="1">
        <v>1158.25</v>
      </c>
      <c r="D1099" s="1">
        <v>0</v>
      </c>
      <c r="E1099" s="1">
        <v>1158.25</v>
      </c>
      <c r="F1099" s="1">
        <v>0</v>
      </c>
      <c r="G1099" s="1">
        <v>1158.25</v>
      </c>
      <c r="H1099" s="1">
        <v>0</v>
      </c>
      <c r="I1099" s="1">
        <v>1158.25</v>
      </c>
      <c r="J1099" s="1">
        <v>0</v>
      </c>
      <c r="K1099" s="1">
        <v>1158.25</v>
      </c>
      <c r="L1099" s="1">
        <v>0</v>
      </c>
      <c r="M1099" s="1">
        <v>1158.25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1158.25</v>
      </c>
      <c r="U1099" s="1">
        <f>IF(Table14[[#This Row],[I_0]] &lt; INDEX(Table28[Filtro de ruido],1), 1, Table14[[#This Row],[I_10]] / Table14[[#This Row],[I_0]])</f>
        <v>1</v>
      </c>
      <c r="V1099" s="1">
        <f>IF(Table14[[#This Row],[I_0]] &lt; INDEX(Table28[Filtro de ruido],1), 1, Table14[[#This Row],[I_20]] / Table14[[#This Row],[I_0]])</f>
        <v>1</v>
      </c>
      <c r="W1099" s="1">
        <f>IF(Table14[[#This Row],[I_0]] &lt; INDEX(Table28[Filtro de ruido],1), 1, Table14[[#This Row],[I_30]] / Table14[[#This Row],[I_0]])</f>
        <v>1</v>
      </c>
      <c r="X1099" s="1">
        <f>IF(Table14[[#This Row],[I_0]] &lt; INDEX(Table28[Filtro de ruido],1), 1, Table14[[#This Row],[I_40]] / Table14[[#This Row],[I_0]])</f>
        <v>1</v>
      </c>
      <c r="Y1099" s="19">
        <f>IF(Table14[[#This Row],[I_0]] &lt; INDEX(Table28[Filtro de ruido],1), 1, Table14[[#This Row],[I_50]] / Table14[[#This Row],[I_0]])</f>
        <v>1</v>
      </c>
      <c r="AA1099" s="1"/>
    </row>
    <row r="1100" spans="1:27" x14ac:dyDescent="0.3">
      <c r="A1100" s="18">
        <v>1159.24</v>
      </c>
      <c r="B1100" s="1">
        <v>0</v>
      </c>
      <c r="C1100" s="1">
        <v>1159.24</v>
      </c>
      <c r="D1100" s="1">
        <v>0</v>
      </c>
      <c r="E1100" s="1">
        <v>1159.24</v>
      </c>
      <c r="F1100" s="1">
        <v>0</v>
      </c>
      <c r="G1100" s="1">
        <v>1159.24</v>
      </c>
      <c r="H1100" s="1">
        <v>0</v>
      </c>
      <c r="I1100" s="1">
        <v>1159.24</v>
      </c>
      <c r="J1100" s="1">
        <v>0</v>
      </c>
      <c r="K1100" s="1">
        <v>1159.24</v>
      </c>
      <c r="L1100" s="1">
        <v>0</v>
      </c>
      <c r="M1100" s="1">
        <v>1159.24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1159.24</v>
      </c>
      <c r="U1100" s="1">
        <f>IF(Table14[[#This Row],[I_0]] &lt; INDEX(Table28[Filtro de ruido],1), 1, Table14[[#This Row],[I_10]] / Table14[[#This Row],[I_0]])</f>
        <v>1</v>
      </c>
      <c r="V1100" s="1">
        <f>IF(Table14[[#This Row],[I_0]] &lt; INDEX(Table28[Filtro de ruido],1), 1, Table14[[#This Row],[I_20]] / Table14[[#This Row],[I_0]])</f>
        <v>1</v>
      </c>
      <c r="W1100" s="1">
        <f>IF(Table14[[#This Row],[I_0]] &lt; INDEX(Table28[Filtro de ruido],1), 1, Table14[[#This Row],[I_30]] / Table14[[#This Row],[I_0]])</f>
        <v>1</v>
      </c>
      <c r="X1100" s="1">
        <f>IF(Table14[[#This Row],[I_0]] &lt; INDEX(Table28[Filtro de ruido],1), 1, Table14[[#This Row],[I_40]] / Table14[[#This Row],[I_0]])</f>
        <v>1</v>
      </c>
      <c r="Y1100" s="19">
        <f>IF(Table14[[#This Row],[I_0]] &lt; INDEX(Table28[Filtro de ruido],1), 1, Table14[[#This Row],[I_50]] / Table14[[#This Row],[I_0]])</f>
        <v>1</v>
      </c>
      <c r="AA1100" s="1"/>
    </row>
    <row r="1101" spans="1:27" x14ac:dyDescent="0.3">
      <c r="A1101" s="18">
        <v>1160.23</v>
      </c>
      <c r="B1101" s="1">
        <v>0</v>
      </c>
      <c r="C1101" s="1">
        <v>1160.23</v>
      </c>
      <c r="D1101" s="1">
        <v>0</v>
      </c>
      <c r="E1101" s="1">
        <v>1160.23</v>
      </c>
      <c r="F1101" s="1">
        <v>0</v>
      </c>
      <c r="G1101" s="1">
        <v>1160.23</v>
      </c>
      <c r="H1101" s="1">
        <v>0</v>
      </c>
      <c r="I1101" s="1">
        <v>1160.23</v>
      </c>
      <c r="J1101" s="1">
        <v>0</v>
      </c>
      <c r="K1101" s="1">
        <v>1160.23</v>
      </c>
      <c r="L1101" s="1">
        <v>0</v>
      </c>
      <c r="M1101" s="1">
        <v>1160.23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1160.23</v>
      </c>
      <c r="U1101" s="1">
        <f>IF(Table14[[#This Row],[I_0]] &lt; INDEX(Table28[Filtro de ruido],1), 1, Table14[[#This Row],[I_10]] / Table14[[#This Row],[I_0]])</f>
        <v>1</v>
      </c>
      <c r="V1101" s="1">
        <f>IF(Table14[[#This Row],[I_0]] &lt; INDEX(Table28[Filtro de ruido],1), 1, Table14[[#This Row],[I_20]] / Table14[[#This Row],[I_0]])</f>
        <v>1</v>
      </c>
      <c r="W1101" s="1">
        <f>IF(Table14[[#This Row],[I_0]] &lt; INDEX(Table28[Filtro de ruido],1), 1, Table14[[#This Row],[I_30]] / Table14[[#This Row],[I_0]])</f>
        <v>1</v>
      </c>
      <c r="X1101" s="1">
        <f>IF(Table14[[#This Row],[I_0]] &lt; INDEX(Table28[Filtro de ruido],1), 1, Table14[[#This Row],[I_40]] / Table14[[#This Row],[I_0]])</f>
        <v>1</v>
      </c>
      <c r="Y1101" s="19">
        <f>IF(Table14[[#This Row],[I_0]] &lt; INDEX(Table28[Filtro de ruido],1), 1, Table14[[#This Row],[I_50]] / Table14[[#This Row],[I_0]])</f>
        <v>1</v>
      </c>
      <c r="AA1101" s="1"/>
    </row>
    <row r="1102" spans="1:27" x14ac:dyDescent="0.3">
      <c r="A1102" s="18">
        <v>1161.22</v>
      </c>
      <c r="B1102" s="1">
        <v>0</v>
      </c>
      <c r="C1102" s="1">
        <v>1161.22</v>
      </c>
      <c r="D1102" s="1">
        <v>0</v>
      </c>
      <c r="E1102" s="1">
        <v>1161.22</v>
      </c>
      <c r="F1102" s="1">
        <v>0</v>
      </c>
      <c r="G1102" s="1">
        <v>1161.22</v>
      </c>
      <c r="H1102" s="1">
        <v>0</v>
      </c>
      <c r="I1102" s="1">
        <v>1161.22</v>
      </c>
      <c r="J1102" s="1">
        <v>0</v>
      </c>
      <c r="K1102" s="1">
        <v>1161.22</v>
      </c>
      <c r="L1102" s="1">
        <v>0</v>
      </c>
      <c r="M1102" s="1">
        <v>1161.22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1161.22</v>
      </c>
      <c r="U1102" s="1">
        <f>IF(Table14[[#This Row],[I_0]] &lt; INDEX(Table28[Filtro de ruido],1), 1, Table14[[#This Row],[I_10]] / Table14[[#This Row],[I_0]])</f>
        <v>1</v>
      </c>
      <c r="V1102" s="1">
        <f>IF(Table14[[#This Row],[I_0]] &lt; INDEX(Table28[Filtro de ruido],1), 1, Table14[[#This Row],[I_20]] / Table14[[#This Row],[I_0]])</f>
        <v>1</v>
      </c>
      <c r="W1102" s="1">
        <f>IF(Table14[[#This Row],[I_0]] &lt; INDEX(Table28[Filtro de ruido],1), 1, Table14[[#This Row],[I_30]] / Table14[[#This Row],[I_0]])</f>
        <v>1</v>
      </c>
      <c r="X1102" s="1">
        <f>IF(Table14[[#This Row],[I_0]] &lt; INDEX(Table28[Filtro de ruido],1), 1, Table14[[#This Row],[I_40]] / Table14[[#This Row],[I_0]])</f>
        <v>1</v>
      </c>
      <c r="Y1102" s="19">
        <f>IF(Table14[[#This Row],[I_0]] &lt; INDEX(Table28[Filtro de ruido],1), 1, Table14[[#This Row],[I_50]] / Table14[[#This Row],[I_0]])</f>
        <v>1</v>
      </c>
      <c r="AA1102" s="1"/>
    </row>
    <row r="1103" spans="1:27" x14ac:dyDescent="0.3">
      <c r="A1103" s="18">
        <v>1162.21</v>
      </c>
      <c r="B1103" s="1">
        <v>0</v>
      </c>
      <c r="C1103" s="1">
        <v>1162.21</v>
      </c>
      <c r="D1103" s="1">
        <v>0</v>
      </c>
      <c r="E1103" s="1">
        <v>1162.21</v>
      </c>
      <c r="F1103" s="1">
        <v>0</v>
      </c>
      <c r="G1103" s="1">
        <v>1162.21</v>
      </c>
      <c r="H1103" s="1">
        <v>0</v>
      </c>
      <c r="I1103" s="1">
        <v>1162.21</v>
      </c>
      <c r="J1103" s="1">
        <v>0</v>
      </c>
      <c r="K1103" s="1">
        <v>1162.21</v>
      </c>
      <c r="L1103" s="1">
        <v>0</v>
      </c>
      <c r="M1103" s="1">
        <v>1162.21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1162.21</v>
      </c>
      <c r="U1103" s="1">
        <f>IF(Table14[[#This Row],[I_0]] &lt; INDEX(Table28[Filtro de ruido],1), 1, Table14[[#This Row],[I_10]] / Table14[[#This Row],[I_0]])</f>
        <v>1</v>
      </c>
      <c r="V1103" s="1">
        <f>IF(Table14[[#This Row],[I_0]] &lt; INDEX(Table28[Filtro de ruido],1), 1, Table14[[#This Row],[I_20]] / Table14[[#This Row],[I_0]])</f>
        <v>1</v>
      </c>
      <c r="W1103" s="1">
        <f>IF(Table14[[#This Row],[I_0]] &lt; INDEX(Table28[Filtro de ruido],1), 1, Table14[[#This Row],[I_30]] / Table14[[#This Row],[I_0]])</f>
        <v>1</v>
      </c>
      <c r="X1103" s="1">
        <f>IF(Table14[[#This Row],[I_0]] &lt; INDEX(Table28[Filtro de ruido],1), 1, Table14[[#This Row],[I_40]] / Table14[[#This Row],[I_0]])</f>
        <v>1</v>
      </c>
      <c r="Y1103" s="19">
        <f>IF(Table14[[#This Row],[I_0]] &lt; INDEX(Table28[Filtro de ruido],1), 1, Table14[[#This Row],[I_50]] / Table14[[#This Row],[I_0]])</f>
        <v>1</v>
      </c>
      <c r="AA1103" s="1"/>
    </row>
    <row r="1104" spans="1:27" x14ac:dyDescent="0.3">
      <c r="A1104" s="18">
        <v>1163.2</v>
      </c>
      <c r="B1104" s="1">
        <v>0</v>
      </c>
      <c r="C1104" s="1">
        <v>1163.2</v>
      </c>
      <c r="D1104" s="1">
        <v>0</v>
      </c>
      <c r="E1104" s="1">
        <v>1163.2</v>
      </c>
      <c r="F1104" s="1">
        <v>0</v>
      </c>
      <c r="G1104" s="1">
        <v>1163.2</v>
      </c>
      <c r="H1104" s="1">
        <v>0</v>
      </c>
      <c r="I1104" s="1">
        <v>1163.2</v>
      </c>
      <c r="J1104" s="1">
        <v>0</v>
      </c>
      <c r="K1104" s="1">
        <v>1163.2</v>
      </c>
      <c r="L1104" s="1">
        <v>0</v>
      </c>
      <c r="M1104" s="1">
        <v>1163.2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1163.2</v>
      </c>
      <c r="U1104" s="1">
        <f>IF(Table14[[#This Row],[I_0]] &lt; INDEX(Table28[Filtro de ruido],1), 1, Table14[[#This Row],[I_10]] / Table14[[#This Row],[I_0]])</f>
        <v>1</v>
      </c>
      <c r="V1104" s="1">
        <f>IF(Table14[[#This Row],[I_0]] &lt; INDEX(Table28[Filtro de ruido],1), 1, Table14[[#This Row],[I_20]] / Table14[[#This Row],[I_0]])</f>
        <v>1</v>
      </c>
      <c r="W1104" s="1">
        <f>IF(Table14[[#This Row],[I_0]] &lt; INDEX(Table28[Filtro de ruido],1), 1, Table14[[#This Row],[I_30]] / Table14[[#This Row],[I_0]])</f>
        <v>1</v>
      </c>
      <c r="X1104" s="1">
        <f>IF(Table14[[#This Row],[I_0]] &lt; INDEX(Table28[Filtro de ruido],1), 1, Table14[[#This Row],[I_40]] / Table14[[#This Row],[I_0]])</f>
        <v>1</v>
      </c>
      <c r="Y1104" s="19">
        <f>IF(Table14[[#This Row],[I_0]] &lt; INDEX(Table28[Filtro de ruido],1), 1, Table14[[#This Row],[I_50]] / Table14[[#This Row],[I_0]])</f>
        <v>1</v>
      </c>
      <c r="AA1104" s="1"/>
    </row>
    <row r="1105" spans="1:27" x14ac:dyDescent="0.3">
      <c r="A1105" s="18">
        <v>1164.2</v>
      </c>
      <c r="B1105" s="1">
        <v>0</v>
      </c>
      <c r="C1105" s="1">
        <v>1164.2</v>
      </c>
      <c r="D1105" s="1">
        <v>0</v>
      </c>
      <c r="E1105" s="1">
        <v>1164.2</v>
      </c>
      <c r="F1105" s="1">
        <v>0</v>
      </c>
      <c r="G1105" s="1">
        <v>1164.2</v>
      </c>
      <c r="H1105" s="1">
        <v>0</v>
      </c>
      <c r="I1105" s="1">
        <v>1164.2</v>
      </c>
      <c r="J1105" s="1">
        <v>0</v>
      </c>
      <c r="K1105" s="1">
        <v>1164.2</v>
      </c>
      <c r="L1105" s="1">
        <v>0</v>
      </c>
      <c r="M1105" s="1">
        <v>1164.2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1164.2</v>
      </c>
      <c r="U1105" s="1">
        <f>IF(Table14[[#This Row],[I_0]] &lt; INDEX(Table28[Filtro de ruido],1), 1, Table14[[#This Row],[I_10]] / Table14[[#This Row],[I_0]])</f>
        <v>1</v>
      </c>
      <c r="V1105" s="1">
        <f>IF(Table14[[#This Row],[I_0]] &lt; INDEX(Table28[Filtro de ruido],1), 1, Table14[[#This Row],[I_20]] / Table14[[#This Row],[I_0]])</f>
        <v>1</v>
      </c>
      <c r="W1105" s="1">
        <f>IF(Table14[[#This Row],[I_0]] &lt; INDEX(Table28[Filtro de ruido],1), 1, Table14[[#This Row],[I_30]] / Table14[[#This Row],[I_0]])</f>
        <v>1</v>
      </c>
      <c r="X1105" s="1">
        <f>IF(Table14[[#This Row],[I_0]] &lt; INDEX(Table28[Filtro de ruido],1), 1, Table14[[#This Row],[I_40]] / Table14[[#This Row],[I_0]])</f>
        <v>1</v>
      </c>
      <c r="Y1105" s="19">
        <f>IF(Table14[[#This Row],[I_0]] &lt; INDEX(Table28[Filtro de ruido],1), 1, Table14[[#This Row],[I_50]] / Table14[[#This Row],[I_0]])</f>
        <v>1</v>
      </c>
      <c r="AA1105" s="1"/>
    </row>
    <row r="1106" spans="1:27" x14ac:dyDescent="0.3">
      <c r="A1106" s="18">
        <v>1165.19</v>
      </c>
      <c r="B1106" s="1">
        <v>0</v>
      </c>
      <c r="C1106" s="1">
        <v>1165.19</v>
      </c>
      <c r="D1106" s="1">
        <v>0</v>
      </c>
      <c r="E1106" s="1">
        <v>1165.19</v>
      </c>
      <c r="F1106" s="1">
        <v>0</v>
      </c>
      <c r="G1106" s="1">
        <v>1165.19</v>
      </c>
      <c r="H1106" s="1">
        <v>0</v>
      </c>
      <c r="I1106" s="1">
        <v>1165.19</v>
      </c>
      <c r="J1106" s="1">
        <v>0</v>
      </c>
      <c r="K1106" s="1">
        <v>1165.19</v>
      </c>
      <c r="L1106" s="1">
        <v>0</v>
      </c>
      <c r="M1106" s="1">
        <v>1165.19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1165.19</v>
      </c>
      <c r="U1106" s="1">
        <f>IF(Table14[[#This Row],[I_0]] &lt; INDEX(Table28[Filtro de ruido],1), 1, Table14[[#This Row],[I_10]] / Table14[[#This Row],[I_0]])</f>
        <v>1</v>
      </c>
      <c r="V1106" s="1">
        <f>IF(Table14[[#This Row],[I_0]] &lt; INDEX(Table28[Filtro de ruido],1), 1, Table14[[#This Row],[I_20]] / Table14[[#This Row],[I_0]])</f>
        <v>1</v>
      </c>
      <c r="W1106" s="1">
        <f>IF(Table14[[#This Row],[I_0]] &lt; INDEX(Table28[Filtro de ruido],1), 1, Table14[[#This Row],[I_30]] / Table14[[#This Row],[I_0]])</f>
        <v>1</v>
      </c>
      <c r="X1106" s="1">
        <f>IF(Table14[[#This Row],[I_0]] &lt; INDEX(Table28[Filtro de ruido],1), 1, Table14[[#This Row],[I_40]] / Table14[[#This Row],[I_0]])</f>
        <v>1</v>
      </c>
      <c r="Y1106" s="19">
        <f>IF(Table14[[#This Row],[I_0]] &lt; INDEX(Table28[Filtro de ruido],1), 1, Table14[[#This Row],[I_50]] / Table14[[#This Row],[I_0]])</f>
        <v>1</v>
      </c>
      <c r="AA1106" s="1"/>
    </row>
    <row r="1107" spans="1:27" x14ac:dyDescent="0.3">
      <c r="A1107" s="18">
        <v>1166.18</v>
      </c>
      <c r="B1107" s="1">
        <v>0</v>
      </c>
      <c r="C1107" s="1">
        <v>1166.18</v>
      </c>
      <c r="D1107" s="1">
        <v>0</v>
      </c>
      <c r="E1107" s="1">
        <v>1166.18</v>
      </c>
      <c r="F1107" s="1">
        <v>0</v>
      </c>
      <c r="G1107" s="1">
        <v>1166.18</v>
      </c>
      <c r="H1107" s="1">
        <v>0</v>
      </c>
      <c r="I1107" s="1">
        <v>1166.18</v>
      </c>
      <c r="J1107" s="1">
        <v>0</v>
      </c>
      <c r="K1107" s="1">
        <v>1166.18</v>
      </c>
      <c r="L1107" s="1">
        <v>0</v>
      </c>
      <c r="M1107" s="1">
        <v>1166.18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1166.18</v>
      </c>
      <c r="U1107" s="1">
        <f>IF(Table14[[#This Row],[I_0]] &lt; INDEX(Table28[Filtro de ruido],1), 1, Table14[[#This Row],[I_10]] / Table14[[#This Row],[I_0]])</f>
        <v>1</v>
      </c>
      <c r="V1107" s="1">
        <f>IF(Table14[[#This Row],[I_0]] &lt; INDEX(Table28[Filtro de ruido],1), 1, Table14[[#This Row],[I_20]] / Table14[[#This Row],[I_0]])</f>
        <v>1</v>
      </c>
      <c r="W1107" s="1">
        <f>IF(Table14[[#This Row],[I_0]] &lt; INDEX(Table28[Filtro de ruido],1), 1, Table14[[#This Row],[I_30]] / Table14[[#This Row],[I_0]])</f>
        <v>1</v>
      </c>
      <c r="X1107" s="1">
        <f>IF(Table14[[#This Row],[I_0]] &lt; INDEX(Table28[Filtro de ruido],1), 1, Table14[[#This Row],[I_40]] / Table14[[#This Row],[I_0]])</f>
        <v>1</v>
      </c>
      <c r="Y1107" s="19">
        <f>IF(Table14[[#This Row],[I_0]] &lt; INDEX(Table28[Filtro de ruido],1), 1, Table14[[#This Row],[I_50]] / Table14[[#This Row],[I_0]])</f>
        <v>1</v>
      </c>
      <c r="AA1107" s="1"/>
    </row>
    <row r="1108" spans="1:27" x14ac:dyDescent="0.3">
      <c r="A1108" s="18">
        <v>1167.17</v>
      </c>
      <c r="B1108" s="1">
        <v>0</v>
      </c>
      <c r="C1108" s="1">
        <v>1167.17</v>
      </c>
      <c r="D1108" s="1">
        <v>0</v>
      </c>
      <c r="E1108" s="1">
        <v>1167.17</v>
      </c>
      <c r="F1108" s="1">
        <v>0</v>
      </c>
      <c r="G1108" s="1">
        <v>1167.17</v>
      </c>
      <c r="H1108" s="1">
        <v>0</v>
      </c>
      <c r="I1108" s="1">
        <v>1167.17</v>
      </c>
      <c r="J1108" s="1">
        <v>0</v>
      </c>
      <c r="K1108" s="1">
        <v>1167.17</v>
      </c>
      <c r="L1108" s="1">
        <v>0</v>
      </c>
      <c r="M1108" s="1">
        <v>1167.17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1167.17</v>
      </c>
      <c r="U1108" s="1">
        <f>IF(Table14[[#This Row],[I_0]] &lt; INDEX(Table28[Filtro de ruido],1), 1, Table14[[#This Row],[I_10]] / Table14[[#This Row],[I_0]])</f>
        <v>1</v>
      </c>
      <c r="V1108" s="1">
        <f>IF(Table14[[#This Row],[I_0]] &lt; INDEX(Table28[Filtro de ruido],1), 1, Table14[[#This Row],[I_20]] / Table14[[#This Row],[I_0]])</f>
        <v>1</v>
      </c>
      <c r="W1108" s="1">
        <f>IF(Table14[[#This Row],[I_0]] &lt; INDEX(Table28[Filtro de ruido],1), 1, Table14[[#This Row],[I_30]] / Table14[[#This Row],[I_0]])</f>
        <v>1</v>
      </c>
      <c r="X1108" s="1">
        <f>IF(Table14[[#This Row],[I_0]] &lt; INDEX(Table28[Filtro de ruido],1), 1, Table14[[#This Row],[I_40]] / Table14[[#This Row],[I_0]])</f>
        <v>1</v>
      </c>
      <c r="Y1108" s="19">
        <f>IF(Table14[[#This Row],[I_0]] &lt; INDEX(Table28[Filtro de ruido],1), 1, Table14[[#This Row],[I_50]] / Table14[[#This Row],[I_0]])</f>
        <v>1</v>
      </c>
      <c r="AA1108" s="1"/>
    </row>
    <row r="1109" spans="1:27" x14ac:dyDescent="0.3">
      <c r="A1109" s="18">
        <v>1168.1600000000001</v>
      </c>
      <c r="B1109" s="1">
        <v>0</v>
      </c>
      <c r="C1109" s="1">
        <v>1168.1600000000001</v>
      </c>
      <c r="D1109" s="1">
        <v>0</v>
      </c>
      <c r="E1109" s="1">
        <v>1168.1600000000001</v>
      </c>
      <c r="F1109" s="1">
        <v>0</v>
      </c>
      <c r="G1109" s="1">
        <v>1168.1600000000001</v>
      </c>
      <c r="H1109" s="1">
        <v>0</v>
      </c>
      <c r="I1109" s="1">
        <v>1168.1600000000001</v>
      </c>
      <c r="J1109" s="1">
        <v>0</v>
      </c>
      <c r="K1109" s="1">
        <v>1168.1600000000001</v>
      </c>
      <c r="L1109" s="1">
        <v>0</v>
      </c>
      <c r="M1109" s="1">
        <v>1168.1600000000001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1168.1600000000001</v>
      </c>
      <c r="U1109" s="1">
        <f>IF(Table14[[#This Row],[I_0]] &lt; INDEX(Table28[Filtro de ruido],1), 1, Table14[[#This Row],[I_10]] / Table14[[#This Row],[I_0]])</f>
        <v>1</v>
      </c>
      <c r="V1109" s="1">
        <f>IF(Table14[[#This Row],[I_0]] &lt; INDEX(Table28[Filtro de ruido],1), 1, Table14[[#This Row],[I_20]] / Table14[[#This Row],[I_0]])</f>
        <v>1</v>
      </c>
      <c r="W1109" s="1">
        <f>IF(Table14[[#This Row],[I_0]] &lt; INDEX(Table28[Filtro de ruido],1), 1, Table14[[#This Row],[I_30]] / Table14[[#This Row],[I_0]])</f>
        <v>1</v>
      </c>
      <c r="X1109" s="1">
        <f>IF(Table14[[#This Row],[I_0]] &lt; INDEX(Table28[Filtro de ruido],1), 1, Table14[[#This Row],[I_40]] / Table14[[#This Row],[I_0]])</f>
        <v>1</v>
      </c>
      <c r="Y1109" s="19">
        <f>IF(Table14[[#This Row],[I_0]] &lt; INDEX(Table28[Filtro de ruido],1), 1, Table14[[#This Row],[I_50]] / Table14[[#This Row],[I_0]])</f>
        <v>1</v>
      </c>
      <c r="AA1109" s="1"/>
    </row>
    <row r="1110" spans="1:27" x14ac:dyDescent="0.3">
      <c r="A1110" s="18">
        <v>1169.1600000000001</v>
      </c>
      <c r="B1110" s="1">
        <v>0</v>
      </c>
      <c r="C1110" s="1">
        <v>1169.1600000000001</v>
      </c>
      <c r="D1110" s="1">
        <v>0</v>
      </c>
      <c r="E1110" s="1">
        <v>1169.1600000000001</v>
      </c>
      <c r="F1110" s="1">
        <v>0</v>
      </c>
      <c r="G1110" s="1">
        <v>1169.1600000000001</v>
      </c>
      <c r="H1110" s="1">
        <v>0</v>
      </c>
      <c r="I1110" s="1">
        <v>1169.1600000000001</v>
      </c>
      <c r="J1110" s="1">
        <v>0</v>
      </c>
      <c r="K1110" s="1">
        <v>1169.1600000000001</v>
      </c>
      <c r="L1110" s="1">
        <v>0</v>
      </c>
      <c r="M1110" s="1">
        <v>1169.1600000000001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1169.1600000000001</v>
      </c>
      <c r="U1110" s="1">
        <f>IF(Table14[[#This Row],[I_0]] &lt; INDEX(Table28[Filtro de ruido],1), 1, Table14[[#This Row],[I_10]] / Table14[[#This Row],[I_0]])</f>
        <v>1</v>
      </c>
      <c r="V1110" s="1">
        <f>IF(Table14[[#This Row],[I_0]] &lt; INDEX(Table28[Filtro de ruido],1), 1, Table14[[#This Row],[I_20]] / Table14[[#This Row],[I_0]])</f>
        <v>1</v>
      </c>
      <c r="W1110" s="1">
        <f>IF(Table14[[#This Row],[I_0]] &lt; INDEX(Table28[Filtro de ruido],1), 1, Table14[[#This Row],[I_30]] / Table14[[#This Row],[I_0]])</f>
        <v>1</v>
      </c>
      <c r="X1110" s="1">
        <f>IF(Table14[[#This Row],[I_0]] &lt; INDEX(Table28[Filtro de ruido],1), 1, Table14[[#This Row],[I_40]] / Table14[[#This Row],[I_0]])</f>
        <v>1</v>
      </c>
      <c r="Y1110" s="19">
        <f>IF(Table14[[#This Row],[I_0]] &lt; INDEX(Table28[Filtro de ruido],1), 1, Table14[[#This Row],[I_50]] / Table14[[#This Row],[I_0]])</f>
        <v>1</v>
      </c>
      <c r="AA1110" s="1"/>
    </row>
    <row r="1111" spans="1:27" x14ac:dyDescent="0.3">
      <c r="A1111" s="18">
        <v>1170.1500000000001</v>
      </c>
      <c r="B1111" s="1">
        <v>0</v>
      </c>
      <c r="C1111" s="1">
        <v>1170.1500000000001</v>
      </c>
      <c r="D1111" s="1">
        <v>0</v>
      </c>
      <c r="E1111" s="1">
        <v>1170.1500000000001</v>
      </c>
      <c r="F1111" s="1">
        <v>0</v>
      </c>
      <c r="G1111" s="1">
        <v>1170.1500000000001</v>
      </c>
      <c r="H1111" s="1">
        <v>0</v>
      </c>
      <c r="I1111" s="1">
        <v>1170.1500000000001</v>
      </c>
      <c r="J1111" s="1">
        <v>0</v>
      </c>
      <c r="K1111" s="1">
        <v>1170.1500000000001</v>
      </c>
      <c r="L1111" s="1">
        <v>0</v>
      </c>
      <c r="M1111" s="1">
        <v>1170.1500000000001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1170.1500000000001</v>
      </c>
      <c r="U1111" s="1">
        <f>IF(Table14[[#This Row],[I_0]] &lt; INDEX(Table28[Filtro de ruido],1), 1, Table14[[#This Row],[I_10]] / Table14[[#This Row],[I_0]])</f>
        <v>1</v>
      </c>
      <c r="V1111" s="1">
        <f>IF(Table14[[#This Row],[I_0]] &lt; INDEX(Table28[Filtro de ruido],1), 1, Table14[[#This Row],[I_20]] / Table14[[#This Row],[I_0]])</f>
        <v>1</v>
      </c>
      <c r="W1111" s="1">
        <f>IF(Table14[[#This Row],[I_0]] &lt; INDEX(Table28[Filtro de ruido],1), 1, Table14[[#This Row],[I_30]] / Table14[[#This Row],[I_0]])</f>
        <v>1</v>
      </c>
      <c r="X1111" s="1">
        <f>IF(Table14[[#This Row],[I_0]] &lt; INDEX(Table28[Filtro de ruido],1), 1, Table14[[#This Row],[I_40]] / Table14[[#This Row],[I_0]])</f>
        <v>1</v>
      </c>
      <c r="Y1111" s="19">
        <f>IF(Table14[[#This Row],[I_0]] &lt; INDEX(Table28[Filtro de ruido],1), 1, Table14[[#This Row],[I_50]] / Table14[[#This Row],[I_0]])</f>
        <v>1</v>
      </c>
      <c r="AA1111" s="1"/>
    </row>
    <row r="1112" spans="1:27" x14ac:dyDescent="0.3">
      <c r="A1112" s="18">
        <v>1171.1400000000001</v>
      </c>
      <c r="B1112" s="1">
        <v>0</v>
      </c>
      <c r="C1112" s="1">
        <v>1171.1400000000001</v>
      </c>
      <c r="D1112" s="1">
        <v>0</v>
      </c>
      <c r="E1112" s="1">
        <v>1171.1400000000001</v>
      </c>
      <c r="F1112" s="1">
        <v>0</v>
      </c>
      <c r="G1112" s="1">
        <v>1171.1400000000001</v>
      </c>
      <c r="H1112" s="1">
        <v>0</v>
      </c>
      <c r="I1112" s="1">
        <v>1171.1400000000001</v>
      </c>
      <c r="J1112" s="1">
        <v>0</v>
      </c>
      <c r="K1112" s="1">
        <v>1171.1400000000001</v>
      </c>
      <c r="L1112" s="1">
        <v>0</v>
      </c>
      <c r="M1112" s="1">
        <v>1171.1400000000001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1171.1400000000001</v>
      </c>
      <c r="U1112" s="1">
        <f>IF(Table14[[#This Row],[I_0]] &lt; INDEX(Table28[Filtro de ruido],1), 1, Table14[[#This Row],[I_10]] / Table14[[#This Row],[I_0]])</f>
        <v>1</v>
      </c>
      <c r="V1112" s="1">
        <f>IF(Table14[[#This Row],[I_0]] &lt; INDEX(Table28[Filtro de ruido],1), 1, Table14[[#This Row],[I_20]] / Table14[[#This Row],[I_0]])</f>
        <v>1</v>
      </c>
      <c r="W1112" s="1">
        <f>IF(Table14[[#This Row],[I_0]] &lt; INDEX(Table28[Filtro de ruido],1), 1, Table14[[#This Row],[I_30]] / Table14[[#This Row],[I_0]])</f>
        <v>1</v>
      </c>
      <c r="X1112" s="1">
        <f>IF(Table14[[#This Row],[I_0]] &lt; INDEX(Table28[Filtro de ruido],1), 1, Table14[[#This Row],[I_40]] / Table14[[#This Row],[I_0]])</f>
        <v>1</v>
      </c>
      <c r="Y1112" s="19">
        <f>IF(Table14[[#This Row],[I_0]] &lt; INDEX(Table28[Filtro de ruido],1), 1, Table14[[#This Row],[I_50]] / Table14[[#This Row],[I_0]])</f>
        <v>1</v>
      </c>
      <c r="AA1112" s="1"/>
    </row>
    <row r="1113" spans="1:27" x14ac:dyDescent="0.3">
      <c r="A1113" s="18">
        <v>1172.1300000000001</v>
      </c>
      <c r="B1113" s="1">
        <v>0</v>
      </c>
      <c r="C1113" s="1">
        <v>1172.1300000000001</v>
      </c>
      <c r="D1113" s="1">
        <v>0</v>
      </c>
      <c r="E1113" s="1">
        <v>1172.1300000000001</v>
      </c>
      <c r="F1113" s="1">
        <v>0</v>
      </c>
      <c r="G1113" s="1">
        <v>1172.1300000000001</v>
      </c>
      <c r="H1113" s="1">
        <v>0</v>
      </c>
      <c r="I1113" s="1">
        <v>1172.1300000000001</v>
      </c>
      <c r="J1113" s="1">
        <v>0</v>
      </c>
      <c r="K1113" s="1">
        <v>1172.1300000000001</v>
      </c>
      <c r="L1113" s="1">
        <v>0</v>
      </c>
      <c r="M1113" s="1">
        <v>1172.1300000000001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1172.1300000000001</v>
      </c>
      <c r="U1113" s="1">
        <f>IF(Table14[[#This Row],[I_0]] &lt; INDEX(Table28[Filtro de ruido],1), 1, Table14[[#This Row],[I_10]] / Table14[[#This Row],[I_0]])</f>
        <v>1</v>
      </c>
      <c r="V1113" s="1">
        <f>IF(Table14[[#This Row],[I_0]] &lt; INDEX(Table28[Filtro de ruido],1), 1, Table14[[#This Row],[I_20]] / Table14[[#This Row],[I_0]])</f>
        <v>1</v>
      </c>
      <c r="W1113" s="1">
        <f>IF(Table14[[#This Row],[I_0]] &lt; INDEX(Table28[Filtro de ruido],1), 1, Table14[[#This Row],[I_30]] / Table14[[#This Row],[I_0]])</f>
        <v>1</v>
      </c>
      <c r="X1113" s="1">
        <f>IF(Table14[[#This Row],[I_0]] &lt; INDEX(Table28[Filtro de ruido],1), 1, Table14[[#This Row],[I_40]] / Table14[[#This Row],[I_0]])</f>
        <v>1</v>
      </c>
      <c r="Y1113" s="19">
        <f>IF(Table14[[#This Row],[I_0]] &lt; INDEX(Table28[Filtro de ruido],1), 1, Table14[[#This Row],[I_50]] / Table14[[#This Row],[I_0]])</f>
        <v>1</v>
      </c>
      <c r="AA1113" s="1"/>
    </row>
    <row r="1114" spans="1:27" x14ac:dyDescent="0.3">
      <c r="A1114" s="18">
        <v>1173.1199999999999</v>
      </c>
      <c r="B1114" s="1">
        <v>0</v>
      </c>
      <c r="C1114" s="1">
        <v>1173.1199999999999</v>
      </c>
      <c r="D1114" s="1">
        <v>0</v>
      </c>
      <c r="E1114" s="1">
        <v>1173.1199999999999</v>
      </c>
      <c r="F1114" s="1">
        <v>0</v>
      </c>
      <c r="G1114" s="1">
        <v>1173.1199999999999</v>
      </c>
      <c r="H1114" s="1">
        <v>0</v>
      </c>
      <c r="I1114" s="1">
        <v>1173.1199999999999</v>
      </c>
      <c r="J1114" s="1">
        <v>0</v>
      </c>
      <c r="K1114" s="1">
        <v>1173.1199999999999</v>
      </c>
      <c r="L1114" s="1">
        <v>0</v>
      </c>
      <c r="M1114" s="1">
        <v>1173.1199999999999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1173.1199999999999</v>
      </c>
      <c r="U1114" s="1">
        <f>IF(Table14[[#This Row],[I_0]] &lt; INDEX(Table28[Filtro de ruido],1), 1, Table14[[#This Row],[I_10]] / Table14[[#This Row],[I_0]])</f>
        <v>1</v>
      </c>
      <c r="V1114" s="1">
        <f>IF(Table14[[#This Row],[I_0]] &lt; INDEX(Table28[Filtro de ruido],1), 1, Table14[[#This Row],[I_20]] / Table14[[#This Row],[I_0]])</f>
        <v>1</v>
      </c>
      <c r="W1114" s="1">
        <f>IF(Table14[[#This Row],[I_0]] &lt; INDEX(Table28[Filtro de ruido],1), 1, Table14[[#This Row],[I_30]] / Table14[[#This Row],[I_0]])</f>
        <v>1</v>
      </c>
      <c r="X1114" s="1">
        <f>IF(Table14[[#This Row],[I_0]] &lt; INDEX(Table28[Filtro de ruido],1), 1, Table14[[#This Row],[I_40]] / Table14[[#This Row],[I_0]])</f>
        <v>1</v>
      </c>
      <c r="Y1114" s="19">
        <f>IF(Table14[[#This Row],[I_0]] &lt; INDEX(Table28[Filtro de ruido],1), 1, Table14[[#This Row],[I_50]] / Table14[[#This Row],[I_0]])</f>
        <v>1</v>
      </c>
      <c r="AA1114" s="1"/>
    </row>
    <row r="1115" spans="1:27" x14ac:dyDescent="0.3">
      <c r="A1115" s="18">
        <v>1174.1099999999999</v>
      </c>
      <c r="B1115" s="1">
        <v>0</v>
      </c>
      <c r="C1115" s="1">
        <v>1174.1099999999999</v>
      </c>
      <c r="D1115" s="1">
        <v>0</v>
      </c>
      <c r="E1115" s="1">
        <v>1174.1099999999999</v>
      </c>
      <c r="F1115" s="1">
        <v>0</v>
      </c>
      <c r="G1115" s="1">
        <v>1174.1099999999999</v>
      </c>
      <c r="H1115" s="1">
        <v>0</v>
      </c>
      <c r="I1115" s="1">
        <v>1174.1099999999999</v>
      </c>
      <c r="J1115" s="1">
        <v>0</v>
      </c>
      <c r="K1115" s="1">
        <v>1174.1099999999999</v>
      </c>
      <c r="L1115" s="1">
        <v>0</v>
      </c>
      <c r="M1115" s="1">
        <v>1174.1099999999999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1174.1099999999999</v>
      </c>
      <c r="U1115" s="1">
        <f>IF(Table14[[#This Row],[I_0]] &lt; INDEX(Table28[Filtro de ruido],1), 1, Table14[[#This Row],[I_10]] / Table14[[#This Row],[I_0]])</f>
        <v>1</v>
      </c>
      <c r="V1115" s="1">
        <f>IF(Table14[[#This Row],[I_0]] &lt; INDEX(Table28[Filtro de ruido],1), 1, Table14[[#This Row],[I_20]] / Table14[[#This Row],[I_0]])</f>
        <v>1</v>
      </c>
      <c r="W1115" s="1">
        <f>IF(Table14[[#This Row],[I_0]] &lt; INDEX(Table28[Filtro de ruido],1), 1, Table14[[#This Row],[I_30]] / Table14[[#This Row],[I_0]])</f>
        <v>1</v>
      </c>
      <c r="X1115" s="1">
        <f>IF(Table14[[#This Row],[I_0]] &lt; INDEX(Table28[Filtro de ruido],1), 1, Table14[[#This Row],[I_40]] / Table14[[#This Row],[I_0]])</f>
        <v>1</v>
      </c>
      <c r="Y1115" s="19">
        <f>IF(Table14[[#This Row],[I_0]] &lt; INDEX(Table28[Filtro de ruido],1), 1, Table14[[#This Row],[I_50]] / Table14[[#This Row],[I_0]])</f>
        <v>1</v>
      </c>
      <c r="AA1115" s="1"/>
    </row>
    <row r="1116" spans="1:27" x14ac:dyDescent="0.3">
      <c r="A1116" s="18">
        <v>1175.1099999999999</v>
      </c>
      <c r="B1116" s="1">
        <v>0</v>
      </c>
      <c r="C1116" s="1">
        <v>1175.1099999999999</v>
      </c>
      <c r="D1116" s="1">
        <v>0</v>
      </c>
      <c r="E1116" s="1">
        <v>1175.1099999999999</v>
      </c>
      <c r="F1116" s="1">
        <v>0</v>
      </c>
      <c r="G1116" s="1">
        <v>1175.1099999999999</v>
      </c>
      <c r="H1116" s="1">
        <v>0</v>
      </c>
      <c r="I1116" s="1">
        <v>1175.1099999999999</v>
      </c>
      <c r="J1116" s="1">
        <v>0</v>
      </c>
      <c r="K1116" s="1">
        <v>1175.1099999999999</v>
      </c>
      <c r="L1116" s="1">
        <v>0</v>
      </c>
      <c r="M1116" s="1">
        <v>1175.1099999999999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1175.1099999999999</v>
      </c>
      <c r="U1116" s="1">
        <f>IF(Table14[[#This Row],[I_0]] &lt; INDEX(Table28[Filtro de ruido],1), 1, Table14[[#This Row],[I_10]] / Table14[[#This Row],[I_0]])</f>
        <v>1</v>
      </c>
      <c r="V1116" s="1">
        <f>IF(Table14[[#This Row],[I_0]] &lt; INDEX(Table28[Filtro de ruido],1), 1, Table14[[#This Row],[I_20]] / Table14[[#This Row],[I_0]])</f>
        <v>1</v>
      </c>
      <c r="W1116" s="1">
        <f>IF(Table14[[#This Row],[I_0]] &lt; INDEX(Table28[Filtro de ruido],1), 1, Table14[[#This Row],[I_30]] / Table14[[#This Row],[I_0]])</f>
        <v>1</v>
      </c>
      <c r="X1116" s="1">
        <f>IF(Table14[[#This Row],[I_0]] &lt; INDEX(Table28[Filtro de ruido],1), 1, Table14[[#This Row],[I_40]] / Table14[[#This Row],[I_0]])</f>
        <v>1</v>
      </c>
      <c r="Y1116" s="19">
        <f>IF(Table14[[#This Row],[I_0]] &lt; INDEX(Table28[Filtro de ruido],1), 1, Table14[[#This Row],[I_50]] / Table14[[#This Row],[I_0]])</f>
        <v>1</v>
      </c>
      <c r="AA1116" s="1"/>
    </row>
    <row r="1117" spans="1:27" x14ac:dyDescent="0.3">
      <c r="A1117" s="18">
        <v>1176.0999999999999</v>
      </c>
      <c r="B1117" s="1">
        <v>0</v>
      </c>
      <c r="C1117" s="1">
        <v>1176.0999999999999</v>
      </c>
      <c r="D1117" s="1">
        <v>0</v>
      </c>
      <c r="E1117" s="1">
        <v>1176.0999999999999</v>
      </c>
      <c r="F1117" s="1">
        <v>0</v>
      </c>
      <c r="G1117" s="1">
        <v>1176.0999999999999</v>
      </c>
      <c r="H1117" s="1">
        <v>0</v>
      </c>
      <c r="I1117" s="1">
        <v>1176.0999999999999</v>
      </c>
      <c r="J1117" s="1">
        <v>0</v>
      </c>
      <c r="K1117" s="1">
        <v>1176.0999999999999</v>
      </c>
      <c r="L1117" s="1">
        <v>0</v>
      </c>
      <c r="M1117" s="1">
        <v>1176.0999999999999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1176.0999999999999</v>
      </c>
      <c r="U1117" s="1">
        <f>IF(Table14[[#This Row],[I_0]] &lt; INDEX(Table28[Filtro de ruido],1), 1, Table14[[#This Row],[I_10]] / Table14[[#This Row],[I_0]])</f>
        <v>1</v>
      </c>
      <c r="V1117" s="1">
        <f>IF(Table14[[#This Row],[I_0]] &lt; INDEX(Table28[Filtro de ruido],1), 1, Table14[[#This Row],[I_20]] / Table14[[#This Row],[I_0]])</f>
        <v>1</v>
      </c>
      <c r="W1117" s="1">
        <f>IF(Table14[[#This Row],[I_0]] &lt; INDEX(Table28[Filtro de ruido],1), 1, Table14[[#This Row],[I_30]] / Table14[[#This Row],[I_0]])</f>
        <v>1</v>
      </c>
      <c r="X1117" s="1">
        <f>IF(Table14[[#This Row],[I_0]] &lt; INDEX(Table28[Filtro de ruido],1), 1, Table14[[#This Row],[I_40]] / Table14[[#This Row],[I_0]])</f>
        <v>1</v>
      </c>
      <c r="Y1117" s="19">
        <f>IF(Table14[[#This Row],[I_0]] &lt; INDEX(Table28[Filtro de ruido],1), 1, Table14[[#This Row],[I_50]] / Table14[[#This Row],[I_0]])</f>
        <v>1</v>
      </c>
      <c r="AA1117" s="1"/>
    </row>
    <row r="1118" spans="1:27" x14ac:dyDescent="0.3">
      <c r="A1118" s="18">
        <v>1177.0899999999999</v>
      </c>
      <c r="B1118" s="1">
        <v>0</v>
      </c>
      <c r="C1118" s="1">
        <v>1177.0899999999999</v>
      </c>
      <c r="D1118" s="1">
        <v>0</v>
      </c>
      <c r="E1118" s="1">
        <v>1177.0899999999999</v>
      </c>
      <c r="F1118" s="1">
        <v>0</v>
      </c>
      <c r="G1118" s="1">
        <v>1177.0899999999999</v>
      </c>
      <c r="H1118" s="1">
        <v>0</v>
      </c>
      <c r="I1118" s="1">
        <v>1177.0899999999999</v>
      </c>
      <c r="J1118" s="1">
        <v>0</v>
      </c>
      <c r="K1118" s="1">
        <v>1177.0899999999999</v>
      </c>
      <c r="L1118" s="1">
        <v>0</v>
      </c>
      <c r="M1118" s="1">
        <v>1177.0899999999999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1177.0899999999999</v>
      </c>
      <c r="U1118" s="1">
        <f>IF(Table14[[#This Row],[I_0]] &lt; INDEX(Table28[Filtro de ruido],1), 1, Table14[[#This Row],[I_10]] / Table14[[#This Row],[I_0]])</f>
        <v>1</v>
      </c>
      <c r="V1118" s="1">
        <f>IF(Table14[[#This Row],[I_0]] &lt; INDEX(Table28[Filtro de ruido],1), 1, Table14[[#This Row],[I_20]] / Table14[[#This Row],[I_0]])</f>
        <v>1</v>
      </c>
      <c r="W1118" s="1">
        <f>IF(Table14[[#This Row],[I_0]] &lt; INDEX(Table28[Filtro de ruido],1), 1, Table14[[#This Row],[I_30]] / Table14[[#This Row],[I_0]])</f>
        <v>1</v>
      </c>
      <c r="X1118" s="1">
        <f>IF(Table14[[#This Row],[I_0]] &lt; INDEX(Table28[Filtro de ruido],1), 1, Table14[[#This Row],[I_40]] / Table14[[#This Row],[I_0]])</f>
        <v>1</v>
      </c>
      <c r="Y1118" s="19">
        <f>IF(Table14[[#This Row],[I_0]] &lt; INDEX(Table28[Filtro de ruido],1), 1, Table14[[#This Row],[I_50]] / Table14[[#This Row],[I_0]])</f>
        <v>1</v>
      </c>
      <c r="AA1118" s="1"/>
    </row>
    <row r="1119" spans="1:27" x14ac:dyDescent="0.3">
      <c r="A1119" s="18">
        <v>1178.08</v>
      </c>
      <c r="B1119" s="1">
        <v>0</v>
      </c>
      <c r="C1119" s="1">
        <v>1178.08</v>
      </c>
      <c r="D1119" s="1">
        <v>0</v>
      </c>
      <c r="E1119" s="1">
        <v>1178.08</v>
      </c>
      <c r="F1119" s="1">
        <v>0</v>
      </c>
      <c r="G1119" s="1">
        <v>1178.08</v>
      </c>
      <c r="H1119" s="1">
        <v>0</v>
      </c>
      <c r="I1119" s="1">
        <v>1178.08</v>
      </c>
      <c r="J1119" s="1">
        <v>0</v>
      </c>
      <c r="K1119" s="1">
        <v>1178.08</v>
      </c>
      <c r="L1119" s="1">
        <v>0</v>
      </c>
      <c r="M1119" s="1">
        <v>1178.08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1178.08</v>
      </c>
      <c r="U1119" s="1">
        <f>IF(Table14[[#This Row],[I_0]] &lt; INDEX(Table28[Filtro de ruido],1), 1, Table14[[#This Row],[I_10]] / Table14[[#This Row],[I_0]])</f>
        <v>1</v>
      </c>
      <c r="V1119" s="1">
        <f>IF(Table14[[#This Row],[I_0]] &lt; INDEX(Table28[Filtro de ruido],1), 1, Table14[[#This Row],[I_20]] / Table14[[#This Row],[I_0]])</f>
        <v>1</v>
      </c>
      <c r="W1119" s="1">
        <f>IF(Table14[[#This Row],[I_0]] &lt; INDEX(Table28[Filtro de ruido],1), 1, Table14[[#This Row],[I_30]] / Table14[[#This Row],[I_0]])</f>
        <v>1</v>
      </c>
      <c r="X1119" s="1">
        <f>IF(Table14[[#This Row],[I_0]] &lt; INDEX(Table28[Filtro de ruido],1), 1, Table14[[#This Row],[I_40]] / Table14[[#This Row],[I_0]])</f>
        <v>1</v>
      </c>
      <c r="Y1119" s="19">
        <f>IF(Table14[[#This Row],[I_0]] &lt; INDEX(Table28[Filtro de ruido],1), 1, Table14[[#This Row],[I_50]] / Table14[[#This Row],[I_0]])</f>
        <v>1</v>
      </c>
      <c r="AA1119" s="1"/>
    </row>
    <row r="1120" spans="1:27" x14ac:dyDescent="0.3">
      <c r="A1120" s="18">
        <v>1179.07</v>
      </c>
      <c r="B1120" s="1">
        <v>0</v>
      </c>
      <c r="C1120" s="1">
        <v>1179.07</v>
      </c>
      <c r="D1120" s="1">
        <v>0</v>
      </c>
      <c r="E1120" s="1">
        <v>1179.07</v>
      </c>
      <c r="F1120" s="1">
        <v>0</v>
      </c>
      <c r="G1120" s="1">
        <v>1179.07</v>
      </c>
      <c r="H1120" s="1">
        <v>0</v>
      </c>
      <c r="I1120" s="1">
        <v>1179.07</v>
      </c>
      <c r="J1120" s="1">
        <v>0</v>
      </c>
      <c r="K1120" s="1">
        <v>1179.07</v>
      </c>
      <c r="L1120" s="1">
        <v>0</v>
      </c>
      <c r="M1120" s="1">
        <v>1179.07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1179.07</v>
      </c>
      <c r="U1120" s="1">
        <f>IF(Table14[[#This Row],[I_0]] &lt; INDEX(Table28[Filtro de ruido],1), 1, Table14[[#This Row],[I_10]] / Table14[[#This Row],[I_0]])</f>
        <v>1</v>
      </c>
      <c r="V1120" s="1">
        <f>IF(Table14[[#This Row],[I_0]] &lt; INDEX(Table28[Filtro de ruido],1), 1, Table14[[#This Row],[I_20]] / Table14[[#This Row],[I_0]])</f>
        <v>1</v>
      </c>
      <c r="W1120" s="1">
        <f>IF(Table14[[#This Row],[I_0]] &lt; INDEX(Table28[Filtro de ruido],1), 1, Table14[[#This Row],[I_30]] / Table14[[#This Row],[I_0]])</f>
        <v>1</v>
      </c>
      <c r="X1120" s="1">
        <f>IF(Table14[[#This Row],[I_0]] &lt; INDEX(Table28[Filtro de ruido],1), 1, Table14[[#This Row],[I_40]] / Table14[[#This Row],[I_0]])</f>
        <v>1</v>
      </c>
      <c r="Y1120" s="19">
        <f>IF(Table14[[#This Row],[I_0]] &lt; INDEX(Table28[Filtro de ruido],1), 1, Table14[[#This Row],[I_50]] / Table14[[#This Row],[I_0]])</f>
        <v>1</v>
      </c>
      <c r="AA1120" s="1"/>
    </row>
    <row r="1121" spans="1:27" x14ac:dyDescent="0.3">
      <c r="A1121" s="18">
        <v>1180.06</v>
      </c>
      <c r="B1121" s="1">
        <v>0</v>
      </c>
      <c r="C1121" s="1">
        <v>1180.06</v>
      </c>
      <c r="D1121" s="1">
        <v>0</v>
      </c>
      <c r="E1121" s="1">
        <v>1180.06</v>
      </c>
      <c r="F1121" s="1">
        <v>0</v>
      </c>
      <c r="G1121" s="1">
        <v>1180.06</v>
      </c>
      <c r="H1121" s="1">
        <v>0</v>
      </c>
      <c r="I1121" s="1">
        <v>1180.06</v>
      </c>
      <c r="J1121" s="1">
        <v>0</v>
      </c>
      <c r="K1121" s="1">
        <v>1180.06</v>
      </c>
      <c r="L1121" s="1">
        <v>0</v>
      </c>
      <c r="M1121" s="1">
        <v>1180.06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1180.06</v>
      </c>
      <c r="U1121" s="1">
        <f>IF(Table14[[#This Row],[I_0]] &lt; INDEX(Table28[Filtro de ruido],1), 1, Table14[[#This Row],[I_10]] / Table14[[#This Row],[I_0]])</f>
        <v>1</v>
      </c>
      <c r="V1121" s="1">
        <f>IF(Table14[[#This Row],[I_0]] &lt; INDEX(Table28[Filtro de ruido],1), 1, Table14[[#This Row],[I_20]] / Table14[[#This Row],[I_0]])</f>
        <v>1</v>
      </c>
      <c r="W1121" s="1">
        <f>IF(Table14[[#This Row],[I_0]] &lt; INDEX(Table28[Filtro de ruido],1), 1, Table14[[#This Row],[I_30]] / Table14[[#This Row],[I_0]])</f>
        <v>1</v>
      </c>
      <c r="X1121" s="1">
        <f>IF(Table14[[#This Row],[I_0]] &lt; INDEX(Table28[Filtro de ruido],1), 1, Table14[[#This Row],[I_40]] / Table14[[#This Row],[I_0]])</f>
        <v>1</v>
      </c>
      <c r="Y1121" s="19">
        <f>IF(Table14[[#This Row],[I_0]] &lt; INDEX(Table28[Filtro de ruido],1), 1, Table14[[#This Row],[I_50]] / Table14[[#This Row],[I_0]])</f>
        <v>1</v>
      </c>
      <c r="AA1121" s="1"/>
    </row>
    <row r="1122" spans="1:27" x14ac:dyDescent="0.3">
      <c r="A1122" s="18">
        <v>1181.06</v>
      </c>
      <c r="B1122" s="1">
        <v>0</v>
      </c>
      <c r="C1122" s="1">
        <v>1181.06</v>
      </c>
      <c r="D1122" s="1">
        <v>0</v>
      </c>
      <c r="E1122" s="1">
        <v>1181.06</v>
      </c>
      <c r="F1122" s="1">
        <v>0</v>
      </c>
      <c r="G1122" s="1">
        <v>1181.06</v>
      </c>
      <c r="H1122" s="1">
        <v>0</v>
      </c>
      <c r="I1122" s="1">
        <v>1181.06</v>
      </c>
      <c r="J1122" s="1">
        <v>0</v>
      </c>
      <c r="K1122" s="1">
        <v>1181.06</v>
      </c>
      <c r="L1122" s="1">
        <v>0</v>
      </c>
      <c r="M1122" s="1">
        <v>1181.06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1181.06</v>
      </c>
      <c r="U1122" s="1">
        <f>IF(Table14[[#This Row],[I_0]] &lt; INDEX(Table28[Filtro de ruido],1), 1, Table14[[#This Row],[I_10]] / Table14[[#This Row],[I_0]])</f>
        <v>1</v>
      </c>
      <c r="V1122" s="1">
        <f>IF(Table14[[#This Row],[I_0]] &lt; INDEX(Table28[Filtro de ruido],1), 1, Table14[[#This Row],[I_20]] / Table14[[#This Row],[I_0]])</f>
        <v>1</v>
      </c>
      <c r="W1122" s="1">
        <f>IF(Table14[[#This Row],[I_0]] &lt; INDEX(Table28[Filtro de ruido],1), 1, Table14[[#This Row],[I_30]] / Table14[[#This Row],[I_0]])</f>
        <v>1</v>
      </c>
      <c r="X1122" s="1">
        <f>IF(Table14[[#This Row],[I_0]] &lt; INDEX(Table28[Filtro de ruido],1), 1, Table14[[#This Row],[I_40]] / Table14[[#This Row],[I_0]])</f>
        <v>1</v>
      </c>
      <c r="Y1122" s="19">
        <f>IF(Table14[[#This Row],[I_0]] &lt; INDEX(Table28[Filtro de ruido],1), 1, Table14[[#This Row],[I_50]] / Table14[[#This Row],[I_0]])</f>
        <v>1</v>
      </c>
      <c r="AA1122" s="1"/>
    </row>
    <row r="1123" spans="1:27" x14ac:dyDescent="0.3">
      <c r="A1123" s="18">
        <v>1182.05</v>
      </c>
      <c r="B1123" s="1">
        <v>0</v>
      </c>
      <c r="C1123" s="1">
        <v>1182.05</v>
      </c>
      <c r="D1123" s="1">
        <v>0</v>
      </c>
      <c r="E1123" s="1">
        <v>1182.05</v>
      </c>
      <c r="F1123" s="1">
        <v>0</v>
      </c>
      <c r="G1123" s="1">
        <v>1182.05</v>
      </c>
      <c r="H1123" s="1">
        <v>0</v>
      </c>
      <c r="I1123" s="1">
        <v>1182.05</v>
      </c>
      <c r="J1123" s="1">
        <v>0</v>
      </c>
      <c r="K1123" s="1">
        <v>1182.05</v>
      </c>
      <c r="L1123" s="1">
        <v>0</v>
      </c>
      <c r="M1123" s="1">
        <v>1182.05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1182.05</v>
      </c>
      <c r="U1123" s="1">
        <f>IF(Table14[[#This Row],[I_0]] &lt; INDEX(Table28[Filtro de ruido],1), 1, Table14[[#This Row],[I_10]] / Table14[[#This Row],[I_0]])</f>
        <v>1</v>
      </c>
      <c r="V1123" s="1">
        <f>IF(Table14[[#This Row],[I_0]] &lt; INDEX(Table28[Filtro de ruido],1), 1, Table14[[#This Row],[I_20]] / Table14[[#This Row],[I_0]])</f>
        <v>1</v>
      </c>
      <c r="W1123" s="1">
        <f>IF(Table14[[#This Row],[I_0]] &lt; INDEX(Table28[Filtro de ruido],1), 1, Table14[[#This Row],[I_30]] / Table14[[#This Row],[I_0]])</f>
        <v>1</v>
      </c>
      <c r="X1123" s="1">
        <f>IF(Table14[[#This Row],[I_0]] &lt; INDEX(Table28[Filtro de ruido],1), 1, Table14[[#This Row],[I_40]] / Table14[[#This Row],[I_0]])</f>
        <v>1</v>
      </c>
      <c r="Y1123" s="19">
        <f>IF(Table14[[#This Row],[I_0]] &lt; INDEX(Table28[Filtro de ruido],1), 1, Table14[[#This Row],[I_50]] / Table14[[#This Row],[I_0]])</f>
        <v>1</v>
      </c>
      <c r="AA1123" s="1"/>
    </row>
    <row r="1124" spans="1:27" x14ac:dyDescent="0.3">
      <c r="A1124" s="18">
        <v>1183.04</v>
      </c>
      <c r="B1124" s="1">
        <v>0</v>
      </c>
      <c r="C1124" s="1">
        <v>1183.04</v>
      </c>
      <c r="D1124" s="1">
        <v>0</v>
      </c>
      <c r="E1124" s="1">
        <v>1183.04</v>
      </c>
      <c r="F1124" s="1">
        <v>0</v>
      </c>
      <c r="G1124" s="1">
        <v>1183.04</v>
      </c>
      <c r="H1124" s="1">
        <v>0</v>
      </c>
      <c r="I1124" s="1">
        <v>1183.04</v>
      </c>
      <c r="J1124" s="1">
        <v>0</v>
      </c>
      <c r="K1124" s="1">
        <v>1183.04</v>
      </c>
      <c r="L1124" s="1">
        <v>0</v>
      </c>
      <c r="M1124" s="1">
        <v>1183.04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1183.04</v>
      </c>
      <c r="U1124" s="1">
        <f>IF(Table14[[#This Row],[I_0]] &lt; INDEX(Table28[Filtro de ruido],1), 1, Table14[[#This Row],[I_10]] / Table14[[#This Row],[I_0]])</f>
        <v>1</v>
      </c>
      <c r="V1124" s="1">
        <f>IF(Table14[[#This Row],[I_0]] &lt; INDEX(Table28[Filtro de ruido],1), 1, Table14[[#This Row],[I_20]] / Table14[[#This Row],[I_0]])</f>
        <v>1</v>
      </c>
      <c r="W1124" s="1">
        <f>IF(Table14[[#This Row],[I_0]] &lt; INDEX(Table28[Filtro de ruido],1), 1, Table14[[#This Row],[I_30]] / Table14[[#This Row],[I_0]])</f>
        <v>1</v>
      </c>
      <c r="X1124" s="1">
        <f>IF(Table14[[#This Row],[I_0]] &lt; INDEX(Table28[Filtro de ruido],1), 1, Table14[[#This Row],[I_40]] / Table14[[#This Row],[I_0]])</f>
        <v>1</v>
      </c>
      <c r="Y1124" s="19">
        <f>IF(Table14[[#This Row],[I_0]] &lt; INDEX(Table28[Filtro de ruido],1), 1, Table14[[#This Row],[I_50]] / Table14[[#This Row],[I_0]])</f>
        <v>1</v>
      </c>
      <c r="AA1124" s="1"/>
    </row>
    <row r="1125" spans="1:27" x14ac:dyDescent="0.3">
      <c r="A1125" s="18">
        <v>1184.03</v>
      </c>
      <c r="B1125" s="1">
        <v>0</v>
      </c>
      <c r="C1125" s="1">
        <v>1184.03</v>
      </c>
      <c r="D1125" s="1">
        <v>0</v>
      </c>
      <c r="E1125" s="1">
        <v>1184.03</v>
      </c>
      <c r="F1125" s="1">
        <v>0</v>
      </c>
      <c r="G1125" s="1">
        <v>1184.03</v>
      </c>
      <c r="H1125" s="1">
        <v>0</v>
      </c>
      <c r="I1125" s="1">
        <v>1184.03</v>
      </c>
      <c r="J1125" s="1">
        <v>0</v>
      </c>
      <c r="K1125" s="1">
        <v>1184.03</v>
      </c>
      <c r="L1125" s="1">
        <v>0</v>
      </c>
      <c r="M1125" s="1">
        <v>1184.03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1184.03</v>
      </c>
      <c r="U1125" s="1">
        <f>IF(Table14[[#This Row],[I_0]] &lt; INDEX(Table28[Filtro de ruido],1), 1, Table14[[#This Row],[I_10]] / Table14[[#This Row],[I_0]])</f>
        <v>1</v>
      </c>
      <c r="V1125" s="1">
        <f>IF(Table14[[#This Row],[I_0]] &lt; INDEX(Table28[Filtro de ruido],1), 1, Table14[[#This Row],[I_20]] / Table14[[#This Row],[I_0]])</f>
        <v>1</v>
      </c>
      <c r="W1125" s="1">
        <f>IF(Table14[[#This Row],[I_0]] &lt; INDEX(Table28[Filtro de ruido],1), 1, Table14[[#This Row],[I_30]] / Table14[[#This Row],[I_0]])</f>
        <v>1</v>
      </c>
      <c r="X1125" s="1">
        <f>IF(Table14[[#This Row],[I_0]] &lt; INDEX(Table28[Filtro de ruido],1), 1, Table14[[#This Row],[I_40]] / Table14[[#This Row],[I_0]])</f>
        <v>1</v>
      </c>
      <c r="Y1125" s="19">
        <f>IF(Table14[[#This Row],[I_0]] &lt; INDEX(Table28[Filtro de ruido],1), 1, Table14[[#This Row],[I_50]] / Table14[[#This Row],[I_0]])</f>
        <v>1</v>
      </c>
      <c r="AA1125" s="1"/>
    </row>
    <row r="1126" spans="1:27" x14ac:dyDescent="0.3">
      <c r="A1126" s="18">
        <v>1185.02</v>
      </c>
      <c r="B1126" s="1">
        <v>0</v>
      </c>
      <c r="C1126" s="1">
        <v>1185.02</v>
      </c>
      <c r="D1126" s="1">
        <v>0</v>
      </c>
      <c r="E1126" s="1">
        <v>1185.02</v>
      </c>
      <c r="F1126" s="1">
        <v>0</v>
      </c>
      <c r="G1126" s="1">
        <v>1185.02</v>
      </c>
      <c r="H1126" s="1">
        <v>0</v>
      </c>
      <c r="I1126" s="1">
        <v>1185.02</v>
      </c>
      <c r="J1126" s="1">
        <v>0</v>
      </c>
      <c r="K1126" s="1">
        <v>1185.02</v>
      </c>
      <c r="L1126" s="1">
        <v>0</v>
      </c>
      <c r="M1126" s="1">
        <v>1185.02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1185.02</v>
      </c>
      <c r="U1126" s="1">
        <f>IF(Table14[[#This Row],[I_0]] &lt; INDEX(Table28[Filtro de ruido],1), 1, Table14[[#This Row],[I_10]] / Table14[[#This Row],[I_0]])</f>
        <v>1</v>
      </c>
      <c r="V1126" s="1">
        <f>IF(Table14[[#This Row],[I_0]] &lt; INDEX(Table28[Filtro de ruido],1), 1, Table14[[#This Row],[I_20]] / Table14[[#This Row],[I_0]])</f>
        <v>1</v>
      </c>
      <c r="W1126" s="1">
        <f>IF(Table14[[#This Row],[I_0]] &lt; INDEX(Table28[Filtro de ruido],1), 1, Table14[[#This Row],[I_30]] / Table14[[#This Row],[I_0]])</f>
        <v>1</v>
      </c>
      <c r="X1126" s="1">
        <f>IF(Table14[[#This Row],[I_0]] &lt; INDEX(Table28[Filtro de ruido],1), 1, Table14[[#This Row],[I_40]] / Table14[[#This Row],[I_0]])</f>
        <v>1</v>
      </c>
      <c r="Y1126" s="19">
        <f>IF(Table14[[#This Row],[I_0]] &lt; INDEX(Table28[Filtro de ruido],1), 1, Table14[[#This Row],[I_50]] / Table14[[#This Row],[I_0]])</f>
        <v>1</v>
      </c>
      <c r="AA1126" s="1"/>
    </row>
    <row r="1127" spans="1:27" x14ac:dyDescent="0.3">
      <c r="A1127" s="18">
        <v>1186.02</v>
      </c>
      <c r="B1127" s="1">
        <v>0</v>
      </c>
      <c r="C1127" s="1">
        <v>1186.02</v>
      </c>
      <c r="D1127" s="1">
        <v>0</v>
      </c>
      <c r="E1127" s="1">
        <v>1186.02</v>
      </c>
      <c r="F1127" s="1">
        <v>0</v>
      </c>
      <c r="G1127" s="1">
        <v>1186.02</v>
      </c>
      <c r="H1127" s="1">
        <v>0</v>
      </c>
      <c r="I1127" s="1">
        <v>1186.02</v>
      </c>
      <c r="J1127" s="1">
        <v>0</v>
      </c>
      <c r="K1127" s="1">
        <v>1186.02</v>
      </c>
      <c r="L1127" s="1">
        <v>0</v>
      </c>
      <c r="M1127" s="1">
        <v>1186.02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1186.02</v>
      </c>
      <c r="U1127" s="1">
        <f>IF(Table14[[#This Row],[I_0]] &lt; INDEX(Table28[Filtro de ruido],1), 1, Table14[[#This Row],[I_10]] / Table14[[#This Row],[I_0]])</f>
        <v>1</v>
      </c>
      <c r="V1127" s="1">
        <f>IF(Table14[[#This Row],[I_0]] &lt; INDEX(Table28[Filtro de ruido],1), 1, Table14[[#This Row],[I_20]] / Table14[[#This Row],[I_0]])</f>
        <v>1</v>
      </c>
      <c r="W1127" s="1">
        <f>IF(Table14[[#This Row],[I_0]] &lt; INDEX(Table28[Filtro de ruido],1), 1, Table14[[#This Row],[I_30]] / Table14[[#This Row],[I_0]])</f>
        <v>1</v>
      </c>
      <c r="X1127" s="1">
        <f>IF(Table14[[#This Row],[I_0]] &lt; INDEX(Table28[Filtro de ruido],1), 1, Table14[[#This Row],[I_40]] / Table14[[#This Row],[I_0]])</f>
        <v>1</v>
      </c>
      <c r="Y1127" s="19">
        <f>IF(Table14[[#This Row],[I_0]] &lt; INDEX(Table28[Filtro de ruido],1), 1, Table14[[#This Row],[I_50]] / Table14[[#This Row],[I_0]])</f>
        <v>1</v>
      </c>
      <c r="AA1127" s="1"/>
    </row>
    <row r="1128" spans="1:27" x14ac:dyDescent="0.3">
      <c r="A1128" s="18">
        <v>1187.01</v>
      </c>
      <c r="B1128" s="1">
        <v>0</v>
      </c>
      <c r="C1128" s="1">
        <v>1187.01</v>
      </c>
      <c r="D1128" s="1">
        <v>0</v>
      </c>
      <c r="E1128" s="1">
        <v>1187.01</v>
      </c>
      <c r="F1128" s="1">
        <v>0</v>
      </c>
      <c r="G1128" s="1">
        <v>1187.01</v>
      </c>
      <c r="H1128" s="1">
        <v>0</v>
      </c>
      <c r="I1128" s="1">
        <v>1187.01</v>
      </c>
      <c r="J1128" s="1">
        <v>0</v>
      </c>
      <c r="K1128" s="1">
        <v>1187.01</v>
      </c>
      <c r="L1128" s="1">
        <v>0</v>
      </c>
      <c r="M1128" s="1">
        <v>1187.01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1187.01</v>
      </c>
      <c r="U1128" s="1">
        <f>IF(Table14[[#This Row],[I_0]] &lt; INDEX(Table28[Filtro de ruido],1), 1, Table14[[#This Row],[I_10]] / Table14[[#This Row],[I_0]])</f>
        <v>1</v>
      </c>
      <c r="V1128" s="1">
        <f>IF(Table14[[#This Row],[I_0]] &lt; INDEX(Table28[Filtro de ruido],1), 1, Table14[[#This Row],[I_20]] / Table14[[#This Row],[I_0]])</f>
        <v>1</v>
      </c>
      <c r="W1128" s="1">
        <f>IF(Table14[[#This Row],[I_0]] &lt; INDEX(Table28[Filtro de ruido],1), 1, Table14[[#This Row],[I_30]] / Table14[[#This Row],[I_0]])</f>
        <v>1</v>
      </c>
      <c r="X1128" s="1">
        <f>IF(Table14[[#This Row],[I_0]] &lt; INDEX(Table28[Filtro de ruido],1), 1, Table14[[#This Row],[I_40]] / Table14[[#This Row],[I_0]])</f>
        <v>1</v>
      </c>
      <c r="Y1128" s="19">
        <f>IF(Table14[[#This Row],[I_0]] &lt; INDEX(Table28[Filtro de ruido],1), 1, Table14[[#This Row],[I_50]] / Table14[[#This Row],[I_0]])</f>
        <v>1</v>
      </c>
      <c r="AA1128" s="1"/>
    </row>
    <row r="1129" spans="1:27" x14ac:dyDescent="0.3">
      <c r="A1129" s="18">
        <v>1188</v>
      </c>
      <c r="B1129" s="1">
        <v>0</v>
      </c>
      <c r="C1129" s="1">
        <v>1188</v>
      </c>
      <c r="D1129" s="1">
        <v>0</v>
      </c>
      <c r="E1129" s="1">
        <v>1188</v>
      </c>
      <c r="F1129" s="1">
        <v>0</v>
      </c>
      <c r="G1129" s="1">
        <v>1188</v>
      </c>
      <c r="H1129" s="1">
        <v>0</v>
      </c>
      <c r="I1129" s="1">
        <v>1188</v>
      </c>
      <c r="J1129" s="1">
        <v>0</v>
      </c>
      <c r="K1129" s="1">
        <v>1188</v>
      </c>
      <c r="L1129" s="1">
        <v>0</v>
      </c>
      <c r="M1129" s="1">
        <v>1188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1188</v>
      </c>
      <c r="U1129" s="1">
        <f>IF(Table14[[#This Row],[I_0]] &lt; INDEX(Table28[Filtro de ruido],1), 1, Table14[[#This Row],[I_10]] / Table14[[#This Row],[I_0]])</f>
        <v>1</v>
      </c>
      <c r="V1129" s="1">
        <f>IF(Table14[[#This Row],[I_0]] &lt; INDEX(Table28[Filtro de ruido],1), 1, Table14[[#This Row],[I_20]] / Table14[[#This Row],[I_0]])</f>
        <v>1</v>
      </c>
      <c r="W1129" s="1">
        <f>IF(Table14[[#This Row],[I_0]] &lt; INDEX(Table28[Filtro de ruido],1), 1, Table14[[#This Row],[I_30]] / Table14[[#This Row],[I_0]])</f>
        <v>1</v>
      </c>
      <c r="X1129" s="1">
        <f>IF(Table14[[#This Row],[I_0]] &lt; INDEX(Table28[Filtro de ruido],1), 1, Table14[[#This Row],[I_40]] / Table14[[#This Row],[I_0]])</f>
        <v>1</v>
      </c>
      <c r="Y1129" s="19">
        <f>IF(Table14[[#This Row],[I_0]] &lt; INDEX(Table28[Filtro de ruido],1), 1, Table14[[#This Row],[I_50]] / Table14[[#This Row],[I_0]])</f>
        <v>1</v>
      </c>
      <c r="AA1129" s="1"/>
    </row>
    <row r="1130" spans="1:27" x14ac:dyDescent="0.3">
      <c r="A1130" s="18">
        <v>1188.99</v>
      </c>
      <c r="B1130" s="1">
        <v>0</v>
      </c>
      <c r="C1130" s="1">
        <v>1188.99</v>
      </c>
      <c r="D1130" s="1">
        <v>0</v>
      </c>
      <c r="E1130" s="1">
        <v>1188.99</v>
      </c>
      <c r="F1130" s="1">
        <v>0</v>
      </c>
      <c r="G1130" s="1">
        <v>1188.99</v>
      </c>
      <c r="H1130" s="1">
        <v>0</v>
      </c>
      <c r="I1130" s="1">
        <v>1188.99</v>
      </c>
      <c r="J1130" s="1">
        <v>0</v>
      </c>
      <c r="K1130" s="1">
        <v>1188.99</v>
      </c>
      <c r="L1130" s="1">
        <v>0</v>
      </c>
      <c r="M1130" s="1">
        <v>1188.99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1188.99</v>
      </c>
      <c r="U1130" s="1">
        <f>IF(Table14[[#This Row],[I_0]] &lt; INDEX(Table28[Filtro de ruido],1), 1, Table14[[#This Row],[I_10]] / Table14[[#This Row],[I_0]])</f>
        <v>1</v>
      </c>
      <c r="V1130" s="1">
        <f>IF(Table14[[#This Row],[I_0]] &lt; INDEX(Table28[Filtro de ruido],1), 1, Table14[[#This Row],[I_20]] / Table14[[#This Row],[I_0]])</f>
        <v>1</v>
      </c>
      <c r="W1130" s="1">
        <f>IF(Table14[[#This Row],[I_0]] &lt; INDEX(Table28[Filtro de ruido],1), 1, Table14[[#This Row],[I_30]] / Table14[[#This Row],[I_0]])</f>
        <v>1</v>
      </c>
      <c r="X1130" s="1">
        <f>IF(Table14[[#This Row],[I_0]] &lt; INDEX(Table28[Filtro de ruido],1), 1, Table14[[#This Row],[I_40]] / Table14[[#This Row],[I_0]])</f>
        <v>1</v>
      </c>
      <c r="Y1130" s="19">
        <f>IF(Table14[[#This Row],[I_0]] &lt; INDEX(Table28[Filtro de ruido],1), 1, Table14[[#This Row],[I_50]] / Table14[[#This Row],[I_0]])</f>
        <v>1</v>
      </c>
      <c r="AA1130" s="1"/>
    </row>
    <row r="1131" spans="1:27" x14ac:dyDescent="0.3">
      <c r="A1131" s="18">
        <v>1189.98</v>
      </c>
      <c r="B1131" s="1">
        <v>0</v>
      </c>
      <c r="C1131" s="1">
        <v>1189.98</v>
      </c>
      <c r="D1131" s="1">
        <v>0</v>
      </c>
      <c r="E1131" s="1">
        <v>1189.98</v>
      </c>
      <c r="F1131" s="1">
        <v>0</v>
      </c>
      <c r="G1131" s="1">
        <v>1189.98</v>
      </c>
      <c r="H1131" s="1">
        <v>0</v>
      </c>
      <c r="I1131" s="1">
        <v>1189.98</v>
      </c>
      <c r="J1131" s="1">
        <v>0</v>
      </c>
      <c r="K1131" s="1">
        <v>1189.98</v>
      </c>
      <c r="L1131" s="1">
        <v>0</v>
      </c>
      <c r="M1131" s="1">
        <v>1189.98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1189.98</v>
      </c>
      <c r="U1131" s="1">
        <f>IF(Table14[[#This Row],[I_0]] &lt; INDEX(Table28[Filtro de ruido],1), 1, Table14[[#This Row],[I_10]] / Table14[[#This Row],[I_0]])</f>
        <v>1</v>
      </c>
      <c r="V1131" s="1">
        <f>IF(Table14[[#This Row],[I_0]] &lt; INDEX(Table28[Filtro de ruido],1), 1, Table14[[#This Row],[I_20]] / Table14[[#This Row],[I_0]])</f>
        <v>1</v>
      </c>
      <c r="W1131" s="1">
        <f>IF(Table14[[#This Row],[I_0]] &lt; INDEX(Table28[Filtro de ruido],1), 1, Table14[[#This Row],[I_30]] / Table14[[#This Row],[I_0]])</f>
        <v>1</v>
      </c>
      <c r="X1131" s="1">
        <f>IF(Table14[[#This Row],[I_0]] &lt; INDEX(Table28[Filtro de ruido],1), 1, Table14[[#This Row],[I_40]] / Table14[[#This Row],[I_0]])</f>
        <v>1</v>
      </c>
      <c r="Y1131" s="19">
        <f>IF(Table14[[#This Row],[I_0]] &lt; INDEX(Table28[Filtro de ruido],1), 1, Table14[[#This Row],[I_50]] / Table14[[#This Row],[I_0]])</f>
        <v>1</v>
      </c>
      <c r="AA1131" s="1"/>
    </row>
    <row r="1132" spans="1:27" x14ac:dyDescent="0.3">
      <c r="A1132" s="18">
        <v>1190.97</v>
      </c>
      <c r="B1132" s="1">
        <v>0</v>
      </c>
      <c r="C1132" s="1">
        <v>1190.97</v>
      </c>
      <c r="D1132" s="1">
        <v>0</v>
      </c>
      <c r="E1132" s="1">
        <v>1190.97</v>
      </c>
      <c r="F1132" s="1">
        <v>0</v>
      </c>
      <c r="G1132" s="1">
        <v>1190.97</v>
      </c>
      <c r="H1132" s="1">
        <v>0</v>
      </c>
      <c r="I1132" s="1">
        <v>1190.97</v>
      </c>
      <c r="J1132" s="1">
        <v>0</v>
      </c>
      <c r="K1132" s="1">
        <v>1190.97</v>
      </c>
      <c r="L1132" s="1">
        <v>0</v>
      </c>
      <c r="M1132" s="1">
        <v>1190.97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1190.97</v>
      </c>
      <c r="U1132" s="1">
        <f>IF(Table14[[#This Row],[I_0]] &lt; INDEX(Table28[Filtro de ruido],1), 1, Table14[[#This Row],[I_10]] / Table14[[#This Row],[I_0]])</f>
        <v>1</v>
      </c>
      <c r="V1132" s="1">
        <f>IF(Table14[[#This Row],[I_0]] &lt; INDEX(Table28[Filtro de ruido],1), 1, Table14[[#This Row],[I_20]] / Table14[[#This Row],[I_0]])</f>
        <v>1</v>
      </c>
      <c r="W1132" s="1">
        <f>IF(Table14[[#This Row],[I_0]] &lt; INDEX(Table28[Filtro de ruido],1), 1, Table14[[#This Row],[I_30]] / Table14[[#This Row],[I_0]])</f>
        <v>1</v>
      </c>
      <c r="X1132" s="1">
        <f>IF(Table14[[#This Row],[I_0]] &lt; INDEX(Table28[Filtro de ruido],1), 1, Table14[[#This Row],[I_40]] / Table14[[#This Row],[I_0]])</f>
        <v>1</v>
      </c>
      <c r="Y1132" s="19">
        <f>IF(Table14[[#This Row],[I_0]] &lt; INDEX(Table28[Filtro de ruido],1), 1, Table14[[#This Row],[I_50]] / Table14[[#This Row],[I_0]])</f>
        <v>1</v>
      </c>
      <c r="AA1132" s="1"/>
    </row>
    <row r="1133" spans="1:27" x14ac:dyDescent="0.3">
      <c r="A1133" s="18">
        <v>1191.97</v>
      </c>
      <c r="B1133" s="1">
        <v>0</v>
      </c>
      <c r="C1133" s="1">
        <v>1191.97</v>
      </c>
      <c r="D1133" s="1">
        <v>0</v>
      </c>
      <c r="E1133" s="1">
        <v>1191.97</v>
      </c>
      <c r="F1133" s="1">
        <v>0</v>
      </c>
      <c r="G1133" s="1">
        <v>1191.97</v>
      </c>
      <c r="H1133" s="1">
        <v>0</v>
      </c>
      <c r="I1133" s="1">
        <v>1191.97</v>
      </c>
      <c r="J1133" s="1">
        <v>0</v>
      </c>
      <c r="K1133" s="1">
        <v>1191.97</v>
      </c>
      <c r="L1133" s="1">
        <v>0</v>
      </c>
      <c r="M1133" s="1">
        <v>1191.97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1191.97</v>
      </c>
      <c r="U1133" s="1">
        <f>IF(Table14[[#This Row],[I_0]] &lt; INDEX(Table28[Filtro de ruido],1), 1, Table14[[#This Row],[I_10]] / Table14[[#This Row],[I_0]])</f>
        <v>1</v>
      </c>
      <c r="V1133" s="1">
        <f>IF(Table14[[#This Row],[I_0]] &lt; INDEX(Table28[Filtro de ruido],1), 1, Table14[[#This Row],[I_20]] / Table14[[#This Row],[I_0]])</f>
        <v>1</v>
      </c>
      <c r="W1133" s="1">
        <f>IF(Table14[[#This Row],[I_0]] &lt; INDEX(Table28[Filtro de ruido],1), 1, Table14[[#This Row],[I_30]] / Table14[[#This Row],[I_0]])</f>
        <v>1</v>
      </c>
      <c r="X1133" s="1">
        <f>IF(Table14[[#This Row],[I_0]] &lt; INDEX(Table28[Filtro de ruido],1), 1, Table14[[#This Row],[I_40]] / Table14[[#This Row],[I_0]])</f>
        <v>1</v>
      </c>
      <c r="Y1133" s="19">
        <f>IF(Table14[[#This Row],[I_0]] &lt; INDEX(Table28[Filtro de ruido],1), 1, Table14[[#This Row],[I_50]] / Table14[[#This Row],[I_0]])</f>
        <v>1</v>
      </c>
      <c r="AA1133" s="1"/>
    </row>
    <row r="1134" spans="1:27" x14ac:dyDescent="0.3">
      <c r="A1134" s="18">
        <v>1192.96</v>
      </c>
      <c r="B1134" s="1">
        <v>0</v>
      </c>
      <c r="C1134" s="1">
        <v>1192.96</v>
      </c>
      <c r="D1134" s="1">
        <v>0</v>
      </c>
      <c r="E1134" s="1">
        <v>1192.96</v>
      </c>
      <c r="F1134" s="1">
        <v>0</v>
      </c>
      <c r="G1134" s="1">
        <v>1192.96</v>
      </c>
      <c r="H1134" s="1">
        <v>0</v>
      </c>
      <c r="I1134" s="1">
        <v>1192.96</v>
      </c>
      <c r="J1134" s="1">
        <v>0</v>
      </c>
      <c r="K1134" s="1">
        <v>1192.96</v>
      </c>
      <c r="L1134" s="1">
        <v>0</v>
      </c>
      <c r="M1134" s="1">
        <v>1192.96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1192.96</v>
      </c>
      <c r="U1134" s="1">
        <f>IF(Table14[[#This Row],[I_0]] &lt; INDEX(Table28[Filtro de ruido],1), 1, Table14[[#This Row],[I_10]] / Table14[[#This Row],[I_0]])</f>
        <v>1</v>
      </c>
      <c r="V1134" s="1">
        <f>IF(Table14[[#This Row],[I_0]] &lt; INDEX(Table28[Filtro de ruido],1), 1, Table14[[#This Row],[I_20]] / Table14[[#This Row],[I_0]])</f>
        <v>1</v>
      </c>
      <c r="W1134" s="1">
        <f>IF(Table14[[#This Row],[I_0]] &lt; INDEX(Table28[Filtro de ruido],1), 1, Table14[[#This Row],[I_30]] / Table14[[#This Row],[I_0]])</f>
        <v>1</v>
      </c>
      <c r="X1134" s="1">
        <f>IF(Table14[[#This Row],[I_0]] &lt; INDEX(Table28[Filtro de ruido],1), 1, Table14[[#This Row],[I_40]] / Table14[[#This Row],[I_0]])</f>
        <v>1</v>
      </c>
      <c r="Y1134" s="19">
        <f>IF(Table14[[#This Row],[I_0]] &lt; INDEX(Table28[Filtro de ruido],1), 1, Table14[[#This Row],[I_50]] / Table14[[#This Row],[I_0]])</f>
        <v>1</v>
      </c>
      <c r="AA1134" s="1"/>
    </row>
    <row r="1135" spans="1:27" x14ac:dyDescent="0.3">
      <c r="A1135" s="18">
        <v>1193.95</v>
      </c>
      <c r="B1135" s="1">
        <v>0</v>
      </c>
      <c r="C1135" s="1">
        <v>1193.95</v>
      </c>
      <c r="D1135" s="1">
        <v>0</v>
      </c>
      <c r="E1135" s="1">
        <v>1193.95</v>
      </c>
      <c r="F1135" s="1">
        <v>0</v>
      </c>
      <c r="G1135" s="1">
        <v>1193.95</v>
      </c>
      <c r="H1135" s="1">
        <v>0</v>
      </c>
      <c r="I1135" s="1">
        <v>1193.95</v>
      </c>
      <c r="J1135" s="1">
        <v>0</v>
      </c>
      <c r="K1135" s="1">
        <v>1193.95</v>
      </c>
      <c r="L1135" s="1">
        <v>0</v>
      </c>
      <c r="M1135" s="1">
        <v>1193.95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1193.95</v>
      </c>
      <c r="U1135" s="1">
        <f>IF(Table14[[#This Row],[I_0]] &lt; INDEX(Table28[Filtro de ruido],1), 1, Table14[[#This Row],[I_10]] / Table14[[#This Row],[I_0]])</f>
        <v>1</v>
      </c>
      <c r="V1135" s="1">
        <f>IF(Table14[[#This Row],[I_0]] &lt; INDEX(Table28[Filtro de ruido],1), 1, Table14[[#This Row],[I_20]] / Table14[[#This Row],[I_0]])</f>
        <v>1</v>
      </c>
      <c r="W1135" s="1">
        <f>IF(Table14[[#This Row],[I_0]] &lt; INDEX(Table28[Filtro de ruido],1), 1, Table14[[#This Row],[I_30]] / Table14[[#This Row],[I_0]])</f>
        <v>1</v>
      </c>
      <c r="X1135" s="1">
        <f>IF(Table14[[#This Row],[I_0]] &lt; INDEX(Table28[Filtro de ruido],1), 1, Table14[[#This Row],[I_40]] / Table14[[#This Row],[I_0]])</f>
        <v>1</v>
      </c>
      <c r="Y1135" s="19">
        <f>IF(Table14[[#This Row],[I_0]] &lt; INDEX(Table28[Filtro de ruido],1), 1, Table14[[#This Row],[I_50]] / Table14[[#This Row],[I_0]])</f>
        <v>1</v>
      </c>
      <c r="AA1135" s="1"/>
    </row>
    <row r="1136" spans="1:27" x14ac:dyDescent="0.3">
      <c r="A1136" s="18">
        <v>1194.94</v>
      </c>
      <c r="B1136" s="1">
        <v>0</v>
      </c>
      <c r="C1136" s="1">
        <v>1194.94</v>
      </c>
      <c r="D1136" s="1">
        <v>0</v>
      </c>
      <c r="E1136" s="1">
        <v>1194.94</v>
      </c>
      <c r="F1136" s="1">
        <v>0</v>
      </c>
      <c r="G1136" s="1">
        <v>1194.94</v>
      </c>
      <c r="H1136" s="1">
        <v>0</v>
      </c>
      <c r="I1136" s="1">
        <v>1194.94</v>
      </c>
      <c r="J1136" s="1">
        <v>0</v>
      </c>
      <c r="K1136" s="1">
        <v>1194.94</v>
      </c>
      <c r="L1136" s="1">
        <v>0</v>
      </c>
      <c r="M1136" s="1">
        <v>1194.94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1194.94</v>
      </c>
      <c r="U1136" s="1">
        <f>IF(Table14[[#This Row],[I_0]] &lt; INDEX(Table28[Filtro de ruido],1), 1, Table14[[#This Row],[I_10]] / Table14[[#This Row],[I_0]])</f>
        <v>1</v>
      </c>
      <c r="V1136" s="1">
        <f>IF(Table14[[#This Row],[I_0]] &lt; INDEX(Table28[Filtro de ruido],1), 1, Table14[[#This Row],[I_20]] / Table14[[#This Row],[I_0]])</f>
        <v>1</v>
      </c>
      <c r="W1136" s="1">
        <f>IF(Table14[[#This Row],[I_0]] &lt; INDEX(Table28[Filtro de ruido],1), 1, Table14[[#This Row],[I_30]] / Table14[[#This Row],[I_0]])</f>
        <v>1</v>
      </c>
      <c r="X1136" s="1">
        <f>IF(Table14[[#This Row],[I_0]] &lt; INDEX(Table28[Filtro de ruido],1), 1, Table14[[#This Row],[I_40]] / Table14[[#This Row],[I_0]])</f>
        <v>1</v>
      </c>
      <c r="Y1136" s="19">
        <f>IF(Table14[[#This Row],[I_0]] &lt; INDEX(Table28[Filtro de ruido],1), 1, Table14[[#This Row],[I_50]] / Table14[[#This Row],[I_0]])</f>
        <v>1</v>
      </c>
      <c r="AA1136" s="1"/>
    </row>
    <row r="1137" spans="1:27" x14ac:dyDescent="0.3">
      <c r="A1137" s="18">
        <v>1195.93</v>
      </c>
      <c r="B1137" s="1">
        <v>0</v>
      </c>
      <c r="C1137" s="1">
        <v>1195.93</v>
      </c>
      <c r="D1137" s="1">
        <v>0</v>
      </c>
      <c r="E1137" s="1">
        <v>1195.93</v>
      </c>
      <c r="F1137" s="1">
        <v>0</v>
      </c>
      <c r="G1137" s="1">
        <v>1195.93</v>
      </c>
      <c r="H1137" s="1">
        <v>0</v>
      </c>
      <c r="I1137" s="1">
        <v>1195.93</v>
      </c>
      <c r="J1137" s="1">
        <v>0</v>
      </c>
      <c r="K1137" s="1">
        <v>1195.93</v>
      </c>
      <c r="L1137" s="1">
        <v>0</v>
      </c>
      <c r="M1137" s="1">
        <v>1195.93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1195.93</v>
      </c>
      <c r="U1137" s="1">
        <f>IF(Table14[[#This Row],[I_0]] &lt; INDEX(Table28[Filtro de ruido],1), 1, Table14[[#This Row],[I_10]] / Table14[[#This Row],[I_0]])</f>
        <v>1</v>
      </c>
      <c r="V1137" s="1">
        <f>IF(Table14[[#This Row],[I_0]] &lt; INDEX(Table28[Filtro de ruido],1), 1, Table14[[#This Row],[I_20]] / Table14[[#This Row],[I_0]])</f>
        <v>1</v>
      </c>
      <c r="W1137" s="1">
        <f>IF(Table14[[#This Row],[I_0]] &lt; INDEX(Table28[Filtro de ruido],1), 1, Table14[[#This Row],[I_30]] / Table14[[#This Row],[I_0]])</f>
        <v>1</v>
      </c>
      <c r="X1137" s="1">
        <f>IF(Table14[[#This Row],[I_0]] &lt; INDEX(Table28[Filtro de ruido],1), 1, Table14[[#This Row],[I_40]] / Table14[[#This Row],[I_0]])</f>
        <v>1</v>
      </c>
      <c r="Y1137" s="19">
        <f>IF(Table14[[#This Row],[I_0]] &lt; INDEX(Table28[Filtro de ruido],1), 1, Table14[[#This Row],[I_50]] / Table14[[#This Row],[I_0]])</f>
        <v>1</v>
      </c>
      <c r="AA1137" s="1"/>
    </row>
    <row r="1138" spans="1:27" x14ac:dyDescent="0.3">
      <c r="A1138" s="18">
        <v>1196.92</v>
      </c>
      <c r="B1138" s="1">
        <v>0</v>
      </c>
      <c r="C1138" s="1">
        <v>1196.92</v>
      </c>
      <c r="D1138" s="1">
        <v>0</v>
      </c>
      <c r="E1138" s="1">
        <v>1196.92</v>
      </c>
      <c r="F1138" s="1">
        <v>0</v>
      </c>
      <c r="G1138" s="1">
        <v>1196.92</v>
      </c>
      <c r="H1138" s="1">
        <v>0</v>
      </c>
      <c r="I1138" s="1">
        <v>1196.92</v>
      </c>
      <c r="J1138" s="1">
        <v>0</v>
      </c>
      <c r="K1138" s="1">
        <v>1196.92</v>
      </c>
      <c r="L1138" s="1">
        <v>0</v>
      </c>
      <c r="M1138" s="1">
        <v>1196.92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1196.92</v>
      </c>
      <c r="U1138" s="1">
        <f>IF(Table14[[#This Row],[I_0]] &lt; INDEX(Table28[Filtro de ruido],1), 1, Table14[[#This Row],[I_10]] / Table14[[#This Row],[I_0]])</f>
        <v>1</v>
      </c>
      <c r="V1138" s="1">
        <f>IF(Table14[[#This Row],[I_0]] &lt; INDEX(Table28[Filtro de ruido],1), 1, Table14[[#This Row],[I_20]] / Table14[[#This Row],[I_0]])</f>
        <v>1</v>
      </c>
      <c r="W1138" s="1">
        <f>IF(Table14[[#This Row],[I_0]] &lt; INDEX(Table28[Filtro de ruido],1), 1, Table14[[#This Row],[I_30]] / Table14[[#This Row],[I_0]])</f>
        <v>1</v>
      </c>
      <c r="X1138" s="1">
        <f>IF(Table14[[#This Row],[I_0]] &lt; INDEX(Table28[Filtro de ruido],1), 1, Table14[[#This Row],[I_40]] / Table14[[#This Row],[I_0]])</f>
        <v>1</v>
      </c>
      <c r="Y1138" s="19">
        <f>IF(Table14[[#This Row],[I_0]] &lt; INDEX(Table28[Filtro de ruido],1), 1, Table14[[#This Row],[I_50]] / Table14[[#This Row],[I_0]])</f>
        <v>1</v>
      </c>
      <c r="AA1138" s="1"/>
    </row>
    <row r="1139" spans="1:27" x14ac:dyDescent="0.3">
      <c r="A1139" s="18">
        <v>1197.92</v>
      </c>
      <c r="B1139" s="1">
        <v>0</v>
      </c>
      <c r="C1139" s="1">
        <v>1197.92</v>
      </c>
      <c r="D1139" s="1">
        <v>0</v>
      </c>
      <c r="E1139" s="1">
        <v>1197.92</v>
      </c>
      <c r="F1139" s="1">
        <v>0</v>
      </c>
      <c r="G1139" s="1">
        <v>1197.92</v>
      </c>
      <c r="H1139" s="1">
        <v>0</v>
      </c>
      <c r="I1139" s="1">
        <v>1197.92</v>
      </c>
      <c r="J1139" s="1">
        <v>0</v>
      </c>
      <c r="K1139" s="1">
        <v>1197.92</v>
      </c>
      <c r="L1139" s="1">
        <v>0</v>
      </c>
      <c r="M1139" s="1">
        <v>1197.92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1197.92</v>
      </c>
      <c r="U1139" s="1">
        <f>IF(Table14[[#This Row],[I_0]] &lt; INDEX(Table28[Filtro de ruido],1), 1, Table14[[#This Row],[I_10]] / Table14[[#This Row],[I_0]])</f>
        <v>1</v>
      </c>
      <c r="V1139" s="1">
        <f>IF(Table14[[#This Row],[I_0]] &lt; INDEX(Table28[Filtro de ruido],1), 1, Table14[[#This Row],[I_20]] / Table14[[#This Row],[I_0]])</f>
        <v>1</v>
      </c>
      <c r="W1139" s="1">
        <f>IF(Table14[[#This Row],[I_0]] &lt; INDEX(Table28[Filtro de ruido],1), 1, Table14[[#This Row],[I_30]] / Table14[[#This Row],[I_0]])</f>
        <v>1</v>
      </c>
      <c r="X1139" s="1">
        <f>IF(Table14[[#This Row],[I_0]] &lt; INDEX(Table28[Filtro de ruido],1), 1, Table14[[#This Row],[I_40]] / Table14[[#This Row],[I_0]])</f>
        <v>1</v>
      </c>
      <c r="Y1139" s="19">
        <f>IF(Table14[[#This Row],[I_0]] &lt; INDEX(Table28[Filtro de ruido],1), 1, Table14[[#This Row],[I_50]] / Table14[[#This Row],[I_0]])</f>
        <v>1</v>
      </c>
      <c r="AA1139" s="1"/>
    </row>
    <row r="1140" spans="1:27" x14ac:dyDescent="0.3">
      <c r="A1140" s="18">
        <v>1198.9100000000001</v>
      </c>
      <c r="B1140" s="1">
        <v>0</v>
      </c>
      <c r="C1140" s="1">
        <v>1198.9100000000001</v>
      </c>
      <c r="D1140" s="1">
        <v>0</v>
      </c>
      <c r="E1140" s="1">
        <v>1198.9100000000001</v>
      </c>
      <c r="F1140" s="1">
        <v>0</v>
      </c>
      <c r="G1140" s="1">
        <v>1198.9100000000001</v>
      </c>
      <c r="H1140" s="1">
        <v>0</v>
      </c>
      <c r="I1140" s="1">
        <v>1198.9100000000001</v>
      </c>
      <c r="J1140" s="1">
        <v>0</v>
      </c>
      <c r="K1140" s="1">
        <v>1198.9100000000001</v>
      </c>
      <c r="L1140" s="1">
        <v>0</v>
      </c>
      <c r="M1140" s="1">
        <v>1198.9100000000001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1198.9100000000001</v>
      </c>
      <c r="U1140" s="1">
        <f>IF(Table14[[#This Row],[I_0]] &lt; INDEX(Table28[Filtro de ruido],1), 1, Table14[[#This Row],[I_10]] / Table14[[#This Row],[I_0]])</f>
        <v>1</v>
      </c>
      <c r="V1140" s="1">
        <f>IF(Table14[[#This Row],[I_0]] &lt; INDEX(Table28[Filtro de ruido],1), 1, Table14[[#This Row],[I_20]] / Table14[[#This Row],[I_0]])</f>
        <v>1</v>
      </c>
      <c r="W1140" s="1">
        <f>IF(Table14[[#This Row],[I_0]] &lt; INDEX(Table28[Filtro de ruido],1), 1, Table14[[#This Row],[I_30]] / Table14[[#This Row],[I_0]])</f>
        <v>1</v>
      </c>
      <c r="X1140" s="1">
        <f>IF(Table14[[#This Row],[I_0]] &lt; INDEX(Table28[Filtro de ruido],1), 1, Table14[[#This Row],[I_40]] / Table14[[#This Row],[I_0]])</f>
        <v>1</v>
      </c>
      <c r="Y1140" s="19">
        <f>IF(Table14[[#This Row],[I_0]] &lt; INDEX(Table28[Filtro de ruido],1), 1, Table14[[#This Row],[I_50]] / Table14[[#This Row],[I_0]])</f>
        <v>1</v>
      </c>
      <c r="AA1140" s="1"/>
    </row>
    <row r="1141" spans="1:27" x14ac:dyDescent="0.3">
      <c r="A1141" s="18">
        <v>1199.9000000000001</v>
      </c>
      <c r="B1141" s="1">
        <v>0</v>
      </c>
      <c r="C1141" s="1">
        <v>1199.9000000000001</v>
      </c>
      <c r="D1141" s="1">
        <v>0</v>
      </c>
      <c r="E1141" s="1">
        <v>1199.9000000000001</v>
      </c>
      <c r="F1141" s="1">
        <v>0</v>
      </c>
      <c r="G1141" s="1">
        <v>1199.9000000000001</v>
      </c>
      <c r="H1141" s="1">
        <v>0</v>
      </c>
      <c r="I1141" s="1">
        <v>1199.9000000000001</v>
      </c>
      <c r="J1141" s="1">
        <v>0</v>
      </c>
      <c r="K1141" s="1">
        <v>1199.9000000000001</v>
      </c>
      <c r="L1141" s="1">
        <v>0</v>
      </c>
      <c r="M1141" s="1">
        <v>1199.9000000000001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1199.9000000000001</v>
      </c>
      <c r="U1141" s="1">
        <f>IF(Table14[[#This Row],[I_0]] &lt; INDEX(Table28[Filtro de ruido],1), 1, Table14[[#This Row],[I_10]] / Table14[[#This Row],[I_0]])</f>
        <v>1</v>
      </c>
      <c r="V1141" s="1">
        <f>IF(Table14[[#This Row],[I_0]] &lt; INDEX(Table28[Filtro de ruido],1), 1, Table14[[#This Row],[I_20]] / Table14[[#This Row],[I_0]])</f>
        <v>1</v>
      </c>
      <c r="W1141" s="1">
        <f>IF(Table14[[#This Row],[I_0]] &lt; INDEX(Table28[Filtro de ruido],1), 1, Table14[[#This Row],[I_30]] / Table14[[#This Row],[I_0]])</f>
        <v>1</v>
      </c>
      <c r="X1141" s="1">
        <f>IF(Table14[[#This Row],[I_0]] &lt; INDEX(Table28[Filtro de ruido],1), 1, Table14[[#This Row],[I_40]] / Table14[[#This Row],[I_0]])</f>
        <v>1</v>
      </c>
      <c r="Y1141" s="19">
        <f>IF(Table14[[#This Row],[I_0]] &lt; INDEX(Table28[Filtro de ruido],1), 1, Table14[[#This Row],[I_50]] / Table14[[#This Row],[I_0]])</f>
        <v>1</v>
      </c>
      <c r="AA1141" s="1"/>
    </row>
    <row r="1142" spans="1:27" x14ac:dyDescent="0.3">
      <c r="A1142" s="18">
        <v>1200.8900000000001</v>
      </c>
      <c r="B1142" s="1">
        <v>0</v>
      </c>
      <c r="C1142" s="1">
        <v>1200.8900000000001</v>
      </c>
      <c r="D1142" s="1">
        <v>0</v>
      </c>
      <c r="E1142" s="1">
        <v>1200.8900000000001</v>
      </c>
      <c r="F1142" s="1">
        <v>0</v>
      </c>
      <c r="G1142" s="1">
        <v>1200.8900000000001</v>
      </c>
      <c r="H1142" s="1">
        <v>0</v>
      </c>
      <c r="I1142" s="1">
        <v>1200.8900000000001</v>
      </c>
      <c r="J1142" s="1">
        <v>0</v>
      </c>
      <c r="K1142" s="1">
        <v>1200.8900000000001</v>
      </c>
      <c r="L1142" s="1">
        <v>0</v>
      </c>
      <c r="M1142" s="1">
        <v>1200.8900000000001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1200.8900000000001</v>
      </c>
      <c r="U1142" s="1">
        <f>IF(Table14[[#This Row],[I_0]] &lt; INDEX(Table28[Filtro de ruido],1), 1, Table14[[#This Row],[I_10]] / Table14[[#This Row],[I_0]])</f>
        <v>1</v>
      </c>
      <c r="V1142" s="1">
        <f>IF(Table14[[#This Row],[I_0]] &lt; INDEX(Table28[Filtro de ruido],1), 1, Table14[[#This Row],[I_20]] / Table14[[#This Row],[I_0]])</f>
        <v>1</v>
      </c>
      <c r="W1142" s="1">
        <f>IF(Table14[[#This Row],[I_0]] &lt; INDEX(Table28[Filtro de ruido],1), 1, Table14[[#This Row],[I_30]] / Table14[[#This Row],[I_0]])</f>
        <v>1</v>
      </c>
      <c r="X1142" s="1">
        <f>IF(Table14[[#This Row],[I_0]] &lt; INDEX(Table28[Filtro de ruido],1), 1, Table14[[#This Row],[I_40]] / Table14[[#This Row],[I_0]])</f>
        <v>1</v>
      </c>
      <c r="Y1142" s="19">
        <f>IF(Table14[[#This Row],[I_0]] &lt; INDEX(Table28[Filtro de ruido],1), 1, Table14[[#This Row],[I_50]] / Table14[[#This Row],[I_0]])</f>
        <v>1</v>
      </c>
      <c r="AA1142" s="1"/>
    </row>
    <row r="1143" spans="1:27" x14ac:dyDescent="0.3">
      <c r="A1143" s="18">
        <v>1201.8800000000001</v>
      </c>
      <c r="B1143" s="1">
        <v>0</v>
      </c>
      <c r="C1143" s="1">
        <v>1201.8800000000001</v>
      </c>
      <c r="D1143" s="1">
        <v>0</v>
      </c>
      <c r="E1143" s="1">
        <v>1201.8800000000001</v>
      </c>
      <c r="F1143" s="1">
        <v>0</v>
      </c>
      <c r="G1143" s="1">
        <v>1201.8800000000001</v>
      </c>
      <c r="H1143" s="1">
        <v>0</v>
      </c>
      <c r="I1143" s="1">
        <v>1201.8800000000001</v>
      </c>
      <c r="J1143" s="1">
        <v>0</v>
      </c>
      <c r="K1143" s="1">
        <v>1201.8800000000001</v>
      </c>
      <c r="L1143" s="1">
        <v>0</v>
      </c>
      <c r="M1143" s="1">
        <v>1201.8800000000001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1201.8800000000001</v>
      </c>
      <c r="U1143" s="1">
        <f>IF(Table14[[#This Row],[I_0]] &lt; INDEX(Table28[Filtro de ruido],1), 1, Table14[[#This Row],[I_10]] / Table14[[#This Row],[I_0]])</f>
        <v>1</v>
      </c>
      <c r="V1143" s="1">
        <f>IF(Table14[[#This Row],[I_0]] &lt; INDEX(Table28[Filtro de ruido],1), 1, Table14[[#This Row],[I_20]] / Table14[[#This Row],[I_0]])</f>
        <v>1</v>
      </c>
      <c r="W1143" s="1">
        <f>IF(Table14[[#This Row],[I_0]] &lt; INDEX(Table28[Filtro de ruido],1), 1, Table14[[#This Row],[I_30]] / Table14[[#This Row],[I_0]])</f>
        <v>1</v>
      </c>
      <c r="X1143" s="1">
        <f>IF(Table14[[#This Row],[I_0]] &lt; INDEX(Table28[Filtro de ruido],1), 1, Table14[[#This Row],[I_40]] / Table14[[#This Row],[I_0]])</f>
        <v>1</v>
      </c>
      <c r="Y1143" s="19">
        <f>IF(Table14[[#This Row],[I_0]] &lt; INDEX(Table28[Filtro de ruido],1), 1, Table14[[#This Row],[I_50]] / Table14[[#This Row],[I_0]])</f>
        <v>1</v>
      </c>
      <c r="AA1143" s="1"/>
    </row>
    <row r="1144" spans="1:27" x14ac:dyDescent="0.3">
      <c r="A1144" s="18">
        <v>1202.8800000000001</v>
      </c>
      <c r="B1144" s="1">
        <v>0</v>
      </c>
      <c r="C1144" s="1">
        <v>1202.8800000000001</v>
      </c>
      <c r="D1144" s="1">
        <v>0</v>
      </c>
      <c r="E1144" s="1">
        <v>1202.8800000000001</v>
      </c>
      <c r="F1144" s="1">
        <v>0</v>
      </c>
      <c r="G1144" s="1">
        <v>1202.8800000000001</v>
      </c>
      <c r="H1144" s="1">
        <v>0</v>
      </c>
      <c r="I1144" s="1">
        <v>1202.8800000000001</v>
      </c>
      <c r="J1144" s="1">
        <v>0</v>
      </c>
      <c r="K1144" s="1">
        <v>1202.8800000000001</v>
      </c>
      <c r="L1144" s="1">
        <v>0</v>
      </c>
      <c r="M1144" s="1">
        <v>1202.8800000000001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1202.8800000000001</v>
      </c>
      <c r="U1144" s="1">
        <f>IF(Table14[[#This Row],[I_0]] &lt; INDEX(Table28[Filtro de ruido],1), 1, Table14[[#This Row],[I_10]] / Table14[[#This Row],[I_0]])</f>
        <v>1</v>
      </c>
      <c r="V1144" s="1">
        <f>IF(Table14[[#This Row],[I_0]] &lt; INDEX(Table28[Filtro de ruido],1), 1, Table14[[#This Row],[I_20]] / Table14[[#This Row],[I_0]])</f>
        <v>1</v>
      </c>
      <c r="W1144" s="1">
        <f>IF(Table14[[#This Row],[I_0]] &lt; INDEX(Table28[Filtro de ruido],1), 1, Table14[[#This Row],[I_30]] / Table14[[#This Row],[I_0]])</f>
        <v>1</v>
      </c>
      <c r="X1144" s="1">
        <f>IF(Table14[[#This Row],[I_0]] &lt; INDEX(Table28[Filtro de ruido],1), 1, Table14[[#This Row],[I_40]] / Table14[[#This Row],[I_0]])</f>
        <v>1</v>
      </c>
      <c r="Y1144" s="19">
        <f>IF(Table14[[#This Row],[I_0]] &lt; INDEX(Table28[Filtro de ruido],1), 1, Table14[[#This Row],[I_50]] / Table14[[#This Row],[I_0]])</f>
        <v>1</v>
      </c>
      <c r="AA1144" s="1"/>
    </row>
    <row r="1145" spans="1:27" x14ac:dyDescent="0.3">
      <c r="A1145" s="18">
        <v>1203.8699999999999</v>
      </c>
      <c r="B1145" s="1">
        <v>0</v>
      </c>
      <c r="C1145" s="1">
        <v>1203.8699999999999</v>
      </c>
      <c r="D1145" s="1">
        <v>0</v>
      </c>
      <c r="E1145" s="1">
        <v>1203.8699999999999</v>
      </c>
      <c r="F1145" s="1">
        <v>0</v>
      </c>
      <c r="G1145" s="1">
        <v>1203.8699999999999</v>
      </c>
      <c r="H1145" s="1">
        <v>0</v>
      </c>
      <c r="I1145" s="1">
        <v>1203.8699999999999</v>
      </c>
      <c r="J1145" s="1">
        <v>0</v>
      </c>
      <c r="K1145" s="1">
        <v>1203.8699999999999</v>
      </c>
      <c r="L1145" s="1">
        <v>0</v>
      </c>
      <c r="M1145" s="1">
        <v>1203.8699999999999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1203.8699999999999</v>
      </c>
      <c r="U1145" s="1">
        <f>IF(Table14[[#This Row],[I_0]] &lt; INDEX(Table28[Filtro de ruido],1), 1, Table14[[#This Row],[I_10]] / Table14[[#This Row],[I_0]])</f>
        <v>1</v>
      </c>
      <c r="V1145" s="1">
        <f>IF(Table14[[#This Row],[I_0]] &lt; INDEX(Table28[Filtro de ruido],1), 1, Table14[[#This Row],[I_20]] / Table14[[#This Row],[I_0]])</f>
        <v>1</v>
      </c>
      <c r="W1145" s="1">
        <f>IF(Table14[[#This Row],[I_0]] &lt; INDEX(Table28[Filtro de ruido],1), 1, Table14[[#This Row],[I_30]] / Table14[[#This Row],[I_0]])</f>
        <v>1</v>
      </c>
      <c r="X1145" s="1">
        <f>IF(Table14[[#This Row],[I_0]] &lt; INDEX(Table28[Filtro de ruido],1), 1, Table14[[#This Row],[I_40]] / Table14[[#This Row],[I_0]])</f>
        <v>1</v>
      </c>
      <c r="Y1145" s="19">
        <f>IF(Table14[[#This Row],[I_0]] &lt; INDEX(Table28[Filtro de ruido],1), 1, Table14[[#This Row],[I_50]] / Table14[[#This Row],[I_0]])</f>
        <v>1</v>
      </c>
      <c r="AA1145" s="1"/>
    </row>
    <row r="1146" spans="1:27" x14ac:dyDescent="0.3">
      <c r="A1146" s="18">
        <v>1204.8599999999999</v>
      </c>
      <c r="B1146" s="1">
        <v>0</v>
      </c>
      <c r="C1146" s="1">
        <v>1204.8599999999999</v>
      </c>
      <c r="D1146" s="1">
        <v>0</v>
      </c>
      <c r="E1146" s="1">
        <v>1204.8599999999999</v>
      </c>
      <c r="F1146" s="1">
        <v>0</v>
      </c>
      <c r="G1146" s="1">
        <v>1204.8599999999999</v>
      </c>
      <c r="H1146" s="1">
        <v>0</v>
      </c>
      <c r="I1146" s="1">
        <v>1204.8599999999999</v>
      </c>
      <c r="J1146" s="1">
        <v>0</v>
      </c>
      <c r="K1146" s="1">
        <v>1204.8599999999999</v>
      </c>
      <c r="L1146" s="1">
        <v>0</v>
      </c>
      <c r="M1146" s="1">
        <v>1204.8599999999999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1204.8599999999999</v>
      </c>
      <c r="U1146" s="1">
        <f>IF(Table14[[#This Row],[I_0]] &lt; INDEX(Table28[Filtro de ruido],1), 1, Table14[[#This Row],[I_10]] / Table14[[#This Row],[I_0]])</f>
        <v>1</v>
      </c>
      <c r="V1146" s="1">
        <f>IF(Table14[[#This Row],[I_0]] &lt; INDEX(Table28[Filtro de ruido],1), 1, Table14[[#This Row],[I_20]] / Table14[[#This Row],[I_0]])</f>
        <v>1</v>
      </c>
      <c r="W1146" s="1">
        <f>IF(Table14[[#This Row],[I_0]] &lt; INDEX(Table28[Filtro de ruido],1), 1, Table14[[#This Row],[I_30]] / Table14[[#This Row],[I_0]])</f>
        <v>1</v>
      </c>
      <c r="X1146" s="1">
        <f>IF(Table14[[#This Row],[I_0]] &lt; INDEX(Table28[Filtro de ruido],1), 1, Table14[[#This Row],[I_40]] / Table14[[#This Row],[I_0]])</f>
        <v>1</v>
      </c>
      <c r="Y1146" s="19">
        <f>IF(Table14[[#This Row],[I_0]] &lt; INDEX(Table28[Filtro de ruido],1), 1, Table14[[#This Row],[I_50]] / Table14[[#This Row],[I_0]])</f>
        <v>1</v>
      </c>
      <c r="AA1146" s="1"/>
    </row>
    <row r="1147" spans="1:27" x14ac:dyDescent="0.3">
      <c r="A1147" s="18">
        <v>1205.8499999999999</v>
      </c>
      <c r="B1147" s="1">
        <v>0</v>
      </c>
      <c r="C1147" s="1">
        <v>1205.8499999999999</v>
      </c>
      <c r="D1147" s="1">
        <v>0</v>
      </c>
      <c r="E1147" s="1">
        <v>1205.8499999999999</v>
      </c>
      <c r="F1147" s="1">
        <v>0</v>
      </c>
      <c r="G1147" s="1">
        <v>1205.8499999999999</v>
      </c>
      <c r="H1147" s="1">
        <v>0</v>
      </c>
      <c r="I1147" s="1">
        <v>1205.8499999999999</v>
      </c>
      <c r="J1147" s="1">
        <v>0</v>
      </c>
      <c r="K1147" s="1">
        <v>1205.8499999999999</v>
      </c>
      <c r="L1147" s="1">
        <v>0</v>
      </c>
      <c r="M1147" s="1">
        <v>1205.8499999999999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1205.8499999999999</v>
      </c>
      <c r="U1147" s="1">
        <f>IF(Table14[[#This Row],[I_0]] &lt; INDEX(Table28[Filtro de ruido],1), 1, Table14[[#This Row],[I_10]] / Table14[[#This Row],[I_0]])</f>
        <v>1</v>
      </c>
      <c r="V1147" s="1">
        <f>IF(Table14[[#This Row],[I_0]] &lt; INDEX(Table28[Filtro de ruido],1), 1, Table14[[#This Row],[I_20]] / Table14[[#This Row],[I_0]])</f>
        <v>1</v>
      </c>
      <c r="W1147" s="1">
        <f>IF(Table14[[#This Row],[I_0]] &lt; INDEX(Table28[Filtro de ruido],1), 1, Table14[[#This Row],[I_30]] / Table14[[#This Row],[I_0]])</f>
        <v>1</v>
      </c>
      <c r="X1147" s="1">
        <f>IF(Table14[[#This Row],[I_0]] &lt; INDEX(Table28[Filtro de ruido],1), 1, Table14[[#This Row],[I_40]] / Table14[[#This Row],[I_0]])</f>
        <v>1</v>
      </c>
      <c r="Y1147" s="19">
        <f>IF(Table14[[#This Row],[I_0]] &lt; INDEX(Table28[Filtro de ruido],1), 1, Table14[[#This Row],[I_50]] / Table14[[#This Row],[I_0]])</f>
        <v>1</v>
      </c>
      <c r="AA1147" s="1"/>
    </row>
    <row r="1148" spans="1:27" x14ac:dyDescent="0.3">
      <c r="A1148" s="18">
        <v>1206.8399999999999</v>
      </c>
      <c r="B1148" s="1">
        <v>0</v>
      </c>
      <c r="C1148" s="1">
        <v>1206.8399999999999</v>
      </c>
      <c r="D1148" s="1">
        <v>0</v>
      </c>
      <c r="E1148" s="1">
        <v>1206.8399999999999</v>
      </c>
      <c r="F1148" s="1">
        <v>0</v>
      </c>
      <c r="G1148" s="1">
        <v>1206.8399999999999</v>
      </c>
      <c r="H1148" s="1">
        <v>0</v>
      </c>
      <c r="I1148" s="1">
        <v>1206.8399999999999</v>
      </c>
      <c r="J1148" s="1">
        <v>0</v>
      </c>
      <c r="K1148" s="1">
        <v>1206.8399999999999</v>
      </c>
      <c r="L1148" s="1">
        <v>0</v>
      </c>
      <c r="M1148" s="1">
        <v>1206.8399999999999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1206.8399999999999</v>
      </c>
      <c r="U1148" s="1">
        <f>IF(Table14[[#This Row],[I_0]] &lt; INDEX(Table28[Filtro de ruido],1), 1, Table14[[#This Row],[I_10]] / Table14[[#This Row],[I_0]])</f>
        <v>1</v>
      </c>
      <c r="V1148" s="1">
        <f>IF(Table14[[#This Row],[I_0]] &lt; INDEX(Table28[Filtro de ruido],1), 1, Table14[[#This Row],[I_20]] / Table14[[#This Row],[I_0]])</f>
        <v>1</v>
      </c>
      <c r="W1148" s="1">
        <f>IF(Table14[[#This Row],[I_0]] &lt; INDEX(Table28[Filtro de ruido],1), 1, Table14[[#This Row],[I_30]] / Table14[[#This Row],[I_0]])</f>
        <v>1</v>
      </c>
      <c r="X1148" s="1">
        <f>IF(Table14[[#This Row],[I_0]] &lt; INDEX(Table28[Filtro de ruido],1), 1, Table14[[#This Row],[I_40]] / Table14[[#This Row],[I_0]])</f>
        <v>1</v>
      </c>
      <c r="Y1148" s="19">
        <f>IF(Table14[[#This Row],[I_0]] &lt; INDEX(Table28[Filtro de ruido],1), 1, Table14[[#This Row],[I_50]] / Table14[[#This Row],[I_0]])</f>
        <v>1</v>
      </c>
      <c r="AA1148" s="1"/>
    </row>
    <row r="1149" spans="1:27" x14ac:dyDescent="0.3">
      <c r="A1149" s="18">
        <v>1207.83</v>
      </c>
      <c r="B1149" s="1">
        <v>0</v>
      </c>
      <c r="C1149" s="1">
        <v>1207.83</v>
      </c>
      <c r="D1149" s="1">
        <v>0</v>
      </c>
      <c r="E1149" s="1">
        <v>1207.83</v>
      </c>
      <c r="F1149" s="1">
        <v>0</v>
      </c>
      <c r="G1149" s="1">
        <v>1207.83</v>
      </c>
      <c r="H1149" s="1">
        <v>0</v>
      </c>
      <c r="I1149" s="1">
        <v>1207.83</v>
      </c>
      <c r="J1149" s="1">
        <v>0</v>
      </c>
      <c r="K1149" s="1">
        <v>1207.83</v>
      </c>
      <c r="L1149" s="1">
        <v>0</v>
      </c>
      <c r="M1149" s="1">
        <v>1207.83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1207.83</v>
      </c>
      <c r="U1149" s="1">
        <f>IF(Table14[[#This Row],[I_0]] &lt; INDEX(Table28[Filtro de ruido],1), 1, Table14[[#This Row],[I_10]] / Table14[[#This Row],[I_0]])</f>
        <v>1</v>
      </c>
      <c r="V1149" s="1">
        <f>IF(Table14[[#This Row],[I_0]] &lt; INDEX(Table28[Filtro de ruido],1), 1, Table14[[#This Row],[I_20]] / Table14[[#This Row],[I_0]])</f>
        <v>1</v>
      </c>
      <c r="W1149" s="1">
        <f>IF(Table14[[#This Row],[I_0]] &lt; INDEX(Table28[Filtro de ruido],1), 1, Table14[[#This Row],[I_30]] / Table14[[#This Row],[I_0]])</f>
        <v>1</v>
      </c>
      <c r="X1149" s="1">
        <f>IF(Table14[[#This Row],[I_0]] &lt; INDEX(Table28[Filtro de ruido],1), 1, Table14[[#This Row],[I_40]] / Table14[[#This Row],[I_0]])</f>
        <v>1</v>
      </c>
      <c r="Y1149" s="19">
        <f>IF(Table14[[#This Row],[I_0]] &lt; INDEX(Table28[Filtro de ruido],1), 1, Table14[[#This Row],[I_50]] / Table14[[#This Row],[I_0]])</f>
        <v>1</v>
      </c>
      <c r="AA1149" s="1"/>
    </row>
    <row r="1150" spans="1:27" x14ac:dyDescent="0.3">
      <c r="A1150" s="18">
        <v>1208.83</v>
      </c>
      <c r="B1150" s="1">
        <v>0</v>
      </c>
      <c r="C1150" s="1">
        <v>1208.83</v>
      </c>
      <c r="D1150" s="1">
        <v>0</v>
      </c>
      <c r="E1150" s="1">
        <v>1208.83</v>
      </c>
      <c r="F1150" s="1">
        <v>0</v>
      </c>
      <c r="G1150" s="1">
        <v>1208.83</v>
      </c>
      <c r="H1150" s="1">
        <v>0</v>
      </c>
      <c r="I1150" s="1">
        <v>1208.83</v>
      </c>
      <c r="J1150" s="1">
        <v>0</v>
      </c>
      <c r="K1150" s="1">
        <v>1208.83</v>
      </c>
      <c r="L1150" s="1">
        <v>0</v>
      </c>
      <c r="M1150" s="1">
        <v>1208.83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1208.83</v>
      </c>
      <c r="U1150" s="1">
        <f>IF(Table14[[#This Row],[I_0]] &lt; INDEX(Table28[Filtro de ruido],1), 1, Table14[[#This Row],[I_10]] / Table14[[#This Row],[I_0]])</f>
        <v>1</v>
      </c>
      <c r="V1150" s="1">
        <f>IF(Table14[[#This Row],[I_0]] &lt; INDEX(Table28[Filtro de ruido],1), 1, Table14[[#This Row],[I_20]] / Table14[[#This Row],[I_0]])</f>
        <v>1</v>
      </c>
      <c r="W1150" s="1">
        <f>IF(Table14[[#This Row],[I_0]] &lt; INDEX(Table28[Filtro de ruido],1), 1, Table14[[#This Row],[I_30]] / Table14[[#This Row],[I_0]])</f>
        <v>1</v>
      </c>
      <c r="X1150" s="1">
        <f>IF(Table14[[#This Row],[I_0]] &lt; INDEX(Table28[Filtro de ruido],1), 1, Table14[[#This Row],[I_40]] / Table14[[#This Row],[I_0]])</f>
        <v>1</v>
      </c>
      <c r="Y1150" s="19">
        <f>IF(Table14[[#This Row],[I_0]] &lt; INDEX(Table28[Filtro de ruido],1), 1, Table14[[#This Row],[I_50]] / Table14[[#This Row],[I_0]])</f>
        <v>1</v>
      </c>
      <c r="AA1150" s="1"/>
    </row>
    <row r="1151" spans="1:27" x14ac:dyDescent="0.3">
      <c r="A1151" s="18">
        <v>1209.82</v>
      </c>
      <c r="B1151" s="1">
        <v>0</v>
      </c>
      <c r="C1151" s="1">
        <v>1209.82</v>
      </c>
      <c r="D1151" s="1">
        <v>0</v>
      </c>
      <c r="E1151" s="1">
        <v>1209.82</v>
      </c>
      <c r="F1151" s="1">
        <v>0</v>
      </c>
      <c r="G1151" s="1">
        <v>1209.82</v>
      </c>
      <c r="H1151" s="1">
        <v>0</v>
      </c>
      <c r="I1151" s="1">
        <v>1209.82</v>
      </c>
      <c r="J1151" s="1">
        <v>0</v>
      </c>
      <c r="K1151" s="1">
        <v>1209.82</v>
      </c>
      <c r="L1151" s="1">
        <v>0</v>
      </c>
      <c r="M1151" s="1">
        <v>1209.82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1209.82</v>
      </c>
      <c r="U1151" s="1">
        <f>IF(Table14[[#This Row],[I_0]] &lt; INDEX(Table28[Filtro de ruido],1), 1, Table14[[#This Row],[I_10]] / Table14[[#This Row],[I_0]])</f>
        <v>1</v>
      </c>
      <c r="V1151" s="1">
        <f>IF(Table14[[#This Row],[I_0]] &lt; INDEX(Table28[Filtro de ruido],1), 1, Table14[[#This Row],[I_20]] / Table14[[#This Row],[I_0]])</f>
        <v>1</v>
      </c>
      <c r="W1151" s="1">
        <f>IF(Table14[[#This Row],[I_0]] &lt; INDEX(Table28[Filtro de ruido],1), 1, Table14[[#This Row],[I_30]] / Table14[[#This Row],[I_0]])</f>
        <v>1</v>
      </c>
      <c r="X1151" s="1">
        <f>IF(Table14[[#This Row],[I_0]] &lt; INDEX(Table28[Filtro de ruido],1), 1, Table14[[#This Row],[I_40]] / Table14[[#This Row],[I_0]])</f>
        <v>1</v>
      </c>
      <c r="Y1151" s="19">
        <f>IF(Table14[[#This Row],[I_0]] &lt; INDEX(Table28[Filtro de ruido],1), 1, Table14[[#This Row],[I_50]] / Table14[[#This Row],[I_0]])</f>
        <v>1</v>
      </c>
      <c r="AA1151" s="1"/>
    </row>
    <row r="1152" spans="1:27" x14ac:dyDescent="0.3">
      <c r="A1152" s="18">
        <v>1210.81</v>
      </c>
      <c r="B1152" s="1">
        <v>0</v>
      </c>
      <c r="C1152" s="1">
        <v>1210.81</v>
      </c>
      <c r="D1152" s="1">
        <v>0</v>
      </c>
      <c r="E1152" s="1">
        <v>1210.81</v>
      </c>
      <c r="F1152" s="1">
        <v>0</v>
      </c>
      <c r="G1152" s="1">
        <v>1210.81</v>
      </c>
      <c r="H1152" s="1">
        <v>0</v>
      </c>
      <c r="I1152" s="1">
        <v>1210.81</v>
      </c>
      <c r="J1152" s="1">
        <v>0</v>
      </c>
      <c r="K1152" s="1">
        <v>1210.81</v>
      </c>
      <c r="L1152" s="1">
        <v>0</v>
      </c>
      <c r="M1152" s="1">
        <v>1210.81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1210.81</v>
      </c>
      <c r="U1152" s="1">
        <f>IF(Table14[[#This Row],[I_0]] &lt; INDEX(Table28[Filtro de ruido],1), 1, Table14[[#This Row],[I_10]] / Table14[[#This Row],[I_0]])</f>
        <v>1</v>
      </c>
      <c r="V1152" s="1">
        <f>IF(Table14[[#This Row],[I_0]] &lt; INDEX(Table28[Filtro de ruido],1), 1, Table14[[#This Row],[I_20]] / Table14[[#This Row],[I_0]])</f>
        <v>1</v>
      </c>
      <c r="W1152" s="1">
        <f>IF(Table14[[#This Row],[I_0]] &lt; INDEX(Table28[Filtro de ruido],1), 1, Table14[[#This Row],[I_30]] / Table14[[#This Row],[I_0]])</f>
        <v>1</v>
      </c>
      <c r="X1152" s="1">
        <f>IF(Table14[[#This Row],[I_0]] &lt; INDEX(Table28[Filtro de ruido],1), 1, Table14[[#This Row],[I_40]] / Table14[[#This Row],[I_0]])</f>
        <v>1</v>
      </c>
      <c r="Y1152" s="19">
        <f>IF(Table14[[#This Row],[I_0]] &lt; INDEX(Table28[Filtro de ruido],1), 1, Table14[[#This Row],[I_50]] / Table14[[#This Row],[I_0]])</f>
        <v>1</v>
      </c>
      <c r="AA1152" s="1"/>
    </row>
    <row r="1153" spans="1:27" x14ac:dyDescent="0.3">
      <c r="A1153" s="18">
        <v>1211.8</v>
      </c>
      <c r="B1153" s="1">
        <v>0</v>
      </c>
      <c r="C1153" s="1">
        <v>1211.8</v>
      </c>
      <c r="D1153" s="1">
        <v>0</v>
      </c>
      <c r="E1153" s="1">
        <v>1211.8</v>
      </c>
      <c r="F1153" s="1">
        <v>0</v>
      </c>
      <c r="G1153" s="1">
        <v>1211.8</v>
      </c>
      <c r="H1153" s="1">
        <v>0</v>
      </c>
      <c r="I1153" s="1">
        <v>1211.8</v>
      </c>
      <c r="J1153" s="1">
        <v>0</v>
      </c>
      <c r="K1153" s="1">
        <v>1211.8</v>
      </c>
      <c r="L1153" s="1">
        <v>0</v>
      </c>
      <c r="M1153" s="1">
        <v>1211.8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1211.8</v>
      </c>
      <c r="U1153" s="1">
        <f>IF(Table14[[#This Row],[I_0]] &lt; INDEX(Table28[Filtro de ruido],1), 1, Table14[[#This Row],[I_10]] / Table14[[#This Row],[I_0]])</f>
        <v>1</v>
      </c>
      <c r="V1153" s="1">
        <f>IF(Table14[[#This Row],[I_0]] &lt; INDEX(Table28[Filtro de ruido],1), 1, Table14[[#This Row],[I_20]] / Table14[[#This Row],[I_0]])</f>
        <v>1</v>
      </c>
      <c r="W1153" s="1">
        <f>IF(Table14[[#This Row],[I_0]] &lt; INDEX(Table28[Filtro de ruido],1), 1, Table14[[#This Row],[I_30]] / Table14[[#This Row],[I_0]])</f>
        <v>1</v>
      </c>
      <c r="X1153" s="1">
        <f>IF(Table14[[#This Row],[I_0]] &lt; INDEX(Table28[Filtro de ruido],1), 1, Table14[[#This Row],[I_40]] / Table14[[#This Row],[I_0]])</f>
        <v>1</v>
      </c>
      <c r="Y1153" s="19">
        <f>IF(Table14[[#This Row],[I_0]] &lt; INDEX(Table28[Filtro de ruido],1), 1, Table14[[#This Row],[I_50]] / Table14[[#This Row],[I_0]])</f>
        <v>1</v>
      </c>
      <c r="AA1153" s="1"/>
    </row>
    <row r="1154" spans="1:27" x14ac:dyDescent="0.3">
      <c r="A1154" s="18">
        <v>1212.79</v>
      </c>
      <c r="B1154" s="1">
        <v>0</v>
      </c>
      <c r="C1154" s="1">
        <v>1212.79</v>
      </c>
      <c r="D1154" s="1">
        <v>0</v>
      </c>
      <c r="E1154" s="1">
        <v>1212.79</v>
      </c>
      <c r="F1154" s="1">
        <v>0</v>
      </c>
      <c r="G1154" s="1">
        <v>1212.79</v>
      </c>
      <c r="H1154" s="1">
        <v>0</v>
      </c>
      <c r="I1154" s="1">
        <v>1212.79</v>
      </c>
      <c r="J1154" s="1">
        <v>0</v>
      </c>
      <c r="K1154" s="1">
        <v>1212.79</v>
      </c>
      <c r="L1154" s="1">
        <v>0</v>
      </c>
      <c r="M1154" s="1">
        <v>1212.79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1212.79</v>
      </c>
      <c r="U1154" s="1">
        <f>IF(Table14[[#This Row],[I_0]] &lt; INDEX(Table28[Filtro de ruido],1), 1, Table14[[#This Row],[I_10]] / Table14[[#This Row],[I_0]])</f>
        <v>1</v>
      </c>
      <c r="V1154" s="1">
        <f>IF(Table14[[#This Row],[I_0]] &lt; INDEX(Table28[Filtro de ruido],1), 1, Table14[[#This Row],[I_20]] / Table14[[#This Row],[I_0]])</f>
        <v>1</v>
      </c>
      <c r="W1154" s="1">
        <f>IF(Table14[[#This Row],[I_0]] &lt; INDEX(Table28[Filtro de ruido],1), 1, Table14[[#This Row],[I_30]] / Table14[[#This Row],[I_0]])</f>
        <v>1</v>
      </c>
      <c r="X1154" s="1">
        <f>IF(Table14[[#This Row],[I_0]] &lt; INDEX(Table28[Filtro de ruido],1), 1, Table14[[#This Row],[I_40]] / Table14[[#This Row],[I_0]])</f>
        <v>1</v>
      </c>
      <c r="Y1154" s="19">
        <f>IF(Table14[[#This Row],[I_0]] &lt; INDEX(Table28[Filtro de ruido],1), 1, Table14[[#This Row],[I_50]] / Table14[[#This Row],[I_0]])</f>
        <v>1</v>
      </c>
      <c r="AA1154" s="1"/>
    </row>
    <row r="1155" spans="1:27" x14ac:dyDescent="0.3">
      <c r="A1155" s="18">
        <v>1213.78</v>
      </c>
      <c r="B1155" s="1">
        <v>0</v>
      </c>
      <c r="C1155" s="1">
        <v>1213.78</v>
      </c>
      <c r="D1155" s="1">
        <v>0</v>
      </c>
      <c r="E1155" s="1">
        <v>1213.78</v>
      </c>
      <c r="F1155" s="1">
        <v>0</v>
      </c>
      <c r="G1155" s="1">
        <v>1213.78</v>
      </c>
      <c r="H1155" s="1">
        <v>0</v>
      </c>
      <c r="I1155" s="1">
        <v>1213.78</v>
      </c>
      <c r="J1155" s="1">
        <v>0</v>
      </c>
      <c r="K1155" s="1">
        <v>1213.78</v>
      </c>
      <c r="L1155" s="1">
        <v>0</v>
      </c>
      <c r="M1155" s="1">
        <v>1213.78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1213.78</v>
      </c>
      <c r="U1155" s="1">
        <f>IF(Table14[[#This Row],[I_0]] &lt; INDEX(Table28[Filtro de ruido],1), 1, Table14[[#This Row],[I_10]] / Table14[[#This Row],[I_0]])</f>
        <v>1</v>
      </c>
      <c r="V1155" s="1">
        <f>IF(Table14[[#This Row],[I_0]] &lt; INDEX(Table28[Filtro de ruido],1), 1, Table14[[#This Row],[I_20]] / Table14[[#This Row],[I_0]])</f>
        <v>1</v>
      </c>
      <c r="W1155" s="1">
        <f>IF(Table14[[#This Row],[I_0]] &lt; INDEX(Table28[Filtro de ruido],1), 1, Table14[[#This Row],[I_30]] / Table14[[#This Row],[I_0]])</f>
        <v>1</v>
      </c>
      <c r="X1155" s="1">
        <f>IF(Table14[[#This Row],[I_0]] &lt; INDEX(Table28[Filtro de ruido],1), 1, Table14[[#This Row],[I_40]] / Table14[[#This Row],[I_0]])</f>
        <v>1</v>
      </c>
      <c r="Y1155" s="19">
        <f>IF(Table14[[#This Row],[I_0]] &lt; INDEX(Table28[Filtro de ruido],1), 1, Table14[[#This Row],[I_50]] / Table14[[#This Row],[I_0]])</f>
        <v>1</v>
      </c>
      <c r="AA1155" s="1"/>
    </row>
    <row r="1156" spans="1:27" x14ac:dyDescent="0.3">
      <c r="A1156" s="18">
        <v>1214.78</v>
      </c>
      <c r="B1156" s="1">
        <v>0</v>
      </c>
      <c r="C1156" s="1">
        <v>1214.78</v>
      </c>
      <c r="D1156" s="1">
        <v>0</v>
      </c>
      <c r="E1156" s="1">
        <v>1214.78</v>
      </c>
      <c r="F1156" s="1">
        <v>0</v>
      </c>
      <c r="G1156" s="1">
        <v>1214.78</v>
      </c>
      <c r="H1156" s="1">
        <v>0</v>
      </c>
      <c r="I1156" s="1">
        <v>1214.78</v>
      </c>
      <c r="J1156" s="1">
        <v>0</v>
      </c>
      <c r="K1156" s="1">
        <v>1214.78</v>
      </c>
      <c r="L1156" s="1">
        <v>0</v>
      </c>
      <c r="M1156" s="1">
        <v>1214.78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1214.78</v>
      </c>
      <c r="U1156" s="1">
        <f>IF(Table14[[#This Row],[I_0]] &lt; INDEX(Table28[Filtro de ruido],1), 1, Table14[[#This Row],[I_10]] / Table14[[#This Row],[I_0]])</f>
        <v>1</v>
      </c>
      <c r="V1156" s="1">
        <f>IF(Table14[[#This Row],[I_0]] &lt; INDEX(Table28[Filtro de ruido],1), 1, Table14[[#This Row],[I_20]] / Table14[[#This Row],[I_0]])</f>
        <v>1</v>
      </c>
      <c r="W1156" s="1">
        <f>IF(Table14[[#This Row],[I_0]] &lt; INDEX(Table28[Filtro de ruido],1), 1, Table14[[#This Row],[I_30]] / Table14[[#This Row],[I_0]])</f>
        <v>1</v>
      </c>
      <c r="X1156" s="1">
        <f>IF(Table14[[#This Row],[I_0]] &lt; INDEX(Table28[Filtro de ruido],1), 1, Table14[[#This Row],[I_40]] / Table14[[#This Row],[I_0]])</f>
        <v>1</v>
      </c>
      <c r="Y1156" s="19">
        <f>IF(Table14[[#This Row],[I_0]] &lt; INDEX(Table28[Filtro de ruido],1), 1, Table14[[#This Row],[I_50]] / Table14[[#This Row],[I_0]])</f>
        <v>1</v>
      </c>
      <c r="AA1156" s="1"/>
    </row>
    <row r="1157" spans="1:27" x14ac:dyDescent="0.3">
      <c r="A1157" s="18">
        <v>1215.77</v>
      </c>
      <c r="B1157" s="1">
        <v>0</v>
      </c>
      <c r="C1157" s="1">
        <v>1215.77</v>
      </c>
      <c r="D1157" s="1">
        <v>0</v>
      </c>
      <c r="E1157" s="1">
        <v>1215.77</v>
      </c>
      <c r="F1157" s="1">
        <v>0</v>
      </c>
      <c r="G1157" s="1">
        <v>1215.77</v>
      </c>
      <c r="H1157" s="1">
        <v>0</v>
      </c>
      <c r="I1157" s="1">
        <v>1215.77</v>
      </c>
      <c r="J1157" s="1">
        <v>0</v>
      </c>
      <c r="K1157" s="1">
        <v>1215.77</v>
      </c>
      <c r="L1157" s="1">
        <v>0</v>
      </c>
      <c r="M1157" s="1">
        <v>1215.77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1215.77</v>
      </c>
      <c r="U1157" s="1">
        <f>IF(Table14[[#This Row],[I_0]] &lt; INDEX(Table28[Filtro de ruido],1), 1, Table14[[#This Row],[I_10]] / Table14[[#This Row],[I_0]])</f>
        <v>1</v>
      </c>
      <c r="V1157" s="1">
        <f>IF(Table14[[#This Row],[I_0]] &lt; INDEX(Table28[Filtro de ruido],1), 1, Table14[[#This Row],[I_20]] / Table14[[#This Row],[I_0]])</f>
        <v>1</v>
      </c>
      <c r="W1157" s="1">
        <f>IF(Table14[[#This Row],[I_0]] &lt; INDEX(Table28[Filtro de ruido],1), 1, Table14[[#This Row],[I_30]] / Table14[[#This Row],[I_0]])</f>
        <v>1</v>
      </c>
      <c r="X1157" s="1">
        <f>IF(Table14[[#This Row],[I_0]] &lt; INDEX(Table28[Filtro de ruido],1), 1, Table14[[#This Row],[I_40]] / Table14[[#This Row],[I_0]])</f>
        <v>1</v>
      </c>
      <c r="Y1157" s="19">
        <f>IF(Table14[[#This Row],[I_0]] &lt; INDEX(Table28[Filtro de ruido],1), 1, Table14[[#This Row],[I_50]] / Table14[[#This Row],[I_0]])</f>
        <v>1</v>
      </c>
      <c r="AA1157" s="1"/>
    </row>
    <row r="1158" spans="1:27" x14ac:dyDescent="0.3">
      <c r="A1158" s="18">
        <v>1216.76</v>
      </c>
      <c r="B1158" s="1">
        <v>0</v>
      </c>
      <c r="C1158" s="1">
        <v>1216.76</v>
      </c>
      <c r="D1158" s="1">
        <v>0</v>
      </c>
      <c r="E1158" s="1">
        <v>1216.76</v>
      </c>
      <c r="F1158" s="1">
        <v>0</v>
      </c>
      <c r="G1158" s="1">
        <v>1216.76</v>
      </c>
      <c r="H1158" s="1">
        <v>0</v>
      </c>
      <c r="I1158" s="1">
        <v>1216.76</v>
      </c>
      <c r="J1158" s="1">
        <v>0</v>
      </c>
      <c r="K1158" s="1">
        <v>1216.76</v>
      </c>
      <c r="L1158" s="1">
        <v>0</v>
      </c>
      <c r="M1158" s="1">
        <v>1216.76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1216.76</v>
      </c>
      <c r="U1158" s="1">
        <f>IF(Table14[[#This Row],[I_0]] &lt; INDEX(Table28[Filtro de ruido],1), 1, Table14[[#This Row],[I_10]] / Table14[[#This Row],[I_0]])</f>
        <v>1</v>
      </c>
      <c r="V1158" s="1">
        <f>IF(Table14[[#This Row],[I_0]] &lt; INDEX(Table28[Filtro de ruido],1), 1, Table14[[#This Row],[I_20]] / Table14[[#This Row],[I_0]])</f>
        <v>1</v>
      </c>
      <c r="W1158" s="1">
        <f>IF(Table14[[#This Row],[I_0]] &lt; INDEX(Table28[Filtro de ruido],1), 1, Table14[[#This Row],[I_30]] / Table14[[#This Row],[I_0]])</f>
        <v>1</v>
      </c>
      <c r="X1158" s="1">
        <f>IF(Table14[[#This Row],[I_0]] &lt; INDEX(Table28[Filtro de ruido],1), 1, Table14[[#This Row],[I_40]] / Table14[[#This Row],[I_0]])</f>
        <v>1</v>
      </c>
      <c r="Y1158" s="19">
        <f>IF(Table14[[#This Row],[I_0]] &lt; INDEX(Table28[Filtro de ruido],1), 1, Table14[[#This Row],[I_50]] / Table14[[#This Row],[I_0]])</f>
        <v>1</v>
      </c>
      <c r="AA1158" s="1"/>
    </row>
    <row r="1159" spans="1:27" x14ac:dyDescent="0.3">
      <c r="A1159" s="18">
        <v>1217.75</v>
      </c>
      <c r="B1159" s="1">
        <v>0</v>
      </c>
      <c r="C1159" s="1">
        <v>1217.75</v>
      </c>
      <c r="D1159" s="1">
        <v>0</v>
      </c>
      <c r="E1159" s="1">
        <v>1217.75</v>
      </c>
      <c r="F1159" s="1">
        <v>0</v>
      </c>
      <c r="G1159" s="1">
        <v>1217.75</v>
      </c>
      <c r="H1159" s="1">
        <v>0</v>
      </c>
      <c r="I1159" s="1">
        <v>1217.75</v>
      </c>
      <c r="J1159" s="1">
        <v>0</v>
      </c>
      <c r="K1159" s="1">
        <v>1217.75</v>
      </c>
      <c r="L1159" s="1">
        <v>0</v>
      </c>
      <c r="M1159" s="1">
        <v>1217.75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1217.75</v>
      </c>
      <c r="U1159" s="1">
        <f>IF(Table14[[#This Row],[I_0]] &lt; INDEX(Table28[Filtro de ruido],1), 1, Table14[[#This Row],[I_10]] / Table14[[#This Row],[I_0]])</f>
        <v>1</v>
      </c>
      <c r="V1159" s="1">
        <f>IF(Table14[[#This Row],[I_0]] &lt; INDEX(Table28[Filtro de ruido],1), 1, Table14[[#This Row],[I_20]] / Table14[[#This Row],[I_0]])</f>
        <v>1</v>
      </c>
      <c r="W1159" s="1">
        <f>IF(Table14[[#This Row],[I_0]] &lt; INDEX(Table28[Filtro de ruido],1), 1, Table14[[#This Row],[I_30]] / Table14[[#This Row],[I_0]])</f>
        <v>1</v>
      </c>
      <c r="X1159" s="1">
        <f>IF(Table14[[#This Row],[I_0]] &lt; INDEX(Table28[Filtro de ruido],1), 1, Table14[[#This Row],[I_40]] / Table14[[#This Row],[I_0]])</f>
        <v>1</v>
      </c>
      <c r="Y1159" s="19">
        <f>IF(Table14[[#This Row],[I_0]] &lt; INDEX(Table28[Filtro de ruido],1), 1, Table14[[#This Row],[I_50]] / Table14[[#This Row],[I_0]])</f>
        <v>1</v>
      </c>
      <c r="AA1159" s="1"/>
    </row>
    <row r="1160" spans="1:27" x14ac:dyDescent="0.3">
      <c r="A1160" s="18">
        <v>1218.74</v>
      </c>
      <c r="B1160" s="1">
        <v>0</v>
      </c>
      <c r="C1160" s="1">
        <v>1218.74</v>
      </c>
      <c r="D1160" s="1">
        <v>0</v>
      </c>
      <c r="E1160" s="1">
        <v>1218.74</v>
      </c>
      <c r="F1160" s="1">
        <v>0</v>
      </c>
      <c r="G1160" s="1">
        <v>1218.74</v>
      </c>
      <c r="H1160" s="1">
        <v>0</v>
      </c>
      <c r="I1160" s="1">
        <v>1218.74</v>
      </c>
      <c r="J1160" s="1">
        <v>0</v>
      </c>
      <c r="K1160" s="1">
        <v>1218.74</v>
      </c>
      <c r="L1160" s="1">
        <v>0</v>
      </c>
      <c r="M1160" s="1">
        <v>1218.74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1218.74</v>
      </c>
      <c r="U1160" s="1">
        <f>IF(Table14[[#This Row],[I_0]] &lt; INDEX(Table28[Filtro de ruido],1), 1, Table14[[#This Row],[I_10]] / Table14[[#This Row],[I_0]])</f>
        <v>1</v>
      </c>
      <c r="V1160" s="1">
        <f>IF(Table14[[#This Row],[I_0]] &lt; INDEX(Table28[Filtro de ruido],1), 1, Table14[[#This Row],[I_20]] / Table14[[#This Row],[I_0]])</f>
        <v>1</v>
      </c>
      <c r="W1160" s="1">
        <f>IF(Table14[[#This Row],[I_0]] &lt; INDEX(Table28[Filtro de ruido],1), 1, Table14[[#This Row],[I_30]] / Table14[[#This Row],[I_0]])</f>
        <v>1</v>
      </c>
      <c r="X1160" s="1">
        <f>IF(Table14[[#This Row],[I_0]] &lt; INDEX(Table28[Filtro de ruido],1), 1, Table14[[#This Row],[I_40]] / Table14[[#This Row],[I_0]])</f>
        <v>1</v>
      </c>
      <c r="Y1160" s="19">
        <f>IF(Table14[[#This Row],[I_0]] &lt; INDEX(Table28[Filtro de ruido],1), 1, Table14[[#This Row],[I_50]] / Table14[[#This Row],[I_0]])</f>
        <v>1</v>
      </c>
      <c r="AA1160" s="1"/>
    </row>
    <row r="1161" spans="1:27" x14ac:dyDescent="0.3">
      <c r="A1161" s="18">
        <v>1219.74</v>
      </c>
      <c r="B1161" s="1">
        <v>0</v>
      </c>
      <c r="C1161" s="1">
        <v>1219.74</v>
      </c>
      <c r="D1161" s="1">
        <v>0</v>
      </c>
      <c r="E1161" s="1">
        <v>1219.74</v>
      </c>
      <c r="F1161" s="1">
        <v>0</v>
      </c>
      <c r="G1161" s="1">
        <v>1219.74</v>
      </c>
      <c r="H1161" s="1">
        <v>0</v>
      </c>
      <c r="I1161" s="1">
        <v>1219.74</v>
      </c>
      <c r="J1161" s="1">
        <v>0</v>
      </c>
      <c r="K1161" s="1">
        <v>1219.74</v>
      </c>
      <c r="L1161" s="1">
        <v>0</v>
      </c>
      <c r="M1161" s="1">
        <v>1219.74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1219.74</v>
      </c>
      <c r="U1161" s="1">
        <f>IF(Table14[[#This Row],[I_0]] &lt; INDEX(Table28[Filtro de ruido],1), 1, Table14[[#This Row],[I_10]] / Table14[[#This Row],[I_0]])</f>
        <v>1</v>
      </c>
      <c r="V1161" s="1">
        <f>IF(Table14[[#This Row],[I_0]] &lt; INDEX(Table28[Filtro de ruido],1), 1, Table14[[#This Row],[I_20]] / Table14[[#This Row],[I_0]])</f>
        <v>1</v>
      </c>
      <c r="W1161" s="1">
        <f>IF(Table14[[#This Row],[I_0]] &lt; INDEX(Table28[Filtro de ruido],1), 1, Table14[[#This Row],[I_30]] / Table14[[#This Row],[I_0]])</f>
        <v>1</v>
      </c>
      <c r="X1161" s="1">
        <f>IF(Table14[[#This Row],[I_0]] &lt; INDEX(Table28[Filtro de ruido],1), 1, Table14[[#This Row],[I_40]] / Table14[[#This Row],[I_0]])</f>
        <v>1</v>
      </c>
      <c r="Y1161" s="19">
        <f>IF(Table14[[#This Row],[I_0]] &lt; INDEX(Table28[Filtro de ruido],1), 1, Table14[[#This Row],[I_50]] / Table14[[#This Row],[I_0]])</f>
        <v>1</v>
      </c>
      <c r="AA1161" s="1"/>
    </row>
    <row r="1162" spans="1:27" x14ac:dyDescent="0.3">
      <c r="A1162" s="18">
        <v>1220.73</v>
      </c>
      <c r="B1162" s="1">
        <v>0</v>
      </c>
      <c r="C1162" s="1">
        <v>1220.73</v>
      </c>
      <c r="D1162" s="1">
        <v>0</v>
      </c>
      <c r="E1162" s="1">
        <v>1220.73</v>
      </c>
      <c r="F1162" s="1">
        <v>0</v>
      </c>
      <c r="G1162" s="1">
        <v>1220.73</v>
      </c>
      <c r="H1162" s="1">
        <v>0</v>
      </c>
      <c r="I1162" s="1">
        <v>1220.73</v>
      </c>
      <c r="J1162" s="1">
        <v>0</v>
      </c>
      <c r="K1162" s="1">
        <v>1220.73</v>
      </c>
      <c r="L1162" s="1">
        <v>0</v>
      </c>
      <c r="M1162" s="1">
        <v>1220.73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1220.73</v>
      </c>
      <c r="U1162" s="1">
        <f>IF(Table14[[#This Row],[I_0]] &lt; INDEX(Table28[Filtro de ruido],1), 1, Table14[[#This Row],[I_10]] / Table14[[#This Row],[I_0]])</f>
        <v>1</v>
      </c>
      <c r="V1162" s="1">
        <f>IF(Table14[[#This Row],[I_0]] &lt; INDEX(Table28[Filtro de ruido],1), 1, Table14[[#This Row],[I_20]] / Table14[[#This Row],[I_0]])</f>
        <v>1</v>
      </c>
      <c r="W1162" s="1">
        <f>IF(Table14[[#This Row],[I_0]] &lt; INDEX(Table28[Filtro de ruido],1), 1, Table14[[#This Row],[I_30]] / Table14[[#This Row],[I_0]])</f>
        <v>1</v>
      </c>
      <c r="X1162" s="1">
        <f>IF(Table14[[#This Row],[I_0]] &lt; INDEX(Table28[Filtro de ruido],1), 1, Table14[[#This Row],[I_40]] / Table14[[#This Row],[I_0]])</f>
        <v>1</v>
      </c>
      <c r="Y1162" s="19">
        <f>IF(Table14[[#This Row],[I_0]] &lt; INDEX(Table28[Filtro de ruido],1), 1, Table14[[#This Row],[I_50]] / Table14[[#This Row],[I_0]])</f>
        <v>1</v>
      </c>
      <c r="AA1162" s="1"/>
    </row>
    <row r="1163" spans="1:27" x14ac:dyDescent="0.3">
      <c r="A1163" s="18">
        <v>1221.72</v>
      </c>
      <c r="B1163" s="1">
        <v>0</v>
      </c>
      <c r="C1163" s="1">
        <v>1221.72</v>
      </c>
      <c r="D1163" s="1">
        <v>0</v>
      </c>
      <c r="E1163" s="1">
        <v>1221.72</v>
      </c>
      <c r="F1163" s="1">
        <v>0</v>
      </c>
      <c r="G1163" s="1">
        <v>1221.72</v>
      </c>
      <c r="H1163" s="1">
        <v>0</v>
      </c>
      <c r="I1163" s="1">
        <v>1221.72</v>
      </c>
      <c r="J1163" s="1">
        <v>0</v>
      </c>
      <c r="K1163" s="1">
        <v>1221.72</v>
      </c>
      <c r="L1163" s="1">
        <v>0</v>
      </c>
      <c r="M1163" s="1">
        <v>1221.72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1221.72</v>
      </c>
      <c r="U1163" s="1">
        <f>IF(Table14[[#This Row],[I_0]] &lt; INDEX(Table28[Filtro de ruido],1), 1, Table14[[#This Row],[I_10]] / Table14[[#This Row],[I_0]])</f>
        <v>1</v>
      </c>
      <c r="V1163" s="1">
        <f>IF(Table14[[#This Row],[I_0]] &lt; INDEX(Table28[Filtro de ruido],1), 1, Table14[[#This Row],[I_20]] / Table14[[#This Row],[I_0]])</f>
        <v>1</v>
      </c>
      <c r="W1163" s="1">
        <f>IF(Table14[[#This Row],[I_0]] &lt; INDEX(Table28[Filtro de ruido],1), 1, Table14[[#This Row],[I_30]] / Table14[[#This Row],[I_0]])</f>
        <v>1</v>
      </c>
      <c r="X1163" s="1">
        <f>IF(Table14[[#This Row],[I_0]] &lt; INDEX(Table28[Filtro de ruido],1), 1, Table14[[#This Row],[I_40]] / Table14[[#This Row],[I_0]])</f>
        <v>1</v>
      </c>
      <c r="Y1163" s="19">
        <f>IF(Table14[[#This Row],[I_0]] &lt; INDEX(Table28[Filtro de ruido],1), 1, Table14[[#This Row],[I_50]] / Table14[[#This Row],[I_0]])</f>
        <v>1</v>
      </c>
      <c r="AA1163" s="1"/>
    </row>
    <row r="1164" spans="1:27" x14ac:dyDescent="0.3">
      <c r="A1164" s="18">
        <v>1222.71</v>
      </c>
      <c r="B1164" s="1">
        <v>0</v>
      </c>
      <c r="C1164" s="1">
        <v>1222.71</v>
      </c>
      <c r="D1164" s="1">
        <v>0</v>
      </c>
      <c r="E1164" s="1">
        <v>1222.71</v>
      </c>
      <c r="F1164" s="1">
        <v>0</v>
      </c>
      <c r="G1164" s="1">
        <v>1222.71</v>
      </c>
      <c r="H1164" s="1">
        <v>0</v>
      </c>
      <c r="I1164" s="1">
        <v>1222.71</v>
      </c>
      <c r="J1164" s="1">
        <v>0.1</v>
      </c>
      <c r="K1164" s="1">
        <v>1222.71</v>
      </c>
      <c r="L1164" s="1">
        <v>0.1</v>
      </c>
      <c r="M1164" s="1">
        <v>1222.71</v>
      </c>
      <c r="N1164" s="1">
        <v>0</v>
      </c>
      <c r="O1164" s="1">
        <v>0</v>
      </c>
      <c r="P1164" s="1">
        <v>0</v>
      </c>
      <c r="Q1164" s="1">
        <v>0</v>
      </c>
      <c r="R1164" s="1">
        <v>0.1</v>
      </c>
      <c r="S1164" s="1">
        <v>0.1</v>
      </c>
      <c r="T1164" s="1">
        <v>1222.71</v>
      </c>
      <c r="U1164" s="1">
        <f>IF(Table14[[#This Row],[I_0]] &lt; INDEX(Table28[Filtro de ruido],1), 1, Table14[[#This Row],[I_10]] / Table14[[#This Row],[I_0]])</f>
        <v>1</v>
      </c>
      <c r="V1164" s="1">
        <f>IF(Table14[[#This Row],[I_0]] &lt; INDEX(Table28[Filtro de ruido],1), 1, Table14[[#This Row],[I_20]] / Table14[[#This Row],[I_0]])</f>
        <v>1</v>
      </c>
      <c r="W1164" s="1">
        <f>IF(Table14[[#This Row],[I_0]] &lt; INDEX(Table28[Filtro de ruido],1), 1, Table14[[#This Row],[I_30]] / Table14[[#This Row],[I_0]])</f>
        <v>1</v>
      </c>
      <c r="X1164" s="1">
        <f>IF(Table14[[#This Row],[I_0]] &lt; INDEX(Table28[Filtro de ruido],1), 1, Table14[[#This Row],[I_40]] / Table14[[#This Row],[I_0]])</f>
        <v>1</v>
      </c>
      <c r="Y1164" s="19">
        <f>IF(Table14[[#This Row],[I_0]] &lt; INDEX(Table28[Filtro de ruido],1), 1, Table14[[#This Row],[I_50]] / Table14[[#This Row],[I_0]])</f>
        <v>1</v>
      </c>
      <c r="AA1164" s="1"/>
    </row>
    <row r="1165" spans="1:27" x14ac:dyDescent="0.3">
      <c r="A1165" s="18">
        <v>1223.7</v>
      </c>
      <c r="B1165" s="1">
        <v>0</v>
      </c>
      <c r="C1165" s="1">
        <v>1223.7</v>
      </c>
      <c r="D1165" s="1">
        <v>0</v>
      </c>
      <c r="E1165" s="1">
        <v>1223.7</v>
      </c>
      <c r="F1165" s="1">
        <v>0.1</v>
      </c>
      <c r="G1165" s="1">
        <v>1223.7</v>
      </c>
      <c r="H1165" s="1">
        <v>0.1</v>
      </c>
      <c r="I1165" s="1">
        <v>1223.7</v>
      </c>
      <c r="J1165" s="1">
        <v>0.1</v>
      </c>
      <c r="K1165" s="1">
        <v>1223.7</v>
      </c>
      <c r="L1165" s="1">
        <v>0.1</v>
      </c>
      <c r="M1165" s="1">
        <v>1223.7</v>
      </c>
      <c r="N1165" s="1">
        <v>0</v>
      </c>
      <c r="O1165" s="1">
        <v>0</v>
      </c>
      <c r="P1165" s="1">
        <v>0.1</v>
      </c>
      <c r="Q1165" s="1">
        <v>0.1</v>
      </c>
      <c r="R1165" s="1">
        <v>0.1</v>
      </c>
      <c r="S1165" s="1">
        <v>0.1</v>
      </c>
      <c r="T1165" s="1">
        <v>1223.7</v>
      </c>
      <c r="U1165" s="1">
        <f>IF(Table14[[#This Row],[I_0]] &lt; INDEX(Table28[Filtro de ruido],1), 1, Table14[[#This Row],[I_10]] / Table14[[#This Row],[I_0]])</f>
        <v>1</v>
      </c>
      <c r="V1165" s="1">
        <f>IF(Table14[[#This Row],[I_0]] &lt; INDEX(Table28[Filtro de ruido],1), 1, Table14[[#This Row],[I_20]] / Table14[[#This Row],[I_0]])</f>
        <v>1</v>
      </c>
      <c r="W1165" s="1">
        <f>IF(Table14[[#This Row],[I_0]] &lt; INDEX(Table28[Filtro de ruido],1), 1, Table14[[#This Row],[I_30]] / Table14[[#This Row],[I_0]])</f>
        <v>1</v>
      </c>
      <c r="X1165" s="1">
        <f>IF(Table14[[#This Row],[I_0]] &lt; INDEX(Table28[Filtro de ruido],1), 1, Table14[[#This Row],[I_40]] / Table14[[#This Row],[I_0]])</f>
        <v>1</v>
      </c>
      <c r="Y1165" s="19">
        <f>IF(Table14[[#This Row],[I_0]] &lt; INDEX(Table28[Filtro de ruido],1), 1, Table14[[#This Row],[I_50]] / Table14[[#This Row],[I_0]])</f>
        <v>1</v>
      </c>
      <c r="AA1165" s="1"/>
    </row>
    <row r="1166" spans="1:27" x14ac:dyDescent="0.3">
      <c r="A1166" s="18">
        <v>1224.69</v>
      </c>
      <c r="B1166" s="1">
        <v>0</v>
      </c>
      <c r="C1166" s="1">
        <v>1224.69</v>
      </c>
      <c r="D1166" s="1">
        <v>0.1</v>
      </c>
      <c r="E1166" s="1">
        <v>1224.69</v>
      </c>
      <c r="F1166" s="1">
        <v>0.1</v>
      </c>
      <c r="G1166" s="1">
        <v>1224.69</v>
      </c>
      <c r="H1166" s="1">
        <v>0.1</v>
      </c>
      <c r="I1166" s="1">
        <v>1224.69</v>
      </c>
      <c r="J1166" s="1">
        <v>0.1</v>
      </c>
      <c r="K1166" s="1">
        <v>1224.69</v>
      </c>
      <c r="L1166" s="1">
        <v>0.1</v>
      </c>
      <c r="M1166" s="1">
        <v>1224.69</v>
      </c>
      <c r="N1166" s="1">
        <v>0</v>
      </c>
      <c r="O1166" s="1">
        <v>0.1</v>
      </c>
      <c r="P1166" s="1">
        <v>0.1</v>
      </c>
      <c r="Q1166" s="1">
        <v>0.1</v>
      </c>
      <c r="R1166" s="1">
        <v>0.1</v>
      </c>
      <c r="S1166" s="1">
        <v>0.1</v>
      </c>
      <c r="T1166" s="1">
        <v>1224.69</v>
      </c>
      <c r="U1166" s="1">
        <f>IF(Table14[[#This Row],[I_0]] &lt; INDEX(Table28[Filtro de ruido],1), 1, Table14[[#This Row],[I_10]] / Table14[[#This Row],[I_0]])</f>
        <v>1</v>
      </c>
      <c r="V1166" s="1">
        <f>IF(Table14[[#This Row],[I_0]] &lt; INDEX(Table28[Filtro de ruido],1), 1, Table14[[#This Row],[I_20]] / Table14[[#This Row],[I_0]])</f>
        <v>1</v>
      </c>
      <c r="W1166" s="1">
        <f>IF(Table14[[#This Row],[I_0]] &lt; INDEX(Table28[Filtro de ruido],1), 1, Table14[[#This Row],[I_30]] / Table14[[#This Row],[I_0]])</f>
        <v>1</v>
      </c>
      <c r="X1166" s="1">
        <f>IF(Table14[[#This Row],[I_0]] &lt; INDEX(Table28[Filtro de ruido],1), 1, Table14[[#This Row],[I_40]] / Table14[[#This Row],[I_0]])</f>
        <v>1</v>
      </c>
      <c r="Y1166" s="19">
        <f>IF(Table14[[#This Row],[I_0]] &lt; INDEX(Table28[Filtro de ruido],1), 1, Table14[[#This Row],[I_50]] / Table14[[#This Row],[I_0]])</f>
        <v>1</v>
      </c>
      <c r="AA1166" s="1"/>
    </row>
    <row r="1167" spans="1:27" x14ac:dyDescent="0.3">
      <c r="A1167" s="18">
        <v>1225.69</v>
      </c>
      <c r="B1167" s="1">
        <v>0</v>
      </c>
      <c r="C1167" s="1">
        <v>1225.69</v>
      </c>
      <c r="D1167" s="1">
        <v>0.1</v>
      </c>
      <c r="E1167" s="1">
        <v>1225.69</v>
      </c>
      <c r="F1167" s="1">
        <v>0.1</v>
      </c>
      <c r="G1167" s="1">
        <v>1225.69</v>
      </c>
      <c r="H1167" s="1">
        <v>0.1</v>
      </c>
      <c r="I1167" s="1">
        <v>1225.69</v>
      </c>
      <c r="J1167" s="1">
        <v>0.1</v>
      </c>
      <c r="K1167" s="1">
        <v>1225.69</v>
      </c>
      <c r="L1167" s="1">
        <v>0.1</v>
      </c>
      <c r="M1167" s="1">
        <v>1225.69</v>
      </c>
      <c r="N1167" s="1">
        <v>0</v>
      </c>
      <c r="O1167" s="1">
        <v>0.1</v>
      </c>
      <c r="P1167" s="1">
        <v>0.1</v>
      </c>
      <c r="Q1167" s="1">
        <v>0.1</v>
      </c>
      <c r="R1167" s="1">
        <v>0.1</v>
      </c>
      <c r="S1167" s="1">
        <v>0.1</v>
      </c>
      <c r="T1167" s="1">
        <v>1225.69</v>
      </c>
      <c r="U1167" s="1">
        <f>IF(Table14[[#This Row],[I_0]] &lt; INDEX(Table28[Filtro de ruido],1), 1, Table14[[#This Row],[I_10]] / Table14[[#This Row],[I_0]])</f>
        <v>1</v>
      </c>
      <c r="V1167" s="1">
        <f>IF(Table14[[#This Row],[I_0]] &lt; INDEX(Table28[Filtro de ruido],1), 1, Table14[[#This Row],[I_20]] / Table14[[#This Row],[I_0]])</f>
        <v>1</v>
      </c>
      <c r="W1167" s="1">
        <f>IF(Table14[[#This Row],[I_0]] &lt; INDEX(Table28[Filtro de ruido],1), 1, Table14[[#This Row],[I_30]] / Table14[[#This Row],[I_0]])</f>
        <v>1</v>
      </c>
      <c r="X1167" s="1">
        <f>IF(Table14[[#This Row],[I_0]] &lt; INDEX(Table28[Filtro de ruido],1), 1, Table14[[#This Row],[I_40]] / Table14[[#This Row],[I_0]])</f>
        <v>1</v>
      </c>
      <c r="Y1167" s="19">
        <f>IF(Table14[[#This Row],[I_0]] &lt; INDEX(Table28[Filtro de ruido],1), 1, Table14[[#This Row],[I_50]] / Table14[[#This Row],[I_0]])</f>
        <v>1</v>
      </c>
      <c r="AA1167" s="1"/>
    </row>
    <row r="1168" spans="1:27" x14ac:dyDescent="0.3">
      <c r="A1168" s="18">
        <v>1226.68</v>
      </c>
      <c r="B1168" s="1">
        <v>0.1</v>
      </c>
      <c r="C1168" s="1">
        <v>1226.68</v>
      </c>
      <c r="D1168" s="1">
        <v>0.1</v>
      </c>
      <c r="E1168" s="1">
        <v>1226.68</v>
      </c>
      <c r="F1168" s="1">
        <v>0.1</v>
      </c>
      <c r="G1168" s="1">
        <v>1226.68</v>
      </c>
      <c r="H1168" s="1">
        <v>0.1</v>
      </c>
      <c r="I1168" s="1">
        <v>1226.68</v>
      </c>
      <c r="J1168" s="1">
        <v>0.1</v>
      </c>
      <c r="K1168" s="1">
        <v>1226.68</v>
      </c>
      <c r="L1168" s="1">
        <v>0.1</v>
      </c>
      <c r="M1168" s="1">
        <v>1226.68</v>
      </c>
      <c r="N1168" s="1">
        <v>0.1</v>
      </c>
      <c r="O1168" s="1">
        <v>0.1</v>
      </c>
      <c r="P1168" s="1">
        <v>0.1</v>
      </c>
      <c r="Q1168" s="1">
        <v>0.1</v>
      </c>
      <c r="R1168" s="1">
        <v>0.1</v>
      </c>
      <c r="S1168" s="1">
        <v>0.1</v>
      </c>
      <c r="T1168" s="1">
        <v>1226.68</v>
      </c>
      <c r="U1168" s="1">
        <f>IF(Table14[[#This Row],[I_0]] &lt; INDEX(Table28[Filtro de ruido],1), 1, Table14[[#This Row],[I_10]] / Table14[[#This Row],[I_0]])</f>
        <v>1</v>
      </c>
      <c r="V1168" s="1">
        <f>IF(Table14[[#This Row],[I_0]] &lt; INDEX(Table28[Filtro de ruido],1), 1, Table14[[#This Row],[I_20]] / Table14[[#This Row],[I_0]])</f>
        <v>1</v>
      </c>
      <c r="W1168" s="1">
        <f>IF(Table14[[#This Row],[I_0]] &lt; INDEX(Table28[Filtro de ruido],1), 1, Table14[[#This Row],[I_30]] / Table14[[#This Row],[I_0]])</f>
        <v>1</v>
      </c>
      <c r="X1168" s="1">
        <f>IF(Table14[[#This Row],[I_0]] &lt; INDEX(Table28[Filtro de ruido],1), 1, Table14[[#This Row],[I_40]] / Table14[[#This Row],[I_0]])</f>
        <v>1</v>
      </c>
      <c r="Y1168" s="19">
        <f>IF(Table14[[#This Row],[I_0]] &lt; INDEX(Table28[Filtro de ruido],1), 1, Table14[[#This Row],[I_50]] / Table14[[#This Row],[I_0]])</f>
        <v>1</v>
      </c>
      <c r="AA1168" s="1"/>
    </row>
    <row r="1169" spans="1:27" x14ac:dyDescent="0.3">
      <c r="A1169" s="18">
        <v>1227.67</v>
      </c>
      <c r="B1169" s="1">
        <v>0.1</v>
      </c>
      <c r="C1169" s="1">
        <v>1227.67</v>
      </c>
      <c r="D1169" s="1">
        <v>0.1</v>
      </c>
      <c r="E1169" s="1">
        <v>1227.67</v>
      </c>
      <c r="F1169" s="1">
        <v>0.1</v>
      </c>
      <c r="G1169" s="1">
        <v>1227.67</v>
      </c>
      <c r="H1169" s="1">
        <v>0.1</v>
      </c>
      <c r="I1169" s="1">
        <v>1227.67</v>
      </c>
      <c r="J1169" s="1">
        <v>0.1</v>
      </c>
      <c r="K1169" s="1">
        <v>1227.67</v>
      </c>
      <c r="L1169" s="1">
        <v>0.1</v>
      </c>
      <c r="M1169" s="1">
        <v>1227.67</v>
      </c>
      <c r="N1169" s="1">
        <v>0.1</v>
      </c>
      <c r="O1169" s="1">
        <v>0.1</v>
      </c>
      <c r="P1169" s="1">
        <v>0.1</v>
      </c>
      <c r="Q1169" s="1">
        <v>0.1</v>
      </c>
      <c r="R1169" s="1">
        <v>0.1</v>
      </c>
      <c r="S1169" s="1">
        <v>0.1</v>
      </c>
      <c r="T1169" s="1">
        <v>1227.67</v>
      </c>
      <c r="U1169" s="1">
        <f>IF(Table14[[#This Row],[I_0]] &lt; INDEX(Table28[Filtro de ruido],1), 1, Table14[[#This Row],[I_10]] / Table14[[#This Row],[I_0]])</f>
        <v>1</v>
      </c>
      <c r="V1169" s="1">
        <f>IF(Table14[[#This Row],[I_0]] &lt; INDEX(Table28[Filtro de ruido],1), 1, Table14[[#This Row],[I_20]] / Table14[[#This Row],[I_0]])</f>
        <v>1</v>
      </c>
      <c r="W1169" s="1">
        <f>IF(Table14[[#This Row],[I_0]] &lt; INDEX(Table28[Filtro de ruido],1), 1, Table14[[#This Row],[I_30]] / Table14[[#This Row],[I_0]])</f>
        <v>1</v>
      </c>
      <c r="X1169" s="1">
        <f>IF(Table14[[#This Row],[I_0]] &lt; INDEX(Table28[Filtro de ruido],1), 1, Table14[[#This Row],[I_40]] / Table14[[#This Row],[I_0]])</f>
        <v>1</v>
      </c>
      <c r="Y1169" s="19">
        <f>IF(Table14[[#This Row],[I_0]] &lt; INDEX(Table28[Filtro de ruido],1), 1, Table14[[#This Row],[I_50]] / Table14[[#This Row],[I_0]])</f>
        <v>1</v>
      </c>
      <c r="AA1169" s="1"/>
    </row>
    <row r="1170" spans="1:27" x14ac:dyDescent="0.3">
      <c r="A1170" s="18">
        <v>1228.6600000000001</v>
      </c>
      <c r="B1170" s="1">
        <v>0.1</v>
      </c>
      <c r="C1170" s="1">
        <v>1228.6600000000001</v>
      </c>
      <c r="D1170" s="1">
        <v>0.1</v>
      </c>
      <c r="E1170" s="1">
        <v>1228.6600000000001</v>
      </c>
      <c r="F1170" s="1">
        <v>0.1</v>
      </c>
      <c r="G1170" s="1">
        <v>1228.6600000000001</v>
      </c>
      <c r="H1170" s="1">
        <v>0.1</v>
      </c>
      <c r="I1170" s="1">
        <v>1228.6600000000001</v>
      </c>
      <c r="J1170" s="1">
        <v>0.1</v>
      </c>
      <c r="K1170" s="1">
        <v>1228.6600000000001</v>
      </c>
      <c r="L1170" s="1">
        <v>0.1</v>
      </c>
      <c r="M1170" s="1">
        <v>1228.6600000000001</v>
      </c>
      <c r="N1170" s="1">
        <v>0.1</v>
      </c>
      <c r="O1170" s="1">
        <v>0.1</v>
      </c>
      <c r="P1170" s="1">
        <v>0.1</v>
      </c>
      <c r="Q1170" s="1">
        <v>0.1</v>
      </c>
      <c r="R1170" s="1">
        <v>0.1</v>
      </c>
      <c r="S1170" s="1">
        <v>0.1</v>
      </c>
      <c r="T1170" s="1">
        <v>1228.6600000000001</v>
      </c>
      <c r="U1170" s="1">
        <f>IF(Table14[[#This Row],[I_0]] &lt; INDEX(Table28[Filtro de ruido],1), 1, Table14[[#This Row],[I_10]] / Table14[[#This Row],[I_0]])</f>
        <v>1</v>
      </c>
      <c r="V1170" s="1">
        <f>IF(Table14[[#This Row],[I_0]] &lt; INDEX(Table28[Filtro de ruido],1), 1, Table14[[#This Row],[I_20]] / Table14[[#This Row],[I_0]])</f>
        <v>1</v>
      </c>
      <c r="W1170" s="1">
        <f>IF(Table14[[#This Row],[I_0]] &lt; INDEX(Table28[Filtro de ruido],1), 1, Table14[[#This Row],[I_30]] / Table14[[#This Row],[I_0]])</f>
        <v>1</v>
      </c>
      <c r="X1170" s="1">
        <f>IF(Table14[[#This Row],[I_0]] &lt; INDEX(Table28[Filtro de ruido],1), 1, Table14[[#This Row],[I_40]] / Table14[[#This Row],[I_0]])</f>
        <v>1</v>
      </c>
      <c r="Y1170" s="19">
        <f>IF(Table14[[#This Row],[I_0]] &lt; INDEX(Table28[Filtro de ruido],1), 1, Table14[[#This Row],[I_50]] / Table14[[#This Row],[I_0]])</f>
        <v>1</v>
      </c>
      <c r="AA1170" s="1"/>
    </row>
    <row r="1171" spans="1:27" x14ac:dyDescent="0.3">
      <c r="A1171" s="18">
        <v>1229.6500000000001</v>
      </c>
      <c r="B1171" s="1">
        <v>0.1</v>
      </c>
      <c r="C1171" s="1">
        <v>1229.6500000000001</v>
      </c>
      <c r="D1171" s="1">
        <v>0.1</v>
      </c>
      <c r="E1171" s="1">
        <v>1229.6500000000001</v>
      </c>
      <c r="F1171" s="1">
        <v>0.1</v>
      </c>
      <c r="G1171" s="1">
        <v>1229.6500000000001</v>
      </c>
      <c r="H1171" s="1">
        <v>0.1</v>
      </c>
      <c r="I1171" s="1">
        <v>1229.6500000000001</v>
      </c>
      <c r="J1171" s="1">
        <v>0.1</v>
      </c>
      <c r="K1171" s="1">
        <v>1229.6500000000001</v>
      </c>
      <c r="L1171" s="1">
        <v>0.1</v>
      </c>
      <c r="M1171" s="1">
        <v>1229.6500000000001</v>
      </c>
      <c r="N1171" s="1">
        <v>0.1</v>
      </c>
      <c r="O1171" s="1">
        <v>0.1</v>
      </c>
      <c r="P1171" s="1">
        <v>0.1</v>
      </c>
      <c r="Q1171" s="1">
        <v>0.1</v>
      </c>
      <c r="R1171" s="1">
        <v>0.1</v>
      </c>
      <c r="S1171" s="1">
        <v>0.1</v>
      </c>
      <c r="T1171" s="1">
        <v>1229.6500000000001</v>
      </c>
      <c r="U1171" s="1">
        <f>IF(Table14[[#This Row],[I_0]] &lt; INDEX(Table28[Filtro de ruido],1), 1, Table14[[#This Row],[I_10]] / Table14[[#This Row],[I_0]])</f>
        <v>1</v>
      </c>
      <c r="V1171" s="1">
        <f>IF(Table14[[#This Row],[I_0]] &lt; INDEX(Table28[Filtro de ruido],1), 1, Table14[[#This Row],[I_20]] / Table14[[#This Row],[I_0]])</f>
        <v>1</v>
      </c>
      <c r="W1171" s="1">
        <f>IF(Table14[[#This Row],[I_0]] &lt; INDEX(Table28[Filtro de ruido],1), 1, Table14[[#This Row],[I_30]] / Table14[[#This Row],[I_0]])</f>
        <v>1</v>
      </c>
      <c r="X1171" s="1">
        <f>IF(Table14[[#This Row],[I_0]] &lt; INDEX(Table28[Filtro de ruido],1), 1, Table14[[#This Row],[I_40]] / Table14[[#This Row],[I_0]])</f>
        <v>1</v>
      </c>
      <c r="Y1171" s="19">
        <f>IF(Table14[[#This Row],[I_0]] &lt; INDEX(Table28[Filtro de ruido],1), 1, Table14[[#This Row],[I_50]] / Table14[[#This Row],[I_0]])</f>
        <v>1</v>
      </c>
      <c r="AA1171" s="1"/>
    </row>
    <row r="1172" spans="1:27" x14ac:dyDescent="0.3">
      <c r="A1172" s="18">
        <v>1230.6400000000001</v>
      </c>
      <c r="B1172" s="1">
        <v>0.1</v>
      </c>
      <c r="C1172" s="1">
        <v>1230.6400000000001</v>
      </c>
      <c r="D1172" s="1">
        <v>0.1</v>
      </c>
      <c r="E1172" s="1">
        <v>1230.6400000000001</v>
      </c>
      <c r="F1172" s="1">
        <v>0.1</v>
      </c>
      <c r="G1172" s="1">
        <v>1230.6400000000001</v>
      </c>
      <c r="H1172" s="1">
        <v>0.1</v>
      </c>
      <c r="I1172" s="1">
        <v>1230.6400000000001</v>
      </c>
      <c r="J1172" s="1">
        <v>0.1</v>
      </c>
      <c r="K1172" s="1">
        <v>1230.6400000000001</v>
      </c>
      <c r="L1172" s="1">
        <v>0.1</v>
      </c>
      <c r="M1172" s="1">
        <v>1230.6400000000001</v>
      </c>
      <c r="N1172" s="1">
        <v>0.1</v>
      </c>
      <c r="O1172" s="1">
        <v>0.1</v>
      </c>
      <c r="P1172" s="1">
        <v>0.1</v>
      </c>
      <c r="Q1172" s="1">
        <v>0.1</v>
      </c>
      <c r="R1172" s="1">
        <v>0.1</v>
      </c>
      <c r="S1172" s="1">
        <v>0.1</v>
      </c>
      <c r="T1172" s="1">
        <v>1230.6400000000001</v>
      </c>
      <c r="U1172" s="1">
        <f>IF(Table14[[#This Row],[I_0]] &lt; INDEX(Table28[Filtro de ruido],1), 1, Table14[[#This Row],[I_10]] / Table14[[#This Row],[I_0]])</f>
        <v>1</v>
      </c>
      <c r="V1172" s="1">
        <f>IF(Table14[[#This Row],[I_0]] &lt; INDEX(Table28[Filtro de ruido],1), 1, Table14[[#This Row],[I_20]] / Table14[[#This Row],[I_0]])</f>
        <v>1</v>
      </c>
      <c r="W1172" s="1">
        <f>IF(Table14[[#This Row],[I_0]] &lt; INDEX(Table28[Filtro de ruido],1), 1, Table14[[#This Row],[I_30]] / Table14[[#This Row],[I_0]])</f>
        <v>1</v>
      </c>
      <c r="X1172" s="1">
        <f>IF(Table14[[#This Row],[I_0]] &lt; INDEX(Table28[Filtro de ruido],1), 1, Table14[[#This Row],[I_40]] / Table14[[#This Row],[I_0]])</f>
        <v>1</v>
      </c>
      <c r="Y1172" s="19">
        <f>IF(Table14[[#This Row],[I_0]] &lt; INDEX(Table28[Filtro de ruido],1), 1, Table14[[#This Row],[I_50]] / Table14[[#This Row],[I_0]])</f>
        <v>1</v>
      </c>
      <c r="AA1172" s="1"/>
    </row>
    <row r="1173" spans="1:27" x14ac:dyDescent="0.3">
      <c r="A1173" s="18">
        <v>1231.6400000000001</v>
      </c>
      <c r="B1173" s="1">
        <v>0.1</v>
      </c>
      <c r="C1173" s="1">
        <v>1231.6400000000001</v>
      </c>
      <c r="D1173" s="1">
        <v>0.1</v>
      </c>
      <c r="E1173" s="1">
        <v>1231.6400000000001</v>
      </c>
      <c r="F1173" s="1">
        <v>0.1</v>
      </c>
      <c r="G1173" s="1">
        <v>1231.6400000000001</v>
      </c>
      <c r="H1173" s="1">
        <v>0.1</v>
      </c>
      <c r="I1173" s="1">
        <v>1231.6400000000001</v>
      </c>
      <c r="J1173" s="1">
        <v>0.1</v>
      </c>
      <c r="K1173" s="1">
        <v>1231.6400000000001</v>
      </c>
      <c r="L1173" s="1">
        <v>0.1</v>
      </c>
      <c r="M1173" s="1">
        <v>1231.6400000000001</v>
      </c>
      <c r="N1173" s="1">
        <v>0.1</v>
      </c>
      <c r="O1173" s="1">
        <v>0.1</v>
      </c>
      <c r="P1173" s="1">
        <v>0.1</v>
      </c>
      <c r="Q1173" s="1">
        <v>0.1</v>
      </c>
      <c r="R1173" s="1">
        <v>0.1</v>
      </c>
      <c r="S1173" s="1">
        <v>0.1</v>
      </c>
      <c r="T1173" s="1">
        <v>1231.6400000000001</v>
      </c>
      <c r="U1173" s="1">
        <f>IF(Table14[[#This Row],[I_0]] &lt; INDEX(Table28[Filtro de ruido],1), 1, Table14[[#This Row],[I_10]] / Table14[[#This Row],[I_0]])</f>
        <v>1</v>
      </c>
      <c r="V1173" s="1">
        <f>IF(Table14[[#This Row],[I_0]] &lt; INDEX(Table28[Filtro de ruido],1), 1, Table14[[#This Row],[I_20]] / Table14[[#This Row],[I_0]])</f>
        <v>1</v>
      </c>
      <c r="W1173" s="1">
        <f>IF(Table14[[#This Row],[I_0]] &lt; INDEX(Table28[Filtro de ruido],1), 1, Table14[[#This Row],[I_30]] / Table14[[#This Row],[I_0]])</f>
        <v>1</v>
      </c>
      <c r="X1173" s="1">
        <f>IF(Table14[[#This Row],[I_0]] &lt; INDEX(Table28[Filtro de ruido],1), 1, Table14[[#This Row],[I_40]] / Table14[[#This Row],[I_0]])</f>
        <v>1</v>
      </c>
      <c r="Y1173" s="19">
        <f>IF(Table14[[#This Row],[I_0]] &lt; INDEX(Table28[Filtro de ruido],1), 1, Table14[[#This Row],[I_50]] / Table14[[#This Row],[I_0]])</f>
        <v>1</v>
      </c>
      <c r="AA1173" s="1"/>
    </row>
    <row r="1174" spans="1:27" x14ac:dyDescent="0.3">
      <c r="A1174" s="18">
        <v>1232.6300000000001</v>
      </c>
      <c r="B1174" s="1">
        <v>0.1</v>
      </c>
      <c r="C1174" s="1">
        <v>1232.6300000000001</v>
      </c>
      <c r="D1174" s="1">
        <v>0.1</v>
      </c>
      <c r="E1174" s="1">
        <v>1232.6300000000001</v>
      </c>
      <c r="F1174" s="1">
        <v>0.2</v>
      </c>
      <c r="G1174" s="1">
        <v>1232.6300000000001</v>
      </c>
      <c r="H1174" s="1">
        <v>0.1</v>
      </c>
      <c r="I1174" s="1">
        <v>1232.6300000000001</v>
      </c>
      <c r="J1174" s="1">
        <v>0.2</v>
      </c>
      <c r="K1174" s="1">
        <v>1232.6300000000001</v>
      </c>
      <c r="L1174" s="1">
        <v>0.2</v>
      </c>
      <c r="M1174" s="1">
        <v>1232.6300000000001</v>
      </c>
      <c r="N1174" s="1">
        <v>0.1</v>
      </c>
      <c r="O1174" s="1">
        <v>0.1</v>
      </c>
      <c r="P1174" s="1">
        <v>0.2</v>
      </c>
      <c r="Q1174" s="1">
        <v>0.1</v>
      </c>
      <c r="R1174" s="1">
        <v>0.2</v>
      </c>
      <c r="S1174" s="1">
        <v>0.2</v>
      </c>
      <c r="T1174" s="1">
        <v>1232.6300000000001</v>
      </c>
      <c r="U1174" s="1">
        <f>IF(Table14[[#This Row],[I_0]] &lt; INDEX(Table28[Filtro de ruido],1), 1, Table14[[#This Row],[I_10]] / Table14[[#This Row],[I_0]])</f>
        <v>1</v>
      </c>
      <c r="V1174" s="1">
        <f>IF(Table14[[#This Row],[I_0]] &lt; INDEX(Table28[Filtro de ruido],1), 1, Table14[[#This Row],[I_20]] / Table14[[#This Row],[I_0]])</f>
        <v>2</v>
      </c>
      <c r="W1174" s="1">
        <f>IF(Table14[[#This Row],[I_0]] &lt; INDEX(Table28[Filtro de ruido],1), 1, Table14[[#This Row],[I_30]] / Table14[[#This Row],[I_0]])</f>
        <v>1</v>
      </c>
      <c r="X1174" s="1">
        <f>IF(Table14[[#This Row],[I_0]] &lt; INDEX(Table28[Filtro de ruido],1), 1, Table14[[#This Row],[I_40]] / Table14[[#This Row],[I_0]])</f>
        <v>2</v>
      </c>
      <c r="Y1174" s="19">
        <f>IF(Table14[[#This Row],[I_0]] &lt; INDEX(Table28[Filtro de ruido],1), 1, Table14[[#This Row],[I_50]] / Table14[[#This Row],[I_0]])</f>
        <v>2</v>
      </c>
      <c r="AA1174" s="1"/>
    </row>
    <row r="1175" spans="1:27" x14ac:dyDescent="0.3">
      <c r="A1175" s="18">
        <v>1233.6199999999999</v>
      </c>
      <c r="B1175" s="1">
        <v>0.1</v>
      </c>
      <c r="C1175" s="1">
        <v>1233.6199999999999</v>
      </c>
      <c r="D1175" s="1">
        <v>0.1</v>
      </c>
      <c r="E1175" s="1">
        <v>1233.6199999999999</v>
      </c>
      <c r="F1175" s="1">
        <v>0.2</v>
      </c>
      <c r="G1175" s="1">
        <v>1233.6199999999999</v>
      </c>
      <c r="H1175" s="1">
        <v>0.2</v>
      </c>
      <c r="I1175" s="1">
        <v>1233.6199999999999</v>
      </c>
      <c r="J1175" s="1">
        <v>0.2</v>
      </c>
      <c r="K1175" s="1">
        <v>1233.6199999999999</v>
      </c>
      <c r="L1175" s="1">
        <v>0.2</v>
      </c>
      <c r="M1175" s="1">
        <v>1233.6199999999999</v>
      </c>
      <c r="N1175" s="1">
        <v>0.1</v>
      </c>
      <c r="O1175" s="1">
        <v>0.1</v>
      </c>
      <c r="P1175" s="1">
        <v>0.2</v>
      </c>
      <c r="Q1175" s="1">
        <v>0.2</v>
      </c>
      <c r="R1175" s="1">
        <v>0.2</v>
      </c>
      <c r="S1175" s="1">
        <v>0.2</v>
      </c>
      <c r="T1175" s="1">
        <v>1233.6199999999999</v>
      </c>
      <c r="U1175" s="1">
        <f>IF(Table14[[#This Row],[I_0]] &lt; INDEX(Table28[Filtro de ruido],1), 1, Table14[[#This Row],[I_10]] / Table14[[#This Row],[I_0]])</f>
        <v>1</v>
      </c>
      <c r="V1175" s="1">
        <f>IF(Table14[[#This Row],[I_0]] &lt; INDEX(Table28[Filtro de ruido],1), 1, Table14[[#This Row],[I_20]] / Table14[[#This Row],[I_0]])</f>
        <v>2</v>
      </c>
      <c r="W1175" s="1">
        <f>IF(Table14[[#This Row],[I_0]] &lt; INDEX(Table28[Filtro de ruido],1), 1, Table14[[#This Row],[I_30]] / Table14[[#This Row],[I_0]])</f>
        <v>2</v>
      </c>
      <c r="X1175" s="1">
        <f>IF(Table14[[#This Row],[I_0]] &lt; INDEX(Table28[Filtro de ruido],1), 1, Table14[[#This Row],[I_40]] / Table14[[#This Row],[I_0]])</f>
        <v>2</v>
      </c>
      <c r="Y1175" s="19">
        <f>IF(Table14[[#This Row],[I_0]] &lt; INDEX(Table28[Filtro de ruido],1), 1, Table14[[#This Row],[I_50]] / Table14[[#This Row],[I_0]])</f>
        <v>2</v>
      </c>
      <c r="AA1175" s="1"/>
    </row>
    <row r="1176" spans="1:27" x14ac:dyDescent="0.3">
      <c r="A1176" s="18">
        <v>1234.6099999999999</v>
      </c>
      <c r="B1176" s="1">
        <v>0.1</v>
      </c>
      <c r="C1176" s="1">
        <v>1234.6099999999999</v>
      </c>
      <c r="D1176" s="1">
        <v>0.2</v>
      </c>
      <c r="E1176" s="1">
        <v>1234.6099999999999</v>
      </c>
      <c r="F1176" s="1">
        <v>0.2</v>
      </c>
      <c r="G1176" s="1">
        <v>1234.6099999999999</v>
      </c>
      <c r="H1176" s="1">
        <v>0.2</v>
      </c>
      <c r="I1176" s="1">
        <v>1234.6099999999999</v>
      </c>
      <c r="J1176" s="1">
        <v>0.2</v>
      </c>
      <c r="K1176" s="1">
        <v>1234.6099999999999</v>
      </c>
      <c r="L1176" s="1">
        <v>0.2</v>
      </c>
      <c r="M1176" s="1">
        <v>1234.6099999999999</v>
      </c>
      <c r="N1176" s="1">
        <v>0.1</v>
      </c>
      <c r="O1176" s="1">
        <v>0.2</v>
      </c>
      <c r="P1176" s="1">
        <v>0.2</v>
      </c>
      <c r="Q1176" s="1">
        <v>0.2</v>
      </c>
      <c r="R1176" s="1">
        <v>0.2</v>
      </c>
      <c r="S1176" s="1">
        <v>0.2</v>
      </c>
      <c r="T1176" s="1">
        <v>1234.6099999999999</v>
      </c>
      <c r="U1176" s="1">
        <f>IF(Table14[[#This Row],[I_0]] &lt; INDEX(Table28[Filtro de ruido],1), 1, Table14[[#This Row],[I_10]] / Table14[[#This Row],[I_0]])</f>
        <v>2</v>
      </c>
      <c r="V1176" s="1">
        <f>IF(Table14[[#This Row],[I_0]] &lt; INDEX(Table28[Filtro de ruido],1), 1, Table14[[#This Row],[I_20]] / Table14[[#This Row],[I_0]])</f>
        <v>2</v>
      </c>
      <c r="W1176" s="1">
        <f>IF(Table14[[#This Row],[I_0]] &lt; INDEX(Table28[Filtro de ruido],1), 1, Table14[[#This Row],[I_30]] / Table14[[#This Row],[I_0]])</f>
        <v>2</v>
      </c>
      <c r="X1176" s="1">
        <f>IF(Table14[[#This Row],[I_0]] &lt; INDEX(Table28[Filtro de ruido],1), 1, Table14[[#This Row],[I_40]] / Table14[[#This Row],[I_0]])</f>
        <v>2</v>
      </c>
      <c r="Y1176" s="19">
        <f>IF(Table14[[#This Row],[I_0]] &lt; INDEX(Table28[Filtro de ruido],1), 1, Table14[[#This Row],[I_50]] / Table14[[#This Row],[I_0]])</f>
        <v>2</v>
      </c>
      <c r="AA1176" s="1"/>
    </row>
    <row r="1177" spans="1:27" x14ac:dyDescent="0.3">
      <c r="A1177" s="18">
        <v>1235.5999999999999</v>
      </c>
      <c r="B1177" s="1">
        <v>0.1</v>
      </c>
      <c r="C1177" s="1">
        <v>1235.5999999999999</v>
      </c>
      <c r="D1177" s="1">
        <v>0.2</v>
      </c>
      <c r="E1177" s="1">
        <v>1235.5999999999999</v>
      </c>
      <c r="F1177" s="1">
        <v>0.2</v>
      </c>
      <c r="G1177" s="1">
        <v>1235.5999999999999</v>
      </c>
      <c r="H1177" s="1">
        <v>0.2</v>
      </c>
      <c r="I1177" s="1">
        <v>1235.5999999999999</v>
      </c>
      <c r="J1177" s="1">
        <v>0.2</v>
      </c>
      <c r="K1177" s="1">
        <v>1235.5999999999999</v>
      </c>
      <c r="L1177" s="1">
        <v>0.2</v>
      </c>
      <c r="M1177" s="1">
        <v>1235.5999999999999</v>
      </c>
      <c r="N1177" s="1">
        <v>0.1</v>
      </c>
      <c r="O1177" s="1">
        <v>0.2</v>
      </c>
      <c r="P1177" s="1">
        <v>0.2</v>
      </c>
      <c r="Q1177" s="1">
        <v>0.2</v>
      </c>
      <c r="R1177" s="1">
        <v>0.2</v>
      </c>
      <c r="S1177" s="1">
        <v>0.2</v>
      </c>
      <c r="T1177" s="1">
        <v>1235.5999999999999</v>
      </c>
      <c r="U1177" s="1">
        <f>IF(Table14[[#This Row],[I_0]] &lt; INDEX(Table28[Filtro de ruido],1), 1, Table14[[#This Row],[I_10]] / Table14[[#This Row],[I_0]])</f>
        <v>2</v>
      </c>
      <c r="V1177" s="1">
        <f>IF(Table14[[#This Row],[I_0]] &lt; INDEX(Table28[Filtro de ruido],1), 1, Table14[[#This Row],[I_20]] / Table14[[#This Row],[I_0]])</f>
        <v>2</v>
      </c>
      <c r="W1177" s="1">
        <f>IF(Table14[[#This Row],[I_0]] &lt; INDEX(Table28[Filtro de ruido],1), 1, Table14[[#This Row],[I_30]] / Table14[[#This Row],[I_0]])</f>
        <v>2</v>
      </c>
      <c r="X1177" s="1">
        <f>IF(Table14[[#This Row],[I_0]] &lt; INDEX(Table28[Filtro de ruido],1), 1, Table14[[#This Row],[I_40]] / Table14[[#This Row],[I_0]])</f>
        <v>2</v>
      </c>
      <c r="Y1177" s="19">
        <f>IF(Table14[[#This Row],[I_0]] &lt; INDEX(Table28[Filtro de ruido],1), 1, Table14[[#This Row],[I_50]] / Table14[[#This Row],[I_0]])</f>
        <v>2</v>
      </c>
      <c r="AA1177" s="1"/>
    </row>
    <row r="1178" spans="1:27" x14ac:dyDescent="0.3">
      <c r="A1178" s="18">
        <v>1236.5999999999999</v>
      </c>
      <c r="B1178" s="1">
        <v>0.1</v>
      </c>
      <c r="C1178" s="1">
        <v>1236.5999999999999</v>
      </c>
      <c r="D1178" s="1">
        <v>0.2</v>
      </c>
      <c r="E1178" s="1">
        <v>1236.5999999999999</v>
      </c>
      <c r="F1178" s="1">
        <v>0.2</v>
      </c>
      <c r="G1178" s="1">
        <v>1236.5999999999999</v>
      </c>
      <c r="H1178" s="1">
        <v>0.2</v>
      </c>
      <c r="I1178" s="1">
        <v>1236.5999999999999</v>
      </c>
      <c r="J1178" s="1">
        <v>0.2</v>
      </c>
      <c r="K1178" s="1">
        <v>1236.5999999999999</v>
      </c>
      <c r="L1178" s="1">
        <v>0.2</v>
      </c>
      <c r="M1178" s="1">
        <v>1236.5999999999999</v>
      </c>
      <c r="N1178" s="1">
        <v>0.1</v>
      </c>
      <c r="O1178" s="1">
        <v>0.2</v>
      </c>
      <c r="P1178" s="1">
        <v>0.2</v>
      </c>
      <c r="Q1178" s="1">
        <v>0.2</v>
      </c>
      <c r="R1178" s="1">
        <v>0.2</v>
      </c>
      <c r="S1178" s="1">
        <v>0.2</v>
      </c>
      <c r="T1178" s="1">
        <v>1236.5999999999999</v>
      </c>
      <c r="U1178" s="1">
        <f>IF(Table14[[#This Row],[I_0]] &lt; INDEX(Table28[Filtro de ruido],1), 1, Table14[[#This Row],[I_10]] / Table14[[#This Row],[I_0]])</f>
        <v>2</v>
      </c>
      <c r="V1178" s="1">
        <f>IF(Table14[[#This Row],[I_0]] &lt; INDEX(Table28[Filtro de ruido],1), 1, Table14[[#This Row],[I_20]] / Table14[[#This Row],[I_0]])</f>
        <v>2</v>
      </c>
      <c r="W1178" s="1">
        <f>IF(Table14[[#This Row],[I_0]] &lt; INDEX(Table28[Filtro de ruido],1), 1, Table14[[#This Row],[I_30]] / Table14[[#This Row],[I_0]])</f>
        <v>2</v>
      </c>
      <c r="X1178" s="1">
        <f>IF(Table14[[#This Row],[I_0]] &lt; INDEX(Table28[Filtro de ruido],1), 1, Table14[[#This Row],[I_40]] / Table14[[#This Row],[I_0]])</f>
        <v>2</v>
      </c>
      <c r="Y1178" s="19">
        <f>IF(Table14[[#This Row],[I_0]] &lt; INDEX(Table28[Filtro de ruido],1), 1, Table14[[#This Row],[I_50]] / Table14[[#This Row],[I_0]])</f>
        <v>2</v>
      </c>
      <c r="AA1178" s="1"/>
    </row>
    <row r="1179" spans="1:27" x14ac:dyDescent="0.3">
      <c r="A1179" s="18">
        <v>1237.5899999999999</v>
      </c>
      <c r="B1179" s="1">
        <v>0.2</v>
      </c>
      <c r="C1179" s="1">
        <v>1237.5899999999999</v>
      </c>
      <c r="D1179" s="1">
        <v>0.2</v>
      </c>
      <c r="E1179" s="1">
        <v>1237.5899999999999</v>
      </c>
      <c r="F1179" s="1">
        <v>0.2</v>
      </c>
      <c r="G1179" s="1">
        <v>1237.5899999999999</v>
      </c>
      <c r="H1179" s="1">
        <v>0.2</v>
      </c>
      <c r="I1179" s="1">
        <v>1237.5899999999999</v>
      </c>
      <c r="J1179" s="1">
        <v>0.3</v>
      </c>
      <c r="K1179" s="1">
        <v>1237.5899999999999</v>
      </c>
      <c r="L1179" s="1">
        <v>0.3</v>
      </c>
      <c r="M1179" s="1">
        <v>1237.5899999999999</v>
      </c>
      <c r="N1179" s="1">
        <v>0.2</v>
      </c>
      <c r="O1179" s="1">
        <v>0.2</v>
      </c>
      <c r="P1179" s="1">
        <v>0.2</v>
      </c>
      <c r="Q1179" s="1">
        <v>0.2</v>
      </c>
      <c r="R1179" s="1">
        <v>0.3</v>
      </c>
      <c r="S1179" s="1">
        <v>0.3</v>
      </c>
      <c r="T1179" s="1">
        <v>1237.5899999999999</v>
      </c>
      <c r="U1179" s="1">
        <f>IF(Table14[[#This Row],[I_0]] &lt; INDEX(Table28[Filtro de ruido],1), 1, Table14[[#This Row],[I_10]] / Table14[[#This Row],[I_0]])</f>
        <v>1</v>
      </c>
      <c r="V1179" s="1">
        <f>IF(Table14[[#This Row],[I_0]] &lt; INDEX(Table28[Filtro de ruido],1), 1, Table14[[#This Row],[I_20]] / Table14[[#This Row],[I_0]])</f>
        <v>1</v>
      </c>
      <c r="W1179" s="1">
        <f>IF(Table14[[#This Row],[I_0]] &lt; INDEX(Table28[Filtro de ruido],1), 1, Table14[[#This Row],[I_30]] / Table14[[#This Row],[I_0]])</f>
        <v>1</v>
      </c>
      <c r="X1179" s="1">
        <f>IF(Table14[[#This Row],[I_0]] &lt; INDEX(Table28[Filtro de ruido],1), 1, Table14[[#This Row],[I_40]] / Table14[[#This Row],[I_0]])</f>
        <v>1.4999999999999998</v>
      </c>
      <c r="Y1179" s="19">
        <f>IF(Table14[[#This Row],[I_0]] &lt; INDEX(Table28[Filtro de ruido],1), 1, Table14[[#This Row],[I_50]] / Table14[[#This Row],[I_0]])</f>
        <v>1.4999999999999998</v>
      </c>
      <c r="AA1179" s="1"/>
    </row>
    <row r="1180" spans="1:27" x14ac:dyDescent="0.3">
      <c r="A1180" s="18">
        <v>1238.58</v>
      </c>
      <c r="B1180" s="1">
        <v>0.2</v>
      </c>
      <c r="C1180" s="1">
        <v>1238.58</v>
      </c>
      <c r="D1180" s="1">
        <v>0.2</v>
      </c>
      <c r="E1180" s="1">
        <v>1238.58</v>
      </c>
      <c r="F1180" s="1">
        <v>0.3</v>
      </c>
      <c r="G1180" s="1">
        <v>1238.58</v>
      </c>
      <c r="H1180" s="1">
        <v>0.3</v>
      </c>
      <c r="I1180" s="1">
        <v>1238.58</v>
      </c>
      <c r="J1180" s="1">
        <v>0.3</v>
      </c>
      <c r="K1180" s="1">
        <v>1238.58</v>
      </c>
      <c r="L1180" s="1">
        <v>0.3</v>
      </c>
      <c r="M1180" s="1">
        <v>1238.58</v>
      </c>
      <c r="N1180" s="1">
        <v>0.2</v>
      </c>
      <c r="O1180" s="1">
        <v>0.2</v>
      </c>
      <c r="P1180" s="1">
        <v>0.3</v>
      </c>
      <c r="Q1180" s="1">
        <v>0.3</v>
      </c>
      <c r="R1180" s="1">
        <v>0.3</v>
      </c>
      <c r="S1180" s="1">
        <v>0.3</v>
      </c>
      <c r="T1180" s="1">
        <v>1238.58</v>
      </c>
      <c r="U1180" s="1">
        <f>IF(Table14[[#This Row],[I_0]] &lt; INDEX(Table28[Filtro de ruido],1), 1, Table14[[#This Row],[I_10]] / Table14[[#This Row],[I_0]])</f>
        <v>1</v>
      </c>
      <c r="V1180" s="1">
        <f>IF(Table14[[#This Row],[I_0]] &lt; INDEX(Table28[Filtro de ruido],1), 1, Table14[[#This Row],[I_20]] / Table14[[#This Row],[I_0]])</f>
        <v>1.4999999999999998</v>
      </c>
      <c r="W1180" s="1">
        <f>IF(Table14[[#This Row],[I_0]] &lt; INDEX(Table28[Filtro de ruido],1), 1, Table14[[#This Row],[I_30]] / Table14[[#This Row],[I_0]])</f>
        <v>1.4999999999999998</v>
      </c>
      <c r="X1180" s="1">
        <f>IF(Table14[[#This Row],[I_0]] &lt; INDEX(Table28[Filtro de ruido],1), 1, Table14[[#This Row],[I_40]] / Table14[[#This Row],[I_0]])</f>
        <v>1.4999999999999998</v>
      </c>
      <c r="Y1180" s="19">
        <f>IF(Table14[[#This Row],[I_0]] &lt; INDEX(Table28[Filtro de ruido],1), 1, Table14[[#This Row],[I_50]] / Table14[[#This Row],[I_0]])</f>
        <v>1.4999999999999998</v>
      </c>
      <c r="AA1180" s="1"/>
    </row>
    <row r="1181" spans="1:27" x14ac:dyDescent="0.3">
      <c r="A1181" s="18">
        <v>1239.57</v>
      </c>
      <c r="B1181" s="1">
        <v>0.2</v>
      </c>
      <c r="C1181" s="1">
        <v>1239.57</v>
      </c>
      <c r="D1181" s="1">
        <v>0.2</v>
      </c>
      <c r="E1181" s="1">
        <v>1239.57</v>
      </c>
      <c r="F1181" s="1">
        <v>0.3</v>
      </c>
      <c r="G1181" s="1">
        <v>1239.57</v>
      </c>
      <c r="H1181" s="1">
        <v>0.3</v>
      </c>
      <c r="I1181" s="1">
        <v>1239.57</v>
      </c>
      <c r="J1181" s="1">
        <v>0.3</v>
      </c>
      <c r="K1181" s="1">
        <v>1239.57</v>
      </c>
      <c r="L1181" s="1">
        <v>0.3</v>
      </c>
      <c r="M1181" s="1">
        <v>1239.57</v>
      </c>
      <c r="N1181" s="1">
        <v>0.2</v>
      </c>
      <c r="O1181" s="1">
        <v>0.2</v>
      </c>
      <c r="P1181" s="1">
        <v>0.3</v>
      </c>
      <c r="Q1181" s="1">
        <v>0.3</v>
      </c>
      <c r="R1181" s="1">
        <v>0.3</v>
      </c>
      <c r="S1181" s="1">
        <v>0.3</v>
      </c>
      <c r="T1181" s="1">
        <v>1239.57</v>
      </c>
      <c r="U1181" s="1">
        <f>IF(Table14[[#This Row],[I_0]] &lt; INDEX(Table28[Filtro de ruido],1), 1, Table14[[#This Row],[I_10]] / Table14[[#This Row],[I_0]])</f>
        <v>1</v>
      </c>
      <c r="V1181" s="1">
        <f>IF(Table14[[#This Row],[I_0]] &lt; INDEX(Table28[Filtro de ruido],1), 1, Table14[[#This Row],[I_20]] / Table14[[#This Row],[I_0]])</f>
        <v>1.4999999999999998</v>
      </c>
      <c r="W1181" s="1">
        <f>IF(Table14[[#This Row],[I_0]] &lt; INDEX(Table28[Filtro de ruido],1), 1, Table14[[#This Row],[I_30]] / Table14[[#This Row],[I_0]])</f>
        <v>1.4999999999999998</v>
      </c>
      <c r="X1181" s="1">
        <f>IF(Table14[[#This Row],[I_0]] &lt; INDEX(Table28[Filtro de ruido],1), 1, Table14[[#This Row],[I_40]] / Table14[[#This Row],[I_0]])</f>
        <v>1.4999999999999998</v>
      </c>
      <c r="Y1181" s="19">
        <f>IF(Table14[[#This Row],[I_0]] &lt; INDEX(Table28[Filtro de ruido],1), 1, Table14[[#This Row],[I_50]] / Table14[[#This Row],[I_0]])</f>
        <v>1.4999999999999998</v>
      </c>
      <c r="AA1181" s="1"/>
    </row>
    <row r="1182" spans="1:27" x14ac:dyDescent="0.3">
      <c r="A1182" s="18">
        <v>1240.56</v>
      </c>
      <c r="B1182" s="1">
        <v>0.2</v>
      </c>
      <c r="C1182" s="1">
        <v>1240.56</v>
      </c>
      <c r="D1182" s="1">
        <v>0.3</v>
      </c>
      <c r="E1182" s="1">
        <v>1240.56</v>
      </c>
      <c r="F1182" s="1">
        <v>0.3</v>
      </c>
      <c r="G1182" s="1">
        <v>1240.56</v>
      </c>
      <c r="H1182" s="1">
        <v>0.3</v>
      </c>
      <c r="I1182" s="1">
        <v>1240.56</v>
      </c>
      <c r="J1182" s="1">
        <v>0.3</v>
      </c>
      <c r="K1182" s="1">
        <v>1240.56</v>
      </c>
      <c r="L1182" s="1">
        <v>0.3</v>
      </c>
      <c r="M1182" s="1">
        <v>1240.56</v>
      </c>
      <c r="N1182" s="1">
        <v>0.2</v>
      </c>
      <c r="O1182" s="1">
        <v>0.3</v>
      </c>
      <c r="P1182" s="1">
        <v>0.3</v>
      </c>
      <c r="Q1182" s="1">
        <v>0.3</v>
      </c>
      <c r="R1182" s="1">
        <v>0.3</v>
      </c>
      <c r="S1182" s="1">
        <v>0.3</v>
      </c>
      <c r="T1182" s="1">
        <v>1240.56</v>
      </c>
      <c r="U1182" s="1">
        <f>IF(Table14[[#This Row],[I_0]] &lt; INDEX(Table28[Filtro de ruido],1), 1, Table14[[#This Row],[I_10]] / Table14[[#This Row],[I_0]])</f>
        <v>1.4999999999999998</v>
      </c>
      <c r="V1182" s="1">
        <f>IF(Table14[[#This Row],[I_0]] &lt; INDEX(Table28[Filtro de ruido],1), 1, Table14[[#This Row],[I_20]] / Table14[[#This Row],[I_0]])</f>
        <v>1.4999999999999998</v>
      </c>
      <c r="W1182" s="1">
        <f>IF(Table14[[#This Row],[I_0]] &lt; INDEX(Table28[Filtro de ruido],1), 1, Table14[[#This Row],[I_30]] / Table14[[#This Row],[I_0]])</f>
        <v>1.4999999999999998</v>
      </c>
      <c r="X1182" s="1">
        <f>IF(Table14[[#This Row],[I_0]] &lt; INDEX(Table28[Filtro de ruido],1), 1, Table14[[#This Row],[I_40]] / Table14[[#This Row],[I_0]])</f>
        <v>1.4999999999999998</v>
      </c>
      <c r="Y1182" s="19">
        <f>IF(Table14[[#This Row],[I_0]] &lt; INDEX(Table28[Filtro de ruido],1), 1, Table14[[#This Row],[I_50]] / Table14[[#This Row],[I_0]])</f>
        <v>1.4999999999999998</v>
      </c>
      <c r="AA1182" s="1"/>
    </row>
    <row r="1183" spans="1:27" x14ac:dyDescent="0.3">
      <c r="A1183" s="18">
        <v>1241.55</v>
      </c>
      <c r="B1183" s="1">
        <v>0.2</v>
      </c>
      <c r="C1183" s="1">
        <v>1241.55</v>
      </c>
      <c r="D1183" s="1">
        <v>0.3</v>
      </c>
      <c r="E1183" s="1">
        <v>1241.55</v>
      </c>
      <c r="F1183" s="1">
        <v>0.3</v>
      </c>
      <c r="G1183" s="1">
        <v>1241.55</v>
      </c>
      <c r="H1183" s="1">
        <v>0.3</v>
      </c>
      <c r="I1183" s="1">
        <v>1241.55</v>
      </c>
      <c r="J1183" s="1">
        <v>0.4</v>
      </c>
      <c r="K1183" s="1">
        <v>1241.55</v>
      </c>
      <c r="L1183" s="1">
        <v>0.4</v>
      </c>
      <c r="M1183" s="1">
        <v>1241.55</v>
      </c>
      <c r="N1183" s="1">
        <v>0.2</v>
      </c>
      <c r="O1183" s="1">
        <v>0.3</v>
      </c>
      <c r="P1183" s="1">
        <v>0.3</v>
      </c>
      <c r="Q1183" s="1">
        <v>0.3</v>
      </c>
      <c r="R1183" s="1">
        <v>0.4</v>
      </c>
      <c r="S1183" s="1">
        <v>0.4</v>
      </c>
      <c r="T1183" s="1">
        <v>1241.55</v>
      </c>
      <c r="U1183" s="1">
        <f>IF(Table14[[#This Row],[I_0]] &lt; INDEX(Table28[Filtro de ruido],1), 1, Table14[[#This Row],[I_10]] / Table14[[#This Row],[I_0]])</f>
        <v>1.4999999999999998</v>
      </c>
      <c r="V1183" s="1">
        <f>IF(Table14[[#This Row],[I_0]] &lt; INDEX(Table28[Filtro de ruido],1), 1, Table14[[#This Row],[I_20]] / Table14[[#This Row],[I_0]])</f>
        <v>1.4999999999999998</v>
      </c>
      <c r="W1183" s="1">
        <f>IF(Table14[[#This Row],[I_0]] &lt; INDEX(Table28[Filtro de ruido],1), 1, Table14[[#This Row],[I_30]] / Table14[[#This Row],[I_0]])</f>
        <v>1.4999999999999998</v>
      </c>
      <c r="X1183" s="1">
        <f>IF(Table14[[#This Row],[I_0]] &lt; INDEX(Table28[Filtro de ruido],1), 1, Table14[[#This Row],[I_40]] / Table14[[#This Row],[I_0]])</f>
        <v>2</v>
      </c>
      <c r="Y1183" s="19">
        <f>IF(Table14[[#This Row],[I_0]] &lt; INDEX(Table28[Filtro de ruido],1), 1, Table14[[#This Row],[I_50]] / Table14[[#This Row],[I_0]])</f>
        <v>2</v>
      </c>
      <c r="AA1183" s="1"/>
    </row>
    <row r="1184" spans="1:27" x14ac:dyDescent="0.3">
      <c r="A1184" s="18">
        <v>1242.55</v>
      </c>
      <c r="B1184" s="1">
        <v>0.2</v>
      </c>
      <c r="C1184" s="1">
        <v>1242.55</v>
      </c>
      <c r="D1184" s="1">
        <v>0.3</v>
      </c>
      <c r="E1184" s="1">
        <v>1242.55</v>
      </c>
      <c r="F1184" s="1">
        <v>0.4</v>
      </c>
      <c r="G1184" s="1">
        <v>1242.55</v>
      </c>
      <c r="H1184" s="1">
        <v>0.4</v>
      </c>
      <c r="I1184" s="1">
        <v>1242.55</v>
      </c>
      <c r="J1184" s="1">
        <v>0.4</v>
      </c>
      <c r="K1184" s="1">
        <v>1242.55</v>
      </c>
      <c r="L1184" s="1">
        <v>0.4</v>
      </c>
      <c r="M1184" s="1">
        <v>1242.55</v>
      </c>
      <c r="N1184" s="1">
        <v>0.2</v>
      </c>
      <c r="O1184" s="1">
        <v>0.3</v>
      </c>
      <c r="P1184" s="1">
        <v>0.4</v>
      </c>
      <c r="Q1184" s="1">
        <v>0.4</v>
      </c>
      <c r="R1184" s="1">
        <v>0.4</v>
      </c>
      <c r="S1184" s="1">
        <v>0.4</v>
      </c>
      <c r="T1184" s="1">
        <v>1242.55</v>
      </c>
      <c r="U1184" s="1">
        <f>IF(Table14[[#This Row],[I_0]] &lt; INDEX(Table28[Filtro de ruido],1), 1, Table14[[#This Row],[I_10]] / Table14[[#This Row],[I_0]])</f>
        <v>1.4999999999999998</v>
      </c>
      <c r="V1184" s="1">
        <f>IF(Table14[[#This Row],[I_0]] &lt; INDEX(Table28[Filtro de ruido],1), 1, Table14[[#This Row],[I_20]] / Table14[[#This Row],[I_0]])</f>
        <v>2</v>
      </c>
      <c r="W1184" s="1">
        <f>IF(Table14[[#This Row],[I_0]] &lt; INDEX(Table28[Filtro de ruido],1), 1, Table14[[#This Row],[I_30]] / Table14[[#This Row],[I_0]])</f>
        <v>2</v>
      </c>
      <c r="X1184" s="1">
        <f>IF(Table14[[#This Row],[I_0]] &lt; INDEX(Table28[Filtro de ruido],1), 1, Table14[[#This Row],[I_40]] / Table14[[#This Row],[I_0]])</f>
        <v>2</v>
      </c>
      <c r="Y1184" s="19">
        <f>IF(Table14[[#This Row],[I_0]] &lt; INDEX(Table28[Filtro de ruido],1), 1, Table14[[#This Row],[I_50]] / Table14[[#This Row],[I_0]])</f>
        <v>2</v>
      </c>
      <c r="AA1184" s="1"/>
    </row>
    <row r="1185" spans="1:27" x14ac:dyDescent="0.3">
      <c r="A1185" s="18">
        <v>1243.54</v>
      </c>
      <c r="B1185" s="1">
        <v>0.3</v>
      </c>
      <c r="C1185" s="1">
        <v>1243.54</v>
      </c>
      <c r="D1185" s="1">
        <v>0.3</v>
      </c>
      <c r="E1185" s="1">
        <v>1243.54</v>
      </c>
      <c r="F1185" s="1">
        <v>0.4</v>
      </c>
      <c r="G1185" s="1">
        <v>1243.54</v>
      </c>
      <c r="H1185" s="1">
        <v>0.4</v>
      </c>
      <c r="I1185" s="1">
        <v>1243.54</v>
      </c>
      <c r="J1185" s="1">
        <v>0.4</v>
      </c>
      <c r="K1185" s="1">
        <v>1243.54</v>
      </c>
      <c r="L1185" s="1">
        <v>0.4</v>
      </c>
      <c r="M1185" s="1">
        <v>1243.54</v>
      </c>
      <c r="N1185" s="1">
        <v>0.3</v>
      </c>
      <c r="O1185" s="1">
        <v>0.3</v>
      </c>
      <c r="P1185" s="1">
        <v>0.4</v>
      </c>
      <c r="Q1185" s="1">
        <v>0.4</v>
      </c>
      <c r="R1185" s="1">
        <v>0.4</v>
      </c>
      <c r="S1185" s="1">
        <v>0.4</v>
      </c>
      <c r="T1185" s="1">
        <v>1243.54</v>
      </c>
      <c r="U1185" s="1">
        <f>IF(Table14[[#This Row],[I_0]] &lt; INDEX(Table28[Filtro de ruido],1), 1, Table14[[#This Row],[I_10]] / Table14[[#This Row],[I_0]])</f>
        <v>1</v>
      </c>
      <c r="V1185" s="1">
        <f>IF(Table14[[#This Row],[I_0]] &lt; INDEX(Table28[Filtro de ruido],1), 1, Table14[[#This Row],[I_20]] / Table14[[#This Row],[I_0]])</f>
        <v>1.3333333333333335</v>
      </c>
      <c r="W1185" s="1">
        <f>IF(Table14[[#This Row],[I_0]] &lt; INDEX(Table28[Filtro de ruido],1), 1, Table14[[#This Row],[I_30]] / Table14[[#This Row],[I_0]])</f>
        <v>1.3333333333333335</v>
      </c>
      <c r="X1185" s="1">
        <f>IF(Table14[[#This Row],[I_0]] &lt; INDEX(Table28[Filtro de ruido],1), 1, Table14[[#This Row],[I_40]] / Table14[[#This Row],[I_0]])</f>
        <v>1.3333333333333335</v>
      </c>
      <c r="Y1185" s="19">
        <f>IF(Table14[[#This Row],[I_0]] &lt; INDEX(Table28[Filtro de ruido],1), 1, Table14[[#This Row],[I_50]] / Table14[[#This Row],[I_0]])</f>
        <v>1.3333333333333335</v>
      </c>
      <c r="AA1185" s="1"/>
    </row>
    <row r="1186" spans="1:27" x14ac:dyDescent="0.3">
      <c r="A1186" s="18">
        <v>1244.53</v>
      </c>
      <c r="B1186" s="1">
        <v>0.3</v>
      </c>
      <c r="C1186" s="1">
        <v>1244.53</v>
      </c>
      <c r="D1186" s="1">
        <v>0.3</v>
      </c>
      <c r="E1186" s="1">
        <v>1244.53</v>
      </c>
      <c r="F1186" s="1">
        <v>0.4</v>
      </c>
      <c r="G1186" s="1">
        <v>1244.53</v>
      </c>
      <c r="H1186" s="1">
        <v>0.4</v>
      </c>
      <c r="I1186" s="1">
        <v>1244.53</v>
      </c>
      <c r="J1186" s="1">
        <v>0.4</v>
      </c>
      <c r="K1186" s="1">
        <v>1244.53</v>
      </c>
      <c r="L1186" s="1">
        <v>0.5</v>
      </c>
      <c r="M1186" s="1">
        <v>1244.53</v>
      </c>
      <c r="N1186" s="1">
        <v>0.3</v>
      </c>
      <c r="O1186" s="1">
        <v>0.3</v>
      </c>
      <c r="P1186" s="1">
        <v>0.4</v>
      </c>
      <c r="Q1186" s="1">
        <v>0.4</v>
      </c>
      <c r="R1186" s="1">
        <v>0.4</v>
      </c>
      <c r="S1186" s="1">
        <v>0.5</v>
      </c>
      <c r="T1186" s="1">
        <v>1244.53</v>
      </c>
      <c r="U1186" s="1">
        <f>IF(Table14[[#This Row],[I_0]] &lt; INDEX(Table28[Filtro de ruido],1), 1, Table14[[#This Row],[I_10]] / Table14[[#This Row],[I_0]])</f>
        <v>1</v>
      </c>
      <c r="V1186" s="1">
        <f>IF(Table14[[#This Row],[I_0]] &lt; INDEX(Table28[Filtro de ruido],1), 1, Table14[[#This Row],[I_20]] / Table14[[#This Row],[I_0]])</f>
        <v>1.3333333333333335</v>
      </c>
      <c r="W1186" s="1">
        <f>IF(Table14[[#This Row],[I_0]] &lt; INDEX(Table28[Filtro de ruido],1), 1, Table14[[#This Row],[I_30]] / Table14[[#This Row],[I_0]])</f>
        <v>1.3333333333333335</v>
      </c>
      <c r="X1186" s="1">
        <f>IF(Table14[[#This Row],[I_0]] &lt; INDEX(Table28[Filtro de ruido],1), 1, Table14[[#This Row],[I_40]] / Table14[[#This Row],[I_0]])</f>
        <v>1.3333333333333335</v>
      </c>
      <c r="Y1186" s="19">
        <f>IF(Table14[[#This Row],[I_0]] &lt; INDEX(Table28[Filtro de ruido],1), 1, Table14[[#This Row],[I_50]] / Table14[[#This Row],[I_0]])</f>
        <v>1.6666666666666667</v>
      </c>
      <c r="AA1186" s="1"/>
    </row>
    <row r="1187" spans="1:27" x14ac:dyDescent="0.3">
      <c r="A1187" s="18">
        <v>1245.52</v>
      </c>
      <c r="B1187" s="1">
        <v>0.3</v>
      </c>
      <c r="C1187" s="1">
        <v>1245.52</v>
      </c>
      <c r="D1187" s="1">
        <v>0.4</v>
      </c>
      <c r="E1187" s="1">
        <v>1245.52</v>
      </c>
      <c r="F1187" s="1">
        <v>0.4</v>
      </c>
      <c r="G1187" s="1">
        <v>1245.52</v>
      </c>
      <c r="H1187" s="1">
        <v>0.4</v>
      </c>
      <c r="I1187" s="1">
        <v>1245.52</v>
      </c>
      <c r="J1187" s="1">
        <v>0.5</v>
      </c>
      <c r="K1187" s="1">
        <v>1245.52</v>
      </c>
      <c r="L1187" s="1">
        <v>0.5</v>
      </c>
      <c r="M1187" s="1">
        <v>1245.52</v>
      </c>
      <c r="N1187" s="1">
        <v>0.3</v>
      </c>
      <c r="O1187" s="1">
        <v>0.4</v>
      </c>
      <c r="P1187" s="1">
        <v>0.4</v>
      </c>
      <c r="Q1187" s="1">
        <v>0.4</v>
      </c>
      <c r="R1187" s="1">
        <v>0.5</v>
      </c>
      <c r="S1187" s="1">
        <v>0.5</v>
      </c>
      <c r="T1187" s="1">
        <v>1245.52</v>
      </c>
      <c r="U1187" s="1">
        <f>IF(Table14[[#This Row],[I_0]] &lt; INDEX(Table28[Filtro de ruido],1), 1, Table14[[#This Row],[I_10]] / Table14[[#This Row],[I_0]])</f>
        <v>1.3333333333333335</v>
      </c>
      <c r="V1187" s="1">
        <f>IF(Table14[[#This Row],[I_0]] &lt; INDEX(Table28[Filtro de ruido],1), 1, Table14[[#This Row],[I_20]] / Table14[[#This Row],[I_0]])</f>
        <v>1.3333333333333335</v>
      </c>
      <c r="W1187" s="1">
        <f>IF(Table14[[#This Row],[I_0]] &lt; INDEX(Table28[Filtro de ruido],1), 1, Table14[[#This Row],[I_30]] / Table14[[#This Row],[I_0]])</f>
        <v>1.3333333333333335</v>
      </c>
      <c r="X1187" s="1">
        <f>IF(Table14[[#This Row],[I_0]] &lt; INDEX(Table28[Filtro de ruido],1), 1, Table14[[#This Row],[I_40]] / Table14[[#This Row],[I_0]])</f>
        <v>1.6666666666666667</v>
      </c>
      <c r="Y1187" s="19">
        <f>IF(Table14[[#This Row],[I_0]] &lt; INDEX(Table28[Filtro de ruido],1), 1, Table14[[#This Row],[I_50]] / Table14[[#This Row],[I_0]])</f>
        <v>1.6666666666666667</v>
      </c>
      <c r="AA1187" s="1"/>
    </row>
    <row r="1188" spans="1:27" x14ac:dyDescent="0.3">
      <c r="A1188" s="18">
        <v>1246.51</v>
      </c>
      <c r="B1188" s="1">
        <v>0.3</v>
      </c>
      <c r="C1188" s="1">
        <v>1246.51</v>
      </c>
      <c r="D1188" s="1">
        <v>0.4</v>
      </c>
      <c r="E1188" s="1">
        <v>1246.51</v>
      </c>
      <c r="F1188" s="1">
        <v>0.5</v>
      </c>
      <c r="G1188" s="1">
        <v>1246.51</v>
      </c>
      <c r="H1188" s="1">
        <v>0.5</v>
      </c>
      <c r="I1188" s="1">
        <v>1246.51</v>
      </c>
      <c r="J1188" s="1">
        <v>0.5</v>
      </c>
      <c r="K1188" s="1">
        <v>1246.51</v>
      </c>
      <c r="L1188" s="1">
        <v>0.5</v>
      </c>
      <c r="M1188" s="1">
        <v>1246.51</v>
      </c>
      <c r="N1188" s="1">
        <v>0.3</v>
      </c>
      <c r="O1188" s="1">
        <v>0.4</v>
      </c>
      <c r="P1188" s="1">
        <v>0.5</v>
      </c>
      <c r="Q1188" s="1">
        <v>0.5</v>
      </c>
      <c r="R1188" s="1">
        <v>0.5</v>
      </c>
      <c r="S1188" s="1">
        <v>0.5</v>
      </c>
      <c r="T1188" s="1">
        <v>1246.51</v>
      </c>
      <c r="U1188" s="1">
        <f>IF(Table14[[#This Row],[I_0]] &lt; INDEX(Table28[Filtro de ruido],1), 1, Table14[[#This Row],[I_10]] / Table14[[#This Row],[I_0]])</f>
        <v>1.3333333333333335</v>
      </c>
      <c r="V1188" s="1">
        <f>IF(Table14[[#This Row],[I_0]] &lt; INDEX(Table28[Filtro de ruido],1), 1, Table14[[#This Row],[I_20]] / Table14[[#This Row],[I_0]])</f>
        <v>1.6666666666666667</v>
      </c>
      <c r="W1188" s="1">
        <f>IF(Table14[[#This Row],[I_0]] &lt; INDEX(Table28[Filtro de ruido],1), 1, Table14[[#This Row],[I_30]] / Table14[[#This Row],[I_0]])</f>
        <v>1.6666666666666667</v>
      </c>
      <c r="X1188" s="1">
        <f>IF(Table14[[#This Row],[I_0]] &lt; INDEX(Table28[Filtro de ruido],1), 1, Table14[[#This Row],[I_40]] / Table14[[#This Row],[I_0]])</f>
        <v>1.6666666666666667</v>
      </c>
      <c r="Y1188" s="19">
        <f>IF(Table14[[#This Row],[I_0]] &lt; INDEX(Table28[Filtro de ruido],1), 1, Table14[[#This Row],[I_50]] / Table14[[#This Row],[I_0]])</f>
        <v>1.6666666666666667</v>
      </c>
      <c r="AA1188" s="1"/>
    </row>
    <row r="1189" spans="1:27" x14ac:dyDescent="0.3">
      <c r="A1189" s="18">
        <v>1247.5</v>
      </c>
      <c r="B1189" s="1">
        <v>0.3</v>
      </c>
      <c r="C1189" s="1">
        <v>1247.5</v>
      </c>
      <c r="D1189" s="1">
        <v>0.4</v>
      </c>
      <c r="E1189" s="1">
        <v>1247.5</v>
      </c>
      <c r="F1189" s="1">
        <v>0.5</v>
      </c>
      <c r="G1189" s="1">
        <v>1247.5</v>
      </c>
      <c r="H1189" s="1">
        <v>0.5</v>
      </c>
      <c r="I1189" s="1">
        <v>1247.5</v>
      </c>
      <c r="J1189" s="1">
        <v>0.6</v>
      </c>
      <c r="K1189" s="1">
        <v>1247.5</v>
      </c>
      <c r="L1189" s="1">
        <v>0.6</v>
      </c>
      <c r="M1189" s="1">
        <v>1247.5</v>
      </c>
      <c r="N1189" s="1">
        <v>0.3</v>
      </c>
      <c r="O1189" s="1">
        <v>0.4</v>
      </c>
      <c r="P1189" s="1">
        <v>0.5</v>
      </c>
      <c r="Q1189" s="1">
        <v>0.5</v>
      </c>
      <c r="R1189" s="1">
        <v>0.6</v>
      </c>
      <c r="S1189" s="1">
        <v>0.6</v>
      </c>
      <c r="T1189" s="1">
        <v>1247.5</v>
      </c>
      <c r="U1189" s="1">
        <f>IF(Table14[[#This Row],[I_0]] &lt; INDEX(Table28[Filtro de ruido],1), 1, Table14[[#This Row],[I_10]] / Table14[[#This Row],[I_0]])</f>
        <v>1.3333333333333335</v>
      </c>
      <c r="V1189" s="1">
        <f>IF(Table14[[#This Row],[I_0]] &lt; INDEX(Table28[Filtro de ruido],1), 1, Table14[[#This Row],[I_20]] / Table14[[#This Row],[I_0]])</f>
        <v>1.6666666666666667</v>
      </c>
      <c r="W1189" s="1">
        <f>IF(Table14[[#This Row],[I_0]] &lt; INDEX(Table28[Filtro de ruido],1), 1, Table14[[#This Row],[I_30]] / Table14[[#This Row],[I_0]])</f>
        <v>1.6666666666666667</v>
      </c>
      <c r="X1189" s="1">
        <f>IF(Table14[[#This Row],[I_0]] &lt; INDEX(Table28[Filtro de ruido],1), 1, Table14[[#This Row],[I_40]] / Table14[[#This Row],[I_0]])</f>
        <v>2</v>
      </c>
      <c r="Y1189" s="19">
        <f>IF(Table14[[#This Row],[I_0]] &lt; INDEX(Table28[Filtro de ruido],1), 1, Table14[[#This Row],[I_50]] / Table14[[#This Row],[I_0]])</f>
        <v>2</v>
      </c>
      <c r="AA1189" s="1"/>
    </row>
    <row r="1190" spans="1:27" x14ac:dyDescent="0.3">
      <c r="A1190" s="18">
        <v>1248.5</v>
      </c>
      <c r="B1190" s="1">
        <v>0.4</v>
      </c>
      <c r="C1190" s="1">
        <v>1248.5</v>
      </c>
      <c r="D1190" s="1">
        <v>0.5</v>
      </c>
      <c r="E1190" s="1">
        <v>1248.5</v>
      </c>
      <c r="F1190" s="1">
        <v>0.5</v>
      </c>
      <c r="G1190" s="1">
        <v>1248.5</v>
      </c>
      <c r="H1190" s="1">
        <v>0.5</v>
      </c>
      <c r="I1190" s="1">
        <v>1248.5</v>
      </c>
      <c r="J1190" s="1">
        <v>0.6</v>
      </c>
      <c r="K1190" s="1">
        <v>1248.5</v>
      </c>
      <c r="L1190" s="1">
        <v>0.6</v>
      </c>
      <c r="M1190" s="1">
        <v>1248.5</v>
      </c>
      <c r="N1190" s="1">
        <v>0.4</v>
      </c>
      <c r="O1190" s="1">
        <v>0.5</v>
      </c>
      <c r="P1190" s="1">
        <v>0.5</v>
      </c>
      <c r="Q1190" s="1">
        <v>0.5</v>
      </c>
      <c r="R1190" s="1">
        <v>0.6</v>
      </c>
      <c r="S1190" s="1">
        <v>0.6</v>
      </c>
      <c r="T1190" s="1">
        <v>1248.5</v>
      </c>
      <c r="U1190" s="1">
        <f>IF(Table14[[#This Row],[I_0]] &lt; INDEX(Table28[Filtro de ruido],1), 1, Table14[[#This Row],[I_10]] / Table14[[#This Row],[I_0]])</f>
        <v>1.25</v>
      </c>
      <c r="V1190" s="1">
        <f>IF(Table14[[#This Row],[I_0]] &lt; INDEX(Table28[Filtro de ruido],1), 1, Table14[[#This Row],[I_20]] / Table14[[#This Row],[I_0]])</f>
        <v>1.25</v>
      </c>
      <c r="W1190" s="1">
        <f>IF(Table14[[#This Row],[I_0]] &lt; INDEX(Table28[Filtro de ruido],1), 1, Table14[[#This Row],[I_30]] / Table14[[#This Row],[I_0]])</f>
        <v>1.25</v>
      </c>
      <c r="X1190" s="1">
        <f>IF(Table14[[#This Row],[I_0]] &lt; INDEX(Table28[Filtro de ruido],1), 1, Table14[[#This Row],[I_40]] / Table14[[#This Row],[I_0]])</f>
        <v>1.4999999999999998</v>
      </c>
      <c r="Y1190" s="19">
        <f>IF(Table14[[#This Row],[I_0]] &lt; INDEX(Table28[Filtro de ruido],1), 1, Table14[[#This Row],[I_50]] / Table14[[#This Row],[I_0]])</f>
        <v>1.4999999999999998</v>
      </c>
      <c r="AA1190" s="1"/>
    </row>
    <row r="1191" spans="1:27" x14ac:dyDescent="0.3">
      <c r="A1191" s="18">
        <v>1249.49</v>
      </c>
      <c r="B1191" s="1">
        <v>0.4</v>
      </c>
      <c r="C1191" s="1">
        <v>1249.49</v>
      </c>
      <c r="D1191" s="1">
        <v>0.5</v>
      </c>
      <c r="E1191" s="1">
        <v>1249.49</v>
      </c>
      <c r="F1191" s="1">
        <v>0.6</v>
      </c>
      <c r="G1191" s="1">
        <v>1249.49</v>
      </c>
      <c r="H1191" s="1">
        <v>0.6</v>
      </c>
      <c r="I1191" s="1">
        <v>1249.49</v>
      </c>
      <c r="J1191" s="1">
        <v>0.7</v>
      </c>
      <c r="K1191" s="1">
        <v>1249.49</v>
      </c>
      <c r="L1191" s="1">
        <v>0.7</v>
      </c>
      <c r="M1191" s="1">
        <v>1249.49</v>
      </c>
      <c r="N1191" s="1">
        <v>0.4</v>
      </c>
      <c r="O1191" s="1">
        <v>0.5</v>
      </c>
      <c r="P1191" s="1">
        <v>0.6</v>
      </c>
      <c r="Q1191" s="1">
        <v>0.6</v>
      </c>
      <c r="R1191" s="1">
        <v>0.7</v>
      </c>
      <c r="S1191" s="1">
        <v>0.7</v>
      </c>
      <c r="T1191" s="1">
        <v>1249.49</v>
      </c>
      <c r="U1191" s="1">
        <f>IF(Table14[[#This Row],[I_0]] &lt; INDEX(Table28[Filtro de ruido],1), 1, Table14[[#This Row],[I_10]] / Table14[[#This Row],[I_0]])</f>
        <v>1.25</v>
      </c>
      <c r="V1191" s="1">
        <f>IF(Table14[[#This Row],[I_0]] &lt; INDEX(Table28[Filtro de ruido],1), 1, Table14[[#This Row],[I_20]] / Table14[[#This Row],[I_0]])</f>
        <v>1.4999999999999998</v>
      </c>
      <c r="W1191" s="1">
        <f>IF(Table14[[#This Row],[I_0]] &lt; INDEX(Table28[Filtro de ruido],1), 1, Table14[[#This Row],[I_30]] / Table14[[#This Row],[I_0]])</f>
        <v>1.4999999999999998</v>
      </c>
      <c r="X1191" s="1">
        <f>IF(Table14[[#This Row],[I_0]] &lt; INDEX(Table28[Filtro de ruido],1), 1, Table14[[#This Row],[I_40]] / Table14[[#This Row],[I_0]])</f>
        <v>1.7499999999999998</v>
      </c>
      <c r="Y1191" s="19">
        <f>IF(Table14[[#This Row],[I_0]] &lt; INDEX(Table28[Filtro de ruido],1), 1, Table14[[#This Row],[I_50]] / Table14[[#This Row],[I_0]])</f>
        <v>1.7499999999999998</v>
      </c>
      <c r="AA1191" s="1"/>
    </row>
    <row r="1192" spans="1:27" x14ac:dyDescent="0.3">
      <c r="A1192" s="18">
        <v>1250.48</v>
      </c>
      <c r="B1192" s="1">
        <v>0.4</v>
      </c>
      <c r="C1192" s="1">
        <v>1250.48</v>
      </c>
      <c r="D1192" s="1">
        <v>0.5</v>
      </c>
      <c r="E1192" s="1">
        <v>1250.48</v>
      </c>
      <c r="F1192" s="1">
        <v>0.6</v>
      </c>
      <c r="G1192" s="1">
        <v>1250.48</v>
      </c>
      <c r="H1192" s="1">
        <v>0.6</v>
      </c>
      <c r="I1192" s="1">
        <v>1250.48</v>
      </c>
      <c r="J1192" s="1">
        <v>0.7</v>
      </c>
      <c r="K1192" s="1">
        <v>1250.48</v>
      </c>
      <c r="L1192" s="1">
        <v>0.7</v>
      </c>
      <c r="M1192" s="1">
        <v>1250.48</v>
      </c>
      <c r="N1192" s="1">
        <v>0.4</v>
      </c>
      <c r="O1192" s="1">
        <v>0.5</v>
      </c>
      <c r="P1192" s="1">
        <v>0.6</v>
      </c>
      <c r="Q1192" s="1">
        <v>0.6</v>
      </c>
      <c r="R1192" s="1">
        <v>0.7</v>
      </c>
      <c r="S1192" s="1">
        <v>0.7</v>
      </c>
      <c r="T1192" s="1">
        <v>1250.48</v>
      </c>
      <c r="U1192" s="1">
        <f>IF(Table14[[#This Row],[I_0]] &lt; INDEX(Table28[Filtro de ruido],1), 1, Table14[[#This Row],[I_10]] / Table14[[#This Row],[I_0]])</f>
        <v>1.25</v>
      </c>
      <c r="V1192" s="1">
        <f>IF(Table14[[#This Row],[I_0]] &lt; INDEX(Table28[Filtro de ruido],1), 1, Table14[[#This Row],[I_20]] / Table14[[#This Row],[I_0]])</f>
        <v>1.4999999999999998</v>
      </c>
      <c r="W1192" s="1">
        <f>IF(Table14[[#This Row],[I_0]] &lt; INDEX(Table28[Filtro de ruido],1), 1, Table14[[#This Row],[I_30]] / Table14[[#This Row],[I_0]])</f>
        <v>1.4999999999999998</v>
      </c>
      <c r="X1192" s="1">
        <f>IF(Table14[[#This Row],[I_0]] &lt; INDEX(Table28[Filtro de ruido],1), 1, Table14[[#This Row],[I_40]] / Table14[[#This Row],[I_0]])</f>
        <v>1.7499999999999998</v>
      </c>
      <c r="Y1192" s="19">
        <f>IF(Table14[[#This Row],[I_0]] &lt; INDEX(Table28[Filtro de ruido],1), 1, Table14[[#This Row],[I_50]] / Table14[[#This Row],[I_0]])</f>
        <v>1.7499999999999998</v>
      </c>
      <c r="AA1192" s="1"/>
    </row>
    <row r="1193" spans="1:27" x14ac:dyDescent="0.3">
      <c r="A1193" s="18">
        <v>1251.47</v>
      </c>
      <c r="B1193" s="1">
        <v>0.5</v>
      </c>
      <c r="C1193" s="1">
        <v>1251.47</v>
      </c>
      <c r="D1193" s="1">
        <v>0.6</v>
      </c>
      <c r="E1193" s="1">
        <v>1251.47</v>
      </c>
      <c r="F1193" s="1">
        <v>0.7</v>
      </c>
      <c r="G1193" s="1">
        <v>1251.47</v>
      </c>
      <c r="H1193" s="1">
        <v>0.7</v>
      </c>
      <c r="I1193" s="1">
        <v>1251.47</v>
      </c>
      <c r="J1193" s="1">
        <v>0.8</v>
      </c>
      <c r="K1193" s="1">
        <v>1251.47</v>
      </c>
      <c r="L1193" s="1">
        <v>0.8</v>
      </c>
      <c r="M1193" s="1">
        <v>1251.47</v>
      </c>
      <c r="N1193" s="1">
        <v>0.5</v>
      </c>
      <c r="O1193" s="1">
        <v>0.6</v>
      </c>
      <c r="P1193" s="1">
        <v>0.7</v>
      </c>
      <c r="Q1193" s="1">
        <v>0.7</v>
      </c>
      <c r="R1193" s="1">
        <v>0.8</v>
      </c>
      <c r="S1193" s="1">
        <v>0.8</v>
      </c>
      <c r="T1193" s="1">
        <v>1251.47</v>
      </c>
      <c r="U1193" s="1">
        <f>IF(Table14[[#This Row],[I_0]] &lt; INDEX(Table28[Filtro de ruido],1), 1, Table14[[#This Row],[I_10]] / Table14[[#This Row],[I_0]])</f>
        <v>1.2</v>
      </c>
      <c r="V1193" s="1">
        <f>IF(Table14[[#This Row],[I_0]] &lt; INDEX(Table28[Filtro de ruido],1), 1, Table14[[#This Row],[I_20]] / Table14[[#This Row],[I_0]])</f>
        <v>1.4</v>
      </c>
      <c r="W1193" s="1">
        <f>IF(Table14[[#This Row],[I_0]] &lt; INDEX(Table28[Filtro de ruido],1), 1, Table14[[#This Row],[I_30]] / Table14[[#This Row],[I_0]])</f>
        <v>1.4</v>
      </c>
      <c r="X1193" s="1">
        <f>IF(Table14[[#This Row],[I_0]] &lt; INDEX(Table28[Filtro de ruido],1), 1, Table14[[#This Row],[I_40]] / Table14[[#This Row],[I_0]])</f>
        <v>1.6</v>
      </c>
      <c r="Y1193" s="19">
        <f>IF(Table14[[#This Row],[I_0]] &lt; INDEX(Table28[Filtro de ruido],1), 1, Table14[[#This Row],[I_50]] / Table14[[#This Row],[I_0]])</f>
        <v>1.6</v>
      </c>
      <c r="AA1193" s="1"/>
    </row>
    <row r="1194" spans="1:27" x14ac:dyDescent="0.3">
      <c r="A1194" s="18">
        <v>1252.46</v>
      </c>
      <c r="B1194" s="1">
        <v>0.5</v>
      </c>
      <c r="C1194" s="1">
        <v>1252.46</v>
      </c>
      <c r="D1194" s="1">
        <v>0.6</v>
      </c>
      <c r="E1194" s="1">
        <v>1252.46</v>
      </c>
      <c r="F1194" s="1">
        <v>0.7</v>
      </c>
      <c r="G1194" s="1">
        <v>1252.46</v>
      </c>
      <c r="H1194" s="1">
        <v>0.7</v>
      </c>
      <c r="I1194" s="1">
        <v>1252.46</v>
      </c>
      <c r="J1194" s="1">
        <v>0.8</v>
      </c>
      <c r="K1194" s="1">
        <v>1252.46</v>
      </c>
      <c r="L1194" s="1">
        <v>0.8</v>
      </c>
      <c r="M1194" s="1">
        <v>1252.46</v>
      </c>
      <c r="N1194" s="1">
        <v>0.5</v>
      </c>
      <c r="O1194" s="1">
        <v>0.6</v>
      </c>
      <c r="P1194" s="1">
        <v>0.7</v>
      </c>
      <c r="Q1194" s="1">
        <v>0.7</v>
      </c>
      <c r="R1194" s="1">
        <v>0.8</v>
      </c>
      <c r="S1194" s="1">
        <v>0.8</v>
      </c>
      <c r="T1194" s="1">
        <v>1252.46</v>
      </c>
      <c r="U1194" s="1">
        <f>IF(Table14[[#This Row],[I_0]] &lt; INDEX(Table28[Filtro de ruido],1), 1, Table14[[#This Row],[I_10]] / Table14[[#This Row],[I_0]])</f>
        <v>1.2</v>
      </c>
      <c r="V1194" s="1">
        <f>IF(Table14[[#This Row],[I_0]] &lt; INDEX(Table28[Filtro de ruido],1), 1, Table14[[#This Row],[I_20]] / Table14[[#This Row],[I_0]])</f>
        <v>1.4</v>
      </c>
      <c r="W1194" s="1">
        <f>IF(Table14[[#This Row],[I_0]] &lt; INDEX(Table28[Filtro de ruido],1), 1, Table14[[#This Row],[I_30]] / Table14[[#This Row],[I_0]])</f>
        <v>1.4</v>
      </c>
      <c r="X1194" s="1">
        <f>IF(Table14[[#This Row],[I_0]] &lt; INDEX(Table28[Filtro de ruido],1), 1, Table14[[#This Row],[I_40]] / Table14[[#This Row],[I_0]])</f>
        <v>1.6</v>
      </c>
      <c r="Y1194" s="19">
        <f>IF(Table14[[#This Row],[I_0]] &lt; INDEX(Table28[Filtro de ruido],1), 1, Table14[[#This Row],[I_50]] / Table14[[#This Row],[I_0]])</f>
        <v>1.6</v>
      </c>
      <c r="AA1194" s="1"/>
    </row>
    <row r="1195" spans="1:27" x14ac:dyDescent="0.3">
      <c r="A1195" s="18">
        <v>1253.46</v>
      </c>
      <c r="B1195" s="1">
        <v>0.5</v>
      </c>
      <c r="C1195" s="1">
        <v>1253.46</v>
      </c>
      <c r="D1195" s="1">
        <v>0.7</v>
      </c>
      <c r="E1195" s="1">
        <v>1253.46</v>
      </c>
      <c r="F1195" s="1">
        <v>0.8</v>
      </c>
      <c r="G1195" s="1">
        <v>1253.46</v>
      </c>
      <c r="H1195" s="1">
        <v>0.8</v>
      </c>
      <c r="I1195" s="1">
        <v>1253.46</v>
      </c>
      <c r="J1195" s="1">
        <v>0.9</v>
      </c>
      <c r="K1195" s="1">
        <v>1253.46</v>
      </c>
      <c r="L1195" s="1">
        <v>0.8</v>
      </c>
      <c r="M1195" s="1">
        <v>1253.46</v>
      </c>
      <c r="N1195" s="1">
        <v>0.5</v>
      </c>
      <c r="O1195" s="1">
        <v>0.7</v>
      </c>
      <c r="P1195" s="1">
        <v>0.8</v>
      </c>
      <c r="Q1195" s="1">
        <v>0.8</v>
      </c>
      <c r="R1195" s="1">
        <v>0.9</v>
      </c>
      <c r="S1195" s="1">
        <v>0.8</v>
      </c>
      <c r="T1195" s="1">
        <v>1253.46</v>
      </c>
      <c r="U1195" s="1">
        <f>IF(Table14[[#This Row],[I_0]] &lt; INDEX(Table28[Filtro de ruido],1), 1, Table14[[#This Row],[I_10]] / Table14[[#This Row],[I_0]])</f>
        <v>1.4</v>
      </c>
      <c r="V1195" s="1">
        <f>IF(Table14[[#This Row],[I_0]] &lt; INDEX(Table28[Filtro de ruido],1), 1, Table14[[#This Row],[I_20]] / Table14[[#This Row],[I_0]])</f>
        <v>1.6</v>
      </c>
      <c r="W1195" s="1">
        <f>IF(Table14[[#This Row],[I_0]] &lt; INDEX(Table28[Filtro de ruido],1), 1, Table14[[#This Row],[I_30]] / Table14[[#This Row],[I_0]])</f>
        <v>1.6</v>
      </c>
      <c r="X1195" s="1">
        <f>IF(Table14[[#This Row],[I_0]] &lt; INDEX(Table28[Filtro de ruido],1), 1, Table14[[#This Row],[I_40]] / Table14[[#This Row],[I_0]])</f>
        <v>1.8</v>
      </c>
      <c r="Y1195" s="19">
        <f>IF(Table14[[#This Row],[I_0]] &lt; INDEX(Table28[Filtro de ruido],1), 1, Table14[[#This Row],[I_50]] / Table14[[#This Row],[I_0]])</f>
        <v>1.6</v>
      </c>
      <c r="AA1195" s="1"/>
    </row>
    <row r="1196" spans="1:27" x14ac:dyDescent="0.3">
      <c r="A1196" s="18">
        <v>1254.45</v>
      </c>
      <c r="B1196" s="1">
        <v>0.6</v>
      </c>
      <c r="C1196" s="1">
        <v>1254.45</v>
      </c>
      <c r="D1196" s="1">
        <v>0.7</v>
      </c>
      <c r="E1196" s="1">
        <v>1254.45</v>
      </c>
      <c r="F1196" s="1">
        <v>0.8</v>
      </c>
      <c r="G1196" s="1">
        <v>1254.45</v>
      </c>
      <c r="H1196" s="1">
        <v>0.8</v>
      </c>
      <c r="I1196" s="1">
        <v>1254.45</v>
      </c>
      <c r="J1196" s="1">
        <v>0.9</v>
      </c>
      <c r="K1196" s="1">
        <v>1254.45</v>
      </c>
      <c r="L1196" s="1">
        <v>0.9</v>
      </c>
      <c r="M1196" s="1">
        <v>1254.45</v>
      </c>
      <c r="N1196" s="1">
        <v>0.6</v>
      </c>
      <c r="O1196" s="1">
        <v>0.7</v>
      </c>
      <c r="P1196" s="1">
        <v>0.8</v>
      </c>
      <c r="Q1196" s="1">
        <v>0.8</v>
      </c>
      <c r="R1196" s="1">
        <v>0.9</v>
      </c>
      <c r="S1196" s="1">
        <v>0.9</v>
      </c>
      <c r="T1196" s="1">
        <v>1254.45</v>
      </c>
      <c r="U1196" s="1">
        <f>IF(Table14[[#This Row],[I_0]] &lt; INDEX(Table28[Filtro de ruido],1), 1, Table14[[#This Row],[I_10]] / Table14[[#This Row],[I_0]])</f>
        <v>1.1666666666666667</v>
      </c>
      <c r="V1196" s="1">
        <f>IF(Table14[[#This Row],[I_0]] &lt; INDEX(Table28[Filtro de ruido],1), 1, Table14[[#This Row],[I_20]] / Table14[[#This Row],[I_0]])</f>
        <v>1.3333333333333335</v>
      </c>
      <c r="W1196" s="1">
        <f>IF(Table14[[#This Row],[I_0]] &lt; INDEX(Table28[Filtro de ruido],1), 1, Table14[[#This Row],[I_30]] / Table14[[#This Row],[I_0]])</f>
        <v>1.3333333333333335</v>
      </c>
      <c r="X1196" s="1">
        <f>IF(Table14[[#This Row],[I_0]] &lt; INDEX(Table28[Filtro de ruido],1), 1, Table14[[#This Row],[I_40]] / Table14[[#This Row],[I_0]])</f>
        <v>1.5</v>
      </c>
      <c r="Y1196" s="19">
        <f>IF(Table14[[#This Row],[I_0]] &lt; INDEX(Table28[Filtro de ruido],1), 1, Table14[[#This Row],[I_50]] / Table14[[#This Row],[I_0]])</f>
        <v>1.5</v>
      </c>
      <c r="AA1196" s="1"/>
    </row>
    <row r="1197" spans="1:27" x14ac:dyDescent="0.3">
      <c r="A1197" s="18">
        <v>1255.44</v>
      </c>
      <c r="B1197" s="1">
        <v>0.6</v>
      </c>
      <c r="C1197" s="1">
        <v>1255.44</v>
      </c>
      <c r="D1197" s="1">
        <v>0.7</v>
      </c>
      <c r="E1197" s="1">
        <v>1255.44</v>
      </c>
      <c r="F1197" s="1">
        <v>0.9</v>
      </c>
      <c r="G1197" s="1">
        <v>1255.44</v>
      </c>
      <c r="H1197" s="1">
        <v>0.9</v>
      </c>
      <c r="I1197" s="1">
        <v>1255.44</v>
      </c>
      <c r="J1197" s="1">
        <v>1</v>
      </c>
      <c r="K1197" s="1">
        <v>1255.44</v>
      </c>
      <c r="L1197" s="1">
        <v>0.9</v>
      </c>
      <c r="M1197" s="1">
        <v>1255.44</v>
      </c>
      <c r="N1197" s="1">
        <v>0.6</v>
      </c>
      <c r="O1197" s="1">
        <v>0.7</v>
      </c>
      <c r="P1197" s="1">
        <v>0.9</v>
      </c>
      <c r="Q1197" s="1">
        <v>0.9</v>
      </c>
      <c r="R1197" s="1">
        <v>1</v>
      </c>
      <c r="S1197" s="1">
        <v>0.9</v>
      </c>
      <c r="T1197" s="1">
        <v>1255.44</v>
      </c>
      <c r="U1197" s="1">
        <f>IF(Table14[[#This Row],[I_0]] &lt; INDEX(Table28[Filtro de ruido],1), 1, Table14[[#This Row],[I_10]] / Table14[[#This Row],[I_0]])</f>
        <v>1.1666666666666667</v>
      </c>
      <c r="V1197" s="1">
        <f>IF(Table14[[#This Row],[I_0]] &lt; INDEX(Table28[Filtro de ruido],1), 1, Table14[[#This Row],[I_20]] / Table14[[#This Row],[I_0]])</f>
        <v>1.5</v>
      </c>
      <c r="W1197" s="1">
        <f>IF(Table14[[#This Row],[I_0]] &lt; INDEX(Table28[Filtro de ruido],1), 1, Table14[[#This Row],[I_30]] / Table14[[#This Row],[I_0]])</f>
        <v>1.5</v>
      </c>
      <c r="X1197" s="1">
        <f>IF(Table14[[#This Row],[I_0]] &lt; INDEX(Table28[Filtro de ruido],1), 1, Table14[[#This Row],[I_40]] / Table14[[#This Row],[I_0]])</f>
        <v>1.6666666666666667</v>
      </c>
      <c r="Y1197" s="19">
        <f>IF(Table14[[#This Row],[I_0]] &lt; INDEX(Table28[Filtro de ruido],1), 1, Table14[[#This Row],[I_50]] / Table14[[#This Row],[I_0]])</f>
        <v>1.5</v>
      </c>
      <c r="AA1197" s="1"/>
    </row>
    <row r="1198" spans="1:27" x14ac:dyDescent="0.3">
      <c r="A1198" s="18">
        <v>1256.43</v>
      </c>
      <c r="B1198" s="1">
        <v>0.7</v>
      </c>
      <c r="C1198" s="1">
        <v>1256.43</v>
      </c>
      <c r="D1198" s="1">
        <v>0.8</v>
      </c>
      <c r="E1198" s="1">
        <v>1256.43</v>
      </c>
      <c r="F1198" s="1">
        <v>0.9</v>
      </c>
      <c r="G1198" s="1">
        <v>1256.43</v>
      </c>
      <c r="H1198" s="1">
        <v>0.9</v>
      </c>
      <c r="I1198" s="1">
        <v>1256.43</v>
      </c>
      <c r="J1198" s="1">
        <v>1</v>
      </c>
      <c r="K1198" s="1">
        <v>1256.43</v>
      </c>
      <c r="L1198" s="1">
        <v>1</v>
      </c>
      <c r="M1198" s="1">
        <v>1256.43</v>
      </c>
      <c r="N1198" s="1">
        <v>0.7</v>
      </c>
      <c r="O1198" s="1">
        <v>0.8</v>
      </c>
      <c r="P1198" s="1">
        <v>0.9</v>
      </c>
      <c r="Q1198" s="1">
        <v>0.9</v>
      </c>
      <c r="R1198" s="1">
        <v>1</v>
      </c>
      <c r="S1198" s="1">
        <v>1</v>
      </c>
      <c r="T1198" s="1">
        <v>1256.43</v>
      </c>
      <c r="U1198" s="1">
        <f>IF(Table14[[#This Row],[I_0]] &lt; INDEX(Table28[Filtro de ruido],1), 1, Table14[[#This Row],[I_10]] / Table14[[#This Row],[I_0]])</f>
        <v>1.142857142857143</v>
      </c>
      <c r="V1198" s="1">
        <f>IF(Table14[[#This Row],[I_0]] &lt; INDEX(Table28[Filtro de ruido],1), 1, Table14[[#This Row],[I_20]] / Table14[[#This Row],[I_0]])</f>
        <v>1.2857142857142858</v>
      </c>
      <c r="W1198" s="1">
        <f>IF(Table14[[#This Row],[I_0]] &lt; INDEX(Table28[Filtro de ruido],1), 1, Table14[[#This Row],[I_30]] / Table14[[#This Row],[I_0]])</f>
        <v>1.2857142857142858</v>
      </c>
      <c r="X1198" s="1">
        <f>IF(Table14[[#This Row],[I_0]] &lt; INDEX(Table28[Filtro de ruido],1), 1, Table14[[#This Row],[I_40]] / Table14[[#This Row],[I_0]])</f>
        <v>1.4285714285714286</v>
      </c>
      <c r="Y1198" s="19">
        <f>IF(Table14[[#This Row],[I_0]] &lt; INDEX(Table28[Filtro de ruido],1), 1, Table14[[#This Row],[I_50]] / Table14[[#This Row],[I_0]])</f>
        <v>1.4285714285714286</v>
      </c>
      <c r="AA1198" s="1"/>
    </row>
    <row r="1199" spans="1:27" x14ac:dyDescent="0.3">
      <c r="A1199" s="18">
        <v>1257.42</v>
      </c>
      <c r="B1199" s="1">
        <v>0.7</v>
      </c>
      <c r="C1199" s="1">
        <v>1257.42</v>
      </c>
      <c r="D1199" s="1">
        <v>0.8</v>
      </c>
      <c r="E1199" s="1">
        <v>1257.42</v>
      </c>
      <c r="F1199" s="1">
        <v>1</v>
      </c>
      <c r="G1199" s="1">
        <v>1257.42</v>
      </c>
      <c r="H1199" s="1">
        <v>1</v>
      </c>
      <c r="I1199" s="1">
        <v>1257.42</v>
      </c>
      <c r="J1199" s="1">
        <v>1.1000000000000001</v>
      </c>
      <c r="K1199" s="1">
        <v>1257.42</v>
      </c>
      <c r="L1199" s="1">
        <v>1.1000000000000001</v>
      </c>
      <c r="M1199" s="1">
        <v>1257.42</v>
      </c>
      <c r="N1199" s="1">
        <v>0.7</v>
      </c>
      <c r="O1199" s="1">
        <v>0.8</v>
      </c>
      <c r="P1199" s="1">
        <v>1</v>
      </c>
      <c r="Q1199" s="1">
        <v>1</v>
      </c>
      <c r="R1199" s="1">
        <v>1.1000000000000001</v>
      </c>
      <c r="S1199" s="1">
        <v>1.1000000000000001</v>
      </c>
      <c r="T1199" s="1">
        <v>1257.42</v>
      </c>
      <c r="U1199" s="1">
        <f>IF(Table14[[#This Row],[I_0]] &lt; INDEX(Table28[Filtro de ruido],1), 1, Table14[[#This Row],[I_10]] / Table14[[#This Row],[I_0]])</f>
        <v>1.142857142857143</v>
      </c>
      <c r="V1199" s="1">
        <f>IF(Table14[[#This Row],[I_0]] &lt; INDEX(Table28[Filtro de ruido],1), 1, Table14[[#This Row],[I_20]] / Table14[[#This Row],[I_0]])</f>
        <v>1.4285714285714286</v>
      </c>
      <c r="W1199" s="1">
        <f>IF(Table14[[#This Row],[I_0]] &lt; INDEX(Table28[Filtro de ruido],1), 1, Table14[[#This Row],[I_30]] / Table14[[#This Row],[I_0]])</f>
        <v>1.4285714285714286</v>
      </c>
      <c r="X1199" s="1">
        <f>IF(Table14[[#This Row],[I_0]] &lt; INDEX(Table28[Filtro de ruido],1), 1, Table14[[#This Row],[I_40]] / Table14[[#This Row],[I_0]])</f>
        <v>1.5714285714285716</v>
      </c>
      <c r="Y1199" s="19">
        <f>IF(Table14[[#This Row],[I_0]] &lt; INDEX(Table28[Filtro de ruido],1), 1, Table14[[#This Row],[I_50]] / Table14[[#This Row],[I_0]])</f>
        <v>1.5714285714285716</v>
      </c>
      <c r="AA1199" s="1"/>
    </row>
    <row r="1200" spans="1:27" x14ac:dyDescent="0.3">
      <c r="A1200" s="18">
        <v>1258.4100000000001</v>
      </c>
      <c r="B1200" s="1">
        <v>0.7</v>
      </c>
      <c r="C1200" s="1">
        <v>1258.4100000000001</v>
      </c>
      <c r="D1200" s="1">
        <v>0.9</v>
      </c>
      <c r="E1200" s="1">
        <v>1258.4100000000001</v>
      </c>
      <c r="F1200" s="1">
        <v>1</v>
      </c>
      <c r="G1200" s="1">
        <v>1258.4100000000001</v>
      </c>
      <c r="H1200" s="1">
        <v>1.1000000000000001</v>
      </c>
      <c r="I1200" s="1">
        <v>1258.4100000000001</v>
      </c>
      <c r="J1200" s="1">
        <v>1.2</v>
      </c>
      <c r="K1200" s="1">
        <v>1258.4100000000001</v>
      </c>
      <c r="L1200" s="1">
        <v>1.1000000000000001</v>
      </c>
      <c r="M1200" s="1">
        <v>1258.4100000000001</v>
      </c>
      <c r="N1200" s="1">
        <v>0.7</v>
      </c>
      <c r="O1200" s="1">
        <v>0.9</v>
      </c>
      <c r="P1200" s="1">
        <v>1</v>
      </c>
      <c r="Q1200" s="1">
        <v>1.1000000000000001</v>
      </c>
      <c r="R1200" s="1">
        <v>1.2</v>
      </c>
      <c r="S1200" s="1">
        <v>1.1000000000000001</v>
      </c>
      <c r="T1200" s="1">
        <v>1258.4100000000001</v>
      </c>
      <c r="U1200" s="1">
        <f>IF(Table14[[#This Row],[I_0]] &lt; INDEX(Table28[Filtro de ruido],1), 1, Table14[[#This Row],[I_10]] / Table14[[#This Row],[I_0]])</f>
        <v>1.2857142857142858</v>
      </c>
      <c r="V1200" s="1">
        <f>IF(Table14[[#This Row],[I_0]] &lt; INDEX(Table28[Filtro de ruido],1), 1, Table14[[#This Row],[I_20]] / Table14[[#This Row],[I_0]])</f>
        <v>1.4285714285714286</v>
      </c>
      <c r="W1200" s="1">
        <f>IF(Table14[[#This Row],[I_0]] &lt; INDEX(Table28[Filtro de ruido],1), 1, Table14[[#This Row],[I_30]] / Table14[[#This Row],[I_0]])</f>
        <v>1.5714285714285716</v>
      </c>
      <c r="X1200" s="1">
        <f>IF(Table14[[#This Row],[I_0]] &lt; INDEX(Table28[Filtro de ruido],1), 1, Table14[[#This Row],[I_40]] / Table14[[#This Row],[I_0]])</f>
        <v>1.7142857142857144</v>
      </c>
      <c r="Y1200" s="19">
        <f>IF(Table14[[#This Row],[I_0]] &lt; INDEX(Table28[Filtro de ruido],1), 1, Table14[[#This Row],[I_50]] / Table14[[#This Row],[I_0]])</f>
        <v>1.5714285714285716</v>
      </c>
      <c r="AA1200" s="1"/>
    </row>
    <row r="1201" spans="1:27" x14ac:dyDescent="0.3">
      <c r="A1201" s="18">
        <v>1259.4100000000001</v>
      </c>
      <c r="B1201" s="1">
        <v>0.8</v>
      </c>
      <c r="C1201" s="1">
        <v>1259.4100000000001</v>
      </c>
      <c r="D1201" s="1">
        <v>0.9</v>
      </c>
      <c r="E1201" s="1">
        <v>1259.4100000000001</v>
      </c>
      <c r="F1201" s="1">
        <v>1.1000000000000001</v>
      </c>
      <c r="G1201" s="1">
        <v>1259.4100000000001</v>
      </c>
      <c r="H1201" s="1">
        <v>1.1000000000000001</v>
      </c>
      <c r="I1201" s="1">
        <v>1259.4100000000001</v>
      </c>
      <c r="J1201" s="1">
        <v>1.2</v>
      </c>
      <c r="K1201" s="1">
        <v>1259.4100000000001</v>
      </c>
      <c r="L1201" s="1">
        <v>1.2</v>
      </c>
      <c r="M1201" s="1">
        <v>1259.4100000000001</v>
      </c>
      <c r="N1201" s="1">
        <v>0.8</v>
      </c>
      <c r="O1201" s="1">
        <v>0.9</v>
      </c>
      <c r="P1201" s="1">
        <v>1.1000000000000001</v>
      </c>
      <c r="Q1201" s="1">
        <v>1.1000000000000001</v>
      </c>
      <c r="R1201" s="1">
        <v>1.2</v>
      </c>
      <c r="S1201" s="1">
        <v>1.2</v>
      </c>
      <c r="T1201" s="1">
        <v>1259.4100000000001</v>
      </c>
      <c r="U1201" s="1">
        <f>IF(Table14[[#This Row],[I_0]] &lt; INDEX(Table28[Filtro de ruido],1), 1, Table14[[#This Row],[I_10]] / Table14[[#This Row],[I_0]])</f>
        <v>1.125</v>
      </c>
      <c r="V1201" s="1">
        <f>IF(Table14[[#This Row],[I_0]] &lt; INDEX(Table28[Filtro de ruido],1), 1, Table14[[#This Row],[I_20]] / Table14[[#This Row],[I_0]])</f>
        <v>1.375</v>
      </c>
      <c r="W1201" s="1">
        <f>IF(Table14[[#This Row],[I_0]] &lt; INDEX(Table28[Filtro de ruido],1), 1, Table14[[#This Row],[I_30]] / Table14[[#This Row],[I_0]])</f>
        <v>1.375</v>
      </c>
      <c r="X1201" s="1">
        <f>IF(Table14[[#This Row],[I_0]] &lt; INDEX(Table28[Filtro de ruido],1), 1, Table14[[#This Row],[I_40]] / Table14[[#This Row],[I_0]])</f>
        <v>1.4999999999999998</v>
      </c>
      <c r="Y1201" s="19">
        <f>IF(Table14[[#This Row],[I_0]] &lt; INDEX(Table28[Filtro de ruido],1), 1, Table14[[#This Row],[I_50]] / Table14[[#This Row],[I_0]])</f>
        <v>1.4999999999999998</v>
      </c>
      <c r="AA1201" s="1"/>
    </row>
    <row r="1202" spans="1:27" x14ac:dyDescent="0.3">
      <c r="A1202" s="18">
        <v>1260.4000000000001</v>
      </c>
      <c r="B1202" s="1">
        <v>0.8</v>
      </c>
      <c r="C1202" s="1">
        <v>1260.4000000000001</v>
      </c>
      <c r="D1202" s="1">
        <v>1</v>
      </c>
      <c r="E1202" s="1">
        <v>1260.4000000000001</v>
      </c>
      <c r="F1202" s="1">
        <v>1.1000000000000001</v>
      </c>
      <c r="G1202" s="1">
        <v>1260.4000000000001</v>
      </c>
      <c r="H1202" s="1">
        <v>1.2</v>
      </c>
      <c r="I1202" s="1">
        <v>1260.4000000000001</v>
      </c>
      <c r="J1202" s="1">
        <v>1.3</v>
      </c>
      <c r="K1202" s="1">
        <v>1260.4000000000001</v>
      </c>
      <c r="L1202" s="1">
        <v>1.3</v>
      </c>
      <c r="M1202" s="1">
        <v>1260.4000000000001</v>
      </c>
      <c r="N1202" s="1">
        <v>0.8</v>
      </c>
      <c r="O1202" s="1">
        <v>1</v>
      </c>
      <c r="P1202" s="1">
        <v>1.1000000000000001</v>
      </c>
      <c r="Q1202" s="1">
        <v>1.2</v>
      </c>
      <c r="R1202" s="1">
        <v>1.3</v>
      </c>
      <c r="S1202" s="1">
        <v>1.3</v>
      </c>
      <c r="T1202" s="1">
        <v>1260.4000000000001</v>
      </c>
      <c r="U1202" s="1">
        <f>IF(Table14[[#This Row],[I_0]] &lt; INDEX(Table28[Filtro de ruido],1), 1, Table14[[#This Row],[I_10]] / Table14[[#This Row],[I_0]])</f>
        <v>1.25</v>
      </c>
      <c r="V1202" s="1">
        <f>IF(Table14[[#This Row],[I_0]] &lt; INDEX(Table28[Filtro de ruido],1), 1, Table14[[#This Row],[I_20]] / Table14[[#This Row],[I_0]])</f>
        <v>1.375</v>
      </c>
      <c r="W1202" s="1">
        <f>IF(Table14[[#This Row],[I_0]] &lt; INDEX(Table28[Filtro de ruido],1), 1, Table14[[#This Row],[I_30]] / Table14[[#This Row],[I_0]])</f>
        <v>1.4999999999999998</v>
      </c>
      <c r="X1202" s="1">
        <f>IF(Table14[[#This Row],[I_0]] &lt; INDEX(Table28[Filtro de ruido],1), 1, Table14[[#This Row],[I_40]] / Table14[[#This Row],[I_0]])</f>
        <v>1.625</v>
      </c>
      <c r="Y1202" s="19">
        <f>IF(Table14[[#This Row],[I_0]] &lt; INDEX(Table28[Filtro de ruido],1), 1, Table14[[#This Row],[I_50]] / Table14[[#This Row],[I_0]])</f>
        <v>1.625</v>
      </c>
      <c r="AA1202" s="1"/>
    </row>
    <row r="1203" spans="1:27" x14ac:dyDescent="0.3">
      <c r="A1203" s="18">
        <v>1261.3900000000001</v>
      </c>
      <c r="B1203" s="1">
        <v>0.8</v>
      </c>
      <c r="C1203" s="1">
        <v>1261.3900000000001</v>
      </c>
      <c r="D1203" s="1">
        <v>1</v>
      </c>
      <c r="E1203" s="1">
        <v>1261.3900000000001</v>
      </c>
      <c r="F1203" s="1">
        <v>1.2</v>
      </c>
      <c r="G1203" s="1">
        <v>1261.3900000000001</v>
      </c>
      <c r="H1203" s="1">
        <v>1.2</v>
      </c>
      <c r="I1203" s="1">
        <v>1261.3900000000001</v>
      </c>
      <c r="J1203" s="1">
        <v>1.3</v>
      </c>
      <c r="K1203" s="1">
        <v>1261.3900000000001</v>
      </c>
      <c r="L1203" s="1">
        <v>1.3</v>
      </c>
      <c r="M1203" s="1">
        <v>1261.3900000000001</v>
      </c>
      <c r="N1203" s="1">
        <v>0.8</v>
      </c>
      <c r="O1203" s="1">
        <v>1</v>
      </c>
      <c r="P1203" s="1">
        <v>1.2</v>
      </c>
      <c r="Q1203" s="1">
        <v>1.2</v>
      </c>
      <c r="R1203" s="1">
        <v>1.3</v>
      </c>
      <c r="S1203" s="1">
        <v>1.3</v>
      </c>
      <c r="T1203" s="1">
        <v>1261.3900000000001</v>
      </c>
      <c r="U1203" s="1">
        <f>IF(Table14[[#This Row],[I_0]] &lt; INDEX(Table28[Filtro de ruido],1), 1, Table14[[#This Row],[I_10]] / Table14[[#This Row],[I_0]])</f>
        <v>1.25</v>
      </c>
      <c r="V1203" s="1">
        <f>IF(Table14[[#This Row],[I_0]] &lt; INDEX(Table28[Filtro de ruido],1), 1, Table14[[#This Row],[I_20]] / Table14[[#This Row],[I_0]])</f>
        <v>1.4999999999999998</v>
      </c>
      <c r="W1203" s="1">
        <f>IF(Table14[[#This Row],[I_0]] &lt; INDEX(Table28[Filtro de ruido],1), 1, Table14[[#This Row],[I_30]] / Table14[[#This Row],[I_0]])</f>
        <v>1.4999999999999998</v>
      </c>
      <c r="X1203" s="1">
        <f>IF(Table14[[#This Row],[I_0]] &lt; INDEX(Table28[Filtro de ruido],1), 1, Table14[[#This Row],[I_40]] / Table14[[#This Row],[I_0]])</f>
        <v>1.625</v>
      </c>
      <c r="Y1203" s="19">
        <f>IF(Table14[[#This Row],[I_0]] &lt; INDEX(Table28[Filtro de ruido],1), 1, Table14[[#This Row],[I_50]] / Table14[[#This Row],[I_0]])</f>
        <v>1.625</v>
      </c>
      <c r="AA1203" s="1"/>
    </row>
    <row r="1204" spans="1:27" x14ac:dyDescent="0.3">
      <c r="A1204" s="18">
        <v>1262.3800000000001</v>
      </c>
      <c r="B1204" s="1">
        <v>0.9</v>
      </c>
      <c r="C1204" s="1">
        <v>1262.3800000000001</v>
      </c>
      <c r="D1204" s="1">
        <v>1.1000000000000001</v>
      </c>
      <c r="E1204" s="1">
        <v>1262.3800000000001</v>
      </c>
      <c r="F1204" s="1">
        <v>1.3</v>
      </c>
      <c r="G1204" s="1">
        <v>1262.3800000000001</v>
      </c>
      <c r="H1204" s="1">
        <v>1.3</v>
      </c>
      <c r="I1204" s="1">
        <v>1262.3800000000001</v>
      </c>
      <c r="J1204" s="1">
        <v>1.4</v>
      </c>
      <c r="K1204" s="1">
        <v>1262.3800000000001</v>
      </c>
      <c r="L1204" s="1">
        <v>1.4</v>
      </c>
      <c r="M1204" s="1">
        <v>1262.3800000000001</v>
      </c>
      <c r="N1204" s="1">
        <v>0.9</v>
      </c>
      <c r="O1204" s="1">
        <v>1.1000000000000001</v>
      </c>
      <c r="P1204" s="1">
        <v>1.3</v>
      </c>
      <c r="Q1204" s="1">
        <v>1.3</v>
      </c>
      <c r="R1204" s="1">
        <v>1.4</v>
      </c>
      <c r="S1204" s="1">
        <v>1.4</v>
      </c>
      <c r="T1204" s="1">
        <v>1262.3800000000001</v>
      </c>
      <c r="U1204" s="1">
        <f>IF(Table14[[#This Row],[I_0]] &lt; INDEX(Table28[Filtro de ruido],1), 1, Table14[[#This Row],[I_10]] / Table14[[#This Row],[I_0]])</f>
        <v>1.2222222222222223</v>
      </c>
      <c r="V1204" s="1">
        <f>IF(Table14[[#This Row],[I_0]] &lt; INDEX(Table28[Filtro de ruido],1), 1, Table14[[#This Row],[I_20]] / Table14[[#This Row],[I_0]])</f>
        <v>1.4444444444444444</v>
      </c>
      <c r="W1204" s="1">
        <f>IF(Table14[[#This Row],[I_0]] &lt; INDEX(Table28[Filtro de ruido],1), 1, Table14[[#This Row],[I_30]] / Table14[[#This Row],[I_0]])</f>
        <v>1.4444444444444444</v>
      </c>
      <c r="X1204" s="1">
        <f>IF(Table14[[#This Row],[I_0]] &lt; INDEX(Table28[Filtro de ruido],1), 1, Table14[[#This Row],[I_40]] / Table14[[#This Row],[I_0]])</f>
        <v>1.5555555555555554</v>
      </c>
      <c r="Y1204" s="19">
        <f>IF(Table14[[#This Row],[I_0]] &lt; INDEX(Table28[Filtro de ruido],1), 1, Table14[[#This Row],[I_50]] / Table14[[#This Row],[I_0]])</f>
        <v>1.5555555555555554</v>
      </c>
      <c r="AA1204" s="1"/>
    </row>
    <row r="1205" spans="1:27" x14ac:dyDescent="0.3">
      <c r="A1205" s="18">
        <v>1263.3699999999999</v>
      </c>
      <c r="B1205" s="1">
        <v>0.9</v>
      </c>
      <c r="C1205" s="1">
        <v>1263.3699999999999</v>
      </c>
      <c r="D1205" s="1">
        <v>1.1000000000000001</v>
      </c>
      <c r="E1205" s="1">
        <v>1263.3699999999999</v>
      </c>
      <c r="F1205" s="1">
        <v>1.3</v>
      </c>
      <c r="G1205" s="1">
        <v>1263.3699999999999</v>
      </c>
      <c r="H1205" s="1">
        <v>1.3</v>
      </c>
      <c r="I1205" s="1">
        <v>1263.3699999999999</v>
      </c>
      <c r="J1205" s="1">
        <v>1.5</v>
      </c>
      <c r="K1205" s="1">
        <v>1263.3699999999999</v>
      </c>
      <c r="L1205" s="1">
        <v>1.4</v>
      </c>
      <c r="M1205" s="1">
        <v>1263.3699999999999</v>
      </c>
      <c r="N1205" s="1">
        <v>0.9</v>
      </c>
      <c r="O1205" s="1">
        <v>1.1000000000000001</v>
      </c>
      <c r="P1205" s="1">
        <v>1.3</v>
      </c>
      <c r="Q1205" s="1">
        <v>1.3</v>
      </c>
      <c r="R1205" s="1">
        <v>1.5</v>
      </c>
      <c r="S1205" s="1">
        <v>1.4</v>
      </c>
      <c r="T1205" s="1">
        <v>1263.3699999999999</v>
      </c>
      <c r="U1205" s="1">
        <f>IF(Table14[[#This Row],[I_0]] &lt; INDEX(Table28[Filtro de ruido],1), 1, Table14[[#This Row],[I_10]] / Table14[[#This Row],[I_0]])</f>
        <v>1.2222222222222223</v>
      </c>
      <c r="V1205" s="1">
        <f>IF(Table14[[#This Row],[I_0]] &lt; INDEX(Table28[Filtro de ruido],1), 1, Table14[[#This Row],[I_20]] / Table14[[#This Row],[I_0]])</f>
        <v>1.4444444444444444</v>
      </c>
      <c r="W1205" s="1">
        <f>IF(Table14[[#This Row],[I_0]] &lt; INDEX(Table28[Filtro de ruido],1), 1, Table14[[#This Row],[I_30]] / Table14[[#This Row],[I_0]])</f>
        <v>1.4444444444444444</v>
      </c>
      <c r="X1205" s="1">
        <f>IF(Table14[[#This Row],[I_0]] &lt; INDEX(Table28[Filtro de ruido],1), 1, Table14[[#This Row],[I_40]] / Table14[[#This Row],[I_0]])</f>
        <v>1.6666666666666665</v>
      </c>
      <c r="Y1205" s="19">
        <f>IF(Table14[[#This Row],[I_0]] &lt; INDEX(Table28[Filtro de ruido],1), 1, Table14[[#This Row],[I_50]] / Table14[[#This Row],[I_0]])</f>
        <v>1.5555555555555554</v>
      </c>
      <c r="AA1205" s="1"/>
    </row>
    <row r="1206" spans="1:27" x14ac:dyDescent="0.3">
      <c r="A1206" s="18">
        <v>1264.3599999999999</v>
      </c>
      <c r="B1206" s="1">
        <v>1</v>
      </c>
      <c r="C1206" s="1">
        <v>1264.3599999999999</v>
      </c>
      <c r="D1206" s="1">
        <v>1.2</v>
      </c>
      <c r="E1206" s="1">
        <v>1264.3599999999999</v>
      </c>
      <c r="F1206" s="1">
        <v>1.4</v>
      </c>
      <c r="G1206" s="1">
        <v>1264.3599999999999</v>
      </c>
      <c r="H1206" s="1">
        <v>1.4</v>
      </c>
      <c r="I1206" s="1">
        <v>1264.3599999999999</v>
      </c>
      <c r="J1206" s="1">
        <v>1.5</v>
      </c>
      <c r="K1206" s="1">
        <v>1264.3599999999999</v>
      </c>
      <c r="L1206" s="1">
        <v>1.5</v>
      </c>
      <c r="M1206" s="1">
        <v>1264.3599999999999</v>
      </c>
      <c r="N1206" s="1">
        <v>1</v>
      </c>
      <c r="O1206" s="1">
        <v>1.2</v>
      </c>
      <c r="P1206" s="1">
        <v>1.4</v>
      </c>
      <c r="Q1206" s="1">
        <v>1.4</v>
      </c>
      <c r="R1206" s="1">
        <v>1.5</v>
      </c>
      <c r="S1206" s="1">
        <v>1.5</v>
      </c>
      <c r="T1206" s="1">
        <v>1264.3599999999999</v>
      </c>
      <c r="U1206" s="1">
        <f>IF(Table14[[#This Row],[I_0]] &lt; INDEX(Table28[Filtro de ruido],1), 1, Table14[[#This Row],[I_10]] / Table14[[#This Row],[I_0]])</f>
        <v>1.2</v>
      </c>
      <c r="V1206" s="1">
        <f>IF(Table14[[#This Row],[I_0]] &lt; INDEX(Table28[Filtro de ruido],1), 1, Table14[[#This Row],[I_20]] / Table14[[#This Row],[I_0]])</f>
        <v>1.4</v>
      </c>
      <c r="W1206" s="1">
        <f>IF(Table14[[#This Row],[I_0]] &lt; INDEX(Table28[Filtro de ruido],1), 1, Table14[[#This Row],[I_30]] / Table14[[#This Row],[I_0]])</f>
        <v>1.4</v>
      </c>
      <c r="X1206" s="1">
        <f>IF(Table14[[#This Row],[I_0]] &lt; INDEX(Table28[Filtro de ruido],1), 1, Table14[[#This Row],[I_40]] / Table14[[#This Row],[I_0]])</f>
        <v>1.5</v>
      </c>
      <c r="Y1206" s="19">
        <f>IF(Table14[[#This Row],[I_0]] &lt; INDEX(Table28[Filtro de ruido],1), 1, Table14[[#This Row],[I_50]] / Table14[[#This Row],[I_0]])</f>
        <v>1.5</v>
      </c>
      <c r="AA1206" s="1"/>
    </row>
    <row r="1207" spans="1:27" x14ac:dyDescent="0.3">
      <c r="A1207" s="18">
        <v>1265.3599999999999</v>
      </c>
      <c r="B1207" s="1">
        <v>1</v>
      </c>
      <c r="C1207" s="1">
        <v>1265.3599999999999</v>
      </c>
      <c r="D1207" s="1">
        <v>1.2</v>
      </c>
      <c r="E1207" s="1">
        <v>1265.3599999999999</v>
      </c>
      <c r="F1207" s="1">
        <v>1.4</v>
      </c>
      <c r="G1207" s="1">
        <v>1265.3599999999999</v>
      </c>
      <c r="H1207" s="1">
        <v>1.4</v>
      </c>
      <c r="I1207" s="1">
        <v>1265.3599999999999</v>
      </c>
      <c r="J1207" s="1">
        <v>1.6</v>
      </c>
      <c r="K1207" s="1">
        <v>1265.3599999999999</v>
      </c>
      <c r="L1207" s="1">
        <v>1.5</v>
      </c>
      <c r="M1207" s="1">
        <v>1265.3599999999999</v>
      </c>
      <c r="N1207" s="1">
        <v>1</v>
      </c>
      <c r="O1207" s="1">
        <v>1.2</v>
      </c>
      <c r="P1207" s="1">
        <v>1.4</v>
      </c>
      <c r="Q1207" s="1">
        <v>1.4</v>
      </c>
      <c r="R1207" s="1">
        <v>1.6</v>
      </c>
      <c r="S1207" s="1">
        <v>1.5</v>
      </c>
      <c r="T1207" s="1">
        <v>1265.3599999999999</v>
      </c>
      <c r="U1207" s="1">
        <f>IF(Table14[[#This Row],[I_0]] &lt; INDEX(Table28[Filtro de ruido],1), 1, Table14[[#This Row],[I_10]] / Table14[[#This Row],[I_0]])</f>
        <v>1.2</v>
      </c>
      <c r="V1207" s="1">
        <f>IF(Table14[[#This Row],[I_0]] &lt; INDEX(Table28[Filtro de ruido],1), 1, Table14[[#This Row],[I_20]] / Table14[[#This Row],[I_0]])</f>
        <v>1.4</v>
      </c>
      <c r="W1207" s="1">
        <f>IF(Table14[[#This Row],[I_0]] &lt; INDEX(Table28[Filtro de ruido],1), 1, Table14[[#This Row],[I_30]] / Table14[[#This Row],[I_0]])</f>
        <v>1.4</v>
      </c>
      <c r="X1207" s="1">
        <f>IF(Table14[[#This Row],[I_0]] &lt; INDEX(Table28[Filtro de ruido],1), 1, Table14[[#This Row],[I_40]] / Table14[[#This Row],[I_0]])</f>
        <v>1.6</v>
      </c>
      <c r="Y1207" s="19">
        <f>IF(Table14[[#This Row],[I_0]] &lt; INDEX(Table28[Filtro de ruido],1), 1, Table14[[#This Row],[I_50]] / Table14[[#This Row],[I_0]])</f>
        <v>1.5</v>
      </c>
      <c r="AA1207" s="1"/>
    </row>
    <row r="1208" spans="1:27" x14ac:dyDescent="0.3">
      <c r="A1208" s="18">
        <v>1266.3499999999999</v>
      </c>
      <c r="B1208" s="1">
        <v>1</v>
      </c>
      <c r="C1208" s="1">
        <v>1266.3499999999999</v>
      </c>
      <c r="D1208" s="1">
        <v>1.3</v>
      </c>
      <c r="E1208" s="1">
        <v>1266.3499999999999</v>
      </c>
      <c r="F1208" s="1">
        <v>1.5</v>
      </c>
      <c r="G1208" s="1">
        <v>1266.3499999999999</v>
      </c>
      <c r="H1208" s="1">
        <v>1.5</v>
      </c>
      <c r="I1208" s="1">
        <v>1266.3499999999999</v>
      </c>
      <c r="J1208" s="1">
        <v>1.7</v>
      </c>
      <c r="K1208" s="1">
        <v>1266.3499999999999</v>
      </c>
      <c r="L1208" s="1">
        <v>1.6</v>
      </c>
      <c r="M1208" s="1">
        <v>1266.3499999999999</v>
      </c>
      <c r="N1208" s="1">
        <v>1</v>
      </c>
      <c r="O1208" s="1">
        <v>1.3</v>
      </c>
      <c r="P1208" s="1">
        <v>1.5</v>
      </c>
      <c r="Q1208" s="1">
        <v>1.5</v>
      </c>
      <c r="R1208" s="1">
        <v>1.7</v>
      </c>
      <c r="S1208" s="1">
        <v>1.6</v>
      </c>
      <c r="T1208" s="1">
        <v>1266.3499999999999</v>
      </c>
      <c r="U1208" s="1">
        <f>IF(Table14[[#This Row],[I_0]] &lt; INDEX(Table28[Filtro de ruido],1), 1, Table14[[#This Row],[I_10]] / Table14[[#This Row],[I_0]])</f>
        <v>1.3</v>
      </c>
      <c r="V1208" s="1">
        <f>IF(Table14[[#This Row],[I_0]] &lt; INDEX(Table28[Filtro de ruido],1), 1, Table14[[#This Row],[I_20]] / Table14[[#This Row],[I_0]])</f>
        <v>1.5</v>
      </c>
      <c r="W1208" s="1">
        <f>IF(Table14[[#This Row],[I_0]] &lt; INDEX(Table28[Filtro de ruido],1), 1, Table14[[#This Row],[I_30]] / Table14[[#This Row],[I_0]])</f>
        <v>1.5</v>
      </c>
      <c r="X1208" s="1">
        <f>IF(Table14[[#This Row],[I_0]] &lt; INDEX(Table28[Filtro de ruido],1), 1, Table14[[#This Row],[I_40]] / Table14[[#This Row],[I_0]])</f>
        <v>1.7</v>
      </c>
      <c r="Y1208" s="19">
        <f>IF(Table14[[#This Row],[I_0]] &lt; INDEX(Table28[Filtro de ruido],1), 1, Table14[[#This Row],[I_50]] / Table14[[#This Row],[I_0]])</f>
        <v>1.6</v>
      </c>
      <c r="AA1208" s="1"/>
    </row>
    <row r="1209" spans="1:27" x14ac:dyDescent="0.3">
      <c r="A1209" s="18">
        <v>1267.3399999999999</v>
      </c>
      <c r="B1209" s="1">
        <v>1.1000000000000001</v>
      </c>
      <c r="C1209" s="1">
        <v>1267.3399999999999</v>
      </c>
      <c r="D1209" s="1">
        <v>1.3</v>
      </c>
      <c r="E1209" s="1">
        <v>1267.3399999999999</v>
      </c>
      <c r="F1209" s="1">
        <v>1.5</v>
      </c>
      <c r="G1209" s="1">
        <v>1267.3399999999999</v>
      </c>
      <c r="H1209" s="1">
        <v>1.5</v>
      </c>
      <c r="I1209" s="1">
        <v>1267.3399999999999</v>
      </c>
      <c r="J1209" s="1">
        <v>1.7</v>
      </c>
      <c r="K1209" s="1">
        <v>1267.3399999999999</v>
      </c>
      <c r="L1209" s="1">
        <v>1.6</v>
      </c>
      <c r="M1209" s="1">
        <v>1267.3399999999999</v>
      </c>
      <c r="N1209" s="1">
        <v>1.1000000000000001</v>
      </c>
      <c r="O1209" s="1">
        <v>1.3</v>
      </c>
      <c r="P1209" s="1">
        <v>1.5</v>
      </c>
      <c r="Q1209" s="1">
        <v>1.5</v>
      </c>
      <c r="R1209" s="1">
        <v>1.7</v>
      </c>
      <c r="S1209" s="1">
        <v>1.6</v>
      </c>
      <c r="T1209" s="1">
        <v>1267.3399999999999</v>
      </c>
      <c r="U1209" s="1">
        <f>IF(Table14[[#This Row],[I_0]] &lt; INDEX(Table28[Filtro de ruido],1), 1, Table14[[#This Row],[I_10]] / Table14[[#This Row],[I_0]])</f>
        <v>1.1818181818181817</v>
      </c>
      <c r="V1209" s="1">
        <f>IF(Table14[[#This Row],[I_0]] &lt; INDEX(Table28[Filtro de ruido],1), 1, Table14[[#This Row],[I_20]] / Table14[[#This Row],[I_0]])</f>
        <v>1.3636363636363635</v>
      </c>
      <c r="W1209" s="1">
        <f>IF(Table14[[#This Row],[I_0]] &lt; INDEX(Table28[Filtro de ruido],1), 1, Table14[[#This Row],[I_30]] / Table14[[#This Row],[I_0]])</f>
        <v>1.3636363636363635</v>
      </c>
      <c r="X1209" s="1">
        <f>IF(Table14[[#This Row],[I_0]] &lt; INDEX(Table28[Filtro de ruido],1), 1, Table14[[#This Row],[I_40]] / Table14[[#This Row],[I_0]])</f>
        <v>1.5454545454545452</v>
      </c>
      <c r="Y1209" s="19">
        <f>IF(Table14[[#This Row],[I_0]] &lt; INDEX(Table28[Filtro de ruido],1), 1, Table14[[#This Row],[I_50]] / Table14[[#This Row],[I_0]])</f>
        <v>1.4545454545454546</v>
      </c>
      <c r="AA1209" s="1"/>
    </row>
    <row r="1210" spans="1:27" x14ac:dyDescent="0.3">
      <c r="A1210" s="18">
        <v>1268.33</v>
      </c>
      <c r="B1210" s="1">
        <v>1.1000000000000001</v>
      </c>
      <c r="C1210" s="1">
        <v>1268.33</v>
      </c>
      <c r="D1210" s="1">
        <v>1.3</v>
      </c>
      <c r="E1210" s="1">
        <v>1268.33</v>
      </c>
      <c r="F1210" s="1">
        <v>1.5</v>
      </c>
      <c r="G1210" s="1">
        <v>1268.33</v>
      </c>
      <c r="H1210" s="1">
        <v>1.6</v>
      </c>
      <c r="I1210" s="1">
        <v>1268.33</v>
      </c>
      <c r="J1210" s="1">
        <v>1.8</v>
      </c>
      <c r="K1210" s="1">
        <v>1268.33</v>
      </c>
      <c r="L1210" s="1">
        <v>1.7</v>
      </c>
      <c r="M1210" s="1">
        <v>1268.33</v>
      </c>
      <c r="N1210" s="1">
        <v>1.1000000000000001</v>
      </c>
      <c r="O1210" s="1">
        <v>1.3</v>
      </c>
      <c r="P1210" s="1">
        <v>1.5</v>
      </c>
      <c r="Q1210" s="1">
        <v>1.6</v>
      </c>
      <c r="R1210" s="1">
        <v>1.8</v>
      </c>
      <c r="S1210" s="1">
        <v>1.7</v>
      </c>
      <c r="T1210" s="1">
        <v>1268.33</v>
      </c>
      <c r="U1210" s="1">
        <f>IF(Table14[[#This Row],[I_0]] &lt; INDEX(Table28[Filtro de ruido],1), 1, Table14[[#This Row],[I_10]] / Table14[[#This Row],[I_0]])</f>
        <v>1.1818181818181817</v>
      </c>
      <c r="V1210" s="1">
        <f>IF(Table14[[#This Row],[I_0]] &lt; INDEX(Table28[Filtro de ruido],1), 1, Table14[[#This Row],[I_20]] / Table14[[#This Row],[I_0]])</f>
        <v>1.3636363636363635</v>
      </c>
      <c r="W1210" s="1">
        <f>IF(Table14[[#This Row],[I_0]] &lt; INDEX(Table28[Filtro de ruido],1), 1, Table14[[#This Row],[I_30]] / Table14[[#This Row],[I_0]])</f>
        <v>1.4545454545454546</v>
      </c>
      <c r="X1210" s="1">
        <f>IF(Table14[[#This Row],[I_0]] &lt; INDEX(Table28[Filtro de ruido],1), 1, Table14[[#This Row],[I_40]] / Table14[[#This Row],[I_0]])</f>
        <v>1.6363636363636362</v>
      </c>
      <c r="Y1210" s="19">
        <f>IF(Table14[[#This Row],[I_0]] &lt; INDEX(Table28[Filtro de ruido],1), 1, Table14[[#This Row],[I_50]] / Table14[[#This Row],[I_0]])</f>
        <v>1.5454545454545452</v>
      </c>
      <c r="AA1210" s="1"/>
    </row>
    <row r="1211" spans="1:27" x14ac:dyDescent="0.3">
      <c r="A1211" s="18">
        <v>1269.32</v>
      </c>
      <c r="B1211" s="1">
        <v>1.1000000000000001</v>
      </c>
      <c r="C1211" s="1">
        <v>1269.32</v>
      </c>
      <c r="D1211" s="1">
        <v>1.4</v>
      </c>
      <c r="E1211" s="1">
        <v>1269.32</v>
      </c>
      <c r="F1211" s="1">
        <v>1.6</v>
      </c>
      <c r="G1211" s="1">
        <v>1269.32</v>
      </c>
      <c r="H1211" s="1">
        <v>1.6</v>
      </c>
      <c r="I1211" s="1">
        <v>1269.32</v>
      </c>
      <c r="J1211" s="1">
        <v>1.8</v>
      </c>
      <c r="K1211" s="1">
        <v>1269.32</v>
      </c>
      <c r="L1211" s="1">
        <v>1.7</v>
      </c>
      <c r="M1211" s="1">
        <v>1269.32</v>
      </c>
      <c r="N1211" s="1">
        <v>1.1000000000000001</v>
      </c>
      <c r="O1211" s="1">
        <v>1.4</v>
      </c>
      <c r="P1211" s="1">
        <v>1.6</v>
      </c>
      <c r="Q1211" s="1">
        <v>1.6</v>
      </c>
      <c r="R1211" s="1">
        <v>1.8</v>
      </c>
      <c r="S1211" s="1">
        <v>1.7</v>
      </c>
      <c r="T1211" s="1">
        <v>1269.32</v>
      </c>
      <c r="U1211" s="1">
        <f>IF(Table14[[#This Row],[I_0]] &lt; INDEX(Table28[Filtro de ruido],1), 1, Table14[[#This Row],[I_10]] / Table14[[#This Row],[I_0]])</f>
        <v>1.2727272727272725</v>
      </c>
      <c r="V1211" s="1">
        <f>IF(Table14[[#This Row],[I_0]] &lt; INDEX(Table28[Filtro de ruido],1), 1, Table14[[#This Row],[I_20]] / Table14[[#This Row],[I_0]])</f>
        <v>1.4545454545454546</v>
      </c>
      <c r="W1211" s="1">
        <f>IF(Table14[[#This Row],[I_0]] &lt; INDEX(Table28[Filtro de ruido],1), 1, Table14[[#This Row],[I_30]] / Table14[[#This Row],[I_0]])</f>
        <v>1.4545454545454546</v>
      </c>
      <c r="X1211" s="1">
        <f>IF(Table14[[#This Row],[I_0]] &lt; INDEX(Table28[Filtro de ruido],1), 1, Table14[[#This Row],[I_40]] / Table14[[#This Row],[I_0]])</f>
        <v>1.6363636363636362</v>
      </c>
      <c r="Y1211" s="19">
        <f>IF(Table14[[#This Row],[I_0]] &lt; INDEX(Table28[Filtro de ruido],1), 1, Table14[[#This Row],[I_50]] / Table14[[#This Row],[I_0]])</f>
        <v>1.5454545454545452</v>
      </c>
      <c r="AA1211" s="1"/>
    </row>
    <row r="1212" spans="1:27" x14ac:dyDescent="0.3">
      <c r="A1212" s="18">
        <v>1270.32</v>
      </c>
      <c r="B1212" s="1">
        <v>1.2</v>
      </c>
      <c r="C1212" s="1">
        <v>1270.32</v>
      </c>
      <c r="D1212" s="1">
        <v>1.4</v>
      </c>
      <c r="E1212" s="1">
        <v>1270.32</v>
      </c>
      <c r="F1212" s="1">
        <v>1.6</v>
      </c>
      <c r="G1212" s="1">
        <v>1270.32</v>
      </c>
      <c r="H1212" s="1">
        <v>1.6</v>
      </c>
      <c r="I1212" s="1">
        <v>1270.32</v>
      </c>
      <c r="J1212" s="1">
        <v>1.9</v>
      </c>
      <c r="K1212" s="1">
        <v>1270.32</v>
      </c>
      <c r="L1212" s="1">
        <v>1.8</v>
      </c>
      <c r="M1212" s="1">
        <v>1270.32</v>
      </c>
      <c r="N1212" s="1">
        <v>1.2</v>
      </c>
      <c r="O1212" s="1">
        <v>1.4</v>
      </c>
      <c r="P1212" s="1">
        <v>1.6</v>
      </c>
      <c r="Q1212" s="1">
        <v>1.6</v>
      </c>
      <c r="R1212" s="1">
        <v>1.9</v>
      </c>
      <c r="S1212" s="1">
        <v>1.8</v>
      </c>
      <c r="T1212" s="1">
        <v>1270.32</v>
      </c>
      <c r="U1212" s="1">
        <f>IF(Table14[[#This Row],[I_0]] &lt; INDEX(Table28[Filtro de ruido],1), 1, Table14[[#This Row],[I_10]] / Table14[[#This Row],[I_0]])</f>
        <v>1.1666666666666667</v>
      </c>
      <c r="V1212" s="1">
        <f>IF(Table14[[#This Row],[I_0]] &lt; INDEX(Table28[Filtro de ruido],1), 1, Table14[[#This Row],[I_20]] / Table14[[#This Row],[I_0]])</f>
        <v>1.3333333333333335</v>
      </c>
      <c r="W1212" s="1">
        <f>IF(Table14[[#This Row],[I_0]] &lt; INDEX(Table28[Filtro de ruido],1), 1, Table14[[#This Row],[I_30]] / Table14[[#This Row],[I_0]])</f>
        <v>1.3333333333333335</v>
      </c>
      <c r="X1212" s="1">
        <f>IF(Table14[[#This Row],[I_0]] &lt; INDEX(Table28[Filtro de ruido],1), 1, Table14[[#This Row],[I_40]] / Table14[[#This Row],[I_0]])</f>
        <v>1.5833333333333333</v>
      </c>
      <c r="Y1212" s="19">
        <f>IF(Table14[[#This Row],[I_0]] &lt; INDEX(Table28[Filtro de ruido],1), 1, Table14[[#This Row],[I_50]] / Table14[[#This Row],[I_0]])</f>
        <v>1.5</v>
      </c>
      <c r="AA1212" s="1"/>
    </row>
    <row r="1213" spans="1:27" x14ac:dyDescent="0.3">
      <c r="A1213" s="18">
        <v>1271.31</v>
      </c>
      <c r="B1213" s="1">
        <v>1.2</v>
      </c>
      <c r="C1213" s="1">
        <v>1271.31</v>
      </c>
      <c r="D1213" s="1">
        <v>1.4</v>
      </c>
      <c r="E1213" s="1">
        <v>1271.31</v>
      </c>
      <c r="F1213" s="1">
        <v>1.6</v>
      </c>
      <c r="G1213" s="1">
        <v>1271.31</v>
      </c>
      <c r="H1213" s="1">
        <v>1.7</v>
      </c>
      <c r="I1213" s="1">
        <v>1271.31</v>
      </c>
      <c r="J1213" s="1">
        <v>1.9</v>
      </c>
      <c r="K1213" s="1">
        <v>1271.31</v>
      </c>
      <c r="L1213" s="1">
        <v>1.8</v>
      </c>
      <c r="M1213" s="1">
        <v>1271.31</v>
      </c>
      <c r="N1213" s="1">
        <v>1.2</v>
      </c>
      <c r="O1213" s="1">
        <v>1.4</v>
      </c>
      <c r="P1213" s="1">
        <v>1.6</v>
      </c>
      <c r="Q1213" s="1">
        <v>1.7</v>
      </c>
      <c r="R1213" s="1">
        <v>1.9</v>
      </c>
      <c r="S1213" s="1">
        <v>1.8</v>
      </c>
      <c r="T1213" s="1">
        <v>1271.31</v>
      </c>
      <c r="U1213" s="1">
        <f>IF(Table14[[#This Row],[I_0]] &lt; INDEX(Table28[Filtro de ruido],1), 1, Table14[[#This Row],[I_10]] / Table14[[#This Row],[I_0]])</f>
        <v>1.1666666666666667</v>
      </c>
      <c r="V1213" s="1">
        <f>IF(Table14[[#This Row],[I_0]] &lt; INDEX(Table28[Filtro de ruido],1), 1, Table14[[#This Row],[I_20]] / Table14[[#This Row],[I_0]])</f>
        <v>1.3333333333333335</v>
      </c>
      <c r="W1213" s="1">
        <f>IF(Table14[[#This Row],[I_0]] &lt; INDEX(Table28[Filtro de ruido],1), 1, Table14[[#This Row],[I_30]] / Table14[[#This Row],[I_0]])</f>
        <v>1.4166666666666667</v>
      </c>
      <c r="X1213" s="1">
        <f>IF(Table14[[#This Row],[I_0]] &lt; INDEX(Table28[Filtro de ruido],1), 1, Table14[[#This Row],[I_40]] / Table14[[#This Row],[I_0]])</f>
        <v>1.5833333333333333</v>
      </c>
      <c r="Y1213" s="19">
        <f>IF(Table14[[#This Row],[I_0]] &lt; INDEX(Table28[Filtro de ruido],1), 1, Table14[[#This Row],[I_50]] / Table14[[#This Row],[I_0]])</f>
        <v>1.5</v>
      </c>
      <c r="AA1213" s="1"/>
    </row>
    <row r="1214" spans="1:27" x14ac:dyDescent="0.3">
      <c r="A1214" s="18">
        <v>1272.3</v>
      </c>
      <c r="B1214" s="1">
        <v>1.2</v>
      </c>
      <c r="C1214" s="1">
        <v>1272.3</v>
      </c>
      <c r="D1214" s="1">
        <v>1.5</v>
      </c>
      <c r="E1214" s="1">
        <v>1272.3</v>
      </c>
      <c r="F1214" s="1">
        <v>1.7</v>
      </c>
      <c r="G1214" s="1">
        <v>1272.3</v>
      </c>
      <c r="H1214" s="1">
        <v>1.7</v>
      </c>
      <c r="I1214" s="1">
        <v>1272.3</v>
      </c>
      <c r="J1214" s="1">
        <v>1.9</v>
      </c>
      <c r="K1214" s="1">
        <v>1272.3</v>
      </c>
      <c r="L1214" s="1">
        <v>1.9</v>
      </c>
      <c r="M1214" s="1">
        <v>1272.3</v>
      </c>
      <c r="N1214" s="1">
        <v>1.2</v>
      </c>
      <c r="O1214" s="1">
        <v>1.5</v>
      </c>
      <c r="P1214" s="1">
        <v>1.7</v>
      </c>
      <c r="Q1214" s="1">
        <v>1.7</v>
      </c>
      <c r="R1214" s="1">
        <v>1.9</v>
      </c>
      <c r="S1214" s="1">
        <v>1.9</v>
      </c>
      <c r="T1214" s="1">
        <v>1272.3</v>
      </c>
      <c r="U1214" s="1">
        <f>IF(Table14[[#This Row],[I_0]] &lt; INDEX(Table28[Filtro de ruido],1), 1, Table14[[#This Row],[I_10]] / Table14[[#This Row],[I_0]])</f>
        <v>1.25</v>
      </c>
      <c r="V1214" s="1">
        <f>IF(Table14[[#This Row],[I_0]] &lt; INDEX(Table28[Filtro de ruido],1), 1, Table14[[#This Row],[I_20]] / Table14[[#This Row],[I_0]])</f>
        <v>1.4166666666666667</v>
      </c>
      <c r="W1214" s="1">
        <f>IF(Table14[[#This Row],[I_0]] &lt; INDEX(Table28[Filtro de ruido],1), 1, Table14[[#This Row],[I_30]] / Table14[[#This Row],[I_0]])</f>
        <v>1.4166666666666667</v>
      </c>
      <c r="X1214" s="1">
        <f>IF(Table14[[#This Row],[I_0]] &lt; INDEX(Table28[Filtro de ruido],1), 1, Table14[[#This Row],[I_40]] / Table14[[#This Row],[I_0]])</f>
        <v>1.5833333333333333</v>
      </c>
      <c r="Y1214" s="19">
        <f>IF(Table14[[#This Row],[I_0]] &lt; INDEX(Table28[Filtro de ruido],1), 1, Table14[[#This Row],[I_50]] / Table14[[#This Row],[I_0]])</f>
        <v>1.5833333333333333</v>
      </c>
      <c r="AA1214" s="1"/>
    </row>
    <row r="1215" spans="1:27" x14ac:dyDescent="0.3">
      <c r="A1215" s="18">
        <v>1273.29</v>
      </c>
      <c r="B1215" s="1">
        <v>1.2</v>
      </c>
      <c r="C1215" s="1">
        <v>1273.29</v>
      </c>
      <c r="D1215" s="1">
        <v>1.5</v>
      </c>
      <c r="E1215" s="1">
        <v>1273.29</v>
      </c>
      <c r="F1215" s="1">
        <v>1.7</v>
      </c>
      <c r="G1215" s="1">
        <v>1273.29</v>
      </c>
      <c r="H1215" s="1">
        <v>1.7</v>
      </c>
      <c r="I1215" s="1">
        <v>1273.29</v>
      </c>
      <c r="J1215" s="1">
        <v>1.9</v>
      </c>
      <c r="K1215" s="1">
        <v>1273.29</v>
      </c>
      <c r="L1215" s="1">
        <v>1.9</v>
      </c>
      <c r="M1215" s="1">
        <v>1273.29</v>
      </c>
      <c r="N1215" s="1">
        <v>1.2</v>
      </c>
      <c r="O1215" s="1">
        <v>1.5</v>
      </c>
      <c r="P1215" s="1">
        <v>1.7</v>
      </c>
      <c r="Q1215" s="1">
        <v>1.7</v>
      </c>
      <c r="R1215" s="1">
        <v>1.9</v>
      </c>
      <c r="S1215" s="1">
        <v>1.9</v>
      </c>
      <c r="T1215" s="1">
        <v>1273.29</v>
      </c>
      <c r="U1215" s="1">
        <f>IF(Table14[[#This Row],[I_0]] &lt; INDEX(Table28[Filtro de ruido],1), 1, Table14[[#This Row],[I_10]] / Table14[[#This Row],[I_0]])</f>
        <v>1.25</v>
      </c>
      <c r="V1215" s="1">
        <f>IF(Table14[[#This Row],[I_0]] &lt; INDEX(Table28[Filtro de ruido],1), 1, Table14[[#This Row],[I_20]] / Table14[[#This Row],[I_0]])</f>
        <v>1.4166666666666667</v>
      </c>
      <c r="W1215" s="1">
        <f>IF(Table14[[#This Row],[I_0]] &lt; INDEX(Table28[Filtro de ruido],1), 1, Table14[[#This Row],[I_30]] / Table14[[#This Row],[I_0]])</f>
        <v>1.4166666666666667</v>
      </c>
      <c r="X1215" s="1">
        <f>IF(Table14[[#This Row],[I_0]] &lt; INDEX(Table28[Filtro de ruido],1), 1, Table14[[#This Row],[I_40]] / Table14[[#This Row],[I_0]])</f>
        <v>1.5833333333333333</v>
      </c>
      <c r="Y1215" s="19">
        <f>IF(Table14[[#This Row],[I_0]] &lt; INDEX(Table28[Filtro de ruido],1), 1, Table14[[#This Row],[I_50]] / Table14[[#This Row],[I_0]])</f>
        <v>1.5833333333333333</v>
      </c>
      <c r="AA1215" s="1"/>
    </row>
    <row r="1216" spans="1:27" x14ac:dyDescent="0.3">
      <c r="A1216" s="18">
        <v>1274.28</v>
      </c>
      <c r="B1216" s="1">
        <v>1.3</v>
      </c>
      <c r="C1216" s="1">
        <v>1274.28</v>
      </c>
      <c r="D1216" s="1">
        <v>1.5</v>
      </c>
      <c r="E1216" s="1">
        <v>1274.28</v>
      </c>
      <c r="F1216" s="1">
        <v>1.8</v>
      </c>
      <c r="G1216" s="1">
        <v>1274.28</v>
      </c>
      <c r="H1216" s="1">
        <v>1.8</v>
      </c>
      <c r="I1216" s="1">
        <v>1274.28</v>
      </c>
      <c r="J1216" s="1">
        <v>2</v>
      </c>
      <c r="K1216" s="1">
        <v>1274.28</v>
      </c>
      <c r="L1216" s="1">
        <v>1.9</v>
      </c>
      <c r="M1216" s="1">
        <v>1274.28</v>
      </c>
      <c r="N1216" s="1">
        <v>1.3</v>
      </c>
      <c r="O1216" s="1">
        <v>1.5</v>
      </c>
      <c r="P1216" s="1">
        <v>1.8</v>
      </c>
      <c r="Q1216" s="1">
        <v>1.8</v>
      </c>
      <c r="R1216" s="1">
        <v>2</v>
      </c>
      <c r="S1216" s="1">
        <v>1.9</v>
      </c>
      <c r="T1216" s="1">
        <v>1274.28</v>
      </c>
      <c r="U1216" s="1">
        <f>IF(Table14[[#This Row],[I_0]] &lt; INDEX(Table28[Filtro de ruido],1), 1, Table14[[#This Row],[I_10]] / Table14[[#This Row],[I_0]])</f>
        <v>1.1538461538461537</v>
      </c>
      <c r="V1216" s="1">
        <f>IF(Table14[[#This Row],[I_0]] &lt; INDEX(Table28[Filtro de ruido],1), 1, Table14[[#This Row],[I_20]] / Table14[[#This Row],[I_0]])</f>
        <v>1.3846153846153846</v>
      </c>
      <c r="W1216" s="1">
        <f>IF(Table14[[#This Row],[I_0]] &lt; INDEX(Table28[Filtro de ruido],1), 1, Table14[[#This Row],[I_30]] / Table14[[#This Row],[I_0]])</f>
        <v>1.3846153846153846</v>
      </c>
      <c r="X1216" s="1">
        <f>IF(Table14[[#This Row],[I_0]] &lt; INDEX(Table28[Filtro de ruido],1), 1, Table14[[#This Row],[I_40]] / Table14[[#This Row],[I_0]])</f>
        <v>1.5384615384615383</v>
      </c>
      <c r="Y1216" s="19">
        <f>IF(Table14[[#This Row],[I_0]] &lt; INDEX(Table28[Filtro de ruido],1), 1, Table14[[#This Row],[I_50]] / Table14[[#This Row],[I_0]])</f>
        <v>1.4615384615384615</v>
      </c>
      <c r="AA1216" s="1"/>
    </row>
    <row r="1217" spans="1:27" x14ac:dyDescent="0.3">
      <c r="A1217" s="18">
        <v>1275.27</v>
      </c>
      <c r="B1217" s="1">
        <v>1.3</v>
      </c>
      <c r="C1217" s="1">
        <v>1275.27</v>
      </c>
      <c r="D1217" s="1">
        <v>1.5</v>
      </c>
      <c r="E1217" s="1">
        <v>1275.27</v>
      </c>
      <c r="F1217" s="1">
        <v>1.8</v>
      </c>
      <c r="G1217" s="1">
        <v>1275.27</v>
      </c>
      <c r="H1217" s="1">
        <v>1.8</v>
      </c>
      <c r="I1217" s="1">
        <v>1275.27</v>
      </c>
      <c r="J1217" s="1">
        <v>2</v>
      </c>
      <c r="K1217" s="1">
        <v>1275.27</v>
      </c>
      <c r="L1217" s="1">
        <v>2</v>
      </c>
      <c r="M1217" s="1">
        <v>1275.27</v>
      </c>
      <c r="N1217" s="1">
        <v>1.3</v>
      </c>
      <c r="O1217" s="1">
        <v>1.5</v>
      </c>
      <c r="P1217" s="1">
        <v>1.8</v>
      </c>
      <c r="Q1217" s="1">
        <v>1.8</v>
      </c>
      <c r="R1217" s="1">
        <v>2</v>
      </c>
      <c r="S1217" s="1">
        <v>2</v>
      </c>
      <c r="T1217" s="1">
        <v>1275.27</v>
      </c>
      <c r="U1217" s="1">
        <f>IF(Table14[[#This Row],[I_0]] &lt; INDEX(Table28[Filtro de ruido],1), 1, Table14[[#This Row],[I_10]] / Table14[[#This Row],[I_0]])</f>
        <v>1.1538461538461537</v>
      </c>
      <c r="V1217" s="1">
        <f>IF(Table14[[#This Row],[I_0]] &lt; INDEX(Table28[Filtro de ruido],1), 1, Table14[[#This Row],[I_20]] / Table14[[#This Row],[I_0]])</f>
        <v>1.3846153846153846</v>
      </c>
      <c r="W1217" s="1">
        <f>IF(Table14[[#This Row],[I_0]] &lt; INDEX(Table28[Filtro de ruido],1), 1, Table14[[#This Row],[I_30]] / Table14[[#This Row],[I_0]])</f>
        <v>1.3846153846153846</v>
      </c>
      <c r="X1217" s="1">
        <f>IF(Table14[[#This Row],[I_0]] &lt; INDEX(Table28[Filtro de ruido],1), 1, Table14[[#This Row],[I_40]] / Table14[[#This Row],[I_0]])</f>
        <v>1.5384615384615383</v>
      </c>
      <c r="Y1217" s="19">
        <f>IF(Table14[[#This Row],[I_0]] &lt; INDEX(Table28[Filtro de ruido],1), 1, Table14[[#This Row],[I_50]] / Table14[[#This Row],[I_0]])</f>
        <v>1.5384615384615383</v>
      </c>
      <c r="AA1217" s="1"/>
    </row>
    <row r="1218" spans="1:27" x14ac:dyDescent="0.3">
      <c r="A1218" s="18">
        <v>1276.27</v>
      </c>
      <c r="B1218" s="1">
        <v>1.4</v>
      </c>
      <c r="C1218" s="1">
        <v>1276.27</v>
      </c>
      <c r="D1218" s="1">
        <v>1.6</v>
      </c>
      <c r="E1218" s="1">
        <v>1276.27</v>
      </c>
      <c r="F1218" s="1">
        <v>1.9</v>
      </c>
      <c r="G1218" s="1">
        <v>1276.27</v>
      </c>
      <c r="H1218" s="1">
        <v>1.9</v>
      </c>
      <c r="I1218" s="1">
        <v>1276.27</v>
      </c>
      <c r="J1218" s="1">
        <v>2.1</v>
      </c>
      <c r="K1218" s="1">
        <v>1276.27</v>
      </c>
      <c r="L1218" s="1">
        <v>2.1</v>
      </c>
      <c r="M1218" s="1">
        <v>1276.27</v>
      </c>
      <c r="N1218" s="1">
        <v>1.4</v>
      </c>
      <c r="O1218" s="1">
        <v>1.6</v>
      </c>
      <c r="P1218" s="1">
        <v>1.9</v>
      </c>
      <c r="Q1218" s="1">
        <v>1.9</v>
      </c>
      <c r="R1218" s="1">
        <v>2.1</v>
      </c>
      <c r="S1218" s="1">
        <v>2.1</v>
      </c>
      <c r="T1218" s="1">
        <v>1276.27</v>
      </c>
      <c r="U1218" s="1">
        <f>IF(Table14[[#This Row],[I_0]] &lt; INDEX(Table28[Filtro de ruido],1), 1, Table14[[#This Row],[I_10]] / Table14[[#This Row],[I_0]])</f>
        <v>1.142857142857143</v>
      </c>
      <c r="V1218" s="1">
        <f>IF(Table14[[#This Row],[I_0]] &lt; INDEX(Table28[Filtro de ruido],1), 1, Table14[[#This Row],[I_20]] / Table14[[#This Row],[I_0]])</f>
        <v>1.3571428571428572</v>
      </c>
      <c r="W1218" s="1">
        <f>IF(Table14[[#This Row],[I_0]] &lt; INDEX(Table28[Filtro de ruido],1), 1, Table14[[#This Row],[I_30]] / Table14[[#This Row],[I_0]])</f>
        <v>1.3571428571428572</v>
      </c>
      <c r="X1218" s="1">
        <f>IF(Table14[[#This Row],[I_0]] &lt; INDEX(Table28[Filtro de ruido],1), 1, Table14[[#This Row],[I_40]] / Table14[[#This Row],[I_0]])</f>
        <v>1.5000000000000002</v>
      </c>
      <c r="Y1218" s="19">
        <f>IF(Table14[[#This Row],[I_0]] &lt; INDEX(Table28[Filtro de ruido],1), 1, Table14[[#This Row],[I_50]] / Table14[[#This Row],[I_0]])</f>
        <v>1.5000000000000002</v>
      </c>
      <c r="AA1218" s="1"/>
    </row>
    <row r="1219" spans="1:27" x14ac:dyDescent="0.3">
      <c r="A1219" s="18">
        <v>1277.26</v>
      </c>
      <c r="B1219" s="1">
        <v>1.4</v>
      </c>
      <c r="C1219" s="1">
        <v>1277.26</v>
      </c>
      <c r="D1219" s="1">
        <v>1.7</v>
      </c>
      <c r="E1219" s="1">
        <v>1277.26</v>
      </c>
      <c r="F1219" s="1">
        <v>1.9</v>
      </c>
      <c r="G1219" s="1">
        <v>1277.26</v>
      </c>
      <c r="H1219" s="1">
        <v>2</v>
      </c>
      <c r="I1219" s="1">
        <v>1277.26</v>
      </c>
      <c r="J1219" s="1">
        <v>2.1</v>
      </c>
      <c r="K1219" s="1">
        <v>1277.26</v>
      </c>
      <c r="L1219" s="1">
        <v>2.1</v>
      </c>
      <c r="M1219" s="1">
        <v>1277.26</v>
      </c>
      <c r="N1219" s="1">
        <v>1.4</v>
      </c>
      <c r="O1219" s="1">
        <v>1.7</v>
      </c>
      <c r="P1219" s="1">
        <v>1.9</v>
      </c>
      <c r="Q1219" s="1">
        <v>2</v>
      </c>
      <c r="R1219" s="1">
        <v>2.1</v>
      </c>
      <c r="S1219" s="1">
        <v>2.1</v>
      </c>
      <c r="T1219" s="1">
        <v>1277.26</v>
      </c>
      <c r="U1219" s="1">
        <f>IF(Table14[[#This Row],[I_0]] &lt; INDEX(Table28[Filtro de ruido],1), 1, Table14[[#This Row],[I_10]] / Table14[[#This Row],[I_0]])</f>
        <v>1.2142857142857144</v>
      </c>
      <c r="V1219" s="1">
        <f>IF(Table14[[#This Row],[I_0]] &lt; INDEX(Table28[Filtro de ruido],1), 1, Table14[[#This Row],[I_20]] / Table14[[#This Row],[I_0]])</f>
        <v>1.3571428571428572</v>
      </c>
      <c r="W1219" s="1">
        <f>IF(Table14[[#This Row],[I_0]] &lt; INDEX(Table28[Filtro de ruido],1), 1, Table14[[#This Row],[I_30]] / Table14[[#This Row],[I_0]])</f>
        <v>1.4285714285714286</v>
      </c>
      <c r="X1219" s="1">
        <f>IF(Table14[[#This Row],[I_0]] &lt; INDEX(Table28[Filtro de ruido],1), 1, Table14[[#This Row],[I_40]] / Table14[[#This Row],[I_0]])</f>
        <v>1.5000000000000002</v>
      </c>
      <c r="Y1219" s="19">
        <f>IF(Table14[[#This Row],[I_0]] &lt; INDEX(Table28[Filtro de ruido],1), 1, Table14[[#This Row],[I_50]] / Table14[[#This Row],[I_0]])</f>
        <v>1.5000000000000002</v>
      </c>
      <c r="AA1219" s="1"/>
    </row>
    <row r="1220" spans="1:27" x14ac:dyDescent="0.3">
      <c r="A1220" s="18">
        <v>1278.25</v>
      </c>
      <c r="B1220" s="1">
        <v>1.5</v>
      </c>
      <c r="C1220" s="1">
        <v>1278.25</v>
      </c>
      <c r="D1220" s="1">
        <v>1.7</v>
      </c>
      <c r="E1220" s="1">
        <v>1278.25</v>
      </c>
      <c r="F1220" s="1">
        <v>2</v>
      </c>
      <c r="G1220" s="1">
        <v>1278.25</v>
      </c>
      <c r="H1220" s="1">
        <v>2</v>
      </c>
      <c r="I1220" s="1">
        <v>1278.25</v>
      </c>
      <c r="J1220" s="1">
        <v>2.2000000000000002</v>
      </c>
      <c r="K1220" s="1">
        <v>1278.25</v>
      </c>
      <c r="L1220" s="1">
        <v>2.2000000000000002</v>
      </c>
      <c r="M1220" s="1">
        <v>1278.25</v>
      </c>
      <c r="N1220" s="1">
        <v>1.5</v>
      </c>
      <c r="O1220" s="1">
        <v>1.7</v>
      </c>
      <c r="P1220" s="1">
        <v>2</v>
      </c>
      <c r="Q1220" s="1">
        <v>2</v>
      </c>
      <c r="R1220" s="1">
        <v>2.2000000000000002</v>
      </c>
      <c r="S1220" s="1">
        <v>2.2000000000000002</v>
      </c>
      <c r="T1220" s="1">
        <v>1278.25</v>
      </c>
      <c r="U1220" s="1">
        <f>IF(Table14[[#This Row],[I_0]] &lt; INDEX(Table28[Filtro de ruido],1), 1, Table14[[#This Row],[I_10]] / Table14[[#This Row],[I_0]])</f>
        <v>1.1333333333333333</v>
      </c>
      <c r="V1220" s="1">
        <f>IF(Table14[[#This Row],[I_0]] &lt; INDEX(Table28[Filtro de ruido],1), 1, Table14[[#This Row],[I_20]] / Table14[[#This Row],[I_0]])</f>
        <v>1.3333333333333333</v>
      </c>
      <c r="W1220" s="1">
        <f>IF(Table14[[#This Row],[I_0]] &lt; INDEX(Table28[Filtro de ruido],1), 1, Table14[[#This Row],[I_30]] / Table14[[#This Row],[I_0]])</f>
        <v>1.3333333333333333</v>
      </c>
      <c r="X1220" s="1">
        <f>IF(Table14[[#This Row],[I_0]] &lt; INDEX(Table28[Filtro de ruido],1), 1, Table14[[#This Row],[I_40]] / Table14[[#This Row],[I_0]])</f>
        <v>1.4666666666666668</v>
      </c>
      <c r="Y1220" s="19">
        <f>IF(Table14[[#This Row],[I_0]] &lt; INDEX(Table28[Filtro de ruido],1), 1, Table14[[#This Row],[I_50]] / Table14[[#This Row],[I_0]])</f>
        <v>1.4666666666666668</v>
      </c>
      <c r="AA1220" s="1"/>
    </row>
    <row r="1221" spans="1:27" x14ac:dyDescent="0.3">
      <c r="A1221" s="18">
        <v>1279.24</v>
      </c>
      <c r="B1221" s="1">
        <v>1.5</v>
      </c>
      <c r="C1221" s="1">
        <v>1279.24</v>
      </c>
      <c r="D1221" s="1">
        <v>1.8</v>
      </c>
      <c r="E1221" s="1">
        <v>1279.24</v>
      </c>
      <c r="F1221" s="1">
        <v>2</v>
      </c>
      <c r="G1221" s="1">
        <v>1279.24</v>
      </c>
      <c r="H1221" s="1">
        <v>2.1</v>
      </c>
      <c r="I1221" s="1">
        <v>1279.24</v>
      </c>
      <c r="J1221" s="1">
        <v>2.2999999999999998</v>
      </c>
      <c r="K1221" s="1">
        <v>1279.24</v>
      </c>
      <c r="L1221" s="1">
        <v>2.2000000000000002</v>
      </c>
      <c r="M1221" s="1">
        <v>1279.24</v>
      </c>
      <c r="N1221" s="1">
        <v>1.5</v>
      </c>
      <c r="O1221" s="1">
        <v>1.8</v>
      </c>
      <c r="P1221" s="1">
        <v>2</v>
      </c>
      <c r="Q1221" s="1">
        <v>2.1</v>
      </c>
      <c r="R1221" s="1">
        <v>2.2999999999999998</v>
      </c>
      <c r="S1221" s="1">
        <v>2.2000000000000002</v>
      </c>
      <c r="T1221" s="1">
        <v>1279.24</v>
      </c>
      <c r="U1221" s="1">
        <f>IF(Table14[[#This Row],[I_0]] &lt; INDEX(Table28[Filtro de ruido],1), 1, Table14[[#This Row],[I_10]] / Table14[[#This Row],[I_0]])</f>
        <v>1.2</v>
      </c>
      <c r="V1221" s="1">
        <f>IF(Table14[[#This Row],[I_0]] &lt; INDEX(Table28[Filtro de ruido],1), 1, Table14[[#This Row],[I_20]] / Table14[[#This Row],[I_0]])</f>
        <v>1.3333333333333333</v>
      </c>
      <c r="W1221" s="1">
        <f>IF(Table14[[#This Row],[I_0]] &lt; INDEX(Table28[Filtro de ruido],1), 1, Table14[[#This Row],[I_30]] / Table14[[#This Row],[I_0]])</f>
        <v>1.4000000000000001</v>
      </c>
      <c r="X1221" s="1">
        <f>IF(Table14[[#This Row],[I_0]] &lt; INDEX(Table28[Filtro de ruido],1), 1, Table14[[#This Row],[I_40]] / Table14[[#This Row],[I_0]])</f>
        <v>1.5333333333333332</v>
      </c>
      <c r="Y1221" s="19">
        <f>IF(Table14[[#This Row],[I_0]] &lt; INDEX(Table28[Filtro de ruido],1), 1, Table14[[#This Row],[I_50]] / Table14[[#This Row],[I_0]])</f>
        <v>1.4666666666666668</v>
      </c>
      <c r="AA1221" s="1"/>
    </row>
    <row r="1222" spans="1:27" x14ac:dyDescent="0.3">
      <c r="A1222" s="18">
        <v>1280.23</v>
      </c>
      <c r="B1222" s="1">
        <v>1.6</v>
      </c>
      <c r="C1222" s="1">
        <v>1280.23</v>
      </c>
      <c r="D1222" s="1">
        <v>1.8</v>
      </c>
      <c r="E1222" s="1">
        <v>1280.23</v>
      </c>
      <c r="F1222" s="1">
        <v>2.1</v>
      </c>
      <c r="G1222" s="1">
        <v>1280.23</v>
      </c>
      <c r="H1222" s="1">
        <v>2.2000000000000002</v>
      </c>
      <c r="I1222" s="1">
        <v>1280.23</v>
      </c>
      <c r="J1222" s="1">
        <v>2.2999999999999998</v>
      </c>
      <c r="K1222" s="1">
        <v>1280.23</v>
      </c>
      <c r="L1222" s="1">
        <v>2.2999999999999998</v>
      </c>
      <c r="M1222" s="1">
        <v>1280.23</v>
      </c>
      <c r="N1222" s="1">
        <v>1.6</v>
      </c>
      <c r="O1222" s="1">
        <v>1.8</v>
      </c>
      <c r="P1222" s="1">
        <v>2.1</v>
      </c>
      <c r="Q1222" s="1">
        <v>2.2000000000000002</v>
      </c>
      <c r="R1222" s="1">
        <v>2.2999999999999998</v>
      </c>
      <c r="S1222" s="1">
        <v>2.2999999999999998</v>
      </c>
      <c r="T1222" s="1">
        <v>1280.23</v>
      </c>
      <c r="U1222" s="1">
        <f>IF(Table14[[#This Row],[I_0]] &lt; INDEX(Table28[Filtro de ruido],1), 1, Table14[[#This Row],[I_10]] / Table14[[#This Row],[I_0]])</f>
        <v>1.125</v>
      </c>
      <c r="V1222" s="1">
        <f>IF(Table14[[#This Row],[I_0]] &lt; INDEX(Table28[Filtro de ruido],1), 1, Table14[[#This Row],[I_20]] / Table14[[#This Row],[I_0]])</f>
        <v>1.3125</v>
      </c>
      <c r="W1222" s="1">
        <f>IF(Table14[[#This Row],[I_0]] &lt; INDEX(Table28[Filtro de ruido],1), 1, Table14[[#This Row],[I_30]] / Table14[[#This Row],[I_0]])</f>
        <v>1.375</v>
      </c>
      <c r="X1222" s="1">
        <f>IF(Table14[[#This Row],[I_0]] &lt; INDEX(Table28[Filtro de ruido],1), 1, Table14[[#This Row],[I_40]] / Table14[[#This Row],[I_0]])</f>
        <v>1.4374999999999998</v>
      </c>
      <c r="Y1222" s="19">
        <f>IF(Table14[[#This Row],[I_0]] &lt; INDEX(Table28[Filtro de ruido],1), 1, Table14[[#This Row],[I_50]] / Table14[[#This Row],[I_0]])</f>
        <v>1.4374999999999998</v>
      </c>
      <c r="AA1222" s="1"/>
    </row>
    <row r="1223" spans="1:27" x14ac:dyDescent="0.3">
      <c r="A1223" s="18">
        <v>1281.22</v>
      </c>
      <c r="B1223" s="1">
        <v>1.6</v>
      </c>
      <c r="C1223" s="1">
        <v>1281.22</v>
      </c>
      <c r="D1223" s="1">
        <v>1.9</v>
      </c>
      <c r="E1223" s="1">
        <v>1281.22</v>
      </c>
      <c r="F1223" s="1">
        <v>2.1</v>
      </c>
      <c r="G1223" s="1">
        <v>1281.22</v>
      </c>
      <c r="H1223" s="1">
        <v>2.2000000000000002</v>
      </c>
      <c r="I1223" s="1">
        <v>1281.22</v>
      </c>
      <c r="J1223" s="1">
        <v>2.4</v>
      </c>
      <c r="K1223" s="1">
        <v>1281.22</v>
      </c>
      <c r="L1223" s="1">
        <v>2.4</v>
      </c>
      <c r="M1223" s="1">
        <v>1281.22</v>
      </c>
      <c r="N1223" s="1">
        <v>1.6</v>
      </c>
      <c r="O1223" s="1">
        <v>1.9</v>
      </c>
      <c r="P1223" s="1">
        <v>2.1</v>
      </c>
      <c r="Q1223" s="1">
        <v>2.2000000000000002</v>
      </c>
      <c r="R1223" s="1">
        <v>2.4</v>
      </c>
      <c r="S1223" s="1">
        <v>2.4</v>
      </c>
      <c r="T1223" s="1">
        <v>1281.22</v>
      </c>
      <c r="U1223" s="1">
        <f>IF(Table14[[#This Row],[I_0]] &lt; INDEX(Table28[Filtro de ruido],1), 1, Table14[[#This Row],[I_10]] / Table14[[#This Row],[I_0]])</f>
        <v>1.1874999999999998</v>
      </c>
      <c r="V1223" s="1">
        <f>IF(Table14[[#This Row],[I_0]] &lt; INDEX(Table28[Filtro de ruido],1), 1, Table14[[#This Row],[I_20]] / Table14[[#This Row],[I_0]])</f>
        <v>1.3125</v>
      </c>
      <c r="W1223" s="1">
        <f>IF(Table14[[#This Row],[I_0]] &lt; INDEX(Table28[Filtro de ruido],1), 1, Table14[[#This Row],[I_30]] / Table14[[#This Row],[I_0]])</f>
        <v>1.375</v>
      </c>
      <c r="X1223" s="1">
        <f>IF(Table14[[#This Row],[I_0]] &lt; INDEX(Table28[Filtro de ruido],1), 1, Table14[[#This Row],[I_40]] / Table14[[#This Row],[I_0]])</f>
        <v>1.4999999999999998</v>
      </c>
      <c r="Y1223" s="19">
        <f>IF(Table14[[#This Row],[I_0]] &lt; INDEX(Table28[Filtro de ruido],1), 1, Table14[[#This Row],[I_50]] / Table14[[#This Row],[I_0]])</f>
        <v>1.4999999999999998</v>
      </c>
      <c r="AA1223" s="1"/>
    </row>
    <row r="1224" spans="1:27" x14ac:dyDescent="0.3">
      <c r="A1224" s="18">
        <v>1282.22</v>
      </c>
      <c r="B1224" s="1">
        <v>1.7</v>
      </c>
      <c r="C1224" s="1">
        <v>1282.22</v>
      </c>
      <c r="D1224" s="1">
        <v>1.9</v>
      </c>
      <c r="E1224" s="1">
        <v>1282.22</v>
      </c>
      <c r="F1224" s="1">
        <v>2.2000000000000002</v>
      </c>
      <c r="G1224" s="1">
        <v>1282.22</v>
      </c>
      <c r="H1224" s="1">
        <v>2.2999999999999998</v>
      </c>
      <c r="I1224" s="1">
        <v>1282.22</v>
      </c>
      <c r="J1224" s="1">
        <v>2.5</v>
      </c>
      <c r="K1224" s="1">
        <v>1282.22</v>
      </c>
      <c r="L1224" s="1">
        <v>2.5</v>
      </c>
      <c r="M1224" s="1">
        <v>1282.22</v>
      </c>
      <c r="N1224" s="1">
        <v>1.7</v>
      </c>
      <c r="O1224" s="1">
        <v>1.9</v>
      </c>
      <c r="P1224" s="1">
        <v>2.2000000000000002</v>
      </c>
      <c r="Q1224" s="1">
        <v>2.2999999999999998</v>
      </c>
      <c r="R1224" s="1">
        <v>2.5</v>
      </c>
      <c r="S1224" s="1">
        <v>2.5</v>
      </c>
      <c r="T1224" s="1">
        <v>1282.22</v>
      </c>
      <c r="U1224" s="1">
        <f>IF(Table14[[#This Row],[I_0]] &lt; INDEX(Table28[Filtro de ruido],1), 1, Table14[[#This Row],[I_10]] / Table14[[#This Row],[I_0]])</f>
        <v>1.1176470588235294</v>
      </c>
      <c r="V1224" s="1">
        <f>IF(Table14[[#This Row],[I_0]] &lt; INDEX(Table28[Filtro de ruido],1), 1, Table14[[#This Row],[I_20]] / Table14[[#This Row],[I_0]])</f>
        <v>1.2941176470588236</v>
      </c>
      <c r="W1224" s="1">
        <f>IF(Table14[[#This Row],[I_0]] &lt; INDEX(Table28[Filtro de ruido],1), 1, Table14[[#This Row],[I_30]] / Table14[[#This Row],[I_0]])</f>
        <v>1.3529411764705881</v>
      </c>
      <c r="X1224" s="1">
        <f>IF(Table14[[#This Row],[I_0]] &lt; INDEX(Table28[Filtro de ruido],1), 1, Table14[[#This Row],[I_40]] / Table14[[#This Row],[I_0]])</f>
        <v>1.4705882352941178</v>
      </c>
      <c r="Y1224" s="19">
        <f>IF(Table14[[#This Row],[I_0]] &lt; INDEX(Table28[Filtro de ruido],1), 1, Table14[[#This Row],[I_50]] / Table14[[#This Row],[I_0]])</f>
        <v>1.4705882352941178</v>
      </c>
      <c r="AA1224" s="1"/>
    </row>
    <row r="1225" spans="1:27" x14ac:dyDescent="0.3">
      <c r="A1225" s="18">
        <v>1283.21</v>
      </c>
      <c r="B1225" s="1">
        <v>1.7</v>
      </c>
      <c r="C1225" s="1">
        <v>1283.21</v>
      </c>
      <c r="D1225" s="1">
        <v>2</v>
      </c>
      <c r="E1225" s="1">
        <v>1283.21</v>
      </c>
      <c r="F1225" s="1">
        <v>2.2999999999999998</v>
      </c>
      <c r="G1225" s="1">
        <v>1283.21</v>
      </c>
      <c r="H1225" s="1">
        <v>2.2999999999999998</v>
      </c>
      <c r="I1225" s="1">
        <v>1283.21</v>
      </c>
      <c r="J1225" s="1">
        <v>2.5</v>
      </c>
      <c r="K1225" s="1">
        <v>1283.21</v>
      </c>
      <c r="L1225" s="1">
        <v>2.5</v>
      </c>
      <c r="M1225" s="1">
        <v>1283.21</v>
      </c>
      <c r="N1225" s="1">
        <v>1.7</v>
      </c>
      <c r="O1225" s="1">
        <v>2</v>
      </c>
      <c r="P1225" s="1">
        <v>2.2999999999999998</v>
      </c>
      <c r="Q1225" s="1">
        <v>2.2999999999999998</v>
      </c>
      <c r="R1225" s="1">
        <v>2.5</v>
      </c>
      <c r="S1225" s="1">
        <v>2.5</v>
      </c>
      <c r="T1225" s="1">
        <v>1283.21</v>
      </c>
      <c r="U1225" s="1">
        <f>IF(Table14[[#This Row],[I_0]] &lt; INDEX(Table28[Filtro de ruido],1), 1, Table14[[#This Row],[I_10]] / Table14[[#This Row],[I_0]])</f>
        <v>1.1764705882352942</v>
      </c>
      <c r="V1225" s="1">
        <f>IF(Table14[[#This Row],[I_0]] &lt; INDEX(Table28[Filtro de ruido],1), 1, Table14[[#This Row],[I_20]] / Table14[[#This Row],[I_0]])</f>
        <v>1.3529411764705881</v>
      </c>
      <c r="W1225" s="1">
        <f>IF(Table14[[#This Row],[I_0]] &lt; INDEX(Table28[Filtro de ruido],1), 1, Table14[[#This Row],[I_30]] / Table14[[#This Row],[I_0]])</f>
        <v>1.3529411764705881</v>
      </c>
      <c r="X1225" s="1">
        <f>IF(Table14[[#This Row],[I_0]] &lt; INDEX(Table28[Filtro de ruido],1), 1, Table14[[#This Row],[I_40]] / Table14[[#This Row],[I_0]])</f>
        <v>1.4705882352941178</v>
      </c>
      <c r="Y1225" s="19">
        <f>IF(Table14[[#This Row],[I_0]] &lt; INDEX(Table28[Filtro de ruido],1), 1, Table14[[#This Row],[I_50]] / Table14[[#This Row],[I_0]])</f>
        <v>1.4705882352941178</v>
      </c>
      <c r="AA1225" s="1"/>
    </row>
    <row r="1226" spans="1:27" x14ac:dyDescent="0.3">
      <c r="A1226" s="18">
        <v>1284.2</v>
      </c>
      <c r="B1226" s="1">
        <v>1.8</v>
      </c>
      <c r="C1226" s="1">
        <v>1284.2</v>
      </c>
      <c r="D1226" s="1">
        <v>2</v>
      </c>
      <c r="E1226" s="1">
        <v>1284.2</v>
      </c>
      <c r="F1226" s="1">
        <v>2.2999999999999998</v>
      </c>
      <c r="G1226" s="1">
        <v>1284.2</v>
      </c>
      <c r="H1226" s="1">
        <v>2.4</v>
      </c>
      <c r="I1226" s="1">
        <v>1284.2</v>
      </c>
      <c r="J1226" s="1">
        <v>2.6</v>
      </c>
      <c r="K1226" s="1">
        <v>1284.2</v>
      </c>
      <c r="L1226" s="1">
        <v>2.6</v>
      </c>
      <c r="M1226" s="1">
        <v>1284.2</v>
      </c>
      <c r="N1226" s="1">
        <v>1.8</v>
      </c>
      <c r="O1226" s="1">
        <v>2</v>
      </c>
      <c r="P1226" s="1">
        <v>2.2999999999999998</v>
      </c>
      <c r="Q1226" s="1">
        <v>2.4</v>
      </c>
      <c r="R1226" s="1">
        <v>2.6</v>
      </c>
      <c r="S1226" s="1">
        <v>2.6</v>
      </c>
      <c r="T1226" s="1">
        <v>1284.2</v>
      </c>
      <c r="U1226" s="1">
        <f>IF(Table14[[#This Row],[I_0]] &lt; INDEX(Table28[Filtro de ruido],1), 1, Table14[[#This Row],[I_10]] / Table14[[#This Row],[I_0]])</f>
        <v>1.1111111111111112</v>
      </c>
      <c r="V1226" s="1">
        <f>IF(Table14[[#This Row],[I_0]] &lt; INDEX(Table28[Filtro de ruido],1), 1, Table14[[#This Row],[I_20]] / Table14[[#This Row],[I_0]])</f>
        <v>1.2777777777777777</v>
      </c>
      <c r="W1226" s="1">
        <f>IF(Table14[[#This Row],[I_0]] &lt; INDEX(Table28[Filtro de ruido],1), 1, Table14[[#This Row],[I_30]] / Table14[[#This Row],[I_0]])</f>
        <v>1.3333333333333333</v>
      </c>
      <c r="X1226" s="1">
        <f>IF(Table14[[#This Row],[I_0]] &lt; INDEX(Table28[Filtro de ruido],1), 1, Table14[[#This Row],[I_40]] / Table14[[#This Row],[I_0]])</f>
        <v>1.4444444444444444</v>
      </c>
      <c r="Y1226" s="19">
        <f>IF(Table14[[#This Row],[I_0]] &lt; INDEX(Table28[Filtro de ruido],1), 1, Table14[[#This Row],[I_50]] / Table14[[#This Row],[I_0]])</f>
        <v>1.4444444444444444</v>
      </c>
      <c r="AA1226" s="1"/>
    </row>
    <row r="1227" spans="1:27" x14ac:dyDescent="0.3">
      <c r="A1227" s="18">
        <v>1285.19</v>
      </c>
      <c r="B1227" s="1">
        <v>1.8</v>
      </c>
      <c r="C1227" s="1">
        <v>1285.19</v>
      </c>
      <c r="D1227" s="1">
        <v>2.1</v>
      </c>
      <c r="E1227" s="1">
        <v>1285.19</v>
      </c>
      <c r="F1227" s="1">
        <v>2.4</v>
      </c>
      <c r="G1227" s="1">
        <v>1285.19</v>
      </c>
      <c r="H1227" s="1">
        <v>2.4</v>
      </c>
      <c r="I1227" s="1">
        <v>1285.19</v>
      </c>
      <c r="J1227" s="1">
        <v>2.7</v>
      </c>
      <c r="K1227" s="1">
        <v>1285.19</v>
      </c>
      <c r="L1227" s="1">
        <v>2.6</v>
      </c>
      <c r="M1227" s="1">
        <v>1285.19</v>
      </c>
      <c r="N1227" s="1">
        <v>1.8</v>
      </c>
      <c r="O1227" s="1">
        <v>2.1</v>
      </c>
      <c r="P1227" s="1">
        <v>2.4</v>
      </c>
      <c r="Q1227" s="1">
        <v>2.4</v>
      </c>
      <c r="R1227" s="1">
        <v>2.7</v>
      </c>
      <c r="S1227" s="1">
        <v>2.6</v>
      </c>
      <c r="T1227" s="1">
        <v>1285.19</v>
      </c>
      <c r="U1227" s="1">
        <f>IF(Table14[[#This Row],[I_0]] &lt; INDEX(Table28[Filtro de ruido],1), 1, Table14[[#This Row],[I_10]] / Table14[[#This Row],[I_0]])</f>
        <v>1.1666666666666667</v>
      </c>
      <c r="V1227" s="1">
        <f>IF(Table14[[#This Row],[I_0]] &lt; INDEX(Table28[Filtro de ruido],1), 1, Table14[[#This Row],[I_20]] / Table14[[#This Row],[I_0]])</f>
        <v>1.3333333333333333</v>
      </c>
      <c r="W1227" s="1">
        <f>IF(Table14[[#This Row],[I_0]] &lt; INDEX(Table28[Filtro de ruido],1), 1, Table14[[#This Row],[I_30]] / Table14[[#This Row],[I_0]])</f>
        <v>1.3333333333333333</v>
      </c>
      <c r="X1227" s="1">
        <f>IF(Table14[[#This Row],[I_0]] &lt; INDEX(Table28[Filtro de ruido],1), 1, Table14[[#This Row],[I_40]] / Table14[[#This Row],[I_0]])</f>
        <v>1.5</v>
      </c>
      <c r="Y1227" s="19">
        <f>IF(Table14[[#This Row],[I_0]] &lt; INDEX(Table28[Filtro de ruido],1), 1, Table14[[#This Row],[I_50]] / Table14[[#This Row],[I_0]])</f>
        <v>1.4444444444444444</v>
      </c>
      <c r="AA1227" s="1"/>
    </row>
    <row r="1228" spans="1:27" x14ac:dyDescent="0.3">
      <c r="A1228" s="18">
        <v>1286.18</v>
      </c>
      <c r="B1228" s="1">
        <v>1.9</v>
      </c>
      <c r="C1228" s="1">
        <v>1286.18</v>
      </c>
      <c r="D1228" s="1">
        <v>2.2000000000000002</v>
      </c>
      <c r="E1228" s="1">
        <v>1286.18</v>
      </c>
      <c r="F1228" s="1">
        <v>2.5</v>
      </c>
      <c r="G1228" s="1">
        <v>1286.18</v>
      </c>
      <c r="H1228" s="1">
        <v>2.5</v>
      </c>
      <c r="I1228" s="1">
        <v>1286.18</v>
      </c>
      <c r="J1228" s="1">
        <v>2.8</v>
      </c>
      <c r="K1228" s="1">
        <v>1286.18</v>
      </c>
      <c r="L1228" s="1">
        <v>2.7</v>
      </c>
      <c r="M1228" s="1">
        <v>1286.18</v>
      </c>
      <c r="N1228" s="1">
        <v>1.9</v>
      </c>
      <c r="O1228" s="1">
        <v>2.2000000000000002</v>
      </c>
      <c r="P1228" s="1">
        <v>2.5</v>
      </c>
      <c r="Q1228" s="1">
        <v>2.5</v>
      </c>
      <c r="R1228" s="1">
        <v>2.8</v>
      </c>
      <c r="S1228" s="1">
        <v>2.7</v>
      </c>
      <c r="T1228" s="1">
        <v>1286.18</v>
      </c>
      <c r="U1228" s="1">
        <f>IF(Table14[[#This Row],[I_0]] &lt; INDEX(Table28[Filtro de ruido],1), 1, Table14[[#This Row],[I_10]] / Table14[[#This Row],[I_0]])</f>
        <v>1.1578947368421053</v>
      </c>
      <c r="V1228" s="1">
        <f>IF(Table14[[#This Row],[I_0]] &lt; INDEX(Table28[Filtro de ruido],1), 1, Table14[[#This Row],[I_20]] / Table14[[#This Row],[I_0]])</f>
        <v>1.3157894736842106</v>
      </c>
      <c r="W1228" s="1">
        <f>IF(Table14[[#This Row],[I_0]] &lt; INDEX(Table28[Filtro de ruido],1), 1, Table14[[#This Row],[I_30]] / Table14[[#This Row],[I_0]])</f>
        <v>1.3157894736842106</v>
      </c>
      <c r="X1228" s="1">
        <f>IF(Table14[[#This Row],[I_0]] &lt; INDEX(Table28[Filtro de ruido],1), 1, Table14[[#This Row],[I_40]] / Table14[[#This Row],[I_0]])</f>
        <v>1.4736842105263157</v>
      </c>
      <c r="Y1228" s="19">
        <f>IF(Table14[[#This Row],[I_0]] &lt; INDEX(Table28[Filtro de ruido],1), 1, Table14[[#This Row],[I_50]] / Table14[[#This Row],[I_0]])</f>
        <v>1.4210526315789476</v>
      </c>
      <c r="AA1228" s="1"/>
    </row>
    <row r="1229" spans="1:27" x14ac:dyDescent="0.3">
      <c r="A1229" s="18">
        <v>1287.18</v>
      </c>
      <c r="B1229" s="1">
        <v>2</v>
      </c>
      <c r="C1229" s="1">
        <v>1287.18</v>
      </c>
      <c r="D1229" s="1">
        <v>2.2000000000000002</v>
      </c>
      <c r="E1229" s="1">
        <v>1287.18</v>
      </c>
      <c r="F1229" s="1">
        <v>2.5</v>
      </c>
      <c r="G1229" s="1">
        <v>1287.18</v>
      </c>
      <c r="H1229" s="1">
        <v>2.6</v>
      </c>
      <c r="I1229" s="1">
        <v>1287.18</v>
      </c>
      <c r="J1229" s="1">
        <v>2.8</v>
      </c>
      <c r="K1229" s="1">
        <v>1287.18</v>
      </c>
      <c r="L1229" s="1">
        <v>2.8</v>
      </c>
      <c r="M1229" s="1">
        <v>1287.18</v>
      </c>
      <c r="N1229" s="1">
        <v>2</v>
      </c>
      <c r="O1229" s="1">
        <v>2.2000000000000002</v>
      </c>
      <c r="P1229" s="1">
        <v>2.5</v>
      </c>
      <c r="Q1229" s="1">
        <v>2.6</v>
      </c>
      <c r="R1229" s="1">
        <v>2.8</v>
      </c>
      <c r="S1229" s="1">
        <v>2.8</v>
      </c>
      <c r="T1229" s="1">
        <v>1287.18</v>
      </c>
      <c r="U1229" s="1">
        <f>IF(Table14[[#This Row],[I_0]] &lt; INDEX(Table28[Filtro de ruido],1), 1, Table14[[#This Row],[I_10]] / Table14[[#This Row],[I_0]])</f>
        <v>1.1000000000000001</v>
      </c>
      <c r="V1229" s="1">
        <f>IF(Table14[[#This Row],[I_0]] &lt; INDEX(Table28[Filtro de ruido],1), 1, Table14[[#This Row],[I_20]] / Table14[[#This Row],[I_0]])</f>
        <v>1.25</v>
      </c>
      <c r="W1229" s="1">
        <f>IF(Table14[[#This Row],[I_0]] &lt; INDEX(Table28[Filtro de ruido],1), 1, Table14[[#This Row],[I_30]] / Table14[[#This Row],[I_0]])</f>
        <v>1.3</v>
      </c>
      <c r="X1229" s="1">
        <f>IF(Table14[[#This Row],[I_0]] &lt; INDEX(Table28[Filtro de ruido],1), 1, Table14[[#This Row],[I_40]] / Table14[[#This Row],[I_0]])</f>
        <v>1.4</v>
      </c>
      <c r="Y1229" s="19">
        <f>IF(Table14[[#This Row],[I_0]] &lt; INDEX(Table28[Filtro de ruido],1), 1, Table14[[#This Row],[I_50]] / Table14[[#This Row],[I_0]])</f>
        <v>1.4</v>
      </c>
      <c r="AA1229" s="1"/>
    </row>
    <row r="1230" spans="1:27" x14ac:dyDescent="0.3">
      <c r="A1230" s="18">
        <v>1288.17</v>
      </c>
      <c r="B1230" s="1">
        <v>2</v>
      </c>
      <c r="C1230" s="1">
        <v>1288.17</v>
      </c>
      <c r="D1230" s="1">
        <v>2.2999999999999998</v>
      </c>
      <c r="E1230" s="1">
        <v>1288.17</v>
      </c>
      <c r="F1230" s="1">
        <v>2.6</v>
      </c>
      <c r="G1230" s="1">
        <v>1288.17</v>
      </c>
      <c r="H1230" s="1">
        <v>2.7</v>
      </c>
      <c r="I1230" s="1">
        <v>1288.17</v>
      </c>
      <c r="J1230" s="1">
        <v>2.9</v>
      </c>
      <c r="K1230" s="1">
        <v>1288.17</v>
      </c>
      <c r="L1230" s="1">
        <v>2.9</v>
      </c>
      <c r="M1230" s="1">
        <v>1288.17</v>
      </c>
      <c r="N1230" s="1">
        <v>2</v>
      </c>
      <c r="O1230" s="1">
        <v>2.2999999999999998</v>
      </c>
      <c r="P1230" s="1">
        <v>2.6</v>
      </c>
      <c r="Q1230" s="1">
        <v>2.7</v>
      </c>
      <c r="R1230" s="1">
        <v>2.9</v>
      </c>
      <c r="S1230" s="1">
        <v>2.9</v>
      </c>
      <c r="T1230" s="1">
        <v>1288.17</v>
      </c>
      <c r="U1230" s="1">
        <f>IF(Table14[[#This Row],[I_0]] &lt; INDEX(Table28[Filtro de ruido],1), 1, Table14[[#This Row],[I_10]] / Table14[[#This Row],[I_0]])</f>
        <v>1.1499999999999999</v>
      </c>
      <c r="V1230" s="1">
        <f>IF(Table14[[#This Row],[I_0]] &lt; INDEX(Table28[Filtro de ruido],1), 1, Table14[[#This Row],[I_20]] / Table14[[#This Row],[I_0]])</f>
        <v>1.3</v>
      </c>
      <c r="W1230" s="1">
        <f>IF(Table14[[#This Row],[I_0]] &lt; INDEX(Table28[Filtro de ruido],1), 1, Table14[[#This Row],[I_30]] / Table14[[#This Row],[I_0]])</f>
        <v>1.35</v>
      </c>
      <c r="X1230" s="1">
        <f>IF(Table14[[#This Row],[I_0]] &lt; INDEX(Table28[Filtro de ruido],1), 1, Table14[[#This Row],[I_40]] / Table14[[#This Row],[I_0]])</f>
        <v>1.45</v>
      </c>
      <c r="Y1230" s="19">
        <f>IF(Table14[[#This Row],[I_0]] &lt; INDEX(Table28[Filtro de ruido],1), 1, Table14[[#This Row],[I_50]] / Table14[[#This Row],[I_0]])</f>
        <v>1.45</v>
      </c>
      <c r="AA1230" s="1"/>
    </row>
    <row r="1231" spans="1:27" x14ac:dyDescent="0.3">
      <c r="A1231" s="18">
        <v>1289.1600000000001</v>
      </c>
      <c r="B1231" s="1">
        <v>2.1</v>
      </c>
      <c r="C1231" s="1">
        <v>1289.1600000000001</v>
      </c>
      <c r="D1231" s="1">
        <v>2.4</v>
      </c>
      <c r="E1231" s="1">
        <v>1289.1600000000001</v>
      </c>
      <c r="F1231" s="1">
        <v>2.8</v>
      </c>
      <c r="G1231" s="1">
        <v>1289.1600000000001</v>
      </c>
      <c r="H1231" s="1">
        <v>2.8</v>
      </c>
      <c r="I1231" s="1">
        <v>1289.1600000000001</v>
      </c>
      <c r="J1231" s="1">
        <v>3.1</v>
      </c>
      <c r="K1231" s="1">
        <v>1289.1600000000001</v>
      </c>
      <c r="L1231" s="1">
        <v>3</v>
      </c>
      <c r="M1231" s="1">
        <v>1289.1600000000001</v>
      </c>
      <c r="N1231" s="1">
        <v>2.1</v>
      </c>
      <c r="O1231" s="1">
        <v>2.4</v>
      </c>
      <c r="P1231" s="1">
        <v>2.8</v>
      </c>
      <c r="Q1231" s="1">
        <v>2.8</v>
      </c>
      <c r="R1231" s="1">
        <v>3.1</v>
      </c>
      <c r="S1231" s="1">
        <v>3</v>
      </c>
      <c r="T1231" s="1">
        <v>1289.1600000000001</v>
      </c>
      <c r="U1231" s="1">
        <f>IF(Table14[[#This Row],[I_0]] &lt; INDEX(Table28[Filtro de ruido],1), 1, Table14[[#This Row],[I_10]] / Table14[[#This Row],[I_0]])</f>
        <v>1.1428571428571428</v>
      </c>
      <c r="V1231" s="1">
        <f>IF(Table14[[#This Row],[I_0]] &lt; INDEX(Table28[Filtro de ruido],1), 1, Table14[[#This Row],[I_20]] / Table14[[#This Row],[I_0]])</f>
        <v>1.3333333333333333</v>
      </c>
      <c r="W1231" s="1">
        <f>IF(Table14[[#This Row],[I_0]] &lt; INDEX(Table28[Filtro de ruido],1), 1, Table14[[#This Row],[I_30]] / Table14[[#This Row],[I_0]])</f>
        <v>1.3333333333333333</v>
      </c>
      <c r="X1231" s="1">
        <f>IF(Table14[[#This Row],[I_0]] &lt; INDEX(Table28[Filtro de ruido],1), 1, Table14[[#This Row],[I_40]] / Table14[[#This Row],[I_0]])</f>
        <v>1.4761904761904763</v>
      </c>
      <c r="Y1231" s="19">
        <f>IF(Table14[[#This Row],[I_0]] &lt; INDEX(Table28[Filtro de ruido],1), 1, Table14[[#This Row],[I_50]] / Table14[[#This Row],[I_0]])</f>
        <v>1.4285714285714286</v>
      </c>
      <c r="AA1231" s="1"/>
    </row>
    <row r="1232" spans="1:27" x14ac:dyDescent="0.3">
      <c r="A1232" s="18">
        <v>1290.1500000000001</v>
      </c>
      <c r="B1232" s="1">
        <v>2.2999999999999998</v>
      </c>
      <c r="C1232" s="1">
        <v>1290.1500000000001</v>
      </c>
      <c r="D1232" s="1">
        <v>2.6</v>
      </c>
      <c r="E1232" s="1">
        <v>1290.1500000000001</v>
      </c>
      <c r="F1232" s="1">
        <v>3</v>
      </c>
      <c r="G1232" s="1">
        <v>1290.1500000000001</v>
      </c>
      <c r="H1232" s="1">
        <v>3</v>
      </c>
      <c r="I1232" s="1">
        <v>1290.1500000000001</v>
      </c>
      <c r="J1232" s="1">
        <v>3.3</v>
      </c>
      <c r="K1232" s="1">
        <v>1290.1500000000001</v>
      </c>
      <c r="L1232" s="1">
        <v>3.2</v>
      </c>
      <c r="M1232" s="1">
        <v>1290.1500000000001</v>
      </c>
      <c r="N1232" s="1">
        <v>2.2999999999999998</v>
      </c>
      <c r="O1232" s="1">
        <v>2.6</v>
      </c>
      <c r="P1232" s="1">
        <v>3</v>
      </c>
      <c r="Q1232" s="1">
        <v>3</v>
      </c>
      <c r="R1232" s="1">
        <v>3.3</v>
      </c>
      <c r="S1232" s="1">
        <v>3.2</v>
      </c>
      <c r="T1232" s="1">
        <v>1290.1500000000001</v>
      </c>
      <c r="U1232" s="1">
        <f>IF(Table14[[#This Row],[I_0]] &lt; INDEX(Table28[Filtro de ruido],1), 1, Table14[[#This Row],[I_10]] / Table14[[#This Row],[I_0]])</f>
        <v>1.1304347826086958</v>
      </c>
      <c r="V1232" s="1">
        <f>IF(Table14[[#This Row],[I_0]] &lt; INDEX(Table28[Filtro de ruido],1), 1, Table14[[#This Row],[I_20]] / Table14[[#This Row],[I_0]])</f>
        <v>1.3043478260869565</v>
      </c>
      <c r="W1232" s="1">
        <f>IF(Table14[[#This Row],[I_0]] &lt; INDEX(Table28[Filtro de ruido],1), 1, Table14[[#This Row],[I_30]] / Table14[[#This Row],[I_0]])</f>
        <v>1.3043478260869565</v>
      </c>
      <c r="X1232" s="1">
        <f>IF(Table14[[#This Row],[I_0]] &lt; INDEX(Table28[Filtro de ruido],1), 1, Table14[[#This Row],[I_40]] / Table14[[#This Row],[I_0]])</f>
        <v>1.4347826086956521</v>
      </c>
      <c r="Y1232" s="19">
        <f>IF(Table14[[#This Row],[I_0]] &lt; INDEX(Table28[Filtro de ruido],1), 1, Table14[[#This Row],[I_50]] / Table14[[#This Row],[I_0]])</f>
        <v>1.3913043478260871</v>
      </c>
      <c r="AA1232" s="1"/>
    </row>
    <row r="1233" spans="1:27" x14ac:dyDescent="0.3">
      <c r="A1233" s="18">
        <v>1291.1400000000001</v>
      </c>
      <c r="B1233" s="1">
        <v>2.4</v>
      </c>
      <c r="C1233" s="1">
        <v>1291.1400000000001</v>
      </c>
      <c r="D1233" s="1">
        <v>2.7</v>
      </c>
      <c r="E1233" s="1">
        <v>1291.1400000000001</v>
      </c>
      <c r="F1233" s="1">
        <v>3.2</v>
      </c>
      <c r="G1233" s="1">
        <v>1291.1400000000001</v>
      </c>
      <c r="H1233" s="1">
        <v>3.2</v>
      </c>
      <c r="I1233" s="1">
        <v>1291.1400000000001</v>
      </c>
      <c r="J1233" s="1">
        <v>3.5</v>
      </c>
      <c r="K1233" s="1">
        <v>1291.1400000000001</v>
      </c>
      <c r="L1233" s="1">
        <v>3.4</v>
      </c>
      <c r="M1233" s="1">
        <v>1291.1400000000001</v>
      </c>
      <c r="N1233" s="1">
        <v>2.4</v>
      </c>
      <c r="O1233" s="1">
        <v>2.7</v>
      </c>
      <c r="P1233" s="1">
        <v>3.2</v>
      </c>
      <c r="Q1233" s="1">
        <v>3.2</v>
      </c>
      <c r="R1233" s="1">
        <v>3.5</v>
      </c>
      <c r="S1233" s="1">
        <v>3.4</v>
      </c>
      <c r="T1233" s="1">
        <v>1291.1400000000001</v>
      </c>
      <c r="U1233" s="1">
        <f>IF(Table14[[#This Row],[I_0]] &lt; INDEX(Table28[Filtro de ruido],1), 1, Table14[[#This Row],[I_10]] / Table14[[#This Row],[I_0]])</f>
        <v>1.1250000000000002</v>
      </c>
      <c r="V1233" s="1">
        <f>IF(Table14[[#This Row],[I_0]] &lt; INDEX(Table28[Filtro de ruido],1), 1, Table14[[#This Row],[I_20]] / Table14[[#This Row],[I_0]])</f>
        <v>1.3333333333333335</v>
      </c>
      <c r="W1233" s="1">
        <f>IF(Table14[[#This Row],[I_0]] &lt; INDEX(Table28[Filtro de ruido],1), 1, Table14[[#This Row],[I_30]] / Table14[[#This Row],[I_0]])</f>
        <v>1.3333333333333335</v>
      </c>
      <c r="X1233" s="1">
        <f>IF(Table14[[#This Row],[I_0]] &lt; INDEX(Table28[Filtro de ruido],1), 1, Table14[[#This Row],[I_40]] / Table14[[#This Row],[I_0]])</f>
        <v>1.4583333333333335</v>
      </c>
      <c r="Y1233" s="19">
        <f>IF(Table14[[#This Row],[I_0]] &lt; INDEX(Table28[Filtro de ruido],1), 1, Table14[[#This Row],[I_50]] / Table14[[#This Row],[I_0]])</f>
        <v>1.4166666666666667</v>
      </c>
      <c r="AA1233" s="1"/>
    </row>
    <row r="1234" spans="1:27" x14ac:dyDescent="0.3">
      <c r="A1234" s="18">
        <v>1292.1300000000001</v>
      </c>
      <c r="B1234" s="1">
        <v>2.5</v>
      </c>
      <c r="C1234" s="1">
        <v>1292.1300000000001</v>
      </c>
      <c r="D1234" s="1">
        <v>2.8</v>
      </c>
      <c r="E1234" s="1">
        <v>1292.1300000000001</v>
      </c>
      <c r="F1234" s="1">
        <v>3.3</v>
      </c>
      <c r="G1234" s="1">
        <v>1292.1300000000001</v>
      </c>
      <c r="H1234" s="1">
        <v>3.3</v>
      </c>
      <c r="I1234" s="1">
        <v>1292.1300000000001</v>
      </c>
      <c r="J1234" s="1">
        <v>3.6</v>
      </c>
      <c r="K1234" s="1">
        <v>1292.1300000000001</v>
      </c>
      <c r="L1234" s="1">
        <v>3.5</v>
      </c>
      <c r="M1234" s="1">
        <v>1292.1300000000001</v>
      </c>
      <c r="N1234" s="1">
        <v>2.5</v>
      </c>
      <c r="O1234" s="1">
        <v>2.8</v>
      </c>
      <c r="P1234" s="1">
        <v>3.3</v>
      </c>
      <c r="Q1234" s="1">
        <v>3.3</v>
      </c>
      <c r="R1234" s="1">
        <v>3.6</v>
      </c>
      <c r="S1234" s="1">
        <v>3.5</v>
      </c>
      <c r="T1234" s="1">
        <v>1292.1300000000001</v>
      </c>
      <c r="U1234" s="1">
        <f>IF(Table14[[#This Row],[I_0]] &lt; INDEX(Table28[Filtro de ruido],1), 1, Table14[[#This Row],[I_10]] / Table14[[#This Row],[I_0]])</f>
        <v>1.1199999999999999</v>
      </c>
      <c r="V1234" s="1">
        <f>IF(Table14[[#This Row],[I_0]] &lt; INDEX(Table28[Filtro de ruido],1), 1, Table14[[#This Row],[I_20]] / Table14[[#This Row],[I_0]])</f>
        <v>1.3199999999999998</v>
      </c>
      <c r="W1234" s="1">
        <f>IF(Table14[[#This Row],[I_0]] &lt; INDEX(Table28[Filtro de ruido],1), 1, Table14[[#This Row],[I_30]] / Table14[[#This Row],[I_0]])</f>
        <v>1.3199999999999998</v>
      </c>
      <c r="X1234" s="1">
        <f>IF(Table14[[#This Row],[I_0]] &lt; INDEX(Table28[Filtro de ruido],1), 1, Table14[[#This Row],[I_40]] / Table14[[#This Row],[I_0]])</f>
        <v>1.44</v>
      </c>
      <c r="Y1234" s="19">
        <f>IF(Table14[[#This Row],[I_0]] &lt; INDEX(Table28[Filtro de ruido],1), 1, Table14[[#This Row],[I_50]] / Table14[[#This Row],[I_0]])</f>
        <v>1.4</v>
      </c>
      <c r="AA1234" s="1"/>
    </row>
    <row r="1235" spans="1:27" x14ac:dyDescent="0.3">
      <c r="A1235" s="18">
        <v>1293.1300000000001</v>
      </c>
      <c r="B1235" s="1">
        <v>2.6</v>
      </c>
      <c r="C1235" s="1">
        <v>1293.1300000000001</v>
      </c>
      <c r="D1235" s="1">
        <v>3</v>
      </c>
      <c r="E1235" s="1">
        <v>1293.1300000000001</v>
      </c>
      <c r="F1235" s="1">
        <v>3.4</v>
      </c>
      <c r="G1235" s="1">
        <v>1293.1300000000001</v>
      </c>
      <c r="H1235" s="1">
        <v>3.4</v>
      </c>
      <c r="I1235" s="1">
        <v>1293.1300000000001</v>
      </c>
      <c r="J1235" s="1">
        <v>3.7</v>
      </c>
      <c r="K1235" s="1">
        <v>1293.1300000000001</v>
      </c>
      <c r="L1235" s="1">
        <v>3.7</v>
      </c>
      <c r="M1235" s="1">
        <v>1293.1300000000001</v>
      </c>
      <c r="N1235" s="1">
        <v>2.6</v>
      </c>
      <c r="O1235" s="1">
        <v>3</v>
      </c>
      <c r="P1235" s="1">
        <v>3.4</v>
      </c>
      <c r="Q1235" s="1">
        <v>3.4</v>
      </c>
      <c r="R1235" s="1">
        <v>3.7</v>
      </c>
      <c r="S1235" s="1">
        <v>3.7</v>
      </c>
      <c r="T1235" s="1">
        <v>1293.1300000000001</v>
      </c>
      <c r="U1235" s="1">
        <f>IF(Table14[[#This Row],[I_0]] &lt; INDEX(Table28[Filtro de ruido],1), 1, Table14[[#This Row],[I_10]] / Table14[[#This Row],[I_0]])</f>
        <v>1.1538461538461537</v>
      </c>
      <c r="V1235" s="1">
        <f>IF(Table14[[#This Row],[I_0]] &lt; INDEX(Table28[Filtro de ruido],1), 1, Table14[[#This Row],[I_20]] / Table14[[#This Row],[I_0]])</f>
        <v>1.3076923076923077</v>
      </c>
      <c r="W1235" s="1">
        <f>IF(Table14[[#This Row],[I_0]] &lt; INDEX(Table28[Filtro de ruido],1), 1, Table14[[#This Row],[I_30]] / Table14[[#This Row],[I_0]])</f>
        <v>1.3076923076923077</v>
      </c>
      <c r="X1235" s="1">
        <f>IF(Table14[[#This Row],[I_0]] &lt; INDEX(Table28[Filtro de ruido],1), 1, Table14[[#This Row],[I_40]] / Table14[[#This Row],[I_0]])</f>
        <v>1.4230769230769231</v>
      </c>
      <c r="Y1235" s="19">
        <f>IF(Table14[[#This Row],[I_0]] &lt; INDEX(Table28[Filtro de ruido],1), 1, Table14[[#This Row],[I_50]] / Table14[[#This Row],[I_0]])</f>
        <v>1.4230769230769231</v>
      </c>
      <c r="AA1235" s="1"/>
    </row>
    <row r="1236" spans="1:27" x14ac:dyDescent="0.3">
      <c r="A1236" s="18">
        <v>1294.1199999999999</v>
      </c>
      <c r="B1236" s="1">
        <v>2.6</v>
      </c>
      <c r="C1236" s="1">
        <v>1294.1199999999999</v>
      </c>
      <c r="D1236" s="1">
        <v>3</v>
      </c>
      <c r="E1236" s="1">
        <v>1294.1199999999999</v>
      </c>
      <c r="F1236" s="1">
        <v>3.5</v>
      </c>
      <c r="G1236" s="1">
        <v>1294.1199999999999</v>
      </c>
      <c r="H1236" s="1">
        <v>3.5</v>
      </c>
      <c r="I1236" s="1">
        <v>1294.1199999999999</v>
      </c>
      <c r="J1236" s="1">
        <v>3.8</v>
      </c>
      <c r="K1236" s="1">
        <v>1294.1199999999999</v>
      </c>
      <c r="L1236" s="1">
        <v>3.7</v>
      </c>
      <c r="M1236" s="1">
        <v>1294.1199999999999</v>
      </c>
      <c r="N1236" s="1">
        <v>2.6</v>
      </c>
      <c r="O1236" s="1">
        <v>3</v>
      </c>
      <c r="P1236" s="1">
        <v>3.5</v>
      </c>
      <c r="Q1236" s="1">
        <v>3.5</v>
      </c>
      <c r="R1236" s="1">
        <v>3.8</v>
      </c>
      <c r="S1236" s="1">
        <v>3.7</v>
      </c>
      <c r="T1236" s="1">
        <v>1294.1199999999999</v>
      </c>
      <c r="U1236" s="1">
        <f>IF(Table14[[#This Row],[I_0]] &lt; INDEX(Table28[Filtro de ruido],1), 1, Table14[[#This Row],[I_10]] / Table14[[#This Row],[I_0]])</f>
        <v>1.1538461538461537</v>
      </c>
      <c r="V1236" s="1">
        <f>IF(Table14[[#This Row],[I_0]] &lt; INDEX(Table28[Filtro de ruido],1), 1, Table14[[#This Row],[I_20]] / Table14[[#This Row],[I_0]])</f>
        <v>1.346153846153846</v>
      </c>
      <c r="W1236" s="1">
        <f>IF(Table14[[#This Row],[I_0]] &lt; INDEX(Table28[Filtro de ruido],1), 1, Table14[[#This Row],[I_30]] / Table14[[#This Row],[I_0]])</f>
        <v>1.346153846153846</v>
      </c>
      <c r="X1236" s="1">
        <f>IF(Table14[[#This Row],[I_0]] &lt; INDEX(Table28[Filtro de ruido],1), 1, Table14[[#This Row],[I_40]] / Table14[[#This Row],[I_0]])</f>
        <v>1.4615384615384615</v>
      </c>
      <c r="Y1236" s="19">
        <f>IF(Table14[[#This Row],[I_0]] &lt; INDEX(Table28[Filtro de ruido],1), 1, Table14[[#This Row],[I_50]] / Table14[[#This Row],[I_0]])</f>
        <v>1.4230769230769231</v>
      </c>
      <c r="AA1236" s="1"/>
    </row>
    <row r="1237" spans="1:27" x14ac:dyDescent="0.3">
      <c r="A1237" s="18">
        <v>1295.1099999999999</v>
      </c>
      <c r="B1237" s="1">
        <v>2.7</v>
      </c>
      <c r="C1237" s="1">
        <v>1295.1099999999999</v>
      </c>
      <c r="D1237" s="1">
        <v>3.1</v>
      </c>
      <c r="E1237" s="1">
        <v>1295.1099999999999</v>
      </c>
      <c r="F1237" s="1">
        <v>3.6</v>
      </c>
      <c r="G1237" s="1">
        <v>1295.1099999999999</v>
      </c>
      <c r="H1237" s="1">
        <v>3.6</v>
      </c>
      <c r="I1237" s="1">
        <v>1295.1099999999999</v>
      </c>
      <c r="J1237" s="1">
        <v>3.9</v>
      </c>
      <c r="K1237" s="1">
        <v>1295.1099999999999</v>
      </c>
      <c r="L1237" s="1">
        <v>3.9</v>
      </c>
      <c r="M1237" s="1">
        <v>1295.1099999999999</v>
      </c>
      <c r="N1237" s="1">
        <v>2.7</v>
      </c>
      <c r="O1237" s="1">
        <v>3.1</v>
      </c>
      <c r="P1237" s="1">
        <v>3.6</v>
      </c>
      <c r="Q1237" s="1">
        <v>3.6</v>
      </c>
      <c r="R1237" s="1">
        <v>3.9</v>
      </c>
      <c r="S1237" s="1">
        <v>3.9</v>
      </c>
      <c r="T1237" s="1">
        <v>1295.1099999999999</v>
      </c>
      <c r="U1237" s="1">
        <f>IF(Table14[[#This Row],[I_0]] &lt; INDEX(Table28[Filtro de ruido],1), 1, Table14[[#This Row],[I_10]] / Table14[[#This Row],[I_0]])</f>
        <v>1.1481481481481481</v>
      </c>
      <c r="V1237" s="1">
        <f>IF(Table14[[#This Row],[I_0]] &lt; INDEX(Table28[Filtro de ruido],1), 1, Table14[[#This Row],[I_20]] / Table14[[#This Row],[I_0]])</f>
        <v>1.3333333333333333</v>
      </c>
      <c r="W1237" s="1">
        <f>IF(Table14[[#This Row],[I_0]] &lt; INDEX(Table28[Filtro de ruido],1), 1, Table14[[#This Row],[I_30]] / Table14[[#This Row],[I_0]])</f>
        <v>1.3333333333333333</v>
      </c>
      <c r="X1237" s="1">
        <f>IF(Table14[[#This Row],[I_0]] &lt; INDEX(Table28[Filtro de ruido],1), 1, Table14[[#This Row],[I_40]] / Table14[[#This Row],[I_0]])</f>
        <v>1.4444444444444444</v>
      </c>
      <c r="Y1237" s="19">
        <f>IF(Table14[[#This Row],[I_0]] &lt; INDEX(Table28[Filtro de ruido],1), 1, Table14[[#This Row],[I_50]] / Table14[[#This Row],[I_0]])</f>
        <v>1.4444444444444444</v>
      </c>
      <c r="AA1237" s="1"/>
    </row>
    <row r="1238" spans="1:27" x14ac:dyDescent="0.3">
      <c r="A1238" s="18">
        <v>1296.0999999999999</v>
      </c>
      <c r="B1238" s="1">
        <v>2.7</v>
      </c>
      <c r="C1238" s="1">
        <v>1296.0999999999999</v>
      </c>
      <c r="D1238" s="1">
        <v>3.2</v>
      </c>
      <c r="E1238" s="1">
        <v>1296.0999999999999</v>
      </c>
      <c r="F1238" s="1">
        <v>3.6</v>
      </c>
      <c r="G1238" s="1">
        <v>1296.0999999999999</v>
      </c>
      <c r="H1238" s="1">
        <v>3.6</v>
      </c>
      <c r="I1238" s="1">
        <v>1296.0999999999999</v>
      </c>
      <c r="J1238" s="1">
        <v>3.9</v>
      </c>
      <c r="K1238" s="1">
        <v>1296.0999999999999</v>
      </c>
      <c r="L1238" s="1">
        <v>3.9</v>
      </c>
      <c r="M1238" s="1">
        <v>1296.0999999999999</v>
      </c>
      <c r="N1238" s="1">
        <v>2.7</v>
      </c>
      <c r="O1238" s="1">
        <v>3.2</v>
      </c>
      <c r="P1238" s="1">
        <v>3.6</v>
      </c>
      <c r="Q1238" s="1">
        <v>3.6</v>
      </c>
      <c r="R1238" s="1">
        <v>3.9</v>
      </c>
      <c r="S1238" s="1">
        <v>3.9</v>
      </c>
      <c r="T1238" s="1">
        <v>1296.0999999999999</v>
      </c>
      <c r="U1238" s="1">
        <f>IF(Table14[[#This Row],[I_0]] &lt; INDEX(Table28[Filtro de ruido],1), 1, Table14[[#This Row],[I_10]] / Table14[[#This Row],[I_0]])</f>
        <v>1.1851851851851851</v>
      </c>
      <c r="V1238" s="1">
        <f>IF(Table14[[#This Row],[I_0]] &lt; INDEX(Table28[Filtro de ruido],1), 1, Table14[[#This Row],[I_20]] / Table14[[#This Row],[I_0]])</f>
        <v>1.3333333333333333</v>
      </c>
      <c r="W1238" s="1">
        <f>IF(Table14[[#This Row],[I_0]] &lt; INDEX(Table28[Filtro de ruido],1), 1, Table14[[#This Row],[I_30]] / Table14[[#This Row],[I_0]])</f>
        <v>1.3333333333333333</v>
      </c>
      <c r="X1238" s="1">
        <f>IF(Table14[[#This Row],[I_0]] &lt; INDEX(Table28[Filtro de ruido],1), 1, Table14[[#This Row],[I_40]] / Table14[[#This Row],[I_0]])</f>
        <v>1.4444444444444444</v>
      </c>
      <c r="Y1238" s="19">
        <f>IF(Table14[[#This Row],[I_0]] &lt; INDEX(Table28[Filtro de ruido],1), 1, Table14[[#This Row],[I_50]] / Table14[[#This Row],[I_0]])</f>
        <v>1.4444444444444444</v>
      </c>
      <c r="AA1238" s="1"/>
    </row>
    <row r="1239" spans="1:27" x14ac:dyDescent="0.3">
      <c r="A1239" s="18">
        <v>1297.0899999999999</v>
      </c>
      <c r="B1239" s="1">
        <v>2.8</v>
      </c>
      <c r="C1239" s="1">
        <v>1297.0899999999999</v>
      </c>
      <c r="D1239" s="1">
        <v>3.3</v>
      </c>
      <c r="E1239" s="1">
        <v>1297.0899999999999</v>
      </c>
      <c r="F1239" s="1">
        <v>3.7</v>
      </c>
      <c r="G1239" s="1">
        <v>1297.0899999999999</v>
      </c>
      <c r="H1239" s="1">
        <v>3.7</v>
      </c>
      <c r="I1239" s="1">
        <v>1297.0899999999999</v>
      </c>
      <c r="J1239" s="1">
        <v>4</v>
      </c>
      <c r="K1239" s="1">
        <v>1297.0899999999999</v>
      </c>
      <c r="L1239" s="1">
        <v>4</v>
      </c>
      <c r="M1239" s="1">
        <v>1297.0899999999999</v>
      </c>
      <c r="N1239" s="1">
        <v>2.8</v>
      </c>
      <c r="O1239" s="1">
        <v>3.3</v>
      </c>
      <c r="P1239" s="1">
        <v>3.7</v>
      </c>
      <c r="Q1239" s="1">
        <v>3.7</v>
      </c>
      <c r="R1239" s="1">
        <v>4</v>
      </c>
      <c r="S1239" s="1">
        <v>4</v>
      </c>
      <c r="T1239" s="1">
        <v>1297.0899999999999</v>
      </c>
      <c r="U1239" s="1">
        <f>IF(Table14[[#This Row],[I_0]] &lt; INDEX(Table28[Filtro de ruido],1), 1, Table14[[#This Row],[I_10]] / Table14[[#This Row],[I_0]])</f>
        <v>1.1785714285714286</v>
      </c>
      <c r="V1239" s="1">
        <f>IF(Table14[[#This Row],[I_0]] &lt; INDEX(Table28[Filtro de ruido],1), 1, Table14[[#This Row],[I_20]] / Table14[[#This Row],[I_0]])</f>
        <v>1.3214285714285716</v>
      </c>
      <c r="W1239" s="1">
        <f>IF(Table14[[#This Row],[I_0]] &lt; INDEX(Table28[Filtro de ruido],1), 1, Table14[[#This Row],[I_30]] / Table14[[#This Row],[I_0]])</f>
        <v>1.3214285714285716</v>
      </c>
      <c r="X1239" s="1">
        <f>IF(Table14[[#This Row],[I_0]] &lt; INDEX(Table28[Filtro de ruido],1), 1, Table14[[#This Row],[I_40]] / Table14[[#This Row],[I_0]])</f>
        <v>1.4285714285714286</v>
      </c>
      <c r="Y1239" s="19">
        <f>IF(Table14[[#This Row],[I_0]] &lt; INDEX(Table28[Filtro de ruido],1), 1, Table14[[#This Row],[I_50]] / Table14[[#This Row],[I_0]])</f>
        <v>1.4285714285714286</v>
      </c>
      <c r="AA1239" s="1"/>
    </row>
    <row r="1240" spans="1:27" x14ac:dyDescent="0.3">
      <c r="A1240" s="18">
        <v>1298.08</v>
      </c>
      <c r="B1240" s="1">
        <v>2.8</v>
      </c>
      <c r="C1240" s="1">
        <v>1298.08</v>
      </c>
      <c r="D1240" s="1">
        <v>3.3</v>
      </c>
      <c r="E1240" s="1">
        <v>1298.08</v>
      </c>
      <c r="F1240" s="1">
        <v>3.7</v>
      </c>
      <c r="G1240" s="1">
        <v>1298.08</v>
      </c>
      <c r="H1240" s="1">
        <v>3.7</v>
      </c>
      <c r="I1240" s="1">
        <v>1298.08</v>
      </c>
      <c r="J1240" s="1">
        <v>4</v>
      </c>
      <c r="K1240" s="1">
        <v>1298.08</v>
      </c>
      <c r="L1240" s="1">
        <v>4</v>
      </c>
      <c r="M1240" s="1">
        <v>1298.08</v>
      </c>
      <c r="N1240" s="1">
        <v>2.8</v>
      </c>
      <c r="O1240" s="1">
        <v>3.3</v>
      </c>
      <c r="P1240" s="1">
        <v>3.7</v>
      </c>
      <c r="Q1240" s="1">
        <v>3.7</v>
      </c>
      <c r="R1240" s="1">
        <v>4</v>
      </c>
      <c r="S1240" s="1">
        <v>4</v>
      </c>
      <c r="T1240" s="1">
        <v>1298.08</v>
      </c>
      <c r="U1240" s="1">
        <f>IF(Table14[[#This Row],[I_0]] &lt; INDEX(Table28[Filtro de ruido],1), 1, Table14[[#This Row],[I_10]] / Table14[[#This Row],[I_0]])</f>
        <v>1.1785714285714286</v>
      </c>
      <c r="V1240" s="1">
        <f>IF(Table14[[#This Row],[I_0]] &lt; INDEX(Table28[Filtro de ruido],1), 1, Table14[[#This Row],[I_20]] / Table14[[#This Row],[I_0]])</f>
        <v>1.3214285714285716</v>
      </c>
      <c r="W1240" s="1">
        <f>IF(Table14[[#This Row],[I_0]] &lt; INDEX(Table28[Filtro de ruido],1), 1, Table14[[#This Row],[I_30]] / Table14[[#This Row],[I_0]])</f>
        <v>1.3214285714285716</v>
      </c>
      <c r="X1240" s="1">
        <f>IF(Table14[[#This Row],[I_0]] &lt; INDEX(Table28[Filtro de ruido],1), 1, Table14[[#This Row],[I_40]] / Table14[[#This Row],[I_0]])</f>
        <v>1.4285714285714286</v>
      </c>
      <c r="Y1240" s="19">
        <f>IF(Table14[[#This Row],[I_0]] &lt; INDEX(Table28[Filtro de ruido],1), 1, Table14[[#This Row],[I_50]] / Table14[[#This Row],[I_0]])</f>
        <v>1.4285714285714286</v>
      </c>
      <c r="AA1240" s="1"/>
    </row>
    <row r="1241" spans="1:27" x14ac:dyDescent="0.3">
      <c r="A1241" s="18">
        <v>1299.08</v>
      </c>
      <c r="B1241" s="1">
        <v>2.9</v>
      </c>
      <c r="C1241" s="1">
        <v>1299.08</v>
      </c>
      <c r="D1241" s="1">
        <v>3.3</v>
      </c>
      <c r="E1241" s="1">
        <v>1299.08</v>
      </c>
      <c r="F1241" s="1">
        <v>3.8</v>
      </c>
      <c r="G1241" s="1">
        <v>1299.08</v>
      </c>
      <c r="H1241" s="1">
        <v>3.7</v>
      </c>
      <c r="I1241" s="1">
        <v>1299.08</v>
      </c>
      <c r="J1241" s="1">
        <v>4.0999999999999996</v>
      </c>
      <c r="K1241" s="1">
        <v>1299.08</v>
      </c>
      <c r="L1241" s="1">
        <v>4</v>
      </c>
      <c r="M1241" s="1">
        <v>1299.08</v>
      </c>
      <c r="N1241" s="1">
        <v>2.9</v>
      </c>
      <c r="O1241" s="1">
        <v>3.3</v>
      </c>
      <c r="P1241" s="1">
        <v>3.8</v>
      </c>
      <c r="Q1241" s="1">
        <v>3.7</v>
      </c>
      <c r="R1241" s="1">
        <v>4.0999999999999996</v>
      </c>
      <c r="S1241" s="1">
        <v>4</v>
      </c>
      <c r="T1241" s="1">
        <v>1299.08</v>
      </c>
      <c r="U1241" s="1">
        <f>IF(Table14[[#This Row],[I_0]] &lt; INDEX(Table28[Filtro de ruido],1), 1, Table14[[#This Row],[I_10]] / Table14[[#This Row],[I_0]])</f>
        <v>1.1379310344827587</v>
      </c>
      <c r="V1241" s="1">
        <f>IF(Table14[[#This Row],[I_0]] &lt; INDEX(Table28[Filtro de ruido],1), 1, Table14[[#This Row],[I_20]] / Table14[[#This Row],[I_0]])</f>
        <v>1.3103448275862069</v>
      </c>
      <c r="W1241" s="1">
        <f>IF(Table14[[#This Row],[I_0]] &lt; INDEX(Table28[Filtro de ruido],1), 1, Table14[[#This Row],[I_30]] / Table14[[#This Row],[I_0]])</f>
        <v>1.2758620689655173</v>
      </c>
      <c r="X1241" s="1">
        <f>IF(Table14[[#This Row],[I_0]] &lt; INDEX(Table28[Filtro de ruido],1), 1, Table14[[#This Row],[I_40]] / Table14[[#This Row],[I_0]])</f>
        <v>1.4137931034482758</v>
      </c>
      <c r="Y1241" s="19">
        <f>IF(Table14[[#This Row],[I_0]] &lt; INDEX(Table28[Filtro de ruido],1), 1, Table14[[#This Row],[I_50]] / Table14[[#This Row],[I_0]])</f>
        <v>1.3793103448275863</v>
      </c>
      <c r="AA1241" s="1"/>
    </row>
    <row r="1242" spans="1:27" x14ac:dyDescent="0.3">
      <c r="A1242" s="18">
        <v>1300.07</v>
      </c>
      <c r="B1242" s="1">
        <v>2.9</v>
      </c>
      <c r="C1242" s="1">
        <v>1300.07</v>
      </c>
      <c r="D1242" s="1">
        <v>3.3</v>
      </c>
      <c r="E1242" s="1">
        <v>1300.07</v>
      </c>
      <c r="F1242" s="1">
        <v>3.8</v>
      </c>
      <c r="G1242" s="1">
        <v>1300.07</v>
      </c>
      <c r="H1242" s="1">
        <v>3.7</v>
      </c>
      <c r="I1242" s="1">
        <v>1300.07</v>
      </c>
      <c r="J1242" s="1">
        <v>4.0999999999999996</v>
      </c>
      <c r="K1242" s="1">
        <v>1300.07</v>
      </c>
      <c r="L1242" s="1">
        <v>4</v>
      </c>
      <c r="M1242" s="1">
        <v>1300.07</v>
      </c>
      <c r="N1242" s="1">
        <v>2.9</v>
      </c>
      <c r="O1242" s="1">
        <v>3.3</v>
      </c>
      <c r="P1242" s="1">
        <v>3.8</v>
      </c>
      <c r="Q1242" s="1">
        <v>3.7</v>
      </c>
      <c r="R1242" s="1">
        <v>4.0999999999999996</v>
      </c>
      <c r="S1242" s="1">
        <v>4</v>
      </c>
      <c r="T1242" s="1">
        <v>1300.07</v>
      </c>
      <c r="U1242" s="1">
        <f>IF(Table14[[#This Row],[I_0]] &lt; INDEX(Table28[Filtro de ruido],1), 1, Table14[[#This Row],[I_10]] / Table14[[#This Row],[I_0]])</f>
        <v>1.1379310344827587</v>
      </c>
      <c r="V1242" s="1">
        <f>IF(Table14[[#This Row],[I_0]] &lt; INDEX(Table28[Filtro de ruido],1), 1, Table14[[#This Row],[I_20]] / Table14[[#This Row],[I_0]])</f>
        <v>1.3103448275862069</v>
      </c>
      <c r="W1242" s="1">
        <f>IF(Table14[[#This Row],[I_0]] &lt; INDEX(Table28[Filtro de ruido],1), 1, Table14[[#This Row],[I_30]] / Table14[[#This Row],[I_0]])</f>
        <v>1.2758620689655173</v>
      </c>
      <c r="X1242" s="1">
        <f>IF(Table14[[#This Row],[I_0]] &lt; INDEX(Table28[Filtro de ruido],1), 1, Table14[[#This Row],[I_40]] / Table14[[#This Row],[I_0]])</f>
        <v>1.4137931034482758</v>
      </c>
      <c r="Y1242" s="19">
        <f>IF(Table14[[#This Row],[I_0]] &lt; INDEX(Table28[Filtro de ruido],1), 1, Table14[[#This Row],[I_50]] / Table14[[#This Row],[I_0]])</f>
        <v>1.3793103448275863</v>
      </c>
      <c r="AA1242" s="1"/>
    </row>
    <row r="1243" spans="1:27" x14ac:dyDescent="0.3">
      <c r="A1243" s="18">
        <v>1301.06</v>
      </c>
      <c r="B1243" s="1">
        <v>2.9</v>
      </c>
      <c r="C1243" s="1">
        <v>1301.06</v>
      </c>
      <c r="D1243" s="1">
        <v>3.3</v>
      </c>
      <c r="E1243" s="1">
        <v>1301.06</v>
      </c>
      <c r="F1243" s="1">
        <v>3.8</v>
      </c>
      <c r="G1243" s="1">
        <v>1301.06</v>
      </c>
      <c r="H1243" s="1">
        <v>3.8</v>
      </c>
      <c r="I1243" s="1">
        <v>1301.06</v>
      </c>
      <c r="J1243" s="1">
        <v>4.2</v>
      </c>
      <c r="K1243" s="1">
        <v>1301.06</v>
      </c>
      <c r="L1243" s="1">
        <v>4.0999999999999996</v>
      </c>
      <c r="M1243" s="1">
        <v>1301.06</v>
      </c>
      <c r="N1243" s="1">
        <v>2.9</v>
      </c>
      <c r="O1243" s="1">
        <v>3.3</v>
      </c>
      <c r="P1243" s="1">
        <v>3.8</v>
      </c>
      <c r="Q1243" s="1">
        <v>3.8</v>
      </c>
      <c r="R1243" s="1">
        <v>4.2</v>
      </c>
      <c r="S1243" s="1">
        <v>4.0999999999999996</v>
      </c>
      <c r="T1243" s="1">
        <v>1301.06</v>
      </c>
      <c r="U1243" s="1">
        <f>IF(Table14[[#This Row],[I_0]] &lt; INDEX(Table28[Filtro de ruido],1), 1, Table14[[#This Row],[I_10]] / Table14[[#This Row],[I_0]])</f>
        <v>1.1379310344827587</v>
      </c>
      <c r="V1243" s="1">
        <f>IF(Table14[[#This Row],[I_0]] &lt; INDEX(Table28[Filtro de ruido],1), 1, Table14[[#This Row],[I_20]] / Table14[[#This Row],[I_0]])</f>
        <v>1.3103448275862069</v>
      </c>
      <c r="W1243" s="1">
        <f>IF(Table14[[#This Row],[I_0]] &lt; INDEX(Table28[Filtro de ruido],1), 1, Table14[[#This Row],[I_30]] / Table14[[#This Row],[I_0]])</f>
        <v>1.3103448275862069</v>
      </c>
      <c r="X1243" s="1">
        <f>IF(Table14[[#This Row],[I_0]] &lt; INDEX(Table28[Filtro de ruido],1), 1, Table14[[#This Row],[I_40]] / Table14[[#This Row],[I_0]])</f>
        <v>1.4482758620689655</v>
      </c>
      <c r="Y1243" s="19">
        <f>IF(Table14[[#This Row],[I_0]] &lt; INDEX(Table28[Filtro de ruido],1), 1, Table14[[#This Row],[I_50]] / Table14[[#This Row],[I_0]])</f>
        <v>1.4137931034482758</v>
      </c>
      <c r="AA1243" s="1"/>
    </row>
    <row r="1244" spans="1:27" x14ac:dyDescent="0.3">
      <c r="A1244" s="18">
        <v>1302.05</v>
      </c>
      <c r="B1244" s="1">
        <v>2.9</v>
      </c>
      <c r="C1244" s="1">
        <v>1302.05</v>
      </c>
      <c r="D1244" s="1">
        <v>3.4</v>
      </c>
      <c r="E1244" s="1">
        <v>1302.05</v>
      </c>
      <c r="F1244" s="1">
        <v>3.8</v>
      </c>
      <c r="G1244" s="1">
        <v>1302.05</v>
      </c>
      <c r="H1244" s="1">
        <v>3.8</v>
      </c>
      <c r="I1244" s="1">
        <v>1302.05</v>
      </c>
      <c r="J1244" s="1">
        <v>4.2</v>
      </c>
      <c r="K1244" s="1">
        <v>1302.05</v>
      </c>
      <c r="L1244" s="1">
        <v>4.0999999999999996</v>
      </c>
      <c r="M1244" s="1">
        <v>1302.05</v>
      </c>
      <c r="N1244" s="1">
        <v>2.9</v>
      </c>
      <c r="O1244" s="1">
        <v>3.4</v>
      </c>
      <c r="P1244" s="1">
        <v>3.8</v>
      </c>
      <c r="Q1244" s="1">
        <v>3.8</v>
      </c>
      <c r="R1244" s="1">
        <v>4.2</v>
      </c>
      <c r="S1244" s="1">
        <v>4.0999999999999996</v>
      </c>
      <c r="T1244" s="1">
        <v>1302.05</v>
      </c>
      <c r="U1244" s="1">
        <f>IF(Table14[[#This Row],[I_0]] &lt; INDEX(Table28[Filtro de ruido],1), 1, Table14[[#This Row],[I_10]] / Table14[[#This Row],[I_0]])</f>
        <v>1.1724137931034482</v>
      </c>
      <c r="V1244" s="1">
        <f>IF(Table14[[#This Row],[I_0]] &lt; INDEX(Table28[Filtro de ruido],1), 1, Table14[[#This Row],[I_20]] / Table14[[#This Row],[I_0]])</f>
        <v>1.3103448275862069</v>
      </c>
      <c r="W1244" s="1">
        <f>IF(Table14[[#This Row],[I_0]] &lt; INDEX(Table28[Filtro de ruido],1), 1, Table14[[#This Row],[I_30]] / Table14[[#This Row],[I_0]])</f>
        <v>1.3103448275862069</v>
      </c>
      <c r="X1244" s="1">
        <f>IF(Table14[[#This Row],[I_0]] &lt; INDEX(Table28[Filtro de ruido],1), 1, Table14[[#This Row],[I_40]] / Table14[[#This Row],[I_0]])</f>
        <v>1.4482758620689655</v>
      </c>
      <c r="Y1244" s="19">
        <f>IF(Table14[[#This Row],[I_0]] &lt; INDEX(Table28[Filtro de ruido],1), 1, Table14[[#This Row],[I_50]] / Table14[[#This Row],[I_0]])</f>
        <v>1.4137931034482758</v>
      </c>
      <c r="AA1244" s="1"/>
    </row>
    <row r="1245" spans="1:27" x14ac:dyDescent="0.3">
      <c r="A1245" s="18">
        <v>1303.04</v>
      </c>
      <c r="B1245" s="1">
        <v>3</v>
      </c>
      <c r="C1245" s="1">
        <v>1303.04</v>
      </c>
      <c r="D1245" s="1">
        <v>3.4</v>
      </c>
      <c r="E1245" s="1">
        <v>1303.04</v>
      </c>
      <c r="F1245" s="1">
        <v>3.9</v>
      </c>
      <c r="G1245" s="1">
        <v>1303.04</v>
      </c>
      <c r="H1245" s="1">
        <v>3.9</v>
      </c>
      <c r="I1245" s="1">
        <v>1303.04</v>
      </c>
      <c r="J1245" s="1">
        <v>4.2</v>
      </c>
      <c r="K1245" s="1">
        <v>1303.04</v>
      </c>
      <c r="L1245" s="1">
        <v>4.2</v>
      </c>
      <c r="M1245" s="1">
        <v>1303.04</v>
      </c>
      <c r="N1245" s="1">
        <v>3</v>
      </c>
      <c r="O1245" s="1">
        <v>3.4</v>
      </c>
      <c r="P1245" s="1">
        <v>3.9</v>
      </c>
      <c r="Q1245" s="1">
        <v>3.9</v>
      </c>
      <c r="R1245" s="1">
        <v>4.2</v>
      </c>
      <c r="S1245" s="1">
        <v>4.2</v>
      </c>
      <c r="T1245" s="1">
        <v>1303.04</v>
      </c>
      <c r="U1245" s="1">
        <f>IF(Table14[[#This Row],[I_0]] &lt; INDEX(Table28[Filtro de ruido],1), 1, Table14[[#This Row],[I_10]] / Table14[[#This Row],[I_0]])</f>
        <v>1.1333333333333333</v>
      </c>
      <c r="V1245" s="1">
        <f>IF(Table14[[#This Row],[I_0]] &lt; INDEX(Table28[Filtro de ruido],1), 1, Table14[[#This Row],[I_20]] / Table14[[#This Row],[I_0]])</f>
        <v>1.3</v>
      </c>
      <c r="W1245" s="1">
        <f>IF(Table14[[#This Row],[I_0]] &lt; INDEX(Table28[Filtro de ruido],1), 1, Table14[[#This Row],[I_30]] / Table14[[#This Row],[I_0]])</f>
        <v>1.3</v>
      </c>
      <c r="X1245" s="1">
        <f>IF(Table14[[#This Row],[I_0]] &lt; INDEX(Table28[Filtro de ruido],1), 1, Table14[[#This Row],[I_40]] / Table14[[#This Row],[I_0]])</f>
        <v>1.4000000000000001</v>
      </c>
      <c r="Y1245" s="19">
        <f>IF(Table14[[#This Row],[I_0]] &lt; INDEX(Table28[Filtro de ruido],1), 1, Table14[[#This Row],[I_50]] / Table14[[#This Row],[I_0]])</f>
        <v>1.4000000000000001</v>
      </c>
      <c r="AA1245" s="1"/>
    </row>
    <row r="1246" spans="1:27" x14ac:dyDescent="0.3">
      <c r="A1246" s="18">
        <v>1304.04</v>
      </c>
      <c r="B1246" s="1">
        <v>3</v>
      </c>
      <c r="C1246" s="1">
        <v>1304.04</v>
      </c>
      <c r="D1246" s="1">
        <v>3.4</v>
      </c>
      <c r="E1246" s="1">
        <v>1304.04</v>
      </c>
      <c r="F1246" s="1">
        <v>3.9</v>
      </c>
      <c r="G1246" s="1">
        <v>1304.04</v>
      </c>
      <c r="H1246" s="1">
        <v>3.9</v>
      </c>
      <c r="I1246" s="1">
        <v>1304.04</v>
      </c>
      <c r="J1246" s="1">
        <v>4.2</v>
      </c>
      <c r="K1246" s="1">
        <v>1304.04</v>
      </c>
      <c r="L1246" s="1">
        <v>4.2</v>
      </c>
      <c r="M1246" s="1">
        <v>1304.04</v>
      </c>
      <c r="N1246" s="1">
        <v>3</v>
      </c>
      <c r="O1246" s="1">
        <v>3.4</v>
      </c>
      <c r="P1246" s="1">
        <v>3.9</v>
      </c>
      <c r="Q1246" s="1">
        <v>3.9</v>
      </c>
      <c r="R1246" s="1">
        <v>4.2</v>
      </c>
      <c r="S1246" s="1">
        <v>4.2</v>
      </c>
      <c r="T1246" s="1">
        <v>1304.04</v>
      </c>
      <c r="U1246" s="1">
        <f>IF(Table14[[#This Row],[I_0]] &lt; INDEX(Table28[Filtro de ruido],1), 1, Table14[[#This Row],[I_10]] / Table14[[#This Row],[I_0]])</f>
        <v>1.1333333333333333</v>
      </c>
      <c r="V1246" s="1">
        <f>IF(Table14[[#This Row],[I_0]] &lt; INDEX(Table28[Filtro de ruido],1), 1, Table14[[#This Row],[I_20]] / Table14[[#This Row],[I_0]])</f>
        <v>1.3</v>
      </c>
      <c r="W1246" s="1">
        <f>IF(Table14[[#This Row],[I_0]] &lt; INDEX(Table28[Filtro de ruido],1), 1, Table14[[#This Row],[I_30]] / Table14[[#This Row],[I_0]])</f>
        <v>1.3</v>
      </c>
      <c r="X1246" s="1">
        <f>IF(Table14[[#This Row],[I_0]] &lt; INDEX(Table28[Filtro de ruido],1), 1, Table14[[#This Row],[I_40]] / Table14[[#This Row],[I_0]])</f>
        <v>1.4000000000000001</v>
      </c>
      <c r="Y1246" s="19">
        <f>IF(Table14[[#This Row],[I_0]] &lt; INDEX(Table28[Filtro de ruido],1), 1, Table14[[#This Row],[I_50]] / Table14[[#This Row],[I_0]])</f>
        <v>1.4000000000000001</v>
      </c>
      <c r="AA1246" s="1"/>
    </row>
    <row r="1247" spans="1:27" x14ac:dyDescent="0.3">
      <c r="A1247" s="18">
        <v>1305.03</v>
      </c>
      <c r="B1247" s="1">
        <v>3.1</v>
      </c>
      <c r="C1247" s="1">
        <v>1305.03</v>
      </c>
      <c r="D1247" s="1">
        <v>3.5</v>
      </c>
      <c r="E1247" s="1">
        <v>1305.03</v>
      </c>
      <c r="F1247" s="1">
        <v>4</v>
      </c>
      <c r="G1247" s="1">
        <v>1305.03</v>
      </c>
      <c r="H1247" s="1">
        <v>4</v>
      </c>
      <c r="I1247" s="1">
        <v>1305.03</v>
      </c>
      <c r="J1247" s="1">
        <v>4.3</v>
      </c>
      <c r="K1247" s="1">
        <v>1305.03</v>
      </c>
      <c r="L1247" s="1">
        <v>4.2</v>
      </c>
      <c r="M1247" s="1">
        <v>1305.03</v>
      </c>
      <c r="N1247" s="1">
        <v>3.1</v>
      </c>
      <c r="O1247" s="1">
        <v>3.5</v>
      </c>
      <c r="P1247" s="1">
        <v>4</v>
      </c>
      <c r="Q1247" s="1">
        <v>4</v>
      </c>
      <c r="R1247" s="1">
        <v>4.3</v>
      </c>
      <c r="S1247" s="1">
        <v>4.2</v>
      </c>
      <c r="T1247" s="1">
        <v>1305.03</v>
      </c>
      <c r="U1247" s="1">
        <f>IF(Table14[[#This Row],[I_0]] &lt; INDEX(Table28[Filtro de ruido],1), 1, Table14[[#This Row],[I_10]] / Table14[[#This Row],[I_0]])</f>
        <v>1.129032258064516</v>
      </c>
      <c r="V1247" s="1">
        <f>IF(Table14[[#This Row],[I_0]] &lt; INDEX(Table28[Filtro de ruido],1), 1, Table14[[#This Row],[I_20]] / Table14[[#This Row],[I_0]])</f>
        <v>1.2903225806451613</v>
      </c>
      <c r="W1247" s="1">
        <f>IF(Table14[[#This Row],[I_0]] &lt; INDEX(Table28[Filtro de ruido],1), 1, Table14[[#This Row],[I_30]] / Table14[[#This Row],[I_0]])</f>
        <v>1.2903225806451613</v>
      </c>
      <c r="X1247" s="1">
        <f>IF(Table14[[#This Row],[I_0]] &lt; INDEX(Table28[Filtro de ruido],1), 1, Table14[[#This Row],[I_40]] / Table14[[#This Row],[I_0]])</f>
        <v>1.3870967741935483</v>
      </c>
      <c r="Y1247" s="19">
        <f>IF(Table14[[#This Row],[I_0]] &lt; INDEX(Table28[Filtro de ruido],1), 1, Table14[[#This Row],[I_50]] / Table14[[#This Row],[I_0]])</f>
        <v>1.3548387096774195</v>
      </c>
      <c r="AA1247" s="1"/>
    </row>
    <row r="1248" spans="1:27" x14ac:dyDescent="0.3">
      <c r="A1248" s="18">
        <v>1306.02</v>
      </c>
      <c r="B1248" s="1">
        <v>3.1</v>
      </c>
      <c r="C1248" s="1">
        <v>1306.02</v>
      </c>
      <c r="D1248" s="1">
        <v>3.5</v>
      </c>
      <c r="E1248" s="1">
        <v>1306.02</v>
      </c>
      <c r="F1248" s="1">
        <v>4</v>
      </c>
      <c r="G1248" s="1">
        <v>1306.02</v>
      </c>
      <c r="H1248" s="1">
        <v>4</v>
      </c>
      <c r="I1248" s="1">
        <v>1306.02</v>
      </c>
      <c r="J1248" s="1">
        <v>4.3</v>
      </c>
      <c r="K1248" s="1">
        <v>1306.02</v>
      </c>
      <c r="L1248" s="1">
        <v>4.2</v>
      </c>
      <c r="M1248" s="1">
        <v>1306.02</v>
      </c>
      <c r="N1248" s="1">
        <v>3.1</v>
      </c>
      <c r="O1248" s="1">
        <v>3.5</v>
      </c>
      <c r="P1248" s="1">
        <v>4</v>
      </c>
      <c r="Q1248" s="1">
        <v>4</v>
      </c>
      <c r="R1248" s="1">
        <v>4.3</v>
      </c>
      <c r="S1248" s="1">
        <v>4.2</v>
      </c>
      <c r="T1248" s="1">
        <v>1306.02</v>
      </c>
      <c r="U1248" s="1">
        <f>IF(Table14[[#This Row],[I_0]] &lt; INDEX(Table28[Filtro de ruido],1), 1, Table14[[#This Row],[I_10]] / Table14[[#This Row],[I_0]])</f>
        <v>1.129032258064516</v>
      </c>
      <c r="V1248" s="1">
        <f>IF(Table14[[#This Row],[I_0]] &lt; INDEX(Table28[Filtro de ruido],1), 1, Table14[[#This Row],[I_20]] / Table14[[#This Row],[I_0]])</f>
        <v>1.2903225806451613</v>
      </c>
      <c r="W1248" s="1">
        <f>IF(Table14[[#This Row],[I_0]] &lt; INDEX(Table28[Filtro de ruido],1), 1, Table14[[#This Row],[I_30]] / Table14[[#This Row],[I_0]])</f>
        <v>1.2903225806451613</v>
      </c>
      <c r="X1248" s="1">
        <f>IF(Table14[[#This Row],[I_0]] &lt; INDEX(Table28[Filtro de ruido],1), 1, Table14[[#This Row],[I_40]] / Table14[[#This Row],[I_0]])</f>
        <v>1.3870967741935483</v>
      </c>
      <c r="Y1248" s="19">
        <f>IF(Table14[[#This Row],[I_0]] &lt; INDEX(Table28[Filtro de ruido],1), 1, Table14[[#This Row],[I_50]] / Table14[[#This Row],[I_0]])</f>
        <v>1.3548387096774195</v>
      </c>
      <c r="AA1248" s="1"/>
    </row>
    <row r="1249" spans="1:27" x14ac:dyDescent="0.3">
      <c r="A1249" s="18">
        <v>1307.01</v>
      </c>
      <c r="B1249" s="1">
        <v>3.1</v>
      </c>
      <c r="C1249" s="1">
        <v>1307.01</v>
      </c>
      <c r="D1249" s="1">
        <v>3.5</v>
      </c>
      <c r="E1249" s="1">
        <v>1307.01</v>
      </c>
      <c r="F1249" s="1">
        <v>4</v>
      </c>
      <c r="G1249" s="1">
        <v>1307.01</v>
      </c>
      <c r="H1249" s="1">
        <v>4.0999999999999996</v>
      </c>
      <c r="I1249" s="1">
        <v>1307.01</v>
      </c>
      <c r="J1249" s="1">
        <v>4.3</v>
      </c>
      <c r="K1249" s="1">
        <v>1307.01</v>
      </c>
      <c r="L1249" s="1">
        <v>4.3</v>
      </c>
      <c r="M1249" s="1">
        <v>1307.01</v>
      </c>
      <c r="N1249" s="1">
        <v>3.1</v>
      </c>
      <c r="O1249" s="1">
        <v>3.5</v>
      </c>
      <c r="P1249" s="1">
        <v>4</v>
      </c>
      <c r="Q1249" s="1">
        <v>4.0999999999999996</v>
      </c>
      <c r="R1249" s="1">
        <v>4.3</v>
      </c>
      <c r="S1249" s="1">
        <v>4.3</v>
      </c>
      <c r="T1249" s="1">
        <v>1307.01</v>
      </c>
      <c r="U1249" s="1">
        <f>IF(Table14[[#This Row],[I_0]] &lt; INDEX(Table28[Filtro de ruido],1), 1, Table14[[#This Row],[I_10]] / Table14[[#This Row],[I_0]])</f>
        <v>1.129032258064516</v>
      </c>
      <c r="V1249" s="1">
        <f>IF(Table14[[#This Row],[I_0]] &lt; INDEX(Table28[Filtro de ruido],1), 1, Table14[[#This Row],[I_20]] / Table14[[#This Row],[I_0]])</f>
        <v>1.2903225806451613</v>
      </c>
      <c r="W1249" s="1">
        <f>IF(Table14[[#This Row],[I_0]] &lt; INDEX(Table28[Filtro de ruido],1), 1, Table14[[#This Row],[I_30]] / Table14[[#This Row],[I_0]])</f>
        <v>1.3225806451612903</v>
      </c>
      <c r="X1249" s="1">
        <f>IF(Table14[[#This Row],[I_0]] &lt; INDEX(Table28[Filtro de ruido],1), 1, Table14[[#This Row],[I_40]] / Table14[[#This Row],[I_0]])</f>
        <v>1.3870967741935483</v>
      </c>
      <c r="Y1249" s="19">
        <f>IF(Table14[[#This Row],[I_0]] &lt; INDEX(Table28[Filtro de ruido],1), 1, Table14[[#This Row],[I_50]] / Table14[[#This Row],[I_0]])</f>
        <v>1.3870967741935483</v>
      </c>
      <c r="AA1249" s="1"/>
    </row>
    <row r="1250" spans="1:27" x14ac:dyDescent="0.3">
      <c r="A1250" s="18">
        <v>1308</v>
      </c>
      <c r="B1250" s="1">
        <v>3.1</v>
      </c>
      <c r="C1250" s="1">
        <v>1308</v>
      </c>
      <c r="D1250" s="1">
        <v>3.5</v>
      </c>
      <c r="E1250" s="1">
        <v>1308</v>
      </c>
      <c r="F1250" s="1">
        <v>4</v>
      </c>
      <c r="G1250" s="1">
        <v>1308</v>
      </c>
      <c r="H1250" s="1">
        <v>4</v>
      </c>
      <c r="I1250" s="1">
        <v>1308</v>
      </c>
      <c r="J1250" s="1">
        <v>4.2</v>
      </c>
      <c r="K1250" s="1">
        <v>1308</v>
      </c>
      <c r="L1250" s="1">
        <v>4.2</v>
      </c>
      <c r="M1250" s="1">
        <v>1308</v>
      </c>
      <c r="N1250" s="1">
        <v>3.1</v>
      </c>
      <c r="O1250" s="1">
        <v>3.5</v>
      </c>
      <c r="P1250" s="1">
        <v>4</v>
      </c>
      <c r="Q1250" s="1">
        <v>4</v>
      </c>
      <c r="R1250" s="1">
        <v>4.2</v>
      </c>
      <c r="S1250" s="1">
        <v>4.2</v>
      </c>
      <c r="T1250" s="1">
        <v>1308</v>
      </c>
      <c r="U1250" s="1">
        <f>IF(Table14[[#This Row],[I_0]] &lt; INDEX(Table28[Filtro de ruido],1), 1, Table14[[#This Row],[I_10]] / Table14[[#This Row],[I_0]])</f>
        <v>1.129032258064516</v>
      </c>
      <c r="V1250" s="1">
        <f>IF(Table14[[#This Row],[I_0]] &lt; INDEX(Table28[Filtro de ruido],1), 1, Table14[[#This Row],[I_20]] / Table14[[#This Row],[I_0]])</f>
        <v>1.2903225806451613</v>
      </c>
      <c r="W1250" s="1">
        <f>IF(Table14[[#This Row],[I_0]] &lt; INDEX(Table28[Filtro de ruido],1), 1, Table14[[#This Row],[I_30]] / Table14[[#This Row],[I_0]])</f>
        <v>1.2903225806451613</v>
      </c>
      <c r="X1250" s="1">
        <f>IF(Table14[[#This Row],[I_0]] &lt; INDEX(Table28[Filtro de ruido],1), 1, Table14[[#This Row],[I_40]] / Table14[[#This Row],[I_0]])</f>
        <v>1.3548387096774195</v>
      </c>
      <c r="Y1250" s="19">
        <f>IF(Table14[[#This Row],[I_0]] &lt; INDEX(Table28[Filtro de ruido],1), 1, Table14[[#This Row],[I_50]] / Table14[[#This Row],[I_0]])</f>
        <v>1.3548387096774195</v>
      </c>
      <c r="AA1250" s="1"/>
    </row>
    <row r="1251" spans="1:27" x14ac:dyDescent="0.3">
      <c r="A1251" s="18">
        <v>1308.99</v>
      </c>
      <c r="B1251" s="1">
        <v>3.1</v>
      </c>
      <c r="C1251" s="1">
        <v>1308.99</v>
      </c>
      <c r="D1251" s="1">
        <v>3.5</v>
      </c>
      <c r="E1251" s="1">
        <v>1308.99</v>
      </c>
      <c r="F1251" s="1">
        <v>4</v>
      </c>
      <c r="G1251" s="1">
        <v>1308.99</v>
      </c>
      <c r="H1251" s="1">
        <v>4</v>
      </c>
      <c r="I1251" s="1">
        <v>1308.99</v>
      </c>
      <c r="J1251" s="1">
        <v>4.2</v>
      </c>
      <c r="K1251" s="1">
        <v>1308.99</v>
      </c>
      <c r="L1251" s="1">
        <v>4.2</v>
      </c>
      <c r="M1251" s="1">
        <v>1308.99</v>
      </c>
      <c r="N1251" s="1">
        <v>3.1</v>
      </c>
      <c r="O1251" s="1">
        <v>3.5</v>
      </c>
      <c r="P1251" s="1">
        <v>4</v>
      </c>
      <c r="Q1251" s="1">
        <v>4</v>
      </c>
      <c r="R1251" s="1">
        <v>4.2</v>
      </c>
      <c r="S1251" s="1">
        <v>4.2</v>
      </c>
      <c r="T1251" s="1">
        <v>1308.99</v>
      </c>
      <c r="U1251" s="1">
        <f>IF(Table14[[#This Row],[I_0]] &lt; INDEX(Table28[Filtro de ruido],1), 1, Table14[[#This Row],[I_10]] / Table14[[#This Row],[I_0]])</f>
        <v>1.129032258064516</v>
      </c>
      <c r="V1251" s="1">
        <f>IF(Table14[[#This Row],[I_0]] &lt; INDEX(Table28[Filtro de ruido],1), 1, Table14[[#This Row],[I_20]] / Table14[[#This Row],[I_0]])</f>
        <v>1.2903225806451613</v>
      </c>
      <c r="W1251" s="1">
        <f>IF(Table14[[#This Row],[I_0]] &lt; INDEX(Table28[Filtro de ruido],1), 1, Table14[[#This Row],[I_30]] / Table14[[#This Row],[I_0]])</f>
        <v>1.2903225806451613</v>
      </c>
      <c r="X1251" s="1">
        <f>IF(Table14[[#This Row],[I_0]] &lt; INDEX(Table28[Filtro de ruido],1), 1, Table14[[#This Row],[I_40]] / Table14[[#This Row],[I_0]])</f>
        <v>1.3548387096774195</v>
      </c>
      <c r="Y1251" s="19">
        <f>IF(Table14[[#This Row],[I_0]] &lt; INDEX(Table28[Filtro de ruido],1), 1, Table14[[#This Row],[I_50]] / Table14[[#This Row],[I_0]])</f>
        <v>1.3548387096774195</v>
      </c>
      <c r="AA1251" s="1"/>
    </row>
    <row r="1252" spans="1:27" x14ac:dyDescent="0.3">
      <c r="A1252" s="18">
        <v>1309.99</v>
      </c>
      <c r="B1252" s="1">
        <v>3</v>
      </c>
      <c r="C1252" s="1">
        <v>1309.99</v>
      </c>
      <c r="D1252" s="1">
        <v>3.4</v>
      </c>
      <c r="E1252" s="1">
        <v>1309.99</v>
      </c>
      <c r="F1252" s="1">
        <v>3.9</v>
      </c>
      <c r="G1252" s="1">
        <v>1309.99</v>
      </c>
      <c r="H1252" s="1">
        <v>3.9</v>
      </c>
      <c r="I1252" s="1">
        <v>1309.99</v>
      </c>
      <c r="J1252" s="1">
        <v>4.2</v>
      </c>
      <c r="K1252" s="1">
        <v>1309.99</v>
      </c>
      <c r="L1252" s="1">
        <v>4.2</v>
      </c>
      <c r="M1252" s="1">
        <v>1309.99</v>
      </c>
      <c r="N1252" s="1">
        <v>3</v>
      </c>
      <c r="O1252" s="1">
        <v>3.4</v>
      </c>
      <c r="P1252" s="1">
        <v>3.9</v>
      </c>
      <c r="Q1252" s="1">
        <v>3.9</v>
      </c>
      <c r="R1252" s="1">
        <v>4.2</v>
      </c>
      <c r="S1252" s="1">
        <v>4.2</v>
      </c>
      <c r="T1252" s="1">
        <v>1309.99</v>
      </c>
      <c r="U1252" s="1">
        <f>IF(Table14[[#This Row],[I_0]] &lt; INDEX(Table28[Filtro de ruido],1), 1, Table14[[#This Row],[I_10]] / Table14[[#This Row],[I_0]])</f>
        <v>1.1333333333333333</v>
      </c>
      <c r="V1252" s="1">
        <f>IF(Table14[[#This Row],[I_0]] &lt; INDEX(Table28[Filtro de ruido],1), 1, Table14[[#This Row],[I_20]] / Table14[[#This Row],[I_0]])</f>
        <v>1.3</v>
      </c>
      <c r="W1252" s="1">
        <f>IF(Table14[[#This Row],[I_0]] &lt; INDEX(Table28[Filtro de ruido],1), 1, Table14[[#This Row],[I_30]] / Table14[[#This Row],[I_0]])</f>
        <v>1.3</v>
      </c>
      <c r="X1252" s="1">
        <f>IF(Table14[[#This Row],[I_0]] &lt; INDEX(Table28[Filtro de ruido],1), 1, Table14[[#This Row],[I_40]] / Table14[[#This Row],[I_0]])</f>
        <v>1.4000000000000001</v>
      </c>
      <c r="Y1252" s="19">
        <f>IF(Table14[[#This Row],[I_0]] &lt; INDEX(Table28[Filtro de ruido],1), 1, Table14[[#This Row],[I_50]] / Table14[[#This Row],[I_0]])</f>
        <v>1.4000000000000001</v>
      </c>
      <c r="AA1252" s="1"/>
    </row>
    <row r="1253" spans="1:27" x14ac:dyDescent="0.3">
      <c r="A1253" s="18">
        <v>1310.98</v>
      </c>
      <c r="B1253" s="1">
        <v>3</v>
      </c>
      <c r="C1253" s="1">
        <v>1310.98</v>
      </c>
      <c r="D1253" s="1">
        <v>3.4</v>
      </c>
      <c r="E1253" s="1">
        <v>1310.98</v>
      </c>
      <c r="F1253" s="1">
        <v>3.9</v>
      </c>
      <c r="G1253" s="1">
        <v>1310.98</v>
      </c>
      <c r="H1253" s="1">
        <v>4</v>
      </c>
      <c r="I1253" s="1">
        <v>1310.98</v>
      </c>
      <c r="J1253" s="1">
        <v>4.2</v>
      </c>
      <c r="K1253" s="1">
        <v>1310.98</v>
      </c>
      <c r="L1253" s="1">
        <v>4.2</v>
      </c>
      <c r="M1253" s="1">
        <v>1310.98</v>
      </c>
      <c r="N1253" s="1">
        <v>3</v>
      </c>
      <c r="O1253" s="1">
        <v>3.4</v>
      </c>
      <c r="P1253" s="1">
        <v>3.9</v>
      </c>
      <c r="Q1253" s="1">
        <v>4</v>
      </c>
      <c r="R1253" s="1">
        <v>4.2</v>
      </c>
      <c r="S1253" s="1">
        <v>4.2</v>
      </c>
      <c r="T1253" s="1">
        <v>1310.98</v>
      </c>
      <c r="U1253" s="1">
        <f>IF(Table14[[#This Row],[I_0]] &lt; INDEX(Table28[Filtro de ruido],1), 1, Table14[[#This Row],[I_10]] / Table14[[#This Row],[I_0]])</f>
        <v>1.1333333333333333</v>
      </c>
      <c r="V1253" s="1">
        <f>IF(Table14[[#This Row],[I_0]] &lt; INDEX(Table28[Filtro de ruido],1), 1, Table14[[#This Row],[I_20]] / Table14[[#This Row],[I_0]])</f>
        <v>1.3</v>
      </c>
      <c r="W1253" s="1">
        <f>IF(Table14[[#This Row],[I_0]] &lt; INDEX(Table28[Filtro de ruido],1), 1, Table14[[#This Row],[I_30]] / Table14[[#This Row],[I_0]])</f>
        <v>1.3333333333333333</v>
      </c>
      <c r="X1253" s="1">
        <f>IF(Table14[[#This Row],[I_0]] &lt; INDEX(Table28[Filtro de ruido],1), 1, Table14[[#This Row],[I_40]] / Table14[[#This Row],[I_0]])</f>
        <v>1.4000000000000001</v>
      </c>
      <c r="Y1253" s="19">
        <f>IF(Table14[[#This Row],[I_0]] &lt; INDEX(Table28[Filtro de ruido],1), 1, Table14[[#This Row],[I_50]] / Table14[[#This Row],[I_0]])</f>
        <v>1.4000000000000001</v>
      </c>
      <c r="AA1253" s="1"/>
    </row>
    <row r="1254" spans="1:27" x14ac:dyDescent="0.3">
      <c r="A1254" s="18">
        <v>1311.97</v>
      </c>
      <c r="B1254" s="1">
        <v>3</v>
      </c>
      <c r="C1254" s="1">
        <v>1311.97</v>
      </c>
      <c r="D1254" s="1">
        <v>3.4</v>
      </c>
      <c r="E1254" s="1">
        <v>1311.97</v>
      </c>
      <c r="F1254" s="1">
        <v>3.8</v>
      </c>
      <c r="G1254" s="1">
        <v>1311.97</v>
      </c>
      <c r="H1254" s="1">
        <v>3.9</v>
      </c>
      <c r="I1254" s="1">
        <v>1311.97</v>
      </c>
      <c r="J1254" s="1">
        <v>4.0999999999999996</v>
      </c>
      <c r="K1254" s="1">
        <v>1311.97</v>
      </c>
      <c r="L1254" s="1">
        <v>4.0999999999999996</v>
      </c>
      <c r="M1254" s="1">
        <v>1311.97</v>
      </c>
      <c r="N1254" s="1">
        <v>3</v>
      </c>
      <c r="O1254" s="1">
        <v>3.4</v>
      </c>
      <c r="P1254" s="1">
        <v>3.8</v>
      </c>
      <c r="Q1254" s="1">
        <v>3.9</v>
      </c>
      <c r="R1254" s="1">
        <v>4.0999999999999996</v>
      </c>
      <c r="S1254" s="1">
        <v>4.0999999999999996</v>
      </c>
      <c r="T1254" s="1">
        <v>1311.97</v>
      </c>
      <c r="U1254" s="1">
        <f>IF(Table14[[#This Row],[I_0]] &lt; INDEX(Table28[Filtro de ruido],1), 1, Table14[[#This Row],[I_10]] / Table14[[#This Row],[I_0]])</f>
        <v>1.1333333333333333</v>
      </c>
      <c r="V1254" s="1">
        <f>IF(Table14[[#This Row],[I_0]] &lt; INDEX(Table28[Filtro de ruido],1), 1, Table14[[#This Row],[I_20]] / Table14[[#This Row],[I_0]])</f>
        <v>1.2666666666666666</v>
      </c>
      <c r="W1254" s="1">
        <f>IF(Table14[[#This Row],[I_0]] &lt; INDEX(Table28[Filtro de ruido],1), 1, Table14[[#This Row],[I_30]] / Table14[[#This Row],[I_0]])</f>
        <v>1.3</v>
      </c>
      <c r="X1254" s="1">
        <f>IF(Table14[[#This Row],[I_0]] &lt; INDEX(Table28[Filtro de ruido],1), 1, Table14[[#This Row],[I_40]] / Table14[[#This Row],[I_0]])</f>
        <v>1.3666666666666665</v>
      </c>
      <c r="Y1254" s="19">
        <f>IF(Table14[[#This Row],[I_0]] &lt; INDEX(Table28[Filtro de ruido],1), 1, Table14[[#This Row],[I_50]] / Table14[[#This Row],[I_0]])</f>
        <v>1.3666666666666665</v>
      </c>
      <c r="AA1254" s="1"/>
    </row>
    <row r="1255" spans="1:27" x14ac:dyDescent="0.3">
      <c r="A1255" s="18">
        <v>1312.96</v>
      </c>
      <c r="B1255" s="1">
        <v>3</v>
      </c>
      <c r="C1255" s="1">
        <v>1312.96</v>
      </c>
      <c r="D1255" s="1">
        <v>3.4</v>
      </c>
      <c r="E1255" s="1">
        <v>1312.96</v>
      </c>
      <c r="F1255" s="1">
        <v>3.8</v>
      </c>
      <c r="G1255" s="1">
        <v>1312.96</v>
      </c>
      <c r="H1255" s="1">
        <v>3.9</v>
      </c>
      <c r="I1255" s="1">
        <v>1312.96</v>
      </c>
      <c r="J1255" s="1">
        <v>4.0999999999999996</v>
      </c>
      <c r="K1255" s="1">
        <v>1312.96</v>
      </c>
      <c r="L1255" s="1">
        <v>4.0999999999999996</v>
      </c>
      <c r="M1255" s="1">
        <v>1312.96</v>
      </c>
      <c r="N1255" s="1">
        <v>3</v>
      </c>
      <c r="O1255" s="1">
        <v>3.4</v>
      </c>
      <c r="P1255" s="1">
        <v>3.8</v>
      </c>
      <c r="Q1255" s="1">
        <v>3.9</v>
      </c>
      <c r="R1255" s="1">
        <v>4.0999999999999996</v>
      </c>
      <c r="S1255" s="1">
        <v>4.0999999999999996</v>
      </c>
      <c r="T1255" s="1">
        <v>1312.96</v>
      </c>
      <c r="U1255" s="1">
        <f>IF(Table14[[#This Row],[I_0]] &lt; INDEX(Table28[Filtro de ruido],1), 1, Table14[[#This Row],[I_10]] / Table14[[#This Row],[I_0]])</f>
        <v>1.1333333333333333</v>
      </c>
      <c r="V1255" s="1">
        <f>IF(Table14[[#This Row],[I_0]] &lt; INDEX(Table28[Filtro de ruido],1), 1, Table14[[#This Row],[I_20]] / Table14[[#This Row],[I_0]])</f>
        <v>1.2666666666666666</v>
      </c>
      <c r="W1255" s="1">
        <f>IF(Table14[[#This Row],[I_0]] &lt; INDEX(Table28[Filtro de ruido],1), 1, Table14[[#This Row],[I_30]] / Table14[[#This Row],[I_0]])</f>
        <v>1.3</v>
      </c>
      <c r="X1255" s="1">
        <f>IF(Table14[[#This Row],[I_0]] &lt; INDEX(Table28[Filtro de ruido],1), 1, Table14[[#This Row],[I_40]] / Table14[[#This Row],[I_0]])</f>
        <v>1.3666666666666665</v>
      </c>
      <c r="Y1255" s="19">
        <f>IF(Table14[[#This Row],[I_0]] &lt; INDEX(Table28[Filtro de ruido],1), 1, Table14[[#This Row],[I_50]] / Table14[[#This Row],[I_0]])</f>
        <v>1.3666666666666665</v>
      </c>
      <c r="AA1255" s="1"/>
    </row>
    <row r="1256" spans="1:27" x14ac:dyDescent="0.3">
      <c r="A1256" s="18">
        <v>1313.95</v>
      </c>
      <c r="B1256" s="1">
        <v>3</v>
      </c>
      <c r="C1256" s="1">
        <v>1313.95</v>
      </c>
      <c r="D1256" s="1">
        <v>3.4</v>
      </c>
      <c r="E1256" s="1">
        <v>1313.95</v>
      </c>
      <c r="F1256" s="1">
        <v>3.8</v>
      </c>
      <c r="G1256" s="1">
        <v>1313.95</v>
      </c>
      <c r="H1256" s="1">
        <v>3.9</v>
      </c>
      <c r="I1256" s="1">
        <v>1313.95</v>
      </c>
      <c r="J1256" s="1">
        <v>4</v>
      </c>
      <c r="K1256" s="1">
        <v>1313.95</v>
      </c>
      <c r="L1256" s="1">
        <v>4.0999999999999996</v>
      </c>
      <c r="M1256" s="1">
        <v>1313.95</v>
      </c>
      <c r="N1256" s="1">
        <v>3</v>
      </c>
      <c r="O1256" s="1">
        <v>3.4</v>
      </c>
      <c r="P1256" s="1">
        <v>3.8</v>
      </c>
      <c r="Q1256" s="1">
        <v>3.9</v>
      </c>
      <c r="R1256" s="1">
        <v>4</v>
      </c>
      <c r="S1256" s="1">
        <v>4.0999999999999996</v>
      </c>
      <c r="T1256" s="1">
        <v>1313.95</v>
      </c>
      <c r="U1256" s="1">
        <f>IF(Table14[[#This Row],[I_0]] &lt; INDEX(Table28[Filtro de ruido],1), 1, Table14[[#This Row],[I_10]] / Table14[[#This Row],[I_0]])</f>
        <v>1.1333333333333333</v>
      </c>
      <c r="V1256" s="1">
        <f>IF(Table14[[#This Row],[I_0]] &lt; INDEX(Table28[Filtro de ruido],1), 1, Table14[[#This Row],[I_20]] / Table14[[#This Row],[I_0]])</f>
        <v>1.2666666666666666</v>
      </c>
      <c r="W1256" s="1">
        <f>IF(Table14[[#This Row],[I_0]] &lt; INDEX(Table28[Filtro de ruido],1), 1, Table14[[#This Row],[I_30]] / Table14[[#This Row],[I_0]])</f>
        <v>1.3</v>
      </c>
      <c r="X1256" s="1">
        <f>IF(Table14[[#This Row],[I_0]] &lt; INDEX(Table28[Filtro de ruido],1), 1, Table14[[#This Row],[I_40]] / Table14[[#This Row],[I_0]])</f>
        <v>1.3333333333333333</v>
      </c>
      <c r="Y1256" s="19">
        <f>IF(Table14[[#This Row],[I_0]] &lt; INDEX(Table28[Filtro de ruido],1), 1, Table14[[#This Row],[I_50]] / Table14[[#This Row],[I_0]])</f>
        <v>1.3666666666666665</v>
      </c>
      <c r="AA1256" s="1"/>
    </row>
    <row r="1257" spans="1:27" x14ac:dyDescent="0.3">
      <c r="A1257" s="18">
        <v>1314.94</v>
      </c>
      <c r="B1257" s="1">
        <v>3</v>
      </c>
      <c r="C1257" s="1">
        <v>1314.94</v>
      </c>
      <c r="D1257" s="1">
        <v>3.4</v>
      </c>
      <c r="E1257" s="1">
        <v>1314.94</v>
      </c>
      <c r="F1257" s="1">
        <v>3.8</v>
      </c>
      <c r="G1257" s="1">
        <v>1314.94</v>
      </c>
      <c r="H1257" s="1">
        <v>3.9</v>
      </c>
      <c r="I1257" s="1">
        <v>1314.94</v>
      </c>
      <c r="J1257" s="1">
        <v>4.0999999999999996</v>
      </c>
      <c r="K1257" s="1">
        <v>1314.94</v>
      </c>
      <c r="L1257" s="1">
        <v>4.0999999999999996</v>
      </c>
      <c r="M1257" s="1">
        <v>1314.94</v>
      </c>
      <c r="N1257" s="1">
        <v>3</v>
      </c>
      <c r="O1257" s="1">
        <v>3.4</v>
      </c>
      <c r="P1257" s="1">
        <v>3.8</v>
      </c>
      <c r="Q1257" s="1">
        <v>3.9</v>
      </c>
      <c r="R1257" s="1">
        <v>4.0999999999999996</v>
      </c>
      <c r="S1257" s="1">
        <v>4.0999999999999996</v>
      </c>
      <c r="T1257" s="1">
        <v>1314.94</v>
      </c>
      <c r="U1257" s="1">
        <f>IF(Table14[[#This Row],[I_0]] &lt; INDEX(Table28[Filtro de ruido],1), 1, Table14[[#This Row],[I_10]] / Table14[[#This Row],[I_0]])</f>
        <v>1.1333333333333333</v>
      </c>
      <c r="V1257" s="1">
        <f>IF(Table14[[#This Row],[I_0]] &lt; INDEX(Table28[Filtro de ruido],1), 1, Table14[[#This Row],[I_20]] / Table14[[#This Row],[I_0]])</f>
        <v>1.2666666666666666</v>
      </c>
      <c r="W1257" s="1">
        <f>IF(Table14[[#This Row],[I_0]] &lt; INDEX(Table28[Filtro de ruido],1), 1, Table14[[#This Row],[I_30]] / Table14[[#This Row],[I_0]])</f>
        <v>1.3</v>
      </c>
      <c r="X1257" s="1">
        <f>IF(Table14[[#This Row],[I_0]] &lt; INDEX(Table28[Filtro de ruido],1), 1, Table14[[#This Row],[I_40]] / Table14[[#This Row],[I_0]])</f>
        <v>1.3666666666666665</v>
      </c>
      <c r="Y1257" s="19">
        <f>IF(Table14[[#This Row],[I_0]] &lt; INDEX(Table28[Filtro de ruido],1), 1, Table14[[#This Row],[I_50]] / Table14[[#This Row],[I_0]])</f>
        <v>1.3666666666666665</v>
      </c>
      <c r="AA1257" s="1"/>
    </row>
    <row r="1258" spans="1:27" x14ac:dyDescent="0.3">
      <c r="A1258" s="18">
        <v>1315.94</v>
      </c>
      <c r="B1258" s="1">
        <v>2.9</v>
      </c>
      <c r="C1258" s="1">
        <v>1315.94</v>
      </c>
      <c r="D1258" s="1">
        <v>3.4</v>
      </c>
      <c r="E1258" s="1">
        <v>1315.94</v>
      </c>
      <c r="F1258" s="1">
        <v>3.8</v>
      </c>
      <c r="G1258" s="1">
        <v>1315.94</v>
      </c>
      <c r="H1258" s="1">
        <v>3.8</v>
      </c>
      <c r="I1258" s="1">
        <v>1315.94</v>
      </c>
      <c r="J1258" s="1">
        <v>4</v>
      </c>
      <c r="K1258" s="1">
        <v>1315.94</v>
      </c>
      <c r="L1258" s="1">
        <v>4</v>
      </c>
      <c r="M1258" s="1">
        <v>1315.94</v>
      </c>
      <c r="N1258" s="1">
        <v>2.9</v>
      </c>
      <c r="O1258" s="1">
        <v>3.4</v>
      </c>
      <c r="P1258" s="1">
        <v>3.8</v>
      </c>
      <c r="Q1258" s="1">
        <v>3.8</v>
      </c>
      <c r="R1258" s="1">
        <v>4</v>
      </c>
      <c r="S1258" s="1">
        <v>4</v>
      </c>
      <c r="T1258" s="1">
        <v>1315.94</v>
      </c>
      <c r="U1258" s="1">
        <f>IF(Table14[[#This Row],[I_0]] &lt; INDEX(Table28[Filtro de ruido],1), 1, Table14[[#This Row],[I_10]] / Table14[[#This Row],[I_0]])</f>
        <v>1.1724137931034482</v>
      </c>
      <c r="V1258" s="1">
        <f>IF(Table14[[#This Row],[I_0]] &lt; INDEX(Table28[Filtro de ruido],1), 1, Table14[[#This Row],[I_20]] / Table14[[#This Row],[I_0]])</f>
        <v>1.3103448275862069</v>
      </c>
      <c r="W1258" s="1">
        <f>IF(Table14[[#This Row],[I_0]] &lt; INDEX(Table28[Filtro de ruido],1), 1, Table14[[#This Row],[I_30]] / Table14[[#This Row],[I_0]])</f>
        <v>1.3103448275862069</v>
      </c>
      <c r="X1258" s="1">
        <f>IF(Table14[[#This Row],[I_0]] &lt; INDEX(Table28[Filtro de ruido],1), 1, Table14[[#This Row],[I_40]] / Table14[[#This Row],[I_0]])</f>
        <v>1.3793103448275863</v>
      </c>
      <c r="Y1258" s="19">
        <f>IF(Table14[[#This Row],[I_0]] &lt; INDEX(Table28[Filtro de ruido],1), 1, Table14[[#This Row],[I_50]] / Table14[[#This Row],[I_0]])</f>
        <v>1.3793103448275863</v>
      </c>
      <c r="AA1258" s="1"/>
    </row>
    <row r="1259" spans="1:27" x14ac:dyDescent="0.3">
      <c r="A1259" s="18">
        <v>1316.93</v>
      </c>
      <c r="B1259" s="1">
        <v>3</v>
      </c>
      <c r="C1259" s="1">
        <v>1316.93</v>
      </c>
      <c r="D1259" s="1">
        <v>3.4</v>
      </c>
      <c r="E1259" s="1">
        <v>1316.93</v>
      </c>
      <c r="F1259" s="1">
        <v>3.8</v>
      </c>
      <c r="G1259" s="1">
        <v>1316.93</v>
      </c>
      <c r="H1259" s="1">
        <v>3.9</v>
      </c>
      <c r="I1259" s="1">
        <v>1316.93</v>
      </c>
      <c r="J1259" s="1">
        <v>4</v>
      </c>
      <c r="K1259" s="1">
        <v>1316.93</v>
      </c>
      <c r="L1259" s="1">
        <v>4.0999999999999996</v>
      </c>
      <c r="M1259" s="1">
        <v>1316.93</v>
      </c>
      <c r="N1259" s="1">
        <v>3</v>
      </c>
      <c r="O1259" s="1">
        <v>3.4</v>
      </c>
      <c r="P1259" s="1">
        <v>3.8</v>
      </c>
      <c r="Q1259" s="1">
        <v>3.9</v>
      </c>
      <c r="R1259" s="1">
        <v>4</v>
      </c>
      <c r="S1259" s="1">
        <v>4.0999999999999996</v>
      </c>
      <c r="T1259" s="1">
        <v>1316.93</v>
      </c>
      <c r="U1259" s="1">
        <f>IF(Table14[[#This Row],[I_0]] &lt; INDEX(Table28[Filtro de ruido],1), 1, Table14[[#This Row],[I_10]] / Table14[[#This Row],[I_0]])</f>
        <v>1.1333333333333333</v>
      </c>
      <c r="V1259" s="1">
        <f>IF(Table14[[#This Row],[I_0]] &lt; INDEX(Table28[Filtro de ruido],1), 1, Table14[[#This Row],[I_20]] / Table14[[#This Row],[I_0]])</f>
        <v>1.2666666666666666</v>
      </c>
      <c r="W1259" s="1">
        <f>IF(Table14[[#This Row],[I_0]] &lt; INDEX(Table28[Filtro de ruido],1), 1, Table14[[#This Row],[I_30]] / Table14[[#This Row],[I_0]])</f>
        <v>1.3</v>
      </c>
      <c r="X1259" s="1">
        <f>IF(Table14[[#This Row],[I_0]] &lt; INDEX(Table28[Filtro de ruido],1), 1, Table14[[#This Row],[I_40]] / Table14[[#This Row],[I_0]])</f>
        <v>1.3333333333333333</v>
      </c>
      <c r="Y1259" s="19">
        <f>IF(Table14[[#This Row],[I_0]] &lt; INDEX(Table28[Filtro de ruido],1), 1, Table14[[#This Row],[I_50]] / Table14[[#This Row],[I_0]])</f>
        <v>1.3666666666666665</v>
      </c>
      <c r="AA1259" s="1"/>
    </row>
    <row r="1260" spans="1:27" x14ac:dyDescent="0.3">
      <c r="A1260" s="18">
        <v>1317.92</v>
      </c>
      <c r="B1260" s="1">
        <v>3</v>
      </c>
      <c r="C1260" s="1">
        <v>1317.92</v>
      </c>
      <c r="D1260" s="1">
        <v>3.4</v>
      </c>
      <c r="E1260" s="1">
        <v>1317.92</v>
      </c>
      <c r="F1260" s="1">
        <v>3.8</v>
      </c>
      <c r="G1260" s="1">
        <v>1317.92</v>
      </c>
      <c r="H1260" s="1">
        <v>3.9</v>
      </c>
      <c r="I1260" s="1">
        <v>1317.92</v>
      </c>
      <c r="J1260" s="1">
        <v>4</v>
      </c>
      <c r="K1260" s="1">
        <v>1317.92</v>
      </c>
      <c r="L1260" s="1">
        <v>4.0999999999999996</v>
      </c>
      <c r="M1260" s="1">
        <v>1317.92</v>
      </c>
      <c r="N1260" s="1">
        <v>3</v>
      </c>
      <c r="O1260" s="1">
        <v>3.4</v>
      </c>
      <c r="P1260" s="1">
        <v>3.8</v>
      </c>
      <c r="Q1260" s="1">
        <v>3.9</v>
      </c>
      <c r="R1260" s="1">
        <v>4</v>
      </c>
      <c r="S1260" s="1">
        <v>4.0999999999999996</v>
      </c>
      <c r="T1260" s="1">
        <v>1317.92</v>
      </c>
      <c r="U1260" s="1">
        <f>IF(Table14[[#This Row],[I_0]] &lt; INDEX(Table28[Filtro de ruido],1), 1, Table14[[#This Row],[I_10]] / Table14[[#This Row],[I_0]])</f>
        <v>1.1333333333333333</v>
      </c>
      <c r="V1260" s="1">
        <f>IF(Table14[[#This Row],[I_0]] &lt; INDEX(Table28[Filtro de ruido],1), 1, Table14[[#This Row],[I_20]] / Table14[[#This Row],[I_0]])</f>
        <v>1.2666666666666666</v>
      </c>
      <c r="W1260" s="1">
        <f>IF(Table14[[#This Row],[I_0]] &lt; INDEX(Table28[Filtro de ruido],1), 1, Table14[[#This Row],[I_30]] / Table14[[#This Row],[I_0]])</f>
        <v>1.3</v>
      </c>
      <c r="X1260" s="1">
        <f>IF(Table14[[#This Row],[I_0]] &lt; INDEX(Table28[Filtro de ruido],1), 1, Table14[[#This Row],[I_40]] / Table14[[#This Row],[I_0]])</f>
        <v>1.3333333333333333</v>
      </c>
      <c r="Y1260" s="19">
        <f>IF(Table14[[#This Row],[I_0]] &lt; INDEX(Table28[Filtro de ruido],1), 1, Table14[[#This Row],[I_50]] / Table14[[#This Row],[I_0]])</f>
        <v>1.3666666666666665</v>
      </c>
      <c r="AA1260" s="1"/>
    </row>
    <row r="1261" spans="1:27" x14ac:dyDescent="0.3">
      <c r="A1261" s="18">
        <v>1318.91</v>
      </c>
      <c r="B1261" s="1">
        <v>3</v>
      </c>
      <c r="C1261" s="1">
        <v>1318.91</v>
      </c>
      <c r="D1261" s="1">
        <v>3.4</v>
      </c>
      <c r="E1261" s="1">
        <v>1318.91</v>
      </c>
      <c r="F1261" s="1">
        <v>3.9</v>
      </c>
      <c r="G1261" s="1">
        <v>1318.91</v>
      </c>
      <c r="H1261" s="1">
        <v>3.9</v>
      </c>
      <c r="I1261" s="1">
        <v>1318.91</v>
      </c>
      <c r="J1261" s="1">
        <v>4.0999999999999996</v>
      </c>
      <c r="K1261" s="1">
        <v>1318.91</v>
      </c>
      <c r="L1261" s="1">
        <v>4.0999999999999996</v>
      </c>
      <c r="M1261" s="1">
        <v>1318.91</v>
      </c>
      <c r="N1261" s="1">
        <v>3</v>
      </c>
      <c r="O1261" s="1">
        <v>3.4</v>
      </c>
      <c r="P1261" s="1">
        <v>3.9</v>
      </c>
      <c r="Q1261" s="1">
        <v>3.9</v>
      </c>
      <c r="R1261" s="1">
        <v>4.0999999999999996</v>
      </c>
      <c r="S1261" s="1">
        <v>4.0999999999999996</v>
      </c>
      <c r="T1261" s="1">
        <v>1318.91</v>
      </c>
      <c r="U1261" s="1">
        <f>IF(Table14[[#This Row],[I_0]] &lt; INDEX(Table28[Filtro de ruido],1), 1, Table14[[#This Row],[I_10]] / Table14[[#This Row],[I_0]])</f>
        <v>1.1333333333333333</v>
      </c>
      <c r="V1261" s="1">
        <f>IF(Table14[[#This Row],[I_0]] &lt; INDEX(Table28[Filtro de ruido],1), 1, Table14[[#This Row],[I_20]] / Table14[[#This Row],[I_0]])</f>
        <v>1.3</v>
      </c>
      <c r="W1261" s="1">
        <f>IF(Table14[[#This Row],[I_0]] &lt; INDEX(Table28[Filtro de ruido],1), 1, Table14[[#This Row],[I_30]] / Table14[[#This Row],[I_0]])</f>
        <v>1.3</v>
      </c>
      <c r="X1261" s="1">
        <f>IF(Table14[[#This Row],[I_0]] &lt; INDEX(Table28[Filtro de ruido],1), 1, Table14[[#This Row],[I_40]] / Table14[[#This Row],[I_0]])</f>
        <v>1.3666666666666665</v>
      </c>
      <c r="Y1261" s="19">
        <f>IF(Table14[[#This Row],[I_0]] &lt; INDEX(Table28[Filtro de ruido],1), 1, Table14[[#This Row],[I_50]] / Table14[[#This Row],[I_0]])</f>
        <v>1.3666666666666665</v>
      </c>
      <c r="AA1261" s="1"/>
    </row>
    <row r="1262" spans="1:27" x14ac:dyDescent="0.3">
      <c r="A1262" s="18">
        <v>1319.9</v>
      </c>
      <c r="B1262" s="1">
        <v>3</v>
      </c>
      <c r="C1262" s="1">
        <v>1319.9</v>
      </c>
      <c r="D1262" s="1">
        <v>3.4</v>
      </c>
      <c r="E1262" s="1">
        <v>1319.9</v>
      </c>
      <c r="F1262" s="1">
        <v>3.9</v>
      </c>
      <c r="G1262" s="1">
        <v>1319.9</v>
      </c>
      <c r="H1262" s="1">
        <v>3.9</v>
      </c>
      <c r="I1262" s="1">
        <v>1319.9</v>
      </c>
      <c r="J1262" s="1">
        <v>4.0999999999999996</v>
      </c>
      <c r="K1262" s="1">
        <v>1319.9</v>
      </c>
      <c r="L1262" s="1">
        <v>4.0999999999999996</v>
      </c>
      <c r="M1262" s="1">
        <v>1319.9</v>
      </c>
      <c r="N1262" s="1">
        <v>3</v>
      </c>
      <c r="O1262" s="1">
        <v>3.4</v>
      </c>
      <c r="P1262" s="1">
        <v>3.9</v>
      </c>
      <c r="Q1262" s="1">
        <v>3.9</v>
      </c>
      <c r="R1262" s="1">
        <v>4.0999999999999996</v>
      </c>
      <c r="S1262" s="1">
        <v>4.0999999999999996</v>
      </c>
      <c r="T1262" s="1">
        <v>1319.9</v>
      </c>
      <c r="U1262" s="1">
        <f>IF(Table14[[#This Row],[I_0]] &lt; INDEX(Table28[Filtro de ruido],1), 1, Table14[[#This Row],[I_10]] / Table14[[#This Row],[I_0]])</f>
        <v>1.1333333333333333</v>
      </c>
      <c r="V1262" s="1">
        <f>IF(Table14[[#This Row],[I_0]] &lt; INDEX(Table28[Filtro de ruido],1), 1, Table14[[#This Row],[I_20]] / Table14[[#This Row],[I_0]])</f>
        <v>1.3</v>
      </c>
      <c r="W1262" s="1">
        <f>IF(Table14[[#This Row],[I_0]] &lt; INDEX(Table28[Filtro de ruido],1), 1, Table14[[#This Row],[I_30]] / Table14[[#This Row],[I_0]])</f>
        <v>1.3</v>
      </c>
      <c r="X1262" s="1">
        <f>IF(Table14[[#This Row],[I_0]] &lt; INDEX(Table28[Filtro de ruido],1), 1, Table14[[#This Row],[I_40]] / Table14[[#This Row],[I_0]])</f>
        <v>1.3666666666666665</v>
      </c>
      <c r="Y1262" s="19">
        <f>IF(Table14[[#This Row],[I_0]] &lt; INDEX(Table28[Filtro de ruido],1), 1, Table14[[#This Row],[I_50]] / Table14[[#This Row],[I_0]])</f>
        <v>1.3666666666666665</v>
      </c>
      <c r="AA1262" s="1"/>
    </row>
    <row r="1263" spans="1:27" x14ac:dyDescent="0.3">
      <c r="A1263" s="18">
        <v>1320.9</v>
      </c>
      <c r="B1263" s="1">
        <v>3.1</v>
      </c>
      <c r="C1263" s="1">
        <v>1320.9</v>
      </c>
      <c r="D1263" s="1">
        <v>3.5</v>
      </c>
      <c r="E1263" s="1">
        <v>1320.9</v>
      </c>
      <c r="F1263" s="1">
        <v>3.9</v>
      </c>
      <c r="G1263" s="1">
        <v>1320.9</v>
      </c>
      <c r="H1263" s="1">
        <v>4</v>
      </c>
      <c r="I1263" s="1">
        <v>1320.9</v>
      </c>
      <c r="J1263" s="1">
        <v>4.2</v>
      </c>
      <c r="K1263" s="1">
        <v>1320.9</v>
      </c>
      <c r="L1263" s="1">
        <v>4.2</v>
      </c>
      <c r="M1263" s="1">
        <v>1320.9</v>
      </c>
      <c r="N1263" s="1">
        <v>3.1</v>
      </c>
      <c r="O1263" s="1">
        <v>3.5</v>
      </c>
      <c r="P1263" s="1">
        <v>3.9</v>
      </c>
      <c r="Q1263" s="1">
        <v>4</v>
      </c>
      <c r="R1263" s="1">
        <v>4.2</v>
      </c>
      <c r="S1263" s="1">
        <v>4.2</v>
      </c>
      <c r="T1263" s="1">
        <v>1320.9</v>
      </c>
      <c r="U1263" s="1">
        <f>IF(Table14[[#This Row],[I_0]] &lt; INDEX(Table28[Filtro de ruido],1), 1, Table14[[#This Row],[I_10]] / Table14[[#This Row],[I_0]])</f>
        <v>1.129032258064516</v>
      </c>
      <c r="V1263" s="1">
        <f>IF(Table14[[#This Row],[I_0]] &lt; INDEX(Table28[Filtro de ruido],1), 1, Table14[[#This Row],[I_20]] / Table14[[#This Row],[I_0]])</f>
        <v>1.2580645161290323</v>
      </c>
      <c r="W1263" s="1">
        <f>IF(Table14[[#This Row],[I_0]] &lt; INDEX(Table28[Filtro de ruido],1), 1, Table14[[#This Row],[I_30]] / Table14[[#This Row],[I_0]])</f>
        <v>1.2903225806451613</v>
      </c>
      <c r="X1263" s="1">
        <f>IF(Table14[[#This Row],[I_0]] &lt; INDEX(Table28[Filtro de ruido],1), 1, Table14[[#This Row],[I_40]] / Table14[[#This Row],[I_0]])</f>
        <v>1.3548387096774195</v>
      </c>
      <c r="Y1263" s="19">
        <f>IF(Table14[[#This Row],[I_0]] &lt; INDEX(Table28[Filtro de ruido],1), 1, Table14[[#This Row],[I_50]] / Table14[[#This Row],[I_0]])</f>
        <v>1.3548387096774195</v>
      </c>
      <c r="AA1263" s="1"/>
    </row>
    <row r="1264" spans="1:27" x14ac:dyDescent="0.3">
      <c r="A1264" s="18">
        <v>1321.89</v>
      </c>
      <c r="B1264" s="1">
        <v>3.1</v>
      </c>
      <c r="C1264" s="1">
        <v>1321.89</v>
      </c>
      <c r="D1264" s="1">
        <v>3.5</v>
      </c>
      <c r="E1264" s="1">
        <v>1321.89</v>
      </c>
      <c r="F1264" s="1">
        <v>4</v>
      </c>
      <c r="G1264" s="1">
        <v>1321.89</v>
      </c>
      <c r="H1264" s="1">
        <v>4</v>
      </c>
      <c r="I1264" s="1">
        <v>1321.89</v>
      </c>
      <c r="J1264" s="1">
        <v>4.2</v>
      </c>
      <c r="K1264" s="1">
        <v>1321.89</v>
      </c>
      <c r="L1264" s="1">
        <v>4.2</v>
      </c>
      <c r="M1264" s="1">
        <v>1321.89</v>
      </c>
      <c r="N1264" s="1">
        <v>3.1</v>
      </c>
      <c r="O1264" s="1">
        <v>3.5</v>
      </c>
      <c r="P1264" s="1">
        <v>4</v>
      </c>
      <c r="Q1264" s="1">
        <v>4</v>
      </c>
      <c r="R1264" s="1">
        <v>4.2</v>
      </c>
      <c r="S1264" s="1">
        <v>4.2</v>
      </c>
      <c r="T1264" s="1">
        <v>1321.89</v>
      </c>
      <c r="U1264" s="1">
        <f>IF(Table14[[#This Row],[I_0]] &lt; INDEX(Table28[Filtro de ruido],1), 1, Table14[[#This Row],[I_10]] / Table14[[#This Row],[I_0]])</f>
        <v>1.129032258064516</v>
      </c>
      <c r="V1264" s="1">
        <f>IF(Table14[[#This Row],[I_0]] &lt; INDEX(Table28[Filtro de ruido],1), 1, Table14[[#This Row],[I_20]] / Table14[[#This Row],[I_0]])</f>
        <v>1.2903225806451613</v>
      </c>
      <c r="W1264" s="1">
        <f>IF(Table14[[#This Row],[I_0]] &lt; INDEX(Table28[Filtro de ruido],1), 1, Table14[[#This Row],[I_30]] / Table14[[#This Row],[I_0]])</f>
        <v>1.2903225806451613</v>
      </c>
      <c r="X1264" s="1">
        <f>IF(Table14[[#This Row],[I_0]] &lt; INDEX(Table28[Filtro de ruido],1), 1, Table14[[#This Row],[I_40]] / Table14[[#This Row],[I_0]])</f>
        <v>1.3548387096774195</v>
      </c>
      <c r="Y1264" s="19">
        <f>IF(Table14[[#This Row],[I_0]] &lt; INDEX(Table28[Filtro de ruido],1), 1, Table14[[#This Row],[I_50]] / Table14[[#This Row],[I_0]])</f>
        <v>1.3548387096774195</v>
      </c>
      <c r="AA1264" s="1"/>
    </row>
    <row r="1265" spans="1:27" x14ac:dyDescent="0.3">
      <c r="A1265" s="18">
        <v>1322.88</v>
      </c>
      <c r="B1265" s="1">
        <v>3.2</v>
      </c>
      <c r="C1265" s="1">
        <v>1322.88</v>
      </c>
      <c r="D1265" s="1">
        <v>3.6</v>
      </c>
      <c r="E1265" s="1">
        <v>1322.88</v>
      </c>
      <c r="F1265" s="1">
        <v>4</v>
      </c>
      <c r="G1265" s="1">
        <v>1322.88</v>
      </c>
      <c r="H1265" s="1">
        <v>4.0999999999999996</v>
      </c>
      <c r="I1265" s="1">
        <v>1322.88</v>
      </c>
      <c r="J1265" s="1">
        <v>4.3</v>
      </c>
      <c r="K1265" s="1">
        <v>1322.88</v>
      </c>
      <c r="L1265" s="1">
        <v>4.3</v>
      </c>
      <c r="M1265" s="1">
        <v>1322.88</v>
      </c>
      <c r="N1265" s="1">
        <v>3.2</v>
      </c>
      <c r="O1265" s="1">
        <v>3.6</v>
      </c>
      <c r="P1265" s="1">
        <v>4</v>
      </c>
      <c r="Q1265" s="1">
        <v>4.0999999999999996</v>
      </c>
      <c r="R1265" s="1">
        <v>4.3</v>
      </c>
      <c r="S1265" s="1">
        <v>4.3</v>
      </c>
      <c r="T1265" s="1">
        <v>1322.88</v>
      </c>
      <c r="U1265" s="1">
        <f>IF(Table14[[#This Row],[I_0]] &lt; INDEX(Table28[Filtro de ruido],1), 1, Table14[[#This Row],[I_10]] / Table14[[#This Row],[I_0]])</f>
        <v>1.125</v>
      </c>
      <c r="V1265" s="1">
        <f>IF(Table14[[#This Row],[I_0]] &lt; INDEX(Table28[Filtro de ruido],1), 1, Table14[[#This Row],[I_20]] / Table14[[#This Row],[I_0]])</f>
        <v>1.25</v>
      </c>
      <c r="W1265" s="1">
        <f>IF(Table14[[#This Row],[I_0]] &lt; INDEX(Table28[Filtro de ruido],1), 1, Table14[[#This Row],[I_30]] / Table14[[#This Row],[I_0]])</f>
        <v>1.2812499999999998</v>
      </c>
      <c r="X1265" s="1">
        <f>IF(Table14[[#This Row],[I_0]] &lt; INDEX(Table28[Filtro de ruido],1), 1, Table14[[#This Row],[I_40]] / Table14[[#This Row],[I_0]])</f>
        <v>1.3437499999999998</v>
      </c>
      <c r="Y1265" s="19">
        <f>IF(Table14[[#This Row],[I_0]] &lt; INDEX(Table28[Filtro de ruido],1), 1, Table14[[#This Row],[I_50]] / Table14[[#This Row],[I_0]])</f>
        <v>1.3437499999999998</v>
      </c>
      <c r="AA1265" s="1"/>
    </row>
    <row r="1266" spans="1:27" x14ac:dyDescent="0.3">
      <c r="A1266" s="18">
        <v>1323.87</v>
      </c>
      <c r="B1266" s="1">
        <v>3.2</v>
      </c>
      <c r="C1266" s="1">
        <v>1323.87</v>
      </c>
      <c r="D1266" s="1">
        <v>3.6</v>
      </c>
      <c r="E1266" s="1">
        <v>1323.87</v>
      </c>
      <c r="F1266" s="1">
        <v>4.0999999999999996</v>
      </c>
      <c r="G1266" s="1">
        <v>1323.87</v>
      </c>
      <c r="H1266" s="1">
        <v>4.0999999999999996</v>
      </c>
      <c r="I1266" s="1">
        <v>1323.87</v>
      </c>
      <c r="J1266" s="1">
        <v>4.4000000000000004</v>
      </c>
      <c r="K1266" s="1">
        <v>1323.87</v>
      </c>
      <c r="L1266" s="1">
        <v>4.4000000000000004</v>
      </c>
      <c r="M1266" s="1">
        <v>1323.87</v>
      </c>
      <c r="N1266" s="1">
        <v>3.2</v>
      </c>
      <c r="O1266" s="1">
        <v>3.6</v>
      </c>
      <c r="P1266" s="1">
        <v>4.0999999999999996</v>
      </c>
      <c r="Q1266" s="1">
        <v>4.0999999999999996</v>
      </c>
      <c r="R1266" s="1">
        <v>4.4000000000000004</v>
      </c>
      <c r="S1266" s="1">
        <v>4.4000000000000004</v>
      </c>
      <c r="T1266" s="1">
        <v>1323.87</v>
      </c>
      <c r="U1266" s="1">
        <f>IF(Table14[[#This Row],[I_0]] &lt; INDEX(Table28[Filtro de ruido],1), 1, Table14[[#This Row],[I_10]] / Table14[[#This Row],[I_0]])</f>
        <v>1.125</v>
      </c>
      <c r="V1266" s="1">
        <f>IF(Table14[[#This Row],[I_0]] &lt; INDEX(Table28[Filtro de ruido],1), 1, Table14[[#This Row],[I_20]] / Table14[[#This Row],[I_0]])</f>
        <v>1.2812499999999998</v>
      </c>
      <c r="W1266" s="1">
        <f>IF(Table14[[#This Row],[I_0]] &lt; INDEX(Table28[Filtro de ruido],1), 1, Table14[[#This Row],[I_30]] / Table14[[#This Row],[I_0]])</f>
        <v>1.2812499999999998</v>
      </c>
      <c r="X1266" s="1">
        <f>IF(Table14[[#This Row],[I_0]] &lt; INDEX(Table28[Filtro de ruido],1), 1, Table14[[#This Row],[I_40]] / Table14[[#This Row],[I_0]])</f>
        <v>1.375</v>
      </c>
      <c r="Y1266" s="19">
        <f>IF(Table14[[#This Row],[I_0]] &lt; INDEX(Table28[Filtro de ruido],1), 1, Table14[[#This Row],[I_50]] / Table14[[#This Row],[I_0]])</f>
        <v>1.375</v>
      </c>
      <c r="AA1266" s="1"/>
    </row>
    <row r="1267" spans="1:27" x14ac:dyDescent="0.3">
      <c r="A1267" s="18">
        <v>1324.86</v>
      </c>
      <c r="B1267" s="1">
        <v>3.2</v>
      </c>
      <c r="C1267" s="1">
        <v>1324.86</v>
      </c>
      <c r="D1267" s="1">
        <v>3.6</v>
      </c>
      <c r="E1267" s="1">
        <v>1324.86</v>
      </c>
      <c r="F1267" s="1">
        <v>4.0999999999999996</v>
      </c>
      <c r="G1267" s="1">
        <v>1324.86</v>
      </c>
      <c r="H1267" s="1">
        <v>4.0999999999999996</v>
      </c>
      <c r="I1267" s="1">
        <v>1324.86</v>
      </c>
      <c r="J1267" s="1">
        <v>4.4000000000000004</v>
      </c>
      <c r="K1267" s="1">
        <v>1324.86</v>
      </c>
      <c r="L1267" s="1">
        <v>4.4000000000000004</v>
      </c>
      <c r="M1267" s="1">
        <v>1324.86</v>
      </c>
      <c r="N1267" s="1">
        <v>3.2</v>
      </c>
      <c r="O1267" s="1">
        <v>3.6</v>
      </c>
      <c r="P1267" s="1">
        <v>4.0999999999999996</v>
      </c>
      <c r="Q1267" s="1">
        <v>4.0999999999999996</v>
      </c>
      <c r="R1267" s="1">
        <v>4.4000000000000004</v>
      </c>
      <c r="S1267" s="1">
        <v>4.4000000000000004</v>
      </c>
      <c r="T1267" s="1">
        <v>1324.86</v>
      </c>
      <c r="U1267" s="1">
        <f>IF(Table14[[#This Row],[I_0]] &lt; INDEX(Table28[Filtro de ruido],1), 1, Table14[[#This Row],[I_10]] / Table14[[#This Row],[I_0]])</f>
        <v>1.125</v>
      </c>
      <c r="V1267" s="1">
        <f>IF(Table14[[#This Row],[I_0]] &lt; INDEX(Table28[Filtro de ruido],1), 1, Table14[[#This Row],[I_20]] / Table14[[#This Row],[I_0]])</f>
        <v>1.2812499999999998</v>
      </c>
      <c r="W1267" s="1">
        <f>IF(Table14[[#This Row],[I_0]] &lt; INDEX(Table28[Filtro de ruido],1), 1, Table14[[#This Row],[I_30]] / Table14[[#This Row],[I_0]])</f>
        <v>1.2812499999999998</v>
      </c>
      <c r="X1267" s="1">
        <f>IF(Table14[[#This Row],[I_0]] &lt; INDEX(Table28[Filtro de ruido],1), 1, Table14[[#This Row],[I_40]] / Table14[[#This Row],[I_0]])</f>
        <v>1.375</v>
      </c>
      <c r="Y1267" s="19">
        <f>IF(Table14[[#This Row],[I_0]] &lt; INDEX(Table28[Filtro de ruido],1), 1, Table14[[#This Row],[I_50]] / Table14[[#This Row],[I_0]])</f>
        <v>1.375</v>
      </c>
      <c r="AA1267" s="1"/>
    </row>
    <row r="1268" spans="1:27" x14ac:dyDescent="0.3">
      <c r="A1268" s="18">
        <v>1325.85</v>
      </c>
      <c r="B1268" s="1">
        <v>3.3</v>
      </c>
      <c r="C1268" s="1">
        <v>1325.85</v>
      </c>
      <c r="D1268" s="1">
        <v>3.7</v>
      </c>
      <c r="E1268" s="1">
        <v>1325.85</v>
      </c>
      <c r="F1268" s="1">
        <v>4.2</v>
      </c>
      <c r="G1268" s="1">
        <v>1325.85</v>
      </c>
      <c r="H1268" s="1">
        <v>4.2</v>
      </c>
      <c r="I1268" s="1">
        <v>1325.85</v>
      </c>
      <c r="J1268" s="1">
        <v>4.5</v>
      </c>
      <c r="K1268" s="1">
        <v>1325.85</v>
      </c>
      <c r="L1268" s="1">
        <v>4.5</v>
      </c>
      <c r="M1268" s="1">
        <v>1325.85</v>
      </c>
      <c r="N1268" s="1">
        <v>3.3</v>
      </c>
      <c r="O1268" s="1">
        <v>3.7</v>
      </c>
      <c r="P1268" s="1">
        <v>4.2</v>
      </c>
      <c r="Q1268" s="1">
        <v>4.2</v>
      </c>
      <c r="R1268" s="1">
        <v>4.5</v>
      </c>
      <c r="S1268" s="1">
        <v>4.5</v>
      </c>
      <c r="T1268" s="1">
        <v>1325.85</v>
      </c>
      <c r="U1268" s="1">
        <f>IF(Table14[[#This Row],[I_0]] &lt; INDEX(Table28[Filtro de ruido],1), 1, Table14[[#This Row],[I_10]] / Table14[[#This Row],[I_0]])</f>
        <v>1.1212121212121213</v>
      </c>
      <c r="V1268" s="1">
        <f>IF(Table14[[#This Row],[I_0]] &lt; INDEX(Table28[Filtro de ruido],1), 1, Table14[[#This Row],[I_20]] / Table14[[#This Row],[I_0]])</f>
        <v>1.2727272727272729</v>
      </c>
      <c r="W1268" s="1">
        <f>IF(Table14[[#This Row],[I_0]] &lt; INDEX(Table28[Filtro de ruido],1), 1, Table14[[#This Row],[I_30]] / Table14[[#This Row],[I_0]])</f>
        <v>1.2727272727272729</v>
      </c>
      <c r="X1268" s="1">
        <f>IF(Table14[[#This Row],[I_0]] &lt; INDEX(Table28[Filtro de ruido],1), 1, Table14[[#This Row],[I_40]] / Table14[[#This Row],[I_0]])</f>
        <v>1.3636363636363638</v>
      </c>
      <c r="Y1268" s="19">
        <f>IF(Table14[[#This Row],[I_0]] &lt; INDEX(Table28[Filtro de ruido],1), 1, Table14[[#This Row],[I_50]] / Table14[[#This Row],[I_0]])</f>
        <v>1.3636363636363638</v>
      </c>
      <c r="AA1268" s="1"/>
    </row>
    <row r="1269" spans="1:27" x14ac:dyDescent="0.3">
      <c r="A1269" s="18">
        <v>1326.85</v>
      </c>
      <c r="B1269" s="1">
        <v>3.3</v>
      </c>
      <c r="C1269" s="1">
        <v>1326.85</v>
      </c>
      <c r="D1269" s="1">
        <v>3.8</v>
      </c>
      <c r="E1269" s="1">
        <v>1326.85</v>
      </c>
      <c r="F1269" s="1">
        <v>4.2</v>
      </c>
      <c r="G1269" s="1">
        <v>1326.85</v>
      </c>
      <c r="H1269" s="1">
        <v>4.3</v>
      </c>
      <c r="I1269" s="1">
        <v>1326.85</v>
      </c>
      <c r="J1269" s="1">
        <v>4.5999999999999996</v>
      </c>
      <c r="K1269" s="1">
        <v>1326.85</v>
      </c>
      <c r="L1269" s="1">
        <v>4.5</v>
      </c>
      <c r="M1269" s="1">
        <v>1326.85</v>
      </c>
      <c r="N1269" s="1">
        <v>3.3</v>
      </c>
      <c r="O1269" s="1">
        <v>3.8</v>
      </c>
      <c r="P1269" s="1">
        <v>4.2</v>
      </c>
      <c r="Q1269" s="1">
        <v>4.3</v>
      </c>
      <c r="R1269" s="1">
        <v>4.5999999999999996</v>
      </c>
      <c r="S1269" s="1">
        <v>4.5</v>
      </c>
      <c r="T1269" s="1">
        <v>1326.85</v>
      </c>
      <c r="U1269" s="1">
        <f>IF(Table14[[#This Row],[I_0]] &lt; INDEX(Table28[Filtro de ruido],1), 1, Table14[[#This Row],[I_10]] / Table14[[#This Row],[I_0]])</f>
        <v>1.1515151515151516</v>
      </c>
      <c r="V1269" s="1">
        <f>IF(Table14[[#This Row],[I_0]] &lt; INDEX(Table28[Filtro de ruido],1), 1, Table14[[#This Row],[I_20]] / Table14[[#This Row],[I_0]])</f>
        <v>1.2727272727272729</v>
      </c>
      <c r="W1269" s="1">
        <f>IF(Table14[[#This Row],[I_0]] &lt; INDEX(Table28[Filtro de ruido],1), 1, Table14[[#This Row],[I_30]] / Table14[[#This Row],[I_0]])</f>
        <v>1.303030303030303</v>
      </c>
      <c r="X1269" s="1">
        <f>IF(Table14[[#This Row],[I_0]] &lt; INDEX(Table28[Filtro de ruido],1), 1, Table14[[#This Row],[I_40]] / Table14[[#This Row],[I_0]])</f>
        <v>1.3939393939393938</v>
      </c>
      <c r="Y1269" s="19">
        <f>IF(Table14[[#This Row],[I_0]] &lt; INDEX(Table28[Filtro de ruido],1), 1, Table14[[#This Row],[I_50]] / Table14[[#This Row],[I_0]])</f>
        <v>1.3636363636363638</v>
      </c>
      <c r="AA1269" s="1"/>
    </row>
    <row r="1270" spans="1:27" x14ac:dyDescent="0.3">
      <c r="A1270" s="18">
        <v>1327.84</v>
      </c>
      <c r="B1270" s="1">
        <v>3.5</v>
      </c>
      <c r="C1270" s="1">
        <v>1327.84</v>
      </c>
      <c r="D1270" s="1">
        <v>3.9</v>
      </c>
      <c r="E1270" s="1">
        <v>1327.84</v>
      </c>
      <c r="F1270" s="1">
        <v>4.3</v>
      </c>
      <c r="G1270" s="1">
        <v>1327.84</v>
      </c>
      <c r="H1270" s="1">
        <v>4.4000000000000004</v>
      </c>
      <c r="I1270" s="1">
        <v>1327.84</v>
      </c>
      <c r="J1270" s="1">
        <v>4.7</v>
      </c>
      <c r="K1270" s="1">
        <v>1327.84</v>
      </c>
      <c r="L1270" s="1">
        <v>4.7</v>
      </c>
      <c r="M1270" s="1">
        <v>1327.84</v>
      </c>
      <c r="N1270" s="1">
        <v>3.5</v>
      </c>
      <c r="O1270" s="1">
        <v>3.9</v>
      </c>
      <c r="P1270" s="1">
        <v>4.3</v>
      </c>
      <c r="Q1270" s="1">
        <v>4.4000000000000004</v>
      </c>
      <c r="R1270" s="1">
        <v>4.7</v>
      </c>
      <c r="S1270" s="1">
        <v>4.7</v>
      </c>
      <c r="T1270" s="1">
        <v>1327.84</v>
      </c>
      <c r="U1270" s="1">
        <f>IF(Table14[[#This Row],[I_0]] &lt; INDEX(Table28[Filtro de ruido],1), 1, Table14[[#This Row],[I_10]] / Table14[[#This Row],[I_0]])</f>
        <v>1.1142857142857143</v>
      </c>
      <c r="V1270" s="1">
        <f>IF(Table14[[#This Row],[I_0]] &lt; INDEX(Table28[Filtro de ruido],1), 1, Table14[[#This Row],[I_20]] / Table14[[#This Row],[I_0]])</f>
        <v>1.2285714285714284</v>
      </c>
      <c r="W1270" s="1">
        <f>IF(Table14[[#This Row],[I_0]] &lt; INDEX(Table28[Filtro de ruido],1), 1, Table14[[#This Row],[I_30]] / Table14[[#This Row],[I_0]])</f>
        <v>1.2571428571428573</v>
      </c>
      <c r="X1270" s="1">
        <f>IF(Table14[[#This Row],[I_0]] &lt; INDEX(Table28[Filtro de ruido],1), 1, Table14[[#This Row],[I_40]] / Table14[[#This Row],[I_0]])</f>
        <v>1.342857142857143</v>
      </c>
      <c r="Y1270" s="19">
        <f>IF(Table14[[#This Row],[I_0]] &lt; INDEX(Table28[Filtro de ruido],1), 1, Table14[[#This Row],[I_50]] / Table14[[#This Row],[I_0]])</f>
        <v>1.342857142857143</v>
      </c>
      <c r="AA1270" s="1"/>
    </row>
    <row r="1271" spans="1:27" x14ac:dyDescent="0.3">
      <c r="A1271" s="18">
        <v>1328.83</v>
      </c>
      <c r="B1271" s="1">
        <v>3.5</v>
      </c>
      <c r="C1271" s="1">
        <v>1328.83</v>
      </c>
      <c r="D1271" s="1">
        <v>4</v>
      </c>
      <c r="E1271" s="1">
        <v>1328.83</v>
      </c>
      <c r="F1271" s="1">
        <v>4.4000000000000004</v>
      </c>
      <c r="G1271" s="1">
        <v>1328.83</v>
      </c>
      <c r="H1271" s="1">
        <v>4.5</v>
      </c>
      <c r="I1271" s="1">
        <v>1328.83</v>
      </c>
      <c r="J1271" s="1">
        <v>4.8</v>
      </c>
      <c r="K1271" s="1">
        <v>1328.83</v>
      </c>
      <c r="L1271" s="1">
        <v>4.8</v>
      </c>
      <c r="M1271" s="1">
        <v>1328.83</v>
      </c>
      <c r="N1271" s="1">
        <v>3.5</v>
      </c>
      <c r="O1271" s="1">
        <v>4</v>
      </c>
      <c r="P1271" s="1">
        <v>4.4000000000000004</v>
      </c>
      <c r="Q1271" s="1">
        <v>4.5</v>
      </c>
      <c r="R1271" s="1">
        <v>4.8</v>
      </c>
      <c r="S1271" s="1">
        <v>4.8</v>
      </c>
      <c r="T1271" s="1">
        <v>1328.83</v>
      </c>
      <c r="U1271" s="1">
        <f>IF(Table14[[#This Row],[I_0]] &lt; INDEX(Table28[Filtro de ruido],1), 1, Table14[[#This Row],[I_10]] / Table14[[#This Row],[I_0]])</f>
        <v>1.1428571428571428</v>
      </c>
      <c r="V1271" s="1">
        <f>IF(Table14[[#This Row],[I_0]] &lt; INDEX(Table28[Filtro de ruido],1), 1, Table14[[#This Row],[I_20]] / Table14[[#This Row],[I_0]])</f>
        <v>1.2571428571428573</v>
      </c>
      <c r="W1271" s="1">
        <f>IF(Table14[[#This Row],[I_0]] &lt; INDEX(Table28[Filtro de ruido],1), 1, Table14[[#This Row],[I_30]] / Table14[[#This Row],[I_0]])</f>
        <v>1.2857142857142858</v>
      </c>
      <c r="X1271" s="1">
        <f>IF(Table14[[#This Row],[I_0]] &lt; INDEX(Table28[Filtro de ruido],1), 1, Table14[[#This Row],[I_40]] / Table14[[#This Row],[I_0]])</f>
        <v>1.3714285714285714</v>
      </c>
      <c r="Y1271" s="19">
        <f>IF(Table14[[#This Row],[I_0]] &lt; INDEX(Table28[Filtro de ruido],1), 1, Table14[[#This Row],[I_50]] / Table14[[#This Row],[I_0]])</f>
        <v>1.3714285714285714</v>
      </c>
      <c r="AA1271" s="1"/>
    </row>
    <row r="1272" spans="1:27" x14ac:dyDescent="0.3">
      <c r="A1272" s="18">
        <v>1329.82</v>
      </c>
      <c r="B1272" s="1">
        <v>3.7</v>
      </c>
      <c r="C1272" s="1">
        <v>1329.82</v>
      </c>
      <c r="D1272" s="1">
        <v>4.0999999999999996</v>
      </c>
      <c r="E1272" s="1">
        <v>1329.82</v>
      </c>
      <c r="F1272" s="1">
        <v>4.5</v>
      </c>
      <c r="G1272" s="1">
        <v>1329.82</v>
      </c>
      <c r="H1272" s="1">
        <v>4.7</v>
      </c>
      <c r="I1272" s="1">
        <v>1329.82</v>
      </c>
      <c r="J1272" s="1">
        <v>4.9000000000000004</v>
      </c>
      <c r="K1272" s="1">
        <v>1329.82</v>
      </c>
      <c r="L1272" s="1">
        <v>4.9000000000000004</v>
      </c>
      <c r="M1272" s="1">
        <v>1329.82</v>
      </c>
      <c r="N1272" s="1">
        <v>3.7</v>
      </c>
      <c r="O1272" s="1">
        <v>4.0999999999999996</v>
      </c>
      <c r="P1272" s="1">
        <v>4.5</v>
      </c>
      <c r="Q1272" s="1">
        <v>4.7</v>
      </c>
      <c r="R1272" s="1">
        <v>4.9000000000000004</v>
      </c>
      <c r="S1272" s="1">
        <v>4.9000000000000004</v>
      </c>
      <c r="T1272" s="1">
        <v>1329.82</v>
      </c>
      <c r="U1272" s="1">
        <f>IF(Table14[[#This Row],[I_0]] &lt; INDEX(Table28[Filtro de ruido],1), 1, Table14[[#This Row],[I_10]] / Table14[[#This Row],[I_0]])</f>
        <v>1.1081081081081079</v>
      </c>
      <c r="V1272" s="1">
        <f>IF(Table14[[#This Row],[I_0]] &lt; INDEX(Table28[Filtro de ruido],1), 1, Table14[[#This Row],[I_20]] / Table14[[#This Row],[I_0]])</f>
        <v>1.2162162162162162</v>
      </c>
      <c r="W1272" s="1">
        <f>IF(Table14[[#This Row],[I_0]] &lt; INDEX(Table28[Filtro de ruido],1), 1, Table14[[#This Row],[I_30]] / Table14[[#This Row],[I_0]])</f>
        <v>1.2702702702702702</v>
      </c>
      <c r="X1272" s="1">
        <f>IF(Table14[[#This Row],[I_0]] &lt; INDEX(Table28[Filtro de ruido],1), 1, Table14[[#This Row],[I_40]] / Table14[[#This Row],[I_0]])</f>
        <v>1.3243243243243243</v>
      </c>
      <c r="Y1272" s="19">
        <f>IF(Table14[[#This Row],[I_0]] &lt; INDEX(Table28[Filtro de ruido],1), 1, Table14[[#This Row],[I_50]] / Table14[[#This Row],[I_0]])</f>
        <v>1.3243243243243243</v>
      </c>
      <c r="AA1272" s="1"/>
    </row>
    <row r="1273" spans="1:27" x14ac:dyDescent="0.3">
      <c r="A1273" s="18">
        <v>1330.81</v>
      </c>
      <c r="B1273" s="1">
        <v>3.8</v>
      </c>
      <c r="C1273" s="1">
        <v>1330.81</v>
      </c>
      <c r="D1273" s="1">
        <v>4.2</v>
      </c>
      <c r="E1273" s="1">
        <v>1330.81</v>
      </c>
      <c r="F1273" s="1">
        <v>4.5999999999999996</v>
      </c>
      <c r="G1273" s="1">
        <v>1330.81</v>
      </c>
      <c r="H1273" s="1">
        <v>4.8</v>
      </c>
      <c r="I1273" s="1">
        <v>1330.81</v>
      </c>
      <c r="J1273" s="1">
        <v>5</v>
      </c>
      <c r="K1273" s="1">
        <v>1330.81</v>
      </c>
      <c r="L1273" s="1">
        <v>5</v>
      </c>
      <c r="M1273" s="1">
        <v>1330.81</v>
      </c>
      <c r="N1273" s="1">
        <v>3.8</v>
      </c>
      <c r="O1273" s="1">
        <v>4.2</v>
      </c>
      <c r="P1273" s="1">
        <v>4.5999999999999996</v>
      </c>
      <c r="Q1273" s="1">
        <v>4.8</v>
      </c>
      <c r="R1273" s="1">
        <v>5</v>
      </c>
      <c r="S1273" s="1">
        <v>5</v>
      </c>
      <c r="T1273" s="1">
        <v>1330.81</v>
      </c>
      <c r="U1273" s="1">
        <f>IF(Table14[[#This Row],[I_0]] &lt; INDEX(Table28[Filtro de ruido],1), 1, Table14[[#This Row],[I_10]] / Table14[[#This Row],[I_0]])</f>
        <v>1.1052631578947369</v>
      </c>
      <c r="V1273" s="1">
        <f>IF(Table14[[#This Row],[I_0]] &lt; INDEX(Table28[Filtro de ruido],1), 1, Table14[[#This Row],[I_20]] / Table14[[#This Row],[I_0]])</f>
        <v>1.2105263157894737</v>
      </c>
      <c r="W1273" s="1">
        <f>IF(Table14[[#This Row],[I_0]] &lt; INDEX(Table28[Filtro de ruido],1), 1, Table14[[#This Row],[I_30]] / Table14[[#This Row],[I_0]])</f>
        <v>1.263157894736842</v>
      </c>
      <c r="X1273" s="1">
        <f>IF(Table14[[#This Row],[I_0]] &lt; INDEX(Table28[Filtro de ruido],1), 1, Table14[[#This Row],[I_40]] / Table14[[#This Row],[I_0]])</f>
        <v>1.3157894736842106</v>
      </c>
      <c r="Y1273" s="19">
        <f>IF(Table14[[#This Row],[I_0]] &lt; INDEX(Table28[Filtro de ruido],1), 1, Table14[[#This Row],[I_50]] / Table14[[#This Row],[I_0]])</f>
        <v>1.3157894736842106</v>
      </c>
      <c r="AA1273" s="1"/>
    </row>
    <row r="1274" spans="1:27" x14ac:dyDescent="0.3">
      <c r="A1274" s="18">
        <v>1331.8</v>
      </c>
      <c r="B1274" s="1">
        <v>3.9</v>
      </c>
      <c r="C1274" s="1">
        <v>1331.8</v>
      </c>
      <c r="D1274" s="1">
        <v>4.4000000000000004</v>
      </c>
      <c r="E1274" s="1">
        <v>1331.8</v>
      </c>
      <c r="F1274" s="1">
        <v>4.8</v>
      </c>
      <c r="G1274" s="1">
        <v>1331.8</v>
      </c>
      <c r="H1274" s="1">
        <v>4.9000000000000004</v>
      </c>
      <c r="I1274" s="1">
        <v>1331.8</v>
      </c>
      <c r="J1274" s="1">
        <v>5.2</v>
      </c>
      <c r="K1274" s="1">
        <v>1331.8</v>
      </c>
      <c r="L1274" s="1">
        <v>5.2</v>
      </c>
      <c r="M1274" s="1">
        <v>1331.8</v>
      </c>
      <c r="N1274" s="1">
        <v>3.9</v>
      </c>
      <c r="O1274" s="1">
        <v>4.4000000000000004</v>
      </c>
      <c r="P1274" s="1">
        <v>4.8</v>
      </c>
      <c r="Q1274" s="1">
        <v>4.9000000000000004</v>
      </c>
      <c r="R1274" s="1">
        <v>5.2</v>
      </c>
      <c r="S1274" s="1">
        <v>5.2</v>
      </c>
      <c r="T1274" s="1">
        <v>1331.8</v>
      </c>
      <c r="U1274" s="1">
        <f>IF(Table14[[#This Row],[I_0]] &lt; INDEX(Table28[Filtro de ruido],1), 1, Table14[[#This Row],[I_10]] / Table14[[#This Row],[I_0]])</f>
        <v>1.1282051282051284</v>
      </c>
      <c r="V1274" s="1">
        <f>IF(Table14[[#This Row],[I_0]] &lt; INDEX(Table28[Filtro de ruido],1), 1, Table14[[#This Row],[I_20]] / Table14[[#This Row],[I_0]])</f>
        <v>1.2307692307692308</v>
      </c>
      <c r="W1274" s="1">
        <f>IF(Table14[[#This Row],[I_0]] &lt; INDEX(Table28[Filtro de ruido],1), 1, Table14[[#This Row],[I_30]] / Table14[[#This Row],[I_0]])</f>
        <v>1.2564102564102566</v>
      </c>
      <c r="X1274" s="1">
        <f>IF(Table14[[#This Row],[I_0]] &lt; INDEX(Table28[Filtro de ruido],1), 1, Table14[[#This Row],[I_40]] / Table14[[#This Row],[I_0]])</f>
        <v>1.3333333333333335</v>
      </c>
      <c r="Y1274" s="19">
        <f>IF(Table14[[#This Row],[I_0]] &lt; INDEX(Table28[Filtro de ruido],1), 1, Table14[[#This Row],[I_50]] / Table14[[#This Row],[I_0]])</f>
        <v>1.3333333333333335</v>
      </c>
      <c r="AA1274" s="1"/>
    </row>
    <row r="1275" spans="1:27" x14ac:dyDescent="0.3">
      <c r="A1275" s="18">
        <v>1332.8</v>
      </c>
      <c r="B1275" s="1">
        <v>4.0999999999999996</v>
      </c>
      <c r="C1275" s="1">
        <v>1332.8</v>
      </c>
      <c r="D1275" s="1">
        <v>4.5999999999999996</v>
      </c>
      <c r="E1275" s="1">
        <v>1332.8</v>
      </c>
      <c r="F1275" s="1">
        <v>5</v>
      </c>
      <c r="G1275" s="1">
        <v>1332.8</v>
      </c>
      <c r="H1275" s="1">
        <v>5.0999999999999996</v>
      </c>
      <c r="I1275" s="1">
        <v>1332.8</v>
      </c>
      <c r="J1275" s="1">
        <v>5.4</v>
      </c>
      <c r="K1275" s="1">
        <v>1332.8</v>
      </c>
      <c r="L1275" s="1">
        <v>5.4</v>
      </c>
      <c r="M1275" s="1">
        <v>1332.8</v>
      </c>
      <c r="N1275" s="1">
        <v>4.0999999999999996</v>
      </c>
      <c r="O1275" s="1">
        <v>4.5999999999999996</v>
      </c>
      <c r="P1275" s="1">
        <v>5</v>
      </c>
      <c r="Q1275" s="1">
        <v>5.0999999999999996</v>
      </c>
      <c r="R1275" s="1">
        <v>5.4</v>
      </c>
      <c r="S1275" s="1">
        <v>5.4</v>
      </c>
      <c r="T1275" s="1">
        <v>1332.8</v>
      </c>
      <c r="U1275" s="1">
        <f>IF(Table14[[#This Row],[I_0]] &lt; INDEX(Table28[Filtro de ruido],1), 1, Table14[[#This Row],[I_10]] / Table14[[#This Row],[I_0]])</f>
        <v>1.1219512195121952</v>
      </c>
      <c r="V1275" s="1">
        <f>IF(Table14[[#This Row],[I_0]] &lt; INDEX(Table28[Filtro de ruido],1), 1, Table14[[#This Row],[I_20]] / Table14[[#This Row],[I_0]])</f>
        <v>1.2195121951219514</v>
      </c>
      <c r="W1275" s="1">
        <f>IF(Table14[[#This Row],[I_0]] &lt; INDEX(Table28[Filtro de ruido],1), 1, Table14[[#This Row],[I_30]] / Table14[[#This Row],[I_0]])</f>
        <v>1.2439024390243902</v>
      </c>
      <c r="X1275" s="1">
        <f>IF(Table14[[#This Row],[I_0]] &lt; INDEX(Table28[Filtro de ruido],1), 1, Table14[[#This Row],[I_40]] / Table14[[#This Row],[I_0]])</f>
        <v>1.3170731707317076</v>
      </c>
      <c r="Y1275" s="19">
        <f>IF(Table14[[#This Row],[I_0]] &lt; INDEX(Table28[Filtro de ruido],1), 1, Table14[[#This Row],[I_50]] / Table14[[#This Row],[I_0]])</f>
        <v>1.3170731707317076</v>
      </c>
      <c r="AA1275" s="1"/>
    </row>
    <row r="1276" spans="1:27" x14ac:dyDescent="0.3">
      <c r="A1276" s="18">
        <v>1333.79</v>
      </c>
      <c r="B1276" s="1">
        <v>4.4000000000000004</v>
      </c>
      <c r="C1276" s="1">
        <v>1333.79</v>
      </c>
      <c r="D1276" s="1">
        <v>4.8</v>
      </c>
      <c r="E1276" s="1">
        <v>1333.79</v>
      </c>
      <c r="F1276" s="1">
        <v>5.2</v>
      </c>
      <c r="G1276" s="1">
        <v>1333.79</v>
      </c>
      <c r="H1276" s="1">
        <v>5.4</v>
      </c>
      <c r="I1276" s="1">
        <v>1333.79</v>
      </c>
      <c r="J1276" s="1">
        <v>5.7</v>
      </c>
      <c r="K1276" s="1">
        <v>1333.79</v>
      </c>
      <c r="L1276" s="1">
        <v>5.7</v>
      </c>
      <c r="M1276" s="1">
        <v>1333.79</v>
      </c>
      <c r="N1276" s="1">
        <v>4.4000000000000004</v>
      </c>
      <c r="O1276" s="1">
        <v>4.8</v>
      </c>
      <c r="P1276" s="1">
        <v>5.2</v>
      </c>
      <c r="Q1276" s="1">
        <v>5.4</v>
      </c>
      <c r="R1276" s="1">
        <v>5.7</v>
      </c>
      <c r="S1276" s="1">
        <v>5.7</v>
      </c>
      <c r="T1276" s="1">
        <v>1333.79</v>
      </c>
      <c r="U1276" s="1">
        <f>IF(Table14[[#This Row],[I_0]] &lt; INDEX(Table28[Filtro de ruido],1), 1, Table14[[#This Row],[I_10]] / Table14[[#This Row],[I_0]])</f>
        <v>1.0909090909090908</v>
      </c>
      <c r="V1276" s="1">
        <f>IF(Table14[[#This Row],[I_0]] &lt; INDEX(Table28[Filtro de ruido],1), 1, Table14[[#This Row],[I_20]] / Table14[[#This Row],[I_0]])</f>
        <v>1.1818181818181817</v>
      </c>
      <c r="W1276" s="1">
        <f>IF(Table14[[#This Row],[I_0]] &lt; INDEX(Table28[Filtro de ruido],1), 1, Table14[[#This Row],[I_30]] / Table14[[#This Row],[I_0]])</f>
        <v>1.2272727272727273</v>
      </c>
      <c r="X1276" s="1">
        <f>IF(Table14[[#This Row],[I_0]] &lt; INDEX(Table28[Filtro de ruido],1), 1, Table14[[#This Row],[I_40]] / Table14[[#This Row],[I_0]])</f>
        <v>1.2954545454545454</v>
      </c>
      <c r="Y1276" s="19">
        <f>IF(Table14[[#This Row],[I_0]] &lt; INDEX(Table28[Filtro de ruido],1), 1, Table14[[#This Row],[I_50]] / Table14[[#This Row],[I_0]])</f>
        <v>1.2954545454545454</v>
      </c>
      <c r="AA1276" s="1"/>
    </row>
    <row r="1277" spans="1:27" x14ac:dyDescent="0.3">
      <c r="A1277" s="18">
        <v>1334.78</v>
      </c>
      <c r="B1277" s="1">
        <v>4.5999999999999996</v>
      </c>
      <c r="C1277" s="1">
        <v>1334.78</v>
      </c>
      <c r="D1277" s="1">
        <v>5.0999999999999996</v>
      </c>
      <c r="E1277" s="1">
        <v>1334.78</v>
      </c>
      <c r="F1277" s="1">
        <v>5.5</v>
      </c>
      <c r="G1277" s="1">
        <v>1334.78</v>
      </c>
      <c r="H1277" s="1">
        <v>5.7</v>
      </c>
      <c r="I1277" s="1">
        <v>1334.78</v>
      </c>
      <c r="J1277" s="1">
        <v>6</v>
      </c>
      <c r="K1277" s="1">
        <v>1334.78</v>
      </c>
      <c r="L1277" s="1">
        <v>6</v>
      </c>
      <c r="M1277" s="1">
        <v>1334.78</v>
      </c>
      <c r="N1277" s="1">
        <v>4.5999999999999996</v>
      </c>
      <c r="O1277" s="1">
        <v>5.0999999999999996</v>
      </c>
      <c r="P1277" s="1">
        <v>5.5</v>
      </c>
      <c r="Q1277" s="1">
        <v>5.7</v>
      </c>
      <c r="R1277" s="1">
        <v>6</v>
      </c>
      <c r="S1277" s="1">
        <v>6</v>
      </c>
      <c r="T1277" s="1">
        <v>1334.78</v>
      </c>
      <c r="U1277" s="1">
        <f>IF(Table14[[#This Row],[I_0]] &lt; INDEX(Table28[Filtro de ruido],1), 1, Table14[[#This Row],[I_10]] / Table14[[#This Row],[I_0]])</f>
        <v>1.1086956521739131</v>
      </c>
      <c r="V1277" s="1">
        <f>IF(Table14[[#This Row],[I_0]] &lt; INDEX(Table28[Filtro de ruido],1), 1, Table14[[#This Row],[I_20]] / Table14[[#This Row],[I_0]])</f>
        <v>1.1956521739130437</v>
      </c>
      <c r="W1277" s="1">
        <f>IF(Table14[[#This Row],[I_0]] &lt; INDEX(Table28[Filtro de ruido],1), 1, Table14[[#This Row],[I_30]] / Table14[[#This Row],[I_0]])</f>
        <v>1.2391304347826089</v>
      </c>
      <c r="X1277" s="1">
        <f>IF(Table14[[#This Row],[I_0]] &lt; INDEX(Table28[Filtro de ruido],1), 1, Table14[[#This Row],[I_40]] / Table14[[#This Row],[I_0]])</f>
        <v>1.3043478260869565</v>
      </c>
      <c r="Y1277" s="19">
        <f>IF(Table14[[#This Row],[I_0]] &lt; INDEX(Table28[Filtro de ruido],1), 1, Table14[[#This Row],[I_50]] / Table14[[#This Row],[I_0]])</f>
        <v>1.3043478260869565</v>
      </c>
      <c r="AA1277" s="1"/>
    </row>
    <row r="1278" spans="1:27" x14ac:dyDescent="0.3">
      <c r="A1278" s="18">
        <v>1335.77</v>
      </c>
      <c r="B1278" s="1">
        <v>5</v>
      </c>
      <c r="C1278" s="1">
        <v>1335.77</v>
      </c>
      <c r="D1278" s="1">
        <v>5.5</v>
      </c>
      <c r="E1278" s="1">
        <v>1335.77</v>
      </c>
      <c r="F1278" s="1">
        <v>5.9</v>
      </c>
      <c r="G1278" s="1">
        <v>1335.77</v>
      </c>
      <c r="H1278" s="1">
        <v>6.1</v>
      </c>
      <c r="I1278" s="1">
        <v>1335.77</v>
      </c>
      <c r="J1278" s="1">
        <v>6.4</v>
      </c>
      <c r="K1278" s="1">
        <v>1335.77</v>
      </c>
      <c r="L1278" s="1">
        <v>6.5</v>
      </c>
      <c r="M1278" s="1">
        <v>1335.77</v>
      </c>
      <c r="N1278" s="1">
        <v>5</v>
      </c>
      <c r="O1278" s="1">
        <v>5.5</v>
      </c>
      <c r="P1278" s="1">
        <v>5.9</v>
      </c>
      <c r="Q1278" s="1">
        <v>6.1</v>
      </c>
      <c r="R1278" s="1">
        <v>6.4</v>
      </c>
      <c r="S1278" s="1">
        <v>6.5</v>
      </c>
      <c r="T1278" s="1">
        <v>1335.77</v>
      </c>
      <c r="U1278" s="1">
        <f>IF(Table14[[#This Row],[I_0]] &lt; INDEX(Table28[Filtro de ruido],1), 1, Table14[[#This Row],[I_10]] / Table14[[#This Row],[I_0]])</f>
        <v>1.1000000000000001</v>
      </c>
      <c r="V1278" s="1">
        <f>IF(Table14[[#This Row],[I_0]] &lt; INDEX(Table28[Filtro de ruido],1), 1, Table14[[#This Row],[I_20]] / Table14[[#This Row],[I_0]])</f>
        <v>1.1800000000000002</v>
      </c>
      <c r="W1278" s="1">
        <f>IF(Table14[[#This Row],[I_0]] &lt; INDEX(Table28[Filtro de ruido],1), 1, Table14[[#This Row],[I_30]] / Table14[[#This Row],[I_0]])</f>
        <v>1.22</v>
      </c>
      <c r="X1278" s="1">
        <f>IF(Table14[[#This Row],[I_0]] &lt; INDEX(Table28[Filtro de ruido],1), 1, Table14[[#This Row],[I_40]] / Table14[[#This Row],[I_0]])</f>
        <v>1.28</v>
      </c>
      <c r="Y1278" s="19">
        <f>IF(Table14[[#This Row],[I_0]] &lt; INDEX(Table28[Filtro de ruido],1), 1, Table14[[#This Row],[I_50]] / Table14[[#This Row],[I_0]])</f>
        <v>1.3</v>
      </c>
      <c r="AA1278" s="1"/>
    </row>
    <row r="1279" spans="1:27" x14ac:dyDescent="0.3">
      <c r="A1279" s="18">
        <v>1336.76</v>
      </c>
      <c r="B1279" s="1">
        <v>5.5</v>
      </c>
      <c r="C1279" s="1">
        <v>1336.76</v>
      </c>
      <c r="D1279" s="1">
        <v>5.9</v>
      </c>
      <c r="E1279" s="1">
        <v>1336.76</v>
      </c>
      <c r="F1279" s="1">
        <v>6.4</v>
      </c>
      <c r="G1279" s="1">
        <v>1336.76</v>
      </c>
      <c r="H1279" s="1">
        <v>6.6</v>
      </c>
      <c r="I1279" s="1">
        <v>1336.76</v>
      </c>
      <c r="J1279" s="1">
        <v>6.9</v>
      </c>
      <c r="K1279" s="1">
        <v>1336.76</v>
      </c>
      <c r="L1279" s="1">
        <v>6.9</v>
      </c>
      <c r="M1279" s="1">
        <v>1336.76</v>
      </c>
      <c r="N1279" s="1">
        <v>5.5</v>
      </c>
      <c r="O1279" s="1">
        <v>5.9</v>
      </c>
      <c r="P1279" s="1">
        <v>6.4</v>
      </c>
      <c r="Q1279" s="1">
        <v>6.6</v>
      </c>
      <c r="R1279" s="1">
        <v>6.9</v>
      </c>
      <c r="S1279" s="1">
        <v>6.9</v>
      </c>
      <c r="T1279" s="1">
        <v>1336.76</v>
      </c>
      <c r="U1279" s="1">
        <f>IF(Table14[[#This Row],[I_0]] &lt; INDEX(Table28[Filtro de ruido],1), 1, Table14[[#This Row],[I_10]] / Table14[[#This Row],[I_0]])</f>
        <v>1.0727272727272728</v>
      </c>
      <c r="V1279" s="1">
        <f>IF(Table14[[#This Row],[I_0]] &lt; INDEX(Table28[Filtro de ruido],1), 1, Table14[[#This Row],[I_20]] / Table14[[#This Row],[I_0]])</f>
        <v>1.1636363636363638</v>
      </c>
      <c r="W1279" s="1">
        <f>IF(Table14[[#This Row],[I_0]] &lt; INDEX(Table28[Filtro de ruido],1), 1, Table14[[#This Row],[I_30]] / Table14[[#This Row],[I_0]])</f>
        <v>1.2</v>
      </c>
      <c r="X1279" s="1">
        <f>IF(Table14[[#This Row],[I_0]] &lt; INDEX(Table28[Filtro de ruido],1), 1, Table14[[#This Row],[I_40]] / Table14[[#This Row],[I_0]])</f>
        <v>1.2545454545454546</v>
      </c>
      <c r="Y1279" s="19">
        <f>IF(Table14[[#This Row],[I_0]] &lt; INDEX(Table28[Filtro de ruido],1), 1, Table14[[#This Row],[I_50]] / Table14[[#This Row],[I_0]])</f>
        <v>1.2545454545454546</v>
      </c>
      <c r="AA1279" s="1"/>
    </row>
    <row r="1280" spans="1:27" x14ac:dyDescent="0.3">
      <c r="A1280" s="18">
        <v>1337.76</v>
      </c>
      <c r="B1280" s="1">
        <v>6</v>
      </c>
      <c r="C1280" s="1">
        <v>1337.76</v>
      </c>
      <c r="D1280" s="1">
        <v>6.5</v>
      </c>
      <c r="E1280" s="1">
        <v>1337.76</v>
      </c>
      <c r="F1280" s="1">
        <v>7</v>
      </c>
      <c r="G1280" s="1">
        <v>1337.76</v>
      </c>
      <c r="H1280" s="1">
        <v>7.2</v>
      </c>
      <c r="I1280" s="1">
        <v>1337.76</v>
      </c>
      <c r="J1280" s="1">
        <v>7.5</v>
      </c>
      <c r="K1280" s="1">
        <v>1337.76</v>
      </c>
      <c r="L1280" s="1">
        <v>7.6</v>
      </c>
      <c r="M1280" s="1">
        <v>1337.76</v>
      </c>
      <c r="N1280" s="1">
        <v>6</v>
      </c>
      <c r="O1280" s="1">
        <v>6.5</v>
      </c>
      <c r="P1280" s="1">
        <v>7</v>
      </c>
      <c r="Q1280" s="1">
        <v>7.2</v>
      </c>
      <c r="R1280" s="1">
        <v>7.5</v>
      </c>
      <c r="S1280" s="1">
        <v>7.6</v>
      </c>
      <c r="T1280" s="1">
        <v>1337.76</v>
      </c>
      <c r="U1280" s="1">
        <f>IF(Table14[[#This Row],[I_0]] &lt; INDEX(Table28[Filtro de ruido],1), 1, Table14[[#This Row],[I_10]] / Table14[[#This Row],[I_0]])</f>
        <v>1.0833333333333333</v>
      </c>
      <c r="V1280" s="1">
        <f>IF(Table14[[#This Row],[I_0]] &lt; INDEX(Table28[Filtro de ruido],1), 1, Table14[[#This Row],[I_20]] / Table14[[#This Row],[I_0]])</f>
        <v>1.1666666666666667</v>
      </c>
      <c r="W1280" s="1">
        <f>IF(Table14[[#This Row],[I_0]] &lt; INDEX(Table28[Filtro de ruido],1), 1, Table14[[#This Row],[I_30]] / Table14[[#This Row],[I_0]])</f>
        <v>1.2</v>
      </c>
      <c r="X1280" s="1">
        <f>IF(Table14[[#This Row],[I_0]] &lt; INDEX(Table28[Filtro de ruido],1), 1, Table14[[#This Row],[I_40]] / Table14[[#This Row],[I_0]])</f>
        <v>1.25</v>
      </c>
      <c r="Y1280" s="19">
        <f>IF(Table14[[#This Row],[I_0]] &lt; INDEX(Table28[Filtro de ruido],1), 1, Table14[[#This Row],[I_50]] / Table14[[#This Row],[I_0]])</f>
        <v>1.2666666666666666</v>
      </c>
      <c r="AA1280" s="1"/>
    </row>
    <row r="1281" spans="1:27" x14ac:dyDescent="0.3">
      <c r="A1281" s="18">
        <v>1338.75</v>
      </c>
      <c r="B1281" s="1">
        <v>7.3</v>
      </c>
      <c r="C1281" s="1">
        <v>1338.75</v>
      </c>
      <c r="D1281" s="1">
        <v>7.8</v>
      </c>
      <c r="E1281" s="1">
        <v>1338.75</v>
      </c>
      <c r="F1281" s="1">
        <v>8.3000000000000007</v>
      </c>
      <c r="G1281" s="1">
        <v>1338.75</v>
      </c>
      <c r="H1281" s="1">
        <v>8.6</v>
      </c>
      <c r="I1281" s="1">
        <v>1338.75</v>
      </c>
      <c r="J1281" s="1">
        <v>8.9</v>
      </c>
      <c r="K1281" s="1">
        <v>1338.75</v>
      </c>
      <c r="L1281" s="1">
        <v>9</v>
      </c>
      <c r="M1281" s="1">
        <v>1338.75</v>
      </c>
      <c r="N1281" s="1">
        <v>7.3</v>
      </c>
      <c r="O1281" s="1">
        <v>7.8</v>
      </c>
      <c r="P1281" s="1">
        <v>8.3000000000000007</v>
      </c>
      <c r="Q1281" s="1">
        <v>8.6</v>
      </c>
      <c r="R1281" s="1">
        <v>8.9</v>
      </c>
      <c r="S1281" s="1">
        <v>9</v>
      </c>
      <c r="T1281" s="1">
        <v>1338.75</v>
      </c>
      <c r="U1281" s="1">
        <f>IF(Table14[[#This Row],[I_0]] &lt; INDEX(Table28[Filtro de ruido],1), 1, Table14[[#This Row],[I_10]] / Table14[[#This Row],[I_0]])</f>
        <v>1.0684931506849316</v>
      </c>
      <c r="V1281" s="1">
        <f>IF(Table14[[#This Row],[I_0]] &lt; INDEX(Table28[Filtro de ruido],1), 1, Table14[[#This Row],[I_20]] / Table14[[#This Row],[I_0]])</f>
        <v>1.1369863013698631</v>
      </c>
      <c r="W1281" s="1">
        <f>IF(Table14[[#This Row],[I_0]] &lt; INDEX(Table28[Filtro de ruido],1), 1, Table14[[#This Row],[I_30]] / Table14[[#This Row],[I_0]])</f>
        <v>1.178082191780822</v>
      </c>
      <c r="X1281" s="1">
        <f>IF(Table14[[#This Row],[I_0]] &lt; INDEX(Table28[Filtro de ruido],1), 1, Table14[[#This Row],[I_40]] / Table14[[#This Row],[I_0]])</f>
        <v>1.2191780821917808</v>
      </c>
      <c r="Y1281" s="19">
        <f>IF(Table14[[#This Row],[I_0]] &lt; INDEX(Table28[Filtro de ruido],1), 1, Table14[[#This Row],[I_50]] / Table14[[#This Row],[I_0]])</f>
        <v>1.2328767123287672</v>
      </c>
      <c r="AA1281" s="1"/>
    </row>
    <row r="1282" spans="1:27" ht="15" thickBot="1" x14ac:dyDescent="0.35">
      <c r="A1282" s="20">
        <v>1339.74</v>
      </c>
      <c r="B1282" s="21">
        <v>7.9</v>
      </c>
      <c r="C1282" s="21">
        <v>1339.74</v>
      </c>
      <c r="D1282" s="21">
        <v>8.3000000000000007</v>
      </c>
      <c r="E1282" s="21">
        <v>1339.74</v>
      </c>
      <c r="F1282" s="21">
        <v>8.8000000000000007</v>
      </c>
      <c r="G1282" s="21">
        <v>1339.74</v>
      </c>
      <c r="H1282" s="21">
        <v>9.1</v>
      </c>
      <c r="I1282" s="21">
        <v>1339.74</v>
      </c>
      <c r="J1282" s="21">
        <v>9.4</v>
      </c>
      <c r="K1282" s="21">
        <v>1339.74</v>
      </c>
      <c r="L1282" s="21">
        <v>9.6</v>
      </c>
      <c r="M1282" s="21">
        <v>1339.74</v>
      </c>
      <c r="N1282" s="21">
        <v>7.9</v>
      </c>
      <c r="O1282" s="21">
        <v>8.3000000000000007</v>
      </c>
      <c r="P1282" s="21">
        <v>8.8000000000000007</v>
      </c>
      <c r="Q1282" s="21">
        <v>9.1</v>
      </c>
      <c r="R1282" s="21">
        <v>9.4</v>
      </c>
      <c r="S1282" s="21">
        <v>9.6</v>
      </c>
      <c r="T1282" s="21">
        <v>1339.74</v>
      </c>
      <c r="U1282" s="21">
        <f>IF(Table14[[#This Row],[I_0]] &lt; INDEX(Table28[Filtro de ruido],1), 1, Table14[[#This Row],[I_10]] / Table14[[#This Row],[I_0]])</f>
        <v>1.0506329113924051</v>
      </c>
      <c r="V1282" s="21">
        <f>IF(Table14[[#This Row],[I_0]] &lt; INDEX(Table28[Filtro de ruido],1), 1, Table14[[#This Row],[I_20]] / Table14[[#This Row],[I_0]])</f>
        <v>1.1139240506329113</v>
      </c>
      <c r="W1282" s="21">
        <f>IF(Table14[[#This Row],[I_0]] &lt; INDEX(Table28[Filtro de ruido],1), 1, Table14[[#This Row],[I_30]] / Table14[[#This Row],[I_0]])</f>
        <v>1.1518987341772151</v>
      </c>
      <c r="X1282" s="21">
        <f>IF(Table14[[#This Row],[I_0]] &lt; INDEX(Table28[Filtro de ruido],1), 1, Table14[[#This Row],[I_40]] / Table14[[#This Row],[I_0]])</f>
        <v>1.1898734177215189</v>
      </c>
      <c r="Y1282" s="22">
        <f>IF(Table14[[#This Row],[I_0]] &lt; INDEX(Table28[Filtro de ruido],1), 1, Table14[[#This Row],[I_50]] / Table14[[#This Row],[I_0]])</f>
        <v>1.2151898734177213</v>
      </c>
      <c r="AA1282" s="1"/>
    </row>
  </sheetData>
  <mergeCells count="6">
    <mergeCell ref="K1:L1"/>
    <mergeCell ref="A1:B1"/>
    <mergeCell ref="C1:D1"/>
    <mergeCell ref="E1:F1"/>
    <mergeCell ref="G1:H1"/>
    <mergeCell ref="I1:J1"/>
  </mergeCells>
  <phoneticPr fontId="1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87A713-EF63-4494-8274-9F7FA3ED89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0.0%</vt:lpstr>
      <vt:lpstr>0.5%</vt:lpstr>
      <vt:lpstr>1.0%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Todd Grantham</dc:creator>
  <cp:keywords/>
  <dc:description/>
  <cp:lastModifiedBy>Leo</cp:lastModifiedBy>
  <cp:revision/>
  <dcterms:created xsi:type="dcterms:W3CDTF">2026-02-28T12:47:20Z</dcterms:created>
  <dcterms:modified xsi:type="dcterms:W3CDTF">2026-03-14T14:30:00Z</dcterms:modified>
  <cp:category/>
  <cp:contentStatus/>
</cp:coreProperties>
</file>